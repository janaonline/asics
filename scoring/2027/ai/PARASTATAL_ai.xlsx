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cores (start here)" sheetId="1" state="visible" r:id="rId1"/>
    <sheet name="Check before use" sheetId="2" state="visible" r:id="rId2"/>
    <sheet name="PARASTATAL_SUMMARY_RAW" sheetId="3" state="visible" r:id="rId3"/>
    <sheet name="PARASTATAL_CITY_SCORES" sheetId="4" state="visible" r:id="rId4"/>
    <sheet name="PARASTATAL Questions" sheetId="5" state="visible" r:id="rId5"/>
    <sheet name="UPD1a" sheetId="6" state="visible" r:id="rId6"/>
    <sheet name="UPD1b" sheetId="7" state="visible" r:id="rId7"/>
    <sheet name="UPD2a" sheetId="8" state="visible" r:id="rId8"/>
    <sheet name="UPD2b" sheetId="9" state="visible" r:id="rId9"/>
    <sheet name="UPD2c" sheetId="10" state="visible" r:id="rId10"/>
    <sheet name="UPD2d" sheetId="11" state="visible" r:id="rId11"/>
    <sheet name="UPD3a" sheetId="12" state="visible" r:id="rId12"/>
    <sheet name="UPD3b" sheetId="13" state="visible" r:id="rId13"/>
    <sheet name="UPD4a" sheetId="14" state="visible" r:id="rId14"/>
    <sheet name="UPD4b" sheetId="15" state="visible" r:id="rId15"/>
    <sheet name="UPD5a" sheetId="16" state="visible" r:id="rId16"/>
    <sheet name="UPD5b" sheetId="17" state="visible" r:id="rId17"/>
    <sheet name="UPD6a" sheetId="18" state="visible" r:id="rId18"/>
    <sheet name="UPD6b" sheetId="19" state="visible" r:id="rId19"/>
    <sheet name="DPG1a" sheetId="20" state="visible" r:id="rId20"/>
    <sheet name="DPG1b" sheetId="21" state="visible" r:id="rId21"/>
    <sheet name="DPG2a" sheetId="22" state="visible" r:id="rId22"/>
    <sheet name="DPG2b" sheetId="23" state="visible" r:id="rId23"/>
    <sheet name="DPG4" sheetId="24" state="visible" r:id="rId24"/>
    <sheet name="DPG5a" sheetId="25" state="visible" r:id="rId25"/>
    <sheet name="DPG5b" sheetId="26" state="visible" r:id="rId26"/>
    <sheet name="DPG5c" sheetId="27" state="visible" r:id="rId27"/>
    <sheet name="DPG5d" sheetId="28" state="visible" r:id="rId28"/>
    <sheet name="DPG5f" sheetId="29" state="visible" r:id="rId29"/>
    <sheet name="DPG5g" sheetId="30" state="visible" r:id="rId30"/>
    <sheet name="DPG5h" sheetId="31" state="visible" r:id="rId31"/>
    <sheet name="DPG5i" sheetId="32" state="visible" r:id="rId32"/>
    <sheet name="DPG5j" sheetId="33" state="visible" r:id="rId33"/>
    <sheet name="DPG5k" sheetId="34" state="visible" r:id="rId34"/>
    <sheet name="DPG6a" sheetId="35" state="visible" r:id="rId35"/>
    <sheet name="DPG6b" sheetId="36" state="visible" r:id="rId36"/>
    <sheet name="DPG7a" sheetId="37" state="visible" r:id="rId37"/>
    <sheet name="DPG7b" sheetId="38" state="visible" r:id="rId38"/>
    <sheet name="SC1" sheetId="39" state="visible" r:id="rId39"/>
    <sheet name="SC2" sheetId="40" state="visible" r:id="rId40"/>
    <sheet name="SC3" sheetId="41" state="visible" r:id="rId41"/>
    <sheet name="SC4a" sheetId="42" state="visible" r:id="rId42"/>
    <sheet name="SC4b" sheetId="43" state="visible" r:id="rId43"/>
    <sheet name="SC5" sheetId="44" state="visible" r:id="rId44"/>
    <sheet name="SC6" sheetId="45" state="visible" r:id="rId45"/>
    <sheet name="SC7a" sheetId="46" state="visible" r:id="rId46"/>
    <sheet name="SC7b" sheetId="47" state="visible" r:id="rId47"/>
  </sheets>
  <definedNames>
    <definedName name="_xlnm._FilterDatabase" localSheetId="0" hidden="1">'Scores (start here)'!$A$1:$P$156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font>
    <font>
      <i val="1"/>
    </font>
    <font>
      <b val="1"/>
      <sz val="9"/>
    </font>
  </fonts>
  <fills count="7">
    <fill>
      <patternFill/>
    </fill>
    <fill>
      <patternFill patternType="gray125"/>
    </fill>
    <fill>
      <patternFill patternType="solid">
        <fgColor rgb="00DDE7F0"/>
      </patternFill>
    </fill>
    <fill>
      <patternFill patternType="solid">
        <fgColor rgb="00FFF6D5"/>
      </patternFill>
    </fill>
    <fill>
      <patternFill patternType="solid">
        <fgColor rgb="00E7E6E6"/>
      </patternFill>
    </fill>
    <fill>
      <patternFill patternType="solid">
        <fgColor rgb="00F2C200"/>
      </patternFill>
    </fill>
    <fill>
      <patternFill patternType="solid">
        <fgColor rgb="00FFF2B3"/>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vertical="top" wrapText="1"/>
    </xf>
    <xf numFmtId="0" fontId="2" fillId="0" borderId="0" pivotButton="0" quotePrefix="0" xfId="0"/>
    <xf numFmtId="0" fontId="3" fillId="0" borderId="0" pivotButton="0" quotePrefix="0" xfId="0"/>
    <xf numFmtId="0" fontId="4" fillId="0" borderId="0" pivotButton="0" quotePrefix="0" xfId="0"/>
    <xf numFmtId="0" fontId="0" fillId="3" borderId="0" pivotButton="0" quotePrefix="0" xfId="0"/>
    <xf numFmtId="0" fontId="0" fillId="4" borderId="0" pivotButton="0" quotePrefix="0" xfId="0"/>
    <xf numFmtId="0" fontId="2" fillId="5" borderId="0" applyAlignment="1" pivotButton="0" quotePrefix="0" xfId="0">
      <alignment vertical="top" wrapText="1"/>
    </xf>
    <xf numFmtId="0" fontId="0" fillId="6" borderId="0" applyAlignment="1" pivotButton="0" quotePrefix="0" xfId="0">
      <alignment vertical="top" wrapText="1"/>
    </xf>
  </cellXfs>
  <cellStyles count="1">
    <cellStyle name="Normal" xfId="0" builtinId="0" hidden="0"/>
  </cellStyles>
  <dxfs count="2">
    <dxf>
      <fill>
        <patternFill patternType="solid">
          <fgColor rgb="00FBD5B5"/>
        </patternFill>
      </fill>
    </dxf>
    <dxf>
      <fill>
        <patternFill patternType="solid">
          <fgColor rgb="00F4B6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styles" Target="styles.xml" Id="rId48" /><Relationship Type="http://schemas.openxmlformats.org/officeDocument/2006/relationships/theme" Target="theme/theme1.xml" Id="rId4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5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0" customWidth="1" min="3" max="3"/>
    <col width="9" customWidth="1" min="4" max="4"/>
    <col width="8" customWidth="1" min="5" max="5"/>
    <col width="12" customWidth="1" min="6" max="6"/>
    <col width="30" customWidth="1" min="7" max="7"/>
    <col width="10" customWidth="1" min="8" max="8"/>
    <col width="16" customWidth="1" min="9" max="9"/>
    <col width="20" customWidth="1" min="10" max="10"/>
    <col width="60" customWidth="1" min="11" max="11"/>
    <col width="36" customWidth="1" min="12" max="12"/>
    <col width="30" customWidth="1" min="13" max="13"/>
    <col width="50" customWidth="1" min="14" max="14"/>
    <col width="70" customWidth="1" min="15" max="15"/>
    <col width="50" customWidth="1" min="16" max="16"/>
  </cols>
  <sheetData>
    <row r="1">
      <c r="A1" s="3" t="inlineStr">
        <is>
          <t>Question</t>
        </is>
      </c>
      <c r="B1" s="3" t="inlineStr">
        <is>
          <t>Row</t>
        </is>
      </c>
      <c r="C1" s="3" t="inlineStr">
        <is>
          <t>Question text</t>
        </is>
      </c>
      <c r="D1" s="3" t="inlineStr">
        <is>
          <t>AI score</t>
        </is>
      </c>
      <c r="E1" s="3" t="inlineStr">
        <is>
          <t>Max score</t>
        </is>
      </c>
      <c r="F1" s="9" t="inlineStr">
        <is>
          <t>★ Your score</t>
        </is>
      </c>
      <c r="G1" s="9" t="inlineStr">
        <is>
          <t>★ Your comments</t>
        </is>
      </c>
      <c r="H1" s="3" t="inlineStr">
        <is>
          <t>Agrees with AI?</t>
        </is>
      </c>
      <c r="I1" s="3" t="inlineStr">
        <is>
          <t>Status</t>
        </is>
      </c>
      <c r="J1" s="3" t="inlineStr">
        <is>
          <t>Step 2 status</t>
        </is>
      </c>
      <c r="K1" s="3" t="inlineStr">
        <is>
          <t>Step 2 answer</t>
        </is>
      </c>
      <c r="L1" s="3" t="inlineStr">
        <is>
          <t>Citation</t>
        </is>
      </c>
      <c r="M1" s="3" t="inlineStr">
        <is>
          <t>Link</t>
        </is>
      </c>
      <c r="N1" s="3" t="inlineStr">
        <is>
          <t>Quote</t>
        </is>
      </c>
      <c r="O1" s="3" t="inlineStr">
        <is>
          <t>AI's reasoning</t>
        </is>
      </c>
      <c r="P1" s="3" t="inlineStr">
        <is>
          <t>Why left for a person</t>
        </is>
      </c>
    </row>
    <row r="2">
      <c r="A2" s="2" t="inlineStr">
        <is>
          <t>UPD1a</t>
        </is>
      </c>
      <c r="B2" s="2" t="inlineStr">
        <is>
          <t>Bengaluru – BWSSB</t>
        </is>
      </c>
      <c r="C2" s="2" t="inlineStr"/>
      <c r="D2" s="2">
        <f>IFERROR('UPD1a'!J13,"")</f>
        <v/>
      </c>
      <c r="E2" s="2" t="inlineStr"/>
      <c r="F2" s="10" t="n"/>
      <c r="G2" s="10" t="n"/>
      <c r="H2" s="2">
        <f>IF(OR(F2="",NOT(ISNUMBER(D2))),"",IF(ABS(F2-D2)&lt;0.001,"Yes","No"))</f>
        <v/>
      </c>
      <c r="I2" s="2" t="inlineStr">
        <is>
          <t>Left for a person</t>
        </is>
      </c>
      <c r="J2" s="2" t="inlineStr">
        <is>
          <t>Insufficient Evidence</t>
        </is>
      </c>
      <c r="K2" s="2" t="inlineStr"/>
      <c r="L2" s="2" t="inlineStr"/>
      <c r="M2" s="2" t="inlineStr"/>
      <c r="N2" s="2" t="inlineStr"/>
      <c r="O2" s="2" t="inlineStr"/>
      <c r="P2" s="2" t="inlineStr">
        <is>
          <t>Step 2 found no evidence: a source needs to be found and added. Step 2 found no evidence (Insufficient Evidence).</t>
        </is>
      </c>
    </row>
    <row r="3">
      <c r="A3" s="2" t="inlineStr">
        <is>
          <t>UPD1a</t>
        </is>
      </c>
      <c r="B3" s="2" t="inlineStr">
        <is>
          <t>Bengaluru – BMTC</t>
        </is>
      </c>
      <c r="C3" s="2" t="inlineStr"/>
      <c r="D3" s="2">
        <f>IFERROR('UPD1a'!J14,"")</f>
        <v/>
      </c>
      <c r="E3" s="2" t="inlineStr"/>
      <c r="F3" s="10" t="n"/>
      <c r="G3" s="10" t="n"/>
      <c r="H3" s="2">
        <f>IF(OR(F3="",NOT(ISNUMBER(D3))),"",IF(ABS(F3-D3)&lt;0.001,"Yes","No"))</f>
        <v/>
      </c>
      <c r="I3" s="2" t="inlineStr">
        <is>
          <t>Left for a person</t>
        </is>
      </c>
      <c r="J3" s="2" t="inlineStr">
        <is>
          <t>Insufficient Evidence</t>
        </is>
      </c>
      <c r="K3" s="2" t="inlineStr"/>
      <c r="L3" s="2" t="inlineStr"/>
      <c r="M3" s="2" t="inlineStr"/>
      <c r="N3" s="2" t="inlineStr"/>
      <c r="O3" s="2" t="inlineStr"/>
      <c r="P3" s="2" t="inlineStr">
        <is>
          <t>Step 2 found no evidence: a source needs to be found and added. Step 2 found no evidence (Insufficient Evidence).</t>
        </is>
      </c>
    </row>
    <row r="4">
      <c r="A4" s="2" t="inlineStr">
        <is>
          <t>UPD1a</t>
        </is>
      </c>
      <c r="B4" s="2" t="inlineStr">
        <is>
          <t>Bengaluru – BDA</t>
        </is>
      </c>
      <c r="C4" s="2" t="inlineStr"/>
      <c r="D4" s="2">
        <f>IFERROR('UPD1a'!J15,"")</f>
        <v/>
      </c>
      <c r="E4" s="2" t="inlineStr"/>
      <c r="F4" s="10" t="n"/>
      <c r="G4" s="10" t="n"/>
      <c r="H4" s="2">
        <f>IF(OR(F4="",NOT(ISNUMBER(D4))),"",IF(ABS(F4-D4)&lt;0.001,"Yes","No"))</f>
        <v/>
      </c>
      <c r="I4" s="2" t="inlineStr">
        <is>
          <t>Left for a person</t>
        </is>
      </c>
      <c r="J4" s="2" t="inlineStr">
        <is>
          <t>Insufficient Evidence</t>
        </is>
      </c>
      <c r="K4" s="2" t="inlineStr"/>
      <c r="L4" s="2" t="inlineStr"/>
      <c r="M4" s="2" t="inlineStr"/>
      <c r="N4" s="2" t="inlineStr"/>
      <c r="O4" s="2" t="inlineStr"/>
      <c r="P4" s="2" t="inlineStr">
        <is>
          <t>Step 2 found no evidence: a source needs to be found and added. Step 2 found no evidence (Insufficient Evidence).</t>
        </is>
      </c>
    </row>
    <row r="5">
      <c r="A5" s="2" t="inlineStr">
        <is>
          <t>UPD1a</t>
        </is>
      </c>
      <c r="B5" s="2" t="inlineStr">
        <is>
          <t>Bengaluru – BMRCL</t>
        </is>
      </c>
      <c r="C5" s="2" t="inlineStr"/>
      <c r="D5" s="2">
        <f>IFERROR('UPD1a'!J16,"")</f>
        <v/>
      </c>
      <c r="E5" s="2" t="inlineStr"/>
      <c r="F5" s="10" t="n"/>
      <c r="G5" s="10" t="n"/>
      <c r="H5" s="2">
        <f>IF(OR(F5="",NOT(ISNUMBER(D5))),"",IF(ABS(F5-D5)&lt;0.001,"Yes","No"))</f>
        <v/>
      </c>
      <c r="I5" s="2" t="inlineStr">
        <is>
          <t>Left for a person</t>
        </is>
      </c>
      <c r="J5" s="2" t="inlineStr">
        <is>
          <t>Insufficient Evidence</t>
        </is>
      </c>
      <c r="K5" s="2" t="inlineStr"/>
      <c r="L5" s="2" t="inlineStr"/>
      <c r="M5" s="2" t="inlineStr"/>
      <c r="N5" s="2" t="inlineStr"/>
      <c r="O5" s="2" t="inlineStr"/>
      <c r="P5" s="2" t="inlineStr">
        <is>
          <t>Step 2 found no evidence: a source needs to be found and added. Step 2 found no evidence (Insufficient Evidence).</t>
        </is>
      </c>
    </row>
    <row r="6">
      <c r="A6" s="2" t="inlineStr">
        <is>
          <t>UPD1a</t>
        </is>
      </c>
      <c r="B6" s="2" t="inlineStr">
        <is>
          <t>Bengaluru – BMRDA</t>
        </is>
      </c>
      <c r="C6" s="2" t="inlineStr"/>
      <c r="D6" s="2">
        <f>IFERROR('UPD1a'!J17,"")</f>
        <v/>
      </c>
      <c r="E6" s="2" t="inlineStr"/>
      <c r="F6" s="10" t="n"/>
      <c r="G6" s="10" t="n"/>
      <c r="H6" s="2">
        <f>IF(OR(F6="",NOT(ISNUMBER(D6))),"",IF(ABS(F6-D6)&lt;0.001,"Yes","No"))</f>
        <v/>
      </c>
      <c r="I6" s="2" t="inlineStr">
        <is>
          <t>Left for a person</t>
        </is>
      </c>
      <c r="J6" s="2" t="inlineStr">
        <is>
          <t>Insufficient Evidence</t>
        </is>
      </c>
      <c r="K6" s="2" t="inlineStr"/>
      <c r="L6" s="2" t="inlineStr"/>
      <c r="M6" s="2" t="inlineStr"/>
      <c r="N6" s="2" t="inlineStr"/>
      <c r="O6" s="2" t="inlineStr"/>
      <c r="P6" s="2" t="inlineStr">
        <is>
          <t>Step 2 found no evidence: a source needs to be found and added. Step 2 found no evidence (Insufficient Evidence). Source needed: Readable official text of: (1) the BMRDA Act, 1985 as amended, especially the provisions on preparing and approving the Structure Plan and on consulting or obtaining the concurrence of local authorities, and on board membership of ULG representatives; (2) any Rules and Regulations under it; (3) the Karnataka Town and Country Planning Act, 1961, on how regional/structure plans relate to local planning and local authorities; (4) the Greater Bengaluru Governance Act, 2024, on GBA/City Corporation planning functions and any coordination or approval powers over public authorities. Sources should be the state legislation portal or eGazette, or the BMRDA Acts &amp; Rules page.</t>
        </is>
      </c>
    </row>
    <row r="7">
      <c r="A7" s="2" t="inlineStr">
        <is>
          <t>UPD1b</t>
        </is>
      </c>
      <c r="B7" s="2" t="inlineStr">
        <is>
          <t>Bengaluru – BWSSB</t>
        </is>
      </c>
      <c r="C7" s="2" t="inlineStr"/>
      <c r="D7" s="2">
        <f>IFERROR('UPD1b'!J13,"")</f>
        <v/>
      </c>
      <c r="E7" s="2" t="inlineStr"/>
      <c r="F7" s="10" t="n"/>
      <c r="G7" s="10" t="n"/>
      <c r="H7" s="2">
        <f>IF(OR(F7="",NOT(ISNUMBER(D7))),"",IF(ABS(F7-D7)&lt;0.001,"Yes","No"))</f>
        <v/>
      </c>
      <c r="I7" s="2" t="inlineStr">
        <is>
          <t>Left for a person</t>
        </is>
      </c>
      <c r="J7" s="2" t="inlineStr">
        <is>
          <t>Insufficient Evidence</t>
        </is>
      </c>
      <c r="K7" s="2" t="inlineStr"/>
      <c r="L7" s="2" t="inlineStr"/>
      <c r="M7" s="2" t="inlineStr"/>
      <c r="N7" s="2" t="inlineStr"/>
      <c r="O7" s="2" t="inlineStr"/>
      <c r="P7" s="2" t="inlineStr">
        <is>
          <t>Step 2 found no evidence: a source needs to be found and added. Step 2 found no evidence (Insufficient Evidence).</t>
        </is>
      </c>
    </row>
    <row r="8">
      <c r="A8" s="2" t="inlineStr">
        <is>
          <t>UPD1b</t>
        </is>
      </c>
      <c r="B8" s="2" t="inlineStr">
        <is>
          <t>Bengaluru – BMTC</t>
        </is>
      </c>
      <c r="C8" s="2" t="inlineStr"/>
      <c r="D8" s="2">
        <f>IFERROR('UPD1b'!J14,"")</f>
        <v/>
      </c>
      <c r="E8" s="2" t="inlineStr"/>
      <c r="F8" s="10" t="n"/>
      <c r="G8" s="10" t="n"/>
      <c r="H8" s="2">
        <f>IF(OR(F8="",NOT(ISNUMBER(D8))),"",IF(ABS(F8-D8)&lt;0.001,"Yes","No"))</f>
        <v/>
      </c>
      <c r="I8" s="2" t="inlineStr">
        <is>
          <t>Left for a person</t>
        </is>
      </c>
      <c r="J8" s="2" t="inlineStr">
        <is>
          <t>Insufficient Evidence</t>
        </is>
      </c>
      <c r="K8" s="2" t="inlineStr"/>
      <c r="L8" s="2" t="inlineStr"/>
      <c r="M8" s="2" t="inlineStr"/>
      <c r="N8" s="2" t="inlineStr"/>
      <c r="O8" s="2" t="inlineStr"/>
      <c r="P8" s="2" t="inlineStr">
        <is>
          <t>Step 2 found no evidence: a source needs to be found and added. Step 2 found no evidence (Insufficient Evidence).</t>
        </is>
      </c>
    </row>
    <row r="9">
      <c r="A9" s="2" t="inlineStr">
        <is>
          <t>UPD1b</t>
        </is>
      </c>
      <c r="B9" s="2" t="inlineStr">
        <is>
          <t>Bengaluru – BDA</t>
        </is>
      </c>
      <c r="C9" s="2" t="inlineStr"/>
      <c r="D9" s="2">
        <f>IFERROR('UPD1b'!J15,"")</f>
        <v/>
      </c>
      <c r="E9" s="2" t="inlineStr"/>
      <c r="F9" s="10" t="n"/>
      <c r="G9" s="10" t="n"/>
      <c r="H9" s="2">
        <f>IF(OR(F9="",NOT(ISNUMBER(D9))),"",IF(ABS(F9-D9)&lt;0.001,"Yes","No"))</f>
        <v/>
      </c>
      <c r="I9" s="2" t="inlineStr">
        <is>
          <t>Left for a person</t>
        </is>
      </c>
      <c r="J9" s="2" t="inlineStr">
        <is>
          <t>Insufficient Evidence</t>
        </is>
      </c>
      <c r="K9" s="2" t="inlineStr"/>
      <c r="L9" s="2" t="inlineStr"/>
      <c r="M9" s="2" t="inlineStr"/>
      <c r="N9" s="2" t="inlineStr"/>
      <c r="O9" s="2" t="inlineStr"/>
      <c r="P9" s="2" t="inlineStr">
        <is>
          <t>Step 2 found no evidence: a source needs to be found and added. Step 2 found no evidence (Insufficient Evidence).</t>
        </is>
      </c>
    </row>
    <row r="10">
      <c r="A10" s="2" t="inlineStr">
        <is>
          <t>UPD1b</t>
        </is>
      </c>
      <c r="B10" s="2" t="inlineStr">
        <is>
          <t>Bengaluru – BMRCL</t>
        </is>
      </c>
      <c r="C10" s="2" t="inlineStr"/>
      <c r="D10" s="2">
        <f>IFERROR('UPD1b'!J16,"")</f>
        <v/>
      </c>
      <c r="E10" s="2" t="inlineStr"/>
      <c r="F10" s="10" t="n"/>
      <c r="G10" s="10" t="n"/>
      <c r="H10" s="2">
        <f>IF(OR(F10="",NOT(ISNUMBER(D10))),"",IF(ABS(F10-D10)&lt;0.001,"Yes","No"))</f>
        <v/>
      </c>
      <c r="I10" s="2" t="inlineStr">
        <is>
          <t>Left for a person</t>
        </is>
      </c>
      <c r="J10" s="2" t="inlineStr">
        <is>
          <t>Insufficient Evidence</t>
        </is>
      </c>
      <c r="K10" s="2" t="inlineStr"/>
      <c r="L10" s="2" t="inlineStr"/>
      <c r="M10" s="2" t="inlineStr"/>
      <c r="N10" s="2" t="inlineStr"/>
      <c r="O10" s="2" t="inlineStr"/>
      <c r="P10" s="2" t="inlineStr">
        <is>
          <t>Step 2 found no evidence: a source needs to be found and added. Step 2 found no evidence (Insufficient Evidence).</t>
        </is>
      </c>
    </row>
    <row r="11">
      <c r="A11" s="2" t="inlineStr">
        <is>
          <t>UPD1b</t>
        </is>
      </c>
      <c r="B11" s="2" t="inlineStr">
        <is>
          <t>Bengaluru – BMRDA</t>
        </is>
      </c>
      <c r="C11" s="2" t="inlineStr"/>
      <c r="D11" s="2">
        <f>IFERROR('UPD1b'!J17,"")</f>
        <v/>
      </c>
      <c r="E11" s="2" t="inlineStr"/>
      <c r="F11" s="10" t="n"/>
      <c r="G11" s="10" t="n"/>
      <c r="H11" s="2">
        <f>IF(OR(F11="",NOT(ISNUMBER(D11))),"",IF(ABS(F11-D11)&lt;0.001,"Yes","No"))</f>
        <v/>
      </c>
      <c r="I11" s="2" t="inlineStr">
        <is>
          <t>Left for a person</t>
        </is>
      </c>
      <c r="J11" s="2" t="inlineStr">
        <is>
          <t>Insufficient Evidence</t>
        </is>
      </c>
      <c r="K11" s="2" t="inlineStr"/>
      <c r="L11" s="2" t="inlineStr"/>
      <c r="M11" s="2" t="inlineStr"/>
      <c r="N11" s="2" t="inlineStr"/>
      <c r="O11" s="2" t="inlineStr"/>
      <c r="P11" s="2" t="inlineStr">
        <is>
          <t>Step 2 found no evidence: a source needs to be found and added. Step 2 found no evidence (Insufficient Evidence). Source needed: Any one of these would answer it: the text of BMRDA's latest Structure Plan or Land Utilisation Plan 2031 report, especially sections on stakeholder consultation or local bodies consulted; records of objections and suggestions received and how they were dealt with; BMRDA Authority meeting minutes approving the plan; GBA, city corporation or former BBMP council resolutions or written comments on the BMRDA plan, and BMRDA's responses to them.</t>
        </is>
      </c>
    </row>
    <row r="12">
      <c r="A12" s="2" t="inlineStr">
        <is>
          <t>UPD2a</t>
        </is>
      </c>
      <c r="B12" s="2" t="inlineStr">
        <is>
          <t>Bengaluru – BWSSB</t>
        </is>
      </c>
      <c r="C12" s="2" t="inlineStr"/>
      <c r="D12" s="2">
        <f>IFERROR('UPD2a'!J13,"")</f>
        <v/>
      </c>
      <c r="E12" s="2" t="inlineStr"/>
      <c r="F12" s="10" t="n"/>
      <c r="G12" s="10" t="n"/>
      <c r="H12" s="2">
        <f>IF(OR(F12="",NOT(ISNUMBER(D12))),"",IF(ABS(F12-D12)&lt;0.001,"Yes","No"))</f>
        <v/>
      </c>
      <c r="I12" s="2" t="inlineStr">
        <is>
          <t>Left for a person</t>
        </is>
      </c>
      <c r="J12" s="2" t="inlineStr">
        <is>
          <t>Insufficient Evidence</t>
        </is>
      </c>
      <c r="K12" s="2" t="inlineStr"/>
      <c r="L12" s="2" t="inlineStr"/>
      <c r="M12" s="2" t="inlineStr"/>
      <c r="N12" s="2" t="inlineStr"/>
      <c r="O12" s="2" t="inlineStr"/>
      <c r="P12" s="2" t="inlineStr">
        <is>
          <t>Step 2 found no evidence: a source needs to be found and added. Step 2 found no evidence (Insufficient Evidence).</t>
        </is>
      </c>
    </row>
    <row r="13">
      <c r="A13" s="2" t="inlineStr">
        <is>
          <t>UPD2b</t>
        </is>
      </c>
      <c r="B13" s="2" t="inlineStr">
        <is>
          <t>Bengaluru – BWSSB</t>
        </is>
      </c>
      <c r="C13" s="2" t="inlineStr"/>
      <c r="D13" s="2">
        <f>IFERROR('UPD2b'!J13,"")</f>
        <v/>
      </c>
      <c r="E13" s="2" t="inlineStr"/>
      <c r="F13" s="10" t="n"/>
      <c r="G13" s="10" t="n"/>
      <c r="H13" s="2">
        <f>IF(OR(F13="",NOT(ISNUMBER(D13))),"",IF(ABS(F13-D13)&lt;0.001,"Yes","No"))</f>
        <v/>
      </c>
      <c r="I13" s="2" t="inlineStr">
        <is>
          <t>Left for a person</t>
        </is>
      </c>
      <c r="J13" s="2" t="inlineStr">
        <is>
          <t>Insufficient Evidence</t>
        </is>
      </c>
      <c r="K13" s="2" t="inlineStr"/>
      <c r="L13" s="2" t="inlineStr"/>
      <c r="M13" s="2" t="inlineStr"/>
      <c r="N13" s="2" t="inlineStr"/>
      <c r="O13" s="2" t="inlineStr"/>
      <c r="P13" s="2" t="inlineStr">
        <is>
          <t>Step 2 found no evidence: a source needs to be found and added. Step 2 found no evidence (Insufficient Evidence).</t>
        </is>
      </c>
    </row>
    <row r="14">
      <c r="A14" s="2" t="inlineStr">
        <is>
          <t>UPD2c</t>
        </is>
      </c>
      <c r="B14" s="2" t="inlineStr">
        <is>
          <t>Bengaluru – BMTC</t>
        </is>
      </c>
      <c r="C14" s="2" t="inlineStr"/>
      <c r="D14" s="2">
        <f>IFERROR('UPD2c'!J14,"")</f>
        <v/>
      </c>
      <c r="E14" s="2" t="inlineStr"/>
      <c r="F14" s="10" t="n"/>
      <c r="G14" s="10" t="n"/>
      <c r="H14" s="2">
        <f>IF(OR(F14="",NOT(ISNUMBER(D14))),"",IF(ABS(F14-D14)&lt;0.001,"Yes","No"))</f>
        <v/>
      </c>
      <c r="I14" s="2" t="inlineStr">
        <is>
          <t>Left for a person</t>
        </is>
      </c>
      <c r="J14" s="2" t="inlineStr">
        <is>
          <t>Insufficient Evidence</t>
        </is>
      </c>
      <c r="K14" s="2" t="inlineStr"/>
      <c r="L14" s="2" t="inlineStr"/>
      <c r="M14" s="2" t="inlineStr"/>
      <c r="N14" s="2" t="inlineStr"/>
      <c r="O14" s="2" t="inlineStr"/>
      <c r="P14" s="2" t="inlineStr">
        <is>
          <t>Step 2 found no evidence: a source needs to be found and added. Step 2 found no evidence (Insufficient Evidence).</t>
        </is>
      </c>
    </row>
    <row r="15">
      <c r="A15" s="2" t="inlineStr">
        <is>
          <t>UPD2d</t>
        </is>
      </c>
      <c r="B15" s="2" t="inlineStr">
        <is>
          <t>Bengaluru – BMTC</t>
        </is>
      </c>
      <c r="C15" s="2" t="inlineStr"/>
      <c r="D15" s="2">
        <f>IFERROR('UPD2d'!J14,"")</f>
        <v/>
      </c>
      <c r="E15" s="2" t="inlineStr"/>
      <c r="F15" s="10" t="n"/>
      <c r="G15" s="10" t="n"/>
      <c r="H15" s="2">
        <f>IF(OR(F15="",NOT(ISNUMBER(D15))),"",IF(ABS(F15-D15)&lt;0.001,"Yes","No"))</f>
        <v/>
      </c>
      <c r="I15" s="2" t="inlineStr">
        <is>
          <t>Left for a person</t>
        </is>
      </c>
      <c r="J15" s="2" t="inlineStr">
        <is>
          <t>Insufficient Evidence</t>
        </is>
      </c>
      <c r="K15" s="2" t="inlineStr"/>
      <c r="L15" s="2" t="inlineStr"/>
      <c r="M15" s="2" t="inlineStr"/>
      <c r="N15" s="2" t="inlineStr"/>
      <c r="O15" s="2" t="inlineStr"/>
      <c r="P15" s="2" t="inlineStr">
        <is>
          <t>Step 2 found no evidence: a source needs to be found and added. Step 2 found no evidence (Insufficient Evidence).</t>
        </is>
      </c>
    </row>
    <row r="16">
      <c r="A16" s="2" t="inlineStr">
        <is>
          <t>UPD3a</t>
        </is>
      </c>
      <c r="B16" s="2" t="inlineStr">
        <is>
          <t>Bengaluru – BWSSB</t>
        </is>
      </c>
      <c r="C16" s="2" t="inlineStr"/>
      <c r="D16" s="2">
        <f>IFERROR('UPD3a'!J13,"")</f>
        <v/>
      </c>
      <c r="E16" s="2" t="inlineStr"/>
      <c r="F16" s="10" t="n"/>
      <c r="G16" s="10" t="n"/>
      <c r="H16" s="2">
        <f>IF(OR(F16="",NOT(ISNUMBER(D16))),"",IF(ABS(F16-D16)&lt;0.001,"Yes","No"))</f>
        <v/>
      </c>
      <c r="I16" s="2" t="inlineStr">
        <is>
          <t>Left for a person</t>
        </is>
      </c>
      <c r="J16" s="2" t="inlineStr">
        <is>
          <t>Insufficient Evidence</t>
        </is>
      </c>
      <c r="K16" s="2" t="inlineStr"/>
      <c r="L16" s="2" t="inlineStr"/>
      <c r="M16" s="2" t="inlineStr"/>
      <c r="N16" s="2" t="inlineStr"/>
      <c r="O16" s="2" t="inlineStr"/>
      <c r="P16" s="2" t="inlineStr">
        <is>
          <t>Step 2 found no evidence: a source needs to be found and added. Step 2 found no evidence (Insufficient Evidence).</t>
        </is>
      </c>
    </row>
    <row r="17">
      <c r="A17" s="2" t="inlineStr">
        <is>
          <t>UPD3b</t>
        </is>
      </c>
      <c r="B17" s="2" t="inlineStr">
        <is>
          <t>Bengaluru – BWSSB</t>
        </is>
      </c>
      <c r="C17" s="2" t="inlineStr"/>
      <c r="D17" s="2">
        <f>IFERROR('UPD3b'!J13,"")</f>
        <v/>
      </c>
      <c r="E17" s="2" t="inlineStr"/>
      <c r="F17" s="10" t="n"/>
      <c r="G17" s="10" t="n"/>
      <c r="H17" s="2">
        <f>IF(OR(F17="",NOT(ISNUMBER(D17))),"",IF(ABS(F17-D17)&lt;0.001,"Yes","No"))</f>
        <v/>
      </c>
      <c r="I17" s="2" t="inlineStr">
        <is>
          <t>Left for a person</t>
        </is>
      </c>
      <c r="J17" s="2" t="inlineStr">
        <is>
          <t>Insufficient Evidence</t>
        </is>
      </c>
      <c r="K17" s="2" t="inlineStr"/>
      <c r="L17" s="2" t="inlineStr"/>
      <c r="M17" s="2" t="inlineStr"/>
      <c r="N17" s="2" t="inlineStr"/>
      <c r="O17" s="2" t="inlineStr"/>
      <c r="P17" s="2" t="inlineStr">
        <is>
          <t>Step 2 found no evidence: a source needs to be found and added. Step 2 found no evidence (Insufficient Evidence).</t>
        </is>
      </c>
    </row>
    <row r="18">
      <c r="A18" s="2" t="inlineStr">
        <is>
          <t>UPD4a</t>
        </is>
      </c>
      <c r="B18" s="2" t="inlineStr">
        <is>
          <t>Bengaluru – BMTC</t>
        </is>
      </c>
      <c r="C18" s="2" t="inlineStr"/>
      <c r="D18" s="2">
        <f>IFERROR('UPD4a'!J14,"")</f>
        <v/>
      </c>
      <c r="E18" s="2" t="inlineStr"/>
      <c r="F18" s="10" t="n"/>
      <c r="G18" s="10" t="n"/>
      <c r="H18" s="2">
        <f>IF(OR(F18="",NOT(ISNUMBER(D18))),"",IF(ABS(F18-D18)&lt;0.001,"Yes","No"))</f>
        <v/>
      </c>
      <c r="I18" s="2" t="inlineStr">
        <is>
          <t>Left for a person</t>
        </is>
      </c>
      <c r="J18" s="2" t="inlineStr">
        <is>
          <t>Insufficient Evidence</t>
        </is>
      </c>
      <c r="K18" s="2" t="inlineStr"/>
      <c r="L18" s="2" t="inlineStr"/>
      <c r="M18" s="2" t="inlineStr"/>
      <c r="N18" s="2" t="inlineStr"/>
      <c r="O18" s="2" t="inlineStr"/>
      <c r="P18" s="2" t="inlineStr">
        <is>
          <t>Step 2 found no evidence: a source needs to be found and added. Step 2 found no evidence (Insufficient Evidence).</t>
        </is>
      </c>
    </row>
    <row r="19">
      <c r="A19" s="2" t="inlineStr">
        <is>
          <t>UPD4b</t>
        </is>
      </c>
      <c r="B19" s="2" t="inlineStr">
        <is>
          <t>Bengaluru – BMTC</t>
        </is>
      </c>
      <c r="C19" s="2" t="inlineStr"/>
      <c r="D19" s="2">
        <f>IFERROR('UPD4b'!J14,"")</f>
        <v/>
      </c>
      <c r="E19" s="2" t="inlineStr"/>
      <c r="F19" s="10" t="n"/>
      <c r="G19" s="10" t="n"/>
      <c r="H19" s="2">
        <f>IF(OR(F19="",NOT(ISNUMBER(D19))),"",IF(ABS(F19-D19)&lt;0.001,"Yes","No"))</f>
        <v/>
      </c>
      <c r="I19" s="2" t="inlineStr">
        <is>
          <t>Left for a person</t>
        </is>
      </c>
      <c r="J19" s="2" t="inlineStr">
        <is>
          <t>Insufficient Evidence</t>
        </is>
      </c>
      <c r="K19" s="2" t="inlineStr"/>
      <c r="L19" s="2" t="inlineStr"/>
      <c r="M19" s="2" t="inlineStr"/>
      <c r="N19" s="2" t="inlineStr"/>
      <c r="O19" s="2" t="inlineStr"/>
      <c r="P19" s="2" t="inlineStr">
        <is>
          <t>Step 2 found no evidence: a source needs to be found and added. Step 2 found no evidence (Insufficient Evidence).</t>
        </is>
      </c>
    </row>
    <row r="20">
      <c r="A20" s="2" t="inlineStr">
        <is>
          <t>UPD5a</t>
        </is>
      </c>
      <c r="B20" s="2" t="inlineStr">
        <is>
          <t>Bengaluru – BWSSB</t>
        </is>
      </c>
      <c r="C20" s="2" t="inlineStr"/>
      <c r="D20" s="2">
        <f>IFERROR('UPD5a'!J13,"")</f>
        <v/>
      </c>
      <c r="E20" s="2" t="inlineStr"/>
      <c r="F20" s="10" t="n"/>
      <c r="G20" s="10" t="n"/>
      <c r="H20" s="2">
        <f>IF(OR(F20="",NOT(ISNUMBER(D20))),"",IF(ABS(F20-D20)&lt;0.001,"Yes","No"))</f>
        <v/>
      </c>
      <c r="I20" s="2" t="inlineStr">
        <is>
          <t>Left for a person</t>
        </is>
      </c>
      <c r="J20" s="2" t="inlineStr">
        <is>
          <t>Insufficient Evidence</t>
        </is>
      </c>
      <c r="K20" s="2" t="inlineStr"/>
      <c r="L20" s="2" t="inlineStr"/>
      <c r="M20" s="2" t="inlineStr"/>
      <c r="N20" s="2" t="inlineStr"/>
      <c r="O20" s="2" t="inlineStr"/>
      <c r="P20" s="2" t="inlineStr">
        <is>
          <t>Step 2 found no evidence: a source needs to be found and added. Step 2 found no evidence (Insufficient Evidence).</t>
        </is>
      </c>
    </row>
    <row r="21">
      <c r="A21" s="2" t="inlineStr">
        <is>
          <t>UPD5b</t>
        </is>
      </c>
      <c r="B21" s="2" t="inlineStr">
        <is>
          <t>Bengaluru – BWSSB</t>
        </is>
      </c>
      <c r="C21" s="2" t="inlineStr"/>
      <c r="D21" s="2">
        <f>IFERROR('UPD5b'!J13,"")</f>
        <v/>
      </c>
      <c r="E21" s="2" t="inlineStr"/>
      <c r="F21" s="10" t="n"/>
      <c r="G21" s="10" t="n"/>
      <c r="H21" s="2">
        <f>IF(OR(F21="",NOT(ISNUMBER(D21))),"",IF(ABS(F21-D21)&lt;0.001,"Yes","No"))</f>
        <v/>
      </c>
      <c r="I21" s="2" t="inlineStr">
        <is>
          <t>Left for a person</t>
        </is>
      </c>
      <c r="J21" s="2" t="inlineStr">
        <is>
          <t>Insufficient Evidence</t>
        </is>
      </c>
      <c r="K21" s="2" t="inlineStr"/>
      <c r="L21" s="2" t="inlineStr"/>
      <c r="M21" s="2" t="inlineStr"/>
      <c r="N21" s="2" t="inlineStr"/>
      <c r="O21" s="2" t="inlineStr"/>
      <c r="P21" s="2" t="inlineStr">
        <is>
          <t>Step 2 found no evidence: a source needs to be found and added. Step 2 found no evidence (Insufficient Evidence).</t>
        </is>
      </c>
    </row>
    <row r="22">
      <c r="A22" s="2" t="inlineStr">
        <is>
          <t>UPD6a</t>
        </is>
      </c>
      <c r="B22" s="2" t="inlineStr">
        <is>
          <t>Bengaluru – BMTC</t>
        </is>
      </c>
      <c r="C22" s="2" t="inlineStr"/>
      <c r="D22" s="2">
        <f>IFERROR('UPD6a'!J14,"")</f>
        <v/>
      </c>
      <c r="E22" s="2" t="inlineStr"/>
      <c r="F22" s="10" t="n"/>
      <c r="G22" s="10" t="n"/>
      <c r="H22" s="2">
        <f>IF(OR(F22="",NOT(ISNUMBER(D22))),"",IF(ABS(F22-D22)&lt;0.001,"Yes","No"))</f>
        <v/>
      </c>
      <c r="I22" s="2" t="inlineStr">
        <is>
          <t>Left for a person</t>
        </is>
      </c>
      <c r="J22" s="2" t="inlineStr">
        <is>
          <t>Insufficient Evidence</t>
        </is>
      </c>
      <c r="K22" s="2" t="inlineStr"/>
      <c r="L22" s="2" t="inlineStr"/>
      <c r="M22" s="2" t="inlineStr"/>
      <c r="N22" s="2" t="inlineStr"/>
      <c r="O22" s="2" t="inlineStr"/>
      <c r="P22" s="2" t="inlineStr">
        <is>
          <t>Step 2 found no evidence: a source needs to be found and added. Step 2 found no evidence (Insufficient Evidence).</t>
        </is>
      </c>
    </row>
    <row r="23">
      <c r="A23" s="2" t="inlineStr">
        <is>
          <t>UPD6b</t>
        </is>
      </c>
      <c r="B23" s="2" t="inlineStr">
        <is>
          <t>Bengaluru – BMTC</t>
        </is>
      </c>
      <c r="C23" s="2" t="inlineStr"/>
      <c r="D23" s="2">
        <f>IFERROR('UPD6b'!J14,"")</f>
        <v/>
      </c>
      <c r="E23" s="2" t="inlineStr"/>
      <c r="F23" s="10" t="n"/>
      <c r="G23" s="10" t="n"/>
      <c r="H23" s="2">
        <f>IF(OR(F23="",NOT(ISNUMBER(D23))),"",IF(ABS(F23-D23)&lt;0.001,"Yes","No"))</f>
        <v/>
      </c>
      <c r="I23" s="2" t="inlineStr">
        <is>
          <t>Left for a person</t>
        </is>
      </c>
      <c r="J23" s="2" t="inlineStr">
        <is>
          <t>Insufficient Evidence</t>
        </is>
      </c>
      <c r="K23" s="2" t="inlineStr"/>
      <c r="L23" s="2" t="inlineStr"/>
      <c r="M23" s="2" t="inlineStr"/>
      <c r="N23" s="2" t="inlineStr"/>
      <c r="O23" s="2" t="inlineStr"/>
      <c r="P23" s="2" t="inlineStr">
        <is>
          <t>Step 2 found no evidence: a source needs to be found and added. Step 2 found no evidence (Insufficient Evidence).</t>
        </is>
      </c>
    </row>
    <row r="24">
      <c r="A24" s="2" t="inlineStr">
        <is>
          <t>DPG1a</t>
        </is>
      </c>
      <c r="B24" s="2" t="inlineStr">
        <is>
          <t>Bengaluru – BWSSB</t>
        </is>
      </c>
      <c r="C24" s="2" t="inlineStr"/>
      <c r="D24" s="2">
        <f>IFERROR('DPG1a'!J13,"")</f>
        <v/>
      </c>
      <c r="E24" s="2" t="inlineStr"/>
      <c r="F24" s="10" t="n"/>
      <c r="G24" s="10" t="n"/>
      <c r="H24" s="2">
        <f>IF(OR(F24="",NOT(ISNUMBER(D24))),"",IF(ABS(F24-D24)&lt;0.001,"Yes","No"))</f>
        <v/>
      </c>
      <c r="I24" s="2" t="inlineStr">
        <is>
          <t>Left for a person</t>
        </is>
      </c>
      <c r="J24" s="2" t="inlineStr">
        <is>
          <t>Insufficient Evidence</t>
        </is>
      </c>
      <c r="K24" s="2" t="inlineStr"/>
      <c r="L24" s="2" t="inlineStr"/>
      <c r="M24" s="2" t="inlineStr"/>
      <c r="N24" s="2" t="inlineStr"/>
      <c r="O24" s="2" t="inlineStr"/>
      <c r="P24" s="2" t="inlineStr">
        <is>
          <t>Step 2 found no evidence: a source needs to be found and added. Step 2 found no evidence (Insufficient Evidence).</t>
        </is>
      </c>
    </row>
    <row r="25">
      <c r="A25" s="2" t="inlineStr">
        <is>
          <t>DPG1a</t>
        </is>
      </c>
      <c r="B25" s="2" t="inlineStr">
        <is>
          <t>Bengaluru – BMTC</t>
        </is>
      </c>
      <c r="C25" s="2" t="inlineStr"/>
      <c r="D25" s="2">
        <f>IFERROR('DPG1a'!J14,"")</f>
        <v/>
      </c>
      <c r="E25" s="2" t="inlineStr"/>
      <c r="F25" s="10" t="n"/>
      <c r="G25" s="10" t="n"/>
      <c r="H25" s="2">
        <f>IF(OR(F25="",NOT(ISNUMBER(D25))),"",IF(ABS(F25-D25)&lt;0.001,"Yes","No"))</f>
        <v/>
      </c>
      <c r="I25" s="2" t="inlineStr">
        <is>
          <t>Left for a person</t>
        </is>
      </c>
      <c r="J25" s="2" t="inlineStr">
        <is>
          <t>Insufficient Evidence</t>
        </is>
      </c>
      <c r="K25" s="2" t="inlineStr"/>
      <c r="L25" s="2" t="inlineStr"/>
      <c r="M25" s="2" t="inlineStr"/>
      <c r="N25" s="2" t="inlineStr"/>
      <c r="O25" s="2" t="inlineStr"/>
      <c r="P25" s="2" t="inlineStr">
        <is>
          <t>Step 2 found no evidence: a source needs to be found and added. Step 2 found no evidence (Insufficient Evidence).</t>
        </is>
      </c>
    </row>
    <row r="26">
      <c r="A26" s="2" t="inlineStr">
        <is>
          <t>DPG1a</t>
        </is>
      </c>
      <c r="B26" s="2" t="inlineStr">
        <is>
          <t>Bengaluru – BDA</t>
        </is>
      </c>
      <c r="C26" s="2" t="inlineStr"/>
      <c r="D26" s="2">
        <f>IFERROR('DPG1a'!J15,"")</f>
        <v/>
      </c>
      <c r="E26" s="2" t="inlineStr"/>
      <c r="F26" s="10" t="n"/>
      <c r="G26" s="10" t="n"/>
      <c r="H26" s="2">
        <f>IF(OR(F26="",NOT(ISNUMBER(D26))),"",IF(ABS(F26-D26)&lt;0.001,"Yes","No"))</f>
        <v/>
      </c>
      <c r="I26" s="2" t="inlineStr">
        <is>
          <t>Left for a person</t>
        </is>
      </c>
      <c r="J26" s="2" t="inlineStr">
        <is>
          <t>Insufficient Evidence</t>
        </is>
      </c>
      <c r="K26" s="2" t="inlineStr"/>
      <c r="L26" s="2" t="inlineStr"/>
      <c r="M26" s="2" t="inlineStr"/>
      <c r="N26" s="2" t="inlineStr"/>
      <c r="O26" s="2" t="inlineStr"/>
      <c r="P26" s="2" t="inlineStr">
        <is>
          <t>Step 2 found no evidence: a source needs to be found and added. Step 2 found no evidence (Insufficient Evidence).</t>
        </is>
      </c>
    </row>
    <row r="27">
      <c r="A27" s="2" t="inlineStr">
        <is>
          <t>DPG1a</t>
        </is>
      </c>
      <c r="B27" s="2" t="inlineStr">
        <is>
          <t>Bengaluru – BMRCL</t>
        </is>
      </c>
      <c r="C27" s="2" t="inlineStr"/>
      <c r="D27" s="2">
        <f>IFERROR('DPG1a'!J16,"")</f>
        <v/>
      </c>
      <c r="E27" s="2" t="inlineStr"/>
      <c r="F27" s="10" t="n"/>
      <c r="G27" s="10" t="n"/>
      <c r="H27" s="2">
        <f>IF(OR(F27="",NOT(ISNUMBER(D27))),"",IF(ABS(F27-D27)&lt;0.001,"Yes","No"))</f>
        <v/>
      </c>
      <c r="I27" s="2" t="inlineStr">
        <is>
          <t>Left for a person</t>
        </is>
      </c>
      <c r="J27" s="2" t="inlineStr">
        <is>
          <t>Insufficient Evidence</t>
        </is>
      </c>
      <c r="K27" s="2" t="inlineStr"/>
      <c r="L27" s="2" t="inlineStr"/>
      <c r="M27" s="2" t="inlineStr"/>
      <c r="N27" s="2" t="inlineStr"/>
      <c r="O27" s="2" t="inlineStr"/>
      <c r="P27" s="2" t="inlineStr">
        <is>
          <t>Step 2 found no evidence: a source needs to be found and added. Step 2 found no evidence (Insufficient Evidence).</t>
        </is>
      </c>
    </row>
    <row r="28">
      <c r="A28" s="2" t="inlineStr">
        <is>
          <t>DPG1a</t>
        </is>
      </c>
      <c r="B28" s="2" t="inlineStr">
        <is>
          <t>Bengaluru – BMRDA</t>
        </is>
      </c>
      <c r="C28" s="2" t="inlineStr"/>
      <c r="D28" s="2">
        <f>IFERROR('DPG1a'!J17,"")</f>
        <v/>
      </c>
      <c r="E28" s="2" t="inlineStr"/>
      <c r="F28" s="10" t="n"/>
      <c r="G28" s="10" t="n"/>
      <c r="H28" s="2">
        <f>IF(OR(F28="",NOT(ISNUMBER(D28))),"",IF(ABS(F28-D28)&lt;0.001,"Yes","No"))</f>
        <v/>
      </c>
      <c r="I28" s="2" t="inlineStr">
        <is>
          <t>Left for a person</t>
        </is>
      </c>
      <c r="J28" s="2" t="inlineStr">
        <is>
          <t>Insufficient Evidence</t>
        </is>
      </c>
      <c r="K28" s="2" t="inlineStr"/>
      <c r="L28" s="2" t="inlineStr"/>
      <c r="M28" s="2" t="inlineStr"/>
      <c r="N28" s="2" t="inlineStr"/>
      <c r="O28" s="2" t="inlineStr"/>
      <c r="P28" s="2" t="inlineStr">
        <is>
          <t>Step 2 found no evidence: a source needs to be found and added. Step 2 found no evidence (Insufficient Evidence). Source needed: Four documents would answer this. (1) Full text of the BMRDA Act, 1985, as currently amended, especially the sections on BMRDA's functions and powers and its relationship with local authorities and planning authorities. (2) Full text of the Act that currently governs the city government (the team notes name the Greater Bengaluru Governance Act, 2024; to be confirmed from an official source): its functions schedules, any town planning or planning-authority provisions, and any powers to coordinate, supervise or direct public authorities. (3) The Karnataka Town and Country Planning Act provisions on local planning authorities and BMRDA's role within the Bengaluru Metropolitan Region. (4) The Rules and Regulations under the BMRDA Act. All four should come from official Karnataka government sources such as the state legislation portal, the eGazette, the Urban Development Department, or BMRDA's own 'Acts and Rules' page.</t>
        </is>
      </c>
    </row>
    <row r="29">
      <c r="A29" s="2" t="inlineStr">
        <is>
          <t>DPG1b</t>
        </is>
      </c>
      <c r="B29" s="2" t="inlineStr">
        <is>
          <t>Bengaluru – BWSSB</t>
        </is>
      </c>
      <c r="C29" s="2" t="inlineStr"/>
      <c r="D29" s="2">
        <f>IFERROR('DPG1b'!J13,"")</f>
        <v/>
      </c>
      <c r="E29" s="2" t="inlineStr"/>
      <c r="F29" s="10" t="n"/>
      <c r="G29" s="10" t="n"/>
      <c r="H29" s="2">
        <f>IF(OR(F29="",NOT(ISNUMBER(D29))),"",IF(ABS(F29-D29)&lt;0.001,"Yes","No"))</f>
        <v/>
      </c>
      <c r="I29" s="2" t="inlineStr">
        <is>
          <t>Left for a person</t>
        </is>
      </c>
      <c r="J29" s="2" t="inlineStr">
        <is>
          <t>Insufficient Evidence</t>
        </is>
      </c>
      <c r="K29" s="2" t="inlineStr"/>
      <c r="L29" s="2" t="inlineStr"/>
      <c r="M29" s="2" t="inlineStr"/>
      <c r="N29" s="2" t="inlineStr"/>
      <c r="O29" s="2" t="inlineStr"/>
      <c r="P29" s="2" t="inlineStr">
        <is>
          <t>Step 2 found no evidence: a source needs to be found and added. Step 2 found no evidence (Insufficient Evidence).</t>
        </is>
      </c>
    </row>
    <row r="30">
      <c r="A30" s="2" t="inlineStr">
        <is>
          <t>DPG1b</t>
        </is>
      </c>
      <c r="B30" s="2" t="inlineStr">
        <is>
          <t>Bengaluru – BMTC</t>
        </is>
      </c>
      <c r="C30" s="2" t="inlineStr"/>
      <c r="D30" s="2">
        <f>IFERROR('DPG1b'!J14,"")</f>
        <v/>
      </c>
      <c r="E30" s="2" t="inlineStr"/>
      <c r="F30" s="10" t="n"/>
      <c r="G30" s="10" t="n"/>
      <c r="H30" s="2">
        <f>IF(OR(F30="",NOT(ISNUMBER(D30))),"",IF(ABS(F30-D30)&lt;0.001,"Yes","No"))</f>
        <v/>
      </c>
      <c r="I30" s="2" t="inlineStr">
        <is>
          <t>Left for a person</t>
        </is>
      </c>
      <c r="J30" s="2" t="inlineStr">
        <is>
          <t>Insufficient Evidence</t>
        </is>
      </c>
      <c r="K30" s="2" t="inlineStr"/>
      <c r="L30" s="2" t="inlineStr"/>
      <c r="M30" s="2" t="inlineStr"/>
      <c r="N30" s="2" t="inlineStr"/>
      <c r="O30" s="2" t="inlineStr"/>
      <c r="P30" s="2" t="inlineStr">
        <is>
          <t>Step 2 found no evidence: a source needs to be found and added. Step 2 found no evidence (Insufficient Evidence).</t>
        </is>
      </c>
    </row>
    <row r="31">
      <c r="A31" s="2" t="inlineStr">
        <is>
          <t>DPG1b</t>
        </is>
      </c>
      <c r="B31" s="2" t="inlineStr">
        <is>
          <t>Bengaluru – BDA</t>
        </is>
      </c>
      <c r="C31" s="2" t="inlineStr"/>
      <c r="D31" s="2">
        <f>IFERROR('DPG1b'!J15,"")</f>
        <v/>
      </c>
      <c r="E31" s="2" t="inlineStr"/>
      <c r="F31" s="10" t="n"/>
      <c r="G31" s="10" t="n"/>
      <c r="H31" s="2">
        <f>IF(OR(F31="",NOT(ISNUMBER(D31))),"",IF(ABS(F31-D31)&lt;0.001,"Yes","No"))</f>
        <v/>
      </c>
      <c r="I31" s="2" t="inlineStr">
        <is>
          <t>Left for a person</t>
        </is>
      </c>
      <c r="J31" s="2" t="inlineStr">
        <is>
          <t>Insufficient Evidence</t>
        </is>
      </c>
      <c r="K31" s="2" t="inlineStr"/>
      <c r="L31" s="2" t="inlineStr"/>
      <c r="M31" s="2" t="inlineStr"/>
      <c r="N31" s="2" t="inlineStr"/>
      <c r="O31" s="2" t="inlineStr"/>
      <c r="P31" s="2" t="inlineStr">
        <is>
          <t>Step 2 found no evidence: a source needs to be found and added. Step 2 found no evidence (Insufficient Evidence).</t>
        </is>
      </c>
    </row>
    <row r="32">
      <c r="A32" s="2" t="inlineStr">
        <is>
          <t>DPG1b</t>
        </is>
      </c>
      <c r="B32" s="2" t="inlineStr">
        <is>
          <t>Bengaluru – BMRCL</t>
        </is>
      </c>
      <c r="C32" s="2" t="inlineStr"/>
      <c r="D32" s="2">
        <f>IFERROR('DPG1b'!J16,"")</f>
        <v/>
      </c>
      <c r="E32" s="2" t="inlineStr"/>
      <c r="F32" s="10" t="n"/>
      <c r="G32" s="10" t="n"/>
      <c r="H32" s="2">
        <f>IF(OR(F32="",NOT(ISNUMBER(D32))),"",IF(ABS(F32-D32)&lt;0.001,"Yes","No"))</f>
        <v/>
      </c>
      <c r="I32" s="2" t="inlineStr">
        <is>
          <t>Left for a person</t>
        </is>
      </c>
      <c r="J32" s="2" t="inlineStr">
        <is>
          <t>Insufficient Evidence</t>
        </is>
      </c>
      <c r="K32" s="2" t="inlineStr"/>
      <c r="L32" s="2" t="inlineStr"/>
      <c r="M32" s="2" t="inlineStr"/>
      <c r="N32" s="2" t="inlineStr"/>
      <c r="O32" s="2" t="inlineStr"/>
      <c r="P32" s="2" t="inlineStr">
        <is>
          <t>Step 2 found no evidence: a source needs to be found and added. Step 2 found no evidence (Insufficient Evidence).</t>
        </is>
      </c>
    </row>
    <row r="33">
      <c r="A33" s="2" t="inlineStr">
        <is>
          <t>DPG1b</t>
        </is>
      </c>
      <c r="B33" s="2" t="inlineStr">
        <is>
          <t>Bengaluru – BMRDA</t>
        </is>
      </c>
      <c r="C33" s="2" t="inlineStr"/>
      <c r="D33" s="2">
        <f>IFERROR('DPG1b'!J17,"")</f>
        <v/>
      </c>
      <c r="E33" s="2" t="inlineStr"/>
      <c r="F33" s="10" t="n"/>
      <c r="G33" s="10" t="n"/>
      <c r="H33" s="2">
        <f>IF(OR(F33="",NOT(ISNUMBER(D33))),"",IF(ABS(F33-D33)&lt;0.001,"Yes","No"))</f>
        <v/>
      </c>
      <c r="I33" s="2" t="inlineStr">
        <is>
          <t>Left for a person</t>
        </is>
      </c>
      <c r="J33" s="2" t="inlineStr">
        <is>
          <t>Insufficient Evidence</t>
        </is>
      </c>
      <c r="K33" s="2" t="inlineStr"/>
      <c r="L33" s="2" t="inlineStr"/>
      <c r="M33" s="2" t="inlineStr"/>
      <c r="N33" s="2" t="inlineStr"/>
      <c r="O33" s="2" t="inlineStr"/>
      <c r="P33" s="2" t="inlineStr">
        <is>
          <t>Step 2 found no evidence: a source needs to be found and added. Step 2 found no evidence (Insufficient Evidence). Source needed: (1) The full text of the BMRDA Act, 1985 (Karnataka Act 39 of 1985), current amended version: the definition of the Bangalore Metropolitan Region / 'Area' and any schedule or section listing the covered taluks or areas. (2) The government notification(s) declaring or changing BMRDA's jurisdiction, published in the Karnataka Gazette or on the BMRDA site, plus the official jurisdiction map. (3) The Greater Bengaluru Governance Act (city government law), to cross-check the boundary against the city government's area. (4) The BMRDA jurisdiction web page, saved as a readable copy, to confirm the current boundary.</t>
        </is>
      </c>
    </row>
    <row r="34">
      <c r="A34" s="2" t="inlineStr">
        <is>
          <t>DPG2a</t>
        </is>
      </c>
      <c r="B34" s="2" t="inlineStr">
        <is>
          <t>Bengaluru – BWSSB</t>
        </is>
      </c>
      <c r="C34" s="2" t="inlineStr"/>
      <c r="D34" s="2">
        <f>IFERROR('DPG2a'!J13,"")</f>
        <v/>
      </c>
      <c r="E34" s="2" t="inlineStr"/>
      <c r="F34" s="10" t="n"/>
      <c r="G34" s="10" t="n"/>
      <c r="H34" s="2">
        <f>IF(OR(F34="",NOT(ISNUMBER(D34))),"",IF(ABS(F34-D34)&lt;0.001,"Yes","No"))</f>
        <v/>
      </c>
      <c r="I34" s="2" t="inlineStr">
        <is>
          <t>Left for a person</t>
        </is>
      </c>
      <c r="J34" s="2" t="inlineStr">
        <is>
          <t>Insufficient Evidence</t>
        </is>
      </c>
      <c r="K34" s="2" t="inlineStr"/>
      <c r="L34" s="2" t="inlineStr"/>
      <c r="M34" s="2" t="inlineStr"/>
      <c r="N34" s="2" t="inlineStr"/>
      <c r="O34" s="2" t="inlineStr"/>
      <c r="P34" s="2" t="inlineStr">
        <is>
          <t>Step 2 found no evidence: a source needs to be found and added. Step 2 found no evidence (Insufficient Evidence).</t>
        </is>
      </c>
    </row>
    <row r="35">
      <c r="A35" s="2" t="inlineStr">
        <is>
          <t>DPG2a</t>
        </is>
      </c>
      <c r="B35" s="2" t="inlineStr">
        <is>
          <t>Bengaluru – BMTC</t>
        </is>
      </c>
      <c r="C35" s="2" t="inlineStr"/>
      <c r="D35" s="2">
        <f>IFERROR('DPG2a'!J14,"")</f>
        <v/>
      </c>
      <c r="E35" s="2" t="inlineStr"/>
      <c r="F35" s="10" t="n"/>
      <c r="G35" s="10" t="n"/>
      <c r="H35" s="2">
        <f>IF(OR(F35="",NOT(ISNUMBER(D35))),"",IF(ABS(F35-D35)&lt;0.001,"Yes","No"))</f>
        <v/>
      </c>
      <c r="I35" s="2" t="inlineStr">
        <is>
          <t>Left for a person</t>
        </is>
      </c>
      <c r="J35" s="2" t="inlineStr">
        <is>
          <t>Insufficient Evidence</t>
        </is>
      </c>
      <c r="K35" s="2" t="inlineStr"/>
      <c r="L35" s="2" t="inlineStr"/>
      <c r="M35" s="2" t="inlineStr"/>
      <c r="N35" s="2" t="inlineStr"/>
      <c r="O35" s="2" t="inlineStr"/>
      <c r="P35" s="2" t="inlineStr">
        <is>
          <t>Step 2 found no evidence: a source needs to be found and added. Step 2 found no evidence (Insufficient Evidence).</t>
        </is>
      </c>
    </row>
    <row r="36">
      <c r="A36" s="2" t="inlineStr">
        <is>
          <t>DPG2a</t>
        </is>
      </c>
      <c r="B36" s="2" t="inlineStr">
        <is>
          <t>Bengaluru – BDA</t>
        </is>
      </c>
      <c r="C36" s="2" t="inlineStr"/>
      <c r="D36" s="2">
        <f>IFERROR('DPG2a'!J15,"")</f>
        <v/>
      </c>
      <c r="E36" s="2" t="inlineStr"/>
      <c r="F36" s="10" t="n"/>
      <c r="G36" s="10" t="n"/>
      <c r="H36" s="2">
        <f>IF(OR(F36="",NOT(ISNUMBER(D36))),"",IF(ABS(F36-D36)&lt;0.001,"Yes","No"))</f>
        <v/>
      </c>
      <c r="I36" s="2" t="inlineStr">
        <is>
          <t>Left for a person</t>
        </is>
      </c>
      <c r="J36" s="2" t="inlineStr">
        <is>
          <t>Insufficient Evidence</t>
        </is>
      </c>
      <c r="K36" s="2" t="inlineStr"/>
      <c r="L36" s="2" t="inlineStr"/>
      <c r="M36" s="2" t="inlineStr"/>
      <c r="N36" s="2" t="inlineStr"/>
      <c r="O36" s="2" t="inlineStr"/>
      <c r="P36" s="2" t="inlineStr">
        <is>
          <t>Step 2 found no evidence: a source needs to be found and added. Step 2 found no evidence (Insufficient Evidence).</t>
        </is>
      </c>
    </row>
    <row r="37">
      <c r="A37" s="2" t="inlineStr">
        <is>
          <t>DPG2a</t>
        </is>
      </c>
      <c r="B37" s="2" t="inlineStr">
        <is>
          <t>Bengaluru – BMRCL</t>
        </is>
      </c>
      <c r="C37" s="2" t="inlineStr"/>
      <c r="D37" s="2">
        <f>IFERROR('DPG2a'!J16,"")</f>
        <v/>
      </c>
      <c r="E37" s="2" t="inlineStr"/>
      <c r="F37" s="10" t="n"/>
      <c r="G37" s="10" t="n"/>
      <c r="H37" s="2">
        <f>IF(OR(F37="",NOT(ISNUMBER(D37))),"",IF(ABS(F37-D37)&lt;0.001,"Yes","No"))</f>
        <v/>
      </c>
      <c r="I37" s="2" t="inlineStr">
        <is>
          <t>Left for a person</t>
        </is>
      </c>
      <c r="J37" s="2" t="inlineStr">
        <is>
          <t>Insufficient Evidence</t>
        </is>
      </c>
      <c r="K37" s="2" t="inlineStr"/>
      <c r="L37" s="2" t="inlineStr"/>
      <c r="M37" s="2" t="inlineStr"/>
      <c r="N37" s="2" t="inlineStr"/>
      <c r="O37" s="2" t="inlineStr"/>
      <c r="P37" s="2" t="inlineStr">
        <is>
          <t>Step 2 found no evidence: a source needs to be found and added. Step 2 found no evidence (Insufficient Evidence).</t>
        </is>
      </c>
    </row>
    <row r="38">
      <c r="A38" s="2" t="inlineStr">
        <is>
          <t>DPG2a</t>
        </is>
      </c>
      <c r="B38" s="2" t="inlineStr">
        <is>
          <t>Bengaluru – BMRDA</t>
        </is>
      </c>
      <c r="C38" s="2" t="inlineStr"/>
      <c r="D38" s="2">
        <f>IFERROR('DPG2a'!J17,"")</f>
        <v/>
      </c>
      <c r="E38" s="2" t="inlineStr"/>
      <c r="F38" s="10" t="n"/>
      <c r="G38" s="10" t="n"/>
      <c r="H38" s="2">
        <f>IF(OR(F38="",NOT(ISNUMBER(D38))),"",IF(ABS(F38-D38)&lt;0.001,"Yes","No"))</f>
        <v/>
      </c>
      <c r="I38" s="2" t="inlineStr">
        <is>
          <t>Left for a person</t>
        </is>
      </c>
      <c r="J38" s="2" t="inlineStr">
        <is>
          <t>Insufficient Evidence</t>
        </is>
      </c>
      <c r="K38" s="2" t="inlineStr"/>
      <c r="L38" s="2" t="inlineStr"/>
      <c r="M38" s="2" t="inlineStr"/>
      <c r="N38" s="2" t="inlineStr"/>
      <c r="O38" s="2" t="inlineStr"/>
      <c r="P38" s="2" t="inlineStr">
        <is>
          <t>Step 2 found no evidence: a source needs to be found and added. Step 2 found no evidence (Insufficient Evidence). Source needed: Needed: (1) the current consolidated BMRDA Act, 1985, especially the section that sets up the Authority and lists its members, showing which are ex-officio or nominated, any Mayor or corporation seats, and whether invitees vote; (2) BMRDA's own 'Constitution of the Authority' page or the latest government notification naming the current members; (3) the Greater Bengaluru Governance Act, 2024 (or the law in force for the ULG), to see whether it names GBA or corporation nominees to BMRDA or substitutes them for BBMP; (4) any GO substituting GBA for BBMP or the Corporation of the City of Bangalore in the BMRDA Act; (5) a recent annual report or proceedings listing board members, to show whether ULG seats are actually filled.</t>
        </is>
      </c>
    </row>
    <row r="39">
      <c r="A39" s="2" t="inlineStr">
        <is>
          <t>DPG2b</t>
        </is>
      </c>
      <c r="B39" s="2" t="inlineStr">
        <is>
          <t>Bengaluru – BWSSB</t>
        </is>
      </c>
      <c r="C39" s="2" t="inlineStr"/>
      <c r="D39" s="2">
        <f>IFERROR('DPG2b'!J13,"")</f>
        <v/>
      </c>
      <c r="E39" s="2" t="inlineStr"/>
      <c r="F39" s="10" t="n"/>
      <c r="G39" s="10" t="n"/>
      <c r="H39" s="2">
        <f>IF(OR(F39="",NOT(ISNUMBER(D39))),"",IF(ABS(F39-D39)&lt;0.001,"Yes","No"))</f>
        <v/>
      </c>
      <c r="I39" s="2" t="inlineStr">
        <is>
          <t>Left for a person</t>
        </is>
      </c>
      <c r="J39" s="2" t="inlineStr">
        <is>
          <t>Insufficient Evidence</t>
        </is>
      </c>
      <c r="K39" s="2" t="inlineStr"/>
      <c r="L39" s="2" t="inlineStr"/>
      <c r="M39" s="2" t="inlineStr"/>
      <c r="N39" s="2" t="inlineStr"/>
      <c r="O39" s="2" t="inlineStr"/>
      <c r="P39" s="2" t="inlineStr">
        <is>
          <t>Step 2 found no evidence: a source needs to be found and added. Step 2 found no evidence (Insufficient Evidence).</t>
        </is>
      </c>
    </row>
    <row r="40">
      <c r="A40" s="2" t="inlineStr">
        <is>
          <t>DPG2b</t>
        </is>
      </c>
      <c r="B40" s="2" t="inlineStr">
        <is>
          <t>Bengaluru – BMTC</t>
        </is>
      </c>
      <c r="C40" s="2" t="inlineStr"/>
      <c r="D40" s="2">
        <f>IFERROR('DPG2b'!J14,"")</f>
        <v/>
      </c>
      <c r="E40" s="2" t="inlineStr"/>
      <c r="F40" s="10" t="n"/>
      <c r="G40" s="10" t="n"/>
      <c r="H40" s="2">
        <f>IF(OR(F40="",NOT(ISNUMBER(D40))),"",IF(ABS(F40-D40)&lt;0.001,"Yes","No"))</f>
        <v/>
      </c>
      <c r="I40" s="2" t="inlineStr">
        <is>
          <t>Left for a person</t>
        </is>
      </c>
      <c r="J40" s="2" t="inlineStr">
        <is>
          <t>Insufficient Evidence</t>
        </is>
      </c>
      <c r="K40" s="2" t="inlineStr"/>
      <c r="L40" s="2" t="inlineStr"/>
      <c r="M40" s="2" t="inlineStr"/>
      <c r="N40" s="2" t="inlineStr"/>
      <c r="O40" s="2" t="inlineStr"/>
      <c r="P40" s="2" t="inlineStr">
        <is>
          <t>Step 2 found no evidence: a source needs to be found and added. Step 2 found no evidence (Insufficient Evidence).</t>
        </is>
      </c>
    </row>
    <row r="41">
      <c r="A41" s="2" t="inlineStr">
        <is>
          <t>DPG2b</t>
        </is>
      </c>
      <c r="B41" s="2" t="inlineStr">
        <is>
          <t>Bengaluru – BDA</t>
        </is>
      </c>
      <c r="C41" s="2" t="inlineStr"/>
      <c r="D41" s="2">
        <f>IFERROR('DPG2b'!J15,"")</f>
        <v/>
      </c>
      <c r="E41" s="2" t="inlineStr"/>
      <c r="F41" s="10" t="n"/>
      <c r="G41" s="10" t="n"/>
      <c r="H41" s="2">
        <f>IF(OR(F41="",NOT(ISNUMBER(D41))),"",IF(ABS(F41-D41)&lt;0.001,"Yes","No"))</f>
        <v/>
      </c>
      <c r="I41" s="2" t="inlineStr">
        <is>
          <t>Left for a person</t>
        </is>
      </c>
      <c r="J41" s="2" t="inlineStr">
        <is>
          <t>Insufficient Evidence</t>
        </is>
      </c>
      <c r="K41" s="2" t="inlineStr"/>
      <c r="L41" s="2" t="inlineStr"/>
      <c r="M41" s="2" t="inlineStr"/>
      <c r="N41" s="2" t="inlineStr"/>
      <c r="O41" s="2" t="inlineStr"/>
      <c r="P41" s="2" t="inlineStr">
        <is>
          <t>Step 2 found no evidence: a source needs to be found and added. Step 2 found no evidence (Insufficient Evidence).</t>
        </is>
      </c>
    </row>
    <row r="42">
      <c r="A42" s="2" t="inlineStr">
        <is>
          <t>DPG2b</t>
        </is>
      </c>
      <c r="B42" s="2" t="inlineStr">
        <is>
          <t>Bengaluru – BMRCL</t>
        </is>
      </c>
      <c r="C42" s="2" t="inlineStr"/>
      <c r="D42" s="2">
        <f>IFERROR('DPG2b'!J16,"")</f>
        <v/>
      </c>
      <c r="E42" s="2" t="inlineStr"/>
      <c r="F42" s="10" t="n"/>
      <c r="G42" s="10" t="n"/>
      <c r="H42" s="2">
        <f>IF(OR(F42="",NOT(ISNUMBER(D42))),"",IF(ABS(F42-D42)&lt;0.001,"Yes","No"))</f>
        <v/>
      </c>
      <c r="I42" s="2" t="inlineStr">
        <is>
          <t>Left for a person</t>
        </is>
      </c>
      <c r="J42" s="2" t="inlineStr">
        <is>
          <t>Insufficient Evidence</t>
        </is>
      </c>
      <c r="K42" s="2" t="inlineStr"/>
      <c r="L42" s="2" t="inlineStr"/>
      <c r="M42" s="2" t="inlineStr"/>
      <c r="N42" s="2" t="inlineStr"/>
      <c r="O42" s="2" t="inlineStr"/>
      <c r="P42" s="2" t="inlineStr">
        <is>
          <t>Step 2 found no evidence: a source needs to be found and added. Step 2 found no evidence (Insufficient Evidence).</t>
        </is>
      </c>
    </row>
    <row r="43">
      <c r="A43" s="2" t="inlineStr">
        <is>
          <t>DPG2b</t>
        </is>
      </c>
      <c r="B43" s="2" t="inlineStr">
        <is>
          <t>Bengaluru – BMRDA</t>
        </is>
      </c>
      <c r="C43" s="2" t="inlineStr"/>
      <c r="D43" s="2">
        <f>IFERROR('DPG2b'!J17,"")</f>
        <v/>
      </c>
      <c r="E43" s="2" t="inlineStr"/>
      <c r="F43" s="10" t="n"/>
      <c r="G43" s="10" t="n"/>
      <c r="H43" s="2">
        <f>IF(OR(F43="",NOT(ISNUMBER(D43))),"",IF(ABS(F43-D43)&lt;0.001,"Yes","No"))</f>
        <v/>
      </c>
      <c r="I43" s="2" t="inlineStr">
        <is>
          <t>Left for a person</t>
        </is>
      </c>
      <c r="J43" s="2" t="inlineStr">
        <is>
          <t>Insufficient Evidence</t>
        </is>
      </c>
      <c r="K43" s="2" t="inlineStr"/>
      <c r="L43" s="2" t="inlineStr"/>
      <c r="M43" s="2" t="inlineStr"/>
      <c r="N43" s="2" t="inlineStr"/>
      <c r="O43" s="2" t="inlineStr"/>
      <c r="P43" s="2" t="inlineStr">
        <is>
          <t>Step 2 found no evidence: a source needs to be found and added. Step 2 found no evidence (Insufficient Evidence). Source needed: Needed: (1) the full text of the BMRDA Act, 1985 (Karnataka Act 39 of 1985), current amended version, especially the sections on preparing and approving the structure plan and other plans, the budget, the annual report and accounts, and to whom each is submitted; (2) any Rules made under that Act and the BMRDA Regulations (1996/1999/2000) covering budget or reporting procedure; (3) the Greater Bengaluru Governance Act, 2024 (and Rules), for any provision requiring parastatals or public authorities such as BMRDA to submit or table plans, budgets or reports before the GBA, the City Corporations or their councils.</t>
        </is>
      </c>
    </row>
    <row r="44">
      <c r="A44" s="2" t="inlineStr">
        <is>
          <t>DPG4</t>
        </is>
      </c>
      <c r="B44" s="2" t="inlineStr">
        <is>
          <t>Bengaluru – BWSSB</t>
        </is>
      </c>
      <c r="C44" s="2" t="inlineStr"/>
      <c r="D44" s="2">
        <f>IFERROR('DPG4'!J13,"")</f>
        <v/>
      </c>
      <c r="E44" s="2" t="inlineStr"/>
      <c r="F44" s="10" t="n"/>
      <c r="G44" s="10" t="n"/>
      <c r="H44" s="2">
        <f>IF(OR(F44="",NOT(ISNUMBER(D44))),"",IF(ABS(F44-D44)&lt;0.001,"Yes","No"))</f>
        <v/>
      </c>
      <c r="I44" s="2" t="inlineStr">
        <is>
          <t>Left for a person</t>
        </is>
      </c>
      <c r="J44" s="2" t="inlineStr">
        <is>
          <t>Insufficient Evidence</t>
        </is>
      </c>
      <c r="K44" s="2" t="inlineStr"/>
      <c r="L44" s="2" t="inlineStr"/>
      <c r="M44" s="2" t="inlineStr"/>
      <c r="N44" s="2" t="inlineStr"/>
      <c r="O44" s="2" t="inlineStr"/>
      <c r="P44" s="2" t="inlineStr">
        <is>
          <t>Step 2 found no evidence: a source needs to be found and added. Step 2 found no evidence (Insufficient Evidence).</t>
        </is>
      </c>
    </row>
    <row r="45">
      <c r="A45" s="2" t="inlineStr">
        <is>
          <t>DPG4</t>
        </is>
      </c>
      <c r="B45" s="2" t="inlineStr">
        <is>
          <t>Bengaluru – BMTC</t>
        </is>
      </c>
      <c r="C45" s="2" t="inlineStr"/>
      <c r="D45" s="2">
        <f>IFERROR('DPG4'!J14,"")</f>
        <v/>
      </c>
      <c r="E45" s="2" t="inlineStr"/>
      <c r="F45" s="10" t="n"/>
      <c r="G45" s="10" t="n"/>
      <c r="H45" s="2">
        <f>IF(OR(F45="",NOT(ISNUMBER(D45))),"",IF(ABS(F45-D45)&lt;0.001,"Yes","No"))</f>
        <v/>
      </c>
      <c r="I45" s="2" t="inlineStr">
        <is>
          <t>Left for a person</t>
        </is>
      </c>
      <c r="J45" s="2" t="inlineStr">
        <is>
          <t>Insufficient Evidence</t>
        </is>
      </c>
      <c r="K45" s="2" t="inlineStr"/>
      <c r="L45" s="2" t="inlineStr"/>
      <c r="M45" s="2" t="inlineStr"/>
      <c r="N45" s="2" t="inlineStr"/>
      <c r="O45" s="2" t="inlineStr"/>
      <c r="P45" s="2" t="inlineStr">
        <is>
          <t>Step 2 found no evidence: a source needs to be found and added. Step 2 found no evidence (Insufficient Evidence).</t>
        </is>
      </c>
    </row>
    <row r="46">
      <c r="A46" s="2" t="inlineStr">
        <is>
          <t>DPG4</t>
        </is>
      </c>
      <c r="B46" s="2" t="inlineStr">
        <is>
          <t>Bengaluru – BDA</t>
        </is>
      </c>
      <c r="C46" s="2" t="inlineStr"/>
      <c r="D46" s="2">
        <f>IFERROR('DPG4'!J15,"")</f>
        <v/>
      </c>
      <c r="E46" s="2" t="inlineStr"/>
      <c r="F46" s="10" t="n"/>
      <c r="G46" s="10" t="n"/>
      <c r="H46" s="2">
        <f>IF(OR(F46="",NOT(ISNUMBER(D46))),"",IF(ABS(F46-D46)&lt;0.001,"Yes","No"))</f>
        <v/>
      </c>
      <c r="I46" s="2" t="inlineStr">
        <is>
          <t>Left for a person</t>
        </is>
      </c>
      <c r="J46" s="2" t="inlineStr">
        <is>
          <t>Insufficient Evidence</t>
        </is>
      </c>
      <c r="K46" s="2" t="inlineStr"/>
      <c r="L46" s="2" t="inlineStr"/>
      <c r="M46" s="2" t="inlineStr"/>
      <c r="N46" s="2" t="inlineStr"/>
      <c r="O46" s="2" t="inlineStr"/>
      <c r="P46" s="2" t="inlineStr">
        <is>
          <t>Step 2 found no evidence: a source needs to be found and added. Step 2 found no evidence (Insufficient Evidence).</t>
        </is>
      </c>
    </row>
    <row r="47">
      <c r="A47" s="2" t="inlineStr">
        <is>
          <t>DPG4</t>
        </is>
      </c>
      <c r="B47" s="2" t="inlineStr">
        <is>
          <t>Bengaluru – BMRCL</t>
        </is>
      </c>
      <c r="C47" s="2" t="inlineStr"/>
      <c r="D47" s="2">
        <f>IFERROR('DPG4'!J16,"")</f>
        <v/>
      </c>
      <c r="E47" s="2" t="inlineStr"/>
      <c r="F47" s="10" t="n"/>
      <c r="G47" s="10" t="n"/>
      <c r="H47" s="2">
        <f>IF(OR(F47="",NOT(ISNUMBER(D47))),"",IF(ABS(F47-D47)&lt;0.001,"Yes","No"))</f>
        <v/>
      </c>
      <c r="I47" s="2" t="inlineStr">
        <is>
          <t>Left for a person</t>
        </is>
      </c>
      <c r="J47" s="2" t="inlineStr">
        <is>
          <t>Insufficient Evidence</t>
        </is>
      </c>
      <c r="K47" s="2" t="inlineStr"/>
      <c r="L47" s="2" t="inlineStr"/>
      <c r="M47" s="2" t="inlineStr"/>
      <c r="N47" s="2" t="inlineStr"/>
      <c r="O47" s="2" t="inlineStr"/>
      <c r="P47" s="2" t="inlineStr">
        <is>
          <t>Step 2 found no evidence: a source needs to be found and added. Step 2 found no evidence (Insufficient Evidence).</t>
        </is>
      </c>
    </row>
    <row r="48">
      <c r="A48" s="2" t="inlineStr">
        <is>
          <t>DPG4</t>
        </is>
      </c>
      <c r="B48" s="2" t="inlineStr">
        <is>
          <t>Bengaluru – BMRDA</t>
        </is>
      </c>
      <c r="C48" s="2" t="inlineStr"/>
      <c r="D48" s="2">
        <f>IFERROR('DPG4'!J17,"")</f>
        <v/>
      </c>
      <c r="E48" s="2" t="inlineStr"/>
      <c r="F48" s="10" t="n"/>
      <c r="G48" s="10" t="n"/>
      <c r="H48" s="2">
        <f>IF(OR(F48="",NOT(ISNUMBER(D48))),"",IF(ABS(F48-D48)&lt;0.001,"Yes","No"))</f>
        <v/>
      </c>
      <c r="I48" s="2" t="inlineStr">
        <is>
          <t>Scored by AI</t>
        </is>
      </c>
      <c r="J48" s="2" t="inlineStr">
        <is>
          <t>Answered — Verified Source</t>
        </is>
      </c>
      <c r="K48" s="2" t="inlineStr">
        <is>
          <t>ANSWER: Yes. BMRDA has an official website at bmrda.karnataka.gov.in. The saved copy in the Citation Sheet loaded as a full, readable homepage and shows content dated 2026, which falls within the rubric's 12-month window. The 10-point band appears to be met. | EVIDENCE: BMRDA-01 (official homepage, Kannada version): (1) Official: the domain is .gov.in, and the footer says the content is owned and maintained by BMRDA, Government of Karnataka ('ವಿಷಯದ ಮಾಲೀಕತ್ವ ಮತ್ತು ನಿರ್ವಹಣೆ : ಬೆಂಗಳೂರು ಮಹಾನಗರ ಪ್ರದೇಶಾಭಿವೃದ್ಧಿ ಪ್ರಾಧಿಕಾರ, ಕರ್ನಾಟಕ ಸರ್ಕಾರ'). The site was built by the Centre for e-Governance, Karnataka ('© 2026'). (2) Opens without error: the saved copy is the full homepage, with menus for RTI 4(1)(a)/(b), Acts and Rules, Budget and Annual Reports, Notifications, Circulars, services such as change of land use and layout approval, a feedback form and a gallery. It is not an error, login or empty page. (3) Dated content: the 'Acts and Rules' list includes the 'Karnataka Planning Authorities (Allotment of Civic Amenity sites within Bengaluru Metropolitan Region) Rules, 2026'. One newspaper notice for a civic amenity (CA) site has a file name containing 30072026, which reads as 30 July 2026. The news panel shows a CA-site press notice posted '2 months ago'. The draft road-circulation/mobility plan PDFs for nine planning authorities are also posted. | CAVEATS: The footer 'Last updated' field (ಇತ್ತೀಚಿನ ನವೀಕರಣ) is blank, so currency rests on dated content, not a site-wide update stamp. '2 mo</t>
        </is>
      </c>
      <c r="L48" s="2" t="inlineStr">
        <is>
          <t>Bengaluru Metropolitan Region Development Authority — official website [BMRDA-01]</t>
        </is>
      </c>
      <c r="M48" s="2" t="inlineStr">
        <is>
          <t>https://bmrda.karnataka.gov.in/</t>
        </is>
      </c>
      <c r="N48" s="2" t="inlineStr">
        <is>
          <t>ಕರ್ನಾಟಕ ಯೋಜನಾ ಪ್ರಾಧಿಕಾರಗಳ (ಬೆಂಗಳೂರು ಮಹಾನಗರ ಪ್ರದೇಶದ ವ್ಯಾಪ್ತಿಯಲ್ಲಿ ನಾಗರಿಕ ಸೌಕರ್ಯ ನಿವೇಶನಗಳ ಹಂಚಿಕೆ) ನಿಯಮಗಳು, 2026.</t>
        </is>
      </c>
      <c r="O48" s="2" t="inlineStr">
        <is>
          <t>Score: 10. I checked the Step 2 answer against BMRDA-01, the only source in the Citation Sheet for this agency.
**What the source shows**
1. **Official site:** The site sits on the karnataka.gov.in domain (.gov.in). The footer says the content is owned and maintained by BMRDA, Government of Karnataka. It was built by the Centre for e-Governance, Karnataka, and carries '© 2026'.
2. **Opens and is readable:** The saved copy is a full homepage, not an error, login or empty page. It has these sections:
   - RTI 4(1)(a)/(b) documents
   - Acts and Rules
   - Budget and Annual Reports
   - Notifications
   - Services: change of land use, layout approval, amalgamation of sites
   - Feedback, contact and sitemap pages
3. **Recent content:**
   - The Acts and Rules list includes the Karnataka Planning Authorities (Allotment of Civic Amenity sites within Bengaluru Metropolitan Region) Rules, 2026.
   - A CA-site newspaper notice for the Bengaluru International Airport Area Planning Authority is a file named 'PV_BC_30072026-6_1785746475.pdf', which reads as 30.07.2026.
   - The upload-ID numbers at the end of the file names (1785746475; 1787639516 for the 2026 Rules) look like timestamps from about early to late August 2026. This is my own inference from the file names, not a stated date.
   - The news panel shows a CA-site press notice posted '2 months ago'.
   - Under rules version v2 (Sept 2026), all of this falls well within a 12-month window.
**Why I gave 10**
The task input did not include the question's full text, Detailed Methodology or rubric bands. I applied the band as the Step 2 record describes it: an official website exists, is accessible, and was updated within the last 12 months, which earns 10. A reviewer should confirm that the DPG4 rubric's top band needs nothing more than this. If it needs more (e.g. specific content or that every link works), the score may need revisiting.
**Caveats for the reviewer**
- The footer 'ಇತ್ತೀಚಿನ ನವೀಕರಣ' (Last updated) field is blank. Currency therefore rests on dated documents, not a site-wide update stamp.
- The capture date is not recorded, so '2 months ago' cannot be pinned to a date.
- Only the homepage was saved. Sub-pages and PDF links were not each opened, so functionality is checked only at homepage level.
- Some content is old: the Citizen Charter 2020-21, the Annual Report 2023-24 and the 2020-23 pages for local planning authorities.
- The question-bank evidence still needs a dated screenshot or archive capture. The reviewer should record the date of check and confirm the 2026 items are still live on that date.</t>
        </is>
      </c>
      <c r="P48" s="2" t="inlineStr"/>
    </row>
    <row r="49">
      <c r="A49" s="2" t="inlineStr">
        <is>
          <t>DPG5a</t>
        </is>
      </c>
      <c r="B49" s="2" t="inlineStr">
        <is>
          <t>Bengaluru – BWSSB</t>
        </is>
      </c>
      <c r="C49" s="2" t="inlineStr"/>
      <c r="D49" s="2">
        <f>IFERROR('DPG5a'!J13,"")</f>
        <v/>
      </c>
      <c r="E49" s="2" t="inlineStr"/>
      <c r="F49" s="10" t="n"/>
      <c r="G49" s="10" t="n"/>
      <c r="H49" s="2">
        <f>IF(OR(F49="",NOT(ISNUMBER(D49))),"",IF(ABS(F49-D49)&lt;0.001,"Yes","No"))</f>
        <v/>
      </c>
      <c r="I49" s="2" t="inlineStr">
        <is>
          <t>Left for a person</t>
        </is>
      </c>
      <c r="J49" s="2" t="inlineStr">
        <is>
          <t>Insufficient Evidence</t>
        </is>
      </c>
      <c r="K49" s="2" t="inlineStr"/>
      <c r="L49" s="2" t="inlineStr"/>
      <c r="M49" s="2" t="inlineStr"/>
      <c r="N49" s="2" t="inlineStr"/>
      <c r="O49" s="2" t="inlineStr"/>
      <c r="P49" s="2" t="inlineStr">
        <is>
          <t>Step 2 found no evidence: a source needs to be found and added. Step 2 found no evidence (Insufficient Evidence).</t>
        </is>
      </c>
    </row>
    <row r="50">
      <c r="A50" s="2" t="inlineStr">
        <is>
          <t>DPG5a</t>
        </is>
      </c>
      <c r="B50" s="2" t="inlineStr">
        <is>
          <t>Bengaluru – BMTC</t>
        </is>
      </c>
      <c r="C50" s="2" t="inlineStr"/>
      <c r="D50" s="2">
        <f>IFERROR('DPG5a'!J14,"")</f>
        <v/>
      </c>
      <c r="E50" s="2" t="inlineStr"/>
      <c r="F50" s="10" t="n"/>
      <c r="G50" s="10" t="n"/>
      <c r="H50" s="2">
        <f>IF(OR(F50="",NOT(ISNUMBER(D50))),"",IF(ABS(F50-D50)&lt;0.001,"Yes","No"))</f>
        <v/>
      </c>
      <c r="I50" s="2" t="inlineStr">
        <is>
          <t>Left for a person</t>
        </is>
      </c>
      <c r="J50" s="2" t="inlineStr">
        <is>
          <t>Insufficient Evidence</t>
        </is>
      </c>
      <c r="K50" s="2" t="inlineStr"/>
      <c r="L50" s="2" t="inlineStr"/>
      <c r="M50" s="2" t="inlineStr"/>
      <c r="N50" s="2" t="inlineStr"/>
      <c r="O50" s="2" t="inlineStr"/>
      <c r="P50" s="2" t="inlineStr">
        <is>
          <t>Step 2 found no evidence: a source needs to be found and added. Step 2 found no evidence (Insufficient Evidence).</t>
        </is>
      </c>
    </row>
    <row r="51">
      <c r="A51" s="2" t="inlineStr">
        <is>
          <t>DPG5a</t>
        </is>
      </c>
      <c r="B51" s="2" t="inlineStr">
        <is>
          <t>Bengaluru – BDA</t>
        </is>
      </c>
      <c r="C51" s="2" t="inlineStr"/>
      <c r="D51" s="2">
        <f>IFERROR('DPG5a'!J15,"")</f>
        <v/>
      </c>
      <c r="E51" s="2" t="inlineStr"/>
      <c r="F51" s="10" t="n"/>
      <c r="G51" s="10" t="n"/>
      <c r="H51" s="2">
        <f>IF(OR(F51="",NOT(ISNUMBER(D51))),"",IF(ABS(F51-D51)&lt;0.001,"Yes","No"))</f>
        <v/>
      </c>
      <c r="I51" s="2" t="inlineStr">
        <is>
          <t>Left for a person</t>
        </is>
      </c>
      <c r="J51" s="2" t="inlineStr">
        <is>
          <t>Insufficient Evidence</t>
        </is>
      </c>
      <c r="K51" s="2" t="inlineStr"/>
      <c r="L51" s="2" t="inlineStr"/>
      <c r="M51" s="2" t="inlineStr"/>
      <c r="N51" s="2" t="inlineStr"/>
      <c r="O51" s="2" t="inlineStr"/>
      <c r="P51" s="2" t="inlineStr">
        <is>
          <t>Step 2 found no evidence: a source needs to be found and added. Step 2 found no evidence (Insufficient Evidence).</t>
        </is>
      </c>
    </row>
    <row r="52">
      <c r="A52" s="2" t="inlineStr">
        <is>
          <t>DPG5a</t>
        </is>
      </c>
      <c r="B52" s="2" t="inlineStr">
        <is>
          <t>Bengaluru – BMRCL</t>
        </is>
      </c>
      <c r="C52" s="2" t="inlineStr"/>
      <c r="D52" s="2">
        <f>IFERROR('DPG5a'!J16,"")</f>
        <v/>
      </c>
      <c r="E52" s="2" t="inlineStr"/>
      <c r="F52" s="10" t="n"/>
      <c r="G52" s="10" t="n"/>
      <c r="H52" s="2">
        <f>IF(OR(F52="",NOT(ISNUMBER(D52))),"",IF(ABS(F52-D52)&lt;0.001,"Yes","No"))</f>
        <v/>
      </c>
      <c r="I52" s="2" t="inlineStr">
        <is>
          <t>Left for a person</t>
        </is>
      </c>
      <c r="J52" s="2" t="inlineStr">
        <is>
          <t>Insufficient Evidence</t>
        </is>
      </c>
      <c r="K52" s="2" t="inlineStr"/>
      <c r="L52" s="2" t="inlineStr"/>
      <c r="M52" s="2" t="inlineStr"/>
      <c r="N52" s="2" t="inlineStr"/>
      <c r="O52" s="2" t="inlineStr"/>
      <c r="P52" s="2" t="inlineStr">
        <is>
          <t>Step 2 found no evidence: a source needs to be found and added. Step 2 found no evidence (Insufficient Evidence).</t>
        </is>
      </c>
    </row>
    <row r="53">
      <c r="A53" s="2" t="inlineStr">
        <is>
          <t>DPG5a</t>
        </is>
      </c>
      <c r="B53" s="2" t="inlineStr">
        <is>
          <t>Bengaluru – BMRDA</t>
        </is>
      </c>
      <c r="C53" s="2" t="inlineStr"/>
      <c r="D53" s="2">
        <f>IFERROR('DPG5a'!J17,"")</f>
        <v/>
      </c>
      <c r="E53" s="2" t="inlineStr"/>
      <c r="F53" s="10" t="n"/>
      <c r="G53" s="10" t="n"/>
      <c r="H53" s="2">
        <f>IF(OR(F53="",NOT(ISNUMBER(D53))),"",IF(ABS(F53-D53)&lt;0.001,"Yes","No"))</f>
        <v/>
      </c>
      <c r="I53" s="2" t="inlineStr">
        <is>
          <t>Left for a person</t>
        </is>
      </c>
      <c r="J53" s="2" t="inlineStr">
        <is>
          <t>Insufficient Evidence</t>
        </is>
      </c>
      <c r="K53" s="2" t="inlineStr"/>
      <c r="L53" s="2" t="inlineStr"/>
      <c r="M53" s="2" t="inlineStr"/>
      <c r="N53" s="2" t="inlineStr"/>
      <c r="O53" s="2" t="inlineStr"/>
      <c r="P53" s="2" t="inlineStr">
        <is>
          <t>Step 2 found no evidence: a source needs to be found and added. Step 2 found no evidence (Insufficient Evidence). Source needed: A saved copy of BMRDA's budget page (the 'ಆಯವ್ಯಯ' page under Budget and Annual Reports) and the budget document itself for FY 2026-27 or FY 2025-26. It needs to show the FY covered and the actual file type (XLS/XLSX/CSV/ODS/structured HTML vs text PDF vs scanned PDF). If BMRDA does not publish it, the approved budget may be in papers laid before the Karnataka Legislature or held by the Urban Development Department.</t>
        </is>
      </c>
    </row>
    <row r="54">
      <c r="A54" s="2" t="inlineStr">
        <is>
          <t>DPG5b</t>
        </is>
      </c>
      <c r="B54" s="2" t="inlineStr">
        <is>
          <t>Bengaluru – BWSSB</t>
        </is>
      </c>
      <c r="C54" s="2" t="inlineStr"/>
      <c r="D54" s="2">
        <f>IFERROR('DPG5b'!J13,"")</f>
        <v/>
      </c>
      <c r="E54" s="2" t="inlineStr"/>
      <c r="F54" s="10" t="n"/>
      <c r="G54" s="10" t="n"/>
      <c r="H54" s="2">
        <f>IF(OR(F54="",NOT(ISNUMBER(D54))),"",IF(ABS(F54-D54)&lt;0.001,"Yes","No"))</f>
        <v/>
      </c>
      <c r="I54" s="2" t="inlineStr">
        <is>
          <t>Left for a person</t>
        </is>
      </c>
      <c r="J54" s="2" t="inlineStr">
        <is>
          <t>Insufficient Evidence</t>
        </is>
      </c>
      <c r="K54" s="2" t="inlineStr"/>
      <c r="L54" s="2" t="inlineStr"/>
      <c r="M54" s="2" t="inlineStr"/>
      <c r="N54" s="2" t="inlineStr"/>
      <c r="O54" s="2" t="inlineStr"/>
      <c r="P54" s="2" t="inlineStr">
        <is>
          <t>Step 2 found no evidence: a source needs to be found and added. Step 2 found no evidence (Insufficient Evidence).</t>
        </is>
      </c>
    </row>
    <row r="55">
      <c r="A55" s="2" t="inlineStr">
        <is>
          <t>DPG5b</t>
        </is>
      </c>
      <c r="B55" s="2" t="inlineStr">
        <is>
          <t>Bengaluru – BMTC</t>
        </is>
      </c>
      <c r="C55" s="2" t="inlineStr"/>
      <c r="D55" s="2">
        <f>IFERROR('DPG5b'!J14,"")</f>
        <v/>
      </c>
      <c r="E55" s="2" t="inlineStr"/>
      <c r="F55" s="10" t="n"/>
      <c r="G55" s="10" t="n"/>
      <c r="H55" s="2">
        <f>IF(OR(F55="",NOT(ISNUMBER(D55))),"",IF(ABS(F55-D55)&lt;0.001,"Yes","No"))</f>
        <v/>
      </c>
      <c r="I55" s="2" t="inlineStr">
        <is>
          <t>Left for a person</t>
        </is>
      </c>
      <c r="J55" s="2" t="inlineStr">
        <is>
          <t>Insufficient Evidence</t>
        </is>
      </c>
      <c r="K55" s="2" t="inlineStr"/>
      <c r="L55" s="2" t="inlineStr"/>
      <c r="M55" s="2" t="inlineStr"/>
      <c r="N55" s="2" t="inlineStr"/>
      <c r="O55" s="2" t="inlineStr"/>
      <c r="P55" s="2" t="inlineStr">
        <is>
          <t>Step 2 found no evidence: a source needs to be found and added. Step 2 found no evidence (Insufficient Evidence).</t>
        </is>
      </c>
    </row>
    <row r="56">
      <c r="A56" s="2" t="inlineStr">
        <is>
          <t>DPG5b</t>
        </is>
      </c>
      <c r="B56" s="2" t="inlineStr">
        <is>
          <t>Bengaluru – BDA</t>
        </is>
      </c>
      <c r="C56" s="2" t="inlineStr"/>
      <c r="D56" s="2">
        <f>IFERROR('DPG5b'!J15,"")</f>
        <v/>
      </c>
      <c r="E56" s="2" t="inlineStr"/>
      <c r="F56" s="10" t="n"/>
      <c r="G56" s="10" t="n"/>
      <c r="H56" s="2">
        <f>IF(OR(F56="",NOT(ISNUMBER(D56))),"",IF(ABS(F56-D56)&lt;0.001,"Yes","No"))</f>
        <v/>
      </c>
      <c r="I56" s="2" t="inlineStr">
        <is>
          <t>Left for a person</t>
        </is>
      </c>
      <c r="J56" s="2" t="inlineStr">
        <is>
          <t>Insufficient Evidence</t>
        </is>
      </c>
      <c r="K56" s="2" t="inlineStr"/>
      <c r="L56" s="2" t="inlineStr"/>
      <c r="M56" s="2" t="inlineStr"/>
      <c r="N56" s="2" t="inlineStr"/>
      <c r="O56" s="2" t="inlineStr"/>
      <c r="P56" s="2" t="inlineStr">
        <is>
          <t>Step 2 found no evidence: a source needs to be found and added. Step 2 found no evidence (Insufficient Evidence).</t>
        </is>
      </c>
    </row>
    <row r="57">
      <c r="A57" s="2" t="inlineStr">
        <is>
          <t>DPG5b</t>
        </is>
      </c>
      <c r="B57" s="2" t="inlineStr">
        <is>
          <t>Bengaluru – BMRCL</t>
        </is>
      </c>
      <c r="C57" s="2" t="inlineStr"/>
      <c r="D57" s="2">
        <f>IFERROR('DPG5b'!J16,"")</f>
        <v/>
      </c>
      <c r="E57" s="2" t="inlineStr"/>
      <c r="F57" s="10" t="n"/>
      <c r="G57" s="10" t="n"/>
      <c r="H57" s="2">
        <f>IF(OR(F57="",NOT(ISNUMBER(D57))),"",IF(ABS(F57-D57)&lt;0.001,"Yes","No"))</f>
        <v/>
      </c>
      <c r="I57" s="2" t="inlineStr">
        <is>
          <t>Left for a person</t>
        </is>
      </c>
      <c r="J57" s="2" t="inlineStr">
        <is>
          <t>Insufficient Evidence</t>
        </is>
      </c>
      <c r="K57" s="2" t="inlineStr"/>
      <c r="L57" s="2" t="inlineStr"/>
      <c r="M57" s="2" t="inlineStr"/>
      <c r="N57" s="2" t="inlineStr"/>
      <c r="O57" s="2" t="inlineStr"/>
      <c r="P57" s="2" t="inlineStr">
        <is>
          <t>Step 2 found no evidence: a source needs to be found and added. Step 2 found no evidence (Insufficient Evidence).</t>
        </is>
      </c>
    </row>
    <row r="58">
      <c r="A58" s="2" t="inlineStr">
        <is>
          <t>DPG5b</t>
        </is>
      </c>
      <c r="B58" s="2" t="inlineStr">
        <is>
          <t>Bengaluru – BMRDA</t>
        </is>
      </c>
      <c r="C58" s="2" t="inlineStr"/>
      <c r="D58" s="2">
        <f>IFERROR('DPG5b'!J17,"")</f>
        <v/>
      </c>
      <c r="E58" s="2" t="inlineStr"/>
      <c r="F58" s="10" t="n"/>
      <c r="G58" s="10" t="n"/>
      <c r="H58" s="2">
        <f>IF(OR(F58="",NOT(ISNUMBER(D58))),"",IF(ABS(F58-D58)&lt;0.001,"Yes","No"))</f>
        <v/>
      </c>
      <c r="I58" s="2" t="inlineStr">
        <is>
          <t>Left for a person</t>
        </is>
      </c>
      <c r="J58" s="2" t="inlineStr">
        <is>
          <t>Insufficient Evidence</t>
        </is>
      </c>
      <c r="K58" s="2" t="inlineStr"/>
      <c r="L58" s="2" t="inlineStr"/>
      <c r="M58" s="2" t="inlineStr"/>
      <c r="N58" s="2" t="inlineStr"/>
      <c r="O58" s="2" t="inlineStr"/>
      <c r="P58" s="2" t="inlineStr">
        <is>
          <t>Step 2 found no evidence: a source needs to be found and added. Step 2 found no evidence (Insufficient Evidence). Source needed: Saved copies of three things: (1) BMRDA's 'Budget and Annual Reports' page, listing every year published; (2) the latest annual report or financial statement PDF, showing whether audited accounts and the auditor's certificate are included, which FY is covered, and the file type (text PDF, scanned PDF, XLS/CSV); (3) if BMRDA does not publish them, audit reports on BMRDA accounts for FY 2024-25 or FY 2025-26 from the Karnataka audit authority (CAG or State Accounts/Local Fund Audit), or papers laid before the Karnataka Legislature.</t>
        </is>
      </c>
    </row>
    <row r="59">
      <c r="A59" s="2" t="inlineStr">
        <is>
          <t>DPG5c</t>
        </is>
      </c>
      <c r="B59" s="2" t="inlineStr">
        <is>
          <t>Bengaluru – BWSSB</t>
        </is>
      </c>
      <c r="C59" s="2" t="inlineStr"/>
      <c r="D59" s="2">
        <f>IFERROR('DPG5c'!J13,"")</f>
        <v/>
      </c>
      <c r="E59" s="2" t="inlineStr"/>
      <c r="F59" s="10" t="n"/>
      <c r="G59" s="10" t="n"/>
      <c r="H59" s="2">
        <f>IF(OR(F59="",NOT(ISNUMBER(D59))),"",IF(ABS(F59-D59)&lt;0.001,"Yes","No"))</f>
        <v/>
      </c>
      <c r="I59" s="2" t="inlineStr">
        <is>
          <t>Left for a person</t>
        </is>
      </c>
      <c r="J59" s="2" t="inlineStr">
        <is>
          <t>Insufficient Evidence</t>
        </is>
      </c>
      <c r="K59" s="2" t="inlineStr"/>
      <c r="L59" s="2" t="inlineStr"/>
      <c r="M59" s="2" t="inlineStr"/>
      <c r="N59" s="2" t="inlineStr"/>
      <c r="O59" s="2" t="inlineStr"/>
      <c r="P59" s="2" t="inlineStr">
        <is>
          <t>Step 2 found no evidence: a source needs to be found and added. Step 2 found no evidence (Insufficient Evidence).</t>
        </is>
      </c>
    </row>
    <row r="60">
      <c r="A60" s="2" t="inlineStr">
        <is>
          <t>DPG5c</t>
        </is>
      </c>
      <c r="B60" s="2" t="inlineStr">
        <is>
          <t>Bengaluru – BMTC</t>
        </is>
      </c>
      <c r="C60" s="2" t="inlineStr"/>
      <c r="D60" s="2">
        <f>IFERROR('DPG5c'!J14,"")</f>
        <v/>
      </c>
      <c r="E60" s="2" t="inlineStr"/>
      <c r="F60" s="10" t="n"/>
      <c r="G60" s="10" t="n"/>
      <c r="H60" s="2">
        <f>IF(OR(F60="",NOT(ISNUMBER(D60))),"",IF(ABS(F60-D60)&lt;0.001,"Yes","No"))</f>
        <v/>
      </c>
      <c r="I60" s="2" t="inlineStr">
        <is>
          <t>Left for a person</t>
        </is>
      </c>
      <c r="J60" s="2" t="inlineStr">
        <is>
          <t>Insufficient Evidence</t>
        </is>
      </c>
      <c r="K60" s="2" t="inlineStr"/>
      <c r="L60" s="2" t="inlineStr"/>
      <c r="M60" s="2" t="inlineStr"/>
      <c r="N60" s="2" t="inlineStr"/>
      <c r="O60" s="2" t="inlineStr"/>
      <c r="P60" s="2" t="inlineStr">
        <is>
          <t>Step 2 found no evidence: a source needs to be found and added. Step 2 found no evidence (Insufficient Evidence).</t>
        </is>
      </c>
    </row>
    <row r="61">
      <c r="A61" s="2" t="inlineStr">
        <is>
          <t>DPG5c</t>
        </is>
      </c>
      <c r="B61" s="2" t="inlineStr">
        <is>
          <t>Bengaluru – BDA</t>
        </is>
      </c>
      <c r="C61" s="2" t="inlineStr"/>
      <c r="D61" s="2">
        <f>IFERROR('DPG5c'!J15,"")</f>
        <v/>
      </c>
      <c r="E61" s="2" t="inlineStr"/>
      <c r="F61" s="10" t="n"/>
      <c r="G61" s="10" t="n"/>
      <c r="H61" s="2">
        <f>IF(OR(F61="",NOT(ISNUMBER(D61))),"",IF(ABS(F61-D61)&lt;0.001,"Yes","No"))</f>
        <v/>
      </c>
      <c r="I61" s="2" t="inlineStr">
        <is>
          <t>Left for a person</t>
        </is>
      </c>
      <c r="J61" s="2" t="inlineStr">
        <is>
          <t>Insufficient Evidence</t>
        </is>
      </c>
      <c r="K61" s="2" t="inlineStr"/>
      <c r="L61" s="2" t="inlineStr"/>
      <c r="M61" s="2" t="inlineStr"/>
      <c r="N61" s="2" t="inlineStr"/>
      <c r="O61" s="2" t="inlineStr"/>
      <c r="P61" s="2" t="inlineStr">
        <is>
          <t>Step 2 found no evidence: a source needs to be found and added. Step 2 found no evidence (Insufficient Evidence).</t>
        </is>
      </c>
    </row>
    <row r="62">
      <c r="A62" s="2" t="inlineStr">
        <is>
          <t>DPG5c</t>
        </is>
      </c>
      <c r="B62" s="2" t="inlineStr">
        <is>
          <t>Bengaluru – BMRCL</t>
        </is>
      </c>
      <c r="C62" s="2" t="inlineStr"/>
      <c r="D62" s="2">
        <f>IFERROR('DPG5c'!J16,"")</f>
        <v/>
      </c>
      <c r="E62" s="2" t="inlineStr"/>
      <c r="F62" s="10" t="n"/>
      <c r="G62" s="10" t="n"/>
      <c r="H62" s="2">
        <f>IF(OR(F62="",NOT(ISNUMBER(D62))),"",IF(ABS(F62-D62)&lt;0.001,"Yes","No"))</f>
        <v/>
      </c>
      <c r="I62" s="2" t="inlineStr">
        <is>
          <t>Left for a person</t>
        </is>
      </c>
      <c r="J62" s="2" t="inlineStr">
        <is>
          <t>Insufficient Evidence</t>
        </is>
      </c>
      <c r="K62" s="2" t="inlineStr"/>
      <c r="L62" s="2" t="inlineStr"/>
      <c r="M62" s="2" t="inlineStr"/>
      <c r="N62" s="2" t="inlineStr"/>
      <c r="O62" s="2" t="inlineStr"/>
      <c r="P62" s="2" t="inlineStr">
        <is>
          <t>Step 2 found no evidence: a source needs to be found and added. Step 2 found no evidence (Insufficient Evidence).</t>
        </is>
      </c>
    </row>
    <row r="63">
      <c r="A63" s="2" t="inlineStr">
        <is>
          <t>DPG5c</t>
        </is>
      </c>
      <c r="B63" s="2" t="inlineStr">
        <is>
          <t>Bengaluru – BMRDA</t>
        </is>
      </c>
      <c r="C63" s="2" t="inlineStr"/>
      <c r="D63" s="2">
        <f>IFERROR('DPG5c'!J17,"")</f>
        <v/>
      </c>
      <c r="E63" s="2" t="inlineStr"/>
      <c r="F63" s="10" t="n"/>
      <c r="G63" s="10" t="n"/>
      <c r="H63" s="2">
        <f>IF(OR(F63="",NOT(ISNUMBER(D63))),"",IF(ABS(F63-D63)&lt;0.001,"Yes","No"))</f>
        <v/>
      </c>
      <c r="I63" s="2" t="inlineStr">
        <is>
          <t>Left for a person</t>
        </is>
      </c>
      <c r="J63" s="2" t="inlineStr">
        <is>
          <t>Insufficient Evidence</t>
        </is>
      </c>
      <c r="K63" s="2" t="inlineStr"/>
      <c r="L63" s="2" t="inlineStr"/>
      <c r="M63" s="2" t="inlineStr"/>
      <c r="N63" s="2" t="inlineStr"/>
      <c r="O63" s="2" t="inlineStr"/>
      <c r="P63" s="2" t="inlineStr">
        <is>
          <t>Step 2 found no evidence: a source needs to be found and added. Step 2 found no evidence (Insufficient Evidence). Source needed: Three things are needed: (1) a saved, dated copy of BMRDA's Budget and Annual Reports listing page, showing every annual report posted and its FY, including whether a 2024-25 or 2025-26 report exists; (2) the latest annual report PDF itself, opened and saved, to confirm its FY and whether the text is searchable or a scanned image; (3) optionally, the Karnataka Legislature papers-laid record of BMRDA annual reports, to fix which report was 'latest due'.</t>
        </is>
      </c>
    </row>
    <row r="64">
      <c r="A64" s="2" t="inlineStr">
        <is>
          <t>DPG5d</t>
        </is>
      </c>
      <c r="B64" s="2" t="inlineStr">
        <is>
          <t>Bengaluru – BWSSB</t>
        </is>
      </c>
      <c r="C64" s="2" t="inlineStr"/>
      <c r="D64" s="2">
        <f>IFERROR('DPG5d'!J13,"")</f>
        <v/>
      </c>
      <c r="E64" s="2" t="inlineStr"/>
      <c r="F64" s="10" t="n"/>
      <c r="G64" s="10" t="n"/>
      <c r="H64" s="2">
        <f>IF(OR(F64="",NOT(ISNUMBER(D64))),"",IF(ABS(F64-D64)&lt;0.001,"Yes","No"))</f>
        <v/>
      </c>
      <c r="I64" s="2" t="inlineStr">
        <is>
          <t>Left for a person</t>
        </is>
      </c>
      <c r="J64" s="2" t="inlineStr">
        <is>
          <t>Insufficient Evidence</t>
        </is>
      </c>
      <c r="K64" s="2" t="inlineStr"/>
      <c r="L64" s="2" t="inlineStr"/>
      <c r="M64" s="2" t="inlineStr"/>
      <c r="N64" s="2" t="inlineStr"/>
      <c r="O64" s="2" t="inlineStr"/>
      <c r="P64" s="2" t="inlineStr">
        <is>
          <t>Step 2 found no evidence: a source needs to be found and added. Step 2 found no evidence (Insufficient Evidence).</t>
        </is>
      </c>
    </row>
    <row r="65">
      <c r="A65" s="2" t="inlineStr">
        <is>
          <t>DPG5d</t>
        </is>
      </c>
      <c r="B65" s="2" t="inlineStr">
        <is>
          <t>Bengaluru – BMTC</t>
        </is>
      </c>
      <c r="C65" s="2" t="inlineStr"/>
      <c r="D65" s="2">
        <f>IFERROR('DPG5d'!J14,"")</f>
        <v/>
      </c>
      <c r="E65" s="2" t="inlineStr"/>
      <c r="F65" s="10" t="n"/>
      <c r="G65" s="10" t="n"/>
      <c r="H65" s="2">
        <f>IF(OR(F65="",NOT(ISNUMBER(D65))),"",IF(ABS(F65-D65)&lt;0.001,"Yes","No"))</f>
        <v/>
      </c>
      <c r="I65" s="2" t="inlineStr">
        <is>
          <t>Left for a person</t>
        </is>
      </c>
      <c r="J65" s="2" t="inlineStr">
        <is>
          <t>Insufficient Evidence</t>
        </is>
      </c>
      <c r="K65" s="2" t="inlineStr"/>
      <c r="L65" s="2" t="inlineStr"/>
      <c r="M65" s="2" t="inlineStr"/>
      <c r="N65" s="2" t="inlineStr"/>
      <c r="O65" s="2" t="inlineStr"/>
      <c r="P65" s="2" t="inlineStr">
        <is>
          <t>Step 2 found no evidence: a source needs to be found and added. Step 2 found no evidence (Insufficient Evidence).</t>
        </is>
      </c>
    </row>
    <row r="66">
      <c r="A66" s="2" t="inlineStr">
        <is>
          <t>DPG5d</t>
        </is>
      </c>
      <c r="B66" s="2" t="inlineStr">
        <is>
          <t>Bengaluru – BDA</t>
        </is>
      </c>
      <c r="C66" s="2" t="inlineStr"/>
      <c r="D66" s="2">
        <f>IFERROR('DPG5d'!J15,"")</f>
        <v/>
      </c>
      <c r="E66" s="2" t="inlineStr"/>
      <c r="F66" s="10" t="n"/>
      <c r="G66" s="10" t="n"/>
      <c r="H66" s="2">
        <f>IF(OR(F66="",NOT(ISNUMBER(D66))),"",IF(ABS(F66-D66)&lt;0.001,"Yes","No"))</f>
        <v/>
      </c>
      <c r="I66" s="2" t="inlineStr">
        <is>
          <t>Left for a person</t>
        </is>
      </c>
      <c r="J66" s="2" t="inlineStr">
        <is>
          <t>Insufficient Evidence</t>
        </is>
      </c>
      <c r="K66" s="2" t="inlineStr"/>
      <c r="L66" s="2" t="inlineStr"/>
      <c r="M66" s="2" t="inlineStr"/>
      <c r="N66" s="2" t="inlineStr"/>
      <c r="O66" s="2" t="inlineStr"/>
      <c r="P66" s="2" t="inlineStr">
        <is>
          <t>Step 2 found no evidence: a source needs to be found and added. Step 2 found no evidence (Insufficient Evidence).</t>
        </is>
      </c>
    </row>
    <row r="67">
      <c r="A67" s="2" t="inlineStr">
        <is>
          <t>DPG5d</t>
        </is>
      </c>
      <c r="B67" s="2" t="inlineStr">
        <is>
          <t>Bengaluru – BMRCL</t>
        </is>
      </c>
      <c r="C67" s="2" t="inlineStr"/>
      <c r="D67" s="2">
        <f>IFERROR('DPG5d'!J16,"")</f>
        <v/>
      </c>
      <c r="E67" s="2" t="inlineStr"/>
      <c r="F67" s="10" t="n"/>
      <c r="G67" s="10" t="n"/>
      <c r="H67" s="2">
        <f>IF(OR(F67="",NOT(ISNUMBER(D67))),"",IF(ABS(F67-D67)&lt;0.001,"Yes","No"))</f>
        <v/>
      </c>
      <c r="I67" s="2" t="inlineStr">
        <is>
          <t>Left for a person</t>
        </is>
      </c>
      <c r="J67" s="2" t="inlineStr">
        <is>
          <t>Insufficient Evidence</t>
        </is>
      </c>
      <c r="K67" s="2" t="inlineStr"/>
      <c r="L67" s="2" t="inlineStr"/>
      <c r="M67" s="2" t="inlineStr"/>
      <c r="N67" s="2" t="inlineStr"/>
      <c r="O67" s="2" t="inlineStr"/>
      <c r="P67" s="2" t="inlineStr">
        <is>
          <t>Step 2 found no evidence: a source needs to be found and added. Step 2 found no evidence (Insufficient Evidence).</t>
        </is>
      </c>
    </row>
    <row r="68">
      <c r="A68" s="2" t="inlineStr">
        <is>
          <t>DPG5d</t>
        </is>
      </c>
      <c r="B68" s="2" t="inlineStr">
        <is>
          <t>Bengaluru – BMRDA</t>
        </is>
      </c>
      <c r="C68" s="2" t="inlineStr"/>
      <c r="D68" s="2">
        <f>IFERROR('DPG5d'!J17,"")</f>
        <v/>
      </c>
      <c r="E68" s="2" t="inlineStr"/>
      <c r="F68" s="10" t="n"/>
      <c r="G68" s="10" t="n"/>
      <c r="H68" s="2">
        <f>IF(OR(F68="",NOT(ISNUMBER(D68))),"",IF(ABS(F68-D68)&lt;0.001,"Yes","No"))</f>
        <v/>
      </c>
      <c r="I68" s="2" t="inlineStr">
        <is>
          <t>Left for a person</t>
        </is>
      </c>
      <c r="J68" s="2" t="inlineStr">
        <is>
          <t>Insufficient Evidence</t>
        </is>
      </c>
      <c r="K68" s="2" t="inlineStr"/>
      <c r="L68" s="2" t="inlineStr"/>
      <c r="M68" s="2" t="inlineStr"/>
      <c r="N68" s="2" t="inlineStr"/>
      <c r="O68" s="2" t="inlineStr"/>
      <c r="P68" s="2" t="inlineStr">
        <is>
          <t>Step 2 found no evidence: a source needs to be found and added. Step 2 found no evidence (Insufficient Evidence). Source needed: Needed: (1) a capture of BMRDA's website sitemap and of any Authority/board meeting page, showing whether minutes or proceedings of BMRDA Authority meetings (under the BMRDA Act, 1985) are posted, with the meeting dates; (2) the RTI s.4(1)(b) proactive disclosure PDF, which may list or link meeting records; (3) the latest Annual Report (2023-24 or later), which may report board meetings held. For any minutes found, record the meeting date/FY and the file type (searchable PDF, HTML, DOC/DOCX or scanned image). Add dated screenshots.</t>
        </is>
      </c>
    </row>
    <row r="69">
      <c r="A69" s="2" t="inlineStr">
        <is>
          <t>DPG5f</t>
        </is>
      </c>
      <c r="B69" s="2" t="inlineStr">
        <is>
          <t>Bengaluru – BWSSB</t>
        </is>
      </c>
      <c r="C69" s="2" t="inlineStr"/>
      <c r="D69" s="2">
        <f>IFERROR('DPG5f'!J13,"")</f>
        <v/>
      </c>
      <c r="E69" s="2" t="inlineStr"/>
      <c r="F69" s="10" t="n"/>
      <c r="G69" s="10" t="n"/>
      <c r="H69" s="2">
        <f>IF(OR(F69="",NOT(ISNUMBER(D69))),"",IF(ABS(F69-D69)&lt;0.001,"Yes","No"))</f>
        <v/>
      </c>
      <c r="I69" s="2" t="inlineStr">
        <is>
          <t>Left for a person</t>
        </is>
      </c>
      <c r="J69" s="2" t="inlineStr">
        <is>
          <t>Insufficient Evidence</t>
        </is>
      </c>
      <c r="K69" s="2" t="inlineStr"/>
      <c r="L69" s="2" t="inlineStr"/>
      <c r="M69" s="2" t="inlineStr"/>
      <c r="N69" s="2" t="inlineStr"/>
      <c r="O69" s="2" t="inlineStr"/>
      <c r="P69" s="2" t="inlineStr">
        <is>
          <t>Step 2 found no evidence: a source needs to be found and added. Step 2 found no evidence (Insufficient Evidence).</t>
        </is>
      </c>
    </row>
    <row r="70">
      <c r="A70" s="2" t="inlineStr">
        <is>
          <t>DPG5f</t>
        </is>
      </c>
      <c r="B70" s="2" t="inlineStr">
        <is>
          <t>Bengaluru – BMTC</t>
        </is>
      </c>
      <c r="C70" s="2" t="inlineStr"/>
      <c r="D70" s="2">
        <f>IFERROR('DPG5f'!J14,"")</f>
        <v/>
      </c>
      <c r="E70" s="2" t="inlineStr"/>
      <c r="F70" s="10" t="n"/>
      <c r="G70" s="10" t="n"/>
      <c r="H70" s="2">
        <f>IF(OR(F70="",NOT(ISNUMBER(D70))),"",IF(ABS(F70-D70)&lt;0.001,"Yes","No"))</f>
        <v/>
      </c>
      <c r="I70" s="2" t="inlineStr">
        <is>
          <t>Left for a person</t>
        </is>
      </c>
      <c r="J70" s="2" t="inlineStr">
        <is>
          <t>Insufficient Evidence</t>
        </is>
      </c>
      <c r="K70" s="2" t="inlineStr"/>
      <c r="L70" s="2" t="inlineStr"/>
      <c r="M70" s="2" t="inlineStr"/>
      <c r="N70" s="2" t="inlineStr"/>
      <c r="O70" s="2" t="inlineStr"/>
      <c r="P70" s="2" t="inlineStr">
        <is>
          <t>Step 2 found no evidence: a source needs to be found and added. Step 2 found no evidence (Insufficient Evidence).</t>
        </is>
      </c>
    </row>
    <row r="71">
      <c r="A71" s="2" t="inlineStr">
        <is>
          <t>DPG5f</t>
        </is>
      </c>
      <c r="B71" s="2" t="inlineStr">
        <is>
          <t>Bengaluru – BDA</t>
        </is>
      </c>
      <c r="C71" s="2" t="inlineStr"/>
      <c r="D71" s="2">
        <f>IFERROR('DPG5f'!J15,"")</f>
        <v/>
      </c>
      <c r="E71" s="2" t="inlineStr"/>
      <c r="F71" s="10" t="n"/>
      <c r="G71" s="10" t="n"/>
      <c r="H71" s="2">
        <f>IF(OR(F71="",NOT(ISNUMBER(D71))),"",IF(ABS(F71-D71)&lt;0.001,"Yes","No"))</f>
        <v/>
      </c>
      <c r="I71" s="2" t="inlineStr">
        <is>
          <t>Left for a person</t>
        </is>
      </c>
      <c r="J71" s="2" t="inlineStr">
        <is>
          <t>Insufficient Evidence</t>
        </is>
      </c>
      <c r="K71" s="2" t="inlineStr"/>
      <c r="L71" s="2" t="inlineStr"/>
      <c r="M71" s="2" t="inlineStr"/>
      <c r="N71" s="2" t="inlineStr"/>
      <c r="O71" s="2" t="inlineStr"/>
      <c r="P71" s="2" t="inlineStr">
        <is>
          <t>Step 2 found no evidence: a source needs to be found and added. Step 2 found no evidence (Insufficient Evidence).</t>
        </is>
      </c>
    </row>
    <row r="72">
      <c r="A72" s="2" t="inlineStr">
        <is>
          <t>DPG5f</t>
        </is>
      </c>
      <c r="B72" s="2" t="inlineStr">
        <is>
          <t>Bengaluru – BMRCL</t>
        </is>
      </c>
      <c r="C72" s="2" t="inlineStr"/>
      <c r="D72" s="2">
        <f>IFERROR('DPG5f'!J16,"")</f>
        <v/>
      </c>
      <c r="E72" s="2" t="inlineStr"/>
      <c r="F72" s="10" t="n"/>
      <c r="G72" s="10" t="n"/>
      <c r="H72" s="2">
        <f>IF(OR(F72="",NOT(ISNUMBER(D72))),"",IF(ABS(F72-D72)&lt;0.001,"Yes","No"))</f>
        <v/>
      </c>
      <c r="I72" s="2" t="inlineStr">
        <is>
          <t>Left for a person</t>
        </is>
      </c>
      <c r="J72" s="2" t="inlineStr">
        <is>
          <t>Insufficient Evidence</t>
        </is>
      </c>
      <c r="K72" s="2" t="inlineStr"/>
      <c r="L72" s="2" t="inlineStr"/>
      <c r="M72" s="2" t="inlineStr"/>
      <c r="N72" s="2" t="inlineStr"/>
      <c r="O72" s="2" t="inlineStr"/>
      <c r="P72" s="2" t="inlineStr">
        <is>
          <t>Step 2 found no evidence: a source needs to be found and added. Step 2 found no evidence (Insufficient Evidence).</t>
        </is>
      </c>
    </row>
    <row r="73">
      <c r="A73" s="2" t="inlineStr">
        <is>
          <t>DPG5f</t>
        </is>
      </c>
      <c r="B73" s="2" t="inlineStr">
        <is>
          <t>Bengaluru – BMRDA</t>
        </is>
      </c>
      <c r="C73" s="2" t="inlineStr"/>
      <c r="D73" s="2">
        <f>IFERROR('DPG5f'!J17,"")</f>
        <v/>
      </c>
      <c r="E73" s="2" t="inlineStr"/>
      <c r="F73" s="10" t="n"/>
      <c r="G73" s="10" t="n"/>
      <c r="H73" s="2">
        <f>IF(OR(F73="",NOT(ISNUMBER(D73))),"",IF(ABS(F73-D73)&lt;0.001,"Yes","No"))</f>
        <v/>
      </c>
      <c r="I73" s="2" t="inlineStr">
        <is>
          <t>Left for a person</t>
        </is>
      </c>
      <c r="J73" s="2" t="inlineStr">
        <is>
          <t>Insufficient Evidence</t>
        </is>
      </c>
      <c r="K73" s="2" t="inlineStr"/>
      <c r="L73" s="2" t="inlineStr"/>
      <c r="M73" s="2" t="inlineStr"/>
      <c r="N73" s="2" t="inlineStr"/>
      <c r="O73" s="2" t="inlineStr"/>
      <c r="P73" s="2" t="inlineStr">
        <is>
          <t>Step 2 found no evidence: a source needs to be found and added. Step 2 found no evidence (Insufficient Evidence). Source needed: A saved, dated copy of BMRDA's organisation structure document (ORGNkannada.pdf) showing its date or FY and whether its text can be searched (or whether it is image-only or scanned). Alternatively, BMRDA's current RTI section 4(1)(b) disclosure (directory of officers and employees with designations) or an HTML staff/contact directory on the BMRDA website, dated within FY 2025-26 or 2026-27.</t>
        </is>
      </c>
    </row>
    <row r="74">
      <c r="A74" s="2" t="inlineStr">
        <is>
          <t>DPG5g</t>
        </is>
      </c>
      <c r="B74" s="2" t="inlineStr">
        <is>
          <t>Bengaluru – BWSSB</t>
        </is>
      </c>
      <c r="C74" s="2" t="inlineStr"/>
      <c r="D74" s="2">
        <f>IFERROR('DPG5g'!J13,"")</f>
        <v/>
      </c>
      <c r="E74" s="2" t="inlineStr"/>
      <c r="F74" s="10" t="n"/>
      <c r="G74" s="10" t="n"/>
      <c r="H74" s="2">
        <f>IF(OR(F74="",NOT(ISNUMBER(D74))),"",IF(ABS(F74-D74)&lt;0.001,"Yes","No"))</f>
        <v/>
      </c>
      <c r="I74" s="2" t="inlineStr">
        <is>
          <t>Left for a person</t>
        </is>
      </c>
      <c r="J74" s="2" t="inlineStr">
        <is>
          <t>Insufficient Evidence</t>
        </is>
      </c>
      <c r="K74" s="2" t="inlineStr"/>
      <c r="L74" s="2" t="inlineStr"/>
      <c r="M74" s="2" t="inlineStr"/>
      <c r="N74" s="2" t="inlineStr"/>
      <c r="O74" s="2" t="inlineStr"/>
      <c r="P74" s="2" t="inlineStr">
        <is>
          <t>Step 2 found no evidence: a source needs to be found and added. Step 2 found no evidence (Insufficient Evidence).</t>
        </is>
      </c>
    </row>
    <row r="75">
      <c r="A75" s="2" t="inlineStr">
        <is>
          <t>DPG5g</t>
        </is>
      </c>
      <c r="B75" s="2" t="inlineStr">
        <is>
          <t>Bengaluru – BMTC</t>
        </is>
      </c>
      <c r="C75" s="2" t="inlineStr"/>
      <c r="D75" s="2">
        <f>IFERROR('DPG5g'!J14,"")</f>
        <v/>
      </c>
      <c r="E75" s="2" t="inlineStr"/>
      <c r="F75" s="10" t="n"/>
      <c r="G75" s="10" t="n"/>
      <c r="H75" s="2">
        <f>IF(OR(F75="",NOT(ISNUMBER(D75))),"",IF(ABS(F75-D75)&lt;0.001,"Yes","No"))</f>
        <v/>
      </c>
      <c r="I75" s="2" t="inlineStr">
        <is>
          <t>Left for a person</t>
        </is>
      </c>
      <c r="J75" s="2" t="inlineStr">
        <is>
          <t>Insufficient Evidence</t>
        </is>
      </c>
      <c r="K75" s="2" t="inlineStr"/>
      <c r="L75" s="2" t="inlineStr"/>
      <c r="M75" s="2" t="inlineStr"/>
      <c r="N75" s="2" t="inlineStr"/>
      <c r="O75" s="2" t="inlineStr"/>
      <c r="P75" s="2" t="inlineStr">
        <is>
          <t>Step 2 found no evidence: a source needs to be found and added. Step 2 found no evidence (Insufficient Evidence).</t>
        </is>
      </c>
    </row>
    <row r="76">
      <c r="A76" s="2" t="inlineStr">
        <is>
          <t>DPG5g</t>
        </is>
      </c>
      <c r="B76" s="2" t="inlineStr">
        <is>
          <t>Bengaluru – BDA</t>
        </is>
      </c>
      <c r="C76" s="2" t="inlineStr"/>
      <c r="D76" s="2">
        <f>IFERROR('DPG5g'!J15,"")</f>
        <v/>
      </c>
      <c r="E76" s="2" t="inlineStr"/>
      <c r="F76" s="10" t="n"/>
      <c r="G76" s="10" t="n"/>
      <c r="H76" s="2">
        <f>IF(OR(F76="",NOT(ISNUMBER(D76))),"",IF(ABS(F76-D76)&lt;0.001,"Yes","No"))</f>
        <v/>
      </c>
      <c r="I76" s="2" t="inlineStr">
        <is>
          <t>Left for a person</t>
        </is>
      </c>
      <c r="J76" s="2" t="inlineStr">
        <is>
          <t>Insufficient Evidence</t>
        </is>
      </c>
      <c r="K76" s="2" t="inlineStr"/>
      <c r="L76" s="2" t="inlineStr"/>
      <c r="M76" s="2" t="inlineStr"/>
      <c r="N76" s="2" t="inlineStr"/>
      <c r="O76" s="2" t="inlineStr"/>
      <c r="P76" s="2" t="inlineStr">
        <is>
          <t>Step 2 found no evidence: a source needs to be found and added. Step 2 found no evidence (Insufficient Evidence).</t>
        </is>
      </c>
    </row>
    <row r="77">
      <c r="A77" s="2" t="inlineStr">
        <is>
          <t>DPG5g</t>
        </is>
      </c>
      <c r="B77" s="2" t="inlineStr">
        <is>
          <t>Bengaluru – BMRCL</t>
        </is>
      </c>
      <c r="C77" s="2" t="inlineStr"/>
      <c r="D77" s="2">
        <f>IFERROR('DPG5g'!J16,"")</f>
        <v/>
      </c>
      <c r="E77" s="2" t="inlineStr"/>
      <c r="F77" s="10" t="n"/>
      <c r="G77" s="10" t="n"/>
      <c r="H77" s="2">
        <f>IF(OR(F77="",NOT(ISNUMBER(D77))),"",IF(ABS(F77-D77)&lt;0.001,"Yes","No"))</f>
        <v/>
      </c>
      <c r="I77" s="2" t="inlineStr">
        <is>
          <t>Left for a person</t>
        </is>
      </c>
      <c r="J77" s="2" t="inlineStr">
        <is>
          <t>Insufficient Evidence</t>
        </is>
      </c>
      <c r="K77" s="2" t="inlineStr"/>
      <c r="L77" s="2" t="inlineStr"/>
      <c r="M77" s="2" t="inlineStr"/>
      <c r="N77" s="2" t="inlineStr"/>
      <c r="O77" s="2" t="inlineStr"/>
      <c r="P77" s="2" t="inlineStr">
        <is>
          <t>Step 2 found no evidence: a source needs to be found and added. Step 2 found no evidence (Insufficient Evidence).</t>
        </is>
      </c>
    </row>
    <row r="78">
      <c r="A78" s="2" t="inlineStr">
        <is>
          <t>DPG5g</t>
        </is>
      </c>
      <c r="B78" s="2" t="inlineStr">
        <is>
          <t>Bengaluru – BMRDA</t>
        </is>
      </c>
      <c r="C78" s="2" t="inlineStr"/>
      <c r="D78" s="2">
        <f>IFERROR('DPG5g'!J17,"")</f>
        <v/>
      </c>
      <c r="E78" s="2" t="inlineStr"/>
      <c r="F78" s="10" t="n"/>
      <c r="G78" s="10" t="n"/>
      <c r="H78" s="2">
        <f>IF(OR(F78="",NOT(ISNUMBER(D78))),"",IF(ABS(F78-D78)&lt;0.001,"Yes","No"))</f>
        <v/>
      </c>
      <c r="I78" s="2" t="inlineStr">
        <is>
          <t>Left for a person</t>
        </is>
      </c>
      <c r="J78" s="2" t="inlineStr">
        <is>
          <t>Insufficient Evidence</t>
        </is>
      </c>
      <c r="K78" s="2" t="inlineStr"/>
      <c r="L78" s="2" t="inlineStr"/>
      <c r="M78" s="2" t="inlineStr"/>
      <c r="N78" s="2" t="inlineStr"/>
      <c r="O78" s="2" t="inlineStr"/>
      <c r="P78" s="2" t="inlineStr">
        <is>
          <t>Step 2 found no evidence: a source needs to be found and added. Step 2 found no evidence (Insufficient Evidence). Source needed: Saved, opened copies of: (a) BMRDA's current major plan documents (Structure Plan report, Land Utilization Plan 2031 page, Transport Networks 2031 page, the LPA draft mobility plans), showing their publication or approval date and whether they are text-searchable or scanned/image-only; (b) any BMRDA page, table or downloadable list of ongoing projects (for example GBIT or road projects) dated FY 2025-26 or FY 2026-27; (c) the latest BMRDA annual report (FY 2024-25 or 2025-26) if it lists ongoing projects.</t>
        </is>
      </c>
    </row>
    <row r="79">
      <c r="A79" s="2" t="inlineStr">
        <is>
          <t>DPG5h</t>
        </is>
      </c>
      <c r="B79" s="2" t="inlineStr">
        <is>
          <t>Bengaluru – BWSSB</t>
        </is>
      </c>
      <c r="C79" s="2" t="inlineStr"/>
      <c r="D79" s="2">
        <f>IFERROR('DPG5h'!J13,"")</f>
        <v/>
      </c>
      <c r="E79" s="2" t="inlineStr"/>
      <c r="F79" s="10" t="n"/>
      <c r="G79" s="10" t="n"/>
      <c r="H79" s="2">
        <f>IF(OR(F79="",NOT(ISNUMBER(D79))),"",IF(ABS(F79-D79)&lt;0.001,"Yes","No"))</f>
        <v/>
      </c>
      <c r="I79" s="2" t="inlineStr">
        <is>
          <t>Left for a person</t>
        </is>
      </c>
      <c r="J79" s="2" t="inlineStr">
        <is>
          <t>Insufficient Evidence</t>
        </is>
      </c>
      <c r="K79" s="2" t="inlineStr"/>
      <c r="L79" s="2" t="inlineStr"/>
      <c r="M79" s="2" t="inlineStr"/>
      <c r="N79" s="2" t="inlineStr"/>
      <c r="O79" s="2" t="inlineStr"/>
      <c r="P79" s="2" t="inlineStr">
        <is>
          <t>Step 2 found no evidence: a source needs to be found and added. Step 2 found no evidence (Insufficient Evidence).</t>
        </is>
      </c>
    </row>
    <row r="80">
      <c r="A80" s="2" t="inlineStr">
        <is>
          <t>DPG5h</t>
        </is>
      </c>
      <c r="B80" s="2" t="inlineStr">
        <is>
          <t>Bengaluru – BMTC</t>
        </is>
      </c>
      <c r="C80" s="2" t="inlineStr"/>
      <c r="D80" s="2">
        <f>IFERROR('DPG5h'!J14,"")</f>
        <v/>
      </c>
      <c r="E80" s="2" t="inlineStr"/>
      <c r="F80" s="10" t="n"/>
      <c r="G80" s="10" t="n"/>
      <c r="H80" s="2">
        <f>IF(OR(F80="",NOT(ISNUMBER(D80))),"",IF(ABS(F80-D80)&lt;0.001,"Yes","No"))</f>
        <v/>
      </c>
      <c r="I80" s="2" t="inlineStr">
        <is>
          <t>Left for a person</t>
        </is>
      </c>
      <c r="J80" s="2" t="inlineStr">
        <is>
          <t>Insufficient Evidence</t>
        </is>
      </c>
      <c r="K80" s="2" t="inlineStr"/>
      <c r="L80" s="2" t="inlineStr"/>
      <c r="M80" s="2" t="inlineStr"/>
      <c r="N80" s="2" t="inlineStr"/>
      <c r="O80" s="2" t="inlineStr"/>
      <c r="P80" s="2" t="inlineStr">
        <is>
          <t>Step 2 found no evidence: a source needs to be found and added. Step 2 found no evidence (Insufficient Evidence).</t>
        </is>
      </c>
    </row>
    <row r="81">
      <c r="A81" s="2" t="inlineStr">
        <is>
          <t>DPG5h</t>
        </is>
      </c>
      <c r="B81" s="2" t="inlineStr">
        <is>
          <t>Bengaluru – BDA</t>
        </is>
      </c>
      <c r="C81" s="2" t="inlineStr"/>
      <c r="D81" s="2">
        <f>IFERROR('DPG5h'!J15,"")</f>
        <v/>
      </c>
      <c r="E81" s="2" t="inlineStr"/>
      <c r="F81" s="10" t="n"/>
      <c r="G81" s="10" t="n"/>
      <c r="H81" s="2">
        <f>IF(OR(F81="",NOT(ISNUMBER(D81))),"",IF(ABS(F81-D81)&lt;0.001,"Yes","No"))</f>
        <v/>
      </c>
      <c r="I81" s="2" t="inlineStr">
        <is>
          <t>Left for a person</t>
        </is>
      </c>
      <c r="J81" s="2" t="inlineStr">
        <is>
          <t>Insufficient Evidence</t>
        </is>
      </c>
      <c r="K81" s="2" t="inlineStr"/>
      <c r="L81" s="2" t="inlineStr"/>
      <c r="M81" s="2" t="inlineStr"/>
      <c r="N81" s="2" t="inlineStr"/>
      <c r="O81" s="2" t="inlineStr"/>
      <c r="P81" s="2" t="inlineStr">
        <is>
          <t>Step 2 found no evidence: a source needs to be found and added. Step 2 found no evidence (Insufficient Evidence).</t>
        </is>
      </c>
    </row>
    <row r="82">
      <c r="A82" s="2" t="inlineStr">
        <is>
          <t>DPG5h</t>
        </is>
      </c>
      <c r="B82" s="2" t="inlineStr">
        <is>
          <t>Bengaluru – BMRCL</t>
        </is>
      </c>
      <c r="C82" s="2" t="inlineStr"/>
      <c r="D82" s="2">
        <f>IFERROR('DPG5h'!J16,"")</f>
        <v/>
      </c>
      <c r="E82" s="2" t="inlineStr"/>
      <c r="F82" s="10" t="n"/>
      <c r="G82" s="10" t="n"/>
      <c r="H82" s="2">
        <f>IF(OR(F82="",NOT(ISNUMBER(D82))),"",IF(ABS(F82-D82)&lt;0.001,"Yes","No"))</f>
        <v/>
      </c>
      <c r="I82" s="2" t="inlineStr">
        <is>
          <t>Left for a person</t>
        </is>
      </c>
      <c r="J82" s="2" t="inlineStr">
        <is>
          <t>Insufficient Evidence</t>
        </is>
      </c>
      <c r="K82" s="2" t="inlineStr"/>
      <c r="L82" s="2" t="inlineStr"/>
      <c r="M82" s="2" t="inlineStr"/>
      <c r="N82" s="2" t="inlineStr"/>
      <c r="O82" s="2" t="inlineStr"/>
      <c r="P82" s="2" t="inlineStr">
        <is>
          <t>Step 2 found no evidence: a source needs to be found and added. Step 2 found no evidence (Insufficient Evidence).</t>
        </is>
      </c>
    </row>
    <row r="83">
      <c r="A83" s="2" t="inlineStr">
        <is>
          <t>DPG5h</t>
        </is>
      </c>
      <c r="B83" s="2" t="inlineStr">
        <is>
          <t>Bengaluru – BMRDA</t>
        </is>
      </c>
      <c r="C83" s="2" t="inlineStr"/>
      <c r="D83" s="2">
        <f>IFERROR('DPG5h'!J17,"")</f>
        <v/>
      </c>
      <c r="E83" s="2" t="inlineStr"/>
      <c r="F83" s="10" t="n"/>
      <c r="G83" s="10" t="n"/>
      <c r="H83" s="2">
        <f>IF(OR(F83="",NOT(ISNUMBER(D83))),"",IF(ABS(F83-D83)&lt;0.001,"Yes","No"))</f>
        <v/>
      </c>
      <c r="I83" s="2" t="inlineStr">
        <is>
          <t>Left for a person</t>
        </is>
      </c>
      <c r="J83" s="2" t="inlineStr">
        <is>
          <t>Insufficient Evidence</t>
        </is>
      </c>
      <c r="K83" s="2" t="inlineStr"/>
      <c r="L83" s="2" t="inlineStr"/>
      <c r="M83" s="2" t="inlineStr"/>
      <c r="N83" s="2" t="inlineStr"/>
      <c r="O83" s="2" t="inlineStr"/>
      <c r="P83" s="2" t="inlineStr">
        <is>
          <t>Step 2 found no evidence: a source needs to be found and added. Step 2 found no evidence (Insufficient Evidence). Source needed: Saved, dated copies of: (1) BMRDA's Budget and Annual Reports page and the latest annual report or performance report, ideally for FY 2025-26 or 2026-27, with any service-level or performance indicators; (2) the APA page and the 2020-23 local planning authority pages, to see what they contain; (3) any BMRDA performance dashboard or downloadable data (CSV/XLS/ODS) on its own site or on Karnataka's open data portal. For each, record the FY covered and the actual file type (structured data, text PDF or scanned PDF).</t>
        </is>
      </c>
    </row>
    <row r="84">
      <c r="A84" s="2" t="inlineStr">
        <is>
          <t>DPG5i</t>
        </is>
      </c>
      <c r="B84" s="2" t="inlineStr">
        <is>
          <t>Bengaluru – BWSSB</t>
        </is>
      </c>
      <c r="C84" s="2" t="inlineStr"/>
      <c r="D84" s="2">
        <f>IFERROR('DPG5i'!J13,"")</f>
        <v/>
      </c>
      <c r="E84" s="2" t="inlineStr"/>
      <c r="F84" s="10" t="n"/>
      <c r="G84" s="10" t="n"/>
      <c r="H84" s="2">
        <f>IF(OR(F84="",NOT(ISNUMBER(D84))),"",IF(ABS(F84-D84)&lt;0.001,"Yes","No"))</f>
        <v/>
      </c>
      <c r="I84" s="2" t="inlineStr">
        <is>
          <t>Left for a person</t>
        </is>
      </c>
      <c r="J84" s="2" t="inlineStr">
        <is>
          <t>Insufficient Evidence</t>
        </is>
      </c>
      <c r="K84" s="2" t="inlineStr"/>
      <c r="L84" s="2" t="inlineStr"/>
      <c r="M84" s="2" t="inlineStr"/>
      <c r="N84" s="2" t="inlineStr"/>
      <c r="O84" s="2" t="inlineStr"/>
      <c r="P84" s="2" t="inlineStr">
        <is>
          <t>Step 2 found no evidence: a source needs to be found and added. Step 2 found no evidence (Insufficient Evidence).</t>
        </is>
      </c>
    </row>
    <row r="85">
      <c r="A85" s="2" t="inlineStr">
        <is>
          <t>DPG5i</t>
        </is>
      </c>
      <c r="B85" s="2" t="inlineStr">
        <is>
          <t>Bengaluru – BMTC</t>
        </is>
      </c>
      <c r="C85" s="2" t="inlineStr"/>
      <c r="D85" s="2">
        <f>IFERROR('DPG5i'!J14,"")</f>
        <v/>
      </c>
      <c r="E85" s="2" t="inlineStr"/>
      <c r="F85" s="10" t="n"/>
      <c r="G85" s="10" t="n"/>
      <c r="H85" s="2">
        <f>IF(OR(F85="",NOT(ISNUMBER(D85))),"",IF(ABS(F85-D85)&lt;0.001,"Yes","No"))</f>
        <v/>
      </c>
      <c r="I85" s="2" t="inlineStr">
        <is>
          <t>Left for a person</t>
        </is>
      </c>
      <c r="J85" s="2" t="inlineStr">
        <is>
          <t>Insufficient Evidence</t>
        </is>
      </c>
      <c r="K85" s="2" t="inlineStr"/>
      <c r="L85" s="2" t="inlineStr"/>
      <c r="M85" s="2" t="inlineStr"/>
      <c r="N85" s="2" t="inlineStr"/>
      <c r="O85" s="2" t="inlineStr"/>
      <c r="P85" s="2" t="inlineStr">
        <is>
          <t>Step 2 found no evidence: a source needs to be found and added. Step 2 found no evidence (Insufficient Evidence).</t>
        </is>
      </c>
    </row>
    <row r="86">
      <c r="A86" s="2" t="inlineStr">
        <is>
          <t>DPG5i</t>
        </is>
      </c>
      <c r="B86" s="2" t="inlineStr">
        <is>
          <t>Bengaluru – BDA</t>
        </is>
      </c>
      <c r="C86" s="2" t="inlineStr"/>
      <c r="D86" s="2">
        <f>IFERROR('DPG5i'!J15,"")</f>
        <v/>
      </c>
      <c r="E86" s="2" t="inlineStr"/>
      <c r="F86" s="10" t="n"/>
      <c r="G86" s="10" t="n"/>
      <c r="H86" s="2">
        <f>IF(OR(F86="",NOT(ISNUMBER(D86))),"",IF(ABS(F86-D86)&lt;0.001,"Yes","No"))</f>
        <v/>
      </c>
      <c r="I86" s="2" t="inlineStr">
        <is>
          <t>Left for a person</t>
        </is>
      </c>
      <c r="J86" s="2" t="inlineStr">
        <is>
          <t>Insufficient Evidence</t>
        </is>
      </c>
      <c r="K86" s="2" t="inlineStr"/>
      <c r="L86" s="2" t="inlineStr"/>
      <c r="M86" s="2" t="inlineStr"/>
      <c r="N86" s="2" t="inlineStr"/>
      <c r="O86" s="2" t="inlineStr"/>
      <c r="P86" s="2" t="inlineStr">
        <is>
          <t>Step 2 found no evidence: a source needs to be found and added. Step 2 found no evidence (Insufficient Evidence).</t>
        </is>
      </c>
    </row>
    <row r="87">
      <c r="A87" s="2" t="inlineStr">
        <is>
          <t>DPG5i</t>
        </is>
      </c>
      <c r="B87" s="2" t="inlineStr">
        <is>
          <t>Bengaluru – BMRCL</t>
        </is>
      </c>
      <c r="C87" s="2" t="inlineStr"/>
      <c r="D87" s="2">
        <f>IFERROR('DPG5i'!J16,"")</f>
        <v/>
      </c>
      <c r="E87" s="2" t="inlineStr"/>
      <c r="F87" s="10" t="n"/>
      <c r="G87" s="10" t="n"/>
      <c r="H87" s="2">
        <f>IF(OR(F87="",NOT(ISNUMBER(D87))),"",IF(ABS(F87-D87)&lt;0.001,"Yes","No"))</f>
        <v/>
      </c>
      <c r="I87" s="2" t="inlineStr">
        <is>
          <t>Left for a person</t>
        </is>
      </c>
      <c r="J87" s="2" t="inlineStr">
        <is>
          <t>Insufficient Evidence</t>
        </is>
      </c>
      <c r="K87" s="2" t="inlineStr"/>
      <c r="L87" s="2" t="inlineStr"/>
      <c r="M87" s="2" t="inlineStr"/>
      <c r="N87" s="2" t="inlineStr"/>
      <c r="O87" s="2" t="inlineStr"/>
      <c r="P87" s="2" t="inlineStr">
        <is>
          <t>Step 2 found no evidence: a source needs to be found and added. Step 2 found no evidence (Insufficient Evidence).</t>
        </is>
      </c>
    </row>
    <row r="88">
      <c r="A88" s="2" t="inlineStr">
        <is>
          <t>DPG5i</t>
        </is>
      </c>
      <c r="B88" s="2" t="inlineStr">
        <is>
          <t>Bengaluru – BMRDA</t>
        </is>
      </c>
      <c r="C88" s="2" t="inlineStr"/>
      <c r="D88" s="2">
        <f>IFERROR('DPG5i'!J17,"")</f>
        <v/>
      </c>
      <c r="E88" s="2" t="inlineStr"/>
      <c r="F88" s="10" t="n"/>
      <c r="G88" s="10" t="n"/>
      <c r="H88" s="2">
        <f>IF(OR(F88="",NOT(ISNUMBER(D88))),"",IF(ABS(F88-D88)&lt;0.001,"Yes","No"))</f>
        <v/>
      </c>
      <c r="I88" s="2" t="inlineStr">
        <is>
          <t>Left for a person</t>
        </is>
      </c>
      <c r="J88" s="2" t="inlineStr">
        <is>
          <t>Partially Answered</t>
        </is>
      </c>
      <c r="K88" s="2" t="inlineStr">
        <is>
          <t xml:space="preserve">ANSWER: BMRDA's official website links to a Citizen Charter in its 'About' (ಪರಿಚಯ) menu. Neither rubric component can be scored. The charter file itself is not in the Citation Sheet, so I cannot tell whether it is still in force, what its exact date is, or whether it is a text-readable or scanned PDF. The file name suggests a 2020-21 Kannada edition. | EVIDENCE: BMRDA-01 (BMRDA official website, Kannada homepage, bmrda.karnataka.gov.in). In the ಪರಿಚಯ menu, next to Introduction, Functions and Organisation Structure, the link labelled 'ನಾಗರಿಕ ಸನ್ನದ್ದು' (Citizen Charter) points to a PDF named 'CITIZEN CHARTER-2020-21 ka.pdf'. Nothing else in the Citation Sheet holds the charter's text, its date of adoption or approval, or anything showing it was replaced or confirmed as current. | CAVEATS: (1) Availability and currency: a link exists, which points to the charter being available. However, the rubric says a charter is not outdated just because it predates the preceding FY, as long as it remains in force. Whether the 2020-21 charter is still in force cannot be decided from the homepage alone. (2) Format: the link points to a PDF, but the PDF was not opened, so it is unknown whether it is searchable or scanned. (3) The only version seen is Kannada ('ka'). No English version was seen in the Citation Sheet. | PERIOD: Website copy shows © 2026 (accessed in the 2026 research run). The linked charter is labelled 2020-21 by its file name only, which is not verified. | LIMITS: The charter </t>
        </is>
      </c>
      <c r="L88" s="2" t="inlineStr">
        <is>
          <t>Bengaluru Metropolitan Region Development Authority — official website [BMRDA-01]</t>
        </is>
      </c>
      <c r="M88" s="2" t="inlineStr">
        <is>
          <t>https://bmrda.karnataka.gov.in/</t>
        </is>
      </c>
      <c r="N88" s="2" t="inlineStr">
        <is>
          <t>[https://bmrda.karnataka.gov.in/storage/pdf-files/CITIZEN CHARTER-2020-21 ka.pdf] ನಾಗರಿಕ ಸನ್ನದ್ದು</t>
        </is>
      </c>
      <c r="O88" s="2" t="inlineStr">
        <is>
          <t>I left the Score blank. This is a VERIFICATION-LIMIT, not a negative finding.
What I checked: I read BMRDA-01, the only source in the Citation Sheet for this agency. I also searched the whole sheet for 'citizen charter' and found no other source.
What the source shows: The BMRDA homepage (© 2026) has a Citizen Charter link ('ನಾಗರಿಕ ಸನ್ನದ್ದು') in its ಪರಿಚಯ (About) menu. The link points to a PDF named 'CITIZEN CHARTER-2020-21 ka.pdf'. This agrees with the Step 2 answer.
Why I could not score:
- The charter PDF itself is not in the Citation Sheet, so its content was never read.
- Availability and currency (0.5): a link proves the charter is listed, not that the file opens or is still in force. The rubric says a charter that predates the previous FY can still count if it remains in force. Its date (2020-21) comes only from the file name and is not verified.
- Format (0.5): the PDF was not opened, so I cannot tell whether it is searchable text or a scanned image.
- No English version appeared in the Citation Sheet.
I could not score 0 either. The Citation Sheet does not show that the charter is missing, so this does not meet the affirmative-absence standard.
What a person needs to do:
(a) Open the charter PDF and record its date. Check whether it is still in force and whether a newer charter exists.
(b) Check that the text can be selected or searched, and is not only a scanned image.
(c) Capture a dated screenshot, as the question bank's evidence requirement asks.
(d) Then score: 0.5 for availability/currency, plus 0.5 for searchable format.</t>
        </is>
      </c>
      <c r="P88" s="2" t="inlineStr">
        <is>
          <t>The citation didn't settle every input. "Score" left blank: the Citation Sheet doesn't decide it.</t>
        </is>
      </c>
    </row>
    <row r="89">
      <c r="A89" s="2" t="inlineStr">
        <is>
          <t>DPG5j</t>
        </is>
      </c>
      <c r="B89" s="2" t="inlineStr">
        <is>
          <t>Bengaluru – BWSSB</t>
        </is>
      </c>
      <c r="C89" s="2" t="inlineStr"/>
      <c r="D89" s="2">
        <f>IFERROR('DPG5j'!J13,"")</f>
        <v/>
      </c>
      <c r="E89" s="2" t="inlineStr"/>
      <c r="F89" s="10" t="n"/>
      <c r="G89" s="10" t="n"/>
      <c r="H89" s="2">
        <f>IF(OR(F89="",NOT(ISNUMBER(D89))),"",IF(ABS(F89-D89)&lt;0.001,"Yes","No"))</f>
        <v/>
      </c>
      <c r="I89" s="2" t="inlineStr">
        <is>
          <t>Left for a person</t>
        </is>
      </c>
      <c r="J89" s="2" t="inlineStr">
        <is>
          <t>Insufficient Evidence</t>
        </is>
      </c>
      <c r="K89" s="2" t="inlineStr"/>
      <c r="L89" s="2" t="inlineStr"/>
      <c r="M89" s="2" t="inlineStr"/>
      <c r="N89" s="2" t="inlineStr"/>
      <c r="O89" s="2" t="inlineStr"/>
      <c r="P89" s="2" t="inlineStr">
        <is>
          <t>Step 2 found no evidence: a source needs to be found and added. Step 2 found no evidence (Insufficient Evidence).</t>
        </is>
      </c>
    </row>
    <row r="90">
      <c r="A90" s="2" t="inlineStr">
        <is>
          <t>DPG5j</t>
        </is>
      </c>
      <c r="B90" s="2" t="inlineStr">
        <is>
          <t>Bengaluru – BMTC</t>
        </is>
      </c>
      <c r="C90" s="2" t="inlineStr"/>
      <c r="D90" s="2">
        <f>IFERROR('DPG5j'!J14,"")</f>
        <v/>
      </c>
      <c r="E90" s="2" t="inlineStr"/>
      <c r="F90" s="10" t="n"/>
      <c r="G90" s="10" t="n"/>
      <c r="H90" s="2">
        <f>IF(OR(F90="",NOT(ISNUMBER(D90))),"",IF(ABS(F90-D90)&lt;0.001,"Yes","No"))</f>
        <v/>
      </c>
      <c r="I90" s="2" t="inlineStr">
        <is>
          <t>Left for a person</t>
        </is>
      </c>
      <c r="J90" s="2" t="inlineStr">
        <is>
          <t>Insufficient Evidence</t>
        </is>
      </c>
      <c r="K90" s="2" t="inlineStr"/>
      <c r="L90" s="2" t="inlineStr"/>
      <c r="M90" s="2" t="inlineStr"/>
      <c r="N90" s="2" t="inlineStr"/>
      <c r="O90" s="2" t="inlineStr"/>
      <c r="P90" s="2" t="inlineStr">
        <is>
          <t>Step 2 found no evidence: a source needs to be found and added. Step 2 found no evidence (Insufficient Evidence).</t>
        </is>
      </c>
    </row>
    <row r="91">
      <c r="A91" s="2" t="inlineStr">
        <is>
          <t>DPG5j</t>
        </is>
      </c>
      <c r="B91" s="2" t="inlineStr">
        <is>
          <t>Bengaluru – BDA</t>
        </is>
      </c>
      <c r="C91" s="2" t="inlineStr"/>
      <c r="D91" s="2">
        <f>IFERROR('DPG5j'!J15,"")</f>
        <v/>
      </c>
      <c r="E91" s="2" t="inlineStr"/>
      <c r="F91" s="10" t="n"/>
      <c r="G91" s="10" t="n"/>
      <c r="H91" s="2">
        <f>IF(OR(F91="",NOT(ISNUMBER(D91))),"",IF(ABS(F91-D91)&lt;0.001,"Yes","No"))</f>
        <v/>
      </c>
      <c r="I91" s="2" t="inlineStr">
        <is>
          <t>Left for a person</t>
        </is>
      </c>
      <c r="J91" s="2" t="inlineStr">
        <is>
          <t>Insufficient Evidence</t>
        </is>
      </c>
      <c r="K91" s="2" t="inlineStr"/>
      <c r="L91" s="2" t="inlineStr"/>
      <c r="M91" s="2" t="inlineStr"/>
      <c r="N91" s="2" t="inlineStr"/>
      <c r="O91" s="2" t="inlineStr"/>
      <c r="P91" s="2" t="inlineStr">
        <is>
          <t>Step 2 found no evidence: a source needs to be found and added. Step 2 found no evidence (Insufficient Evidence).</t>
        </is>
      </c>
    </row>
    <row r="92">
      <c r="A92" s="2" t="inlineStr">
        <is>
          <t>DPG5j</t>
        </is>
      </c>
      <c r="B92" s="2" t="inlineStr">
        <is>
          <t>Bengaluru – BMRCL</t>
        </is>
      </c>
      <c r="C92" s="2" t="inlineStr"/>
      <c r="D92" s="2">
        <f>IFERROR('DPG5j'!J16,"")</f>
        <v/>
      </c>
      <c r="E92" s="2" t="inlineStr"/>
      <c r="F92" s="10" t="n"/>
      <c r="G92" s="10" t="n"/>
      <c r="H92" s="2">
        <f>IF(OR(F92="",NOT(ISNUMBER(D92))),"",IF(ABS(F92-D92)&lt;0.001,"Yes","No"))</f>
        <v/>
      </c>
      <c r="I92" s="2" t="inlineStr">
        <is>
          <t>Left for a person</t>
        </is>
      </c>
      <c r="J92" s="2" t="inlineStr">
        <is>
          <t>Insufficient Evidence</t>
        </is>
      </c>
      <c r="K92" s="2" t="inlineStr"/>
      <c r="L92" s="2" t="inlineStr"/>
      <c r="M92" s="2" t="inlineStr"/>
      <c r="N92" s="2" t="inlineStr"/>
      <c r="O92" s="2" t="inlineStr"/>
      <c r="P92" s="2" t="inlineStr">
        <is>
          <t>Step 2 found no evidence: a source needs to be found and added. Step 2 found no evidence (Insufficient Evidence).</t>
        </is>
      </c>
    </row>
    <row r="93">
      <c r="A93" s="2" t="inlineStr">
        <is>
          <t>DPG5j</t>
        </is>
      </c>
      <c r="B93" s="2" t="inlineStr">
        <is>
          <t>Bengaluru – BMRDA</t>
        </is>
      </c>
      <c r="C93" s="2" t="inlineStr"/>
      <c r="D93" s="2">
        <f>IFERROR('DPG5j'!J17,"")</f>
        <v/>
      </c>
      <c r="E93" s="2" t="inlineStr"/>
      <c r="F93" s="10" t="n"/>
      <c r="G93" s="10" t="n"/>
      <c r="H93" s="2">
        <f>IF(OR(F93="",NOT(ISNUMBER(D93))),"",IF(ABS(F93-D93)&lt;0.001,"Yes","No"))</f>
        <v/>
      </c>
      <c r="I93" s="2" t="inlineStr">
        <is>
          <t>Left for a person</t>
        </is>
      </c>
      <c r="J93" s="2" t="inlineStr">
        <is>
          <t>Insufficient Evidence</t>
        </is>
      </c>
      <c r="K93" s="2" t="inlineStr"/>
      <c r="L93" s="2" t="inlineStr"/>
      <c r="M93" s="2" t="inlineStr"/>
      <c r="N93" s="2" t="inlineStr"/>
      <c r="O93" s="2" t="inlineStr"/>
      <c r="P93" s="2" t="inlineStr">
        <is>
          <t>Step 2 found no evidence: a source needs to be found and added. Step 2 found no evidence (Insufficient Evidence). Source needed: Saved, dated copies of: (a) BMRDA's own RTI web page, showing the current PIO, APIO and appellate authority names, designations and contact details plus the filing procedure and fees; (b) BMRDA's Section 4(1)(b) proactive-disclosure document listing the PIOs and APIOs, with its file type recorded (searchable or scanned PDF); (c) the Contact Us page, to check that the named office-holders are still current (e.g. against the Metropolitan Commissioner named on the homepage).</t>
        </is>
      </c>
    </row>
    <row r="94">
      <c r="A94" s="2" t="inlineStr">
        <is>
          <t>DPG5k</t>
        </is>
      </c>
      <c r="B94" s="2" t="inlineStr">
        <is>
          <t>Bengaluru – BWSSB</t>
        </is>
      </c>
      <c r="C94" s="2" t="inlineStr"/>
      <c r="D94" s="2">
        <f>IFERROR('DPG5k'!J13,"")</f>
        <v/>
      </c>
      <c r="E94" s="2" t="inlineStr"/>
      <c r="F94" s="10" t="n"/>
      <c r="G94" s="10" t="n"/>
      <c r="H94" s="2">
        <f>IF(OR(F94="",NOT(ISNUMBER(D94))),"",IF(ABS(F94-D94)&lt;0.001,"Yes","No"))</f>
        <v/>
      </c>
      <c r="I94" s="2" t="inlineStr">
        <is>
          <t>Left for a person</t>
        </is>
      </c>
      <c r="J94" s="2" t="inlineStr">
        <is>
          <t>Insufficient Evidence</t>
        </is>
      </c>
      <c r="K94" s="2" t="inlineStr"/>
      <c r="L94" s="2" t="inlineStr"/>
      <c r="M94" s="2" t="inlineStr"/>
      <c r="N94" s="2" t="inlineStr"/>
      <c r="O94" s="2" t="inlineStr"/>
      <c r="P94" s="2" t="inlineStr">
        <is>
          <t>Step 2 found no evidence: a source needs to be found and added. Step 2 found no evidence (Insufficient Evidence).</t>
        </is>
      </c>
    </row>
    <row r="95">
      <c r="A95" s="2" t="inlineStr">
        <is>
          <t>DPG5k</t>
        </is>
      </c>
      <c r="B95" s="2" t="inlineStr">
        <is>
          <t>Bengaluru – BMTC</t>
        </is>
      </c>
      <c r="C95" s="2" t="inlineStr"/>
      <c r="D95" s="2">
        <f>IFERROR('DPG5k'!J14,"")</f>
        <v/>
      </c>
      <c r="E95" s="2" t="inlineStr"/>
      <c r="F95" s="10" t="n"/>
      <c r="G95" s="10" t="n"/>
      <c r="H95" s="2">
        <f>IF(OR(F95="",NOT(ISNUMBER(D95))),"",IF(ABS(F95-D95)&lt;0.001,"Yes","No"))</f>
        <v/>
      </c>
      <c r="I95" s="2" t="inlineStr">
        <is>
          <t>Left for a person</t>
        </is>
      </c>
      <c r="J95" s="2" t="inlineStr">
        <is>
          <t>Insufficient Evidence</t>
        </is>
      </c>
      <c r="K95" s="2" t="inlineStr"/>
      <c r="L95" s="2" t="inlineStr"/>
      <c r="M95" s="2" t="inlineStr"/>
      <c r="N95" s="2" t="inlineStr"/>
      <c r="O95" s="2" t="inlineStr"/>
      <c r="P95" s="2" t="inlineStr">
        <is>
          <t>Step 2 found no evidence: a source needs to be found and added. Step 2 found no evidence (Insufficient Evidence).</t>
        </is>
      </c>
    </row>
    <row r="96">
      <c r="A96" s="2" t="inlineStr">
        <is>
          <t>DPG5k</t>
        </is>
      </c>
      <c r="B96" s="2" t="inlineStr">
        <is>
          <t>Bengaluru – BDA</t>
        </is>
      </c>
      <c r="C96" s="2" t="inlineStr"/>
      <c r="D96" s="2">
        <f>IFERROR('DPG5k'!J15,"")</f>
        <v/>
      </c>
      <c r="E96" s="2" t="inlineStr"/>
      <c r="F96" s="10" t="n"/>
      <c r="G96" s="10" t="n"/>
      <c r="H96" s="2">
        <f>IF(OR(F96="",NOT(ISNUMBER(D96))),"",IF(ABS(F96-D96)&lt;0.001,"Yes","No"))</f>
        <v/>
      </c>
      <c r="I96" s="2" t="inlineStr">
        <is>
          <t>Left for a person</t>
        </is>
      </c>
      <c r="J96" s="2" t="inlineStr">
        <is>
          <t>Insufficient Evidence</t>
        </is>
      </c>
      <c r="K96" s="2" t="inlineStr"/>
      <c r="L96" s="2" t="inlineStr"/>
      <c r="M96" s="2" t="inlineStr"/>
      <c r="N96" s="2" t="inlineStr"/>
      <c r="O96" s="2" t="inlineStr"/>
      <c r="P96" s="2" t="inlineStr">
        <is>
          <t>Step 2 found no evidence: a source needs to be found and added. Step 2 found no evidence (Insufficient Evidence).</t>
        </is>
      </c>
    </row>
    <row r="97">
      <c r="A97" s="2" t="inlineStr">
        <is>
          <t>DPG5k</t>
        </is>
      </c>
      <c r="B97" s="2" t="inlineStr">
        <is>
          <t>Bengaluru – BMRCL</t>
        </is>
      </c>
      <c r="C97" s="2" t="inlineStr"/>
      <c r="D97" s="2">
        <f>IFERROR('DPG5k'!J16,"")</f>
        <v/>
      </c>
      <c r="E97" s="2" t="inlineStr"/>
      <c r="F97" s="10" t="n"/>
      <c r="G97" s="10" t="n"/>
      <c r="H97" s="2">
        <f>IF(OR(F97="",NOT(ISNUMBER(D97))),"",IF(ABS(F97-D97)&lt;0.001,"Yes","No"))</f>
        <v/>
      </c>
      <c r="I97" s="2" t="inlineStr">
        <is>
          <t>Left for a person</t>
        </is>
      </c>
      <c r="J97" s="2" t="inlineStr">
        <is>
          <t>Insufficient Evidence</t>
        </is>
      </c>
      <c r="K97" s="2" t="inlineStr"/>
      <c r="L97" s="2" t="inlineStr"/>
      <c r="M97" s="2" t="inlineStr"/>
      <c r="N97" s="2" t="inlineStr"/>
      <c r="O97" s="2" t="inlineStr"/>
      <c r="P97" s="2" t="inlineStr">
        <is>
          <t>Step 2 found no evidence: a source needs to be found and added. Step 2 found no evidence (Insufficient Evidence).</t>
        </is>
      </c>
    </row>
    <row r="98">
      <c r="A98" s="2" t="inlineStr">
        <is>
          <t>DPG5k</t>
        </is>
      </c>
      <c r="B98" s="2" t="inlineStr">
        <is>
          <t>Bengaluru – BMRDA</t>
        </is>
      </c>
      <c r="C98" s="2" t="inlineStr"/>
      <c r="D98" s="2">
        <f>IFERROR('DPG5k'!J17,"")</f>
        <v/>
      </c>
      <c r="E98" s="2" t="inlineStr"/>
      <c r="F98" s="10" t="n"/>
      <c r="G98" s="10" t="n"/>
      <c r="H98" s="2">
        <f>IF(OR(F98="",NOT(ISNUMBER(D98))),"",IF(ABS(F98-D98)&lt;0.001,"Yes","No"))</f>
        <v/>
      </c>
      <c r="I98" s="2" t="inlineStr">
        <is>
          <t>Left for a person</t>
        </is>
      </c>
      <c r="J98" s="2" t="inlineStr">
        <is>
          <t>Insufficient Evidence</t>
        </is>
      </c>
      <c r="K98" s="2" t="inlineStr"/>
      <c r="L98" s="2" t="inlineStr"/>
      <c r="M98" s="2" t="inlineStr"/>
      <c r="N98" s="2" t="inlineStr"/>
      <c r="O98" s="2" t="inlineStr"/>
      <c r="P98" s="2" t="inlineStr">
        <is>
          <t>Step 2 found no evidence: a source needs to be found and added. Step 2 found no evidence (Insufficient Evidence). Source needed: Needed: (1) a saved, dated copy of the Karnataka e-procurement portal's tender search and awarded-contract listings filtered for BMRDA (Bengaluru Metropolitan Region Development Authority), showing the latest tender or award date and whether results are a searchable table or downloadable dataset; (2) saved copies of any tenders or procurement page on BMRDA's own site, including its Notifications, Circulars and sitemap pages, showing the latest dated tender or award notice and its file format (HTML table, XLS/CSV, text PDF or scanned PDF).</t>
        </is>
      </c>
    </row>
    <row r="99">
      <c r="A99" s="2" t="inlineStr">
        <is>
          <t>DPG6a</t>
        </is>
      </c>
      <c r="B99" s="2" t="inlineStr">
        <is>
          <t>Bengaluru – BWSSB</t>
        </is>
      </c>
      <c r="C99" s="2" t="inlineStr"/>
      <c r="D99" s="2">
        <f>IFERROR('DPG6a'!J13,"")</f>
        <v/>
      </c>
      <c r="E99" s="2" t="inlineStr"/>
      <c r="F99" s="10" t="n"/>
      <c r="G99" s="10" t="n"/>
      <c r="H99" s="2">
        <f>IF(OR(F99="",NOT(ISNUMBER(D99))),"",IF(ABS(F99-D99)&lt;0.001,"Yes","No"))</f>
        <v/>
      </c>
      <c r="I99" s="2" t="inlineStr">
        <is>
          <t>Left for a person</t>
        </is>
      </c>
      <c r="J99" s="2" t="inlineStr">
        <is>
          <t>Insufficient Evidence</t>
        </is>
      </c>
      <c r="K99" s="2" t="inlineStr"/>
      <c r="L99" s="2" t="inlineStr"/>
      <c r="M99" s="2" t="inlineStr"/>
      <c r="N99" s="2" t="inlineStr"/>
      <c r="O99" s="2" t="inlineStr"/>
      <c r="P99" s="2" t="inlineStr">
        <is>
          <t>Step 2 found no evidence: a source needs to be found and added. Step 2 found no evidence (Insufficient Evidence).</t>
        </is>
      </c>
    </row>
    <row r="100">
      <c r="A100" s="2" t="inlineStr">
        <is>
          <t>DPG6a</t>
        </is>
      </c>
      <c r="B100" s="2" t="inlineStr">
        <is>
          <t>Bengaluru – BMTC</t>
        </is>
      </c>
      <c r="C100" s="2" t="inlineStr"/>
      <c r="D100" s="2">
        <f>IFERROR('DPG6a'!J14,"")</f>
        <v/>
      </c>
      <c r="E100" s="2" t="inlineStr"/>
      <c r="F100" s="10" t="n"/>
      <c r="G100" s="10" t="n"/>
      <c r="H100" s="2">
        <f>IF(OR(F100="",NOT(ISNUMBER(D100))),"",IF(ABS(F100-D100)&lt;0.001,"Yes","No"))</f>
        <v/>
      </c>
      <c r="I100" s="2" t="inlineStr">
        <is>
          <t>Left for a person</t>
        </is>
      </c>
      <c r="J100" s="2" t="inlineStr">
        <is>
          <t>Insufficient Evidence</t>
        </is>
      </c>
      <c r="K100" s="2" t="inlineStr"/>
      <c r="L100" s="2" t="inlineStr"/>
      <c r="M100" s="2" t="inlineStr"/>
      <c r="N100" s="2" t="inlineStr"/>
      <c r="O100" s="2" t="inlineStr"/>
      <c r="P100" s="2" t="inlineStr">
        <is>
          <t>Step 2 found no evidence: a source needs to be found and added. Step 2 found no evidence (Insufficient Evidence).</t>
        </is>
      </c>
    </row>
    <row r="101">
      <c r="A101" s="2" t="inlineStr">
        <is>
          <t>DPG6a</t>
        </is>
      </c>
      <c r="B101" s="2" t="inlineStr">
        <is>
          <t>Bengaluru – BDA</t>
        </is>
      </c>
      <c r="C101" s="2" t="inlineStr"/>
      <c r="D101" s="2">
        <f>IFERROR('DPG6a'!J15,"")</f>
        <v/>
      </c>
      <c r="E101" s="2" t="inlineStr"/>
      <c r="F101" s="10" t="n"/>
      <c r="G101" s="10" t="n"/>
      <c r="H101" s="2">
        <f>IF(OR(F101="",NOT(ISNUMBER(D101))),"",IF(ABS(F101-D101)&lt;0.001,"Yes","No"))</f>
        <v/>
      </c>
      <c r="I101" s="2" t="inlineStr">
        <is>
          <t>Left for a person</t>
        </is>
      </c>
      <c r="J101" s="2" t="inlineStr">
        <is>
          <t>Insufficient Evidence</t>
        </is>
      </c>
      <c r="K101" s="2" t="inlineStr"/>
      <c r="L101" s="2" t="inlineStr"/>
      <c r="M101" s="2" t="inlineStr"/>
      <c r="N101" s="2" t="inlineStr"/>
      <c r="O101" s="2" t="inlineStr"/>
      <c r="P101" s="2" t="inlineStr">
        <is>
          <t>Step 2 found no evidence: a source needs to be found and added. Step 2 found no evidence (Insufficient Evidence).</t>
        </is>
      </c>
    </row>
    <row r="102">
      <c r="A102" s="2" t="inlineStr">
        <is>
          <t>DPG6a</t>
        </is>
      </c>
      <c r="B102" s="2" t="inlineStr">
        <is>
          <t>Bengaluru – BMRCL</t>
        </is>
      </c>
      <c r="C102" s="2" t="inlineStr"/>
      <c r="D102" s="2">
        <f>IFERROR('DPG6a'!J16,"")</f>
        <v/>
      </c>
      <c r="E102" s="2" t="inlineStr"/>
      <c r="F102" s="10" t="n"/>
      <c r="G102" s="10" t="n"/>
      <c r="H102" s="2">
        <f>IF(OR(F102="",NOT(ISNUMBER(D102))),"",IF(ABS(F102-D102)&lt;0.001,"Yes","No"))</f>
        <v/>
      </c>
      <c r="I102" s="2" t="inlineStr">
        <is>
          <t>Left for a person</t>
        </is>
      </c>
      <c r="J102" s="2" t="inlineStr">
        <is>
          <t>Insufficient Evidence</t>
        </is>
      </c>
      <c r="K102" s="2" t="inlineStr"/>
      <c r="L102" s="2" t="inlineStr"/>
      <c r="M102" s="2" t="inlineStr"/>
      <c r="N102" s="2" t="inlineStr"/>
      <c r="O102" s="2" t="inlineStr"/>
      <c r="P102" s="2" t="inlineStr">
        <is>
          <t>Step 2 found no evidence: a source needs to be found and added. Step 2 found no evidence (Insufficient Evidence).</t>
        </is>
      </c>
    </row>
    <row r="103">
      <c r="A103" s="2" t="inlineStr">
        <is>
          <t>DPG6a</t>
        </is>
      </c>
      <c r="B103" s="2" t="inlineStr">
        <is>
          <t>Bengaluru – BMRDA</t>
        </is>
      </c>
      <c r="C103" s="2" t="inlineStr"/>
      <c r="D103" s="2">
        <f>IFERROR('DPG6a'!J17,"")</f>
        <v/>
      </c>
      <c r="E103" s="2" t="inlineStr"/>
      <c r="F103" s="10" t="n"/>
      <c r="G103" s="10" t="n"/>
      <c r="H103" s="2">
        <f>IF(OR(F103="",NOT(ISNUMBER(D103))),"",IF(ABS(F103-D103)&lt;0.001,"Yes","No"))</f>
        <v/>
      </c>
      <c r="I103" s="2" t="inlineStr">
        <is>
          <t>Left for a person</t>
        </is>
      </c>
      <c r="J103" s="2" t="inlineStr">
        <is>
          <t>Insufficient Evidence</t>
        </is>
      </c>
      <c r="K103" s="2" t="inlineStr"/>
      <c r="L103" s="2" t="inlineStr"/>
      <c r="M103" s="2" t="inlineStr"/>
      <c r="N103" s="2" t="inlineStr"/>
      <c r="O103" s="2" t="inlineStr"/>
      <c r="P103" s="2" t="inlineStr">
        <is>
          <t>Step 2 found no evidence: a source needs to be found and added. Step 2 found no evidence (Insufficient Evidence). Source needed: Any one of these would answer the question: (1) the text of the BMRDA Citizen Charter (latest version, ideally newer than 2020-21) showing any complaint or grievance channel and the officer responsible; (2) the current consolidated text of the BMRDA Act 1985 and its Rules and Regulations (the 1996 Regulations and the 1999/2000 service regulations), checked for any grievance or complaint clause; (3) the schedule of Karnataka's service-guarantee law (Sakala) or the notification listing BMRDA services, with its appeal or redress provisions.</t>
        </is>
      </c>
    </row>
    <row r="104">
      <c r="A104" s="2" t="inlineStr">
        <is>
          <t>DPG6b</t>
        </is>
      </c>
      <c r="B104" s="2" t="inlineStr">
        <is>
          <t>Bengaluru – BWSSB</t>
        </is>
      </c>
      <c r="C104" s="2" t="inlineStr"/>
      <c r="D104" s="2">
        <f>IFERROR('DPG6b'!J13,"")</f>
        <v/>
      </c>
      <c r="E104" s="2" t="inlineStr"/>
      <c r="F104" s="10" t="n"/>
      <c r="G104" s="10" t="n"/>
      <c r="H104" s="2">
        <f>IF(OR(F104="",NOT(ISNUMBER(D104))),"",IF(ABS(F104-D104)&lt;0.001,"Yes","No"))</f>
        <v/>
      </c>
      <c r="I104" s="2" t="inlineStr">
        <is>
          <t>Left for a person</t>
        </is>
      </c>
      <c r="J104" s="2" t="inlineStr">
        <is>
          <t>Insufficient Evidence</t>
        </is>
      </c>
      <c r="K104" s="2" t="inlineStr"/>
      <c r="L104" s="2" t="inlineStr"/>
      <c r="M104" s="2" t="inlineStr"/>
      <c r="N104" s="2" t="inlineStr"/>
      <c r="O104" s="2" t="inlineStr"/>
      <c r="P104" s="2" t="inlineStr">
        <is>
          <t>Step 2 found no evidence: a source needs to be found and added. Step 2 found no evidence (Insufficient Evidence).</t>
        </is>
      </c>
    </row>
    <row r="105">
      <c r="A105" s="2" t="inlineStr">
        <is>
          <t>DPG6b</t>
        </is>
      </c>
      <c r="B105" s="2" t="inlineStr">
        <is>
          <t>Bengaluru – BMTC</t>
        </is>
      </c>
      <c r="C105" s="2" t="inlineStr"/>
      <c r="D105" s="2">
        <f>IFERROR('DPG6b'!J14,"")</f>
        <v/>
      </c>
      <c r="E105" s="2" t="inlineStr"/>
      <c r="F105" s="10" t="n"/>
      <c r="G105" s="10" t="n"/>
      <c r="H105" s="2">
        <f>IF(OR(F105="",NOT(ISNUMBER(D105))),"",IF(ABS(F105-D105)&lt;0.001,"Yes","No"))</f>
        <v/>
      </c>
      <c r="I105" s="2" t="inlineStr">
        <is>
          <t>Left for a person</t>
        </is>
      </c>
      <c r="J105" s="2" t="inlineStr">
        <is>
          <t>Insufficient Evidence</t>
        </is>
      </c>
      <c r="K105" s="2" t="inlineStr"/>
      <c r="L105" s="2" t="inlineStr"/>
      <c r="M105" s="2" t="inlineStr"/>
      <c r="N105" s="2" t="inlineStr"/>
      <c r="O105" s="2" t="inlineStr"/>
      <c r="P105" s="2" t="inlineStr">
        <is>
          <t>Step 2 found no evidence: a source needs to be found and added. Step 2 found no evidence (Insufficient Evidence).</t>
        </is>
      </c>
    </row>
    <row r="106">
      <c r="A106" s="2" t="inlineStr">
        <is>
          <t>DPG6b</t>
        </is>
      </c>
      <c r="B106" s="2" t="inlineStr">
        <is>
          <t>Bengaluru – BDA</t>
        </is>
      </c>
      <c r="C106" s="2" t="inlineStr"/>
      <c r="D106" s="2">
        <f>IFERROR('DPG6b'!J15,"")</f>
        <v/>
      </c>
      <c r="E106" s="2" t="inlineStr"/>
      <c r="F106" s="10" t="n"/>
      <c r="G106" s="10" t="n"/>
      <c r="H106" s="2">
        <f>IF(OR(F106="",NOT(ISNUMBER(D106))),"",IF(ABS(F106-D106)&lt;0.001,"Yes","No"))</f>
        <v/>
      </c>
      <c r="I106" s="2" t="inlineStr">
        <is>
          <t>Left for a person</t>
        </is>
      </c>
      <c r="J106" s="2" t="inlineStr">
        <is>
          <t>Insufficient Evidence</t>
        </is>
      </c>
      <c r="K106" s="2" t="inlineStr"/>
      <c r="L106" s="2" t="inlineStr"/>
      <c r="M106" s="2" t="inlineStr"/>
      <c r="N106" s="2" t="inlineStr"/>
      <c r="O106" s="2" t="inlineStr"/>
      <c r="P106" s="2" t="inlineStr">
        <is>
          <t>Step 2 found no evidence: a source needs to be found and added. Step 2 found no evidence (Insufficient Evidence).</t>
        </is>
      </c>
    </row>
    <row r="107">
      <c r="A107" s="2" t="inlineStr">
        <is>
          <t>DPG6b</t>
        </is>
      </c>
      <c r="B107" s="2" t="inlineStr">
        <is>
          <t>Bengaluru – BMRCL</t>
        </is>
      </c>
      <c r="C107" s="2" t="inlineStr"/>
      <c r="D107" s="2">
        <f>IFERROR('DPG6b'!J16,"")</f>
        <v/>
      </c>
      <c r="E107" s="2" t="inlineStr"/>
      <c r="F107" s="10" t="n"/>
      <c r="G107" s="10" t="n"/>
      <c r="H107" s="2">
        <f>IF(OR(F107="",NOT(ISNUMBER(D107))),"",IF(ABS(F107-D107)&lt;0.001,"Yes","No"))</f>
        <v/>
      </c>
      <c r="I107" s="2" t="inlineStr">
        <is>
          <t>Left for a person</t>
        </is>
      </c>
      <c r="J107" s="2" t="inlineStr">
        <is>
          <t>Insufficient Evidence</t>
        </is>
      </c>
      <c r="K107" s="2" t="inlineStr"/>
      <c r="L107" s="2" t="inlineStr"/>
      <c r="M107" s="2" t="inlineStr"/>
      <c r="N107" s="2" t="inlineStr"/>
      <c r="O107" s="2" t="inlineStr"/>
      <c r="P107" s="2" t="inlineStr">
        <is>
          <t>Step 2 found no evidence: a source needs to be found and added. Step 2 found no evidence (Insufficient Evidence).</t>
        </is>
      </c>
    </row>
    <row r="108">
      <c r="A108" s="2" t="inlineStr">
        <is>
          <t>DPG6b</t>
        </is>
      </c>
      <c r="B108" s="2" t="inlineStr">
        <is>
          <t>Bengaluru – BMRDA</t>
        </is>
      </c>
      <c r="C108" s="2" t="inlineStr"/>
      <c r="D108" s="2">
        <f>IFERROR('DPG6b'!J17,"")</f>
        <v/>
      </c>
      <c r="E108" s="2" t="inlineStr"/>
      <c r="F108" s="10" t="n"/>
      <c r="G108" s="10" t="n"/>
      <c r="H108" s="2">
        <f>IF(OR(F108="",NOT(ISNUMBER(D108))),"",IF(ABS(F108-D108)&lt;0.001,"Yes","No"))</f>
        <v/>
      </c>
      <c r="I108" s="2" t="inlineStr">
        <is>
          <t>Left for a person</t>
        </is>
      </c>
      <c r="J108" s="2" t="inlineStr">
        <is>
          <t>Insufficient Evidence</t>
        </is>
      </c>
      <c r="K108" s="2" t="inlineStr"/>
      <c r="L108" s="2" t="inlineStr"/>
      <c r="M108" s="2" t="inlineStr"/>
      <c r="N108" s="2" t="inlineStr"/>
      <c r="O108" s="2" t="inlineStr"/>
      <c r="P108" s="2" t="inlineStr">
        <is>
          <t>Step 2 found no evidence: a source needs to be found and added. Step 2 found no evidence (Insufficient Evidence). Source needed: Saved, dated copies of: (a) BMRDA's Contact Us page showing any grievance phone number, grievance email or designated grievance officer; (b) BMRDA's Feedback page, tested to see whether it accepts grievances and gives a reference number; (c) the current Citizen Charter (the linked one is 2020-21), showing in-person grievance arrangements and redress timelines; (d) the Janaspandana/IPGRS (or e-Spandana) portal page, captured with a screenshot showing BMRDA can be selected as the department or office and that complaints are acknowledged and tracked; (e) any BMRDA office order or notice designating a grievance officer or help desk.</t>
        </is>
      </c>
    </row>
    <row r="109">
      <c r="A109" s="2" t="inlineStr">
        <is>
          <t>DPG7a</t>
        </is>
      </c>
      <c r="B109" s="2" t="inlineStr">
        <is>
          <t>Bengaluru – BWSSB</t>
        </is>
      </c>
      <c r="C109" s="2" t="inlineStr"/>
      <c r="D109" s="2">
        <f>IFERROR('DPG7a'!J13,"")</f>
        <v/>
      </c>
      <c r="E109" s="2" t="inlineStr"/>
      <c r="F109" s="10" t="n"/>
      <c r="G109" s="10" t="n"/>
      <c r="H109" s="2">
        <f>IF(OR(F109="",NOT(ISNUMBER(D109))),"",IF(ABS(F109-D109)&lt;0.001,"Yes","No"))</f>
        <v/>
      </c>
      <c r="I109" s="2" t="inlineStr">
        <is>
          <t>Left for a person</t>
        </is>
      </c>
      <c r="J109" s="2" t="inlineStr">
        <is>
          <t>Insufficient Evidence</t>
        </is>
      </c>
      <c r="K109" s="2" t="inlineStr"/>
      <c r="L109" s="2" t="inlineStr"/>
      <c r="M109" s="2" t="inlineStr"/>
      <c r="N109" s="2" t="inlineStr"/>
      <c r="O109" s="2" t="inlineStr"/>
      <c r="P109" s="2" t="inlineStr">
        <is>
          <t>Step 2 found no evidence: a source needs to be found and added. Step 2 found no evidence (Insufficient Evidence).</t>
        </is>
      </c>
    </row>
    <row r="110">
      <c r="A110" s="2" t="inlineStr">
        <is>
          <t>DPG7a</t>
        </is>
      </c>
      <c r="B110" s="2" t="inlineStr">
        <is>
          <t>Bengaluru – BMTC</t>
        </is>
      </c>
      <c r="C110" s="2" t="inlineStr"/>
      <c r="D110" s="2">
        <f>IFERROR('DPG7a'!J14,"")</f>
        <v/>
      </c>
      <c r="E110" s="2" t="inlineStr"/>
      <c r="F110" s="10" t="n"/>
      <c r="G110" s="10" t="n"/>
      <c r="H110" s="2">
        <f>IF(OR(F110="",NOT(ISNUMBER(D110))),"",IF(ABS(F110-D110)&lt;0.001,"Yes","No"))</f>
        <v/>
      </c>
      <c r="I110" s="2" t="inlineStr">
        <is>
          <t>Left for a person</t>
        </is>
      </c>
      <c r="J110" s="2" t="inlineStr">
        <is>
          <t>Insufficient Evidence</t>
        </is>
      </c>
      <c r="K110" s="2" t="inlineStr"/>
      <c r="L110" s="2" t="inlineStr"/>
      <c r="M110" s="2" t="inlineStr"/>
      <c r="N110" s="2" t="inlineStr"/>
      <c r="O110" s="2" t="inlineStr"/>
      <c r="P110" s="2" t="inlineStr">
        <is>
          <t>Step 2 found no evidence: a source needs to be found and added. Step 2 found no evidence (Insufficient Evidence).</t>
        </is>
      </c>
    </row>
    <row r="111">
      <c r="A111" s="2" t="inlineStr">
        <is>
          <t>DPG7a</t>
        </is>
      </c>
      <c r="B111" s="2" t="inlineStr">
        <is>
          <t>Bengaluru – BMRCL</t>
        </is>
      </c>
      <c r="C111" s="2" t="inlineStr"/>
      <c r="D111" s="2">
        <f>IFERROR('DPG7a'!J16,"")</f>
        <v/>
      </c>
      <c r="E111" s="2" t="inlineStr"/>
      <c r="F111" s="10" t="n"/>
      <c r="G111" s="10" t="n"/>
      <c r="H111" s="2">
        <f>IF(OR(F111="",NOT(ISNUMBER(D111))),"",IF(ABS(F111-D111)&lt;0.001,"Yes","No"))</f>
        <v/>
      </c>
      <c r="I111" s="2" t="inlineStr">
        <is>
          <t>Left for a person</t>
        </is>
      </c>
      <c r="J111" s="2" t="inlineStr">
        <is>
          <t>Insufficient Evidence</t>
        </is>
      </c>
      <c r="K111" s="2" t="inlineStr"/>
      <c r="L111" s="2" t="inlineStr"/>
      <c r="M111" s="2" t="inlineStr"/>
      <c r="N111" s="2" t="inlineStr"/>
      <c r="O111" s="2" t="inlineStr"/>
      <c r="P111" s="2" t="inlineStr">
        <is>
          <t>Step 2 found no evidence: a source needs to be found and added. Step 2 found no evidence (Insufficient Evidence).</t>
        </is>
      </c>
    </row>
    <row r="112">
      <c r="A112" s="2" t="inlineStr">
        <is>
          <t>DPG7b</t>
        </is>
      </c>
      <c r="B112" s="2" t="inlineStr">
        <is>
          <t>Bengaluru – BWSSB</t>
        </is>
      </c>
      <c r="C112" s="2" t="inlineStr"/>
      <c r="D112" s="2">
        <f>IFERROR('DPG7b'!J13,"")</f>
        <v/>
      </c>
      <c r="E112" s="2" t="inlineStr"/>
      <c r="F112" s="10" t="n"/>
      <c r="G112" s="10" t="n"/>
      <c r="H112" s="2">
        <f>IF(OR(F112="",NOT(ISNUMBER(D112))),"",IF(ABS(F112-D112)&lt;0.001,"Yes","No"))</f>
        <v/>
      </c>
      <c r="I112" s="2" t="inlineStr">
        <is>
          <t>Left for a person</t>
        </is>
      </c>
      <c r="J112" s="2" t="inlineStr">
        <is>
          <t>Insufficient Evidence</t>
        </is>
      </c>
      <c r="K112" s="2" t="inlineStr"/>
      <c r="L112" s="2" t="inlineStr"/>
      <c r="M112" s="2" t="inlineStr"/>
      <c r="N112" s="2" t="inlineStr"/>
      <c r="O112" s="2" t="inlineStr"/>
      <c r="P112" s="2" t="inlineStr">
        <is>
          <t>Step 2 found no evidence: a source needs to be found and added. Step 2 found no evidence (Insufficient Evidence).</t>
        </is>
      </c>
    </row>
    <row r="113">
      <c r="A113" s="2" t="inlineStr">
        <is>
          <t>DPG7b</t>
        </is>
      </c>
      <c r="B113" s="2" t="inlineStr">
        <is>
          <t>Bengaluru – BMTC</t>
        </is>
      </c>
      <c r="C113" s="2" t="inlineStr"/>
      <c r="D113" s="2">
        <f>IFERROR('DPG7b'!J14,"")</f>
        <v/>
      </c>
      <c r="E113" s="2" t="inlineStr"/>
      <c r="F113" s="10" t="n"/>
      <c r="G113" s="10" t="n"/>
      <c r="H113" s="2">
        <f>IF(OR(F113="",NOT(ISNUMBER(D113))),"",IF(ABS(F113-D113)&lt;0.001,"Yes","No"))</f>
        <v/>
      </c>
      <c r="I113" s="2" t="inlineStr">
        <is>
          <t>Left for a person</t>
        </is>
      </c>
      <c r="J113" s="2" t="inlineStr">
        <is>
          <t>Insufficient Evidence</t>
        </is>
      </c>
      <c r="K113" s="2" t="inlineStr"/>
      <c r="L113" s="2" t="inlineStr"/>
      <c r="M113" s="2" t="inlineStr"/>
      <c r="N113" s="2" t="inlineStr"/>
      <c r="O113" s="2" t="inlineStr"/>
      <c r="P113" s="2" t="inlineStr">
        <is>
          <t>Step 2 found no evidence: a source needs to be found and added. Step 2 found no evidence (Insufficient Evidence).</t>
        </is>
      </c>
    </row>
    <row r="114">
      <c r="A114" s="2" t="inlineStr">
        <is>
          <t>DPG7b</t>
        </is>
      </c>
      <c r="B114" s="2" t="inlineStr">
        <is>
          <t>Bengaluru – BMRCL</t>
        </is>
      </c>
      <c r="C114" s="2" t="inlineStr"/>
      <c r="D114" s="2">
        <f>IFERROR('DPG7b'!J16,"")</f>
        <v/>
      </c>
      <c r="E114" s="2" t="inlineStr"/>
      <c r="F114" s="10" t="n"/>
      <c r="G114" s="10" t="n"/>
      <c r="H114" s="2">
        <f>IF(OR(F114="",NOT(ISNUMBER(D114))),"",IF(ABS(F114-D114)&lt;0.001,"Yes","No"))</f>
        <v/>
      </c>
      <c r="I114" s="2" t="inlineStr">
        <is>
          <t>Left for a person</t>
        </is>
      </c>
      <c r="J114" s="2" t="inlineStr">
        <is>
          <t>Insufficient Evidence</t>
        </is>
      </c>
      <c r="K114" s="2" t="inlineStr"/>
      <c r="L114" s="2" t="inlineStr"/>
      <c r="M114" s="2" t="inlineStr"/>
      <c r="N114" s="2" t="inlineStr"/>
      <c r="O114" s="2" t="inlineStr"/>
      <c r="P114" s="2" t="inlineStr">
        <is>
          <t>Step 2 found no evidence: a source needs to be found and added. Step 2 found no evidence (Insufficient Evidence).</t>
        </is>
      </c>
    </row>
    <row r="115">
      <c r="A115" s="2" t="inlineStr">
        <is>
          <t>SC1</t>
        </is>
      </c>
      <c r="B115" s="2" t="inlineStr">
        <is>
          <t>Bengaluru – BWSSB</t>
        </is>
      </c>
      <c r="C115" s="2" t="inlineStr"/>
      <c r="D115" s="2">
        <f>IFERROR('SC1'!J13,"")</f>
        <v/>
      </c>
      <c r="E115" s="2" t="inlineStr"/>
      <c r="F115" s="10" t="n"/>
      <c r="G115" s="10" t="n"/>
      <c r="H115" s="2">
        <f>IF(OR(F115="",NOT(ISNUMBER(D115))),"",IF(ABS(F115-D115)&lt;0.001,"Yes","No"))</f>
        <v/>
      </c>
      <c r="I115" s="2" t="inlineStr">
        <is>
          <t>Left for a person</t>
        </is>
      </c>
      <c r="J115" s="2" t="inlineStr">
        <is>
          <t>Insufficient Evidence</t>
        </is>
      </c>
      <c r="K115" s="2" t="inlineStr"/>
      <c r="L115" s="2" t="inlineStr"/>
      <c r="M115" s="2" t="inlineStr"/>
      <c r="N115" s="2" t="inlineStr"/>
      <c r="O115" s="2" t="inlineStr"/>
      <c r="P115" s="2" t="inlineStr">
        <is>
          <t>Step 2 found no evidence: a source needs to be found and added. Step 2 found no evidence (Insufficient Evidence).</t>
        </is>
      </c>
    </row>
    <row r="116">
      <c r="A116" s="2" t="inlineStr">
        <is>
          <t>SC1</t>
        </is>
      </c>
      <c r="B116" s="2" t="inlineStr">
        <is>
          <t>Bengaluru – BMTC</t>
        </is>
      </c>
      <c r="C116" s="2" t="inlineStr"/>
      <c r="D116" s="2">
        <f>IFERROR('SC1'!J14,"")</f>
        <v/>
      </c>
      <c r="E116" s="2" t="inlineStr"/>
      <c r="F116" s="10" t="n"/>
      <c r="G116" s="10" t="n"/>
      <c r="H116" s="2">
        <f>IF(OR(F116="",NOT(ISNUMBER(D116))),"",IF(ABS(F116-D116)&lt;0.001,"Yes","No"))</f>
        <v/>
      </c>
      <c r="I116" s="2" t="inlineStr">
        <is>
          <t>Left for a person</t>
        </is>
      </c>
      <c r="J116" s="2" t="inlineStr">
        <is>
          <t>Insufficient Evidence</t>
        </is>
      </c>
      <c r="K116" s="2" t="inlineStr"/>
      <c r="L116" s="2" t="inlineStr"/>
      <c r="M116" s="2" t="inlineStr"/>
      <c r="N116" s="2" t="inlineStr"/>
      <c r="O116" s="2" t="inlineStr"/>
      <c r="P116" s="2" t="inlineStr">
        <is>
          <t>Step 2 found no evidence: a source needs to be found and added. Step 2 found no evidence (Insufficient Evidence).</t>
        </is>
      </c>
    </row>
    <row r="117">
      <c r="A117" s="2" t="inlineStr">
        <is>
          <t>SC1</t>
        </is>
      </c>
      <c r="B117" s="2" t="inlineStr">
        <is>
          <t>Bengaluru – BDA</t>
        </is>
      </c>
      <c r="C117" s="2" t="inlineStr"/>
      <c r="D117" s="2">
        <f>IFERROR('SC1'!J15,"")</f>
        <v/>
      </c>
      <c r="E117" s="2" t="inlineStr"/>
      <c r="F117" s="10" t="n"/>
      <c r="G117" s="10" t="n"/>
      <c r="H117" s="2">
        <f>IF(OR(F117="",NOT(ISNUMBER(D117))),"",IF(ABS(F117-D117)&lt;0.001,"Yes","No"))</f>
        <v/>
      </c>
      <c r="I117" s="2" t="inlineStr">
        <is>
          <t>Left for a person</t>
        </is>
      </c>
      <c r="J117" s="2" t="inlineStr">
        <is>
          <t>Insufficient Evidence</t>
        </is>
      </c>
      <c r="K117" s="2" t="inlineStr"/>
      <c r="L117" s="2" t="inlineStr"/>
      <c r="M117" s="2" t="inlineStr"/>
      <c r="N117" s="2" t="inlineStr"/>
      <c r="O117" s="2" t="inlineStr"/>
      <c r="P117" s="2" t="inlineStr">
        <is>
          <t>Step 2 found no evidence: a source needs to be found and added. Step 2 found no evidence (Insufficient Evidence).</t>
        </is>
      </c>
    </row>
    <row r="118">
      <c r="A118" s="2" t="inlineStr">
        <is>
          <t>SC2</t>
        </is>
      </c>
      <c r="B118" s="2" t="inlineStr">
        <is>
          <t>Bengaluru – BWSSB</t>
        </is>
      </c>
      <c r="C118" s="2" t="inlineStr"/>
      <c r="D118" s="2">
        <f>IFERROR('SC2'!J13,"")</f>
        <v/>
      </c>
      <c r="E118" s="2" t="inlineStr"/>
      <c r="F118" s="10" t="n"/>
      <c r="G118" s="10" t="n"/>
      <c r="H118" s="2">
        <f>IF(OR(F118="",NOT(ISNUMBER(D118))),"",IF(ABS(F118-D118)&lt;0.001,"Yes","No"))</f>
        <v/>
      </c>
      <c r="I118" s="2" t="inlineStr">
        <is>
          <t>Left for a person</t>
        </is>
      </c>
      <c r="J118" s="2" t="inlineStr">
        <is>
          <t>Insufficient Evidence</t>
        </is>
      </c>
      <c r="K118" s="2" t="inlineStr"/>
      <c r="L118" s="2" t="inlineStr"/>
      <c r="M118" s="2" t="inlineStr"/>
      <c r="N118" s="2" t="inlineStr"/>
      <c r="O118" s="2" t="inlineStr"/>
      <c r="P118" s="2" t="inlineStr">
        <is>
          <t>Step 2 found no evidence: a source needs to be found and added. Step 2 found no evidence (Insufficient Evidence).</t>
        </is>
      </c>
    </row>
    <row r="119">
      <c r="A119" s="2" t="inlineStr">
        <is>
          <t>SC2</t>
        </is>
      </c>
      <c r="B119" s="2" t="inlineStr">
        <is>
          <t>Bengaluru – BMTC</t>
        </is>
      </c>
      <c r="C119" s="2" t="inlineStr"/>
      <c r="D119" s="2">
        <f>IFERROR('SC2'!J14,"")</f>
        <v/>
      </c>
      <c r="E119" s="2" t="inlineStr"/>
      <c r="F119" s="10" t="n"/>
      <c r="G119" s="10" t="n"/>
      <c r="H119" s="2">
        <f>IF(OR(F119="",NOT(ISNUMBER(D119))),"",IF(ABS(F119-D119)&lt;0.001,"Yes","No"))</f>
        <v/>
      </c>
      <c r="I119" s="2" t="inlineStr">
        <is>
          <t>Left for a person</t>
        </is>
      </c>
      <c r="J119" s="2" t="inlineStr">
        <is>
          <t>Insufficient Evidence</t>
        </is>
      </c>
      <c r="K119" s="2" t="inlineStr"/>
      <c r="L119" s="2" t="inlineStr"/>
      <c r="M119" s="2" t="inlineStr"/>
      <c r="N119" s="2" t="inlineStr"/>
      <c r="O119" s="2" t="inlineStr"/>
      <c r="P119" s="2" t="inlineStr">
        <is>
          <t>Step 2 found no evidence: a source needs to be found and added. Step 2 found no evidence (Insufficient Evidence).</t>
        </is>
      </c>
    </row>
    <row r="120">
      <c r="A120" s="2" t="inlineStr">
        <is>
          <t>SC2</t>
        </is>
      </c>
      <c r="B120" s="2" t="inlineStr">
        <is>
          <t>Bengaluru – BDA</t>
        </is>
      </c>
      <c r="C120" s="2" t="inlineStr"/>
      <c r="D120" s="2">
        <f>IFERROR('SC2'!J15,"")</f>
        <v/>
      </c>
      <c r="E120" s="2" t="inlineStr"/>
      <c r="F120" s="10" t="n"/>
      <c r="G120" s="10" t="n"/>
      <c r="H120" s="2">
        <f>IF(OR(F120="",NOT(ISNUMBER(D120))),"",IF(ABS(F120-D120)&lt;0.001,"Yes","No"))</f>
        <v/>
      </c>
      <c r="I120" s="2" t="inlineStr">
        <is>
          <t>Left for a person</t>
        </is>
      </c>
      <c r="J120" s="2" t="inlineStr">
        <is>
          <t>Insufficient Evidence</t>
        </is>
      </c>
      <c r="K120" s="2" t="inlineStr"/>
      <c r="L120" s="2" t="inlineStr"/>
      <c r="M120" s="2" t="inlineStr"/>
      <c r="N120" s="2" t="inlineStr"/>
      <c r="O120" s="2" t="inlineStr"/>
      <c r="P120" s="2" t="inlineStr">
        <is>
          <t>Step 2 found no evidence: a source needs to be found and added. Step 2 found no evidence (Insufficient Evidence).</t>
        </is>
      </c>
    </row>
    <row r="121">
      <c r="A121" s="2" t="inlineStr">
        <is>
          <t>SC2</t>
        </is>
      </c>
      <c r="B121" s="2" t="inlineStr">
        <is>
          <t>Bengaluru – BMRCL</t>
        </is>
      </c>
      <c r="C121" s="2" t="inlineStr"/>
      <c r="D121" s="2">
        <f>IFERROR('SC2'!J16,"")</f>
        <v/>
      </c>
      <c r="E121" s="2" t="inlineStr"/>
      <c r="F121" s="10" t="n"/>
      <c r="G121" s="10" t="n"/>
      <c r="H121" s="2">
        <f>IF(OR(F121="",NOT(ISNUMBER(D121))),"",IF(ABS(F121-D121)&lt;0.001,"Yes","No"))</f>
        <v/>
      </c>
      <c r="I121" s="2" t="inlineStr">
        <is>
          <t>Left for a person</t>
        </is>
      </c>
      <c r="J121" s="2" t="inlineStr">
        <is>
          <t>Insufficient Evidence</t>
        </is>
      </c>
      <c r="K121" s="2" t="inlineStr"/>
      <c r="L121" s="2" t="inlineStr"/>
      <c r="M121" s="2" t="inlineStr"/>
      <c r="N121" s="2" t="inlineStr"/>
      <c r="O121" s="2" t="inlineStr"/>
      <c r="P121" s="2" t="inlineStr">
        <is>
          <t>Step 2 found no evidence: a source needs to be found and added. Step 2 found no evidence (Insufficient Evidence).</t>
        </is>
      </c>
    </row>
    <row r="122">
      <c r="A122" s="2" t="inlineStr">
        <is>
          <t>SC3</t>
        </is>
      </c>
      <c r="B122" s="2" t="inlineStr">
        <is>
          <t>Bengaluru – BWSSB</t>
        </is>
      </c>
      <c r="C122" s="2" t="inlineStr"/>
      <c r="D122" s="2">
        <f>IFERROR('SC3'!J13,"")</f>
        <v/>
      </c>
      <c r="E122" s="2" t="inlineStr"/>
      <c r="F122" s="10" t="n"/>
      <c r="G122" s="10" t="n"/>
      <c r="H122" s="2">
        <f>IF(OR(F122="",NOT(ISNUMBER(D122))),"",IF(ABS(F122-D122)&lt;0.001,"Yes","No"))</f>
        <v/>
      </c>
      <c r="I122" s="2" t="inlineStr">
        <is>
          <t>Left for a person</t>
        </is>
      </c>
      <c r="J122" s="2" t="inlineStr">
        <is>
          <t>Insufficient Evidence</t>
        </is>
      </c>
      <c r="K122" s="2" t="inlineStr"/>
      <c r="L122" s="2" t="inlineStr"/>
      <c r="M122" s="2" t="inlineStr"/>
      <c r="N122" s="2" t="inlineStr"/>
      <c r="O122" s="2" t="inlineStr"/>
      <c r="P122" s="2" t="inlineStr">
        <is>
          <t>Step 2 found no evidence: a source needs to be found and added. Step 2 found no evidence (Insufficient Evidence).</t>
        </is>
      </c>
    </row>
    <row r="123">
      <c r="A123" s="2" t="inlineStr">
        <is>
          <t>SC3</t>
        </is>
      </c>
      <c r="B123" s="2" t="inlineStr">
        <is>
          <t>Bengaluru – BMTC</t>
        </is>
      </c>
      <c r="C123" s="2" t="inlineStr"/>
      <c r="D123" s="2">
        <f>IFERROR('SC3'!J14,"")</f>
        <v/>
      </c>
      <c r="E123" s="2" t="inlineStr"/>
      <c r="F123" s="10" t="n"/>
      <c r="G123" s="10" t="n"/>
      <c r="H123" s="2">
        <f>IF(OR(F123="",NOT(ISNUMBER(D123))),"",IF(ABS(F123-D123)&lt;0.001,"Yes","No"))</f>
        <v/>
      </c>
      <c r="I123" s="2" t="inlineStr">
        <is>
          <t>Left for a person</t>
        </is>
      </c>
      <c r="J123" s="2" t="inlineStr">
        <is>
          <t>Insufficient Evidence</t>
        </is>
      </c>
      <c r="K123" s="2" t="inlineStr"/>
      <c r="L123" s="2" t="inlineStr"/>
      <c r="M123" s="2" t="inlineStr"/>
      <c r="N123" s="2" t="inlineStr"/>
      <c r="O123" s="2" t="inlineStr"/>
      <c r="P123" s="2" t="inlineStr">
        <is>
          <t>Step 2 found no evidence: a source needs to be found and added. Step 2 found no evidence (Insufficient Evidence).</t>
        </is>
      </c>
    </row>
    <row r="124">
      <c r="A124" s="2" t="inlineStr">
        <is>
          <t>SC3</t>
        </is>
      </c>
      <c r="B124" s="2" t="inlineStr">
        <is>
          <t>Bengaluru – BDA</t>
        </is>
      </c>
      <c r="C124" s="2" t="inlineStr"/>
      <c r="D124" s="2">
        <f>IFERROR('SC3'!J15,"")</f>
        <v/>
      </c>
      <c r="E124" s="2" t="inlineStr"/>
      <c r="F124" s="10" t="n"/>
      <c r="G124" s="10" t="n"/>
      <c r="H124" s="2">
        <f>IF(OR(F124="",NOT(ISNUMBER(D124))),"",IF(ABS(F124-D124)&lt;0.001,"Yes","No"))</f>
        <v/>
      </c>
      <c r="I124" s="2" t="inlineStr">
        <is>
          <t>Left for a person</t>
        </is>
      </c>
      <c r="J124" s="2" t="inlineStr">
        <is>
          <t>Insufficient Evidence</t>
        </is>
      </c>
      <c r="K124" s="2" t="inlineStr"/>
      <c r="L124" s="2" t="inlineStr"/>
      <c r="M124" s="2" t="inlineStr"/>
      <c r="N124" s="2" t="inlineStr"/>
      <c r="O124" s="2" t="inlineStr"/>
      <c r="P124" s="2" t="inlineStr">
        <is>
          <t>Step 2 found no evidence: a source needs to be found and added. Step 2 found no evidence (Insufficient Evidence).</t>
        </is>
      </c>
    </row>
    <row r="125">
      <c r="A125" s="2" t="inlineStr">
        <is>
          <t>SC3</t>
        </is>
      </c>
      <c r="B125" s="2" t="inlineStr">
        <is>
          <t>Bengaluru – BMRCL</t>
        </is>
      </c>
      <c r="C125" s="2" t="inlineStr"/>
      <c r="D125" s="2">
        <f>IFERROR('SC3'!J16,"")</f>
        <v/>
      </c>
      <c r="E125" s="2" t="inlineStr"/>
      <c r="F125" s="10" t="n"/>
      <c r="G125" s="10" t="n"/>
      <c r="H125" s="2">
        <f>IF(OR(F125="",NOT(ISNUMBER(D125))),"",IF(ABS(F125-D125)&lt;0.001,"Yes","No"))</f>
        <v/>
      </c>
      <c r="I125" s="2" t="inlineStr">
        <is>
          <t>Left for a person</t>
        </is>
      </c>
      <c r="J125" s="2" t="inlineStr">
        <is>
          <t>Insufficient Evidence</t>
        </is>
      </c>
      <c r="K125" s="2" t="inlineStr"/>
      <c r="L125" s="2" t="inlineStr"/>
      <c r="M125" s="2" t="inlineStr"/>
      <c r="N125" s="2" t="inlineStr"/>
      <c r="O125" s="2" t="inlineStr"/>
      <c r="P125" s="2" t="inlineStr">
        <is>
          <t>Step 2 found no evidence: a source needs to be found and added. Step 2 found no evidence (Insufficient Evidence).</t>
        </is>
      </c>
    </row>
    <row r="126">
      <c r="A126" s="2" t="inlineStr">
        <is>
          <t>SC3</t>
        </is>
      </c>
      <c r="B126" s="2" t="inlineStr">
        <is>
          <t>Bengaluru – BMRDA</t>
        </is>
      </c>
      <c r="C126" s="2" t="inlineStr"/>
      <c r="D126" s="2">
        <f>IFERROR('SC3'!J17,"")</f>
        <v/>
      </c>
      <c r="E126" s="2" t="inlineStr"/>
      <c r="F126" s="10" t="n"/>
      <c r="G126" s="10" t="n"/>
      <c r="H126" s="2">
        <f>IF(OR(F126="",NOT(ISNUMBER(D126))),"",IF(ABS(F126-D126)&lt;0.001,"Yes","No"))</f>
        <v/>
      </c>
      <c r="I126" s="2" t="inlineStr">
        <is>
          <t>Left for a person</t>
        </is>
      </c>
      <c r="J126" s="2" t="inlineStr">
        <is>
          <t>Insufficient Evidence</t>
        </is>
      </c>
      <c r="K126" s="2" t="inlineStr"/>
      <c r="L126" s="2" t="inlineStr"/>
      <c r="M126" s="2" t="inlineStr"/>
      <c r="N126" s="2" t="inlineStr"/>
      <c r="O126" s="2" t="inlineStr"/>
      <c r="P126" s="2" t="inlineStr">
        <is>
          <t>Step 2 found no evidence: a source needs to be found and added. Step 2 found no evidence (Insufficient Evidence). Source needed: Needed for at least 2, and preferably 3, completed financial years (up to 5): (a) BMRDA's approved budget, with budgeted total expenditure per year (the documents behind the website's Budget page), and (b) audited annual accounts or the annual report showing actual total expenditure for the same years (e.g. the 2023-24 annual report linked on the website, plus other years). Alternatively, BMRDA accounts or audit reports for those years tabled in the Karnataka legislature or published by CAG.</t>
        </is>
      </c>
    </row>
    <row r="127">
      <c r="A127" s="2" t="inlineStr">
        <is>
          <t>SC4a</t>
        </is>
      </c>
      <c r="B127" s="2" t="inlineStr">
        <is>
          <t>Bengaluru – BWSSB</t>
        </is>
      </c>
      <c r="C127" s="2" t="inlineStr"/>
      <c r="D127" s="2">
        <f>IFERROR('SC4a'!J13,"")</f>
        <v/>
      </c>
      <c r="E127" s="2" t="inlineStr"/>
      <c r="F127" s="10" t="n"/>
      <c r="G127" s="10" t="n"/>
      <c r="H127" s="2">
        <f>IF(OR(F127="",NOT(ISNUMBER(D127))),"",IF(ABS(F127-D127)&lt;0.001,"Yes","No"))</f>
        <v/>
      </c>
      <c r="I127" s="2" t="inlineStr">
        <is>
          <t>Left for a person</t>
        </is>
      </c>
      <c r="J127" s="2" t="inlineStr">
        <is>
          <t>Insufficient Evidence</t>
        </is>
      </c>
      <c r="K127" s="2" t="inlineStr"/>
      <c r="L127" s="2" t="inlineStr"/>
      <c r="M127" s="2" t="inlineStr"/>
      <c r="N127" s="2" t="inlineStr"/>
      <c r="O127" s="2" t="inlineStr"/>
      <c r="P127" s="2" t="inlineStr">
        <is>
          <t>Step 2 found no evidence: a source needs to be found and added. Step 2 found no evidence (Insufficient Evidence).</t>
        </is>
      </c>
    </row>
    <row r="128">
      <c r="A128" s="2" t="inlineStr">
        <is>
          <t>SC4a</t>
        </is>
      </c>
      <c r="B128" s="2" t="inlineStr">
        <is>
          <t>Bengaluru – BMTC</t>
        </is>
      </c>
      <c r="C128" s="2" t="inlineStr"/>
      <c r="D128" s="2">
        <f>IFERROR('SC4a'!J14,"")</f>
        <v/>
      </c>
      <c r="E128" s="2" t="inlineStr"/>
      <c r="F128" s="10" t="n"/>
      <c r="G128" s="10" t="n"/>
      <c r="H128" s="2">
        <f>IF(OR(F128="",NOT(ISNUMBER(D128))),"",IF(ABS(F128-D128)&lt;0.001,"Yes","No"))</f>
        <v/>
      </c>
      <c r="I128" s="2" t="inlineStr">
        <is>
          <t>Left for a person</t>
        </is>
      </c>
      <c r="J128" s="2" t="inlineStr">
        <is>
          <t>Insufficient Evidence</t>
        </is>
      </c>
      <c r="K128" s="2" t="inlineStr"/>
      <c r="L128" s="2" t="inlineStr"/>
      <c r="M128" s="2" t="inlineStr"/>
      <c r="N128" s="2" t="inlineStr"/>
      <c r="O128" s="2" t="inlineStr"/>
      <c r="P128" s="2" t="inlineStr">
        <is>
          <t>Step 2 found no evidence: a source needs to be found and added. Step 2 found no evidence (Insufficient Evidence).</t>
        </is>
      </c>
    </row>
    <row r="129">
      <c r="A129" s="2" t="inlineStr">
        <is>
          <t>SC4a</t>
        </is>
      </c>
      <c r="B129" s="2" t="inlineStr">
        <is>
          <t>Bengaluru – BDA</t>
        </is>
      </c>
      <c r="C129" s="2" t="inlineStr"/>
      <c r="D129" s="2">
        <f>IFERROR('SC4a'!J15,"")</f>
        <v/>
      </c>
      <c r="E129" s="2" t="inlineStr"/>
      <c r="F129" s="10" t="n"/>
      <c r="G129" s="10" t="n"/>
      <c r="H129" s="2">
        <f>IF(OR(F129="",NOT(ISNUMBER(D129))),"",IF(ABS(F129-D129)&lt;0.001,"Yes","No"))</f>
        <v/>
      </c>
      <c r="I129" s="2" t="inlineStr">
        <is>
          <t>Left for a person</t>
        </is>
      </c>
      <c r="J129" s="2" t="inlineStr">
        <is>
          <t>Insufficient Evidence</t>
        </is>
      </c>
      <c r="K129" s="2" t="inlineStr"/>
      <c r="L129" s="2" t="inlineStr"/>
      <c r="M129" s="2" t="inlineStr"/>
      <c r="N129" s="2" t="inlineStr"/>
      <c r="O129" s="2" t="inlineStr"/>
      <c r="P129" s="2" t="inlineStr">
        <is>
          <t>Step 2 found no evidence: a source needs to be found and added. Step 2 found no evidence (Insufficient Evidence).</t>
        </is>
      </c>
    </row>
    <row r="130">
      <c r="A130" s="2" t="inlineStr">
        <is>
          <t>SC4a</t>
        </is>
      </c>
      <c r="B130" s="2" t="inlineStr">
        <is>
          <t>Bengaluru – BMRCL</t>
        </is>
      </c>
      <c r="C130" s="2" t="inlineStr"/>
      <c r="D130" s="2">
        <f>IFERROR('SC4a'!J16,"")</f>
        <v/>
      </c>
      <c r="E130" s="2" t="inlineStr"/>
      <c r="F130" s="10" t="n"/>
      <c r="G130" s="10" t="n"/>
      <c r="H130" s="2">
        <f>IF(OR(F130="",NOT(ISNUMBER(D130))),"",IF(ABS(F130-D130)&lt;0.001,"Yes","No"))</f>
        <v/>
      </c>
      <c r="I130" s="2" t="inlineStr">
        <is>
          <t>Left for a person</t>
        </is>
      </c>
      <c r="J130" s="2" t="inlineStr">
        <is>
          <t>Insufficient Evidence</t>
        </is>
      </c>
      <c r="K130" s="2" t="inlineStr"/>
      <c r="L130" s="2" t="inlineStr"/>
      <c r="M130" s="2" t="inlineStr"/>
      <c r="N130" s="2" t="inlineStr"/>
      <c r="O130" s="2" t="inlineStr"/>
      <c r="P130" s="2" t="inlineStr">
        <is>
          <t>Step 2 found no evidence: a source needs to be found and added. Step 2 found no evidence (Insufficient Evidence).</t>
        </is>
      </c>
    </row>
    <row r="131">
      <c r="A131" s="2" t="inlineStr">
        <is>
          <t>SC4a</t>
        </is>
      </c>
      <c r="B131" s="2" t="inlineStr">
        <is>
          <t>Bengaluru – BMRDA</t>
        </is>
      </c>
      <c r="C131" s="2" t="inlineStr"/>
      <c r="D131" s="2">
        <f>IFERROR('SC4a'!J17,"")</f>
        <v/>
      </c>
      <c r="E131" s="2" t="inlineStr"/>
      <c r="F131" s="10" t="n"/>
      <c r="G131" s="10" t="n"/>
      <c r="H131" s="2">
        <f>IF(OR(F131="",NOT(ISNUMBER(D131))),"",IF(ABS(F131-D131)&lt;0.001,"Yes","No"))</f>
        <v/>
      </c>
      <c r="I131" s="2" t="inlineStr">
        <is>
          <t>Left for a person</t>
        </is>
      </c>
      <c r="J131" s="2" t="inlineStr">
        <is>
          <t>Insufficient Evidence</t>
        </is>
      </c>
      <c r="K131" s="2" t="inlineStr"/>
      <c r="L131" s="2" t="inlineStr"/>
      <c r="M131" s="2" t="inlineStr"/>
      <c r="N131" s="2" t="inlineStr"/>
      <c r="O131" s="2" t="inlineStr"/>
      <c r="P131" s="2" t="inlineStr">
        <is>
          <t>Step 2 found no evidence: a source needs to be found and added. Step 2 found no evidence (Insufficient Evidence). Source needed: The full readable text of the BMRDA Act, 1985 (Karnataka Act No. 39), current amended version, especially its finance, budget and accounts sections. Ideally from the Karnataka legislation portal or eGazette, or the BMRDA 'Acts and Rules' PDF. Also any Rules made under the Act on budget or finance, the BMRDA Regulations 1996, 1999 and 2000, and any Karnataka GO requiring BMRDA to prepare a medium-term or long-term fiscal plan.</t>
        </is>
      </c>
    </row>
    <row r="132">
      <c r="A132" s="2" t="inlineStr">
        <is>
          <t>SC4b</t>
        </is>
      </c>
      <c r="B132" s="2" t="inlineStr">
        <is>
          <t>Bengaluru – BWSSB</t>
        </is>
      </c>
      <c r="C132" s="2" t="inlineStr"/>
      <c r="D132" s="2">
        <f>IFERROR('SC4b'!J13,"")</f>
        <v/>
      </c>
      <c r="E132" s="2" t="inlineStr"/>
      <c r="F132" s="10" t="n"/>
      <c r="G132" s="10" t="n"/>
      <c r="H132" s="2">
        <f>IF(OR(F132="",NOT(ISNUMBER(D132))),"",IF(ABS(F132-D132)&lt;0.001,"Yes","No"))</f>
        <v/>
      </c>
      <c r="I132" s="2" t="inlineStr">
        <is>
          <t>Left for a person</t>
        </is>
      </c>
      <c r="J132" s="2" t="inlineStr">
        <is>
          <t>Insufficient Evidence</t>
        </is>
      </c>
      <c r="K132" s="2" t="inlineStr"/>
      <c r="L132" s="2" t="inlineStr"/>
      <c r="M132" s="2" t="inlineStr"/>
      <c r="N132" s="2" t="inlineStr"/>
      <c r="O132" s="2" t="inlineStr"/>
      <c r="P132" s="2" t="inlineStr">
        <is>
          <t>Step 2 found no evidence: a source needs to be found and added. Step 2 found no evidence (Insufficient Evidence).</t>
        </is>
      </c>
    </row>
    <row r="133">
      <c r="A133" s="2" t="inlineStr">
        <is>
          <t>SC4b</t>
        </is>
      </c>
      <c r="B133" s="2" t="inlineStr">
        <is>
          <t>Bengaluru – BMTC</t>
        </is>
      </c>
      <c r="C133" s="2" t="inlineStr"/>
      <c r="D133" s="2">
        <f>IFERROR('SC4b'!J14,"")</f>
        <v/>
      </c>
      <c r="E133" s="2" t="inlineStr"/>
      <c r="F133" s="10" t="n"/>
      <c r="G133" s="10" t="n"/>
      <c r="H133" s="2">
        <f>IF(OR(F133="",NOT(ISNUMBER(D133))),"",IF(ABS(F133-D133)&lt;0.001,"Yes","No"))</f>
        <v/>
      </c>
      <c r="I133" s="2" t="inlineStr">
        <is>
          <t>Left for a person</t>
        </is>
      </c>
      <c r="J133" s="2" t="inlineStr">
        <is>
          <t>Insufficient Evidence</t>
        </is>
      </c>
      <c r="K133" s="2" t="inlineStr"/>
      <c r="L133" s="2" t="inlineStr"/>
      <c r="M133" s="2" t="inlineStr"/>
      <c r="N133" s="2" t="inlineStr"/>
      <c r="O133" s="2" t="inlineStr"/>
      <c r="P133" s="2" t="inlineStr">
        <is>
          <t>Step 2 found no evidence: a source needs to be found and added. Step 2 found no evidence (Insufficient Evidence).</t>
        </is>
      </c>
    </row>
    <row r="134">
      <c r="A134" s="2" t="inlineStr">
        <is>
          <t>SC4b</t>
        </is>
      </c>
      <c r="B134" s="2" t="inlineStr">
        <is>
          <t>Bengaluru – BDA</t>
        </is>
      </c>
      <c r="C134" s="2" t="inlineStr"/>
      <c r="D134" s="2">
        <f>IFERROR('SC4b'!J15,"")</f>
        <v/>
      </c>
      <c r="E134" s="2" t="inlineStr"/>
      <c r="F134" s="10" t="n"/>
      <c r="G134" s="10" t="n"/>
      <c r="H134" s="2">
        <f>IF(OR(F134="",NOT(ISNUMBER(D134))),"",IF(ABS(F134-D134)&lt;0.001,"Yes","No"))</f>
        <v/>
      </c>
      <c r="I134" s="2" t="inlineStr">
        <is>
          <t>Left for a person</t>
        </is>
      </c>
      <c r="J134" s="2" t="inlineStr">
        <is>
          <t>Insufficient Evidence</t>
        </is>
      </c>
      <c r="K134" s="2" t="inlineStr"/>
      <c r="L134" s="2" t="inlineStr"/>
      <c r="M134" s="2" t="inlineStr"/>
      <c r="N134" s="2" t="inlineStr"/>
      <c r="O134" s="2" t="inlineStr"/>
      <c r="P134" s="2" t="inlineStr">
        <is>
          <t>Step 2 found no evidence: a source needs to be found and added. Step 2 found no evidence (Insufficient Evidence).</t>
        </is>
      </c>
    </row>
    <row r="135">
      <c r="A135" s="2" t="inlineStr">
        <is>
          <t>SC4b</t>
        </is>
      </c>
      <c r="B135" s="2" t="inlineStr">
        <is>
          <t>Bengaluru – BMRCL</t>
        </is>
      </c>
      <c r="C135" s="2" t="inlineStr"/>
      <c r="D135" s="2">
        <f>IFERROR('SC4b'!J16,"")</f>
        <v/>
      </c>
      <c r="E135" s="2" t="inlineStr"/>
      <c r="F135" s="10" t="n"/>
      <c r="G135" s="10" t="n"/>
      <c r="H135" s="2">
        <f>IF(OR(F135="",NOT(ISNUMBER(D135))),"",IF(ABS(F135-D135)&lt;0.001,"Yes","No"))</f>
        <v/>
      </c>
      <c r="I135" s="2" t="inlineStr">
        <is>
          <t>Left for a person</t>
        </is>
      </c>
      <c r="J135" s="2" t="inlineStr">
        <is>
          <t>Insufficient Evidence</t>
        </is>
      </c>
      <c r="K135" s="2" t="inlineStr"/>
      <c r="L135" s="2" t="inlineStr"/>
      <c r="M135" s="2" t="inlineStr"/>
      <c r="N135" s="2" t="inlineStr"/>
      <c r="O135" s="2" t="inlineStr"/>
      <c r="P135" s="2" t="inlineStr">
        <is>
          <t>Step 2 found no evidence: a source needs to be found and added. Step 2 found no evidence (Insufficient Evidence).</t>
        </is>
      </c>
    </row>
    <row r="136">
      <c r="A136" s="2" t="inlineStr">
        <is>
          <t>SC4b</t>
        </is>
      </c>
      <c r="B136" s="2" t="inlineStr">
        <is>
          <t>Bengaluru – BMRDA</t>
        </is>
      </c>
      <c r="C136" s="2" t="inlineStr"/>
      <c r="D136" s="2">
        <f>IFERROR('SC4b'!J17,"")</f>
        <v/>
      </c>
      <c r="E136" s="2" t="inlineStr"/>
      <c r="F136" s="10" t="n"/>
      <c r="G136" s="10" t="n"/>
      <c r="H136" s="2">
        <f>IF(OR(F136="",NOT(ISNUMBER(D136))),"",IF(ABS(F136-D136)&lt;0.001,"Yes","No"))</f>
        <v/>
      </c>
      <c r="I136" s="2" t="inlineStr">
        <is>
          <t>Left for a person</t>
        </is>
      </c>
      <c r="J136" s="2" t="inlineStr">
        <is>
          <t>Insufficient Evidence</t>
        </is>
      </c>
      <c r="K136" s="2" t="inlineStr"/>
      <c r="L136" s="2" t="inlineStr"/>
      <c r="M136" s="2" t="inlineStr"/>
      <c r="N136" s="2" t="inlineStr"/>
      <c r="O136" s="2" t="inlineStr"/>
      <c r="P136" s="2" t="inlineStr">
        <is>
          <t>Step 2 found no evidence: a source needs to be found and added. Step 2 found no evidence (Insufficient Evidence). Source needed: Two things are needed. First, the full contents of BMRDA's own website 'Budget' (ಆಯವ್ಯಯ) and 'Budget and Annual Reports' pages, plus the latest budget and annual report documents, checked for a published medium-term (3-5 year) or long-term (&gt;5 year) fiscal plan or multi-year revenue and expenditure projections. Second, a dated screenshot showing whether such a document is on the site or not.</t>
        </is>
      </c>
    </row>
    <row r="137">
      <c r="A137" s="2" t="inlineStr">
        <is>
          <t>SC5</t>
        </is>
      </c>
      <c r="B137" s="2" t="inlineStr">
        <is>
          <t>Bengaluru – BWSSB</t>
        </is>
      </c>
      <c r="C137" s="2" t="inlineStr"/>
      <c r="D137" s="2">
        <f>IFERROR('SC5'!J13,"")</f>
        <v/>
      </c>
      <c r="E137" s="2" t="inlineStr"/>
      <c r="F137" s="10" t="n"/>
      <c r="G137" s="10" t="n"/>
      <c r="H137" s="2">
        <f>IF(OR(F137="",NOT(ISNUMBER(D137))),"",IF(ABS(F137-D137)&lt;0.001,"Yes","No"))</f>
        <v/>
      </c>
      <c r="I137" s="2" t="inlineStr">
        <is>
          <t>Left for a person</t>
        </is>
      </c>
      <c r="J137" s="2" t="inlineStr">
        <is>
          <t>Insufficient Evidence</t>
        </is>
      </c>
      <c r="K137" s="2" t="inlineStr"/>
      <c r="L137" s="2" t="inlineStr"/>
      <c r="M137" s="2" t="inlineStr"/>
      <c r="N137" s="2" t="inlineStr"/>
      <c r="O137" s="2" t="inlineStr"/>
      <c r="P137" s="2" t="inlineStr">
        <is>
          <t>Step 2 found no evidence: a source needs to be found and added. Step 2 found no evidence (Insufficient Evidence).</t>
        </is>
      </c>
    </row>
    <row r="138">
      <c r="A138" s="2" t="inlineStr">
        <is>
          <t>SC5</t>
        </is>
      </c>
      <c r="B138" s="2" t="inlineStr">
        <is>
          <t>Bengaluru – BMTC</t>
        </is>
      </c>
      <c r="C138" s="2" t="inlineStr"/>
      <c r="D138" s="2">
        <f>IFERROR('SC5'!J14,"")</f>
        <v/>
      </c>
      <c r="E138" s="2" t="inlineStr"/>
      <c r="F138" s="10" t="n"/>
      <c r="G138" s="10" t="n"/>
      <c r="H138" s="2">
        <f>IF(OR(F138="",NOT(ISNUMBER(D138))),"",IF(ABS(F138-D138)&lt;0.001,"Yes","No"))</f>
        <v/>
      </c>
      <c r="I138" s="2" t="inlineStr">
        <is>
          <t>Left for a person</t>
        </is>
      </c>
      <c r="J138" s="2" t="inlineStr">
        <is>
          <t>Insufficient Evidence</t>
        </is>
      </c>
      <c r="K138" s="2" t="inlineStr"/>
      <c r="L138" s="2" t="inlineStr"/>
      <c r="M138" s="2" t="inlineStr"/>
      <c r="N138" s="2" t="inlineStr"/>
      <c r="O138" s="2" t="inlineStr"/>
      <c r="P138" s="2" t="inlineStr">
        <is>
          <t>Step 2 found no evidence: a source needs to be found and added. Step 2 found no evidence (Insufficient Evidence).</t>
        </is>
      </c>
    </row>
    <row r="139">
      <c r="A139" s="2" t="inlineStr">
        <is>
          <t>SC5</t>
        </is>
      </c>
      <c r="B139" s="2" t="inlineStr">
        <is>
          <t>Bengaluru – BDA</t>
        </is>
      </c>
      <c r="C139" s="2" t="inlineStr"/>
      <c r="D139" s="2">
        <f>IFERROR('SC5'!J15,"")</f>
        <v/>
      </c>
      <c r="E139" s="2" t="inlineStr"/>
      <c r="F139" s="10" t="n"/>
      <c r="G139" s="10" t="n"/>
      <c r="H139" s="2">
        <f>IF(OR(F139="",NOT(ISNUMBER(D139))),"",IF(ABS(F139-D139)&lt;0.001,"Yes","No"))</f>
        <v/>
      </c>
      <c r="I139" s="2" t="inlineStr">
        <is>
          <t>Left for a person</t>
        </is>
      </c>
      <c r="J139" s="2" t="inlineStr">
        <is>
          <t>Insufficient Evidence</t>
        </is>
      </c>
      <c r="K139" s="2" t="inlineStr"/>
      <c r="L139" s="2" t="inlineStr"/>
      <c r="M139" s="2" t="inlineStr"/>
      <c r="N139" s="2" t="inlineStr"/>
      <c r="O139" s="2" t="inlineStr"/>
      <c r="P139" s="2" t="inlineStr">
        <is>
          <t>Step 2 found no evidence: a source needs to be found and added. Step 2 found no evidence (Insufficient Evidence).</t>
        </is>
      </c>
    </row>
    <row r="140">
      <c r="A140" s="2" t="inlineStr">
        <is>
          <t>SC5</t>
        </is>
      </c>
      <c r="B140" s="2" t="inlineStr">
        <is>
          <t>Bengaluru – BMRCL</t>
        </is>
      </c>
      <c r="C140" s="2" t="inlineStr"/>
      <c r="D140" s="2">
        <f>IFERROR('SC5'!J16,"")</f>
        <v/>
      </c>
      <c r="E140" s="2" t="inlineStr"/>
      <c r="F140" s="10" t="n"/>
      <c r="G140" s="10" t="n"/>
      <c r="H140" s="2">
        <f>IF(OR(F140="",NOT(ISNUMBER(D140))),"",IF(ABS(F140-D140)&lt;0.001,"Yes","No"))</f>
        <v/>
      </c>
      <c r="I140" s="2" t="inlineStr">
        <is>
          <t>Left for a person</t>
        </is>
      </c>
      <c r="J140" s="2" t="inlineStr">
        <is>
          <t>Insufficient Evidence</t>
        </is>
      </c>
      <c r="K140" s="2" t="inlineStr"/>
      <c r="L140" s="2" t="inlineStr"/>
      <c r="M140" s="2" t="inlineStr"/>
      <c r="N140" s="2" t="inlineStr"/>
      <c r="O140" s="2" t="inlineStr"/>
      <c r="P140" s="2" t="inlineStr">
        <is>
          <t>Step 2 found no evidence: a source needs to be found and added. Step 2 found no evidence (Insufficient Evidence).</t>
        </is>
      </c>
    </row>
    <row r="141">
      <c r="A141" s="2" t="inlineStr">
        <is>
          <t>SC5</t>
        </is>
      </c>
      <c r="B141" s="2" t="inlineStr">
        <is>
          <t>Bengaluru – BMRDA</t>
        </is>
      </c>
      <c r="C141" s="2" t="inlineStr"/>
      <c r="D141" s="2">
        <f>IFERROR('SC5'!J17,"")</f>
        <v/>
      </c>
      <c r="E141" s="2" t="inlineStr"/>
      <c r="F141" s="10" t="n"/>
      <c r="G141" s="10" t="n"/>
      <c r="H141" s="2">
        <f>IF(OR(F141="",NOT(ISNUMBER(D141))),"",IF(ABS(F141-D141)&lt;0.001,"Yes","No"))</f>
        <v/>
      </c>
      <c r="I141" s="2" t="inlineStr">
        <is>
          <t>Left for a person</t>
        </is>
      </c>
      <c r="J141" s="2" t="inlineStr">
        <is>
          <t>Insufficient Evidence</t>
        </is>
      </c>
      <c r="K141" s="2" t="inlineStr"/>
      <c r="L141" s="2" t="inlineStr"/>
      <c r="M141" s="2" t="inlineStr"/>
      <c r="N141" s="2" t="inlineStr"/>
      <c r="O141" s="2" t="inlineStr"/>
      <c r="P141" s="2" t="inlineStr">
        <is>
          <t>Step 2 found no evidence: a source needs to be found and added. Step 2 found no evidence (Insufficient Evidence). Source needed: Needed: (1) the full text of the Bangalore Metropolitan Region Development Authority Act, 1985 (Karnataka Act 39 of 1985), current amended version, especially the sections on constituting the Authority and appointing, term, conditions and removal of the Metropolitan Commissioner; (2) any Rules under the Act on the Metropolitan Commissioner's terms and conditions; (3) the BMRDA Cadre and Recruitment Rules 2008 and the BMRDA Regulations (1996/1999/2000); (4) any Karnataka government notification or GO on appointment or tenure for the post; (5) any state minimum-tenure rule for IAS officers in such posts (e.g. Civil Services Board / minimum-tenure provisions as applied in Karnataka).</t>
        </is>
      </c>
    </row>
    <row r="142">
      <c r="A142" s="2" t="inlineStr">
        <is>
          <t>SC6</t>
        </is>
      </c>
      <c r="B142" s="2" t="inlineStr">
        <is>
          <t>Bengaluru – BWSSB</t>
        </is>
      </c>
      <c r="C142" s="2" t="inlineStr"/>
      <c r="D142" s="2">
        <f>IFERROR('SC6'!J13,"")</f>
        <v/>
      </c>
      <c r="E142" s="2" t="inlineStr"/>
      <c r="F142" s="10" t="n"/>
      <c r="G142" s="10" t="n"/>
      <c r="H142" s="2">
        <f>IF(OR(F142="",NOT(ISNUMBER(D142))),"",IF(ABS(F142-D142)&lt;0.001,"Yes","No"))</f>
        <v/>
      </c>
      <c r="I142" s="2" t="inlineStr">
        <is>
          <t>Left for a person</t>
        </is>
      </c>
      <c r="J142" s="2" t="inlineStr">
        <is>
          <t>Insufficient Evidence</t>
        </is>
      </c>
      <c r="K142" s="2" t="inlineStr"/>
      <c r="L142" s="2" t="inlineStr"/>
      <c r="M142" s="2" t="inlineStr"/>
      <c r="N142" s="2" t="inlineStr"/>
      <c r="O142" s="2" t="inlineStr"/>
      <c r="P142" s="2" t="inlineStr">
        <is>
          <t>Step 2 found no evidence: a source needs to be found and added. Step 2 found no evidence (Insufficient Evidence).</t>
        </is>
      </c>
    </row>
    <row r="143">
      <c r="A143" s="2" t="inlineStr">
        <is>
          <t>SC6</t>
        </is>
      </c>
      <c r="B143" s="2" t="inlineStr">
        <is>
          <t>Bengaluru – BMTC</t>
        </is>
      </c>
      <c r="C143" s="2" t="inlineStr"/>
      <c r="D143" s="2">
        <f>IFERROR('SC6'!J14,"")</f>
        <v/>
      </c>
      <c r="E143" s="2" t="inlineStr"/>
      <c r="F143" s="10" t="n"/>
      <c r="G143" s="10" t="n"/>
      <c r="H143" s="2">
        <f>IF(OR(F143="",NOT(ISNUMBER(D143))),"",IF(ABS(F143-D143)&lt;0.001,"Yes","No"))</f>
        <v/>
      </c>
      <c r="I143" s="2" t="inlineStr">
        <is>
          <t>Left for a person</t>
        </is>
      </c>
      <c r="J143" s="2" t="inlineStr">
        <is>
          <t>Insufficient Evidence</t>
        </is>
      </c>
      <c r="K143" s="2" t="inlineStr"/>
      <c r="L143" s="2" t="inlineStr"/>
      <c r="M143" s="2" t="inlineStr"/>
      <c r="N143" s="2" t="inlineStr"/>
      <c r="O143" s="2" t="inlineStr"/>
      <c r="P143" s="2" t="inlineStr">
        <is>
          <t>Step 2 found no evidence: a source needs to be found and added. Step 2 found no evidence (Insufficient Evidence).</t>
        </is>
      </c>
    </row>
    <row r="144">
      <c r="A144" s="2" t="inlineStr">
        <is>
          <t>SC6</t>
        </is>
      </c>
      <c r="B144" s="2" t="inlineStr">
        <is>
          <t>Bengaluru – BDA</t>
        </is>
      </c>
      <c r="C144" s="2" t="inlineStr"/>
      <c r="D144" s="2">
        <f>IFERROR('SC6'!J15,"")</f>
        <v/>
      </c>
      <c r="E144" s="2" t="inlineStr"/>
      <c r="F144" s="10" t="n"/>
      <c r="G144" s="10" t="n"/>
      <c r="H144" s="2">
        <f>IF(OR(F144="",NOT(ISNUMBER(D144))),"",IF(ABS(F144-D144)&lt;0.001,"Yes","No"))</f>
        <v/>
      </c>
      <c r="I144" s="2" t="inlineStr">
        <is>
          <t>Left for a person</t>
        </is>
      </c>
      <c r="J144" s="2" t="inlineStr">
        <is>
          <t>Insufficient Evidence</t>
        </is>
      </c>
      <c r="K144" s="2" t="inlineStr"/>
      <c r="L144" s="2" t="inlineStr"/>
      <c r="M144" s="2" t="inlineStr"/>
      <c r="N144" s="2" t="inlineStr"/>
      <c r="O144" s="2" t="inlineStr"/>
      <c r="P144" s="2" t="inlineStr">
        <is>
          <t>Step 2 found no evidence: a source needs to be found and added. Step 2 found no evidence (Insufficient Evidence).</t>
        </is>
      </c>
    </row>
    <row r="145">
      <c r="A145" s="2" t="inlineStr">
        <is>
          <t>SC6</t>
        </is>
      </c>
      <c r="B145" s="2" t="inlineStr">
        <is>
          <t>Bengaluru – BMRCL</t>
        </is>
      </c>
      <c r="C145" s="2" t="inlineStr"/>
      <c r="D145" s="2">
        <f>IFERROR('SC6'!J16,"")</f>
        <v/>
      </c>
      <c r="E145" s="2" t="inlineStr"/>
      <c r="F145" s="10" t="n"/>
      <c r="G145" s="10" t="n"/>
      <c r="H145" s="2">
        <f>IF(OR(F145="",NOT(ISNUMBER(D145))),"",IF(ABS(F145-D145)&lt;0.001,"Yes","No"))</f>
        <v/>
      </c>
      <c r="I145" s="2" t="inlineStr">
        <is>
          <t>Left for a person</t>
        </is>
      </c>
      <c r="J145" s="2" t="inlineStr">
        <is>
          <t>Insufficient Evidence</t>
        </is>
      </c>
      <c r="K145" s="2" t="inlineStr"/>
      <c r="L145" s="2" t="inlineStr"/>
      <c r="M145" s="2" t="inlineStr"/>
      <c r="N145" s="2" t="inlineStr"/>
      <c r="O145" s="2" t="inlineStr"/>
      <c r="P145" s="2" t="inlineStr">
        <is>
          <t>Step 2 found no evidence: a source needs to be found and added. Step 2 found no evidence (Insufficient Evidence).</t>
        </is>
      </c>
    </row>
    <row r="146">
      <c r="A146" s="2" t="inlineStr">
        <is>
          <t>SC6</t>
        </is>
      </c>
      <c r="B146" s="2" t="inlineStr">
        <is>
          <t>Bengaluru – BMRDA</t>
        </is>
      </c>
      <c r="C146" s="2" t="inlineStr"/>
      <c r="D146" s="2">
        <f>IFERROR('SC6'!J17,"")</f>
        <v/>
      </c>
      <c r="E146" s="2" t="inlineStr"/>
      <c r="F146" s="10" t="n"/>
      <c r="G146" s="10" t="n"/>
      <c r="H146" s="2">
        <f>IF(OR(F146="",NOT(ISNUMBER(D146))),"",IF(ABS(F146-D146)&lt;0.001,"Yes","No"))</f>
        <v/>
      </c>
      <c r="I146" s="2" t="inlineStr">
        <is>
          <t>Left for a person</t>
        </is>
      </c>
      <c r="J146" s="2" t="inlineStr">
        <is>
          <t>Insufficient Evidence</t>
        </is>
      </c>
      <c r="K146" s="2" t="inlineStr"/>
      <c r="L146" s="2" t="inlineStr"/>
      <c r="M146" s="2" t="inlineStr"/>
      <c r="N146" s="2" t="inlineStr"/>
      <c r="O146" s="2" t="inlineStr"/>
      <c r="P146" s="2" t="inlineStr">
        <is>
          <t>Step 2 found no evidence: a source needs to be found and added. Step 2 found no evidence (Insufficient Evidence). Source needed: Karnataka DPAR (Department of Personnel and Administrative Reforms) or Urban Development Department government orders, or gazette notifications, that appoint or transfer each Metropolitan Commissioner of BMRDA over the last five years, with dates and whether each was a substantive posting or an additional/acting charge. Alternatively, a list of past Metropolitan Commissioners on the BMRDA website, or BMRDA annual reports for each year that name the Metropolitan Commissioner. The BMRDA Act 1985 and its Rules are also needed to confirm, by function, that the Metropolitan Commissioner is the executive authority.</t>
        </is>
      </c>
    </row>
    <row r="147">
      <c r="A147" s="2" t="inlineStr">
        <is>
          <t>SC7a</t>
        </is>
      </c>
      <c r="B147" s="2" t="inlineStr">
        <is>
          <t>Bengaluru – BWSSB</t>
        </is>
      </c>
      <c r="C147" s="2" t="inlineStr"/>
      <c r="D147" s="2">
        <f>IFERROR('SC7a'!J13,"")</f>
        <v/>
      </c>
      <c r="E147" s="2" t="inlineStr"/>
      <c r="F147" s="10" t="n"/>
      <c r="G147" s="10" t="n"/>
      <c r="H147" s="2">
        <f>IF(OR(F147="",NOT(ISNUMBER(D147))),"",IF(ABS(F147-D147)&lt;0.001,"Yes","No"))</f>
        <v/>
      </c>
      <c r="I147" s="2" t="inlineStr">
        <is>
          <t>Left for a person</t>
        </is>
      </c>
      <c r="J147" s="2" t="inlineStr">
        <is>
          <t>Insufficient Evidence</t>
        </is>
      </c>
      <c r="K147" s="2" t="inlineStr"/>
      <c r="L147" s="2" t="inlineStr"/>
      <c r="M147" s="2" t="inlineStr"/>
      <c r="N147" s="2" t="inlineStr"/>
      <c r="O147" s="2" t="inlineStr"/>
      <c r="P147" s="2" t="inlineStr">
        <is>
          <t>Step 2 found no evidence: a source needs to be found and added. Step 2 found no evidence (Insufficient Evidence).</t>
        </is>
      </c>
    </row>
    <row r="148">
      <c r="A148" s="2" t="inlineStr">
        <is>
          <t>SC7a</t>
        </is>
      </c>
      <c r="B148" s="2" t="inlineStr">
        <is>
          <t>Bengaluru – BMTC</t>
        </is>
      </c>
      <c r="C148" s="2" t="inlineStr"/>
      <c r="D148" s="2">
        <f>IFERROR('SC7a'!J14,"")</f>
        <v/>
      </c>
      <c r="E148" s="2" t="inlineStr"/>
      <c r="F148" s="10" t="n"/>
      <c r="G148" s="10" t="n"/>
      <c r="H148" s="2">
        <f>IF(OR(F148="",NOT(ISNUMBER(D148))),"",IF(ABS(F148-D148)&lt;0.001,"Yes","No"))</f>
        <v/>
      </c>
      <c r="I148" s="2" t="inlineStr">
        <is>
          <t>Left for a person</t>
        </is>
      </c>
      <c r="J148" s="2" t="inlineStr">
        <is>
          <t>Insufficient Evidence</t>
        </is>
      </c>
      <c r="K148" s="2" t="inlineStr"/>
      <c r="L148" s="2" t="inlineStr"/>
      <c r="M148" s="2" t="inlineStr"/>
      <c r="N148" s="2" t="inlineStr"/>
      <c r="O148" s="2" t="inlineStr"/>
      <c r="P148" s="2" t="inlineStr">
        <is>
          <t>Step 2 found no evidence: a source needs to be found and added. Step 2 found no evidence (Insufficient Evidence).</t>
        </is>
      </c>
    </row>
    <row r="149">
      <c r="A149" s="2" t="inlineStr">
        <is>
          <t>SC7a</t>
        </is>
      </c>
      <c r="B149" s="2" t="inlineStr">
        <is>
          <t>Bengaluru – BDA</t>
        </is>
      </c>
      <c r="C149" s="2" t="inlineStr"/>
      <c r="D149" s="2">
        <f>IFERROR('SC7a'!J15,"")</f>
        <v/>
      </c>
      <c r="E149" s="2" t="inlineStr"/>
      <c r="F149" s="10" t="n"/>
      <c r="G149" s="10" t="n"/>
      <c r="H149" s="2">
        <f>IF(OR(F149="",NOT(ISNUMBER(D149))),"",IF(ABS(F149-D149)&lt;0.001,"Yes","No"))</f>
        <v/>
      </c>
      <c r="I149" s="2" t="inlineStr">
        <is>
          <t>Left for a person</t>
        </is>
      </c>
      <c r="J149" s="2" t="inlineStr">
        <is>
          <t>Insufficient Evidence</t>
        </is>
      </c>
      <c r="K149" s="2" t="inlineStr"/>
      <c r="L149" s="2" t="inlineStr"/>
      <c r="M149" s="2" t="inlineStr"/>
      <c r="N149" s="2" t="inlineStr"/>
      <c r="O149" s="2" t="inlineStr"/>
      <c r="P149" s="2" t="inlineStr">
        <is>
          <t>Step 2 found no evidence: a source needs to be found and added. Step 2 found no evidence (Insufficient Evidence).</t>
        </is>
      </c>
    </row>
    <row r="150">
      <c r="A150" s="2" t="inlineStr">
        <is>
          <t>SC7a</t>
        </is>
      </c>
      <c r="B150" s="2" t="inlineStr">
        <is>
          <t>Bengaluru – BMRCL</t>
        </is>
      </c>
      <c r="C150" s="2" t="inlineStr"/>
      <c r="D150" s="2">
        <f>IFERROR('SC7a'!J16,"")</f>
        <v/>
      </c>
      <c r="E150" s="2" t="inlineStr"/>
      <c r="F150" s="10" t="n"/>
      <c r="G150" s="10" t="n"/>
      <c r="H150" s="2">
        <f>IF(OR(F150="",NOT(ISNUMBER(D150))),"",IF(ABS(F150-D150)&lt;0.001,"Yes","No"))</f>
        <v/>
      </c>
      <c r="I150" s="2" t="inlineStr">
        <is>
          <t>Left for a person</t>
        </is>
      </c>
      <c r="J150" s="2" t="inlineStr">
        <is>
          <t>Insufficient Evidence</t>
        </is>
      </c>
      <c r="K150" s="2" t="inlineStr"/>
      <c r="L150" s="2" t="inlineStr"/>
      <c r="M150" s="2" t="inlineStr"/>
      <c r="N150" s="2" t="inlineStr"/>
      <c r="O150" s="2" t="inlineStr"/>
      <c r="P150" s="2" t="inlineStr">
        <is>
          <t>Step 2 found no evidence: a source needs to be found and added. Step 2 found no evidence (Insufficient Evidence).</t>
        </is>
      </c>
    </row>
    <row r="151">
      <c r="A151" s="2" t="inlineStr">
        <is>
          <t>SC7a</t>
        </is>
      </c>
      <c r="B151" s="2" t="inlineStr">
        <is>
          <t>Bengaluru – BMRDA</t>
        </is>
      </c>
      <c r="C151" s="2" t="inlineStr"/>
      <c r="D151" s="2">
        <f>IFERROR('SC7a'!J17,"")</f>
        <v/>
      </c>
      <c r="E151" s="2" t="inlineStr"/>
      <c r="F151" s="10" t="n"/>
      <c r="G151" s="10" t="n"/>
      <c r="H151" s="2">
        <f>IF(OR(F151="",NOT(ISNUMBER(D151))),"",IF(ABS(F151-D151)&lt;0.001,"Yes","No"))</f>
        <v/>
      </c>
      <c r="I151" s="2" t="inlineStr">
        <is>
          <t>Left for a person</t>
        </is>
      </c>
      <c r="J151" s="2" t="inlineStr">
        <is>
          <t>Insufficient Evidence</t>
        </is>
      </c>
      <c r="K151" s="2" t="inlineStr"/>
      <c r="L151" s="2" t="inlineStr"/>
      <c r="M151" s="2" t="inlineStr"/>
      <c r="N151" s="2" t="inlineStr"/>
      <c r="O151" s="2" t="inlineStr"/>
      <c r="P151" s="2" t="inlineStr">
        <is>
          <t>Step 2 found no evidence: a source needs to be found and added. Step 2 found no evidence (Insufficient Evidence). Source needed: Any one of these, showing the number of sanctioned posts and the number filled (permanent, plus contractual staff within the approved structure) as of a stated date: BMRDA's latest annual report with a staffing table; the RTI Section 4(1)(b) disclosure covering staff and posts; the organisation structure document; or the sanctioned-post schedule under the 2008 Cadre and Recruitment Rules (or a later amendment or GO). An RTI reply or formal data request to BMRDA would also work. The linked documents on BMRDA-01 (annual report, 4(1)(b) disclosure, organisation structure PDF, 2008 Rules) should be added to the Citation Sheet in Step 1.</t>
        </is>
      </c>
    </row>
    <row r="152">
      <c r="A152" s="2" t="inlineStr">
        <is>
          <t>SC7b</t>
        </is>
      </c>
      <c r="B152" s="2" t="inlineStr">
        <is>
          <t>Bengaluru – BWSSB</t>
        </is>
      </c>
      <c r="C152" s="2" t="inlineStr"/>
      <c r="D152" s="2">
        <f>IFERROR('SC7b'!J13,"")</f>
        <v/>
      </c>
      <c r="E152" s="2" t="inlineStr"/>
      <c r="F152" s="10" t="n"/>
      <c r="G152" s="10" t="n"/>
      <c r="H152" s="2">
        <f>IF(OR(F152="",NOT(ISNUMBER(D152))),"",IF(ABS(F152-D152)&lt;0.001,"Yes","No"))</f>
        <v/>
      </c>
      <c r="I152" s="2" t="inlineStr">
        <is>
          <t>Left for a person</t>
        </is>
      </c>
      <c r="J152" s="2" t="inlineStr">
        <is>
          <t>Insufficient Evidence</t>
        </is>
      </c>
      <c r="K152" s="2" t="inlineStr"/>
      <c r="L152" s="2" t="inlineStr"/>
      <c r="M152" s="2" t="inlineStr"/>
      <c r="N152" s="2" t="inlineStr"/>
      <c r="O152" s="2" t="inlineStr"/>
      <c r="P152" s="2" t="inlineStr">
        <is>
          <t>Step 2 found no evidence: a source needs to be found and added. Step 2 found no evidence (Insufficient Evidence).</t>
        </is>
      </c>
    </row>
    <row r="153">
      <c r="A153" s="2" t="inlineStr">
        <is>
          <t>SC7b</t>
        </is>
      </c>
      <c r="B153" s="2" t="inlineStr">
        <is>
          <t>Bengaluru – BMTC</t>
        </is>
      </c>
      <c r="C153" s="2" t="inlineStr"/>
      <c r="D153" s="2">
        <f>IFERROR('SC7b'!J14,"")</f>
        <v/>
      </c>
      <c r="E153" s="2" t="inlineStr"/>
      <c r="F153" s="10" t="n"/>
      <c r="G153" s="10" t="n"/>
      <c r="H153" s="2">
        <f>IF(OR(F153="",NOT(ISNUMBER(D153))),"",IF(ABS(F153-D153)&lt;0.001,"Yes","No"))</f>
        <v/>
      </c>
      <c r="I153" s="2" t="inlineStr">
        <is>
          <t>Left for a person</t>
        </is>
      </c>
      <c r="J153" s="2" t="inlineStr">
        <is>
          <t>Insufficient Evidence</t>
        </is>
      </c>
      <c r="K153" s="2" t="inlineStr"/>
      <c r="L153" s="2" t="inlineStr"/>
      <c r="M153" s="2" t="inlineStr"/>
      <c r="N153" s="2" t="inlineStr"/>
      <c r="O153" s="2" t="inlineStr"/>
      <c r="P153" s="2" t="inlineStr">
        <is>
          <t>Step 2 found no evidence: a source needs to be found and added. Step 2 found no evidence (Insufficient Evidence).</t>
        </is>
      </c>
    </row>
    <row r="154">
      <c r="A154" s="2" t="inlineStr">
        <is>
          <t>SC7b</t>
        </is>
      </c>
      <c r="B154" s="2" t="inlineStr">
        <is>
          <t>Bengaluru – BDA</t>
        </is>
      </c>
      <c r="C154" s="2" t="inlineStr"/>
      <c r="D154" s="2">
        <f>IFERROR('SC7b'!J15,"")</f>
        <v/>
      </c>
      <c r="E154" s="2" t="inlineStr"/>
      <c r="F154" s="10" t="n"/>
      <c r="G154" s="10" t="n"/>
      <c r="H154" s="2">
        <f>IF(OR(F154="",NOT(ISNUMBER(D154))),"",IF(ABS(F154-D154)&lt;0.001,"Yes","No"))</f>
        <v/>
      </c>
      <c r="I154" s="2" t="inlineStr">
        <is>
          <t>Left for a person</t>
        </is>
      </c>
      <c r="J154" s="2" t="inlineStr">
        <is>
          <t>Insufficient Evidence</t>
        </is>
      </c>
      <c r="K154" s="2" t="inlineStr"/>
      <c r="L154" s="2" t="inlineStr"/>
      <c r="M154" s="2" t="inlineStr"/>
      <c r="N154" s="2" t="inlineStr"/>
      <c r="O154" s="2" t="inlineStr"/>
      <c r="P154" s="2" t="inlineStr">
        <is>
          <t>Step 2 found no evidence: a source needs to be found and added. Step 2 found no evidence (Insufficient Evidence).</t>
        </is>
      </c>
    </row>
    <row r="155">
      <c r="A155" s="2" t="inlineStr">
        <is>
          <t>SC7b</t>
        </is>
      </c>
      <c r="B155" s="2" t="inlineStr">
        <is>
          <t>Bengaluru – BMRCL</t>
        </is>
      </c>
      <c r="C155" s="2" t="inlineStr"/>
      <c r="D155" s="2">
        <f>IFERROR('SC7b'!J16,"")</f>
        <v/>
      </c>
      <c r="E155" s="2" t="inlineStr"/>
      <c r="F155" s="10" t="n"/>
      <c r="G155" s="10" t="n"/>
      <c r="H155" s="2">
        <f>IF(OR(F155="",NOT(ISNUMBER(D155))),"",IF(ABS(F155-D155)&lt;0.001,"Yes","No"))</f>
        <v/>
      </c>
      <c r="I155" s="2" t="inlineStr">
        <is>
          <t>Left for a person</t>
        </is>
      </c>
      <c r="J155" s="2" t="inlineStr">
        <is>
          <t>Insufficient Evidence</t>
        </is>
      </c>
      <c r="K155" s="2" t="inlineStr"/>
      <c r="L155" s="2" t="inlineStr"/>
      <c r="M155" s="2" t="inlineStr"/>
      <c r="N155" s="2" t="inlineStr"/>
      <c r="O155" s="2" t="inlineStr"/>
      <c r="P155" s="2" t="inlineStr">
        <is>
          <t>Step 2 found no evidence: a source needs to be found and added. Step 2 found no evidence (Insufficient Evidence).</t>
        </is>
      </c>
    </row>
    <row r="156">
      <c r="A156" s="2" t="inlineStr">
        <is>
          <t>SC7b</t>
        </is>
      </c>
      <c r="B156" s="2" t="inlineStr">
        <is>
          <t>Bengaluru – BMRDA</t>
        </is>
      </c>
      <c r="C156" s="2" t="inlineStr"/>
      <c r="D156" s="2">
        <f>IFERROR('SC7b'!J17,"")</f>
        <v/>
      </c>
      <c r="E156" s="2" t="inlineStr"/>
      <c r="F156" s="10" t="n"/>
      <c r="G156" s="10" t="n"/>
      <c r="H156" s="2">
        <f>IF(OR(F156="",NOT(ISNUMBER(D156))),"",IF(ABS(F156-D156)&lt;0.001,"Yes","No"))</f>
        <v/>
      </c>
      <c r="I156" s="2" t="inlineStr">
        <is>
          <t>Left for a person</t>
        </is>
      </c>
      <c r="J156" s="2" t="inlineStr">
        <is>
          <t>Insufficient Evidence</t>
        </is>
      </c>
      <c r="K156" s="2" t="inlineStr"/>
      <c r="L156" s="2" t="inlineStr"/>
      <c r="M156" s="2" t="inlineStr"/>
      <c r="N156" s="2" t="inlineStr"/>
      <c r="O156" s="2" t="inlineStr"/>
      <c r="P156" s="2" t="inlineStr">
        <is>
          <t>Step 2 found no evidence: a source needs to be found and added. Step 2 found no evidence (Insufficient Evidence). Source needed: Any of these would answer it: BMRDA's latest staffing statement giving working (filled) strength by gender; the Annual Report 2023-24 text if it has an establishment table; the RTI Section 4(1)(b) staff directory with names and designations, from which gender can be taken only if it is stated explicitly; or a formal data request / RTI reply from BMRDA giving women employees, total filled posts, and a breakdown by senior/decision-making and technical cadres.</t>
        </is>
      </c>
    </row>
  </sheetData>
  <autoFilter ref="A1:P156"/>
  <conditionalFormatting sqref="I2:I156">
    <cfRule type="expression" priority="1" dxfId="0">
      <formula>$I2="Left for a person"</formula>
    </cfRule>
  </conditionalFormatting>
  <conditionalFormatting sqref="H2:H156">
    <cfRule type="expression" priority="2" dxfId="1">
      <formula>$H2="No"</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DRAFT PARASTATAL scoring workbook - generated from the methodology sheet</t>
        </is>
      </c>
    </row>
    <row r="2">
      <c r="A2" s="2" t="inlineStr"/>
    </row>
    <row r="3">
      <c r="A3" s="2" t="inlineStr">
        <is>
          <t>This draft follows the same layout as the UPD scoring workbook, so the app can fill, merge and read it. The scoring experts should:</t>
        </is>
      </c>
    </row>
    <row r="4">
      <c r="A4" s="2" t="inlineStr">
        <is>
          <t xml:space="preserve">  1. Replace each question sheet's simple inputs (yellow) and Points formula with the real ones, keeping the row-11 instructions (e.g. SELECT YES / NO) and the column names 'Points (Auto-generate)' and 'SCORER COMMENTS'.</t>
        </is>
      </c>
    </row>
    <row r="5">
      <c r="A5" s="2" t="inlineStr">
        <is>
          <t xml:space="preserve">  2. Check 'Applies?' (filled in from each agency's type and the question's Applicability). To change it, fix the agency in the city register or Sources workbook and generate again.</t>
        </is>
      </c>
    </row>
    <row r="6">
      <c r="A6" s="2" t="inlineStr">
        <is>
          <t xml:space="preserve">  3. Fix the points below in the methodology sheet and generate again.</t>
        </is>
      </c>
    </row>
    <row r="7">
      <c r="A7" s="2" t="inlineStr"/>
    </row>
    <row r="8">
      <c r="A8" s="2" t="inlineStr">
        <is>
          <t>Points to check:</t>
        </is>
      </c>
    </row>
    <row r="9">
      <c r="A9" s="2" t="inlineStr">
        <is>
          <t xml:space="preserve">  • Section 'Decentralised Participatory Governance' has no (CODE); using DPG</t>
        </is>
      </c>
    </row>
    <row r="10">
      <c r="A10" s="2" t="inlineStr">
        <is>
          <t xml:space="preserve">  • Question Bank row 35: the ID "DPG d" has no number. We treated it as part of DPG 5. Please correct the ID in the question bank.</t>
        </is>
      </c>
    </row>
    <row r="11">
      <c r="A11" s="2" t="inlineStr">
        <is>
          <t xml:space="preserve">  • Question Bank row 36: the ID "DPG f" has no number. We treated it as part of DPG 5. Please correct the ID in the question bank.</t>
        </is>
      </c>
    </row>
    <row r="12">
      <c r="A12" s="2" t="inlineStr">
        <is>
          <t xml:space="preserve">  • Question Bank row 38: the ID "DPG h" has no number. We treated it as part of DPG 5. Please correct the ID in the question bank.</t>
        </is>
      </c>
    </row>
    <row r="13">
      <c r="A13" s="2" t="inlineStr">
        <is>
          <t xml:space="preserve">  • Section 'State Capacities' has no (CODE); using SC</t>
        </is>
      </c>
    </row>
    <row r="14">
      <c r="A14" s="2" t="inlineStr">
        <is>
          <t xml:space="preserve">  • UPD 1a: the methodology gives scores up to 10, but the Max Score is 5. Say how the score should be scaled.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2"/>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4" customWidth="1" min="2" max="2"/>
    <col width="50" customWidth="1" min="4" max="4"/>
    <col width="18" customWidth="1" min="5" max="5"/>
  </cols>
  <sheetData>
    <row r="1">
      <c r="A1" s="3" t="inlineStr">
        <is>
          <t>ASICS 2027_Report_Q No</t>
        </is>
      </c>
      <c r="B1" s="3" t="inlineStr">
        <is>
          <t>Group</t>
        </is>
      </c>
      <c r="C1" s="3" t="inlineStr">
        <is>
          <t>MQ_SQ</t>
        </is>
      </c>
      <c r="D1" s="3" t="inlineStr">
        <is>
          <t>Question</t>
        </is>
      </c>
      <c r="E1" s="3" t="inlineStr">
        <is>
          <t>Assessment level</t>
        </is>
      </c>
      <c r="F1" s="3" t="inlineStr">
        <is>
          <t>Max Score</t>
        </is>
      </c>
      <c r="G1" s="3" t="inlineStr">
        <is>
          <t>Bengaluru – BWSSB</t>
        </is>
      </c>
      <c r="H1" s="3" t="inlineStr">
        <is>
          <t>Bengaluru – BMTC</t>
        </is>
      </c>
      <c r="I1" s="3" t="inlineStr">
        <is>
          <t>Bengaluru – BDA</t>
        </is>
      </c>
      <c r="J1" s="3" t="inlineStr">
        <is>
          <t>Bengaluru – BMRCL</t>
        </is>
      </c>
      <c r="K1" s="3" t="inlineStr">
        <is>
          <t>Bengaluru – BMRDA</t>
        </is>
      </c>
      <c r="L1" s="3" t="inlineStr">
        <is>
          <t>Surat – SUDA</t>
        </is>
      </c>
      <c r="M1" s="3" t="inlineStr">
        <is>
          <t>Surat – GMRC</t>
        </is>
      </c>
    </row>
    <row r="2">
      <c r="A2" t="inlineStr">
        <is>
          <t>ENTER</t>
        </is>
      </c>
      <c r="B2" t="inlineStr">
        <is>
          <t>Derived</t>
        </is>
      </c>
      <c r="C2" t="inlineStr">
        <is>
          <t>Derived</t>
        </is>
      </c>
      <c r="D2" t="inlineStr">
        <is>
          <t>Derived</t>
        </is>
      </c>
      <c r="E2" t="inlineStr">
        <is>
          <t>Derived</t>
        </is>
      </c>
      <c r="F2" t="inlineStr">
        <is>
          <t>Derived</t>
        </is>
      </c>
      <c r="G2" t="inlineStr">
        <is>
          <t>Derived</t>
        </is>
      </c>
      <c r="H2" t="inlineStr">
        <is>
          <t>Derived</t>
        </is>
      </c>
      <c r="I2" t="inlineStr">
        <is>
          <t>Derived</t>
        </is>
      </c>
      <c r="J2" t="inlineStr">
        <is>
          <t>Derived</t>
        </is>
      </c>
      <c r="K2" t="inlineStr">
        <is>
          <t>Derived</t>
        </is>
      </c>
      <c r="L2" t="inlineStr">
        <is>
          <t>Derived</t>
        </is>
      </c>
      <c r="M2" t="inlineStr">
        <is>
          <t>Derived</t>
        </is>
      </c>
    </row>
    <row r="3">
      <c r="A3" s="4" t="inlineStr">
        <is>
          <t>UPD1</t>
        </is>
      </c>
      <c r="B3" s="4">
        <f>VLOOKUP($A3,'PARASTATAL Questions'!$A:$J,3,0)&amp;""</f>
        <v/>
      </c>
      <c r="C3" s="4">
        <f>VLOOKUP($A3,'PARASTATAL Questions'!$A:$J,4,0)&amp;""</f>
        <v/>
      </c>
      <c r="D3" s="4">
        <f>VLOOKUP($A3,'PARASTATAL Questions'!$A:$J,5,0)&amp;""</f>
        <v/>
      </c>
      <c r="E3" s="4">
        <f>VLOOKUP($A3,'PARASTATAL Questions'!$A:$J,7,0)&amp;""</f>
        <v/>
      </c>
      <c r="F3" s="4">
        <f>VLOOKUP($A3,'PARASTATAL Questions'!$A:$J,6,0)</f>
        <v/>
      </c>
      <c r="G3" s="4">
        <f>IF(OR(G4="ER",G5="ER"),"ER",IF(OR(G4="?",G5="?"),"?",IF(AND(G4="NA",G5="NA"),"NA",SUM(G4,G5)/((G4&lt;&gt;"NA")*$F$4+(G5&lt;&gt;"NA")*$F$5)*$F3)))</f>
        <v/>
      </c>
      <c r="H3" s="4">
        <f>IF(OR(H4="ER",H5="ER"),"ER",IF(OR(H4="?",H5="?"),"?",IF(AND(H4="NA",H5="NA"),"NA",SUM(H4,H5)/((H4&lt;&gt;"NA")*$F$4+(H5&lt;&gt;"NA")*$F$5)*$F3)))</f>
        <v/>
      </c>
      <c r="I3" s="4">
        <f>IF(OR(I4="ER",I5="ER"),"ER",IF(OR(I4="?",I5="?"),"?",IF(AND(I4="NA",I5="NA"),"NA",SUM(I4,I5)/((I4&lt;&gt;"NA")*$F$4+(I5&lt;&gt;"NA")*$F$5)*$F3)))</f>
        <v/>
      </c>
      <c r="J3" s="4">
        <f>IF(OR(J4="ER",J5="ER"),"ER",IF(OR(J4="?",J5="?"),"?",IF(AND(J4="NA",J5="NA"),"NA",SUM(J4,J5)/((J4&lt;&gt;"NA")*$F$4+(J5&lt;&gt;"NA")*$F$5)*$F3)))</f>
        <v/>
      </c>
      <c r="K3" s="4">
        <f>IF(OR(K4="ER",K5="ER"),"ER",IF(OR(K4="?",K5="?"),"?",IF(AND(K4="NA",K5="NA"),"NA",SUM(K4,K5)/((K4&lt;&gt;"NA")*$F$4+(K5&lt;&gt;"NA")*$F$5)*$F3)))</f>
        <v/>
      </c>
      <c r="L3" s="4">
        <f>IF(OR(L4="ER",L5="ER"),"ER",IF(OR(L4="?",L5="?"),"?",IF(AND(L4="NA",L5="NA"),"NA",SUM(L4,L5)/((L4&lt;&gt;"NA")*$F$4+(L5&lt;&gt;"NA")*$F$5)*$F3)))</f>
        <v/>
      </c>
      <c r="M3" s="4">
        <f>IF(OR(M4="ER",M5="ER"),"ER",IF(OR(M4="?",M5="?"),"?",IF(AND(M4="NA",M5="NA"),"NA",SUM(M4,M5)/((M4&lt;&gt;"NA")*$F$4+(M5&lt;&gt;"NA")*$F$5)*$F3)))</f>
        <v/>
      </c>
    </row>
    <row r="4">
      <c r="A4" t="inlineStr">
        <is>
          <t>UPD1a</t>
        </is>
      </c>
      <c r="B4">
        <f>VLOOKUP($A4,'PARASTATAL Questions'!$A:$J,3,0)&amp;""</f>
        <v/>
      </c>
      <c r="C4">
        <f>VLOOKUP($A4,'PARASTATAL Questions'!$A:$J,4,0)&amp;""</f>
        <v/>
      </c>
      <c r="D4">
        <f>VLOOKUP($A4,'PARASTATAL Questions'!$A:$J,5,0)&amp;""</f>
        <v/>
      </c>
      <c r="E4">
        <f>VLOOKUP($A4,'PARASTATAL Questions'!$A:$J,7,0)&amp;""</f>
        <v/>
      </c>
      <c r="F4">
        <f>VLOOKUP($A4,'PARASTATAL Questions'!$A:$J,6,0)</f>
        <v/>
      </c>
      <c r="G4">
        <f>IF($F4=0,"NA",IF($A4=INDIRECT("'"&amp;$A4&amp;"'!$B$1"),IF(VLOOKUP(G$1,INDIRECT("'"&amp;$A4&amp;"'!$A$12:$Z$19"),MATCH("Points (Auto-generate)",INDIRECT("'"&amp;$A4&amp;"'!$A$12:$Z$12"),0),0)="","?",VLOOKUP(G$1,INDIRECT("'"&amp;$A4&amp;"'!$A$12:$Z$19"),MATCH("Points (Auto-generate)",INDIRECT("'"&amp;$A4&amp;"'!$A$12:$Z$12"),0),0)),"ER"))</f>
        <v/>
      </c>
      <c r="H4">
        <f>IF($F4=0,"NA",IF($A4=INDIRECT("'"&amp;$A4&amp;"'!$B$1"),IF(VLOOKUP(H$1,INDIRECT("'"&amp;$A4&amp;"'!$A$12:$Z$19"),MATCH("Points (Auto-generate)",INDIRECT("'"&amp;$A4&amp;"'!$A$12:$Z$12"),0),0)="","?",VLOOKUP(H$1,INDIRECT("'"&amp;$A4&amp;"'!$A$12:$Z$19"),MATCH("Points (Auto-generate)",INDIRECT("'"&amp;$A4&amp;"'!$A$12:$Z$12"),0),0)),"ER"))</f>
        <v/>
      </c>
      <c r="I4">
        <f>IF($F4=0,"NA",IF($A4=INDIRECT("'"&amp;$A4&amp;"'!$B$1"),IF(VLOOKUP(I$1,INDIRECT("'"&amp;$A4&amp;"'!$A$12:$Z$19"),MATCH("Points (Auto-generate)",INDIRECT("'"&amp;$A4&amp;"'!$A$12:$Z$12"),0),0)="","?",VLOOKUP(I$1,INDIRECT("'"&amp;$A4&amp;"'!$A$12:$Z$19"),MATCH("Points (Auto-generate)",INDIRECT("'"&amp;$A4&amp;"'!$A$12:$Z$12"),0),0)),"ER"))</f>
        <v/>
      </c>
      <c r="J4">
        <f>IF($F4=0,"NA",IF($A4=INDIRECT("'"&amp;$A4&amp;"'!$B$1"),IF(VLOOKUP(J$1,INDIRECT("'"&amp;$A4&amp;"'!$A$12:$Z$19"),MATCH("Points (Auto-generate)",INDIRECT("'"&amp;$A4&amp;"'!$A$12:$Z$12"),0),0)="","?",VLOOKUP(J$1,INDIRECT("'"&amp;$A4&amp;"'!$A$12:$Z$19"),MATCH("Points (Auto-generate)",INDIRECT("'"&amp;$A4&amp;"'!$A$12:$Z$12"),0),0)),"ER"))</f>
        <v/>
      </c>
      <c r="K4">
        <f>IF($F4=0,"NA",IF($A4=INDIRECT("'"&amp;$A4&amp;"'!$B$1"),IF(VLOOKUP(K$1,INDIRECT("'"&amp;$A4&amp;"'!$A$12:$Z$19"),MATCH("Points (Auto-generate)",INDIRECT("'"&amp;$A4&amp;"'!$A$12:$Z$12"),0),0)="","?",VLOOKUP(K$1,INDIRECT("'"&amp;$A4&amp;"'!$A$12:$Z$19"),MATCH("Points (Auto-generate)",INDIRECT("'"&amp;$A4&amp;"'!$A$12:$Z$12"),0),0)),"ER"))</f>
        <v/>
      </c>
      <c r="L4">
        <f>IF($F4=0,"NA",IF($A4=INDIRECT("'"&amp;$A4&amp;"'!$B$1"),IF(VLOOKUP(L$1,INDIRECT("'"&amp;$A4&amp;"'!$A$12:$Z$19"),MATCH("Points (Auto-generate)",INDIRECT("'"&amp;$A4&amp;"'!$A$12:$Z$12"),0),0)="","?",VLOOKUP(L$1,INDIRECT("'"&amp;$A4&amp;"'!$A$12:$Z$19"),MATCH("Points (Auto-generate)",INDIRECT("'"&amp;$A4&amp;"'!$A$12:$Z$12"),0),0)),"ER"))</f>
        <v/>
      </c>
      <c r="M4">
        <f>IF($F4=0,"NA",IF($A4=INDIRECT("'"&amp;$A4&amp;"'!$B$1"),IF(VLOOKUP(M$1,INDIRECT("'"&amp;$A4&amp;"'!$A$12:$Z$19"),MATCH("Points (Auto-generate)",INDIRECT("'"&amp;$A4&amp;"'!$A$12:$Z$12"),0),0)="","?",VLOOKUP(M$1,INDIRECT("'"&amp;$A4&amp;"'!$A$12:$Z$19"),MATCH("Points (Auto-generate)",INDIRECT("'"&amp;$A4&amp;"'!$A$12:$Z$12"),0),0)),"ER"))</f>
        <v/>
      </c>
    </row>
    <row r="5">
      <c r="A5" t="inlineStr">
        <is>
          <t>UPD1b</t>
        </is>
      </c>
      <c r="B5">
        <f>VLOOKUP($A5,'PARASTATAL Questions'!$A:$J,3,0)&amp;""</f>
        <v/>
      </c>
      <c r="C5">
        <f>VLOOKUP($A5,'PARASTATAL Questions'!$A:$J,4,0)&amp;""</f>
        <v/>
      </c>
      <c r="D5">
        <f>VLOOKUP($A5,'PARASTATAL Questions'!$A:$J,5,0)&amp;""</f>
        <v/>
      </c>
      <c r="E5">
        <f>VLOOKUP($A5,'PARASTATAL Questions'!$A:$J,7,0)&amp;""</f>
        <v/>
      </c>
      <c r="F5">
        <f>VLOOKUP($A5,'PARASTATAL Questions'!$A:$J,6,0)</f>
        <v/>
      </c>
      <c r="G5">
        <f>IF($F5=0,"NA",IF($A5=INDIRECT("'"&amp;$A5&amp;"'!$B$1"),IF(VLOOKUP(G$1,INDIRECT("'"&amp;$A5&amp;"'!$A$12:$Z$19"),MATCH("Points (Auto-generate)",INDIRECT("'"&amp;$A5&amp;"'!$A$12:$Z$12"),0),0)="","?",VLOOKUP(G$1,INDIRECT("'"&amp;$A5&amp;"'!$A$12:$Z$19"),MATCH("Points (Auto-generate)",INDIRECT("'"&amp;$A5&amp;"'!$A$12:$Z$12"),0),0)),"ER"))</f>
        <v/>
      </c>
      <c r="H5">
        <f>IF($F5=0,"NA",IF($A5=INDIRECT("'"&amp;$A5&amp;"'!$B$1"),IF(VLOOKUP(H$1,INDIRECT("'"&amp;$A5&amp;"'!$A$12:$Z$19"),MATCH("Points (Auto-generate)",INDIRECT("'"&amp;$A5&amp;"'!$A$12:$Z$12"),0),0)="","?",VLOOKUP(H$1,INDIRECT("'"&amp;$A5&amp;"'!$A$12:$Z$19"),MATCH("Points (Auto-generate)",INDIRECT("'"&amp;$A5&amp;"'!$A$12:$Z$12"),0),0)),"ER"))</f>
        <v/>
      </c>
      <c r="I5">
        <f>IF($F5=0,"NA",IF($A5=INDIRECT("'"&amp;$A5&amp;"'!$B$1"),IF(VLOOKUP(I$1,INDIRECT("'"&amp;$A5&amp;"'!$A$12:$Z$19"),MATCH("Points (Auto-generate)",INDIRECT("'"&amp;$A5&amp;"'!$A$12:$Z$12"),0),0)="","?",VLOOKUP(I$1,INDIRECT("'"&amp;$A5&amp;"'!$A$12:$Z$19"),MATCH("Points (Auto-generate)",INDIRECT("'"&amp;$A5&amp;"'!$A$12:$Z$12"),0),0)),"ER"))</f>
        <v/>
      </c>
      <c r="J5">
        <f>IF($F5=0,"NA",IF($A5=INDIRECT("'"&amp;$A5&amp;"'!$B$1"),IF(VLOOKUP(J$1,INDIRECT("'"&amp;$A5&amp;"'!$A$12:$Z$19"),MATCH("Points (Auto-generate)",INDIRECT("'"&amp;$A5&amp;"'!$A$12:$Z$12"),0),0)="","?",VLOOKUP(J$1,INDIRECT("'"&amp;$A5&amp;"'!$A$12:$Z$19"),MATCH("Points (Auto-generate)",INDIRECT("'"&amp;$A5&amp;"'!$A$12:$Z$12"),0),0)),"ER"))</f>
        <v/>
      </c>
      <c r="K5">
        <f>IF($F5=0,"NA",IF($A5=INDIRECT("'"&amp;$A5&amp;"'!$B$1"),IF(VLOOKUP(K$1,INDIRECT("'"&amp;$A5&amp;"'!$A$12:$Z$19"),MATCH("Points (Auto-generate)",INDIRECT("'"&amp;$A5&amp;"'!$A$12:$Z$12"),0),0)="","?",VLOOKUP(K$1,INDIRECT("'"&amp;$A5&amp;"'!$A$12:$Z$19"),MATCH("Points (Auto-generate)",INDIRECT("'"&amp;$A5&amp;"'!$A$12:$Z$12"),0),0)),"ER"))</f>
        <v/>
      </c>
      <c r="L5">
        <f>IF($F5=0,"NA",IF($A5=INDIRECT("'"&amp;$A5&amp;"'!$B$1"),IF(VLOOKUP(L$1,INDIRECT("'"&amp;$A5&amp;"'!$A$12:$Z$19"),MATCH("Points (Auto-generate)",INDIRECT("'"&amp;$A5&amp;"'!$A$12:$Z$12"),0),0)="","?",VLOOKUP(L$1,INDIRECT("'"&amp;$A5&amp;"'!$A$12:$Z$19"),MATCH("Points (Auto-generate)",INDIRECT("'"&amp;$A5&amp;"'!$A$12:$Z$12"),0),0)),"ER"))</f>
        <v/>
      </c>
      <c r="M5">
        <f>IF($F5=0,"NA",IF($A5=INDIRECT("'"&amp;$A5&amp;"'!$B$1"),IF(VLOOKUP(M$1,INDIRECT("'"&amp;$A5&amp;"'!$A$12:$Z$19"),MATCH("Points (Auto-generate)",INDIRECT("'"&amp;$A5&amp;"'!$A$12:$Z$12"),0),0)="","?",VLOOKUP(M$1,INDIRECT("'"&amp;$A5&amp;"'!$A$12:$Z$19"),MATCH("Points (Auto-generate)",INDIRECT("'"&amp;$A5&amp;"'!$A$12:$Z$12"),0),0)),"ER"))</f>
        <v/>
      </c>
    </row>
    <row r="6">
      <c r="A6" s="4" t="inlineStr">
        <is>
          <t>UPD2</t>
        </is>
      </c>
      <c r="B6" s="4">
        <f>VLOOKUP($A6,'PARASTATAL Questions'!$A:$J,3,0)&amp;""</f>
        <v/>
      </c>
      <c r="C6" s="4">
        <f>VLOOKUP($A6,'PARASTATAL Questions'!$A:$J,4,0)&amp;""</f>
        <v/>
      </c>
      <c r="D6" s="4">
        <f>VLOOKUP($A6,'PARASTATAL Questions'!$A:$J,5,0)&amp;""</f>
        <v/>
      </c>
      <c r="E6" s="4">
        <f>VLOOKUP($A6,'PARASTATAL Questions'!$A:$J,7,0)&amp;""</f>
        <v/>
      </c>
      <c r="F6" s="4">
        <f>VLOOKUP($A6,'PARASTATAL Questions'!$A:$J,6,0)</f>
        <v/>
      </c>
      <c r="G6" s="4">
        <f>IF(OR(G7="ER",G8="ER",G9="ER",G10="ER"),"ER",IF(OR(G7="?",G8="?",G9="?",G10="?"),"?",IF(AND(G7="NA",G8="NA",G9="NA",G10="NA"),"NA",SUM(G7,G8,G9,G10)/((G7&lt;&gt;"NA")*$F$7+(G8&lt;&gt;"NA")*$F$8+(G9&lt;&gt;"NA")*$F$9+(G10&lt;&gt;"NA")*$F$10)*$F6)))</f>
        <v/>
      </c>
      <c r="H6" s="4">
        <f>IF(OR(H7="ER",H8="ER",H9="ER",H10="ER"),"ER",IF(OR(H7="?",H8="?",H9="?",H10="?"),"?",IF(AND(H7="NA",H8="NA",H9="NA",H10="NA"),"NA",SUM(H7,H8,H9,H10)/((H7&lt;&gt;"NA")*$F$7+(H8&lt;&gt;"NA")*$F$8+(H9&lt;&gt;"NA")*$F$9+(H10&lt;&gt;"NA")*$F$10)*$F6)))</f>
        <v/>
      </c>
      <c r="I6" s="4">
        <f>IF(OR(I7="ER",I8="ER",I9="ER",I10="ER"),"ER",IF(OR(I7="?",I8="?",I9="?",I10="?"),"?",IF(AND(I7="NA",I8="NA",I9="NA",I10="NA"),"NA",SUM(I7,I8,I9,I10)/((I7&lt;&gt;"NA")*$F$7+(I8&lt;&gt;"NA")*$F$8+(I9&lt;&gt;"NA")*$F$9+(I10&lt;&gt;"NA")*$F$10)*$F6)))</f>
        <v/>
      </c>
      <c r="J6" s="4">
        <f>IF(OR(J7="ER",J8="ER",J9="ER",J10="ER"),"ER",IF(OR(J7="?",J8="?",J9="?",J10="?"),"?",IF(AND(J7="NA",J8="NA",J9="NA",J10="NA"),"NA",SUM(J7,J8,J9,J10)/((J7&lt;&gt;"NA")*$F$7+(J8&lt;&gt;"NA")*$F$8+(J9&lt;&gt;"NA")*$F$9+(J10&lt;&gt;"NA")*$F$10)*$F6)))</f>
        <v/>
      </c>
      <c r="K6" s="4">
        <f>IF(OR(K7="ER",K8="ER",K9="ER",K10="ER"),"ER",IF(OR(K7="?",K8="?",K9="?",K10="?"),"?",IF(AND(K7="NA",K8="NA",K9="NA",K10="NA"),"NA",SUM(K7,K8,K9,K10)/((K7&lt;&gt;"NA")*$F$7+(K8&lt;&gt;"NA")*$F$8+(K9&lt;&gt;"NA")*$F$9+(K10&lt;&gt;"NA")*$F$10)*$F6)))</f>
        <v/>
      </c>
      <c r="L6" s="4">
        <f>IF(OR(L7="ER",L8="ER",L9="ER",L10="ER"),"ER",IF(OR(L7="?",L8="?",L9="?",L10="?"),"?",IF(AND(L7="NA",L8="NA",L9="NA",L10="NA"),"NA",SUM(L7,L8,L9,L10)/((L7&lt;&gt;"NA")*$F$7+(L8&lt;&gt;"NA")*$F$8+(L9&lt;&gt;"NA")*$F$9+(L10&lt;&gt;"NA")*$F$10)*$F6)))</f>
        <v/>
      </c>
      <c r="M6" s="4">
        <f>IF(OR(M7="ER",M8="ER",M9="ER",M10="ER"),"ER",IF(OR(M7="?",M8="?",M9="?",M10="?"),"?",IF(AND(M7="NA",M8="NA",M9="NA",M10="NA"),"NA",SUM(M7,M8,M9,M10)/((M7&lt;&gt;"NA")*$F$7+(M8&lt;&gt;"NA")*$F$8+(M9&lt;&gt;"NA")*$F$9+(M10&lt;&gt;"NA")*$F$10)*$F6)))</f>
        <v/>
      </c>
    </row>
    <row r="7">
      <c r="A7" t="inlineStr">
        <is>
          <t>UPD2a</t>
        </is>
      </c>
      <c r="B7">
        <f>VLOOKUP($A7,'PARASTATAL Questions'!$A:$J,3,0)&amp;""</f>
        <v/>
      </c>
      <c r="C7">
        <f>VLOOKUP($A7,'PARASTATAL Questions'!$A:$J,4,0)&amp;""</f>
        <v/>
      </c>
      <c r="D7">
        <f>VLOOKUP($A7,'PARASTATAL Questions'!$A:$J,5,0)&amp;""</f>
        <v/>
      </c>
      <c r="E7">
        <f>VLOOKUP($A7,'PARASTATAL Questions'!$A:$J,7,0)&amp;""</f>
        <v/>
      </c>
      <c r="F7">
        <f>VLOOKUP($A7,'PARASTATAL Questions'!$A:$J,6,0)</f>
        <v/>
      </c>
      <c r="G7">
        <f>IF($F7=0,"NA",IF($A7=INDIRECT("'"&amp;$A7&amp;"'!$B$1"),IF(VLOOKUP(G$1,INDIRECT("'"&amp;$A7&amp;"'!$A$12:$Z$19"),MATCH("Points (Auto-generate)",INDIRECT("'"&amp;$A7&amp;"'!$A$12:$Z$12"),0),0)="","?",VLOOKUP(G$1,INDIRECT("'"&amp;$A7&amp;"'!$A$12:$Z$19"),MATCH("Points (Auto-generate)",INDIRECT("'"&amp;$A7&amp;"'!$A$12:$Z$12"),0),0)),"ER"))</f>
        <v/>
      </c>
      <c r="H7">
        <f>IF($F7=0,"NA",IF($A7=INDIRECT("'"&amp;$A7&amp;"'!$B$1"),IF(VLOOKUP(H$1,INDIRECT("'"&amp;$A7&amp;"'!$A$12:$Z$19"),MATCH("Points (Auto-generate)",INDIRECT("'"&amp;$A7&amp;"'!$A$12:$Z$12"),0),0)="","?",VLOOKUP(H$1,INDIRECT("'"&amp;$A7&amp;"'!$A$12:$Z$19"),MATCH("Points (Auto-generate)",INDIRECT("'"&amp;$A7&amp;"'!$A$12:$Z$12"),0),0)),"ER"))</f>
        <v/>
      </c>
      <c r="I7">
        <f>IF($F7=0,"NA",IF($A7=INDIRECT("'"&amp;$A7&amp;"'!$B$1"),IF(VLOOKUP(I$1,INDIRECT("'"&amp;$A7&amp;"'!$A$12:$Z$19"),MATCH("Points (Auto-generate)",INDIRECT("'"&amp;$A7&amp;"'!$A$12:$Z$12"),0),0)="","?",VLOOKUP(I$1,INDIRECT("'"&amp;$A7&amp;"'!$A$12:$Z$19"),MATCH("Points (Auto-generate)",INDIRECT("'"&amp;$A7&amp;"'!$A$12:$Z$12"),0),0)),"ER"))</f>
        <v/>
      </c>
      <c r="J7">
        <f>IF($F7=0,"NA",IF($A7=INDIRECT("'"&amp;$A7&amp;"'!$B$1"),IF(VLOOKUP(J$1,INDIRECT("'"&amp;$A7&amp;"'!$A$12:$Z$19"),MATCH("Points (Auto-generate)",INDIRECT("'"&amp;$A7&amp;"'!$A$12:$Z$12"),0),0)="","?",VLOOKUP(J$1,INDIRECT("'"&amp;$A7&amp;"'!$A$12:$Z$19"),MATCH("Points (Auto-generate)",INDIRECT("'"&amp;$A7&amp;"'!$A$12:$Z$12"),0),0)),"ER"))</f>
        <v/>
      </c>
      <c r="K7">
        <f>IF($F7=0,"NA",IF($A7=INDIRECT("'"&amp;$A7&amp;"'!$B$1"),IF(VLOOKUP(K$1,INDIRECT("'"&amp;$A7&amp;"'!$A$12:$Z$19"),MATCH("Points (Auto-generate)",INDIRECT("'"&amp;$A7&amp;"'!$A$12:$Z$12"),0),0)="","?",VLOOKUP(K$1,INDIRECT("'"&amp;$A7&amp;"'!$A$12:$Z$19"),MATCH("Points (Auto-generate)",INDIRECT("'"&amp;$A7&amp;"'!$A$12:$Z$12"),0),0)),"ER"))</f>
        <v/>
      </c>
      <c r="L7">
        <f>IF($F7=0,"NA",IF($A7=INDIRECT("'"&amp;$A7&amp;"'!$B$1"),IF(VLOOKUP(L$1,INDIRECT("'"&amp;$A7&amp;"'!$A$12:$Z$19"),MATCH("Points (Auto-generate)",INDIRECT("'"&amp;$A7&amp;"'!$A$12:$Z$12"),0),0)="","?",VLOOKUP(L$1,INDIRECT("'"&amp;$A7&amp;"'!$A$12:$Z$19"),MATCH("Points (Auto-generate)",INDIRECT("'"&amp;$A7&amp;"'!$A$12:$Z$12"),0),0)),"ER"))</f>
        <v/>
      </c>
      <c r="M7">
        <f>IF($F7=0,"NA",IF($A7=INDIRECT("'"&amp;$A7&amp;"'!$B$1"),IF(VLOOKUP(M$1,INDIRECT("'"&amp;$A7&amp;"'!$A$12:$Z$19"),MATCH("Points (Auto-generate)",INDIRECT("'"&amp;$A7&amp;"'!$A$12:$Z$12"),0),0)="","?",VLOOKUP(M$1,INDIRECT("'"&amp;$A7&amp;"'!$A$12:$Z$19"),MATCH("Points (Auto-generate)",INDIRECT("'"&amp;$A7&amp;"'!$A$12:$Z$12"),0),0)),"ER"))</f>
        <v/>
      </c>
    </row>
    <row r="8">
      <c r="A8" t="inlineStr">
        <is>
          <t>UPD2b</t>
        </is>
      </c>
      <c r="B8">
        <f>VLOOKUP($A8,'PARASTATAL Questions'!$A:$J,3,0)&amp;""</f>
        <v/>
      </c>
      <c r="C8">
        <f>VLOOKUP($A8,'PARASTATAL Questions'!$A:$J,4,0)&amp;""</f>
        <v/>
      </c>
      <c r="D8">
        <f>VLOOKUP($A8,'PARASTATAL Questions'!$A:$J,5,0)&amp;""</f>
        <v/>
      </c>
      <c r="E8">
        <f>VLOOKUP($A8,'PARASTATAL Questions'!$A:$J,7,0)&amp;""</f>
        <v/>
      </c>
      <c r="F8">
        <f>VLOOKUP($A8,'PARASTATAL Questions'!$A:$J,6,0)</f>
        <v/>
      </c>
      <c r="G8">
        <f>IF($F8=0,"NA",IF($A8=INDIRECT("'"&amp;$A8&amp;"'!$B$1"),IF(VLOOKUP(G$1,INDIRECT("'"&amp;$A8&amp;"'!$A$12:$Z$19"),MATCH("Points (Auto-generate)",INDIRECT("'"&amp;$A8&amp;"'!$A$12:$Z$12"),0),0)="","?",VLOOKUP(G$1,INDIRECT("'"&amp;$A8&amp;"'!$A$12:$Z$19"),MATCH("Points (Auto-generate)",INDIRECT("'"&amp;$A8&amp;"'!$A$12:$Z$12"),0),0)),"ER"))</f>
        <v/>
      </c>
      <c r="H8">
        <f>IF($F8=0,"NA",IF($A8=INDIRECT("'"&amp;$A8&amp;"'!$B$1"),IF(VLOOKUP(H$1,INDIRECT("'"&amp;$A8&amp;"'!$A$12:$Z$19"),MATCH("Points (Auto-generate)",INDIRECT("'"&amp;$A8&amp;"'!$A$12:$Z$12"),0),0)="","?",VLOOKUP(H$1,INDIRECT("'"&amp;$A8&amp;"'!$A$12:$Z$19"),MATCH("Points (Auto-generate)",INDIRECT("'"&amp;$A8&amp;"'!$A$12:$Z$12"),0),0)),"ER"))</f>
        <v/>
      </c>
      <c r="I8">
        <f>IF($F8=0,"NA",IF($A8=INDIRECT("'"&amp;$A8&amp;"'!$B$1"),IF(VLOOKUP(I$1,INDIRECT("'"&amp;$A8&amp;"'!$A$12:$Z$19"),MATCH("Points (Auto-generate)",INDIRECT("'"&amp;$A8&amp;"'!$A$12:$Z$12"),0),0)="","?",VLOOKUP(I$1,INDIRECT("'"&amp;$A8&amp;"'!$A$12:$Z$19"),MATCH("Points (Auto-generate)",INDIRECT("'"&amp;$A8&amp;"'!$A$12:$Z$12"),0),0)),"ER"))</f>
        <v/>
      </c>
      <c r="J8">
        <f>IF($F8=0,"NA",IF($A8=INDIRECT("'"&amp;$A8&amp;"'!$B$1"),IF(VLOOKUP(J$1,INDIRECT("'"&amp;$A8&amp;"'!$A$12:$Z$19"),MATCH("Points (Auto-generate)",INDIRECT("'"&amp;$A8&amp;"'!$A$12:$Z$12"),0),0)="","?",VLOOKUP(J$1,INDIRECT("'"&amp;$A8&amp;"'!$A$12:$Z$19"),MATCH("Points (Auto-generate)",INDIRECT("'"&amp;$A8&amp;"'!$A$12:$Z$12"),0),0)),"ER"))</f>
        <v/>
      </c>
      <c r="K8">
        <f>IF($F8=0,"NA",IF($A8=INDIRECT("'"&amp;$A8&amp;"'!$B$1"),IF(VLOOKUP(K$1,INDIRECT("'"&amp;$A8&amp;"'!$A$12:$Z$19"),MATCH("Points (Auto-generate)",INDIRECT("'"&amp;$A8&amp;"'!$A$12:$Z$12"),0),0)="","?",VLOOKUP(K$1,INDIRECT("'"&amp;$A8&amp;"'!$A$12:$Z$19"),MATCH("Points (Auto-generate)",INDIRECT("'"&amp;$A8&amp;"'!$A$12:$Z$12"),0),0)),"ER"))</f>
        <v/>
      </c>
      <c r="L8">
        <f>IF($F8=0,"NA",IF($A8=INDIRECT("'"&amp;$A8&amp;"'!$B$1"),IF(VLOOKUP(L$1,INDIRECT("'"&amp;$A8&amp;"'!$A$12:$Z$19"),MATCH("Points (Auto-generate)",INDIRECT("'"&amp;$A8&amp;"'!$A$12:$Z$12"),0),0)="","?",VLOOKUP(L$1,INDIRECT("'"&amp;$A8&amp;"'!$A$12:$Z$19"),MATCH("Points (Auto-generate)",INDIRECT("'"&amp;$A8&amp;"'!$A$12:$Z$12"),0),0)),"ER"))</f>
        <v/>
      </c>
      <c r="M8">
        <f>IF($F8=0,"NA",IF($A8=INDIRECT("'"&amp;$A8&amp;"'!$B$1"),IF(VLOOKUP(M$1,INDIRECT("'"&amp;$A8&amp;"'!$A$12:$Z$19"),MATCH("Points (Auto-generate)",INDIRECT("'"&amp;$A8&amp;"'!$A$12:$Z$12"),0),0)="","?",VLOOKUP(M$1,INDIRECT("'"&amp;$A8&amp;"'!$A$12:$Z$19"),MATCH("Points (Auto-generate)",INDIRECT("'"&amp;$A8&amp;"'!$A$12:$Z$12"),0),0)),"ER"))</f>
        <v/>
      </c>
    </row>
    <row r="9">
      <c r="A9" t="inlineStr">
        <is>
          <t>UPD2c</t>
        </is>
      </c>
      <c r="B9">
        <f>VLOOKUP($A9,'PARASTATAL Questions'!$A:$J,3,0)&amp;""</f>
        <v/>
      </c>
      <c r="C9">
        <f>VLOOKUP($A9,'PARASTATAL Questions'!$A:$J,4,0)&amp;""</f>
        <v/>
      </c>
      <c r="D9">
        <f>VLOOKUP($A9,'PARASTATAL Questions'!$A:$J,5,0)&amp;""</f>
        <v/>
      </c>
      <c r="E9">
        <f>VLOOKUP($A9,'PARASTATAL Questions'!$A:$J,7,0)&amp;""</f>
        <v/>
      </c>
      <c r="F9">
        <f>VLOOKUP($A9,'PARASTATAL Questions'!$A:$J,6,0)</f>
        <v/>
      </c>
      <c r="G9">
        <f>IF($F9=0,"NA",IF($A9=INDIRECT("'"&amp;$A9&amp;"'!$B$1"),IF(VLOOKUP(G$1,INDIRECT("'"&amp;$A9&amp;"'!$A$12:$Z$19"),MATCH("Points (Auto-generate)",INDIRECT("'"&amp;$A9&amp;"'!$A$12:$Z$12"),0),0)="","?",VLOOKUP(G$1,INDIRECT("'"&amp;$A9&amp;"'!$A$12:$Z$19"),MATCH("Points (Auto-generate)",INDIRECT("'"&amp;$A9&amp;"'!$A$12:$Z$12"),0),0)),"ER"))</f>
        <v/>
      </c>
      <c r="H9">
        <f>IF($F9=0,"NA",IF($A9=INDIRECT("'"&amp;$A9&amp;"'!$B$1"),IF(VLOOKUP(H$1,INDIRECT("'"&amp;$A9&amp;"'!$A$12:$Z$19"),MATCH("Points (Auto-generate)",INDIRECT("'"&amp;$A9&amp;"'!$A$12:$Z$12"),0),0)="","?",VLOOKUP(H$1,INDIRECT("'"&amp;$A9&amp;"'!$A$12:$Z$19"),MATCH("Points (Auto-generate)",INDIRECT("'"&amp;$A9&amp;"'!$A$12:$Z$12"),0),0)),"ER"))</f>
        <v/>
      </c>
      <c r="I9">
        <f>IF($F9=0,"NA",IF($A9=INDIRECT("'"&amp;$A9&amp;"'!$B$1"),IF(VLOOKUP(I$1,INDIRECT("'"&amp;$A9&amp;"'!$A$12:$Z$19"),MATCH("Points (Auto-generate)",INDIRECT("'"&amp;$A9&amp;"'!$A$12:$Z$12"),0),0)="","?",VLOOKUP(I$1,INDIRECT("'"&amp;$A9&amp;"'!$A$12:$Z$19"),MATCH("Points (Auto-generate)",INDIRECT("'"&amp;$A9&amp;"'!$A$12:$Z$12"),0),0)),"ER"))</f>
        <v/>
      </c>
      <c r="J9">
        <f>IF($F9=0,"NA",IF($A9=INDIRECT("'"&amp;$A9&amp;"'!$B$1"),IF(VLOOKUP(J$1,INDIRECT("'"&amp;$A9&amp;"'!$A$12:$Z$19"),MATCH("Points (Auto-generate)",INDIRECT("'"&amp;$A9&amp;"'!$A$12:$Z$12"),0),0)="","?",VLOOKUP(J$1,INDIRECT("'"&amp;$A9&amp;"'!$A$12:$Z$19"),MATCH("Points (Auto-generate)",INDIRECT("'"&amp;$A9&amp;"'!$A$12:$Z$12"),0),0)),"ER"))</f>
        <v/>
      </c>
      <c r="K9">
        <f>IF($F9=0,"NA",IF($A9=INDIRECT("'"&amp;$A9&amp;"'!$B$1"),IF(VLOOKUP(K$1,INDIRECT("'"&amp;$A9&amp;"'!$A$12:$Z$19"),MATCH("Points (Auto-generate)",INDIRECT("'"&amp;$A9&amp;"'!$A$12:$Z$12"),0),0)="","?",VLOOKUP(K$1,INDIRECT("'"&amp;$A9&amp;"'!$A$12:$Z$19"),MATCH("Points (Auto-generate)",INDIRECT("'"&amp;$A9&amp;"'!$A$12:$Z$12"),0),0)),"ER"))</f>
        <v/>
      </c>
      <c r="L9">
        <f>IF($F9=0,"NA",IF($A9=INDIRECT("'"&amp;$A9&amp;"'!$B$1"),IF(VLOOKUP(L$1,INDIRECT("'"&amp;$A9&amp;"'!$A$12:$Z$19"),MATCH("Points (Auto-generate)",INDIRECT("'"&amp;$A9&amp;"'!$A$12:$Z$12"),0),0)="","?",VLOOKUP(L$1,INDIRECT("'"&amp;$A9&amp;"'!$A$12:$Z$19"),MATCH("Points (Auto-generate)",INDIRECT("'"&amp;$A9&amp;"'!$A$12:$Z$12"),0),0)),"ER"))</f>
        <v/>
      </c>
      <c r="M9">
        <f>IF($F9=0,"NA",IF($A9=INDIRECT("'"&amp;$A9&amp;"'!$B$1"),IF(VLOOKUP(M$1,INDIRECT("'"&amp;$A9&amp;"'!$A$12:$Z$19"),MATCH("Points (Auto-generate)",INDIRECT("'"&amp;$A9&amp;"'!$A$12:$Z$12"),0),0)="","?",VLOOKUP(M$1,INDIRECT("'"&amp;$A9&amp;"'!$A$12:$Z$19"),MATCH("Points (Auto-generate)",INDIRECT("'"&amp;$A9&amp;"'!$A$12:$Z$12"),0),0)),"ER"))</f>
        <v/>
      </c>
    </row>
    <row r="10">
      <c r="A10" t="inlineStr">
        <is>
          <t>UPD2d</t>
        </is>
      </c>
      <c r="B10">
        <f>VLOOKUP($A10,'PARASTATAL Questions'!$A:$J,3,0)&amp;""</f>
        <v/>
      </c>
      <c r="C10">
        <f>VLOOKUP($A10,'PARASTATAL Questions'!$A:$J,4,0)&amp;""</f>
        <v/>
      </c>
      <c r="D10">
        <f>VLOOKUP($A10,'PARASTATAL Questions'!$A:$J,5,0)&amp;""</f>
        <v/>
      </c>
      <c r="E10">
        <f>VLOOKUP($A10,'PARASTATAL Questions'!$A:$J,7,0)&amp;""</f>
        <v/>
      </c>
      <c r="F10">
        <f>VLOOKUP($A10,'PARASTATAL Questions'!$A:$J,6,0)</f>
        <v/>
      </c>
      <c r="G10">
        <f>IF($F10=0,"NA",IF($A10=INDIRECT("'"&amp;$A10&amp;"'!$B$1"),IF(VLOOKUP(G$1,INDIRECT("'"&amp;$A10&amp;"'!$A$12:$Z$19"),MATCH("Points (Auto-generate)",INDIRECT("'"&amp;$A10&amp;"'!$A$12:$Z$12"),0),0)="","?",VLOOKUP(G$1,INDIRECT("'"&amp;$A10&amp;"'!$A$12:$Z$19"),MATCH("Points (Auto-generate)",INDIRECT("'"&amp;$A10&amp;"'!$A$12:$Z$12"),0),0)),"ER"))</f>
        <v/>
      </c>
      <c r="H10">
        <f>IF($F10=0,"NA",IF($A10=INDIRECT("'"&amp;$A10&amp;"'!$B$1"),IF(VLOOKUP(H$1,INDIRECT("'"&amp;$A10&amp;"'!$A$12:$Z$19"),MATCH("Points (Auto-generate)",INDIRECT("'"&amp;$A10&amp;"'!$A$12:$Z$12"),0),0)="","?",VLOOKUP(H$1,INDIRECT("'"&amp;$A10&amp;"'!$A$12:$Z$19"),MATCH("Points (Auto-generate)",INDIRECT("'"&amp;$A10&amp;"'!$A$12:$Z$12"),0),0)),"ER"))</f>
        <v/>
      </c>
      <c r="I10">
        <f>IF($F10=0,"NA",IF($A10=INDIRECT("'"&amp;$A10&amp;"'!$B$1"),IF(VLOOKUP(I$1,INDIRECT("'"&amp;$A10&amp;"'!$A$12:$Z$19"),MATCH("Points (Auto-generate)",INDIRECT("'"&amp;$A10&amp;"'!$A$12:$Z$12"),0),0)="","?",VLOOKUP(I$1,INDIRECT("'"&amp;$A10&amp;"'!$A$12:$Z$19"),MATCH("Points (Auto-generate)",INDIRECT("'"&amp;$A10&amp;"'!$A$12:$Z$12"),0),0)),"ER"))</f>
        <v/>
      </c>
      <c r="J10">
        <f>IF($F10=0,"NA",IF($A10=INDIRECT("'"&amp;$A10&amp;"'!$B$1"),IF(VLOOKUP(J$1,INDIRECT("'"&amp;$A10&amp;"'!$A$12:$Z$19"),MATCH("Points (Auto-generate)",INDIRECT("'"&amp;$A10&amp;"'!$A$12:$Z$12"),0),0)="","?",VLOOKUP(J$1,INDIRECT("'"&amp;$A10&amp;"'!$A$12:$Z$19"),MATCH("Points (Auto-generate)",INDIRECT("'"&amp;$A10&amp;"'!$A$12:$Z$12"),0),0)),"ER"))</f>
        <v/>
      </c>
      <c r="K10">
        <f>IF($F10=0,"NA",IF($A10=INDIRECT("'"&amp;$A10&amp;"'!$B$1"),IF(VLOOKUP(K$1,INDIRECT("'"&amp;$A10&amp;"'!$A$12:$Z$19"),MATCH("Points (Auto-generate)",INDIRECT("'"&amp;$A10&amp;"'!$A$12:$Z$12"),0),0)="","?",VLOOKUP(K$1,INDIRECT("'"&amp;$A10&amp;"'!$A$12:$Z$19"),MATCH("Points (Auto-generate)",INDIRECT("'"&amp;$A10&amp;"'!$A$12:$Z$12"),0),0)),"ER"))</f>
        <v/>
      </c>
      <c r="L10">
        <f>IF($F10=0,"NA",IF($A10=INDIRECT("'"&amp;$A10&amp;"'!$B$1"),IF(VLOOKUP(L$1,INDIRECT("'"&amp;$A10&amp;"'!$A$12:$Z$19"),MATCH("Points (Auto-generate)",INDIRECT("'"&amp;$A10&amp;"'!$A$12:$Z$12"),0),0)="","?",VLOOKUP(L$1,INDIRECT("'"&amp;$A10&amp;"'!$A$12:$Z$19"),MATCH("Points (Auto-generate)",INDIRECT("'"&amp;$A10&amp;"'!$A$12:$Z$12"),0),0)),"ER"))</f>
        <v/>
      </c>
      <c r="M10">
        <f>IF($F10=0,"NA",IF($A10=INDIRECT("'"&amp;$A10&amp;"'!$B$1"),IF(VLOOKUP(M$1,INDIRECT("'"&amp;$A10&amp;"'!$A$12:$Z$19"),MATCH("Points (Auto-generate)",INDIRECT("'"&amp;$A10&amp;"'!$A$12:$Z$12"),0),0)="","?",VLOOKUP(M$1,INDIRECT("'"&amp;$A10&amp;"'!$A$12:$Z$19"),MATCH("Points (Auto-generate)",INDIRECT("'"&amp;$A10&amp;"'!$A$12:$Z$12"),0),0)),"ER"))</f>
        <v/>
      </c>
    </row>
    <row r="11">
      <c r="A11" s="4" t="inlineStr">
        <is>
          <t>UPD3</t>
        </is>
      </c>
      <c r="B11" s="4">
        <f>VLOOKUP($A11,'PARASTATAL Questions'!$A:$J,3,0)&amp;""</f>
        <v/>
      </c>
      <c r="C11" s="4">
        <f>VLOOKUP($A11,'PARASTATAL Questions'!$A:$J,4,0)&amp;""</f>
        <v/>
      </c>
      <c r="D11" s="4">
        <f>VLOOKUP($A11,'PARASTATAL Questions'!$A:$J,5,0)&amp;""</f>
        <v/>
      </c>
      <c r="E11" s="4">
        <f>VLOOKUP($A11,'PARASTATAL Questions'!$A:$J,7,0)&amp;""</f>
        <v/>
      </c>
      <c r="F11" s="4">
        <f>VLOOKUP($A11,'PARASTATAL Questions'!$A:$J,6,0)</f>
        <v/>
      </c>
      <c r="G11" s="4">
        <f>IF(OR(G12="ER",G13="ER"),"ER",IF(OR(G12="?",G13="?"),"?",IF(AND(G12="NA",G13="NA"),"NA",SUM(G12,G13)/((G12&lt;&gt;"NA")*$F$12+(G13&lt;&gt;"NA")*$F$13)*$F11)))</f>
        <v/>
      </c>
      <c r="H11" s="4">
        <f>IF(OR(H12="ER",H13="ER"),"ER",IF(OR(H12="?",H13="?"),"?",IF(AND(H12="NA",H13="NA"),"NA",SUM(H12,H13)/((H12&lt;&gt;"NA")*$F$12+(H13&lt;&gt;"NA")*$F$13)*$F11)))</f>
        <v/>
      </c>
      <c r="I11" s="4">
        <f>IF(OR(I12="ER",I13="ER"),"ER",IF(OR(I12="?",I13="?"),"?",IF(AND(I12="NA",I13="NA"),"NA",SUM(I12,I13)/((I12&lt;&gt;"NA")*$F$12+(I13&lt;&gt;"NA")*$F$13)*$F11)))</f>
        <v/>
      </c>
      <c r="J11" s="4">
        <f>IF(OR(J12="ER",J13="ER"),"ER",IF(OR(J12="?",J13="?"),"?",IF(AND(J12="NA",J13="NA"),"NA",SUM(J12,J13)/((J12&lt;&gt;"NA")*$F$12+(J13&lt;&gt;"NA")*$F$13)*$F11)))</f>
        <v/>
      </c>
      <c r="K11" s="4">
        <f>IF(OR(K12="ER",K13="ER"),"ER",IF(OR(K12="?",K13="?"),"?",IF(AND(K12="NA",K13="NA"),"NA",SUM(K12,K13)/((K12&lt;&gt;"NA")*$F$12+(K13&lt;&gt;"NA")*$F$13)*$F11)))</f>
        <v/>
      </c>
      <c r="L11" s="4">
        <f>IF(OR(L12="ER",L13="ER"),"ER",IF(OR(L12="?",L13="?"),"?",IF(AND(L12="NA",L13="NA"),"NA",SUM(L12,L13)/((L12&lt;&gt;"NA")*$F$12+(L13&lt;&gt;"NA")*$F$13)*$F11)))</f>
        <v/>
      </c>
      <c r="M11" s="4">
        <f>IF(OR(M12="ER",M13="ER"),"ER",IF(OR(M12="?",M13="?"),"?",IF(AND(M12="NA",M13="NA"),"NA",SUM(M12,M13)/((M12&lt;&gt;"NA")*$F$12+(M13&lt;&gt;"NA")*$F$13)*$F11)))</f>
        <v/>
      </c>
    </row>
    <row r="12">
      <c r="A12" t="inlineStr">
        <is>
          <t>UPD3a</t>
        </is>
      </c>
      <c r="B12">
        <f>VLOOKUP($A12,'PARASTATAL Questions'!$A:$J,3,0)&amp;""</f>
        <v/>
      </c>
      <c r="C12">
        <f>VLOOKUP($A12,'PARASTATAL Questions'!$A:$J,4,0)&amp;""</f>
        <v/>
      </c>
      <c r="D12">
        <f>VLOOKUP($A12,'PARASTATAL Questions'!$A:$J,5,0)&amp;""</f>
        <v/>
      </c>
      <c r="E12">
        <f>VLOOKUP($A12,'PARASTATAL Questions'!$A:$J,7,0)&amp;""</f>
        <v/>
      </c>
      <c r="F12">
        <f>VLOOKUP($A12,'PARASTATAL Questions'!$A:$J,6,0)</f>
        <v/>
      </c>
      <c r="G12">
        <f>IF($F12=0,"NA",IF($A12=INDIRECT("'"&amp;$A12&amp;"'!$B$1"),IF(VLOOKUP(G$1,INDIRECT("'"&amp;$A12&amp;"'!$A$12:$Z$19"),MATCH("Points (Auto-generate)",INDIRECT("'"&amp;$A12&amp;"'!$A$12:$Z$12"),0),0)="","?",VLOOKUP(G$1,INDIRECT("'"&amp;$A12&amp;"'!$A$12:$Z$19"),MATCH("Points (Auto-generate)",INDIRECT("'"&amp;$A12&amp;"'!$A$12:$Z$12"),0),0)),"ER"))</f>
        <v/>
      </c>
      <c r="H12">
        <f>IF($F12=0,"NA",IF($A12=INDIRECT("'"&amp;$A12&amp;"'!$B$1"),IF(VLOOKUP(H$1,INDIRECT("'"&amp;$A12&amp;"'!$A$12:$Z$19"),MATCH("Points (Auto-generate)",INDIRECT("'"&amp;$A12&amp;"'!$A$12:$Z$12"),0),0)="","?",VLOOKUP(H$1,INDIRECT("'"&amp;$A12&amp;"'!$A$12:$Z$19"),MATCH("Points (Auto-generate)",INDIRECT("'"&amp;$A12&amp;"'!$A$12:$Z$12"),0),0)),"ER"))</f>
        <v/>
      </c>
      <c r="I12">
        <f>IF($F12=0,"NA",IF($A12=INDIRECT("'"&amp;$A12&amp;"'!$B$1"),IF(VLOOKUP(I$1,INDIRECT("'"&amp;$A12&amp;"'!$A$12:$Z$19"),MATCH("Points (Auto-generate)",INDIRECT("'"&amp;$A12&amp;"'!$A$12:$Z$12"),0),0)="","?",VLOOKUP(I$1,INDIRECT("'"&amp;$A12&amp;"'!$A$12:$Z$19"),MATCH("Points (Auto-generate)",INDIRECT("'"&amp;$A12&amp;"'!$A$12:$Z$12"),0),0)),"ER"))</f>
        <v/>
      </c>
      <c r="J12">
        <f>IF($F12=0,"NA",IF($A12=INDIRECT("'"&amp;$A12&amp;"'!$B$1"),IF(VLOOKUP(J$1,INDIRECT("'"&amp;$A12&amp;"'!$A$12:$Z$19"),MATCH("Points (Auto-generate)",INDIRECT("'"&amp;$A12&amp;"'!$A$12:$Z$12"),0),0)="","?",VLOOKUP(J$1,INDIRECT("'"&amp;$A12&amp;"'!$A$12:$Z$19"),MATCH("Points (Auto-generate)",INDIRECT("'"&amp;$A12&amp;"'!$A$12:$Z$12"),0),0)),"ER"))</f>
        <v/>
      </c>
      <c r="K12">
        <f>IF($F12=0,"NA",IF($A12=INDIRECT("'"&amp;$A12&amp;"'!$B$1"),IF(VLOOKUP(K$1,INDIRECT("'"&amp;$A12&amp;"'!$A$12:$Z$19"),MATCH("Points (Auto-generate)",INDIRECT("'"&amp;$A12&amp;"'!$A$12:$Z$12"),0),0)="","?",VLOOKUP(K$1,INDIRECT("'"&amp;$A12&amp;"'!$A$12:$Z$19"),MATCH("Points (Auto-generate)",INDIRECT("'"&amp;$A12&amp;"'!$A$12:$Z$12"),0),0)),"ER"))</f>
        <v/>
      </c>
      <c r="L12">
        <f>IF($F12=0,"NA",IF($A12=INDIRECT("'"&amp;$A12&amp;"'!$B$1"),IF(VLOOKUP(L$1,INDIRECT("'"&amp;$A12&amp;"'!$A$12:$Z$19"),MATCH("Points (Auto-generate)",INDIRECT("'"&amp;$A12&amp;"'!$A$12:$Z$12"),0),0)="","?",VLOOKUP(L$1,INDIRECT("'"&amp;$A12&amp;"'!$A$12:$Z$19"),MATCH("Points (Auto-generate)",INDIRECT("'"&amp;$A12&amp;"'!$A$12:$Z$12"),0),0)),"ER"))</f>
        <v/>
      </c>
      <c r="M12">
        <f>IF($F12=0,"NA",IF($A12=INDIRECT("'"&amp;$A12&amp;"'!$B$1"),IF(VLOOKUP(M$1,INDIRECT("'"&amp;$A12&amp;"'!$A$12:$Z$19"),MATCH("Points (Auto-generate)",INDIRECT("'"&amp;$A12&amp;"'!$A$12:$Z$12"),0),0)="","?",VLOOKUP(M$1,INDIRECT("'"&amp;$A12&amp;"'!$A$12:$Z$19"),MATCH("Points (Auto-generate)",INDIRECT("'"&amp;$A12&amp;"'!$A$12:$Z$12"),0),0)),"ER"))</f>
        <v/>
      </c>
    </row>
    <row r="13">
      <c r="A13" t="inlineStr">
        <is>
          <t>UPD3b</t>
        </is>
      </c>
      <c r="B13">
        <f>VLOOKUP($A13,'PARASTATAL Questions'!$A:$J,3,0)&amp;""</f>
        <v/>
      </c>
      <c r="C13">
        <f>VLOOKUP($A13,'PARASTATAL Questions'!$A:$J,4,0)&amp;""</f>
        <v/>
      </c>
      <c r="D13">
        <f>VLOOKUP($A13,'PARASTATAL Questions'!$A:$J,5,0)&amp;""</f>
        <v/>
      </c>
      <c r="E13">
        <f>VLOOKUP($A13,'PARASTATAL Questions'!$A:$J,7,0)&amp;""</f>
        <v/>
      </c>
      <c r="F13">
        <f>VLOOKUP($A13,'PARASTATAL Questions'!$A:$J,6,0)</f>
        <v/>
      </c>
      <c r="G13">
        <f>IF($F13=0,"NA",IF($A13=INDIRECT("'"&amp;$A13&amp;"'!$B$1"),IF(VLOOKUP(G$1,INDIRECT("'"&amp;$A13&amp;"'!$A$12:$Z$19"),MATCH("Points (Auto-generate)",INDIRECT("'"&amp;$A13&amp;"'!$A$12:$Z$12"),0),0)="","?",VLOOKUP(G$1,INDIRECT("'"&amp;$A13&amp;"'!$A$12:$Z$19"),MATCH("Points (Auto-generate)",INDIRECT("'"&amp;$A13&amp;"'!$A$12:$Z$12"),0),0)),"ER"))</f>
        <v/>
      </c>
      <c r="H13">
        <f>IF($F13=0,"NA",IF($A13=INDIRECT("'"&amp;$A13&amp;"'!$B$1"),IF(VLOOKUP(H$1,INDIRECT("'"&amp;$A13&amp;"'!$A$12:$Z$19"),MATCH("Points (Auto-generate)",INDIRECT("'"&amp;$A13&amp;"'!$A$12:$Z$12"),0),0)="","?",VLOOKUP(H$1,INDIRECT("'"&amp;$A13&amp;"'!$A$12:$Z$19"),MATCH("Points (Auto-generate)",INDIRECT("'"&amp;$A13&amp;"'!$A$12:$Z$12"),0),0)),"ER"))</f>
        <v/>
      </c>
      <c r="I13">
        <f>IF($F13=0,"NA",IF($A13=INDIRECT("'"&amp;$A13&amp;"'!$B$1"),IF(VLOOKUP(I$1,INDIRECT("'"&amp;$A13&amp;"'!$A$12:$Z$19"),MATCH("Points (Auto-generate)",INDIRECT("'"&amp;$A13&amp;"'!$A$12:$Z$12"),0),0)="","?",VLOOKUP(I$1,INDIRECT("'"&amp;$A13&amp;"'!$A$12:$Z$19"),MATCH("Points (Auto-generate)",INDIRECT("'"&amp;$A13&amp;"'!$A$12:$Z$12"),0),0)),"ER"))</f>
        <v/>
      </c>
      <c r="J13">
        <f>IF($F13=0,"NA",IF($A13=INDIRECT("'"&amp;$A13&amp;"'!$B$1"),IF(VLOOKUP(J$1,INDIRECT("'"&amp;$A13&amp;"'!$A$12:$Z$19"),MATCH("Points (Auto-generate)",INDIRECT("'"&amp;$A13&amp;"'!$A$12:$Z$12"),0),0)="","?",VLOOKUP(J$1,INDIRECT("'"&amp;$A13&amp;"'!$A$12:$Z$19"),MATCH("Points (Auto-generate)",INDIRECT("'"&amp;$A13&amp;"'!$A$12:$Z$12"),0),0)),"ER"))</f>
        <v/>
      </c>
      <c r="K13">
        <f>IF($F13=0,"NA",IF($A13=INDIRECT("'"&amp;$A13&amp;"'!$B$1"),IF(VLOOKUP(K$1,INDIRECT("'"&amp;$A13&amp;"'!$A$12:$Z$19"),MATCH("Points (Auto-generate)",INDIRECT("'"&amp;$A13&amp;"'!$A$12:$Z$12"),0),0)="","?",VLOOKUP(K$1,INDIRECT("'"&amp;$A13&amp;"'!$A$12:$Z$19"),MATCH("Points (Auto-generate)",INDIRECT("'"&amp;$A13&amp;"'!$A$12:$Z$12"),0),0)),"ER"))</f>
        <v/>
      </c>
      <c r="L13">
        <f>IF($F13=0,"NA",IF($A13=INDIRECT("'"&amp;$A13&amp;"'!$B$1"),IF(VLOOKUP(L$1,INDIRECT("'"&amp;$A13&amp;"'!$A$12:$Z$19"),MATCH("Points (Auto-generate)",INDIRECT("'"&amp;$A13&amp;"'!$A$12:$Z$12"),0),0)="","?",VLOOKUP(L$1,INDIRECT("'"&amp;$A13&amp;"'!$A$12:$Z$19"),MATCH("Points (Auto-generate)",INDIRECT("'"&amp;$A13&amp;"'!$A$12:$Z$12"),0),0)),"ER"))</f>
        <v/>
      </c>
      <c r="M13">
        <f>IF($F13=0,"NA",IF($A13=INDIRECT("'"&amp;$A13&amp;"'!$B$1"),IF(VLOOKUP(M$1,INDIRECT("'"&amp;$A13&amp;"'!$A$12:$Z$19"),MATCH("Points (Auto-generate)",INDIRECT("'"&amp;$A13&amp;"'!$A$12:$Z$12"),0),0)="","?",VLOOKUP(M$1,INDIRECT("'"&amp;$A13&amp;"'!$A$12:$Z$19"),MATCH("Points (Auto-generate)",INDIRECT("'"&amp;$A13&amp;"'!$A$12:$Z$12"),0),0)),"ER"))</f>
        <v/>
      </c>
    </row>
    <row r="14">
      <c r="A14" s="4" t="inlineStr">
        <is>
          <t>UPD4</t>
        </is>
      </c>
      <c r="B14" s="4">
        <f>VLOOKUP($A14,'PARASTATAL Questions'!$A:$J,3,0)&amp;""</f>
        <v/>
      </c>
      <c r="C14" s="4">
        <f>VLOOKUP($A14,'PARASTATAL Questions'!$A:$J,4,0)&amp;""</f>
        <v/>
      </c>
      <c r="D14" s="4">
        <f>VLOOKUP($A14,'PARASTATAL Questions'!$A:$J,5,0)&amp;""</f>
        <v/>
      </c>
      <c r="E14" s="4">
        <f>VLOOKUP($A14,'PARASTATAL Questions'!$A:$J,7,0)&amp;""</f>
        <v/>
      </c>
      <c r="F14" s="4">
        <f>VLOOKUP($A14,'PARASTATAL Questions'!$A:$J,6,0)</f>
        <v/>
      </c>
      <c r="G14" s="4">
        <f>IF(OR(G15="ER",G16="ER"),"ER",IF(OR(G15="?",G16="?"),"?",IF(AND(G15="NA",G16="NA"),"NA",SUM(G15,G16)/((G15&lt;&gt;"NA")*$F$15+(G16&lt;&gt;"NA")*$F$16)*$F14)))</f>
        <v/>
      </c>
      <c r="H14" s="4">
        <f>IF(OR(H15="ER",H16="ER"),"ER",IF(OR(H15="?",H16="?"),"?",IF(AND(H15="NA",H16="NA"),"NA",SUM(H15,H16)/((H15&lt;&gt;"NA")*$F$15+(H16&lt;&gt;"NA")*$F$16)*$F14)))</f>
        <v/>
      </c>
      <c r="I14" s="4">
        <f>IF(OR(I15="ER",I16="ER"),"ER",IF(OR(I15="?",I16="?"),"?",IF(AND(I15="NA",I16="NA"),"NA",SUM(I15,I16)/((I15&lt;&gt;"NA")*$F$15+(I16&lt;&gt;"NA")*$F$16)*$F14)))</f>
        <v/>
      </c>
      <c r="J14" s="4">
        <f>IF(OR(J15="ER",J16="ER"),"ER",IF(OR(J15="?",J16="?"),"?",IF(AND(J15="NA",J16="NA"),"NA",SUM(J15,J16)/((J15&lt;&gt;"NA")*$F$15+(J16&lt;&gt;"NA")*$F$16)*$F14)))</f>
        <v/>
      </c>
      <c r="K14" s="4">
        <f>IF(OR(K15="ER",K16="ER"),"ER",IF(OR(K15="?",K16="?"),"?",IF(AND(K15="NA",K16="NA"),"NA",SUM(K15,K16)/((K15&lt;&gt;"NA")*$F$15+(K16&lt;&gt;"NA")*$F$16)*$F14)))</f>
        <v/>
      </c>
      <c r="L14" s="4">
        <f>IF(OR(L15="ER",L16="ER"),"ER",IF(OR(L15="?",L16="?"),"?",IF(AND(L15="NA",L16="NA"),"NA",SUM(L15,L16)/((L15&lt;&gt;"NA")*$F$15+(L16&lt;&gt;"NA")*$F$16)*$F14)))</f>
        <v/>
      </c>
      <c r="M14" s="4">
        <f>IF(OR(M15="ER",M16="ER"),"ER",IF(OR(M15="?",M16="?"),"?",IF(AND(M15="NA",M16="NA"),"NA",SUM(M15,M16)/((M15&lt;&gt;"NA")*$F$15+(M16&lt;&gt;"NA")*$F$16)*$F14)))</f>
        <v/>
      </c>
    </row>
    <row r="15">
      <c r="A15" t="inlineStr">
        <is>
          <t>UPD4a</t>
        </is>
      </c>
      <c r="B15">
        <f>VLOOKUP($A15,'PARASTATAL Questions'!$A:$J,3,0)&amp;""</f>
        <v/>
      </c>
      <c r="C15">
        <f>VLOOKUP($A15,'PARASTATAL Questions'!$A:$J,4,0)&amp;""</f>
        <v/>
      </c>
      <c r="D15">
        <f>VLOOKUP($A15,'PARASTATAL Questions'!$A:$J,5,0)&amp;""</f>
        <v/>
      </c>
      <c r="E15">
        <f>VLOOKUP($A15,'PARASTATAL Questions'!$A:$J,7,0)&amp;""</f>
        <v/>
      </c>
      <c r="F15">
        <f>VLOOKUP($A15,'PARASTATAL Questions'!$A:$J,6,0)</f>
        <v/>
      </c>
      <c r="G15">
        <f>IF($F15=0,"NA",IF($A15=INDIRECT("'"&amp;$A15&amp;"'!$B$1"),IF(VLOOKUP(G$1,INDIRECT("'"&amp;$A15&amp;"'!$A$12:$Z$19"),MATCH("Points (Auto-generate)",INDIRECT("'"&amp;$A15&amp;"'!$A$12:$Z$12"),0),0)="","?",VLOOKUP(G$1,INDIRECT("'"&amp;$A15&amp;"'!$A$12:$Z$19"),MATCH("Points (Auto-generate)",INDIRECT("'"&amp;$A15&amp;"'!$A$12:$Z$12"),0),0)),"ER"))</f>
        <v/>
      </c>
      <c r="H15">
        <f>IF($F15=0,"NA",IF($A15=INDIRECT("'"&amp;$A15&amp;"'!$B$1"),IF(VLOOKUP(H$1,INDIRECT("'"&amp;$A15&amp;"'!$A$12:$Z$19"),MATCH("Points (Auto-generate)",INDIRECT("'"&amp;$A15&amp;"'!$A$12:$Z$12"),0),0)="","?",VLOOKUP(H$1,INDIRECT("'"&amp;$A15&amp;"'!$A$12:$Z$19"),MATCH("Points (Auto-generate)",INDIRECT("'"&amp;$A15&amp;"'!$A$12:$Z$12"),0),0)),"ER"))</f>
        <v/>
      </c>
      <c r="I15">
        <f>IF($F15=0,"NA",IF($A15=INDIRECT("'"&amp;$A15&amp;"'!$B$1"),IF(VLOOKUP(I$1,INDIRECT("'"&amp;$A15&amp;"'!$A$12:$Z$19"),MATCH("Points (Auto-generate)",INDIRECT("'"&amp;$A15&amp;"'!$A$12:$Z$12"),0),0)="","?",VLOOKUP(I$1,INDIRECT("'"&amp;$A15&amp;"'!$A$12:$Z$19"),MATCH("Points (Auto-generate)",INDIRECT("'"&amp;$A15&amp;"'!$A$12:$Z$12"),0),0)),"ER"))</f>
        <v/>
      </c>
      <c r="J15">
        <f>IF($F15=0,"NA",IF($A15=INDIRECT("'"&amp;$A15&amp;"'!$B$1"),IF(VLOOKUP(J$1,INDIRECT("'"&amp;$A15&amp;"'!$A$12:$Z$19"),MATCH("Points (Auto-generate)",INDIRECT("'"&amp;$A15&amp;"'!$A$12:$Z$12"),0),0)="","?",VLOOKUP(J$1,INDIRECT("'"&amp;$A15&amp;"'!$A$12:$Z$19"),MATCH("Points (Auto-generate)",INDIRECT("'"&amp;$A15&amp;"'!$A$12:$Z$12"),0),0)),"ER"))</f>
        <v/>
      </c>
      <c r="K15">
        <f>IF($F15=0,"NA",IF($A15=INDIRECT("'"&amp;$A15&amp;"'!$B$1"),IF(VLOOKUP(K$1,INDIRECT("'"&amp;$A15&amp;"'!$A$12:$Z$19"),MATCH("Points (Auto-generate)",INDIRECT("'"&amp;$A15&amp;"'!$A$12:$Z$12"),0),0)="","?",VLOOKUP(K$1,INDIRECT("'"&amp;$A15&amp;"'!$A$12:$Z$19"),MATCH("Points (Auto-generate)",INDIRECT("'"&amp;$A15&amp;"'!$A$12:$Z$12"),0),0)),"ER"))</f>
        <v/>
      </c>
      <c r="L15">
        <f>IF($F15=0,"NA",IF($A15=INDIRECT("'"&amp;$A15&amp;"'!$B$1"),IF(VLOOKUP(L$1,INDIRECT("'"&amp;$A15&amp;"'!$A$12:$Z$19"),MATCH("Points (Auto-generate)",INDIRECT("'"&amp;$A15&amp;"'!$A$12:$Z$12"),0),0)="","?",VLOOKUP(L$1,INDIRECT("'"&amp;$A15&amp;"'!$A$12:$Z$19"),MATCH("Points (Auto-generate)",INDIRECT("'"&amp;$A15&amp;"'!$A$12:$Z$12"),0),0)),"ER"))</f>
        <v/>
      </c>
      <c r="M15">
        <f>IF($F15=0,"NA",IF($A15=INDIRECT("'"&amp;$A15&amp;"'!$B$1"),IF(VLOOKUP(M$1,INDIRECT("'"&amp;$A15&amp;"'!$A$12:$Z$19"),MATCH("Points (Auto-generate)",INDIRECT("'"&amp;$A15&amp;"'!$A$12:$Z$12"),0),0)="","?",VLOOKUP(M$1,INDIRECT("'"&amp;$A15&amp;"'!$A$12:$Z$19"),MATCH("Points (Auto-generate)",INDIRECT("'"&amp;$A15&amp;"'!$A$12:$Z$12"),0),0)),"ER"))</f>
        <v/>
      </c>
    </row>
    <row r="16">
      <c r="A16" t="inlineStr">
        <is>
          <t>UPD4b</t>
        </is>
      </c>
      <c r="B16">
        <f>VLOOKUP($A16,'PARASTATAL Questions'!$A:$J,3,0)&amp;""</f>
        <v/>
      </c>
      <c r="C16">
        <f>VLOOKUP($A16,'PARASTATAL Questions'!$A:$J,4,0)&amp;""</f>
        <v/>
      </c>
      <c r="D16">
        <f>VLOOKUP($A16,'PARASTATAL Questions'!$A:$J,5,0)&amp;""</f>
        <v/>
      </c>
      <c r="E16">
        <f>VLOOKUP($A16,'PARASTATAL Questions'!$A:$J,7,0)&amp;""</f>
        <v/>
      </c>
      <c r="F16">
        <f>VLOOKUP($A16,'PARASTATAL Questions'!$A:$J,6,0)</f>
        <v/>
      </c>
      <c r="G16">
        <f>IF($F16=0,"NA",IF($A16=INDIRECT("'"&amp;$A16&amp;"'!$B$1"),IF(VLOOKUP(G$1,INDIRECT("'"&amp;$A16&amp;"'!$A$12:$Z$19"),MATCH("Points (Auto-generate)",INDIRECT("'"&amp;$A16&amp;"'!$A$12:$Z$12"),0),0)="","?",VLOOKUP(G$1,INDIRECT("'"&amp;$A16&amp;"'!$A$12:$Z$19"),MATCH("Points (Auto-generate)",INDIRECT("'"&amp;$A16&amp;"'!$A$12:$Z$12"),0),0)),"ER"))</f>
        <v/>
      </c>
      <c r="H16">
        <f>IF($F16=0,"NA",IF($A16=INDIRECT("'"&amp;$A16&amp;"'!$B$1"),IF(VLOOKUP(H$1,INDIRECT("'"&amp;$A16&amp;"'!$A$12:$Z$19"),MATCH("Points (Auto-generate)",INDIRECT("'"&amp;$A16&amp;"'!$A$12:$Z$12"),0),0)="","?",VLOOKUP(H$1,INDIRECT("'"&amp;$A16&amp;"'!$A$12:$Z$19"),MATCH("Points (Auto-generate)",INDIRECT("'"&amp;$A16&amp;"'!$A$12:$Z$12"),0),0)),"ER"))</f>
        <v/>
      </c>
      <c r="I16">
        <f>IF($F16=0,"NA",IF($A16=INDIRECT("'"&amp;$A16&amp;"'!$B$1"),IF(VLOOKUP(I$1,INDIRECT("'"&amp;$A16&amp;"'!$A$12:$Z$19"),MATCH("Points (Auto-generate)",INDIRECT("'"&amp;$A16&amp;"'!$A$12:$Z$12"),0),0)="","?",VLOOKUP(I$1,INDIRECT("'"&amp;$A16&amp;"'!$A$12:$Z$19"),MATCH("Points (Auto-generate)",INDIRECT("'"&amp;$A16&amp;"'!$A$12:$Z$12"),0),0)),"ER"))</f>
        <v/>
      </c>
      <c r="J16">
        <f>IF($F16=0,"NA",IF($A16=INDIRECT("'"&amp;$A16&amp;"'!$B$1"),IF(VLOOKUP(J$1,INDIRECT("'"&amp;$A16&amp;"'!$A$12:$Z$19"),MATCH("Points (Auto-generate)",INDIRECT("'"&amp;$A16&amp;"'!$A$12:$Z$12"),0),0)="","?",VLOOKUP(J$1,INDIRECT("'"&amp;$A16&amp;"'!$A$12:$Z$19"),MATCH("Points (Auto-generate)",INDIRECT("'"&amp;$A16&amp;"'!$A$12:$Z$12"),0),0)),"ER"))</f>
        <v/>
      </c>
      <c r="K16">
        <f>IF($F16=0,"NA",IF($A16=INDIRECT("'"&amp;$A16&amp;"'!$B$1"),IF(VLOOKUP(K$1,INDIRECT("'"&amp;$A16&amp;"'!$A$12:$Z$19"),MATCH("Points (Auto-generate)",INDIRECT("'"&amp;$A16&amp;"'!$A$12:$Z$12"),0),0)="","?",VLOOKUP(K$1,INDIRECT("'"&amp;$A16&amp;"'!$A$12:$Z$19"),MATCH("Points (Auto-generate)",INDIRECT("'"&amp;$A16&amp;"'!$A$12:$Z$12"),0),0)),"ER"))</f>
        <v/>
      </c>
      <c r="L16">
        <f>IF($F16=0,"NA",IF($A16=INDIRECT("'"&amp;$A16&amp;"'!$B$1"),IF(VLOOKUP(L$1,INDIRECT("'"&amp;$A16&amp;"'!$A$12:$Z$19"),MATCH("Points (Auto-generate)",INDIRECT("'"&amp;$A16&amp;"'!$A$12:$Z$12"),0),0)="","?",VLOOKUP(L$1,INDIRECT("'"&amp;$A16&amp;"'!$A$12:$Z$19"),MATCH("Points (Auto-generate)",INDIRECT("'"&amp;$A16&amp;"'!$A$12:$Z$12"),0),0)),"ER"))</f>
        <v/>
      </c>
      <c r="M16">
        <f>IF($F16=0,"NA",IF($A16=INDIRECT("'"&amp;$A16&amp;"'!$B$1"),IF(VLOOKUP(M$1,INDIRECT("'"&amp;$A16&amp;"'!$A$12:$Z$19"),MATCH("Points (Auto-generate)",INDIRECT("'"&amp;$A16&amp;"'!$A$12:$Z$12"),0),0)="","?",VLOOKUP(M$1,INDIRECT("'"&amp;$A16&amp;"'!$A$12:$Z$19"),MATCH("Points (Auto-generate)",INDIRECT("'"&amp;$A16&amp;"'!$A$12:$Z$12"),0),0)),"ER"))</f>
        <v/>
      </c>
    </row>
    <row r="17">
      <c r="A17" s="4" t="inlineStr">
        <is>
          <t>UPD5</t>
        </is>
      </c>
      <c r="B17" s="4">
        <f>VLOOKUP($A17,'PARASTATAL Questions'!$A:$J,3,0)&amp;""</f>
        <v/>
      </c>
      <c r="C17" s="4">
        <f>VLOOKUP($A17,'PARASTATAL Questions'!$A:$J,4,0)&amp;""</f>
        <v/>
      </c>
      <c r="D17" s="4">
        <f>VLOOKUP($A17,'PARASTATAL Questions'!$A:$J,5,0)&amp;""</f>
        <v/>
      </c>
      <c r="E17" s="4">
        <f>VLOOKUP($A17,'PARASTATAL Questions'!$A:$J,7,0)&amp;""</f>
        <v/>
      </c>
      <c r="F17" s="4">
        <f>VLOOKUP($A17,'PARASTATAL Questions'!$A:$J,6,0)</f>
        <v/>
      </c>
      <c r="G17" s="4">
        <f>IF(OR(G18="ER",G19="ER"),"ER",IF(OR(G18="?",G19="?"),"?",IF(AND(G18="NA",G19="NA"),"NA",SUM(G18,G19)/((G18&lt;&gt;"NA")*$F$18+(G19&lt;&gt;"NA")*$F$19)*$F17)))</f>
        <v/>
      </c>
      <c r="H17" s="4">
        <f>IF(OR(H18="ER",H19="ER"),"ER",IF(OR(H18="?",H19="?"),"?",IF(AND(H18="NA",H19="NA"),"NA",SUM(H18,H19)/((H18&lt;&gt;"NA")*$F$18+(H19&lt;&gt;"NA")*$F$19)*$F17)))</f>
        <v/>
      </c>
      <c r="I17" s="4">
        <f>IF(OR(I18="ER",I19="ER"),"ER",IF(OR(I18="?",I19="?"),"?",IF(AND(I18="NA",I19="NA"),"NA",SUM(I18,I19)/((I18&lt;&gt;"NA")*$F$18+(I19&lt;&gt;"NA")*$F$19)*$F17)))</f>
        <v/>
      </c>
      <c r="J17" s="4">
        <f>IF(OR(J18="ER",J19="ER"),"ER",IF(OR(J18="?",J19="?"),"?",IF(AND(J18="NA",J19="NA"),"NA",SUM(J18,J19)/((J18&lt;&gt;"NA")*$F$18+(J19&lt;&gt;"NA")*$F$19)*$F17)))</f>
        <v/>
      </c>
      <c r="K17" s="4">
        <f>IF(OR(K18="ER",K19="ER"),"ER",IF(OR(K18="?",K19="?"),"?",IF(AND(K18="NA",K19="NA"),"NA",SUM(K18,K19)/((K18&lt;&gt;"NA")*$F$18+(K19&lt;&gt;"NA")*$F$19)*$F17)))</f>
        <v/>
      </c>
      <c r="L17" s="4">
        <f>IF(OR(L18="ER",L19="ER"),"ER",IF(OR(L18="?",L19="?"),"?",IF(AND(L18="NA",L19="NA"),"NA",SUM(L18,L19)/((L18&lt;&gt;"NA")*$F$18+(L19&lt;&gt;"NA")*$F$19)*$F17)))</f>
        <v/>
      </c>
      <c r="M17" s="4">
        <f>IF(OR(M18="ER",M19="ER"),"ER",IF(OR(M18="?",M19="?"),"?",IF(AND(M18="NA",M19="NA"),"NA",SUM(M18,M19)/((M18&lt;&gt;"NA")*$F$18+(M19&lt;&gt;"NA")*$F$19)*$F17)))</f>
        <v/>
      </c>
    </row>
    <row r="18">
      <c r="A18" t="inlineStr">
        <is>
          <t>UPD5a</t>
        </is>
      </c>
      <c r="B18">
        <f>VLOOKUP($A18,'PARASTATAL Questions'!$A:$J,3,0)&amp;""</f>
        <v/>
      </c>
      <c r="C18">
        <f>VLOOKUP($A18,'PARASTATAL Questions'!$A:$J,4,0)&amp;""</f>
        <v/>
      </c>
      <c r="D18">
        <f>VLOOKUP($A18,'PARASTATAL Questions'!$A:$J,5,0)&amp;""</f>
        <v/>
      </c>
      <c r="E18">
        <f>VLOOKUP($A18,'PARASTATAL Questions'!$A:$J,7,0)&amp;""</f>
        <v/>
      </c>
      <c r="F18">
        <f>VLOOKUP($A18,'PARASTATAL Questions'!$A:$J,6,0)</f>
        <v/>
      </c>
      <c r="G18">
        <f>IF($F18=0,"NA",IF($A18=INDIRECT("'"&amp;$A18&amp;"'!$B$1"),IF(VLOOKUP(G$1,INDIRECT("'"&amp;$A18&amp;"'!$A$12:$Z$19"),MATCH("Points (Auto-generate)",INDIRECT("'"&amp;$A18&amp;"'!$A$12:$Z$12"),0),0)="","?",VLOOKUP(G$1,INDIRECT("'"&amp;$A18&amp;"'!$A$12:$Z$19"),MATCH("Points (Auto-generate)",INDIRECT("'"&amp;$A18&amp;"'!$A$12:$Z$12"),0),0)),"ER"))</f>
        <v/>
      </c>
      <c r="H18">
        <f>IF($F18=0,"NA",IF($A18=INDIRECT("'"&amp;$A18&amp;"'!$B$1"),IF(VLOOKUP(H$1,INDIRECT("'"&amp;$A18&amp;"'!$A$12:$Z$19"),MATCH("Points (Auto-generate)",INDIRECT("'"&amp;$A18&amp;"'!$A$12:$Z$12"),0),0)="","?",VLOOKUP(H$1,INDIRECT("'"&amp;$A18&amp;"'!$A$12:$Z$19"),MATCH("Points (Auto-generate)",INDIRECT("'"&amp;$A18&amp;"'!$A$12:$Z$12"),0),0)),"ER"))</f>
        <v/>
      </c>
      <c r="I18">
        <f>IF($F18=0,"NA",IF($A18=INDIRECT("'"&amp;$A18&amp;"'!$B$1"),IF(VLOOKUP(I$1,INDIRECT("'"&amp;$A18&amp;"'!$A$12:$Z$19"),MATCH("Points (Auto-generate)",INDIRECT("'"&amp;$A18&amp;"'!$A$12:$Z$12"),0),0)="","?",VLOOKUP(I$1,INDIRECT("'"&amp;$A18&amp;"'!$A$12:$Z$19"),MATCH("Points (Auto-generate)",INDIRECT("'"&amp;$A18&amp;"'!$A$12:$Z$12"),0),0)),"ER"))</f>
        <v/>
      </c>
      <c r="J18">
        <f>IF($F18=0,"NA",IF($A18=INDIRECT("'"&amp;$A18&amp;"'!$B$1"),IF(VLOOKUP(J$1,INDIRECT("'"&amp;$A18&amp;"'!$A$12:$Z$19"),MATCH("Points (Auto-generate)",INDIRECT("'"&amp;$A18&amp;"'!$A$12:$Z$12"),0),0)="","?",VLOOKUP(J$1,INDIRECT("'"&amp;$A18&amp;"'!$A$12:$Z$19"),MATCH("Points (Auto-generate)",INDIRECT("'"&amp;$A18&amp;"'!$A$12:$Z$12"),0),0)),"ER"))</f>
        <v/>
      </c>
      <c r="K18">
        <f>IF($F18=0,"NA",IF($A18=INDIRECT("'"&amp;$A18&amp;"'!$B$1"),IF(VLOOKUP(K$1,INDIRECT("'"&amp;$A18&amp;"'!$A$12:$Z$19"),MATCH("Points (Auto-generate)",INDIRECT("'"&amp;$A18&amp;"'!$A$12:$Z$12"),0),0)="","?",VLOOKUP(K$1,INDIRECT("'"&amp;$A18&amp;"'!$A$12:$Z$19"),MATCH("Points (Auto-generate)",INDIRECT("'"&amp;$A18&amp;"'!$A$12:$Z$12"),0),0)),"ER"))</f>
        <v/>
      </c>
      <c r="L18">
        <f>IF($F18=0,"NA",IF($A18=INDIRECT("'"&amp;$A18&amp;"'!$B$1"),IF(VLOOKUP(L$1,INDIRECT("'"&amp;$A18&amp;"'!$A$12:$Z$19"),MATCH("Points (Auto-generate)",INDIRECT("'"&amp;$A18&amp;"'!$A$12:$Z$12"),0),0)="","?",VLOOKUP(L$1,INDIRECT("'"&amp;$A18&amp;"'!$A$12:$Z$19"),MATCH("Points (Auto-generate)",INDIRECT("'"&amp;$A18&amp;"'!$A$12:$Z$12"),0),0)),"ER"))</f>
        <v/>
      </c>
      <c r="M18">
        <f>IF($F18=0,"NA",IF($A18=INDIRECT("'"&amp;$A18&amp;"'!$B$1"),IF(VLOOKUP(M$1,INDIRECT("'"&amp;$A18&amp;"'!$A$12:$Z$19"),MATCH("Points (Auto-generate)",INDIRECT("'"&amp;$A18&amp;"'!$A$12:$Z$12"),0),0)="","?",VLOOKUP(M$1,INDIRECT("'"&amp;$A18&amp;"'!$A$12:$Z$19"),MATCH("Points (Auto-generate)",INDIRECT("'"&amp;$A18&amp;"'!$A$12:$Z$12"),0),0)),"ER"))</f>
        <v/>
      </c>
    </row>
    <row r="19">
      <c r="A19" t="inlineStr">
        <is>
          <t>UPD5b</t>
        </is>
      </c>
      <c r="B19">
        <f>VLOOKUP($A19,'PARASTATAL Questions'!$A:$J,3,0)&amp;""</f>
        <v/>
      </c>
      <c r="C19">
        <f>VLOOKUP($A19,'PARASTATAL Questions'!$A:$J,4,0)&amp;""</f>
        <v/>
      </c>
      <c r="D19">
        <f>VLOOKUP($A19,'PARASTATAL Questions'!$A:$J,5,0)&amp;""</f>
        <v/>
      </c>
      <c r="E19">
        <f>VLOOKUP($A19,'PARASTATAL Questions'!$A:$J,7,0)&amp;""</f>
        <v/>
      </c>
      <c r="F19">
        <f>VLOOKUP($A19,'PARASTATAL Questions'!$A:$J,6,0)</f>
        <v/>
      </c>
      <c r="G19">
        <f>IF($F19=0,"NA",IF($A19=INDIRECT("'"&amp;$A19&amp;"'!$B$1"),IF(VLOOKUP(G$1,INDIRECT("'"&amp;$A19&amp;"'!$A$12:$Z$19"),MATCH("Points (Auto-generate)",INDIRECT("'"&amp;$A19&amp;"'!$A$12:$Z$12"),0),0)="","?",VLOOKUP(G$1,INDIRECT("'"&amp;$A19&amp;"'!$A$12:$Z$19"),MATCH("Points (Auto-generate)",INDIRECT("'"&amp;$A19&amp;"'!$A$12:$Z$12"),0),0)),"ER"))</f>
        <v/>
      </c>
      <c r="H19">
        <f>IF($F19=0,"NA",IF($A19=INDIRECT("'"&amp;$A19&amp;"'!$B$1"),IF(VLOOKUP(H$1,INDIRECT("'"&amp;$A19&amp;"'!$A$12:$Z$19"),MATCH("Points (Auto-generate)",INDIRECT("'"&amp;$A19&amp;"'!$A$12:$Z$12"),0),0)="","?",VLOOKUP(H$1,INDIRECT("'"&amp;$A19&amp;"'!$A$12:$Z$19"),MATCH("Points (Auto-generate)",INDIRECT("'"&amp;$A19&amp;"'!$A$12:$Z$12"),0),0)),"ER"))</f>
        <v/>
      </c>
      <c r="I19">
        <f>IF($F19=0,"NA",IF($A19=INDIRECT("'"&amp;$A19&amp;"'!$B$1"),IF(VLOOKUP(I$1,INDIRECT("'"&amp;$A19&amp;"'!$A$12:$Z$19"),MATCH("Points (Auto-generate)",INDIRECT("'"&amp;$A19&amp;"'!$A$12:$Z$12"),0),0)="","?",VLOOKUP(I$1,INDIRECT("'"&amp;$A19&amp;"'!$A$12:$Z$19"),MATCH("Points (Auto-generate)",INDIRECT("'"&amp;$A19&amp;"'!$A$12:$Z$12"),0),0)),"ER"))</f>
        <v/>
      </c>
      <c r="J19">
        <f>IF($F19=0,"NA",IF($A19=INDIRECT("'"&amp;$A19&amp;"'!$B$1"),IF(VLOOKUP(J$1,INDIRECT("'"&amp;$A19&amp;"'!$A$12:$Z$19"),MATCH("Points (Auto-generate)",INDIRECT("'"&amp;$A19&amp;"'!$A$12:$Z$12"),0),0)="","?",VLOOKUP(J$1,INDIRECT("'"&amp;$A19&amp;"'!$A$12:$Z$19"),MATCH("Points (Auto-generate)",INDIRECT("'"&amp;$A19&amp;"'!$A$12:$Z$12"),0),0)),"ER"))</f>
        <v/>
      </c>
      <c r="K19">
        <f>IF($F19=0,"NA",IF($A19=INDIRECT("'"&amp;$A19&amp;"'!$B$1"),IF(VLOOKUP(K$1,INDIRECT("'"&amp;$A19&amp;"'!$A$12:$Z$19"),MATCH("Points (Auto-generate)",INDIRECT("'"&amp;$A19&amp;"'!$A$12:$Z$12"),0),0)="","?",VLOOKUP(K$1,INDIRECT("'"&amp;$A19&amp;"'!$A$12:$Z$19"),MATCH("Points (Auto-generate)",INDIRECT("'"&amp;$A19&amp;"'!$A$12:$Z$12"),0),0)),"ER"))</f>
        <v/>
      </c>
      <c r="L19">
        <f>IF($F19=0,"NA",IF($A19=INDIRECT("'"&amp;$A19&amp;"'!$B$1"),IF(VLOOKUP(L$1,INDIRECT("'"&amp;$A19&amp;"'!$A$12:$Z$19"),MATCH("Points (Auto-generate)",INDIRECT("'"&amp;$A19&amp;"'!$A$12:$Z$12"),0),0)="","?",VLOOKUP(L$1,INDIRECT("'"&amp;$A19&amp;"'!$A$12:$Z$19"),MATCH("Points (Auto-generate)",INDIRECT("'"&amp;$A19&amp;"'!$A$12:$Z$12"),0),0)),"ER"))</f>
        <v/>
      </c>
      <c r="M19">
        <f>IF($F19=0,"NA",IF($A19=INDIRECT("'"&amp;$A19&amp;"'!$B$1"),IF(VLOOKUP(M$1,INDIRECT("'"&amp;$A19&amp;"'!$A$12:$Z$19"),MATCH("Points (Auto-generate)",INDIRECT("'"&amp;$A19&amp;"'!$A$12:$Z$12"),0),0)="","?",VLOOKUP(M$1,INDIRECT("'"&amp;$A19&amp;"'!$A$12:$Z$19"),MATCH("Points (Auto-generate)",INDIRECT("'"&amp;$A19&amp;"'!$A$12:$Z$12"),0),0)),"ER"))</f>
        <v/>
      </c>
    </row>
    <row r="20">
      <c r="A20" s="4" t="inlineStr">
        <is>
          <t>UPD6</t>
        </is>
      </c>
      <c r="B20" s="4">
        <f>VLOOKUP($A20,'PARASTATAL Questions'!$A:$J,3,0)&amp;""</f>
        <v/>
      </c>
      <c r="C20" s="4">
        <f>VLOOKUP($A20,'PARASTATAL Questions'!$A:$J,4,0)&amp;""</f>
        <v/>
      </c>
      <c r="D20" s="4">
        <f>VLOOKUP($A20,'PARASTATAL Questions'!$A:$J,5,0)&amp;""</f>
        <v/>
      </c>
      <c r="E20" s="4">
        <f>VLOOKUP($A20,'PARASTATAL Questions'!$A:$J,7,0)&amp;""</f>
        <v/>
      </c>
      <c r="F20" s="4">
        <f>VLOOKUP($A20,'PARASTATAL Questions'!$A:$J,6,0)</f>
        <v/>
      </c>
      <c r="G20" s="4">
        <f>IF(OR(G21="ER",G22="ER"),"ER",IF(OR(G21="?",G22="?"),"?",IF(AND(G21="NA",G22="NA"),"NA",SUM(G21,G22)/((G21&lt;&gt;"NA")*$F$21+(G22&lt;&gt;"NA")*$F$22)*$F20)))</f>
        <v/>
      </c>
      <c r="H20" s="4">
        <f>IF(OR(H21="ER",H22="ER"),"ER",IF(OR(H21="?",H22="?"),"?",IF(AND(H21="NA",H22="NA"),"NA",SUM(H21,H22)/((H21&lt;&gt;"NA")*$F$21+(H22&lt;&gt;"NA")*$F$22)*$F20)))</f>
        <v/>
      </c>
      <c r="I20" s="4">
        <f>IF(OR(I21="ER",I22="ER"),"ER",IF(OR(I21="?",I22="?"),"?",IF(AND(I21="NA",I22="NA"),"NA",SUM(I21,I22)/((I21&lt;&gt;"NA")*$F$21+(I22&lt;&gt;"NA")*$F$22)*$F20)))</f>
        <v/>
      </c>
      <c r="J20" s="4">
        <f>IF(OR(J21="ER",J22="ER"),"ER",IF(OR(J21="?",J22="?"),"?",IF(AND(J21="NA",J22="NA"),"NA",SUM(J21,J22)/((J21&lt;&gt;"NA")*$F$21+(J22&lt;&gt;"NA")*$F$22)*$F20)))</f>
        <v/>
      </c>
      <c r="K20" s="4">
        <f>IF(OR(K21="ER",K22="ER"),"ER",IF(OR(K21="?",K22="?"),"?",IF(AND(K21="NA",K22="NA"),"NA",SUM(K21,K22)/((K21&lt;&gt;"NA")*$F$21+(K22&lt;&gt;"NA")*$F$22)*$F20)))</f>
        <v/>
      </c>
      <c r="L20" s="4">
        <f>IF(OR(L21="ER",L22="ER"),"ER",IF(OR(L21="?",L22="?"),"?",IF(AND(L21="NA",L22="NA"),"NA",SUM(L21,L22)/((L21&lt;&gt;"NA")*$F$21+(L22&lt;&gt;"NA")*$F$22)*$F20)))</f>
        <v/>
      </c>
      <c r="M20" s="4">
        <f>IF(OR(M21="ER",M22="ER"),"ER",IF(OR(M21="?",M22="?"),"?",IF(AND(M21="NA",M22="NA"),"NA",SUM(M21,M22)/((M21&lt;&gt;"NA")*$F$21+(M22&lt;&gt;"NA")*$F$22)*$F20)))</f>
        <v/>
      </c>
    </row>
    <row r="21">
      <c r="A21" t="inlineStr">
        <is>
          <t>UPD6a</t>
        </is>
      </c>
      <c r="B21">
        <f>VLOOKUP($A21,'PARASTATAL Questions'!$A:$J,3,0)&amp;""</f>
        <v/>
      </c>
      <c r="C21">
        <f>VLOOKUP($A21,'PARASTATAL Questions'!$A:$J,4,0)&amp;""</f>
        <v/>
      </c>
      <c r="D21">
        <f>VLOOKUP($A21,'PARASTATAL Questions'!$A:$J,5,0)&amp;""</f>
        <v/>
      </c>
      <c r="E21">
        <f>VLOOKUP($A21,'PARASTATAL Questions'!$A:$J,7,0)&amp;""</f>
        <v/>
      </c>
      <c r="F21">
        <f>VLOOKUP($A21,'PARASTATAL Questions'!$A:$J,6,0)</f>
        <v/>
      </c>
      <c r="G21">
        <f>IF($F21=0,"NA",IF($A21=INDIRECT("'"&amp;$A21&amp;"'!$B$1"),IF(VLOOKUP(G$1,INDIRECT("'"&amp;$A21&amp;"'!$A$12:$Z$19"),MATCH("Points (Auto-generate)",INDIRECT("'"&amp;$A21&amp;"'!$A$12:$Z$12"),0),0)="","?",VLOOKUP(G$1,INDIRECT("'"&amp;$A21&amp;"'!$A$12:$Z$19"),MATCH("Points (Auto-generate)",INDIRECT("'"&amp;$A21&amp;"'!$A$12:$Z$12"),0),0)),"ER"))</f>
        <v/>
      </c>
      <c r="H21">
        <f>IF($F21=0,"NA",IF($A21=INDIRECT("'"&amp;$A21&amp;"'!$B$1"),IF(VLOOKUP(H$1,INDIRECT("'"&amp;$A21&amp;"'!$A$12:$Z$19"),MATCH("Points (Auto-generate)",INDIRECT("'"&amp;$A21&amp;"'!$A$12:$Z$12"),0),0)="","?",VLOOKUP(H$1,INDIRECT("'"&amp;$A21&amp;"'!$A$12:$Z$19"),MATCH("Points (Auto-generate)",INDIRECT("'"&amp;$A21&amp;"'!$A$12:$Z$12"),0),0)),"ER"))</f>
        <v/>
      </c>
      <c r="I21">
        <f>IF($F21=0,"NA",IF($A21=INDIRECT("'"&amp;$A21&amp;"'!$B$1"),IF(VLOOKUP(I$1,INDIRECT("'"&amp;$A21&amp;"'!$A$12:$Z$19"),MATCH("Points (Auto-generate)",INDIRECT("'"&amp;$A21&amp;"'!$A$12:$Z$12"),0),0)="","?",VLOOKUP(I$1,INDIRECT("'"&amp;$A21&amp;"'!$A$12:$Z$19"),MATCH("Points (Auto-generate)",INDIRECT("'"&amp;$A21&amp;"'!$A$12:$Z$12"),0),0)),"ER"))</f>
        <v/>
      </c>
      <c r="J21">
        <f>IF($F21=0,"NA",IF($A21=INDIRECT("'"&amp;$A21&amp;"'!$B$1"),IF(VLOOKUP(J$1,INDIRECT("'"&amp;$A21&amp;"'!$A$12:$Z$19"),MATCH("Points (Auto-generate)",INDIRECT("'"&amp;$A21&amp;"'!$A$12:$Z$12"),0),0)="","?",VLOOKUP(J$1,INDIRECT("'"&amp;$A21&amp;"'!$A$12:$Z$19"),MATCH("Points (Auto-generate)",INDIRECT("'"&amp;$A21&amp;"'!$A$12:$Z$12"),0),0)),"ER"))</f>
        <v/>
      </c>
      <c r="K21">
        <f>IF($F21=0,"NA",IF($A21=INDIRECT("'"&amp;$A21&amp;"'!$B$1"),IF(VLOOKUP(K$1,INDIRECT("'"&amp;$A21&amp;"'!$A$12:$Z$19"),MATCH("Points (Auto-generate)",INDIRECT("'"&amp;$A21&amp;"'!$A$12:$Z$12"),0),0)="","?",VLOOKUP(K$1,INDIRECT("'"&amp;$A21&amp;"'!$A$12:$Z$19"),MATCH("Points (Auto-generate)",INDIRECT("'"&amp;$A21&amp;"'!$A$12:$Z$12"),0),0)),"ER"))</f>
        <v/>
      </c>
      <c r="L21">
        <f>IF($F21=0,"NA",IF($A21=INDIRECT("'"&amp;$A21&amp;"'!$B$1"),IF(VLOOKUP(L$1,INDIRECT("'"&amp;$A21&amp;"'!$A$12:$Z$19"),MATCH("Points (Auto-generate)",INDIRECT("'"&amp;$A21&amp;"'!$A$12:$Z$12"),0),0)="","?",VLOOKUP(L$1,INDIRECT("'"&amp;$A21&amp;"'!$A$12:$Z$19"),MATCH("Points (Auto-generate)",INDIRECT("'"&amp;$A21&amp;"'!$A$12:$Z$12"),0),0)),"ER"))</f>
        <v/>
      </c>
      <c r="M21">
        <f>IF($F21=0,"NA",IF($A21=INDIRECT("'"&amp;$A21&amp;"'!$B$1"),IF(VLOOKUP(M$1,INDIRECT("'"&amp;$A21&amp;"'!$A$12:$Z$19"),MATCH("Points (Auto-generate)",INDIRECT("'"&amp;$A21&amp;"'!$A$12:$Z$12"),0),0)="","?",VLOOKUP(M$1,INDIRECT("'"&amp;$A21&amp;"'!$A$12:$Z$19"),MATCH("Points (Auto-generate)",INDIRECT("'"&amp;$A21&amp;"'!$A$12:$Z$12"),0),0)),"ER"))</f>
        <v/>
      </c>
    </row>
    <row r="22">
      <c r="A22" t="inlineStr">
        <is>
          <t>UPD6b</t>
        </is>
      </c>
      <c r="B22">
        <f>VLOOKUP($A22,'PARASTATAL Questions'!$A:$J,3,0)&amp;""</f>
        <v/>
      </c>
      <c r="C22">
        <f>VLOOKUP($A22,'PARASTATAL Questions'!$A:$J,4,0)&amp;""</f>
        <v/>
      </c>
      <c r="D22">
        <f>VLOOKUP($A22,'PARASTATAL Questions'!$A:$J,5,0)&amp;""</f>
        <v/>
      </c>
      <c r="E22">
        <f>VLOOKUP($A22,'PARASTATAL Questions'!$A:$J,7,0)&amp;""</f>
        <v/>
      </c>
      <c r="F22">
        <f>VLOOKUP($A22,'PARASTATAL Questions'!$A:$J,6,0)</f>
        <v/>
      </c>
      <c r="G22">
        <f>IF($F22=0,"NA",IF($A22=INDIRECT("'"&amp;$A22&amp;"'!$B$1"),IF(VLOOKUP(G$1,INDIRECT("'"&amp;$A22&amp;"'!$A$12:$Z$19"),MATCH("Points (Auto-generate)",INDIRECT("'"&amp;$A22&amp;"'!$A$12:$Z$12"),0),0)="","?",VLOOKUP(G$1,INDIRECT("'"&amp;$A22&amp;"'!$A$12:$Z$19"),MATCH("Points (Auto-generate)",INDIRECT("'"&amp;$A22&amp;"'!$A$12:$Z$12"),0),0)),"ER"))</f>
        <v/>
      </c>
      <c r="H22">
        <f>IF($F22=0,"NA",IF($A22=INDIRECT("'"&amp;$A22&amp;"'!$B$1"),IF(VLOOKUP(H$1,INDIRECT("'"&amp;$A22&amp;"'!$A$12:$Z$19"),MATCH("Points (Auto-generate)",INDIRECT("'"&amp;$A22&amp;"'!$A$12:$Z$12"),0),0)="","?",VLOOKUP(H$1,INDIRECT("'"&amp;$A22&amp;"'!$A$12:$Z$19"),MATCH("Points (Auto-generate)",INDIRECT("'"&amp;$A22&amp;"'!$A$12:$Z$12"),0),0)),"ER"))</f>
        <v/>
      </c>
      <c r="I22">
        <f>IF($F22=0,"NA",IF($A22=INDIRECT("'"&amp;$A22&amp;"'!$B$1"),IF(VLOOKUP(I$1,INDIRECT("'"&amp;$A22&amp;"'!$A$12:$Z$19"),MATCH("Points (Auto-generate)",INDIRECT("'"&amp;$A22&amp;"'!$A$12:$Z$12"),0),0)="","?",VLOOKUP(I$1,INDIRECT("'"&amp;$A22&amp;"'!$A$12:$Z$19"),MATCH("Points (Auto-generate)",INDIRECT("'"&amp;$A22&amp;"'!$A$12:$Z$12"),0),0)),"ER"))</f>
        <v/>
      </c>
      <c r="J22">
        <f>IF($F22=0,"NA",IF($A22=INDIRECT("'"&amp;$A22&amp;"'!$B$1"),IF(VLOOKUP(J$1,INDIRECT("'"&amp;$A22&amp;"'!$A$12:$Z$19"),MATCH("Points (Auto-generate)",INDIRECT("'"&amp;$A22&amp;"'!$A$12:$Z$12"),0),0)="","?",VLOOKUP(J$1,INDIRECT("'"&amp;$A22&amp;"'!$A$12:$Z$19"),MATCH("Points (Auto-generate)",INDIRECT("'"&amp;$A22&amp;"'!$A$12:$Z$12"),0),0)),"ER"))</f>
        <v/>
      </c>
      <c r="K22">
        <f>IF($F22=0,"NA",IF($A22=INDIRECT("'"&amp;$A22&amp;"'!$B$1"),IF(VLOOKUP(K$1,INDIRECT("'"&amp;$A22&amp;"'!$A$12:$Z$19"),MATCH("Points (Auto-generate)",INDIRECT("'"&amp;$A22&amp;"'!$A$12:$Z$12"),0),0)="","?",VLOOKUP(K$1,INDIRECT("'"&amp;$A22&amp;"'!$A$12:$Z$19"),MATCH("Points (Auto-generate)",INDIRECT("'"&amp;$A22&amp;"'!$A$12:$Z$12"),0),0)),"ER"))</f>
        <v/>
      </c>
      <c r="L22">
        <f>IF($F22=0,"NA",IF($A22=INDIRECT("'"&amp;$A22&amp;"'!$B$1"),IF(VLOOKUP(L$1,INDIRECT("'"&amp;$A22&amp;"'!$A$12:$Z$19"),MATCH("Points (Auto-generate)",INDIRECT("'"&amp;$A22&amp;"'!$A$12:$Z$12"),0),0)="","?",VLOOKUP(L$1,INDIRECT("'"&amp;$A22&amp;"'!$A$12:$Z$19"),MATCH("Points (Auto-generate)",INDIRECT("'"&amp;$A22&amp;"'!$A$12:$Z$12"),0),0)),"ER"))</f>
        <v/>
      </c>
      <c r="M22">
        <f>IF($F22=0,"NA",IF($A22=INDIRECT("'"&amp;$A22&amp;"'!$B$1"),IF(VLOOKUP(M$1,INDIRECT("'"&amp;$A22&amp;"'!$A$12:$Z$19"),MATCH("Points (Auto-generate)",INDIRECT("'"&amp;$A22&amp;"'!$A$12:$Z$12"),0),0)="","?",VLOOKUP(M$1,INDIRECT("'"&amp;$A22&amp;"'!$A$12:$Z$19"),MATCH("Points (Auto-generate)",INDIRECT("'"&amp;$A22&amp;"'!$A$12:$Z$12"),0),0)),"ER"))</f>
        <v/>
      </c>
    </row>
    <row r="23">
      <c r="A23" s="4" t="inlineStr">
        <is>
          <t>DPG1</t>
        </is>
      </c>
      <c r="B23" s="4">
        <f>VLOOKUP($A23,'PARASTATAL Questions'!$A:$J,3,0)&amp;""</f>
        <v/>
      </c>
      <c r="C23" s="4">
        <f>VLOOKUP($A23,'PARASTATAL Questions'!$A:$J,4,0)&amp;""</f>
        <v/>
      </c>
      <c r="D23" s="4">
        <f>VLOOKUP($A23,'PARASTATAL Questions'!$A:$J,5,0)&amp;""</f>
        <v/>
      </c>
      <c r="E23" s="4">
        <f>VLOOKUP($A23,'PARASTATAL Questions'!$A:$J,7,0)&amp;""</f>
        <v/>
      </c>
      <c r="F23" s="4">
        <f>VLOOKUP($A23,'PARASTATAL Questions'!$A:$J,6,0)</f>
        <v/>
      </c>
      <c r="G23" s="4">
        <f>IF(OR(G24="ER",G25="ER"),"ER",IF(OR(G24="?",G25="?"),"?",IF(AND(G24="NA",G25="NA"),"NA",SUM(G24,G25)/((G24&lt;&gt;"NA")*$F$24+(G25&lt;&gt;"NA")*$F$25)*$F23)))</f>
        <v/>
      </c>
      <c r="H23" s="4">
        <f>IF(OR(H24="ER",H25="ER"),"ER",IF(OR(H24="?",H25="?"),"?",IF(AND(H24="NA",H25="NA"),"NA",SUM(H24,H25)/((H24&lt;&gt;"NA")*$F$24+(H25&lt;&gt;"NA")*$F$25)*$F23)))</f>
        <v/>
      </c>
      <c r="I23" s="4">
        <f>IF(OR(I24="ER",I25="ER"),"ER",IF(OR(I24="?",I25="?"),"?",IF(AND(I24="NA",I25="NA"),"NA",SUM(I24,I25)/((I24&lt;&gt;"NA")*$F$24+(I25&lt;&gt;"NA")*$F$25)*$F23)))</f>
        <v/>
      </c>
      <c r="J23" s="4">
        <f>IF(OR(J24="ER",J25="ER"),"ER",IF(OR(J24="?",J25="?"),"?",IF(AND(J24="NA",J25="NA"),"NA",SUM(J24,J25)/((J24&lt;&gt;"NA")*$F$24+(J25&lt;&gt;"NA")*$F$25)*$F23)))</f>
        <v/>
      </c>
      <c r="K23" s="4">
        <f>IF(OR(K24="ER",K25="ER"),"ER",IF(OR(K24="?",K25="?"),"?",IF(AND(K24="NA",K25="NA"),"NA",SUM(K24,K25)/((K24&lt;&gt;"NA")*$F$24+(K25&lt;&gt;"NA")*$F$25)*$F23)))</f>
        <v/>
      </c>
      <c r="L23" s="4">
        <f>IF(OR(L24="ER",L25="ER"),"ER",IF(OR(L24="?",L25="?"),"?",IF(AND(L24="NA",L25="NA"),"NA",SUM(L24,L25)/((L24&lt;&gt;"NA")*$F$24+(L25&lt;&gt;"NA")*$F$25)*$F23)))</f>
        <v/>
      </c>
      <c r="M23" s="4">
        <f>IF(OR(M24="ER",M25="ER"),"ER",IF(OR(M24="?",M25="?"),"?",IF(AND(M24="NA",M25="NA"),"NA",SUM(M24,M25)/((M24&lt;&gt;"NA")*$F$24+(M25&lt;&gt;"NA")*$F$25)*$F23)))</f>
        <v/>
      </c>
    </row>
    <row r="24">
      <c r="A24" t="inlineStr">
        <is>
          <t>DPG1a</t>
        </is>
      </c>
      <c r="B24">
        <f>VLOOKUP($A24,'PARASTATAL Questions'!$A:$J,3,0)&amp;""</f>
        <v/>
      </c>
      <c r="C24">
        <f>VLOOKUP($A24,'PARASTATAL Questions'!$A:$J,4,0)&amp;""</f>
        <v/>
      </c>
      <c r="D24">
        <f>VLOOKUP($A24,'PARASTATAL Questions'!$A:$J,5,0)&amp;""</f>
        <v/>
      </c>
      <c r="E24">
        <f>VLOOKUP($A24,'PARASTATAL Questions'!$A:$J,7,0)&amp;""</f>
        <v/>
      </c>
      <c r="F24">
        <f>VLOOKUP($A24,'PARASTATAL Questions'!$A:$J,6,0)</f>
        <v/>
      </c>
      <c r="G24">
        <f>IF($F24=0,"NA",IF($A24=INDIRECT("'"&amp;$A24&amp;"'!$B$1"),IF(VLOOKUP(G$1,INDIRECT("'"&amp;$A24&amp;"'!$A$12:$Z$19"),MATCH("Points (Auto-generate)",INDIRECT("'"&amp;$A24&amp;"'!$A$12:$Z$12"),0),0)="","?",VLOOKUP(G$1,INDIRECT("'"&amp;$A24&amp;"'!$A$12:$Z$19"),MATCH("Points (Auto-generate)",INDIRECT("'"&amp;$A24&amp;"'!$A$12:$Z$12"),0),0)),"ER"))</f>
        <v/>
      </c>
      <c r="H24">
        <f>IF($F24=0,"NA",IF($A24=INDIRECT("'"&amp;$A24&amp;"'!$B$1"),IF(VLOOKUP(H$1,INDIRECT("'"&amp;$A24&amp;"'!$A$12:$Z$19"),MATCH("Points (Auto-generate)",INDIRECT("'"&amp;$A24&amp;"'!$A$12:$Z$12"),0),0)="","?",VLOOKUP(H$1,INDIRECT("'"&amp;$A24&amp;"'!$A$12:$Z$19"),MATCH("Points (Auto-generate)",INDIRECT("'"&amp;$A24&amp;"'!$A$12:$Z$12"),0),0)),"ER"))</f>
        <v/>
      </c>
      <c r="I24">
        <f>IF($F24=0,"NA",IF($A24=INDIRECT("'"&amp;$A24&amp;"'!$B$1"),IF(VLOOKUP(I$1,INDIRECT("'"&amp;$A24&amp;"'!$A$12:$Z$19"),MATCH("Points (Auto-generate)",INDIRECT("'"&amp;$A24&amp;"'!$A$12:$Z$12"),0),0)="","?",VLOOKUP(I$1,INDIRECT("'"&amp;$A24&amp;"'!$A$12:$Z$19"),MATCH("Points (Auto-generate)",INDIRECT("'"&amp;$A24&amp;"'!$A$12:$Z$12"),0),0)),"ER"))</f>
        <v/>
      </c>
      <c r="J24">
        <f>IF($F24=0,"NA",IF($A24=INDIRECT("'"&amp;$A24&amp;"'!$B$1"),IF(VLOOKUP(J$1,INDIRECT("'"&amp;$A24&amp;"'!$A$12:$Z$19"),MATCH("Points (Auto-generate)",INDIRECT("'"&amp;$A24&amp;"'!$A$12:$Z$12"),0),0)="","?",VLOOKUP(J$1,INDIRECT("'"&amp;$A24&amp;"'!$A$12:$Z$19"),MATCH("Points (Auto-generate)",INDIRECT("'"&amp;$A24&amp;"'!$A$12:$Z$12"),0),0)),"ER"))</f>
        <v/>
      </c>
      <c r="K24">
        <f>IF($F24=0,"NA",IF($A24=INDIRECT("'"&amp;$A24&amp;"'!$B$1"),IF(VLOOKUP(K$1,INDIRECT("'"&amp;$A24&amp;"'!$A$12:$Z$19"),MATCH("Points (Auto-generate)",INDIRECT("'"&amp;$A24&amp;"'!$A$12:$Z$12"),0),0)="","?",VLOOKUP(K$1,INDIRECT("'"&amp;$A24&amp;"'!$A$12:$Z$19"),MATCH("Points (Auto-generate)",INDIRECT("'"&amp;$A24&amp;"'!$A$12:$Z$12"),0),0)),"ER"))</f>
        <v/>
      </c>
      <c r="L24">
        <f>IF($F24=0,"NA",IF($A24=INDIRECT("'"&amp;$A24&amp;"'!$B$1"),IF(VLOOKUP(L$1,INDIRECT("'"&amp;$A24&amp;"'!$A$12:$Z$19"),MATCH("Points (Auto-generate)",INDIRECT("'"&amp;$A24&amp;"'!$A$12:$Z$12"),0),0)="","?",VLOOKUP(L$1,INDIRECT("'"&amp;$A24&amp;"'!$A$12:$Z$19"),MATCH("Points (Auto-generate)",INDIRECT("'"&amp;$A24&amp;"'!$A$12:$Z$12"),0),0)),"ER"))</f>
        <v/>
      </c>
      <c r="M24">
        <f>IF($F24=0,"NA",IF($A24=INDIRECT("'"&amp;$A24&amp;"'!$B$1"),IF(VLOOKUP(M$1,INDIRECT("'"&amp;$A24&amp;"'!$A$12:$Z$19"),MATCH("Points (Auto-generate)",INDIRECT("'"&amp;$A24&amp;"'!$A$12:$Z$12"),0),0)="","?",VLOOKUP(M$1,INDIRECT("'"&amp;$A24&amp;"'!$A$12:$Z$19"),MATCH("Points (Auto-generate)",INDIRECT("'"&amp;$A24&amp;"'!$A$12:$Z$12"),0),0)),"ER"))</f>
        <v/>
      </c>
    </row>
    <row r="25">
      <c r="A25" t="inlineStr">
        <is>
          <t>DPG1b</t>
        </is>
      </c>
      <c r="B25">
        <f>VLOOKUP($A25,'PARASTATAL Questions'!$A:$J,3,0)&amp;""</f>
        <v/>
      </c>
      <c r="C25">
        <f>VLOOKUP($A25,'PARASTATAL Questions'!$A:$J,4,0)&amp;""</f>
        <v/>
      </c>
      <c r="D25">
        <f>VLOOKUP($A25,'PARASTATAL Questions'!$A:$J,5,0)&amp;""</f>
        <v/>
      </c>
      <c r="E25">
        <f>VLOOKUP($A25,'PARASTATAL Questions'!$A:$J,7,0)&amp;""</f>
        <v/>
      </c>
      <c r="F25">
        <f>VLOOKUP($A25,'PARASTATAL Questions'!$A:$J,6,0)</f>
        <v/>
      </c>
      <c r="G25">
        <f>IF($F25=0,"NA",IF($A25=INDIRECT("'"&amp;$A25&amp;"'!$B$1"),IF(VLOOKUP(G$1,INDIRECT("'"&amp;$A25&amp;"'!$A$12:$Z$19"),MATCH("Points (Auto-generate)",INDIRECT("'"&amp;$A25&amp;"'!$A$12:$Z$12"),0),0)="","?",VLOOKUP(G$1,INDIRECT("'"&amp;$A25&amp;"'!$A$12:$Z$19"),MATCH("Points (Auto-generate)",INDIRECT("'"&amp;$A25&amp;"'!$A$12:$Z$12"),0),0)),"ER"))</f>
        <v/>
      </c>
      <c r="H25">
        <f>IF($F25=0,"NA",IF($A25=INDIRECT("'"&amp;$A25&amp;"'!$B$1"),IF(VLOOKUP(H$1,INDIRECT("'"&amp;$A25&amp;"'!$A$12:$Z$19"),MATCH("Points (Auto-generate)",INDIRECT("'"&amp;$A25&amp;"'!$A$12:$Z$12"),0),0)="","?",VLOOKUP(H$1,INDIRECT("'"&amp;$A25&amp;"'!$A$12:$Z$19"),MATCH("Points (Auto-generate)",INDIRECT("'"&amp;$A25&amp;"'!$A$12:$Z$12"),0),0)),"ER"))</f>
        <v/>
      </c>
      <c r="I25">
        <f>IF($F25=0,"NA",IF($A25=INDIRECT("'"&amp;$A25&amp;"'!$B$1"),IF(VLOOKUP(I$1,INDIRECT("'"&amp;$A25&amp;"'!$A$12:$Z$19"),MATCH("Points (Auto-generate)",INDIRECT("'"&amp;$A25&amp;"'!$A$12:$Z$12"),0),0)="","?",VLOOKUP(I$1,INDIRECT("'"&amp;$A25&amp;"'!$A$12:$Z$19"),MATCH("Points (Auto-generate)",INDIRECT("'"&amp;$A25&amp;"'!$A$12:$Z$12"),0),0)),"ER"))</f>
        <v/>
      </c>
      <c r="J25">
        <f>IF($F25=0,"NA",IF($A25=INDIRECT("'"&amp;$A25&amp;"'!$B$1"),IF(VLOOKUP(J$1,INDIRECT("'"&amp;$A25&amp;"'!$A$12:$Z$19"),MATCH("Points (Auto-generate)",INDIRECT("'"&amp;$A25&amp;"'!$A$12:$Z$12"),0),0)="","?",VLOOKUP(J$1,INDIRECT("'"&amp;$A25&amp;"'!$A$12:$Z$19"),MATCH("Points (Auto-generate)",INDIRECT("'"&amp;$A25&amp;"'!$A$12:$Z$12"),0),0)),"ER"))</f>
        <v/>
      </c>
      <c r="K25">
        <f>IF($F25=0,"NA",IF($A25=INDIRECT("'"&amp;$A25&amp;"'!$B$1"),IF(VLOOKUP(K$1,INDIRECT("'"&amp;$A25&amp;"'!$A$12:$Z$19"),MATCH("Points (Auto-generate)",INDIRECT("'"&amp;$A25&amp;"'!$A$12:$Z$12"),0),0)="","?",VLOOKUP(K$1,INDIRECT("'"&amp;$A25&amp;"'!$A$12:$Z$19"),MATCH("Points (Auto-generate)",INDIRECT("'"&amp;$A25&amp;"'!$A$12:$Z$12"),0),0)),"ER"))</f>
        <v/>
      </c>
      <c r="L25">
        <f>IF($F25=0,"NA",IF($A25=INDIRECT("'"&amp;$A25&amp;"'!$B$1"),IF(VLOOKUP(L$1,INDIRECT("'"&amp;$A25&amp;"'!$A$12:$Z$19"),MATCH("Points (Auto-generate)",INDIRECT("'"&amp;$A25&amp;"'!$A$12:$Z$12"),0),0)="","?",VLOOKUP(L$1,INDIRECT("'"&amp;$A25&amp;"'!$A$12:$Z$19"),MATCH("Points (Auto-generate)",INDIRECT("'"&amp;$A25&amp;"'!$A$12:$Z$12"),0),0)),"ER"))</f>
        <v/>
      </c>
      <c r="M25">
        <f>IF($F25=0,"NA",IF($A25=INDIRECT("'"&amp;$A25&amp;"'!$B$1"),IF(VLOOKUP(M$1,INDIRECT("'"&amp;$A25&amp;"'!$A$12:$Z$19"),MATCH("Points (Auto-generate)",INDIRECT("'"&amp;$A25&amp;"'!$A$12:$Z$12"),0),0)="","?",VLOOKUP(M$1,INDIRECT("'"&amp;$A25&amp;"'!$A$12:$Z$19"),MATCH("Points (Auto-generate)",INDIRECT("'"&amp;$A25&amp;"'!$A$12:$Z$12"),0),0)),"ER"))</f>
        <v/>
      </c>
    </row>
    <row r="26">
      <c r="A26" s="4" t="inlineStr">
        <is>
          <t>DPG2</t>
        </is>
      </c>
      <c r="B26" s="4">
        <f>VLOOKUP($A26,'PARASTATAL Questions'!$A:$J,3,0)&amp;""</f>
        <v/>
      </c>
      <c r="C26" s="4">
        <f>VLOOKUP($A26,'PARASTATAL Questions'!$A:$J,4,0)&amp;""</f>
        <v/>
      </c>
      <c r="D26" s="4">
        <f>VLOOKUP($A26,'PARASTATAL Questions'!$A:$J,5,0)&amp;""</f>
        <v/>
      </c>
      <c r="E26" s="4">
        <f>VLOOKUP($A26,'PARASTATAL Questions'!$A:$J,7,0)&amp;""</f>
        <v/>
      </c>
      <c r="F26" s="4">
        <f>VLOOKUP($A26,'PARASTATAL Questions'!$A:$J,6,0)</f>
        <v/>
      </c>
      <c r="G26" s="4">
        <f>IF(OR(G27="ER",G28="ER"),"ER",IF(OR(G27="?",G28="?"),"?",IF(AND(G27="NA",G28="NA"),"NA",SUM(G27,G28)/((G27&lt;&gt;"NA")*$F$27+(G28&lt;&gt;"NA")*$F$28)*$F26)))</f>
        <v/>
      </c>
      <c r="H26" s="4">
        <f>IF(OR(H27="ER",H28="ER"),"ER",IF(OR(H27="?",H28="?"),"?",IF(AND(H27="NA",H28="NA"),"NA",SUM(H27,H28)/((H27&lt;&gt;"NA")*$F$27+(H28&lt;&gt;"NA")*$F$28)*$F26)))</f>
        <v/>
      </c>
      <c r="I26" s="4">
        <f>IF(OR(I27="ER",I28="ER"),"ER",IF(OR(I27="?",I28="?"),"?",IF(AND(I27="NA",I28="NA"),"NA",SUM(I27,I28)/((I27&lt;&gt;"NA")*$F$27+(I28&lt;&gt;"NA")*$F$28)*$F26)))</f>
        <v/>
      </c>
      <c r="J26" s="4">
        <f>IF(OR(J27="ER",J28="ER"),"ER",IF(OR(J27="?",J28="?"),"?",IF(AND(J27="NA",J28="NA"),"NA",SUM(J27,J28)/((J27&lt;&gt;"NA")*$F$27+(J28&lt;&gt;"NA")*$F$28)*$F26)))</f>
        <v/>
      </c>
      <c r="K26" s="4">
        <f>IF(OR(K27="ER",K28="ER"),"ER",IF(OR(K27="?",K28="?"),"?",IF(AND(K27="NA",K28="NA"),"NA",SUM(K27,K28)/((K27&lt;&gt;"NA")*$F$27+(K28&lt;&gt;"NA")*$F$28)*$F26)))</f>
        <v/>
      </c>
      <c r="L26" s="4">
        <f>IF(OR(L27="ER",L28="ER"),"ER",IF(OR(L27="?",L28="?"),"?",IF(AND(L27="NA",L28="NA"),"NA",SUM(L27,L28)/((L27&lt;&gt;"NA")*$F$27+(L28&lt;&gt;"NA")*$F$28)*$F26)))</f>
        <v/>
      </c>
      <c r="M26" s="4">
        <f>IF(OR(M27="ER",M28="ER"),"ER",IF(OR(M27="?",M28="?"),"?",IF(AND(M27="NA",M28="NA"),"NA",SUM(M27,M28)/((M27&lt;&gt;"NA")*$F$27+(M28&lt;&gt;"NA")*$F$28)*$F26)))</f>
        <v/>
      </c>
    </row>
    <row r="27">
      <c r="A27" t="inlineStr">
        <is>
          <t>DPG2a</t>
        </is>
      </c>
      <c r="B27">
        <f>VLOOKUP($A27,'PARASTATAL Questions'!$A:$J,3,0)&amp;""</f>
        <v/>
      </c>
      <c r="C27">
        <f>VLOOKUP($A27,'PARASTATAL Questions'!$A:$J,4,0)&amp;""</f>
        <v/>
      </c>
      <c r="D27">
        <f>VLOOKUP($A27,'PARASTATAL Questions'!$A:$J,5,0)&amp;""</f>
        <v/>
      </c>
      <c r="E27">
        <f>VLOOKUP($A27,'PARASTATAL Questions'!$A:$J,7,0)&amp;""</f>
        <v/>
      </c>
      <c r="F27">
        <f>VLOOKUP($A27,'PARASTATAL Questions'!$A:$J,6,0)</f>
        <v/>
      </c>
      <c r="G27">
        <f>IF($F27=0,"NA",IF($A27=INDIRECT("'"&amp;$A27&amp;"'!$B$1"),IF(VLOOKUP(G$1,INDIRECT("'"&amp;$A27&amp;"'!$A$12:$Z$19"),MATCH("Points (Auto-generate)",INDIRECT("'"&amp;$A27&amp;"'!$A$12:$Z$12"),0),0)="","?",VLOOKUP(G$1,INDIRECT("'"&amp;$A27&amp;"'!$A$12:$Z$19"),MATCH("Points (Auto-generate)",INDIRECT("'"&amp;$A27&amp;"'!$A$12:$Z$12"),0),0)),"ER"))</f>
        <v/>
      </c>
      <c r="H27">
        <f>IF($F27=0,"NA",IF($A27=INDIRECT("'"&amp;$A27&amp;"'!$B$1"),IF(VLOOKUP(H$1,INDIRECT("'"&amp;$A27&amp;"'!$A$12:$Z$19"),MATCH("Points (Auto-generate)",INDIRECT("'"&amp;$A27&amp;"'!$A$12:$Z$12"),0),0)="","?",VLOOKUP(H$1,INDIRECT("'"&amp;$A27&amp;"'!$A$12:$Z$19"),MATCH("Points (Auto-generate)",INDIRECT("'"&amp;$A27&amp;"'!$A$12:$Z$12"),0),0)),"ER"))</f>
        <v/>
      </c>
      <c r="I27">
        <f>IF($F27=0,"NA",IF($A27=INDIRECT("'"&amp;$A27&amp;"'!$B$1"),IF(VLOOKUP(I$1,INDIRECT("'"&amp;$A27&amp;"'!$A$12:$Z$19"),MATCH("Points (Auto-generate)",INDIRECT("'"&amp;$A27&amp;"'!$A$12:$Z$12"),0),0)="","?",VLOOKUP(I$1,INDIRECT("'"&amp;$A27&amp;"'!$A$12:$Z$19"),MATCH("Points (Auto-generate)",INDIRECT("'"&amp;$A27&amp;"'!$A$12:$Z$12"),0),0)),"ER"))</f>
        <v/>
      </c>
      <c r="J27">
        <f>IF($F27=0,"NA",IF($A27=INDIRECT("'"&amp;$A27&amp;"'!$B$1"),IF(VLOOKUP(J$1,INDIRECT("'"&amp;$A27&amp;"'!$A$12:$Z$19"),MATCH("Points (Auto-generate)",INDIRECT("'"&amp;$A27&amp;"'!$A$12:$Z$12"),0),0)="","?",VLOOKUP(J$1,INDIRECT("'"&amp;$A27&amp;"'!$A$12:$Z$19"),MATCH("Points (Auto-generate)",INDIRECT("'"&amp;$A27&amp;"'!$A$12:$Z$12"),0),0)),"ER"))</f>
        <v/>
      </c>
      <c r="K27">
        <f>IF($F27=0,"NA",IF($A27=INDIRECT("'"&amp;$A27&amp;"'!$B$1"),IF(VLOOKUP(K$1,INDIRECT("'"&amp;$A27&amp;"'!$A$12:$Z$19"),MATCH("Points (Auto-generate)",INDIRECT("'"&amp;$A27&amp;"'!$A$12:$Z$12"),0),0)="","?",VLOOKUP(K$1,INDIRECT("'"&amp;$A27&amp;"'!$A$12:$Z$19"),MATCH("Points (Auto-generate)",INDIRECT("'"&amp;$A27&amp;"'!$A$12:$Z$12"),0),0)),"ER"))</f>
        <v/>
      </c>
      <c r="L27">
        <f>IF($F27=0,"NA",IF($A27=INDIRECT("'"&amp;$A27&amp;"'!$B$1"),IF(VLOOKUP(L$1,INDIRECT("'"&amp;$A27&amp;"'!$A$12:$Z$19"),MATCH("Points (Auto-generate)",INDIRECT("'"&amp;$A27&amp;"'!$A$12:$Z$12"),0),0)="","?",VLOOKUP(L$1,INDIRECT("'"&amp;$A27&amp;"'!$A$12:$Z$19"),MATCH("Points (Auto-generate)",INDIRECT("'"&amp;$A27&amp;"'!$A$12:$Z$12"),0),0)),"ER"))</f>
        <v/>
      </c>
      <c r="M27">
        <f>IF($F27=0,"NA",IF($A27=INDIRECT("'"&amp;$A27&amp;"'!$B$1"),IF(VLOOKUP(M$1,INDIRECT("'"&amp;$A27&amp;"'!$A$12:$Z$19"),MATCH("Points (Auto-generate)",INDIRECT("'"&amp;$A27&amp;"'!$A$12:$Z$12"),0),0)="","?",VLOOKUP(M$1,INDIRECT("'"&amp;$A27&amp;"'!$A$12:$Z$19"),MATCH("Points (Auto-generate)",INDIRECT("'"&amp;$A27&amp;"'!$A$12:$Z$12"),0),0)),"ER"))</f>
        <v/>
      </c>
    </row>
    <row r="28">
      <c r="A28" t="inlineStr">
        <is>
          <t>DPG2b</t>
        </is>
      </c>
      <c r="B28">
        <f>VLOOKUP($A28,'PARASTATAL Questions'!$A:$J,3,0)&amp;""</f>
        <v/>
      </c>
      <c r="C28">
        <f>VLOOKUP($A28,'PARASTATAL Questions'!$A:$J,4,0)&amp;""</f>
        <v/>
      </c>
      <c r="D28">
        <f>VLOOKUP($A28,'PARASTATAL Questions'!$A:$J,5,0)&amp;""</f>
        <v/>
      </c>
      <c r="E28">
        <f>VLOOKUP($A28,'PARASTATAL Questions'!$A:$J,7,0)&amp;""</f>
        <v/>
      </c>
      <c r="F28">
        <f>VLOOKUP($A28,'PARASTATAL Questions'!$A:$J,6,0)</f>
        <v/>
      </c>
      <c r="G28">
        <f>IF($F28=0,"NA",IF($A28=INDIRECT("'"&amp;$A28&amp;"'!$B$1"),IF(VLOOKUP(G$1,INDIRECT("'"&amp;$A28&amp;"'!$A$12:$Z$19"),MATCH("Points (Auto-generate)",INDIRECT("'"&amp;$A28&amp;"'!$A$12:$Z$12"),0),0)="","?",VLOOKUP(G$1,INDIRECT("'"&amp;$A28&amp;"'!$A$12:$Z$19"),MATCH("Points (Auto-generate)",INDIRECT("'"&amp;$A28&amp;"'!$A$12:$Z$12"),0),0)),"ER"))</f>
        <v/>
      </c>
      <c r="H28">
        <f>IF($F28=0,"NA",IF($A28=INDIRECT("'"&amp;$A28&amp;"'!$B$1"),IF(VLOOKUP(H$1,INDIRECT("'"&amp;$A28&amp;"'!$A$12:$Z$19"),MATCH("Points (Auto-generate)",INDIRECT("'"&amp;$A28&amp;"'!$A$12:$Z$12"),0),0)="","?",VLOOKUP(H$1,INDIRECT("'"&amp;$A28&amp;"'!$A$12:$Z$19"),MATCH("Points (Auto-generate)",INDIRECT("'"&amp;$A28&amp;"'!$A$12:$Z$12"),0),0)),"ER"))</f>
        <v/>
      </c>
      <c r="I28">
        <f>IF($F28=0,"NA",IF($A28=INDIRECT("'"&amp;$A28&amp;"'!$B$1"),IF(VLOOKUP(I$1,INDIRECT("'"&amp;$A28&amp;"'!$A$12:$Z$19"),MATCH("Points (Auto-generate)",INDIRECT("'"&amp;$A28&amp;"'!$A$12:$Z$12"),0),0)="","?",VLOOKUP(I$1,INDIRECT("'"&amp;$A28&amp;"'!$A$12:$Z$19"),MATCH("Points (Auto-generate)",INDIRECT("'"&amp;$A28&amp;"'!$A$12:$Z$12"),0),0)),"ER"))</f>
        <v/>
      </c>
      <c r="J28">
        <f>IF($F28=0,"NA",IF($A28=INDIRECT("'"&amp;$A28&amp;"'!$B$1"),IF(VLOOKUP(J$1,INDIRECT("'"&amp;$A28&amp;"'!$A$12:$Z$19"),MATCH("Points (Auto-generate)",INDIRECT("'"&amp;$A28&amp;"'!$A$12:$Z$12"),0),0)="","?",VLOOKUP(J$1,INDIRECT("'"&amp;$A28&amp;"'!$A$12:$Z$19"),MATCH("Points (Auto-generate)",INDIRECT("'"&amp;$A28&amp;"'!$A$12:$Z$12"),0),0)),"ER"))</f>
        <v/>
      </c>
      <c r="K28">
        <f>IF($F28=0,"NA",IF($A28=INDIRECT("'"&amp;$A28&amp;"'!$B$1"),IF(VLOOKUP(K$1,INDIRECT("'"&amp;$A28&amp;"'!$A$12:$Z$19"),MATCH("Points (Auto-generate)",INDIRECT("'"&amp;$A28&amp;"'!$A$12:$Z$12"),0),0)="","?",VLOOKUP(K$1,INDIRECT("'"&amp;$A28&amp;"'!$A$12:$Z$19"),MATCH("Points (Auto-generate)",INDIRECT("'"&amp;$A28&amp;"'!$A$12:$Z$12"),0),0)),"ER"))</f>
        <v/>
      </c>
      <c r="L28">
        <f>IF($F28=0,"NA",IF($A28=INDIRECT("'"&amp;$A28&amp;"'!$B$1"),IF(VLOOKUP(L$1,INDIRECT("'"&amp;$A28&amp;"'!$A$12:$Z$19"),MATCH("Points (Auto-generate)",INDIRECT("'"&amp;$A28&amp;"'!$A$12:$Z$12"),0),0)="","?",VLOOKUP(L$1,INDIRECT("'"&amp;$A28&amp;"'!$A$12:$Z$19"),MATCH("Points (Auto-generate)",INDIRECT("'"&amp;$A28&amp;"'!$A$12:$Z$12"),0),0)),"ER"))</f>
        <v/>
      </c>
      <c r="M28">
        <f>IF($F28=0,"NA",IF($A28=INDIRECT("'"&amp;$A28&amp;"'!$B$1"),IF(VLOOKUP(M$1,INDIRECT("'"&amp;$A28&amp;"'!$A$12:$Z$19"),MATCH("Points (Auto-generate)",INDIRECT("'"&amp;$A28&amp;"'!$A$12:$Z$12"),0),0)="","?",VLOOKUP(M$1,INDIRECT("'"&amp;$A28&amp;"'!$A$12:$Z$19"),MATCH("Points (Auto-generate)",INDIRECT("'"&amp;$A28&amp;"'!$A$12:$Z$12"),0),0)),"ER"))</f>
        <v/>
      </c>
    </row>
    <row r="29">
      <c r="A29" s="4" t="inlineStr">
        <is>
          <t>DPG4</t>
        </is>
      </c>
      <c r="B29" s="4">
        <f>VLOOKUP($A29,'PARASTATAL Questions'!$A:$J,3,0)&amp;""</f>
        <v/>
      </c>
      <c r="C29" s="4">
        <f>VLOOKUP($A29,'PARASTATAL Questions'!$A:$J,4,0)&amp;""</f>
        <v/>
      </c>
      <c r="D29" s="4">
        <f>VLOOKUP($A29,'PARASTATAL Questions'!$A:$J,5,0)&amp;""</f>
        <v/>
      </c>
      <c r="E29" s="4">
        <f>VLOOKUP($A29,'PARASTATAL Questions'!$A:$J,7,0)&amp;""</f>
        <v/>
      </c>
      <c r="F29" s="4">
        <f>VLOOKUP($A29,'PARASTATAL Questions'!$A:$J,6,0)</f>
        <v/>
      </c>
      <c r="G29" s="4">
        <f>IF($F29=0,"NA",IF($A29=INDIRECT("'"&amp;$A29&amp;"'!$B$1"),IF(VLOOKUP(G$1,INDIRECT("'"&amp;$A29&amp;"'!$A$12:$Z$19"),MATCH("Points (Auto-generate)",INDIRECT("'"&amp;$A29&amp;"'!$A$12:$Z$12"),0),0)="","?",VLOOKUP(G$1,INDIRECT("'"&amp;$A29&amp;"'!$A$12:$Z$19"),MATCH("Points (Auto-generate)",INDIRECT("'"&amp;$A29&amp;"'!$A$12:$Z$12"),0),0)),"ER"))</f>
        <v/>
      </c>
      <c r="H29" s="4">
        <f>IF($F29=0,"NA",IF($A29=INDIRECT("'"&amp;$A29&amp;"'!$B$1"),IF(VLOOKUP(H$1,INDIRECT("'"&amp;$A29&amp;"'!$A$12:$Z$19"),MATCH("Points (Auto-generate)",INDIRECT("'"&amp;$A29&amp;"'!$A$12:$Z$12"),0),0)="","?",VLOOKUP(H$1,INDIRECT("'"&amp;$A29&amp;"'!$A$12:$Z$19"),MATCH("Points (Auto-generate)",INDIRECT("'"&amp;$A29&amp;"'!$A$12:$Z$12"),0),0)),"ER"))</f>
        <v/>
      </c>
      <c r="I29" s="4">
        <f>IF($F29=0,"NA",IF($A29=INDIRECT("'"&amp;$A29&amp;"'!$B$1"),IF(VLOOKUP(I$1,INDIRECT("'"&amp;$A29&amp;"'!$A$12:$Z$19"),MATCH("Points (Auto-generate)",INDIRECT("'"&amp;$A29&amp;"'!$A$12:$Z$12"),0),0)="","?",VLOOKUP(I$1,INDIRECT("'"&amp;$A29&amp;"'!$A$12:$Z$19"),MATCH("Points (Auto-generate)",INDIRECT("'"&amp;$A29&amp;"'!$A$12:$Z$12"),0),0)),"ER"))</f>
        <v/>
      </c>
      <c r="J29" s="4">
        <f>IF($F29=0,"NA",IF($A29=INDIRECT("'"&amp;$A29&amp;"'!$B$1"),IF(VLOOKUP(J$1,INDIRECT("'"&amp;$A29&amp;"'!$A$12:$Z$19"),MATCH("Points (Auto-generate)",INDIRECT("'"&amp;$A29&amp;"'!$A$12:$Z$12"),0),0)="","?",VLOOKUP(J$1,INDIRECT("'"&amp;$A29&amp;"'!$A$12:$Z$19"),MATCH("Points (Auto-generate)",INDIRECT("'"&amp;$A29&amp;"'!$A$12:$Z$12"),0),0)),"ER"))</f>
        <v/>
      </c>
      <c r="K29" s="4">
        <f>IF($F29=0,"NA",IF($A29=INDIRECT("'"&amp;$A29&amp;"'!$B$1"),IF(VLOOKUP(K$1,INDIRECT("'"&amp;$A29&amp;"'!$A$12:$Z$19"),MATCH("Points (Auto-generate)",INDIRECT("'"&amp;$A29&amp;"'!$A$12:$Z$12"),0),0)="","?",VLOOKUP(K$1,INDIRECT("'"&amp;$A29&amp;"'!$A$12:$Z$19"),MATCH("Points (Auto-generate)",INDIRECT("'"&amp;$A29&amp;"'!$A$12:$Z$12"),0),0)),"ER"))</f>
        <v/>
      </c>
      <c r="L29" s="4">
        <f>IF($F29=0,"NA",IF($A29=INDIRECT("'"&amp;$A29&amp;"'!$B$1"),IF(VLOOKUP(L$1,INDIRECT("'"&amp;$A29&amp;"'!$A$12:$Z$19"),MATCH("Points (Auto-generate)",INDIRECT("'"&amp;$A29&amp;"'!$A$12:$Z$12"),0),0)="","?",VLOOKUP(L$1,INDIRECT("'"&amp;$A29&amp;"'!$A$12:$Z$19"),MATCH("Points (Auto-generate)",INDIRECT("'"&amp;$A29&amp;"'!$A$12:$Z$12"),0),0)),"ER"))</f>
        <v/>
      </c>
      <c r="M29" s="4">
        <f>IF($F29=0,"NA",IF($A29=INDIRECT("'"&amp;$A29&amp;"'!$B$1"),IF(VLOOKUP(M$1,INDIRECT("'"&amp;$A29&amp;"'!$A$12:$Z$19"),MATCH("Points (Auto-generate)",INDIRECT("'"&amp;$A29&amp;"'!$A$12:$Z$12"),0),0)="","?",VLOOKUP(M$1,INDIRECT("'"&amp;$A29&amp;"'!$A$12:$Z$19"),MATCH("Points (Auto-generate)",INDIRECT("'"&amp;$A29&amp;"'!$A$12:$Z$12"),0),0)),"ER"))</f>
        <v/>
      </c>
    </row>
    <row r="30">
      <c r="A30" s="4" t="inlineStr">
        <is>
          <t>DPG5</t>
        </is>
      </c>
      <c r="B30" s="4">
        <f>VLOOKUP($A30,'PARASTATAL Questions'!$A:$J,3,0)&amp;""</f>
        <v/>
      </c>
      <c r="C30" s="4">
        <f>VLOOKUP($A30,'PARASTATAL Questions'!$A:$J,4,0)&amp;""</f>
        <v/>
      </c>
      <c r="D30" s="4">
        <f>VLOOKUP($A30,'PARASTATAL Questions'!$A:$J,5,0)&amp;""</f>
        <v/>
      </c>
      <c r="E30" s="4">
        <f>VLOOKUP($A30,'PARASTATAL Questions'!$A:$J,7,0)&amp;""</f>
        <v/>
      </c>
      <c r="F30" s="4">
        <f>VLOOKUP($A30,'PARASTATAL Questions'!$A:$J,6,0)</f>
        <v/>
      </c>
      <c r="G30" s="4">
        <f>IF(OR(G31="ER",G32="ER",G33="ER",G34="ER",G35="ER",G36="ER",G37="ER",G38="ER",G39="ER",G40="ER"),"ER",IF(OR(G31="?",G32="?",G33="?",G34="?",G35="?",G36="?",G37="?",G38="?",G39="?",G40="?"),"?",IF(AND(G31="NA",G32="NA",G33="NA",G34="NA",G35="NA",G36="NA",G37="NA",G38="NA",G39="NA",G40="NA"),"NA",SUM(G31,G32,G33,G34,G35,G36,G37,G38,G39,G40)/((G31&lt;&gt;"NA")*$F$31+(G32&lt;&gt;"NA")*$F$32+(G33&lt;&gt;"NA")*$F$33+(G34&lt;&gt;"NA")*$F$34+(G35&lt;&gt;"NA")*$F$35+(G36&lt;&gt;"NA")*$F$36+(G37&lt;&gt;"NA")*$F$37+(G38&lt;&gt;"NA")*$F$38+(G39&lt;&gt;"NA")*$F$39+(G40&lt;&gt;"NA")*$F$40)*$F30)))</f>
        <v/>
      </c>
      <c r="H30" s="4">
        <f>IF(OR(H31="ER",H32="ER",H33="ER",H34="ER",H35="ER",H36="ER",H37="ER",H38="ER",H39="ER",H40="ER"),"ER",IF(OR(H31="?",H32="?",H33="?",H34="?",H35="?",H36="?",H37="?",H38="?",H39="?",H40="?"),"?",IF(AND(H31="NA",H32="NA",H33="NA",H34="NA",H35="NA",H36="NA",H37="NA",H38="NA",H39="NA",H40="NA"),"NA",SUM(H31,H32,H33,H34,H35,H36,H37,H38,H39,H40)/((H31&lt;&gt;"NA")*$F$31+(H32&lt;&gt;"NA")*$F$32+(H33&lt;&gt;"NA")*$F$33+(H34&lt;&gt;"NA")*$F$34+(H35&lt;&gt;"NA")*$F$35+(H36&lt;&gt;"NA")*$F$36+(H37&lt;&gt;"NA")*$F$37+(H38&lt;&gt;"NA")*$F$38+(H39&lt;&gt;"NA")*$F$39+(H40&lt;&gt;"NA")*$F$40)*$F30)))</f>
        <v/>
      </c>
      <c r="I30" s="4">
        <f>IF(OR(I31="ER",I32="ER",I33="ER",I34="ER",I35="ER",I36="ER",I37="ER",I38="ER",I39="ER",I40="ER"),"ER",IF(OR(I31="?",I32="?",I33="?",I34="?",I35="?",I36="?",I37="?",I38="?",I39="?",I40="?"),"?",IF(AND(I31="NA",I32="NA",I33="NA",I34="NA",I35="NA",I36="NA",I37="NA",I38="NA",I39="NA",I40="NA"),"NA",SUM(I31,I32,I33,I34,I35,I36,I37,I38,I39,I40)/((I31&lt;&gt;"NA")*$F$31+(I32&lt;&gt;"NA")*$F$32+(I33&lt;&gt;"NA")*$F$33+(I34&lt;&gt;"NA")*$F$34+(I35&lt;&gt;"NA")*$F$35+(I36&lt;&gt;"NA")*$F$36+(I37&lt;&gt;"NA")*$F$37+(I38&lt;&gt;"NA")*$F$38+(I39&lt;&gt;"NA")*$F$39+(I40&lt;&gt;"NA")*$F$40)*$F30)))</f>
        <v/>
      </c>
      <c r="J30" s="4">
        <f>IF(OR(J31="ER",J32="ER",J33="ER",J34="ER",J35="ER",J36="ER",J37="ER",J38="ER",J39="ER",J40="ER"),"ER",IF(OR(J31="?",J32="?",J33="?",J34="?",J35="?",J36="?",J37="?",J38="?",J39="?",J40="?"),"?",IF(AND(J31="NA",J32="NA",J33="NA",J34="NA",J35="NA",J36="NA",J37="NA",J38="NA",J39="NA",J40="NA"),"NA",SUM(J31,J32,J33,J34,J35,J36,J37,J38,J39,J40)/((J31&lt;&gt;"NA")*$F$31+(J32&lt;&gt;"NA")*$F$32+(J33&lt;&gt;"NA")*$F$33+(J34&lt;&gt;"NA")*$F$34+(J35&lt;&gt;"NA")*$F$35+(J36&lt;&gt;"NA")*$F$36+(J37&lt;&gt;"NA")*$F$37+(J38&lt;&gt;"NA")*$F$38+(J39&lt;&gt;"NA")*$F$39+(J40&lt;&gt;"NA")*$F$40)*$F30)))</f>
        <v/>
      </c>
      <c r="K30" s="4">
        <f>IF(OR(K31="ER",K32="ER",K33="ER",K34="ER",K35="ER",K36="ER",K37="ER",K38="ER",K39="ER",K40="ER"),"ER",IF(OR(K31="?",K32="?",K33="?",K34="?",K35="?",K36="?",K37="?",K38="?",K39="?",K40="?"),"?",IF(AND(K31="NA",K32="NA",K33="NA",K34="NA",K35="NA",K36="NA",K37="NA",K38="NA",K39="NA",K40="NA"),"NA",SUM(K31,K32,K33,K34,K35,K36,K37,K38,K39,K40)/((K31&lt;&gt;"NA")*$F$31+(K32&lt;&gt;"NA")*$F$32+(K33&lt;&gt;"NA")*$F$33+(K34&lt;&gt;"NA")*$F$34+(K35&lt;&gt;"NA")*$F$35+(K36&lt;&gt;"NA")*$F$36+(K37&lt;&gt;"NA")*$F$37+(K38&lt;&gt;"NA")*$F$38+(K39&lt;&gt;"NA")*$F$39+(K40&lt;&gt;"NA")*$F$40)*$F30)))</f>
        <v/>
      </c>
      <c r="L30" s="4">
        <f>IF(OR(L31="ER",L32="ER",L33="ER",L34="ER",L35="ER",L36="ER",L37="ER",L38="ER",L39="ER",L40="ER"),"ER",IF(OR(L31="?",L32="?",L33="?",L34="?",L35="?",L36="?",L37="?",L38="?",L39="?",L40="?"),"?",IF(AND(L31="NA",L32="NA",L33="NA",L34="NA",L35="NA",L36="NA",L37="NA",L38="NA",L39="NA",L40="NA"),"NA",SUM(L31,L32,L33,L34,L35,L36,L37,L38,L39,L40)/((L31&lt;&gt;"NA")*$F$31+(L32&lt;&gt;"NA")*$F$32+(L33&lt;&gt;"NA")*$F$33+(L34&lt;&gt;"NA")*$F$34+(L35&lt;&gt;"NA")*$F$35+(L36&lt;&gt;"NA")*$F$36+(L37&lt;&gt;"NA")*$F$37+(L38&lt;&gt;"NA")*$F$38+(L39&lt;&gt;"NA")*$F$39+(L40&lt;&gt;"NA")*$F$40)*$F30)))</f>
        <v/>
      </c>
      <c r="M30" s="4">
        <f>IF(OR(M31="ER",M32="ER",M33="ER",M34="ER",M35="ER",M36="ER",M37="ER",M38="ER",M39="ER",M40="ER"),"ER",IF(OR(M31="?",M32="?",M33="?",M34="?",M35="?",M36="?",M37="?",M38="?",M39="?",M40="?"),"?",IF(AND(M31="NA",M32="NA",M33="NA",M34="NA",M35="NA",M36="NA",M37="NA",M38="NA",M39="NA",M40="NA"),"NA",SUM(M31,M32,M33,M34,M35,M36,M37,M38,M39,M40)/((M31&lt;&gt;"NA")*$F$31+(M32&lt;&gt;"NA")*$F$32+(M33&lt;&gt;"NA")*$F$33+(M34&lt;&gt;"NA")*$F$34+(M35&lt;&gt;"NA")*$F$35+(M36&lt;&gt;"NA")*$F$36+(M37&lt;&gt;"NA")*$F$37+(M38&lt;&gt;"NA")*$F$38+(M39&lt;&gt;"NA")*$F$39+(M40&lt;&gt;"NA")*$F$40)*$F30)))</f>
        <v/>
      </c>
    </row>
    <row r="31">
      <c r="A31" t="inlineStr">
        <is>
          <t>DPG5a</t>
        </is>
      </c>
      <c r="B31">
        <f>VLOOKUP($A31,'PARASTATAL Questions'!$A:$J,3,0)&amp;""</f>
        <v/>
      </c>
      <c r="C31">
        <f>VLOOKUP($A31,'PARASTATAL Questions'!$A:$J,4,0)&amp;""</f>
        <v/>
      </c>
      <c r="D31">
        <f>VLOOKUP($A31,'PARASTATAL Questions'!$A:$J,5,0)&amp;""</f>
        <v/>
      </c>
      <c r="E31">
        <f>VLOOKUP($A31,'PARASTATAL Questions'!$A:$J,7,0)&amp;""</f>
        <v/>
      </c>
      <c r="F31">
        <f>VLOOKUP($A31,'PARASTATAL Questions'!$A:$J,6,0)</f>
        <v/>
      </c>
      <c r="G31">
        <f>IF($F31=0,"NA",IF($A31=INDIRECT("'"&amp;$A31&amp;"'!$B$1"),IF(VLOOKUP(G$1,INDIRECT("'"&amp;$A31&amp;"'!$A$12:$Z$19"),MATCH("Points (Auto-generate)",INDIRECT("'"&amp;$A31&amp;"'!$A$12:$Z$12"),0),0)="","?",VLOOKUP(G$1,INDIRECT("'"&amp;$A31&amp;"'!$A$12:$Z$19"),MATCH("Points (Auto-generate)",INDIRECT("'"&amp;$A31&amp;"'!$A$12:$Z$12"),0),0)),"ER"))</f>
        <v/>
      </c>
      <c r="H31">
        <f>IF($F31=0,"NA",IF($A31=INDIRECT("'"&amp;$A31&amp;"'!$B$1"),IF(VLOOKUP(H$1,INDIRECT("'"&amp;$A31&amp;"'!$A$12:$Z$19"),MATCH("Points (Auto-generate)",INDIRECT("'"&amp;$A31&amp;"'!$A$12:$Z$12"),0),0)="","?",VLOOKUP(H$1,INDIRECT("'"&amp;$A31&amp;"'!$A$12:$Z$19"),MATCH("Points (Auto-generate)",INDIRECT("'"&amp;$A31&amp;"'!$A$12:$Z$12"),0),0)),"ER"))</f>
        <v/>
      </c>
      <c r="I31">
        <f>IF($F31=0,"NA",IF($A31=INDIRECT("'"&amp;$A31&amp;"'!$B$1"),IF(VLOOKUP(I$1,INDIRECT("'"&amp;$A31&amp;"'!$A$12:$Z$19"),MATCH("Points (Auto-generate)",INDIRECT("'"&amp;$A31&amp;"'!$A$12:$Z$12"),0),0)="","?",VLOOKUP(I$1,INDIRECT("'"&amp;$A31&amp;"'!$A$12:$Z$19"),MATCH("Points (Auto-generate)",INDIRECT("'"&amp;$A31&amp;"'!$A$12:$Z$12"),0),0)),"ER"))</f>
        <v/>
      </c>
      <c r="J31">
        <f>IF($F31=0,"NA",IF($A31=INDIRECT("'"&amp;$A31&amp;"'!$B$1"),IF(VLOOKUP(J$1,INDIRECT("'"&amp;$A31&amp;"'!$A$12:$Z$19"),MATCH("Points (Auto-generate)",INDIRECT("'"&amp;$A31&amp;"'!$A$12:$Z$12"),0),0)="","?",VLOOKUP(J$1,INDIRECT("'"&amp;$A31&amp;"'!$A$12:$Z$19"),MATCH("Points (Auto-generate)",INDIRECT("'"&amp;$A31&amp;"'!$A$12:$Z$12"),0),0)),"ER"))</f>
        <v/>
      </c>
      <c r="K31">
        <f>IF($F31=0,"NA",IF($A31=INDIRECT("'"&amp;$A31&amp;"'!$B$1"),IF(VLOOKUP(K$1,INDIRECT("'"&amp;$A31&amp;"'!$A$12:$Z$19"),MATCH("Points (Auto-generate)",INDIRECT("'"&amp;$A31&amp;"'!$A$12:$Z$12"),0),0)="","?",VLOOKUP(K$1,INDIRECT("'"&amp;$A31&amp;"'!$A$12:$Z$19"),MATCH("Points (Auto-generate)",INDIRECT("'"&amp;$A31&amp;"'!$A$12:$Z$12"),0),0)),"ER"))</f>
        <v/>
      </c>
      <c r="L31">
        <f>IF($F31=0,"NA",IF($A31=INDIRECT("'"&amp;$A31&amp;"'!$B$1"),IF(VLOOKUP(L$1,INDIRECT("'"&amp;$A31&amp;"'!$A$12:$Z$19"),MATCH("Points (Auto-generate)",INDIRECT("'"&amp;$A31&amp;"'!$A$12:$Z$12"),0),0)="","?",VLOOKUP(L$1,INDIRECT("'"&amp;$A31&amp;"'!$A$12:$Z$19"),MATCH("Points (Auto-generate)",INDIRECT("'"&amp;$A31&amp;"'!$A$12:$Z$12"),0),0)),"ER"))</f>
        <v/>
      </c>
      <c r="M31">
        <f>IF($F31=0,"NA",IF($A31=INDIRECT("'"&amp;$A31&amp;"'!$B$1"),IF(VLOOKUP(M$1,INDIRECT("'"&amp;$A31&amp;"'!$A$12:$Z$19"),MATCH("Points (Auto-generate)",INDIRECT("'"&amp;$A31&amp;"'!$A$12:$Z$12"),0),0)="","?",VLOOKUP(M$1,INDIRECT("'"&amp;$A31&amp;"'!$A$12:$Z$19"),MATCH("Points (Auto-generate)",INDIRECT("'"&amp;$A31&amp;"'!$A$12:$Z$12"),0),0)),"ER"))</f>
        <v/>
      </c>
    </row>
    <row r="32">
      <c r="A32" t="inlineStr">
        <is>
          <t>DPG5b</t>
        </is>
      </c>
      <c r="B32">
        <f>VLOOKUP($A32,'PARASTATAL Questions'!$A:$J,3,0)&amp;""</f>
        <v/>
      </c>
      <c r="C32">
        <f>VLOOKUP($A32,'PARASTATAL Questions'!$A:$J,4,0)&amp;""</f>
        <v/>
      </c>
      <c r="D32">
        <f>VLOOKUP($A32,'PARASTATAL Questions'!$A:$J,5,0)&amp;""</f>
        <v/>
      </c>
      <c r="E32">
        <f>VLOOKUP($A32,'PARASTATAL Questions'!$A:$J,7,0)&amp;""</f>
        <v/>
      </c>
      <c r="F32">
        <f>VLOOKUP($A32,'PARASTATAL Questions'!$A:$J,6,0)</f>
        <v/>
      </c>
      <c r="G32">
        <f>IF($F32=0,"NA",IF($A32=INDIRECT("'"&amp;$A32&amp;"'!$B$1"),IF(VLOOKUP(G$1,INDIRECT("'"&amp;$A32&amp;"'!$A$12:$Z$19"),MATCH("Points (Auto-generate)",INDIRECT("'"&amp;$A32&amp;"'!$A$12:$Z$12"),0),0)="","?",VLOOKUP(G$1,INDIRECT("'"&amp;$A32&amp;"'!$A$12:$Z$19"),MATCH("Points (Auto-generate)",INDIRECT("'"&amp;$A32&amp;"'!$A$12:$Z$12"),0),0)),"ER"))</f>
        <v/>
      </c>
      <c r="H32">
        <f>IF($F32=0,"NA",IF($A32=INDIRECT("'"&amp;$A32&amp;"'!$B$1"),IF(VLOOKUP(H$1,INDIRECT("'"&amp;$A32&amp;"'!$A$12:$Z$19"),MATCH("Points (Auto-generate)",INDIRECT("'"&amp;$A32&amp;"'!$A$12:$Z$12"),0),0)="","?",VLOOKUP(H$1,INDIRECT("'"&amp;$A32&amp;"'!$A$12:$Z$19"),MATCH("Points (Auto-generate)",INDIRECT("'"&amp;$A32&amp;"'!$A$12:$Z$12"),0),0)),"ER"))</f>
        <v/>
      </c>
      <c r="I32">
        <f>IF($F32=0,"NA",IF($A32=INDIRECT("'"&amp;$A32&amp;"'!$B$1"),IF(VLOOKUP(I$1,INDIRECT("'"&amp;$A32&amp;"'!$A$12:$Z$19"),MATCH("Points (Auto-generate)",INDIRECT("'"&amp;$A32&amp;"'!$A$12:$Z$12"),0),0)="","?",VLOOKUP(I$1,INDIRECT("'"&amp;$A32&amp;"'!$A$12:$Z$19"),MATCH("Points (Auto-generate)",INDIRECT("'"&amp;$A32&amp;"'!$A$12:$Z$12"),0),0)),"ER"))</f>
        <v/>
      </c>
      <c r="J32">
        <f>IF($F32=0,"NA",IF($A32=INDIRECT("'"&amp;$A32&amp;"'!$B$1"),IF(VLOOKUP(J$1,INDIRECT("'"&amp;$A32&amp;"'!$A$12:$Z$19"),MATCH("Points (Auto-generate)",INDIRECT("'"&amp;$A32&amp;"'!$A$12:$Z$12"),0),0)="","?",VLOOKUP(J$1,INDIRECT("'"&amp;$A32&amp;"'!$A$12:$Z$19"),MATCH("Points (Auto-generate)",INDIRECT("'"&amp;$A32&amp;"'!$A$12:$Z$12"),0),0)),"ER"))</f>
        <v/>
      </c>
      <c r="K32">
        <f>IF($F32=0,"NA",IF($A32=INDIRECT("'"&amp;$A32&amp;"'!$B$1"),IF(VLOOKUP(K$1,INDIRECT("'"&amp;$A32&amp;"'!$A$12:$Z$19"),MATCH("Points (Auto-generate)",INDIRECT("'"&amp;$A32&amp;"'!$A$12:$Z$12"),0),0)="","?",VLOOKUP(K$1,INDIRECT("'"&amp;$A32&amp;"'!$A$12:$Z$19"),MATCH("Points (Auto-generate)",INDIRECT("'"&amp;$A32&amp;"'!$A$12:$Z$12"),0),0)),"ER"))</f>
        <v/>
      </c>
      <c r="L32">
        <f>IF($F32=0,"NA",IF($A32=INDIRECT("'"&amp;$A32&amp;"'!$B$1"),IF(VLOOKUP(L$1,INDIRECT("'"&amp;$A32&amp;"'!$A$12:$Z$19"),MATCH("Points (Auto-generate)",INDIRECT("'"&amp;$A32&amp;"'!$A$12:$Z$12"),0),0)="","?",VLOOKUP(L$1,INDIRECT("'"&amp;$A32&amp;"'!$A$12:$Z$19"),MATCH("Points (Auto-generate)",INDIRECT("'"&amp;$A32&amp;"'!$A$12:$Z$12"),0),0)),"ER"))</f>
        <v/>
      </c>
      <c r="M32">
        <f>IF($F32=0,"NA",IF($A32=INDIRECT("'"&amp;$A32&amp;"'!$B$1"),IF(VLOOKUP(M$1,INDIRECT("'"&amp;$A32&amp;"'!$A$12:$Z$19"),MATCH("Points (Auto-generate)",INDIRECT("'"&amp;$A32&amp;"'!$A$12:$Z$12"),0),0)="","?",VLOOKUP(M$1,INDIRECT("'"&amp;$A32&amp;"'!$A$12:$Z$19"),MATCH("Points (Auto-generate)",INDIRECT("'"&amp;$A32&amp;"'!$A$12:$Z$12"),0),0)),"ER"))</f>
        <v/>
      </c>
    </row>
    <row r="33">
      <c r="A33" t="inlineStr">
        <is>
          <t>DPG5c</t>
        </is>
      </c>
      <c r="B33">
        <f>VLOOKUP($A33,'PARASTATAL Questions'!$A:$J,3,0)&amp;""</f>
        <v/>
      </c>
      <c r="C33">
        <f>VLOOKUP($A33,'PARASTATAL Questions'!$A:$J,4,0)&amp;""</f>
        <v/>
      </c>
      <c r="D33">
        <f>VLOOKUP($A33,'PARASTATAL Questions'!$A:$J,5,0)&amp;""</f>
        <v/>
      </c>
      <c r="E33">
        <f>VLOOKUP($A33,'PARASTATAL Questions'!$A:$J,7,0)&amp;""</f>
        <v/>
      </c>
      <c r="F33">
        <f>VLOOKUP($A33,'PARASTATAL Questions'!$A:$J,6,0)</f>
        <v/>
      </c>
      <c r="G33">
        <f>IF($F33=0,"NA",IF($A33=INDIRECT("'"&amp;$A33&amp;"'!$B$1"),IF(VLOOKUP(G$1,INDIRECT("'"&amp;$A33&amp;"'!$A$12:$Z$19"),MATCH("Points (Auto-generate)",INDIRECT("'"&amp;$A33&amp;"'!$A$12:$Z$12"),0),0)="","?",VLOOKUP(G$1,INDIRECT("'"&amp;$A33&amp;"'!$A$12:$Z$19"),MATCH("Points (Auto-generate)",INDIRECT("'"&amp;$A33&amp;"'!$A$12:$Z$12"),0),0)),"ER"))</f>
        <v/>
      </c>
      <c r="H33">
        <f>IF($F33=0,"NA",IF($A33=INDIRECT("'"&amp;$A33&amp;"'!$B$1"),IF(VLOOKUP(H$1,INDIRECT("'"&amp;$A33&amp;"'!$A$12:$Z$19"),MATCH("Points (Auto-generate)",INDIRECT("'"&amp;$A33&amp;"'!$A$12:$Z$12"),0),0)="","?",VLOOKUP(H$1,INDIRECT("'"&amp;$A33&amp;"'!$A$12:$Z$19"),MATCH("Points (Auto-generate)",INDIRECT("'"&amp;$A33&amp;"'!$A$12:$Z$12"),0),0)),"ER"))</f>
        <v/>
      </c>
      <c r="I33">
        <f>IF($F33=0,"NA",IF($A33=INDIRECT("'"&amp;$A33&amp;"'!$B$1"),IF(VLOOKUP(I$1,INDIRECT("'"&amp;$A33&amp;"'!$A$12:$Z$19"),MATCH("Points (Auto-generate)",INDIRECT("'"&amp;$A33&amp;"'!$A$12:$Z$12"),0),0)="","?",VLOOKUP(I$1,INDIRECT("'"&amp;$A33&amp;"'!$A$12:$Z$19"),MATCH("Points (Auto-generate)",INDIRECT("'"&amp;$A33&amp;"'!$A$12:$Z$12"),0),0)),"ER"))</f>
        <v/>
      </c>
      <c r="J33">
        <f>IF($F33=0,"NA",IF($A33=INDIRECT("'"&amp;$A33&amp;"'!$B$1"),IF(VLOOKUP(J$1,INDIRECT("'"&amp;$A33&amp;"'!$A$12:$Z$19"),MATCH("Points (Auto-generate)",INDIRECT("'"&amp;$A33&amp;"'!$A$12:$Z$12"),0),0)="","?",VLOOKUP(J$1,INDIRECT("'"&amp;$A33&amp;"'!$A$12:$Z$19"),MATCH("Points (Auto-generate)",INDIRECT("'"&amp;$A33&amp;"'!$A$12:$Z$12"),0),0)),"ER"))</f>
        <v/>
      </c>
      <c r="K33">
        <f>IF($F33=0,"NA",IF($A33=INDIRECT("'"&amp;$A33&amp;"'!$B$1"),IF(VLOOKUP(K$1,INDIRECT("'"&amp;$A33&amp;"'!$A$12:$Z$19"),MATCH("Points (Auto-generate)",INDIRECT("'"&amp;$A33&amp;"'!$A$12:$Z$12"),0),0)="","?",VLOOKUP(K$1,INDIRECT("'"&amp;$A33&amp;"'!$A$12:$Z$19"),MATCH("Points (Auto-generate)",INDIRECT("'"&amp;$A33&amp;"'!$A$12:$Z$12"),0),0)),"ER"))</f>
        <v/>
      </c>
      <c r="L33">
        <f>IF($F33=0,"NA",IF($A33=INDIRECT("'"&amp;$A33&amp;"'!$B$1"),IF(VLOOKUP(L$1,INDIRECT("'"&amp;$A33&amp;"'!$A$12:$Z$19"),MATCH("Points (Auto-generate)",INDIRECT("'"&amp;$A33&amp;"'!$A$12:$Z$12"),0),0)="","?",VLOOKUP(L$1,INDIRECT("'"&amp;$A33&amp;"'!$A$12:$Z$19"),MATCH("Points (Auto-generate)",INDIRECT("'"&amp;$A33&amp;"'!$A$12:$Z$12"),0),0)),"ER"))</f>
        <v/>
      </c>
      <c r="M33">
        <f>IF($F33=0,"NA",IF($A33=INDIRECT("'"&amp;$A33&amp;"'!$B$1"),IF(VLOOKUP(M$1,INDIRECT("'"&amp;$A33&amp;"'!$A$12:$Z$19"),MATCH("Points (Auto-generate)",INDIRECT("'"&amp;$A33&amp;"'!$A$12:$Z$12"),0),0)="","?",VLOOKUP(M$1,INDIRECT("'"&amp;$A33&amp;"'!$A$12:$Z$19"),MATCH("Points (Auto-generate)",INDIRECT("'"&amp;$A33&amp;"'!$A$12:$Z$12"),0),0)),"ER"))</f>
        <v/>
      </c>
    </row>
    <row r="34">
      <c r="A34" t="inlineStr">
        <is>
          <t>DPG5d</t>
        </is>
      </c>
      <c r="B34">
        <f>VLOOKUP($A34,'PARASTATAL Questions'!$A:$J,3,0)&amp;""</f>
        <v/>
      </c>
      <c r="C34">
        <f>VLOOKUP($A34,'PARASTATAL Questions'!$A:$J,4,0)&amp;""</f>
        <v/>
      </c>
      <c r="D34">
        <f>VLOOKUP($A34,'PARASTATAL Questions'!$A:$J,5,0)&amp;""</f>
        <v/>
      </c>
      <c r="E34">
        <f>VLOOKUP($A34,'PARASTATAL Questions'!$A:$J,7,0)&amp;""</f>
        <v/>
      </c>
      <c r="F34">
        <f>VLOOKUP($A34,'PARASTATAL Questions'!$A:$J,6,0)</f>
        <v/>
      </c>
      <c r="G34">
        <f>IF($F34=0,"NA",IF($A34=INDIRECT("'"&amp;$A34&amp;"'!$B$1"),IF(VLOOKUP(G$1,INDIRECT("'"&amp;$A34&amp;"'!$A$12:$Z$19"),MATCH("Points (Auto-generate)",INDIRECT("'"&amp;$A34&amp;"'!$A$12:$Z$12"),0),0)="","?",VLOOKUP(G$1,INDIRECT("'"&amp;$A34&amp;"'!$A$12:$Z$19"),MATCH("Points (Auto-generate)",INDIRECT("'"&amp;$A34&amp;"'!$A$12:$Z$12"),0),0)),"ER"))</f>
        <v/>
      </c>
      <c r="H34">
        <f>IF($F34=0,"NA",IF($A34=INDIRECT("'"&amp;$A34&amp;"'!$B$1"),IF(VLOOKUP(H$1,INDIRECT("'"&amp;$A34&amp;"'!$A$12:$Z$19"),MATCH("Points (Auto-generate)",INDIRECT("'"&amp;$A34&amp;"'!$A$12:$Z$12"),0),0)="","?",VLOOKUP(H$1,INDIRECT("'"&amp;$A34&amp;"'!$A$12:$Z$19"),MATCH("Points (Auto-generate)",INDIRECT("'"&amp;$A34&amp;"'!$A$12:$Z$12"),0),0)),"ER"))</f>
        <v/>
      </c>
      <c r="I34">
        <f>IF($F34=0,"NA",IF($A34=INDIRECT("'"&amp;$A34&amp;"'!$B$1"),IF(VLOOKUP(I$1,INDIRECT("'"&amp;$A34&amp;"'!$A$12:$Z$19"),MATCH("Points (Auto-generate)",INDIRECT("'"&amp;$A34&amp;"'!$A$12:$Z$12"),0),0)="","?",VLOOKUP(I$1,INDIRECT("'"&amp;$A34&amp;"'!$A$12:$Z$19"),MATCH("Points (Auto-generate)",INDIRECT("'"&amp;$A34&amp;"'!$A$12:$Z$12"),0),0)),"ER"))</f>
        <v/>
      </c>
      <c r="J34">
        <f>IF($F34=0,"NA",IF($A34=INDIRECT("'"&amp;$A34&amp;"'!$B$1"),IF(VLOOKUP(J$1,INDIRECT("'"&amp;$A34&amp;"'!$A$12:$Z$19"),MATCH("Points (Auto-generate)",INDIRECT("'"&amp;$A34&amp;"'!$A$12:$Z$12"),0),0)="","?",VLOOKUP(J$1,INDIRECT("'"&amp;$A34&amp;"'!$A$12:$Z$19"),MATCH("Points (Auto-generate)",INDIRECT("'"&amp;$A34&amp;"'!$A$12:$Z$12"),0),0)),"ER"))</f>
        <v/>
      </c>
      <c r="K34">
        <f>IF($F34=0,"NA",IF($A34=INDIRECT("'"&amp;$A34&amp;"'!$B$1"),IF(VLOOKUP(K$1,INDIRECT("'"&amp;$A34&amp;"'!$A$12:$Z$19"),MATCH("Points (Auto-generate)",INDIRECT("'"&amp;$A34&amp;"'!$A$12:$Z$12"),0),0)="","?",VLOOKUP(K$1,INDIRECT("'"&amp;$A34&amp;"'!$A$12:$Z$19"),MATCH("Points (Auto-generate)",INDIRECT("'"&amp;$A34&amp;"'!$A$12:$Z$12"),0),0)),"ER"))</f>
        <v/>
      </c>
      <c r="L34">
        <f>IF($F34=0,"NA",IF($A34=INDIRECT("'"&amp;$A34&amp;"'!$B$1"),IF(VLOOKUP(L$1,INDIRECT("'"&amp;$A34&amp;"'!$A$12:$Z$19"),MATCH("Points (Auto-generate)",INDIRECT("'"&amp;$A34&amp;"'!$A$12:$Z$12"),0),0)="","?",VLOOKUP(L$1,INDIRECT("'"&amp;$A34&amp;"'!$A$12:$Z$19"),MATCH("Points (Auto-generate)",INDIRECT("'"&amp;$A34&amp;"'!$A$12:$Z$12"),0),0)),"ER"))</f>
        <v/>
      </c>
      <c r="M34">
        <f>IF($F34=0,"NA",IF($A34=INDIRECT("'"&amp;$A34&amp;"'!$B$1"),IF(VLOOKUP(M$1,INDIRECT("'"&amp;$A34&amp;"'!$A$12:$Z$19"),MATCH("Points (Auto-generate)",INDIRECT("'"&amp;$A34&amp;"'!$A$12:$Z$12"),0),0)="","?",VLOOKUP(M$1,INDIRECT("'"&amp;$A34&amp;"'!$A$12:$Z$19"),MATCH("Points (Auto-generate)",INDIRECT("'"&amp;$A34&amp;"'!$A$12:$Z$12"),0),0)),"ER"))</f>
        <v/>
      </c>
    </row>
    <row r="35">
      <c r="A35" t="inlineStr">
        <is>
          <t>DPG5f</t>
        </is>
      </c>
      <c r="B35">
        <f>VLOOKUP($A35,'PARASTATAL Questions'!$A:$J,3,0)&amp;""</f>
        <v/>
      </c>
      <c r="C35">
        <f>VLOOKUP($A35,'PARASTATAL Questions'!$A:$J,4,0)&amp;""</f>
        <v/>
      </c>
      <c r="D35">
        <f>VLOOKUP($A35,'PARASTATAL Questions'!$A:$J,5,0)&amp;""</f>
        <v/>
      </c>
      <c r="E35">
        <f>VLOOKUP($A35,'PARASTATAL Questions'!$A:$J,7,0)&amp;""</f>
        <v/>
      </c>
      <c r="F35">
        <f>VLOOKUP($A35,'PARASTATAL Questions'!$A:$J,6,0)</f>
        <v/>
      </c>
      <c r="G35">
        <f>IF($F35=0,"NA",IF($A35=INDIRECT("'"&amp;$A35&amp;"'!$B$1"),IF(VLOOKUP(G$1,INDIRECT("'"&amp;$A35&amp;"'!$A$12:$Z$19"),MATCH("Points (Auto-generate)",INDIRECT("'"&amp;$A35&amp;"'!$A$12:$Z$12"),0),0)="","?",VLOOKUP(G$1,INDIRECT("'"&amp;$A35&amp;"'!$A$12:$Z$19"),MATCH("Points (Auto-generate)",INDIRECT("'"&amp;$A35&amp;"'!$A$12:$Z$12"),0),0)),"ER"))</f>
        <v/>
      </c>
      <c r="H35">
        <f>IF($F35=0,"NA",IF($A35=INDIRECT("'"&amp;$A35&amp;"'!$B$1"),IF(VLOOKUP(H$1,INDIRECT("'"&amp;$A35&amp;"'!$A$12:$Z$19"),MATCH("Points (Auto-generate)",INDIRECT("'"&amp;$A35&amp;"'!$A$12:$Z$12"),0),0)="","?",VLOOKUP(H$1,INDIRECT("'"&amp;$A35&amp;"'!$A$12:$Z$19"),MATCH("Points (Auto-generate)",INDIRECT("'"&amp;$A35&amp;"'!$A$12:$Z$12"),0),0)),"ER"))</f>
        <v/>
      </c>
      <c r="I35">
        <f>IF($F35=0,"NA",IF($A35=INDIRECT("'"&amp;$A35&amp;"'!$B$1"),IF(VLOOKUP(I$1,INDIRECT("'"&amp;$A35&amp;"'!$A$12:$Z$19"),MATCH("Points (Auto-generate)",INDIRECT("'"&amp;$A35&amp;"'!$A$12:$Z$12"),0),0)="","?",VLOOKUP(I$1,INDIRECT("'"&amp;$A35&amp;"'!$A$12:$Z$19"),MATCH("Points (Auto-generate)",INDIRECT("'"&amp;$A35&amp;"'!$A$12:$Z$12"),0),0)),"ER"))</f>
        <v/>
      </c>
      <c r="J35">
        <f>IF($F35=0,"NA",IF($A35=INDIRECT("'"&amp;$A35&amp;"'!$B$1"),IF(VLOOKUP(J$1,INDIRECT("'"&amp;$A35&amp;"'!$A$12:$Z$19"),MATCH("Points (Auto-generate)",INDIRECT("'"&amp;$A35&amp;"'!$A$12:$Z$12"),0),0)="","?",VLOOKUP(J$1,INDIRECT("'"&amp;$A35&amp;"'!$A$12:$Z$19"),MATCH("Points (Auto-generate)",INDIRECT("'"&amp;$A35&amp;"'!$A$12:$Z$12"),0),0)),"ER"))</f>
        <v/>
      </c>
      <c r="K35">
        <f>IF($F35=0,"NA",IF($A35=INDIRECT("'"&amp;$A35&amp;"'!$B$1"),IF(VLOOKUP(K$1,INDIRECT("'"&amp;$A35&amp;"'!$A$12:$Z$19"),MATCH("Points (Auto-generate)",INDIRECT("'"&amp;$A35&amp;"'!$A$12:$Z$12"),0),0)="","?",VLOOKUP(K$1,INDIRECT("'"&amp;$A35&amp;"'!$A$12:$Z$19"),MATCH("Points (Auto-generate)",INDIRECT("'"&amp;$A35&amp;"'!$A$12:$Z$12"),0),0)),"ER"))</f>
        <v/>
      </c>
      <c r="L35">
        <f>IF($F35=0,"NA",IF($A35=INDIRECT("'"&amp;$A35&amp;"'!$B$1"),IF(VLOOKUP(L$1,INDIRECT("'"&amp;$A35&amp;"'!$A$12:$Z$19"),MATCH("Points (Auto-generate)",INDIRECT("'"&amp;$A35&amp;"'!$A$12:$Z$12"),0),0)="","?",VLOOKUP(L$1,INDIRECT("'"&amp;$A35&amp;"'!$A$12:$Z$19"),MATCH("Points (Auto-generate)",INDIRECT("'"&amp;$A35&amp;"'!$A$12:$Z$12"),0),0)),"ER"))</f>
        <v/>
      </c>
      <c r="M35">
        <f>IF($F35=0,"NA",IF($A35=INDIRECT("'"&amp;$A35&amp;"'!$B$1"),IF(VLOOKUP(M$1,INDIRECT("'"&amp;$A35&amp;"'!$A$12:$Z$19"),MATCH("Points (Auto-generate)",INDIRECT("'"&amp;$A35&amp;"'!$A$12:$Z$12"),0),0)="","?",VLOOKUP(M$1,INDIRECT("'"&amp;$A35&amp;"'!$A$12:$Z$19"),MATCH("Points (Auto-generate)",INDIRECT("'"&amp;$A35&amp;"'!$A$12:$Z$12"),0),0)),"ER"))</f>
        <v/>
      </c>
    </row>
    <row r="36">
      <c r="A36" t="inlineStr">
        <is>
          <t>DPG5g</t>
        </is>
      </c>
      <c r="B36">
        <f>VLOOKUP($A36,'PARASTATAL Questions'!$A:$J,3,0)&amp;""</f>
        <v/>
      </c>
      <c r="C36">
        <f>VLOOKUP($A36,'PARASTATAL Questions'!$A:$J,4,0)&amp;""</f>
        <v/>
      </c>
      <c r="D36">
        <f>VLOOKUP($A36,'PARASTATAL Questions'!$A:$J,5,0)&amp;""</f>
        <v/>
      </c>
      <c r="E36">
        <f>VLOOKUP($A36,'PARASTATAL Questions'!$A:$J,7,0)&amp;""</f>
        <v/>
      </c>
      <c r="F36">
        <f>VLOOKUP($A36,'PARASTATAL Questions'!$A:$J,6,0)</f>
        <v/>
      </c>
      <c r="G36">
        <f>IF($F36=0,"NA",IF($A36=INDIRECT("'"&amp;$A36&amp;"'!$B$1"),IF(VLOOKUP(G$1,INDIRECT("'"&amp;$A36&amp;"'!$A$12:$Z$19"),MATCH("Points (Auto-generate)",INDIRECT("'"&amp;$A36&amp;"'!$A$12:$Z$12"),0),0)="","?",VLOOKUP(G$1,INDIRECT("'"&amp;$A36&amp;"'!$A$12:$Z$19"),MATCH("Points (Auto-generate)",INDIRECT("'"&amp;$A36&amp;"'!$A$12:$Z$12"),0),0)),"ER"))</f>
        <v/>
      </c>
      <c r="H36">
        <f>IF($F36=0,"NA",IF($A36=INDIRECT("'"&amp;$A36&amp;"'!$B$1"),IF(VLOOKUP(H$1,INDIRECT("'"&amp;$A36&amp;"'!$A$12:$Z$19"),MATCH("Points (Auto-generate)",INDIRECT("'"&amp;$A36&amp;"'!$A$12:$Z$12"),0),0)="","?",VLOOKUP(H$1,INDIRECT("'"&amp;$A36&amp;"'!$A$12:$Z$19"),MATCH("Points (Auto-generate)",INDIRECT("'"&amp;$A36&amp;"'!$A$12:$Z$12"),0),0)),"ER"))</f>
        <v/>
      </c>
      <c r="I36">
        <f>IF($F36=0,"NA",IF($A36=INDIRECT("'"&amp;$A36&amp;"'!$B$1"),IF(VLOOKUP(I$1,INDIRECT("'"&amp;$A36&amp;"'!$A$12:$Z$19"),MATCH("Points (Auto-generate)",INDIRECT("'"&amp;$A36&amp;"'!$A$12:$Z$12"),0),0)="","?",VLOOKUP(I$1,INDIRECT("'"&amp;$A36&amp;"'!$A$12:$Z$19"),MATCH("Points (Auto-generate)",INDIRECT("'"&amp;$A36&amp;"'!$A$12:$Z$12"),0),0)),"ER"))</f>
        <v/>
      </c>
      <c r="J36">
        <f>IF($F36=0,"NA",IF($A36=INDIRECT("'"&amp;$A36&amp;"'!$B$1"),IF(VLOOKUP(J$1,INDIRECT("'"&amp;$A36&amp;"'!$A$12:$Z$19"),MATCH("Points (Auto-generate)",INDIRECT("'"&amp;$A36&amp;"'!$A$12:$Z$12"),0),0)="","?",VLOOKUP(J$1,INDIRECT("'"&amp;$A36&amp;"'!$A$12:$Z$19"),MATCH("Points (Auto-generate)",INDIRECT("'"&amp;$A36&amp;"'!$A$12:$Z$12"),0),0)),"ER"))</f>
        <v/>
      </c>
      <c r="K36">
        <f>IF($F36=0,"NA",IF($A36=INDIRECT("'"&amp;$A36&amp;"'!$B$1"),IF(VLOOKUP(K$1,INDIRECT("'"&amp;$A36&amp;"'!$A$12:$Z$19"),MATCH("Points (Auto-generate)",INDIRECT("'"&amp;$A36&amp;"'!$A$12:$Z$12"),0),0)="","?",VLOOKUP(K$1,INDIRECT("'"&amp;$A36&amp;"'!$A$12:$Z$19"),MATCH("Points (Auto-generate)",INDIRECT("'"&amp;$A36&amp;"'!$A$12:$Z$12"),0),0)),"ER"))</f>
        <v/>
      </c>
      <c r="L36">
        <f>IF($F36=0,"NA",IF($A36=INDIRECT("'"&amp;$A36&amp;"'!$B$1"),IF(VLOOKUP(L$1,INDIRECT("'"&amp;$A36&amp;"'!$A$12:$Z$19"),MATCH("Points (Auto-generate)",INDIRECT("'"&amp;$A36&amp;"'!$A$12:$Z$12"),0),0)="","?",VLOOKUP(L$1,INDIRECT("'"&amp;$A36&amp;"'!$A$12:$Z$19"),MATCH("Points (Auto-generate)",INDIRECT("'"&amp;$A36&amp;"'!$A$12:$Z$12"),0),0)),"ER"))</f>
        <v/>
      </c>
      <c r="M36">
        <f>IF($F36=0,"NA",IF($A36=INDIRECT("'"&amp;$A36&amp;"'!$B$1"),IF(VLOOKUP(M$1,INDIRECT("'"&amp;$A36&amp;"'!$A$12:$Z$19"),MATCH("Points (Auto-generate)",INDIRECT("'"&amp;$A36&amp;"'!$A$12:$Z$12"),0),0)="","?",VLOOKUP(M$1,INDIRECT("'"&amp;$A36&amp;"'!$A$12:$Z$19"),MATCH("Points (Auto-generate)",INDIRECT("'"&amp;$A36&amp;"'!$A$12:$Z$12"),0),0)),"ER"))</f>
        <v/>
      </c>
    </row>
    <row r="37">
      <c r="A37" t="inlineStr">
        <is>
          <t>DPG5h</t>
        </is>
      </c>
      <c r="B37">
        <f>VLOOKUP($A37,'PARASTATAL Questions'!$A:$J,3,0)&amp;""</f>
        <v/>
      </c>
      <c r="C37">
        <f>VLOOKUP($A37,'PARASTATAL Questions'!$A:$J,4,0)&amp;""</f>
        <v/>
      </c>
      <c r="D37">
        <f>VLOOKUP($A37,'PARASTATAL Questions'!$A:$J,5,0)&amp;""</f>
        <v/>
      </c>
      <c r="E37">
        <f>VLOOKUP($A37,'PARASTATAL Questions'!$A:$J,7,0)&amp;""</f>
        <v/>
      </c>
      <c r="F37">
        <f>VLOOKUP($A37,'PARASTATAL Questions'!$A:$J,6,0)</f>
        <v/>
      </c>
      <c r="G37">
        <f>IF($F37=0,"NA",IF($A37=INDIRECT("'"&amp;$A37&amp;"'!$B$1"),IF(VLOOKUP(G$1,INDIRECT("'"&amp;$A37&amp;"'!$A$12:$Z$19"),MATCH("Points (Auto-generate)",INDIRECT("'"&amp;$A37&amp;"'!$A$12:$Z$12"),0),0)="","?",VLOOKUP(G$1,INDIRECT("'"&amp;$A37&amp;"'!$A$12:$Z$19"),MATCH("Points (Auto-generate)",INDIRECT("'"&amp;$A37&amp;"'!$A$12:$Z$12"),0),0)),"ER"))</f>
        <v/>
      </c>
      <c r="H37">
        <f>IF($F37=0,"NA",IF($A37=INDIRECT("'"&amp;$A37&amp;"'!$B$1"),IF(VLOOKUP(H$1,INDIRECT("'"&amp;$A37&amp;"'!$A$12:$Z$19"),MATCH("Points (Auto-generate)",INDIRECT("'"&amp;$A37&amp;"'!$A$12:$Z$12"),0),0)="","?",VLOOKUP(H$1,INDIRECT("'"&amp;$A37&amp;"'!$A$12:$Z$19"),MATCH("Points (Auto-generate)",INDIRECT("'"&amp;$A37&amp;"'!$A$12:$Z$12"),0),0)),"ER"))</f>
        <v/>
      </c>
      <c r="I37">
        <f>IF($F37=0,"NA",IF($A37=INDIRECT("'"&amp;$A37&amp;"'!$B$1"),IF(VLOOKUP(I$1,INDIRECT("'"&amp;$A37&amp;"'!$A$12:$Z$19"),MATCH("Points (Auto-generate)",INDIRECT("'"&amp;$A37&amp;"'!$A$12:$Z$12"),0),0)="","?",VLOOKUP(I$1,INDIRECT("'"&amp;$A37&amp;"'!$A$12:$Z$19"),MATCH("Points (Auto-generate)",INDIRECT("'"&amp;$A37&amp;"'!$A$12:$Z$12"),0),0)),"ER"))</f>
        <v/>
      </c>
      <c r="J37">
        <f>IF($F37=0,"NA",IF($A37=INDIRECT("'"&amp;$A37&amp;"'!$B$1"),IF(VLOOKUP(J$1,INDIRECT("'"&amp;$A37&amp;"'!$A$12:$Z$19"),MATCH("Points (Auto-generate)",INDIRECT("'"&amp;$A37&amp;"'!$A$12:$Z$12"),0),0)="","?",VLOOKUP(J$1,INDIRECT("'"&amp;$A37&amp;"'!$A$12:$Z$19"),MATCH("Points (Auto-generate)",INDIRECT("'"&amp;$A37&amp;"'!$A$12:$Z$12"),0),0)),"ER"))</f>
        <v/>
      </c>
      <c r="K37">
        <f>IF($F37=0,"NA",IF($A37=INDIRECT("'"&amp;$A37&amp;"'!$B$1"),IF(VLOOKUP(K$1,INDIRECT("'"&amp;$A37&amp;"'!$A$12:$Z$19"),MATCH("Points (Auto-generate)",INDIRECT("'"&amp;$A37&amp;"'!$A$12:$Z$12"),0),0)="","?",VLOOKUP(K$1,INDIRECT("'"&amp;$A37&amp;"'!$A$12:$Z$19"),MATCH("Points (Auto-generate)",INDIRECT("'"&amp;$A37&amp;"'!$A$12:$Z$12"),0),0)),"ER"))</f>
        <v/>
      </c>
      <c r="L37">
        <f>IF($F37=0,"NA",IF($A37=INDIRECT("'"&amp;$A37&amp;"'!$B$1"),IF(VLOOKUP(L$1,INDIRECT("'"&amp;$A37&amp;"'!$A$12:$Z$19"),MATCH("Points (Auto-generate)",INDIRECT("'"&amp;$A37&amp;"'!$A$12:$Z$12"),0),0)="","?",VLOOKUP(L$1,INDIRECT("'"&amp;$A37&amp;"'!$A$12:$Z$19"),MATCH("Points (Auto-generate)",INDIRECT("'"&amp;$A37&amp;"'!$A$12:$Z$12"),0),0)),"ER"))</f>
        <v/>
      </c>
      <c r="M37">
        <f>IF($F37=0,"NA",IF($A37=INDIRECT("'"&amp;$A37&amp;"'!$B$1"),IF(VLOOKUP(M$1,INDIRECT("'"&amp;$A37&amp;"'!$A$12:$Z$19"),MATCH("Points (Auto-generate)",INDIRECT("'"&amp;$A37&amp;"'!$A$12:$Z$12"),0),0)="","?",VLOOKUP(M$1,INDIRECT("'"&amp;$A37&amp;"'!$A$12:$Z$19"),MATCH("Points (Auto-generate)",INDIRECT("'"&amp;$A37&amp;"'!$A$12:$Z$12"),0),0)),"ER"))</f>
        <v/>
      </c>
    </row>
    <row r="38">
      <c r="A38" t="inlineStr">
        <is>
          <t>DPG5i</t>
        </is>
      </c>
      <c r="B38">
        <f>VLOOKUP($A38,'PARASTATAL Questions'!$A:$J,3,0)&amp;""</f>
        <v/>
      </c>
      <c r="C38">
        <f>VLOOKUP($A38,'PARASTATAL Questions'!$A:$J,4,0)&amp;""</f>
        <v/>
      </c>
      <c r="D38">
        <f>VLOOKUP($A38,'PARASTATAL Questions'!$A:$J,5,0)&amp;""</f>
        <v/>
      </c>
      <c r="E38">
        <f>VLOOKUP($A38,'PARASTATAL Questions'!$A:$J,7,0)&amp;""</f>
        <v/>
      </c>
      <c r="F38">
        <f>VLOOKUP($A38,'PARASTATAL Questions'!$A:$J,6,0)</f>
        <v/>
      </c>
      <c r="G38">
        <f>IF($F38=0,"NA",IF($A38=INDIRECT("'"&amp;$A38&amp;"'!$B$1"),IF(VLOOKUP(G$1,INDIRECT("'"&amp;$A38&amp;"'!$A$12:$Z$19"),MATCH("Points (Auto-generate)",INDIRECT("'"&amp;$A38&amp;"'!$A$12:$Z$12"),0),0)="","?",VLOOKUP(G$1,INDIRECT("'"&amp;$A38&amp;"'!$A$12:$Z$19"),MATCH("Points (Auto-generate)",INDIRECT("'"&amp;$A38&amp;"'!$A$12:$Z$12"),0),0)),"ER"))</f>
        <v/>
      </c>
      <c r="H38">
        <f>IF($F38=0,"NA",IF($A38=INDIRECT("'"&amp;$A38&amp;"'!$B$1"),IF(VLOOKUP(H$1,INDIRECT("'"&amp;$A38&amp;"'!$A$12:$Z$19"),MATCH("Points (Auto-generate)",INDIRECT("'"&amp;$A38&amp;"'!$A$12:$Z$12"),0),0)="","?",VLOOKUP(H$1,INDIRECT("'"&amp;$A38&amp;"'!$A$12:$Z$19"),MATCH("Points (Auto-generate)",INDIRECT("'"&amp;$A38&amp;"'!$A$12:$Z$12"),0),0)),"ER"))</f>
        <v/>
      </c>
      <c r="I38">
        <f>IF($F38=0,"NA",IF($A38=INDIRECT("'"&amp;$A38&amp;"'!$B$1"),IF(VLOOKUP(I$1,INDIRECT("'"&amp;$A38&amp;"'!$A$12:$Z$19"),MATCH("Points (Auto-generate)",INDIRECT("'"&amp;$A38&amp;"'!$A$12:$Z$12"),0),0)="","?",VLOOKUP(I$1,INDIRECT("'"&amp;$A38&amp;"'!$A$12:$Z$19"),MATCH("Points (Auto-generate)",INDIRECT("'"&amp;$A38&amp;"'!$A$12:$Z$12"),0),0)),"ER"))</f>
        <v/>
      </c>
      <c r="J38">
        <f>IF($F38=0,"NA",IF($A38=INDIRECT("'"&amp;$A38&amp;"'!$B$1"),IF(VLOOKUP(J$1,INDIRECT("'"&amp;$A38&amp;"'!$A$12:$Z$19"),MATCH("Points (Auto-generate)",INDIRECT("'"&amp;$A38&amp;"'!$A$12:$Z$12"),0),0)="","?",VLOOKUP(J$1,INDIRECT("'"&amp;$A38&amp;"'!$A$12:$Z$19"),MATCH("Points (Auto-generate)",INDIRECT("'"&amp;$A38&amp;"'!$A$12:$Z$12"),0),0)),"ER"))</f>
        <v/>
      </c>
      <c r="K38">
        <f>IF($F38=0,"NA",IF($A38=INDIRECT("'"&amp;$A38&amp;"'!$B$1"),IF(VLOOKUP(K$1,INDIRECT("'"&amp;$A38&amp;"'!$A$12:$Z$19"),MATCH("Points (Auto-generate)",INDIRECT("'"&amp;$A38&amp;"'!$A$12:$Z$12"),0),0)="","?",VLOOKUP(K$1,INDIRECT("'"&amp;$A38&amp;"'!$A$12:$Z$19"),MATCH("Points (Auto-generate)",INDIRECT("'"&amp;$A38&amp;"'!$A$12:$Z$12"),0),0)),"ER"))</f>
        <v/>
      </c>
      <c r="L38">
        <f>IF($F38=0,"NA",IF($A38=INDIRECT("'"&amp;$A38&amp;"'!$B$1"),IF(VLOOKUP(L$1,INDIRECT("'"&amp;$A38&amp;"'!$A$12:$Z$19"),MATCH("Points (Auto-generate)",INDIRECT("'"&amp;$A38&amp;"'!$A$12:$Z$12"),0),0)="","?",VLOOKUP(L$1,INDIRECT("'"&amp;$A38&amp;"'!$A$12:$Z$19"),MATCH("Points (Auto-generate)",INDIRECT("'"&amp;$A38&amp;"'!$A$12:$Z$12"),0),0)),"ER"))</f>
        <v/>
      </c>
      <c r="M38">
        <f>IF($F38=0,"NA",IF($A38=INDIRECT("'"&amp;$A38&amp;"'!$B$1"),IF(VLOOKUP(M$1,INDIRECT("'"&amp;$A38&amp;"'!$A$12:$Z$19"),MATCH("Points (Auto-generate)",INDIRECT("'"&amp;$A38&amp;"'!$A$12:$Z$12"),0),0)="","?",VLOOKUP(M$1,INDIRECT("'"&amp;$A38&amp;"'!$A$12:$Z$19"),MATCH("Points (Auto-generate)",INDIRECT("'"&amp;$A38&amp;"'!$A$12:$Z$12"),0),0)),"ER"))</f>
        <v/>
      </c>
    </row>
    <row r="39">
      <c r="A39" t="inlineStr">
        <is>
          <t>DPG5j</t>
        </is>
      </c>
      <c r="B39">
        <f>VLOOKUP($A39,'PARASTATAL Questions'!$A:$J,3,0)&amp;""</f>
        <v/>
      </c>
      <c r="C39">
        <f>VLOOKUP($A39,'PARASTATAL Questions'!$A:$J,4,0)&amp;""</f>
        <v/>
      </c>
      <c r="D39">
        <f>VLOOKUP($A39,'PARASTATAL Questions'!$A:$J,5,0)&amp;""</f>
        <v/>
      </c>
      <c r="E39">
        <f>VLOOKUP($A39,'PARASTATAL Questions'!$A:$J,7,0)&amp;""</f>
        <v/>
      </c>
      <c r="F39">
        <f>VLOOKUP($A39,'PARASTATAL Questions'!$A:$J,6,0)</f>
        <v/>
      </c>
      <c r="G39">
        <f>IF($F39=0,"NA",IF($A39=INDIRECT("'"&amp;$A39&amp;"'!$B$1"),IF(VLOOKUP(G$1,INDIRECT("'"&amp;$A39&amp;"'!$A$12:$Z$19"),MATCH("Points (Auto-generate)",INDIRECT("'"&amp;$A39&amp;"'!$A$12:$Z$12"),0),0)="","?",VLOOKUP(G$1,INDIRECT("'"&amp;$A39&amp;"'!$A$12:$Z$19"),MATCH("Points (Auto-generate)",INDIRECT("'"&amp;$A39&amp;"'!$A$12:$Z$12"),0),0)),"ER"))</f>
        <v/>
      </c>
      <c r="H39">
        <f>IF($F39=0,"NA",IF($A39=INDIRECT("'"&amp;$A39&amp;"'!$B$1"),IF(VLOOKUP(H$1,INDIRECT("'"&amp;$A39&amp;"'!$A$12:$Z$19"),MATCH("Points (Auto-generate)",INDIRECT("'"&amp;$A39&amp;"'!$A$12:$Z$12"),0),0)="","?",VLOOKUP(H$1,INDIRECT("'"&amp;$A39&amp;"'!$A$12:$Z$19"),MATCH("Points (Auto-generate)",INDIRECT("'"&amp;$A39&amp;"'!$A$12:$Z$12"),0),0)),"ER"))</f>
        <v/>
      </c>
      <c r="I39">
        <f>IF($F39=0,"NA",IF($A39=INDIRECT("'"&amp;$A39&amp;"'!$B$1"),IF(VLOOKUP(I$1,INDIRECT("'"&amp;$A39&amp;"'!$A$12:$Z$19"),MATCH("Points (Auto-generate)",INDIRECT("'"&amp;$A39&amp;"'!$A$12:$Z$12"),0),0)="","?",VLOOKUP(I$1,INDIRECT("'"&amp;$A39&amp;"'!$A$12:$Z$19"),MATCH("Points (Auto-generate)",INDIRECT("'"&amp;$A39&amp;"'!$A$12:$Z$12"),0),0)),"ER"))</f>
        <v/>
      </c>
      <c r="J39">
        <f>IF($F39=0,"NA",IF($A39=INDIRECT("'"&amp;$A39&amp;"'!$B$1"),IF(VLOOKUP(J$1,INDIRECT("'"&amp;$A39&amp;"'!$A$12:$Z$19"),MATCH("Points (Auto-generate)",INDIRECT("'"&amp;$A39&amp;"'!$A$12:$Z$12"),0),0)="","?",VLOOKUP(J$1,INDIRECT("'"&amp;$A39&amp;"'!$A$12:$Z$19"),MATCH("Points (Auto-generate)",INDIRECT("'"&amp;$A39&amp;"'!$A$12:$Z$12"),0),0)),"ER"))</f>
        <v/>
      </c>
      <c r="K39">
        <f>IF($F39=0,"NA",IF($A39=INDIRECT("'"&amp;$A39&amp;"'!$B$1"),IF(VLOOKUP(K$1,INDIRECT("'"&amp;$A39&amp;"'!$A$12:$Z$19"),MATCH("Points (Auto-generate)",INDIRECT("'"&amp;$A39&amp;"'!$A$12:$Z$12"),0),0)="","?",VLOOKUP(K$1,INDIRECT("'"&amp;$A39&amp;"'!$A$12:$Z$19"),MATCH("Points (Auto-generate)",INDIRECT("'"&amp;$A39&amp;"'!$A$12:$Z$12"),0),0)),"ER"))</f>
        <v/>
      </c>
      <c r="L39">
        <f>IF($F39=0,"NA",IF($A39=INDIRECT("'"&amp;$A39&amp;"'!$B$1"),IF(VLOOKUP(L$1,INDIRECT("'"&amp;$A39&amp;"'!$A$12:$Z$19"),MATCH("Points (Auto-generate)",INDIRECT("'"&amp;$A39&amp;"'!$A$12:$Z$12"),0),0)="","?",VLOOKUP(L$1,INDIRECT("'"&amp;$A39&amp;"'!$A$12:$Z$19"),MATCH("Points (Auto-generate)",INDIRECT("'"&amp;$A39&amp;"'!$A$12:$Z$12"),0),0)),"ER"))</f>
        <v/>
      </c>
      <c r="M39">
        <f>IF($F39=0,"NA",IF($A39=INDIRECT("'"&amp;$A39&amp;"'!$B$1"),IF(VLOOKUP(M$1,INDIRECT("'"&amp;$A39&amp;"'!$A$12:$Z$19"),MATCH("Points (Auto-generate)",INDIRECT("'"&amp;$A39&amp;"'!$A$12:$Z$12"),0),0)="","?",VLOOKUP(M$1,INDIRECT("'"&amp;$A39&amp;"'!$A$12:$Z$19"),MATCH("Points (Auto-generate)",INDIRECT("'"&amp;$A39&amp;"'!$A$12:$Z$12"),0),0)),"ER"))</f>
        <v/>
      </c>
    </row>
    <row r="40">
      <c r="A40" t="inlineStr">
        <is>
          <t>DPG5k</t>
        </is>
      </c>
      <c r="B40">
        <f>VLOOKUP($A40,'PARASTATAL Questions'!$A:$J,3,0)&amp;""</f>
        <v/>
      </c>
      <c r="C40">
        <f>VLOOKUP($A40,'PARASTATAL Questions'!$A:$J,4,0)&amp;""</f>
        <v/>
      </c>
      <c r="D40">
        <f>VLOOKUP($A40,'PARASTATAL Questions'!$A:$J,5,0)&amp;""</f>
        <v/>
      </c>
      <c r="E40">
        <f>VLOOKUP($A40,'PARASTATAL Questions'!$A:$J,7,0)&amp;""</f>
        <v/>
      </c>
      <c r="F40">
        <f>VLOOKUP($A40,'PARASTATAL Questions'!$A:$J,6,0)</f>
        <v/>
      </c>
      <c r="G40">
        <f>IF($F40=0,"NA",IF($A40=INDIRECT("'"&amp;$A40&amp;"'!$B$1"),IF(VLOOKUP(G$1,INDIRECT("'"&amp;$A40&amp;"'!$A$12:$Z$19"),MATCH("Points (Auto-generate)",INDIRECT("'"&amp;$A40&amp;"'!$A$12:$Z$12"),0),0)="","?",VLOOKUP(G$1,INDIRECT("'"&amp;$A40&amp;"'!$A$12:$Z$19"),MATCH("Points (Auto-generate)",INDIRECT("'"&amp;$A40&amp;"'!$A$12:$Z$12"),0),0)),"ER"))</f>
        <v/>
      </c>
      <c r="H40">
        <f>IF($F40=0,"NA",IF($A40=INDIRECT("'"&amp;$A40&amp;"'!$B$1"),IF(VLOOKUP(H$1,INDIRECT("'"&amp;$A40&amp;"'!$A$12:$Z$19"),MATCH("Points (Auto-generate)",INDIRECT("'"&amp;$A40&amp;"'!$A$12:$Z$12"),0),0)="","?",VLOOKUP(H$1,INDIRECT("'"&amp;$A40&amp;"'!$A$12:$Z$19"),MATCH("Points (Auto-generate)",INDIRECT("'"&amp;$A40&amp;"'!$A$12:$Z$12"),0),0)),"ER"))</f>
        <v/>
      </c>
      <c r="I40">
        <f>IF($F40=0,"NA",IF($A40=INDIRECT("'"&amp;$A40&amp;"'!$B$1"),IF(VLOOKUP(I$1,INDIRECT("'"&amp;$A40&amp;"'!$A$12:$Z$19"),MATCH("Points (Auto-generate)",INDIRECT("'"&amp;$A40&amp;"'!$A$12:$Z$12"),0),0)="","?",VLOOKUP(I$1,INDIRECT("'"&amp;$A40&amp;"'!$A$12:$Z$19"),MATCH("Points (Auto-generate)",INDIRECT("'"&amp;$A40&amp;"'!$A$12:$Z$12"),0),0)),"ER"))</f>
        <v/>
      </c>
      <c r="J40">
        <f>IF($F40=0,"NA",IF($A40=INDIRECT("'"&amp;$A40&amp;"'!$B$1"),IF(VLOOKUP(J$1,INDIRECT("'"&amp;$A40&amp;"'!$A$12:$Z$19"),MATCH("Points (Auto-generate)",INDIRECT("'"&amp;$A40&amp;"'!$A$12:$Z$12"),0),0)="","?",VLOOKUP(J$1,INDIRECT("'"&amp;$A40&amp;"'!$A$12:$Z$19"),MATCH("Points (Auto-generate)",INDIRECT("'"&amp;$A40&amp;"'!$A$12:$Z$12"),0),0)),"ER"))</f>
        <v/>
      </c>
      <c r="K40">
        <f>IF($F40=0,"NA",IF($A40=INDIRECT("'"&amp;$A40&amp;"'!$B$1"),IF(VLOOKUP(K$1,INDIRECT("'"&amp;$A40&amp;"'!$A$12:$Z$19"),MATCH("Points (Auto-generate)",INDIRECT("'"&amp;$A40&amp;"'!$A$12:$Z$12"),0),0)="","?",VLOOKUP(K$1,INDIRECT("'"&amp;$A40&amp;"'!$A$12:$Z$19"),MATCH("Points (Auto-generate)",INDIRECT("'"&amp;$A40&amp;"'!$A$12:$Z$12"),0),0)),"ER"))</f>
        <v/>
      </c>
      <c r="L40">
        <f>IF($F40=0,"NA",IF($A40=INDIRECT("'"&amp;$A40&amp;"'!$B$1"),IF(VLOOKUP(L$1,INDIRECT("'"&amp;$A40&amp;"'!$A$12:$Z$19"),MATCH("Points (Auto-generate)",INDIRECT("'"&amp;$A40&amp;"'!$A$12:$Z$12"),0),0)="","?",VLOOKUP(L$1,INDIRECT("'"&amp;$A40&amp;"'!$A$12:$Z$19"),MATCH("Points (Auto-generate)",INDIRECT("'"&amp;$A40&amp;"'!$A$12:$Z$12"),0),0)),"ER"))</f>
        <v/>
      </c>
      <c r="M40">
        <f>IF($F40=0,"NA",IF($A40=INDIRECT("'"&amp;$A40&amp;"'!$B$1"),IF(VLOOKUP(M$1,INDIRECT("'"&amp;$A40&amp;"'!$A$12:$Z$19"),MATCH("Points (Auto-generate)",INDIRECT("'"&amp;$A40&amp;"'!$A$12:$Z$12"),0),0)="","?",VLOOKUP(M$1,INDIRECT("'"&amp;$A40&amp;"'!$A$12:$Z$19"),MATCH("Points (Auto-generate)",INDIRECT("'"&amp;$A40&amp;"'!$A$12:$Z$12"),0),0)),"ER"))</f>
        <v/>
      </c>
    </row>
    <row r="41">
      <c r="A41" s="4" t="inlineStr">
        <is>
          <t>DPG6</t>
        </is>
      </c>
      <c r="B41" s="4">
        <f>VLOOKUP($A41,'PARASTATAL Questions'!$A:$J,3,0)&amp;""</f>
        <v/>
      </c>
      <c r="C41" s="4">
        <f>VLOOKUP($A41,'PARASTATAL Questions'!$A:$J,4,0)&amp;""</f>
        <v/>
      </c>
      <c r="D41" s="4">
        <f>VLOOKUP($A41,'PARASTATAL Questions'!$A:$J,5,0)&amp;""</f>
        <v/>
      </c>
      <c r="E41" s="4">
        <f>VLOOKUP($A41,'PARASTATAL Questions'!$A:$J,7,0)&amp;""</f>
        <v/>
      </c>
      <c r="F41" s="4">
        <f>VLOOKUP($A41,'PARASTATAL Questions'!$A:$J,6,0)</f>
        <v/>
      </c>
      <c r="G41" s="4">
        <f>IF(OR(G42="ER",G43="ER"),"ER",IF(OR(G42="?",G43="?"),"?",IF(AND(G42="NA",G43="NA"),"NA",SUM(G42,G43)/((G42&lt;&gt;"NA")*$F$42+(G43&lt;&gt;"NA")*$F$43)*$F41)))</f>
        <v/>
      </c>
      <c r="H41" s="4">
        <f>IF(OR(H42="ER",H43="ER"),"ER",IF(OR(H42="?",H43="?"),"?",IF(AND(H42="NA",H43="NA"),"NA",SUM(H42,H43)/((H42&lt;&gt;"NA")*$F$42+(H43&lt;&gt;"NA")*$F$43)*$F41)))</f>
        <v/>
      </c>
      <c r="I41" s="4">
        <f>IF(OR(I42="ER",I43="ER"),"ER",IF(OR(I42="?",I43="?"),"?",IF(AND(I42="NA",I43="NA"),"NA",SUM(I42,I43)/((I42&lt;&gt;"NA")*$F$42+(I43&lt;&gt;"NA")*$F$43)*$F41)))</f>
        <v/>
      </c>
      <c r="J41" s="4">
        <f>IF(OR(J42="ER",J43="ER"),"ER",IF(OR(J42="?",J43="?"),"?",IF(AND(J42="NA",J43="NA"),"NA",SUM(J42,J43)/((J42&lt;&gt;"NA")*$F$42+(J43&lt;&gt;"NA")*$F$43)*$F41)))</f>
        <v/>
      </c>
      <c r="K41" s="4">
        <f>IF(OR(K42="ER",K43="ER"),"ER",IF(OR(K42="?",K43="?"),"?",IF(AND(K42="NA",K43="NA"),"NA",SUM(K42,K43)/((K42&lt;&gt;"NA")*$F$42+(K43&lt;&gt;"NA")*$F$43)*$F41)))</f>
        <v/>
      </c>
      <c r="L41" s="4">
        <f>IF(OR(L42="ER",L43="ER"),"ER",IF(OR(L42="?",L43="?"),"?",IF(AND(L42="NA",L43="NA"),"NA",SUM(L42,L43)/((L42&lt;&gt;"NA")*$F$42+(L43&lt;&gt;"NA")*$F$43)*$F41)))</f>
        <v/>
      </c>
      <c r="M41" s="4">
        <f>IF(OR(M42="ER",M43="ER"),"ER",IF(OR(M42="?",M43="?"),"?",IF(AND(M42="NA",M43="NA"),"NA",SUM(M42,M43)/((M42&lt;&gt;"NA")*$F$42+(M43&lt;&gt;"NA")*$F$43)*$F41)))</f>
        <v/>
      </c>
    </row>
    <row r="42">
      <c r="A42" t="inlineStr">
        <is>
          <t>DPG6a</t>
        </is>
      </c>
      <c r="B42">
        <f>VLOOKUP($A42,'PARASTATAL Questions'!$A:$J,3,0)&amp;""</f>
        <v/>
      </c>
      <c r="C42">
        <f>VLOOKUP($A42,'PARASTATAL Questions'!$A:$J,4,0)&amp;""</f>
        <v/>
      </c>
      <c r="D42">
        <f>VLOOKUP($A42,'PARASTATAL Questions'!$A:$J,5,0)&amp;""</f>
        <v/>
      </c>
      <c r="E42">
        <f>VLOOKUP($A42,'PARASTATAL Questions'!$A:$J,7,0)&amp;""</f>
        <v/>
      </c>
      <c r="F42">
        <f>VLOOKUP($A42,'PARASTATAL Questions'!$A:$J,6,0)</f>
        <v/>
      </c>
      <c r="G42">
        <f>IF($F42=0,"NA",IF($A42=INDIRECT("'"&amp;$A42&amp;"'!$B$1"),IF(VLOOKUP(G$1,INDIRECT("'"&amp;$A42&amp;"'!$A$12:$Z$19"),MATCH("Points (Auto-generate)",INDIRECT("'"&amp;$A42&amp;"'!$A$12:$Z$12"),0),0)="","?",VLOOKUP(G$1,INDIRECT("'"&amp;$A42&amp;"'!$A$12:$Z$19"),MATCH("Points (Auto-generate)",INDIRECT("'"&amp;$A42&amp;"'!$A$12:$Z$12"),0),0)),"ER"))</f>
        <v/>
      </c>
      <c r="H42">
        <f>IF($F42=0,"NA",IF($A42=INDIRECT("'"&amp;$A42&amp;"'!$B$1"),IF(VLOOKUP(H$1,INDIRECT("'"&amp;$A42&amp;"'!$A$12:$Z$19"),MATCH("Points (Auto-generate)",INDIRECT("'"&amp;$A42&amp;"'!$A$12:$Z$12"),0),0)="","?",VLOOKUP(H$1,INDIRECT("'"&amp;$A42&amp;"'!$A$12:$Z$19"),MATCH("Points (Auto-generate)",INDIRECT("'"&amp;$A42&amp;"'!$A$12:$Z$12"),0),0)),"ER"))</f>
        <v/>
      </c>
      <c r="I42">
        <f>IF($F42=0,"NA",IF($A42=INDIRECT("'"&amp;$A42&amp;"'!$B$1"),IF(VLOOKUP(I$1,INDIRECT("'"&amp;$A42&amp;"'!$A$12:$Z$19"),MATCH("Points (Auto-generate)",INDIRECT("'"&amp;$A42&amp;"'!$A$12:$Z$12"),0),0)="","?",VLOOKUP(I$1,INDIRECT("'"&amp;$A42&amp;"'!$A$12:$Z$19"),MATCH("Points (Auto-generate)",INDIRECT("'"&amp;$A42&amp;"'!$A$12:$Z$12"),0),0)),"ER"))</f>
        <v/>
      </c>
      <c r="J42">
        <f>IF($F42=0,"NA",IF($A42=INDIRECT("'"&amp;$A42&amp;"'!$B$1"),IF(VLOOKUP(J$1,INDIRECT("'"&amp;$A42&amp;"'!$A$12:$Z$19"),MATCH("Points (Auto-generate)",INDIRECT("'"&amp;$A42&amp;"'!$A$12:$Z$12"),0),0)="","?",VLOOKUP(J$1,INDIRECT("'"&amp;$A42&amp;"'!$A$12:$Z$19"),MATCH("Points (Auto-generate)",INDIRECT("'"&amp;$A42&amp;"'!$A$12:$Z$12"),0),0)),"ER"))</f>
        <v/>
      </c>
      <c r="K42">
        <f>IF($F42=0,"NA",IF($A42=INDIRECT("'"&amp;$A42&amp;"'!$B$1"),IF(VLOOKUP(K$1,INDIRECT("'"&amp;$A42&amp;"'!$A$12:$Z$19"),MATCH("Points (Auto-generate)",INDIRECT("'"&amp;$A42&amp;"'!$A$12:$Z$12"),0),0)="","?",VLOOKUP(K$1,INDIRECT("'"&amp;$A42&amp;"'!$A$12:$Z$19"),MATCH("Points (Auto-generate)",INDIRECT("'"&amp;$A42&amp;"'!$A$12:$Z$12"),0),0)),"ER"))</f>
        <v/>
      </c>
      <c r="L42">
        <f>IF($F42=0,"NA",IF($A42=INDIRECT("'"&amp;$A42&amp;"'!$B$1"),IF(VLOOKUP(L$1,INDIRECT("'"&amp;$A42&amp;"'!$A$12:$Z$19"),MATCH("Points (Auto-generate)",INDIRECT("'"&amp;$A42&amp;"'!$A$12:$Z$12"),0),0)="","?",VLOOKUP(L$1,INDIRECT("'"&amp;$A42&amp;"'!$A$12:$Z$19"),MATCH("Points (Auto-generate)",INDIRECT("'"&amp;$A42&amp;"'!$A$12:$Z$12"),0),0)),"ER"))</f>
        <v/>
      </c>
      <c r="M42">
        <f>IF($F42=0,"NA",IF($A42=INDIRECT("'"&amp;$A42&amp;"'!$B$1"),IF(VLOOKUP(M$1,INDIRECT("'"&amp;$A42&amp;"'!$A$12:$Z$19"),MATCH("Points (Auto-generate)",INDIRECT("'"&amp;$A42&amp;"'!$A$12:$Z$12"),0),0)="","?",VLOOKUP(M$1,INDIRECT("'"&amp;$A42&amp;"'!$A$12:$Z$19"),MATCH("Points (Auto-generate)",INDIRECT("'"&amp;$A42&amp;"'!$A$12:$Z$12"),0),0)),"ER"))</f>
        <v/>
      </c>
    </row>
    <row r="43">
      <c r="A43" t="inlineStr">
        <is>
          <t>DPG6b</t>
        </is>
      </c>
      <c r="B43">
        <f>VLOOKUP($A43,'PARASTATAL Questions'!$A:$J,3,0)&amp;""</f>
        <v/>
      </c>
      <c r="C43">
        <f>VLOOKUP($A43,'PARASTATAL Questions'!$A:$J,4,0)&amp;""</f>
        <v/>
      </c>
      <c r="D43">
        <f>VLOOKUP($A43,'PARASTATAL Questions'!$A:$J,5,0)&amp;""</f>
        <v/>
      </c>
      <c r="E43">
        <f>VLOOKUP($A43,'PARASTATAL Questions'!$A:$J,7,0)&amp;""</f>
        <v/>
      </c>
      <c r="F43">
        <f>VLOOKUP($A43,'PARASTATAL Questions'!$A:$J,6,0)</f>
        <v/>
      </c>
      <c r="G43">
        <f>IF($F43=0,"NA",IF($A43=INDIRECT("'"&amp;$A43&amp;"'!$B$1"),IF(VLOOKUP(G$1,INDIRECT("'"&amp;$A43&amp;"'!$A$12:$Z$19"),MATCH("Points (Auto-generate)",INDIRECT("'"&amp;$A43&amp;"'!$A$12:$Z$12"),0),0)="","?",VLOOKUP(G$1,INDIRECT("'"&amp;$A43&amp;"'!$A$12:$Z$19"),MATCH("Points (Auto-generate)",INDIRECT("'"&amp;$A43&amp;"'!$A$12:$Z$12"),0),0)),"ER"))</f>
        <v/>
      </c>
      <c r="H43">
        <f>IF($F43=0,"NA",IF($A43=INDIRECT("'"&amp;$A43&amp;"'!$B$1"),IF(VLOOKUP(H$1,INDIRECT("'"&amp;$A43&amp;"'!$A$12:$Z$19"),MATCH("Points (Auto-generate)",INDIRECT("'"&amp;$A43&amp;"'!$A$12:$Z$12"),0),0)="","?",VLOOKUP(H$1,INDIRECT("'"&amp;$A43&amp;"'!$A$12:$Z$19"),MATCH("Points (Auto-generate)",INDIRECT("'"&amp;$A43&amp;"'!$A$12:$Z$12"),0),0)),"ER"))</f>
        <v/>
      </c>
      <c r="I43">
        <f>IF($F43=0,"NA",IF($A43=INDIRECT("'"&amp;$A43&amp;"'!$B$1"),IF(VLOOKUP(I$1,INDIRECT("'"&amp;$A43&amp;"'!$A$12:$Z$19"),MATCH("Points (Auto-generate)",INDIRECT("'"&amp;$A43&amp;"'!$A$12:$Z$12"),0),0)="","?",VLOOKUP(I$1,INDIRECT("'"&amp;$A43&amp;"'!$A$12:$Z$19"),MATCH("Points (Auto-generate)",INDIRECT("'"&amp;$A43&amp;"'!$A$12:$Z$12"),0),0)),"ER"))</f>
        <v/>
      </c>
      <c r="J43">
        <f>IF($F43=0,"NA",IF($A43=INDIRECT("'"&amp;$A43&amp;"'!$B$1"),IF(VLOOKUP(J$1,INDIRECT("'"&amp;$A43&amp;"'!$A$12:$Z$19"),MATCH("Points (Auto-generate)",INDIRECT("'"&amp;$A43&amp;"'!$A$12:$Z$12"),0),0)="","?",VLOOKUP(J$1,INDIRECT("'"&amp;$A43&amp;"'!$A$12:$Z$19"),MATCH("Points (Auto-generate)",INDIRECT("'"&amp;$A43&amp;"'!$A$12:$Z$12"),0),0)),"ER"))</f>
        <v/>
      </c>
      <c r="K43">
        <f>IF($F43=0,"NA",IF($A43=INDIRECT("'"&amp;$A43&amp;"'!$B$1"),IF(VLOOKUP(K$1,INDIRECT("'"&amp;$A43&amp;"'!$A$12:$Z$19"),MATCH("Points (Auto-generate)",INDIRECT("'"&amp;$A43&amp;"'!$A$12:$Z$12"),0),0)="","?",VLOOKUP(K$1,INDIRECT("'"&amp;$A43&amp;"'!$A$12:$Z$19"),MATCH("Points (Auto-generate)",INDIRECT("'"&amp;$A43&amp;"'!$A$12:$Z$12"),0),0)),"ER"))</f>
        <v/>
      </c>
      <c r="L43">
        <f>IF($F43=0,"NA",IF($A43=INDIRECT("'"&amp;$A43&amp;"'!$B$1"),IF(VLOOKUP(L$1,INDIRECT("'"&amp;$A43&amp;"'!$A$12:$Z$19"),MATCH("Points (Auto-generate)",INDIRECT("'"&amp;$A43&amp;"'!$A$12:$Z$12"),0),0)="","?",VLOOKUP(L$1,INDIRECT("'"&amp;$A43&amp;"'!$A$12:$Z$19"),MATCH("Points (Auto-generate)",INDIRECT("'"&amp;$A43&amp;"'!$A$12:$Z$12"),0),0)),"ER"))</f>
        <v/>
      </c>
      <c r="M43">
        <f>IF($F43=0,"NA",IF($A43=INDIRECT("'"&amp;$A43&amp;"'!$B$1"),IF(VLOOKUP(M$1,INDIRECT("'"&amp;$A43&amp;"'!$A$12:$Z$19"),MATCH("Points (Auto-generate)",INDIRECT("'"&amp;$A43&amp;"'!$A$12:$Z$12"),0),0)="","?",VLOOKUP(M$1,INDIRECT("'"&amp;$A43&amp;"'!$A$12:$Z$19"),MATCH("Points (Auto-generate)",INDIRECT("'"&amp;$A43&amp;"'!$A$12:$Z$12"),0),0)),"ER"))</f>
        <v/>
      </c>
    </row>
    <row r="44">
      <c r="A44" s="4" t="inlineStr">
        <is>
          <t>DPG7</t>
        </is>
      </c>
      <c r="B44" s="4">
        <f>VLOOKUP($A44,'PARASTATAL Questions'!$A:$J,3,0)&amp;""</f>
        <v/>
      </c>
      <c r="C44" s="4">
        <f>VLOOKUP($A44,'PARASTATAL Questions'!$A:$J,4,0)&amp;""</f>
        <v/>
      </c>
      <c r="D44" s="4">
        <f>VLOOKUP($A44,'PARASTATAL Questions'!$A:$J,5,0)&amp;""</f>
        <v/>
      </c>
      <c r="E44" s="4">
        <f>VLOOKUP($A44,'PARASTATAL Questions'!$A:$J,7,0)&amp;""</f>
        <v/>
      </c>
      <c r="F44" s="4">
        <f>VLOOKUP($A44,'PARASTATAL Questions'!$A:$J,6,0)</f>
        <v/>
      </c>
      <c r="G44" s="4">
        <f>IF(OR(G45="ER",G46="ER"),"ER",IF(OR(G45="?",G46="?"),"?",IF(AND(G45="NA",G46="NA"),"NA",SUM(G45,G46)/((G45&lt;&gt;"NA")*$F$45+(G46&lt;&gt;"NA")*$F$46)*$F44)))</f>
        <v/>
      </c>
      <c r="H44" s="4">
        <f>IF(OR(H45="ER",H46="ER"),"ER",IF(OR(H45="?",H46="?"),"?",IF(AND(H45="NA",H46="NA"),"NA",SUM(H45,H46)/((H45&lt;&gt;"NA")*$F$45+(H46&lt;&gt;"NA")*$F$46)*$F44)))</f>
        <v/>
      </c>
      <c r="I44" s="4">
        <f>IF(OR(I45="ER",I46="ER"),"ER",IF(OR(I45="?",I46="?"),"?",IF(AND(I45="NA",I46="NA"),"NA",SUM(I45,I46)/((I45&lt;&gt;"NA")*$F$45+(I46&lt;&gt;"NA")*$F$46)*$F44)))</f>
        <v/>
      </c>
      <c r="J44" s="4">
        <f>IF(OR(J45="ER",J46="ER"),"ER",IF(OR(J45="?",J46="?"),"?",IF(AND(J45="NA",J46="NA"),"NA",SUM(J45,J46)/((J45&lt;&gt;"NA")*$F$45+(J46&lt;&gt;"NA")*$F$46)*$F44)))</f>
        <v/>
      </c>
      <c r="K44" s="4">
        <f>IF(OR(K45="ER",K46="ER"),"ER",IF(OR(K45="?",K46="?"),"?",IF(AND(K45="NA",K46="NA"),"NA",SUM(K45,K46)/((K45&lt;&gt;"NA")*$F$45+(K46&lt;&gt;"NA")*$F$46)*$F44)))</f>
        <v/>
      </c>
      <c r="L44" s="4">
        <f>IF(OR(L45="ER",L46="ER"),"ER",IF(OR(L45="?",L46="?"),"?",IF(AND(L45="NA",L46="NA"),"NA",SUM(L45,L46)/((L45&lt;&gt;"NA")*$F$45+(L46&lt;&gt;"NA")*$F$46)*$F44)))</f>
        <v/>
      </c>
      <c r="M44" s="4">
        <f>IF(OR(M45="ER",M46="ER"),"ER",IF(OR(M45="?",M46="?"),"?",IF(AND(M45="NA",M46="NA"),"NA",SUM(M45,M46)/((M45&lt;&gt;"NA")*$F$45+(M46&lt;&gt;"NA")*$F$46)*$F44)))</f>
        <v/>
      </c>
    </row>
    <row r="45">
      <c r="A45" t="inlineStr">
        <is>
          <t>DPG7a</t>
        </is>
      </c>
      <c r="B45">
        <f>VLOOKUP($A45,'PARASTATAL Questions'!$A:$J,3,0)&amp;""</f>
        <v/>
      </c>
      <c r="C45">
        <f>VLOOKUP($A45,'PARASTATAL Questions'!$A:$J,4,0)&amp;""</f>
        <v/>
      </c>
      <c r="D45">
        <f>VLOOKUP($A45,'PARASTATAL Questions'!$A:$J,5,0)&amp;""</f>
        <v/>
      </c>
      <c r="E45">
        <f>VLOOKUP($A45,'PARASTATAL Questions'!$A:$J,7,0)&amp;""</f>
        <v/>
      </c>
      <c r="F45">
        <f>VLOOKUP($A45,'PARASTATAL Questions'!$A:$J,6,0)</f>
        <v/>
      </c>
      <c r="G45">
        <f>IF($F45=0,"NA",IF($A45=INDIRECT("'"&amp;$A45&amp;"'!$B$1"),IF(VLOOKUP(G$1,INDIRECT("'"&amp;$A45&amp;"'!$A$12:$Z$19"),MATCH("Points (Auto-generate)",INDIRECT("'"&amp;$A45&amp;"'!$A$12:$Z$12"),0),0)="","?",VLOOKUP(G$1,INDIRECT("'"&amp;$A45&amp;"'!$A$12:$Z$19"),MATCH("Points (Auto-generate)",INDIRECT("'"&amp;$A45&amp;"'!$A$12:$Z$12"),0),0)),"ER"))</f>
        <v/>
      </c>
      <c r="H45">
        <f>IF($F45=0,"NA",IF($A45=INDIRECT("'"&amp;$A45&amp;"'!$B$1"),IF(VLOOKUP(H$1,INDIRECT("'"&amp;$A45&amp;"'!$A$12:$Z$19"),MATCH("Points (Auto-generate)",INDIRECT("'"&amp;$A45&amp;"'!$A$12:$Z$12"),0),0)="","?",VLOOKUP(H$1,INDIRECT("'"&amp;$A45&amp;"'!$A$12:$Z$19"),MATCH("Points (Auto-generate)",INDIRECT("'"&amp;$A45&amp;"'!$A$12:$Z$12"),0),0)),"ER"))</f>
        <v/>
      </c>
      <c r="I45">
        <f>IF($F45=0,"NA",IF($A45=INDIRECT("'"&amp;$A45&amp;"'!$B$1"),IF(VLOOKUP(I$1,INDIRECT("'"&amp;$A45&amp;"'!$A$12:$Z$19"),MATCH("Points (Auto-generate)",INDIRECT("'"&amp;$A45&amp;"'!$A$12:$Z$12"),0),0)="","?",VLOOKUP(I$1,INDIRECT("'"&amp;$A45&amp;"'!$A$12:$Z$19"),MATCH("Points (Auto-generate)",INDIRECT("'"&amp;$A45&amp;"'!$A$12:$Z$12"),0),0)),"ER"))</f>
        <v/>
      </c>
      <c r="J45">
        <f>IF($F45=0,"NA",IF($A45=INDIRECT("'"&amp;$A45&amp;"'!$B$1"),IF(VLOOKUP(J$1,INDIRECT("'"&amp;$A45&amp;"'!$A$12:$Z$19"),MATCH("Points (Auto-generate)",INDIRECT("'"&amp;$A45&amp;"'!$A$12:$Z$12"),0),0)="","?",VLOOKUP(J$1,INDIRECT("'"&amp;$A45&amp;"'!$A$12:$Z$19"),MATCH("Points (Auto-generate)",INDIRECT("'"&amp;$A45&amp;"'!$A$12:$Z$12"),0),0)),"ER"))</f>
        <v/>
      </c>
      <c r="K45">
        <f>IF($F45=0,"NA",IF($A45=INDIRECT("'"&amp;$A45&amp;"'!$B$1"),IF(VLOOKUP(K$1,INDIRECT("'"&amp;$A45&amp;"'!$A$12:$Z$19"),MATCH("Points (Auto-generate)",INDIRECT("'"&amp;$A45&amp;"'!$A$12:$Z$12"),0),0)="","?",VLOOKUP(K$1,INDIRECT("'"&amp;$A45&amp;"'!$A$12:$Z$19"),MATCH("Points (Auto-generate)",INDIRECT("'"&amp;$A45&amp;"'!$A$12:$Z$12"),0),0)),"ER"))</f>
        <v/>
      </c>
      <c r="L45">
        <f>IF($F45=0,"NA",IF($A45=INDIRECT("'"&amp;$A45&amp;"'!$B$1"),IF(VLOOKUP(L$1,INDIRECT("'"&amp;$A45&amp;"'!$A$12:$Z$19"),MATCH("Points (Auto-generate)",INDIRECT("'"&amp;$A45&amp;"'!$A$12:$Z$12"),0),0)="","?",VLOOKUP(L$1,INDIRECT("'"&amp;$A45&amp;"'!$A$12:$Z$19"),MATCH("Points (Auto-generate)",INDIRECT("'"&amp;$A45&amp;"'!$A$12:$Z$12"),0),0)),"ER"))</f>
        <v/>
      </c>
      <c r="M45">
        <f>IF($F45=0,"NA",IF($A45=INDIRECT("'"&amp;$A45&amp;"'!$B$1"),IF(VLOOKUP(M$1,INDIRECT("'"&amp;$A45&amp;"'!$A$12:$Z$19"),MATCH("Points (Auto-generate)",INDIRECT("'"&amp;$A45&amp;"'!$A$12:$Z$12"),0),0)="","?",VLOOKUP(M$1,INDIRECT("'"&amp;$A45&amp;"'!$A$12:$Z$19"),MATCH("Points (Auto-generate)",INDIRECT("'"&amp;$A45&amp;"'!$A$12:$Z$12"),0),0)),"ER"))</f>
        <v/>
      </c>
    </row>
    <row r="46">
      <c r="A46" t="inlineStr">
        <is>
          <t>DPG7b</t>
        </is>
      </c>
      <c r="B46">
        <f>VLOOKUP($A46,'PARASTATAL Questions'!$A:$J,3,0)&amp;""</f>
        <v/>
      </c>
      <c r="C46">
        <f>VLOOKUP($A46,'PARASTATAL Questions'!$A:$J,4,0)&amp;""</f>
        <v/>
      </c>
      <c r="D46">
        <f>VLOOKUP($A46,'PARASTATAL Questions'!$A:$J,5,0)&amp;""</f>
        <v/>
      </c>
      <c r="E46">
        <f>VLOOKUP($A46,'PARASTATAL Questions'!$A:$J,7,0)&amp;""</f>
        <v/>
      </c>
      <c r="F46">
        <f>VLOOKUP($A46,'PARASTATAL Questions'!$A:$J,6,0)</f>
        <v/>
      </c>
      <c r="G46">
        <f>IF($F46=0,"NA",IF($A46=INDIRECT("'"&amp;$A46&amp;"'!$B$1"),IF(VLOOKUP(G$1,INDIRECT("'"&amp;$A46&amp;"'!$A$12:$Z$19"),MATCH("Points (Auto-generate)",INDIRECT("'"&amp;$A46&amp;"'!$A$12:$Z$12"),0),0)="","?",VLOOKUP(G$1,INDIRECT("'"&amp;$A46&amp;"'!$A$12:$Z$19"),MATCH("Points (Auto-generate)",INDIRECT("'"&amp;$A46&amp;"'!$A$12:$Z$12"),0),0)),"ER"))</f>
        <v/>
      </c>
      <c r="H46">
        <f>IF($F46=0,"NA",IF($A46=INDIRECT("'"&amp;$A46&amp;"'!$B$1"),IF(VLOOKUP(H$1,INDIRECT("'"&amp;$A46&amp;"'!$A$12:$Z$19"),MATCH("Points (Auto-generate)",INDIRECT("'"&amp;$A46&amp;"'!$A$12:$Z$12"),0),0)="","?",VLOOKUP(H$1,INDIRECT("'"&amp;$A46&amp;"'!$A$12:$Z$19"),MATCH("Points (Auto-generate)",INDIRECT("'"&amp;$A46&amp;"'!$A$12:$Z$12"),0),0)),"ER"))</f>
        <v/>
      </c>
      <c r="I46">
        <f>IF($F46=0,"NA",IF($A46=INDIRECT("'"&amp;$A46&amp;"'!$B$1"),IF(VLOOKUP(I$1,INDIRECT("'"&amp;$A46&amp;"'!$A$12:$Z$19"),MATCH("Points (Auto-generate)",INDIRECT("'"&amp;$A46&amp;"'!$A$12:$Z$12"),0),0)="","?",VLOOKUP(I$1,INDIRECT("'"&amp;$A46&amp;"'!$A$12:$Z$19"),MATCH("Points (Auto-generate)",INDIRECT("'"&amp;$A46&amp;"'!$A$12:$Z$12"),0),0)),"ER"))</f>
        <v/>
      </c>
      <c r="J46">
        <f>IF($F46=0,"NA",IF($A46=INDIRECT("'"&amp;$A46&amp;"'!$B$1"),IF(VLOOKUP(J$1,INDIRECT("'"&amp;$A46&amp;"'!$A$12:$Z$19"),MATCH("Points (Auto-generate)",INDIRECT("'"&amp;$A46&amp;"'!$A$12:$Z$12"),0),0)="","?",VLOOKUP(J$1,INDIRECT("'"&amp;$A46&amp;"'!$A$12:$Z$19"),MATCH("Points (Auto-generate)",INDIRECT("'"&amp;$A46&amp;"'!$A$12:$Z$12"),0),0)),"ER"))</f>
        <v/>
      </c>
      <c r="K46">
        <f>IF($F46=0,"NA",IF($A46=INDIRECT("'"&amp;$A46&amp;"'!$B$1"),IF(VLOOKUP(K$1,INDIRECT("'"&amp;$A46&amp;"'!$A$12:$Z$19"),MATCH("Points (Auto-generate)",INDIRECT("'"&amp;$A46&amp;"'!$A$12:$Z$12"),0),0)="","?",VLOOKUP(K$1,INDIRECT("'"&amp;$A46&amp;"'!$A$12:$Z$19"),MATCH("Points (Auto-generate)",INDIRECT("'"&amp;$A46&amp;"'!$A$12:$Z$12"),0),0)),"ER"))</f>
        <v/>
      </c>
      <c r="L46">
        <f>IF($F46=0,"NA",IF($A46=INDIRECT("'"&amp;$A46&amp;"'!$B$1"),IF(VLOOKUP(L$1,INDIRECT("'"&amp;$A46&amp;"'!$A$12:$Z$19"),MATCH("Points (Auto-generate)",INDIRECT("'"&amp;$A46&amp;"'!$A$12:$Z$12"),0),0)="","?",VLOOKUP(L$1,INDIRECT("'"&amp;$A46&amp;"'!$A$12:$Z$19"),MATCH("Points (Auto-generate)",INDIRECT("'"&amp;$A46&amp;"'!$A$12:$Z$12"),0),0)),"ER"))</f>
        <v/>
      </c>
      <c r="M46">
        <f>IF($F46=0,"NA",IF($A46=INDIRECT("'"&amp;$A46&amp;"'!$B$1"),IF(VLOOKUP(M$1,INDIRECT("'"&amp;$A46&amp;"'!$A$12:$Z$19"),MATCH("Points (Auto-generate)",INDIRECT("'"&amp;$A46&amp;"'!$A$12:$Z$12"),0),0)="","?",VLOOKUP(M$1,INDIRECT("'"&amp;$A46&amp;"'!$A$12:$Z$19"),MATCH("Points (Auto-generate)",INDIRECT("'"&amp;$A46&amp;"'!$A$12:$Z$12"),0),0)),"ER"))</f>
        <v/>
      </c>
    </row>
    <row r="47">
      <c r="A47" s="4" t="inlineStr">
        <is>
          <t>SC1</t>
        </is>
      </c>
      <c r="B47" s="4">
        <f>VLOOKUP($A47,'PARASTATAL Questions'!$A:$J,3,0)&amp;""</f>
        <v/>
      </c>
      <c r="C47" s="4">
        <f>VLOOKUP($A47,'PARASTATAL Questions'!$A:$J,4,0)&amp;""</f>
        <v/>
      </c>
      <c r="D47" s="4">
        <f>VLOOKUP($A47,'PARASTATAL Questions'!$A:$J,5,0)&amp;""</f>
        <v/>
      </c>
      <c r="E47" s="4">
        <f>VLOOKUP($A47,'PARASTATAL Questions'!$A:$J,7,0)&amp;""</f>
        <v/>
      </c>
      <c r="F47" s="4">
        <f>VLOOKUP($A47,'PARASTATAL Questions'!$A:$J,6,0)</f>
        <v/>
      </c>
      <c r="G47" s="4">
        <f>IF($F47=0,"NA",IF($A47=INDIRECT("'"&amp;$A47&amp;"'!$B$1"),IF(VLOOKUP(G$1,INDIRECT("'"&amp;$A47&amp;"'!$A$12:$Z$19"),MATCH("Points (Auto-generate)",INDIRECT("'"&amp;$A47&amp;"'!$A$12:$Z$12"),0),0)="","?",VLOOKUP(G$1,INDIRECT("'"&amp;$A47&amp;"'!$A$12:$Z$19"),MATCH("Points (Auto-generate)",INDIRECT("'"&amp;$A47&amp;"'!$A$12:$Z$12"),0),0)),"ER"))</f>
        <v/>
      </c>
      <c r="H47" s="4">
        <f>IF($F47=0,"NA",IF($A47=INDIRECT("'"&amp;$A47&amp;"'!$B$1"),IF(VLOOKUP(H$1,INDIRECT("'"&amp;$A47&amp;"'!$A$12:$Z$19"),MATCH("Points (Auto-generate)",INDIRECT("'"&amp;$A47&amp;"'!$A$12:$Z$12"),0),0)="","?",VLOOKUP(H$1,INDIRECT("'"&amp;$A47&amp;"'!$A$12:$Z$19"),MATCH("Points (Auto-generate)",INDIRECT("'"&amp;$A47&amp;"'!$A$12:$Z$12"),0),0)),"ER"))</f>
        <v/>
      </c>
      <c r="I47" s="4">
        <f>IF($F47=0,"NA",IF($A47=INDIRECT("'"&amp;$A47&amp;"'!$B$1"),IF(VLOOKUP(I$1,INDIRECT("'"&amp;$A47&amp;"'!$A$12:$Z$19"),MATCH("Points (Auto-generate)",INDIRECT("'"&amp;$A47&amp;"'!$A$12:$Z$12"),0),0)="","?",VLOOKUP(I$1,INDIRECT("'"&amp;$A47&amp;"'!$A$12:$Z$19"),MATCH("Points (Auto-generate)",INDIRECT("'"&amp;$A47&amp;"'!$A$12:$Z$12"),0),0)),"ER"))</f>
        <v/>
      </c>
      <c r="J47" s="4">
        <f>IF($F47=0,"NA",IF($A47=INDIRECT("'"&amp;$A47&amp;"'!$B$1"),IF(VLOOKUP(J$1,INDIRECT("'"&amp;$A47&amp;"'!$A$12:$Z$19"),MATCH("Points (Auto-generate)",INDIRECT("'"&amp;$A47&amp;"'!$A$12:$Z$12"),0),0)="","?",VLOOKUP(J$1,INDIRECT("'"&amp;$A47&amp;"'!$A$12:$Z$19"),MATCH("Points (Auto-generate)",INDIRECT("'"&amp;$A47&amp;"'!$A$12:$Z$12"),0),0)),"ER"))</f>
        <v/>
      </c>
      <c r="K47" s="4">
        <f>IF($F47=0,"NA",IF($A47=INDIRECT("'"&amp;$A47&amp;"'!$B$1"),IF(VLOOKUP(K$1,INDIRECT("'"&amp;$A47&amp;"'!$A$12:$Z$19"),MATCH("Points (Auto-generate)",INDIRECT("'"&amp;$A47&amp;"'!$A$12:$Z$12"),0),0)="","?",VLOOKUP(K$1,INDIRECT("'"&amp;$A47&amp;"'!$A$12:$Z$19"),MATCH("Points (Auto-generate)",INDIRECT("'"&amp;$A47&amp;"'!$A$12:$Z$12"),0),0)),"ER"))</f>
        <v/>
      </c>
      <c r="L47" s="4">
        <f>IF($F47=0,"NA",IF($A47=INDIRECT("'"&amp;$A47&amp;"'!$B$1"),IF(VLOOKUP(L$1,INDIRECT("'"&amp;$A47&amp;"'!$A$12:$Z$19"),MATCH("Points (Auto-generate)",INDIRECT("'"&amp;$A47&amp;"'!$A$12:$Z$12"),0),0)="","?",VLOOKUP(L$1,INDIRECT("'"&amp;$A47&amp;"'!$A$12:$Z$19"),MATCH("Points (Auto-generate)",INDIRECT("'"&amp;$A47&amp;"'!$A$12:$Z$12"),0),0)),"ER"))</f>
        <v/>
      </c>
      <c r="M47" s="4">
        <f>IF($F47=0,"NA",IF($A47=INDIRECT("'"&amp;$A47&amp;"'!$B$1"),IF(VLOOKUP(M$1,INDIRECT("'"&amp;$A47&amp;"'!$A$12:$Z$19"),MATCH("Points (Auto-generate)",INDIRECT("'"&amp;$A47&amp;"'!$A$12:$Z$12"),0),0)="","?",VLOOKUP(M$1,INDIRECT("'"&amp;$A47&amp;"'!$A$12:$Z$19"),MATCH("Points (Auto-generate)",INDIRECT("'"&amp;$A47&amp;"'!$A$12:$Z$12"),0),0)),"ER"))</f>
        <v/>
      </c>
    </row>
    <row r="48">
      <c r="A48" s="4" t="inlineStr">
        <is>
          <t>SC2</t>
        </is>
      </c>
      <c r="B48" s="4">
        <f>VLOOKUP($A48,'PARASTATAL Questions'!$A:$J,3,0)&amp;""</f>
        <v/>
      </c>
      <c r="C48" s="4">
        <f>VLOOKUP($A48,'PARASTATAL Questions'!$A:$J,4,0)&amp;""</f>
        <v/>
      </c>
      <c r="D48" s="4">
        <f>VLOOKUP($A48,'PARASTATAL Questions'!$A:$J,5,0)&amp;""</f>
        <v/>
      </c>
      <c r="E48" s="4">
        <f>VLOOKUP($A48,'PARASTATAL Questions'!$A:$J,7,0)&amp;""</f>
        <v/>
      </c>
      <c r="F48" s="4">
        <f>VLOOKUP($A48,'PARASTATAL Questions'!$A:$J,6,0)</f>
        <v/>
      </c>
      <c r="G48" s="4">
        <f>IF($F48=0,"NA",IF($A48=INDIRECT("'"&amp;$A48&amp;"'!$B$1"),IF(VLOOKUP(G$1,INDIRECT("'"&amp;$A48&amp;"'!$A$12:$Z$19"),MATCH("Points (Auto-generate)",INDIRECT("'"&amp;$A48&amp;"'!$A$12:$Z$12"),0),0)="","?",VLOOKUP(G$1,INDIRECT("'"&amp;$A48&amp;"'!$A$12:$Z$19"),MATCH("Points (Auto-generate)",INDIRECT("'"&amp;$A48&amp;"'!$A$12:$Z$12"),0),0)),"ER"))</f>
        <v/>
      </c>
      <c r="H48" s="4">
        <f>IF($F48=0,"NA",IF($A48=INDIRECT("'"&amp;$A48&amp;"'!$B$1"),IF(VLOOKUP(H$1,INDIRECT("'"&amp;$A48&amp;"'!$A$12:$Z$19"),MATCH("Points (Auto-generate)",INDIRECT("'"&amp;$A48&amp;"'!$A$12:$Z$12"),0),0)="","?",VLOOKUP(H$1,INDIRECT("'"&amp;$A48&amp;"'!$A$12:$Z$19"),MATCH("Points (Auto-generate)",INDIRECT("'"&amp;$A48&amp;"'!$A$12:$Z$12"),0),0)),"ER"))</f>
        <v/>
      </c>
      <c r="I48" s="4">
        <f>IF($F48=0,"NA",IF($A48=INDIRECT("'"&amp;$A48&amp;"'!$B$1"),IF(VLOOKUP(I$1,INDIRECT("'"&amp;$A48&amp;"'!$A$12:$Z$19"),MATCH("Points (Auto-generate)",INDIRECT("'"&amp;$A48&amp;"'!$A$12:$Z$12"),0),0)="","?",VLOOKUP(I$1,INDIRECT("'"&amp;$A48&amp;"'!$A$12:$Z$19"),MATCH("Points (Auto-generate)",INDIRECT("'"&amp;$A48&amp;"'!$A$12:$Z$12"),0),0)),"ER"))</f>
        <v/>
      </c>
      <c r="J48" s="4">
        <f>IF($F48=0,"NA",IF($A48=INDIRECT("'"&amp;$A48&amp;"'!$B$1"),IF(VLOOKUP(J$1,INDIRECT("'"&amp;$A48&amp;"'!$A$12:$Z$19"),MATCH("Points (Auto-generate)",INDIRECT("'"&amp;$A48&amp;"'!$A$12:$Z$12"),0),0)="","?",VLOOKUP(J$1,INDIRECT("'"&amp;$A48&amp;"'!$A$12:$Z$19"),MATCH("Points (Auto-generate)",INDIRECT("'"&amp;$A48&amp;"'!$A$12:$Z$12"),0),0)),"ER"))</f>
        <v/>
      </c>
      <c r="K48" s="4">
        <f>IF($F48=0,"NA",IF($A48=INDIRECT("'"&amp;$A48&amp;"'!$B$1"),IF(VLOOKUP(K$1,INDIRECT("'"&amp;$A48&amp;"'!$A$12:$Z$19"),MATCH("Points (Auto-generate)",INDIRECT("'"&amp;$A48&amp;"'!$A$12:$Z$12"),0),0)="","?",VLOOKUP(K$1,INDIRECT("'"&amp;$A48&amp;"'!$A$12:$Z$19"),MATCH("Points (Auto-generate)",INDIRECT("'"&amp;$A48&amp;"'!$A$12:$Z$12"),0),0)),"ER"))</f>
        <v/>
      </c>
      <c r="L48" s="4">
        <f>IF($F48=0,"NA",IF($A48=INDIRECT("'"&amp;$A48&amp;"'!$B$1"),IF(VLOOKUP(L$1,INDIRECT("'"&amp;$A48&amp;"'!$A$12:$Z$19"),MATCH("Points (Auto-generate)",INDIRECT("'"&amp;$A48&amp;"'!$A$12:$Z$12"),0),0)="","?",VLOOKUP(L$1,INDIRECT("'"&amp;$A48&amp;"'!$A$12:$Z$19"),MATCH("Points (Auto-generate)",INDIRECT("'"&amp;$A48&amp;"'!$A$12:$Z$12"),0),0)),"ER"))</f>
        <v/>
      </c>
      <c r="M48" s="4">
        <f>IF($F48=0,"NA",IF($A48=INDIRECT("'"&amp;$A48&amp;"'!$B$1"),IF(VLOOKUP(M$1,INDIRECT("'"&amp;$A48&amp;"'!$A$12:$Z$19"),MATCH("Points (Auto-generate)",INDIRECT("'"&amp;$A48&amp;"'!$A$12:$Z$12"),0),0)="","?",VLOOKUP(M$1,INDIRECT("'"&amp;$A48&amp;"'!$A$12:$Z$19"),MATCH("Points (Auto-generate)",INDIRECT("'"&amp;$A48&amp;"'!$A$12:$Z$12"),0),0)),"ER"))</f>
        <v/>
      </c>
    </row>
    <row r="49">
      <c r="A49" s="4" t="inlineStr">
        <is>
          <t>SC3</t>
        </is>
      </c>
      <c r="B49" s="4">
        <f>VLOOKUP($A49,'PARASTATAL Questions'!$A:$J,3,0)&amp;""</f>
        <v/>
      </c>
      <c r="C49" s="4">
        <f>VLOOKUP($A49,'PARASTATAL Questions'!$A:$J,4,0)&amp;""</f>
        <v/>
      </c>
      <c r="D49" s="4">
        <f>VLOOKUP($A49,'PARASTATAL Questions'!$A:$J,5,0)&amp;""</f>
        <v/>
      </c>
      <c r="E49" s="4">
        <f>VLOOKUP($A49,'PARASTATAL Questions'!$A:$J,7,0)&amp;""</f>
        <v/>
      </c>
      <c r="F49" s="4">
        <f>VLOOKUP($A49,'PARASTATAL Questions'!$A:$J,6,0)</f>
        <v/>
      </c>
      <c r="G49" s="4">
        <f>IF($F49=0,"NA",IF($A49=INDIRECT("'"&amp;$A49&amp;"'!$B$1"),IF(VLOOKUP(G$1,INDIRECT("'"&amp;$A49&amp;"'!$A$12:$Z$19"),MATCH("Points (Auto-generate)",INDIRECT("'"&amp;$A49&amp;"'!$A$12:$Z$12"),0),0)="","?",VLOOKUP(G$1,INDIRECT("'"&amp;$A49&amp;"'!$A$12:$Z$19"),MATCH("Points (Auto-generate)",INDIRECT("'"&amp;$A49&amp;"'!$A$12:$Z$12"),0),0)),"ER"))</f>
        <v/>
      </c>
      <c r="H49" s="4">
        <f>IF($F49=0,"NA",IF($A49=INDIRECT("'"&amp;$A49&amp;"'!$B$1"),IF(VLOOKUP(H$1,INDIRECT("'"&amp;$A49&amp;"'!$A$12:$Z$19"),MATCH("Points (Auto-generate)",INDIRECT("'"&amp;$A49&amp;"'!$A$12:$Z$12"),0),0)="","?",VLOOKUP(H$1,INDIRECT("'"&amp;$A49&amp;"'!$A$12:$Z$19"),MATCH("Points (Auto-generate)",INDIRECT("'"&amp;$A49&amp;"'!$A$12:$Z$12"),0),0)),"ER"))</f>
        <v/>
      </c>
      <c r="I49" s="4">
        <f>IF($F49=0,"NA",IF($A49=INDIRECT("'"&amp;$A49&amp;"'!$B$1"),IF(VLOOKUP(I$1,INDIRECT("'"&amp;$A49&amp;"'!$A$12:$Z$19"),MATCH("Points (Auto-generate)",INDIRECT("'"&amp;$A49&amp;"'!$A$12:$Z$12"),0),0)="","?",VLOOKUP(I$1,INDIRECT("'"&amp;$A49&amp;"'!$A$12:$Z$19"),MATCH("Points (Auto-generate)",INDIRECT("'"&amp;$A49&amp;"'!$A$12:$Z$12"),0),0)),"ER"))</f>
        <v/>
      </c>
      <c r="J49" s="4">
        <f>IF($F49=0,"NA",IF($A49=INDIRECT("'"&amp;$A49&amp;"'!$B$1"),IF(VLOOKUP(J$1,INDIRECT("'"&amp;$A49&amp;"'!$A$12:$Z$19"),MATCH("Points (Auto-generate)",INDIRECT("'"&amp;$A49&amp;"'!$A$12:$Z$12"),0),0)="","?",VLOOKUP(J$1,INDIRECT("'"&amp;$A49&amp;"'!$A$12:$Z$19"),MATCH("Points (Auto-generate)",INDIRECT("'"&amp;$A49&amp;"'!$A$12:$Z$12"),0),0)),"ER"))</f>
        <v/>
      </c>
      <c r="K49" s="4">
        <f>IF($F49=0,"NA",IF($A49=INDIRECT("'"&amp;$A49&amp;"'!$B$1"),IF(VLOOKUP(K$1,INDIRECT("'"&amp;$A49&amp;"'!$A$12:$Z$19"),MATCH("Points (Auto-generate)",INDIRECT("'"&amp;$A49&amp;"'!$A$12:$Z$12"),0),0)="","?",VLOOKUP(K$1,INDIRECT("'"&amp;$A49&amp;"'!$A$12:$Z$19"),MATCH("Points (Auto-generate)",INDIRECT("'"&amp;$A49&amp;"'!$A$12:$Z$12"),0),0)),"ER"))</f>
        <v/>
      </c>
      <c r="L49" s="4">
        <f>IF($F49=0,"NA",IF($A49=INDIRECT("'"&amp;$A49&amp;"'!$B$1"),IF(VLOOKUP(L$1,INDIRECT("'"&amp;$A49&amp;"'!$A$12:$Z$19"),MATCH("Points (Auto-generate)",INDIRECT("'"&amp;$A49&amp;"'!$A$12:$Z$12"),0),0)="","?",VLOOKUP(L$1,INDIRECT("'"&amp;$A49&amp;"'!$A$12:$Z$19"),MATCH("Points (Auto-generate)",INDIRECT("'"&amp;$A49&amp;"'!$A$12:$Z$12"),0),0)),"ER"))</f>
        <v/>
      </c>
      <c r="M49" s="4">
        <f>IF($F49=0,"NA",IF($A49=INDIRECT("'"&amp;$A49&amp;"'!$B$1"),IF(VLOOKUP(M$1,INDIRECT("'"&amp;$A49&amp;"'!$A$12:$Z$19"),MATCH("Points (Auto-generate)",INDIRECT("'"&amp;$A49&amp;"'!$A$12:$Z$12"),0),0)="","?",VLOOKUP(M$1,INDIRECT("'"&amp;$A49&amp;"'!$A$12:$Z$19"),MATCH("Points (Auto-generate)",INDIRECT("'"&amp;$A49&amp;"'!$A$12:$Z$12"),0),0)),"ER"))</f>
        <v/>
      </c>
    </row>
    <row r="50">
      <c r="A50" s="4" t="inlineStr">
        <is>
          <t>SC4</t>
        </is>
      </c>
      <c r="B50" s="4">
        <f>VLOOKUP($A50,'PARASTATAL Questions'!$A:$J,3,0)&amp;""</f>
        <v/>
      </c>
      <c r="C50" s="4">
        <f>VLOOKUP($A50,'PARASTATAL Questions'!$A:$J,4,0)&amp;""</f>
        <v/>
      </c>
      <c r="D50" s="4">
        <f>VLOOKUP($A50,'PARASTATAL Questions'!$A:$J,5,0)&amp;""</f>
        <v/>
      </c>
      <c r="E50" s="4">
        <f>VLOOKUP($A50,'PARASTATAL Questions'!$A:$J,7,0)&amp;""</f>
        <v/>
      </c>
      <c r="F50" s="4">
        <f>VLOOKUP($A50,'PARASTATAL Questions'!$A:$J,6,0)</f>
        <v/>
      </c>
      <c r="G50" s="4">
        <f>IF(OR(G51="ER",G52="ER"),"ER",IF(OR(G51="?",G52="?"),"?",IF(AND(G51="NA",G52="NA"),"NA",SUM(G51,G52)/((G51&lt;&gt;"NA")*$F$51+(G52&lt;&gt;"NA")*$F$52)*$F50)))</f>
        <v/>
      </c>
      <c r="H50" s="4">
        <f>IF(OR(H51="ER",H52="ER"),"ER",IF(OR(H51="?",H52="?"),"?",IF(AND(H51="NA",H52="NA"),"NA",SUM(H51,H52)/((H51&lt;&gt;"NA")*$F$51+(H52&lt;&gt;"NA")*$F$52)*$F50)))</f>
        <v/>
      </c>
      <c r="I50" s="4">
        <f>IF(OR(I51="ER",I52="ER"),"ER",IF(OR(I51="?",I52="?"),"?",IF(AND(I51="NA",I52="NA"),"NA",SUM(I51,I52)/((I51&lt;&gt;"NA")*$F$51+(I52&lt;&gt;"NA")*$F$52)*$F50)))</f>
        <v/>
      </c>
      <c r="J50" s="4">
        <f>IF(OR(J51="ER",J52="ER"),"ER",IF(OR(J51="?",J52="?"),"?",IF(AND(J51="NA",J52="NA"),"NA",SUM(J51,J52)/((J51&lt;&gt;"NA")*$F$51+(J52&lt;&gt;"NA")*$F$52)*$F50)))</f>
        <v/>
      </c>
      <c r="K50" s="4">
        <f>IF(OR(K51="ER",K52="ER"),"ER",IF(OR(K51="?",K52="?"),"?",IF(AND(K51="NA",K52="NA"),"NA",SUM(K51,K52)/((K51&lt;&gt;"NA")*$F$51+(K52&lt;&gt;"NA")*$F$52)*$F50)))</f>
        <v/>
      </c>
      <c r="L50" s="4">
        <f>IF(OR(L51="ER",L52="ER"),"ER",IF(OR(L51="?",L52="?"),"?",IF(AND(L51="NA",L52="NA"),"NA",SUM(L51,L52)/((L51&lt;&gt;"NA")*$F$51+(L52&lt;&gt;"NA")*$F$52)*$F50)))</f>
        <v/>
      </c>
      <c r="M50" s="4">
        <f>IF(OR(M51="ER",M52="ER"),"ER",IF(OR(M51="?",M52="?"),"?",IF(AND(M51="NA",M52="NA"),"NA",SUM(M51,M52)/((M51&lt;&gt;"NA")*$F$51+(M52&lt;&gt;"NA")*$F$52)*$F50)))</f>
        <v/>
      </c>
    </row>
    <row r="51">
      <c r="A51" t="inlineStr">
        <is>
          <t>SC4a</t>
        </is>
      </c>
      <c r="B51">
        <f>VLOOKUP($A51,'PARASTATAL Questions'!$A:$J,3,0)&amp;""</f>
        <v/>
      </c>
      <c r="C51">
        <f>VLOOKUP($A51,'PARASTATAL Questions'!$A:$J,4,0)&amp;""</f>
        <v/>
      </c>
      <c r="D51">
        <f>VLOOKUP($A51,'PARASTATAL Questions'!$A:$J,5,0)&amp;""</f>
        <v/>
      </c>
      <c r="E51">
        <f>VLOOKUP($A51,'PARASTATAL Questions'!$A:$J,7,0)&amp;""</f>
        <v/>
      </c>
      <c r="F51">
        <f>VLOOKUP($A51,'PARASTATAL Questions'!$A:$J,6,0)</f>
        <v/>
      </c>
      <c r="G51">
        <f>IF($F51=0,"NA",IF($A51=INDIRECT("'"&amp;$A51&amp;"'!$B$1"),IF(VLOOKUP(G$1,INDIRECT("'"&amp;$A51&amp;"'!$A$12:$Z$19"),MATCH("Points (Auto-generate)",INDIRECT("'"&amp;$A51&amp;"'!$A$12:$Z$12"),0),0)="","?",VLOOKUP(G$1,INDIRECT("'"&amp;$A51&amp;"'!$A$12:$Z$19"),MATCH("Points (Auto-generate)",INDIRECT("'"&amp;$A51&amp;"'!$A$12:$Z$12"),0),0)),"ER"))</f>
        <v/>
      </c>
      <c r="H51">
        <f>IF($F51=0,"NA",IF($A51=INDIRECT("'"&amp;$A51&amp;"'!$B$1"),IF(VLOOKUP(H$1,INDIRECT("'"&amp;$A51&amp;"'!$A$12:$Z$19"),MATCH("Points (Auto-generate)",INDIRECT("'"&amp;$A51&amp;"'!$A$12:$Z$12"),0),0)="","?",VLOOKUP(H$1,INDIRECT("'"&amp;$A51&amp;"'!$A$12:$Z$19"),MATCH("Points (Auto-generate)",INDIRECT("'"&amp;$A51&amp;"'!$A$12:$Z$12"),0),0)),"ER"))</f>
        <v/>
      </c>
      <c r="I51">
        <f>IF($F51=0,"NA",IF($A51=INDIRECT("'"&amp;$A51&amp;"'!$B$1"),IF(VLOOKUP(I$1,INDIRECT("'"&amp;$A51&amp;"'!$A$12:$Z$19"),MATCH("Points (Auto-generate)",INDIRECT("'"&amp;$A51&amp;"'!$A$12:$Z$12"),0),0)="","?",VLOOKUP(I$1,INDIRECT("'"&amp;$A51&amp;"'!$A$12:$Z$19"),MATCH("Points (Auto-generate)",INDIRECT("'"&amp;$A51&amp;"'!$A$12:$Z$12"),0),0)),"ER"))</f>
        <v/>
      </c>
      <c r="J51">
        <f>IF($F51=0,"NA",IF($A51=INDIRECT("'"&amp;$A51&amp;"'!$B$1"),IF(VLOOKUP(J$1,INDIRECT("'"&amp;$A51&amp;"'!$A$12:$Z$19"),MATCH("Points (Auto-generate)",INDIRECT("'"&amp;$A51&amp;"'!$A$12:$Z$12"),0),0)="","?",VLOOKUP(J$1,INDIRECT("'"&amp;$A51&amp;"'!$A$12:$Z$19"),MATCH("Points (Auto-generate)",INDIRECT("'"&amp;$A51&amp;"'!$A$12:$Z$12"),0),0)),"ER"))</f>
        <v/>
      </c>
      <c r="K51">
        <f>IF($F51=0,"NA",IF($A51=INDIRECT("'"&amp;$A51&amp;"'!$B$1"),IF(VLOOKUP(K$1,INDIRECT("'"&amp;$A51&amp;"'!$A$12:$Z$19"),MATCH("Points (Auto-generate)",INDIRECT("'"&amp;$A51&amp;"'!$A$12:$Z$12"),0),0)="","?",VLOOKUP(K$1,INDIRECT("'"&amp;$A51&amp;"'!$A$12:$Z$19"),MATCH("Points (Auto-generate)",INDIRECT("'"&amp;$A51&amp;"'!$A$12:$Z$12"),0),0)),"ER"))</f>
        <v/>
      </c>
      <c r="L51">
        <f>IF($F51=0,"NA",IF($A51=INDIRECT("'"&amp;$A51&amp;"'!$B$1"),IF(VLOOKUP(L$1,INDIRECT("'"&amp;$A51&amp;"'!$A$12:$Z$19"),MATCH("Points (Auto-generate)",INDIRECT("'"&amp;$A51&amp;"'!$A$12:$Z$12"),0),0)="","?",VLOOKUP(L$1,INDIRECT("'"&amp;$A51&amp;"'!$A$12:$Z$19"),MATCH("Points (Auto-generate)",INDIRECT("'"&amp;$A51&amp;"'!$A$12:$Z$12"),0),0)),"ER"))</f>
        <v/>
      </c>
      <c r="M51">
        <f>IF($F51=0,"NA",IF($A51=INDIRECT("'"&amp;$A51&amp;"'!$B$1"),IF(VLOOKUP(M$1,INDIRECT("'"&amp;$A51&amp;"'!$A$12:$Z$19"),MATCH("Points (Auto-generate)",INDIRECT("'"&amp;$A51&amp;"'!$A$12:$Z$12"),0),0)="","?",VLOOKUP(M$1,INDIRECT("'"&amp;$A51&amp;"'!$A$12:$Z$19"),MATCH("Points (Auto-generate)",INDIRECT("'"&amp;$A51&amp;"'!$A$12:$Z$12"),0),0)),"ER"))</f>
        <v/>
      </c>
    </row>
    <row r="52">
      <c r="A52" t="inlineStr">
        <is>
          <t>SC4b</t>
        </is>
      </c>
      <c r="B52">
        <f>VLOOKUP($A52,'PARASTATAL Questions'!$A:$J,3,0)&amp;""</f>
        <v/>
      </c>
      <c r="C52">
        <f>VLOOKUP($A52,'PARASTATAL Questions'!$A:$J,4,0)&amp;""</f>
        <v/>
      </c>
      <c r="D52">
        <f>VLOOKUP($A52,'PARASTATAL Questions'!$A:$J,5,0)&amp;""</f>
        <v/>
      </c>
      <c r="E52">
        <f>VLOOKUP($A52,'PARASTATAL Questions'!$A:$J,7,0)&amp;""</f>
        <v/>
      </c>
      <c r="F52">
        <f>VLOOKUP($A52,'PARASTATAL Questions'!$A:$J,6,0)</f>
        <v/>
      </c>
      <c r="G52">
        <f>IF($F52=0,"NA",IF($A52=INDIRECT("'"&amp;$A52&amp;"'!$B$1"),IF(VLOOKUP(G$1,INDIRECT("'"&amp;$A52&amp;"'!$A$12:$Z$19"),MATCH("Points (Auto-generate)",INDIRECT("'"&amp;$A52&amp;"'!$A$12:$Z$12"),0),0)="","?",VLOOKUP(G$1,INDIRECT("'"&amp;$A52&amp;"'!$A$12:$Z$19"),MATCH("Points (Auto-generate)",INDIRECT("'"&amp;$A52&amp;"'!$A$12:$Z$12"),0),0)),"ER"))</f>
        <v/>
      </c>
      <c r="H52">
        <f>IF($F52=0,"NA",IF($A52=INDIRECT("'"&amp;$A52&amp;"'!$B$1"),IF(VLOOKUP(H$1,INDIRECT("'"&amp;$A52&amp;"'!$A$12:$Z$19"),MATCH("Points (Auto-generate)",INDIRECT("'"&amp;$A52&amp;"'!$A$12:$Z$12"),0),0)="","?",VLOOKUP(H$1,INDIRECT("'"&amp;$A52&amp;"'!$A$12:$Z$19"),MATCH("Points (Auto-generate)",INDIRECT("'"&amp;$A52&amp;"'!$A$12:$Z$12"),0),0)),"ER"))</f>
        <v/>
      </c>
      <c r="I52">
        <f>IF($F52=0,"NA",IF($A52=INDIRECT("'"&amp;$A52&amp;"'!$B$1"),IF(VLOOKUP(I$1,INDIRECT("'"&amp;$A52&amp;"'!$A$12:$Z$19"),MATCH("Points (Auto-generate)",INDIRECT("'"&amp;$A52&amp;"'!$A$12:$Z$12"),0),0)="","?",VLOOKUP(I$1,INDIRECT("'"&amp;$A52&amp;"'!$A$12:$Z$19"),MATCH("Points (Auto-generate)",INDIRECT("'"&amp;$A52&amp;"'!$A$12:$Z$12"),0),0)),"ER"))</f>
        <v/>
      </c>
      <c r="J52">
        <f>IF($F52=0,"NA",IF($A52=INDIRECT("'"&amp;$A52&amp;"'!$B$1"),IF(VLOOKUP(J$1,INDIRECT("'"&amp;$A52&amp;"'!$A$12:$Z$19"),MATCH("Points (Auto-generate)",INDIRECT("'"&amp;$A52&amp;"'!$A$12:$Z$12"),0),0)="","?",VLOOKUP(J$1,INDIRECT("'"&amp;$A52&amp;"'!$A$12:$Z$19"),MATCH("Points (Auto-generate)",INDIRECT("'"&amp;$A52&amp;"'!$A$12:$Z$12"),0),0)),"ER"))</f>
        <v/>
      </c>
      <c r="K52">
        <f>IF($F52=0,"NA",IF($A52=INDIRECT("'"&amp;$A52&amp;"'!$B$1"),IF(VLOOKUP(K$1,INDIRECT("'"&amp;$A52&amp;"'!$A$12:$Z$19"),MATCH("Points (Auto-generate)",INDIRECT("'"&amp;$A52&amp;"'!$A$12:$Z$12"),0),0)="","?",VLOOKUP(K$1,INDIRECT("'"&amp;$A52&amp;"'!$A$12:$Z$19"),MATCH("Points (Auto-generate)",INDIRECT("'"&amp;$A52&amp;"'!$A$12:$Z$12"),0),0)),"ER"))</f>
        <v/>
      </c>
      <c r="L52">
        <f>IF($F52=0,"NA",IF($A52=INDIRECT("'"&amp;$A52&amp;"'!$B$1"),IF(VLOOKUP(L$1,INDIRECT("'"&amp;$A52&amp;"'!$A$12:$Z$19"),MATCH("Points (Auto-generate)",INDIRECT("'"&amp;$A52&amp;"'!$A$12:$Z$12"),0),0)="","?",VLOOKUP(L$1,INDIRECT("'"&amp;$A52&amp;"'!$A$12:$Z$19"),MATCH("Points (Auto-generate)",INDIRECT("'"&amp;$A52&amp;"'!$A$12:$Z$12"),0),0)),"ER"))</f>
        <v/>
      </c>
      <c r="M52">
        <f>IF($F52=0,"NA",IF($A52=INDIRECT("'"&amp;$A52&amp;"'!$B$1"),IF(VLOOKUP(M$1,INDIRECT("'"&amp;$A52&amp;"'!$A$12:$Z$19"),MATCH("Points (Auto-generate)",INDIRECT("'"&amp;$A52&amp;"'!$A$12:$Z$12"),0),0)="","?",VLOOKUP(M$1,INDIRECT("'"&amp;$A52&amp;"'!$A$12:$Z$19"),MATCH("Points (Auto-generate)",INDIRECT("'"&amp;$A52&amp;"'!$A$12:$Z$12"),0),0)),"ER"))</f>
        <v/>
      </c>
    </row>
    <row r="53">
      <c r="A53" s="4" t="inlineStr">
        <is>
          <t>SC5</t>
        </is>
      </c>
      <c r="B53" s="4">
        <f>VLOOKUP($A53,'PARASTATAL Questions'!$A:$J,3,0)&amp;""</f>
        <v/>
      </c>
      <c r="C53" s="4">
        <f>VLOOKUP($A53,'PARASTATAL Questions'!$A:$J,4,0)&amp;""</f>
        <v/>
      </c>
      <c r="D53" s="4">
        <f>VLOOKUP($A53,'PARASTATAL Questions'!$A:$J,5,0)&amp;""</f>
        <v/>
      </c>
      <c r="E53" s="4">
        <f>VLOOKUP($A53,'PARASTATAL Questions'!$A:$J,7,0)&amp;""</f>
        <v/>
      </c>
      <c r="F53" s="4">
        <f>VLOOKUP($A53,'PARASTATAL Questions'!$A:$J,6,0)</f>
        <v/>
      </c>
      <c r="G53" s="4">
        <f>IF($F53=0,"NA",IF($A53=INDIRECT("'"&amp;$A53&amp;"'!$B$1"),IF(VLOOKUP(G$1,INDIRECT("'"&amp;$A53&amp;"'!$A$12:$Z$19"),MATCH("Points (Auto-generate)",INDIRECT("'"&amp;$A53&amp;"'!$A$12:$Z$12"),0),0)="","?",VLOOKUP(G$1,INDIRECT("'"&amp;$A53&amp;"'!$A$12:$Z$19"),MATCH("Points (Auto-generate)",INDIRECT("'"&amp;$A53&amp;"'!$A$12:$Z$12"),0),0)),"ER"))</f>
        <v/>
      </c>
      <c r="H53" s="4">
        <f>IF($F53=0,"NA",IF($A53=INDIRECT("'"&amp;$A53&amp;"'!$B$1"),IF(VLOOKUP(H$1,INDIRECT("'"&amp;$A53&amp;"'!$A$12:$Z$19"),MATCH("Points (Auto-generate)",INDIRECT("'"&amp;$A53&amp;"'!$A$12:$Z$12"),0),0)="","?",VLOOKUP(H$1,INDIRECT("'"&amp;$A53&amp;"'!$A$12:$Z$19"),MATCH("Points (Auto-generate)",INDIRECT("'"&amp;$A53&amp;"'!$A$12:$Z$12"),0),0)),"ER"))</f>
        <v/>
      </c>
      <c r="I53" s="4">
        <f>IF($F53=0,"NA",IF($A53=INDIRECT("'"&amp;$A53&amp;"'!$B$1"),IF(VLOOKUP(I$1,INDIRECT("'"&amp;$A53&amp;"'!$A$12:$Z$19"),MATCH("Points (Auto-generate)",INDIRECT("'"&amp;$A53&amp;"'!$A$12:$Z$12"),0),0)="","?",VLOOKUP(I$1,INDIRECT("'"&amp;$A53&amp;"'!$A$12:$Z$19"),MATCH("Points (Auto-generate)",INDIRECT("'"&amp;$A53&amp;"'!$A$12:$Z$12"),0),0)),"ER"))</f>
        <v/>
      </c>
      <c r="J53" s="4">
        <f>IF($F53=0,"NA",IF($A53=INDIRECT("'"&amp;$A53&amp;"'!$B$1"),IF(VLOOKUP(J$1,INDIRECT("'"&amp;$A53&amp;"'!$A$12:$Z$19"),MATCH("Points (Auto-generate)",INDIRECT("'"&amp;$A53&amp;"'!$A$12:$Z$12"),0),0)="","?",VLOOKUP(J$1,INDIRECT("'"&amp;$A53&amp;"'!$A$12:$Z$19"),MATCH("Points (Auto-generate)",INDIRECT("'"&amp;$A53&amp;"'!$A$12:$Z$12"),0),0)),"ER"))</f>
        <v/>
      </c>
      <c r="K53" s="4">
        <f>IF($F53=0,"NA",IF($A53=INDIRECT("'"&amp;$A53&amp;"'!$B$1"),IF(VLOOKUP(K$1,INDIRECT("'"&amp;$A53&amp;"'!$A$12:$Z$19"),MATCH("Points (Auto-generate)",INDIRECT("'"&amp;$A53&amp;"'!$A$12:$Z$12"),0),0)="","?",VLOOKUP(K$1,INDIRECT("'"&amp;$A53&amp;"'!$A$12:$Z$19"),MATCH("Points (Auto-generate)",INDIRECT("'"&amp;$A53&amp;"'!$A$12:$Z$12"),0),0)),"ER"))</f>
        <v/>
      </c>
      <c r="L53" s="4">
        <f>IF($F53=0,"NA",IF($A53=INDIRECT("'"&amp;$A53&amp;"'!$B$1"),IF(VLOOKUP(L$1,INDIRECT("'"&amp;$A53&amp;"'!$A$12:$Z$19"),MATCH("Points (Auto-generate)",INDIRECT("'"&amp;$A53&amp;"'!$A$12:$Z$12"),0),0)="","?",VLOOKUP(L$1,INDIRECT("'"&amp;$A53&amp;"'!$A$12:$Z$19"),MATCH("Points (Auto-generate)",INDIRECT("'"&amp;$A53&amp;"'!$A$12:$Z$12"),0),0)),"ER"))</f>
        <v/>
      </c>
      <c r="M53" s="4">
        <f>IF($F53=0,"NA",IF($A53=INDIRECT("'"&amp;$A53&amp;"'!$B$1"),IF(VLOOKUP(M$1,INDIRECT("'"&amp;$A53&amp;"'!$A$12:$Z$19"),MATCH("Points (Auto-generate)",INDIRECT("'"&amp;$A53&amp;"'!$A$12:$Z$12"),0),0)="","?",VLOOKUP(M$1,INDIRECT("'"&amp;$A53&amp;"'!$A$12:$Z$19"),MATCH("Points (Auto-generate)",INDIRECT("'"&amp;$A53&amp;"'!$A$12:$Z$12"),0),0)),"ER"))</f>
        <v/>
      </c>
    </row>
    <row r="54">
      <c r="A54" s="4" t="inlineStr">
        <is>
          <t>SC6</t>
        </is>
      </c>
      <c r="B54" s="4">
        <f>VLOOKUP($A54,'PARASTATAL Questions'!$A:$J,3,0)&amp;""</f>
        <v/>
      </c>
      <c r="C54" s="4">
        <f>VLOOKUP($A54,'PARASTATAL Questions'!$A:$J,4,0)&amp;""</f>
        <v/>
      </c>
      <c r="D54" s="4">
        <f>VLOOKUP($A54,'PARASTATAL Questions'!$A:$J,5,0)&amp;""</f>
        <v/>
      </c>
      <c r="E54" s="4">
        <f>VLOOKUP($A54,'PARASTATAL Questions'!$A:$J,7,0)&amp;""</f>
        <v/>
      </c>
      <c r="F54" s="4">
        <f>VLOOKUP($A54,'PARASTATAL Questions'!$A:$J,6,0)</f>
        <v/>
      </c>
      <c r="G54" s="4">
        <f>IF($F54=0,"NA",IF($A54=INDIRECT("'"&amp;$A54&amp;"'!$B$1"),IF(VLOOKUP(G$1,INDIRECT("'"&amp;$A54&amp;"'!$A$12:$Z$19"),MATCH("Points (Auto-generate)",INDIRECT("'"&amp;$A54&amp;"'!$A$12:$Z$12"),0),0)="","?",VLOOKUP(G$1,INDIRECT("'"&amp;$A54&amp;"'!$A$12:$Z$19"),MATCH("Points (Auto-generate)",INDIRECT("'"&amp;$A54&amp;"'!$A$12:$Z$12"),0),0)),"ER"))</f>
        <v/>
      </c>
      <c r="H54" s="4">
        <f>IF($F54=0,"NA",IF($A54=INDIRECT("'"&amp;$A54&amp;"'!$B$1"),IF(VLOOKUP(H$1,INDIRECT("'"&amp;$A54&amp;"'!$A$12:$Z$19"),MATCH("Points (Auto-generate)",INDIRECT("'"&amp;$A54&amp;"'!$A$12:$Z$12"),0),0)="","?",VLOOKUP(H$1,INDIRECT("'"&amp;$A54&amp;"'!$A$12:$Z$19"),MATCH("Points (Auto-generate)",INDIRECT("'"&amp;$A54&amp;"'!$A$12:$Z$12"),0),0)),"ER"))</f>
        <v/>
      </c>
      <c r="I54" s="4">
        <f>IF($F54=0,"NA",IF($A54=INDIRECT("'"&amp;$A54&amp;"'!$B$1"),IF(VLOOKUP(I$1,INDIRECT("'"&amp;$A54&amp;"'!$A$12:$Z$19"),MATCH("Points (Auto-generate)",INDIRECT("'"&amp;$A54&amp;"'!$A$12:$Z$12"),0),0)="","?",VLOOKUP(I$1,INDIRECT("'"&amp;$A54&amp;"'!$A$12:$Z$19"),MATCH("Points (Auto-generate)",INDIRECT("'"&amp;$A54&amp;"'!$A$12:$Z$12"),0),0)),"ER"))</f>
        <v/>
      </c>
      <c r="J54" s="4">
        <f>IF($F54=0,"NA",IF($A54=INDIRECT("'"&amp;$A54&amp;"'!$B$1"),IF(VLOOKUP(J$1,INDIRECT("'"&amp;$A54&amp;"'!$A$12:$Z$19"),MATCH("Points (Auto-generate)",INDIRECT("'"&amp;$A54&amp;"'!$A$12:$Z$12"),0),0)="","?",VLOOKUP(J$1,INDIRECT("'"&amp;$A54&amp;"'!$A$12:$Z$19"),MATCH("Points (Auto-generate)",INDIRECT("'"&amp;$A54&amp;"'!$A$12:$Z$12"),0),0)),"ER"))</f>
        <v/>
      </c>
      <c r="K54" s="4">
        <f>IF($F54=0,"NA",IF($A54=INDIRECT("'"&amp;$A54&amp;"'!$B$1"),IF(VLOOKUP(K$1,INDIRECT("'"&amp;$A54&amp;"'!$A$12:$Z$19"),MATCH("Points (Auto-generate)",INDIRECT("'"&amp;$A54&amp;"'!$A$12:$Z$12"),0),0)="","?",VLOOKUP(K$1,INDIRECT("'"&amp;$A54&amp;"'!$A$12:$Z$19"),MATCH("Points (Auto-generate)",INDIRECT("'"&amp;$A54&amp;"'!$A$12:$Z$12"),0),0)),"ER"))</f>
        <v/>
      </c>
      <c r="L54" s="4">
        <f>IF($F54=0,"NA",IF($A54=INDIRECT("'"&amp;$A54&amp;"'!$B$1"),IF(VLOOKUP(L$1,INDIRECT("'"&amp;$A54&amp;"'!$A$12:$Z$19"),MATCH("Points (Auto-generate)",INDIRECT("'"&amp;$A54&amp;"'!$A$12:$Z$12"),0),0)="","?",VLOOKUP(L$1,INDIRECT("'"&amp;$A54&amp;"'!$A$12:$Z$19"),MATCH("Points (Auto-generate)",INDIRECT("'"&amp;$A54&amp;"'!$A$12:$Z$12"),0),0)),"ER"))</f>
        <v/>
      </c>
      <c r="M54" s="4">
        <f>IF($F54=0,"NA",IF($A54=INDIRECT("'"&amp;$A54&amp;"'!$B$1"),IF(VLOOKUP(M$1,INDIRECT("'"&amp;$A54&amp;"'!$A$12:$Z$19"),MATCH("Points (Auto-generate)",INDIRECT("'"&amp;$A54&amp;"'!$A$12:$Z$12"),0),0)="","?",VLOOKUP(M$1,INDIRECT("'"&amp;$A54&amp;"'!$A$12:$Z$19"),MATCH("Points (Auto-generate)",INDIRECT("'"&amp;$A54&amp;"'!$A$12:$Z$12"),0),0)),"ER"))</f>
        <v/>
      </c>
    </row>
    <row r="55">
      <c r="A55" s="4" t="inlineStr">
        <is>
          <t>SC7</t>
        </is>
      </c>
      <c r="B55" s="4">
        <f>VLOOKUP($A55,'PARASTATAL Questions'!$A:$J,3,0)&amp;""</f>
        <v/>
      </c>
      <c r="C55" s="4">
        <f>VLOOKUP($A55,'PARASTATAL Questions'!$A:$J,4,0)&amp;""</f>
        <v/>
      </c>
      <c r="D55" s="4">
        <f>VLOOKUP($A55,'PARASTATAL Questions'!$A:$J,5,0)&amp;""</f>
        <v/>
      </c>
      <c r="E55" s="4">
        <f>VLOOKUP($A55,'PARASTATAL Questions'!$A:$J,7,0)&amp;""</f>
        <v/>
      </c>
      <c r="F55" s="4">
        <f>VLOOKUP($A55,'PARASTATAL Questions'!$A:$J,6,0)</f>
        <v/>
      </c>
      <c r="G55" s="4">
        <f>IF(OR(G56="ER",G57="ER"),"ER",IF(OR(G56="?",G57="?"),"?",IF(AND(G56="NA",G57="NA"),"NA",SUM(G56,G57)/((G56&lt;&gt;"NA")*$F$56+(G57&lt;&gt;"NA")*$F$57)*$F55)))</f>
        <v/>
      </c>
      <c r="H55" s="4">
        <f>IF(OR(H56="ER",H57="ER"),"ER",IF(OR(H56="?",H57="?"),"?",IF(AND(H56="NA",H57="NA"),"NA",SUM(H56,H57)/((H56&lt;&gt;"NA")*$F$56+(H57&lt;&gt;"NA")*$F$57)*$F55)))</f>
        <v/>
      </c>
      <c r="I55" s="4">
        <f>IF(OR(I56="ER",I57="ER"),"ER",IF(OR(I56="?",I57="?"),"?",IF(AND(I56="NA",I57="NA"),"NA",SUM(I56,I57)/((I56&lt;&gt;"NA")*$F$56+(I57&lt;&gt;"NA")*$F$57)*$F55)))</f>
        <v/>
      </c>
      <c r="J55" s="4">
        <f>IF(OR(J56="ER",J57="ER"),"ER",IF(OR(J56="?",J57="?"),"?",IF(AND(J56="NA",J57="NA"),"NA",SUM(J56,J57)/((J56&lt;&gt;"NA")*$F$56+(J57&lt;&gt;"NA")*$F$57)*$F55)))</f>
        <v/>
      </c>
      <c r="K55" s="4">
        <f>IF(OR(K56="ER",K57="ER"),"ER",IF(OR(K56="?",K57="?"),"?",IF(AND(K56="NA",K57="NA"),"NA",SUM(K56,K57)/((K56&lt;&gt;"NA")*$F$56+(K57&lt;&gt;"NA")*$F$57)*$F55)))</f>
        <v/>
      </c>
      <c r="L55" s="4">
        <f>IF(OR(L56="ER",L57="ER"),"ER",IF(OR(L56="?",L57="?"),"?",IF(AND(L56="NA",L57="NA"),"NA",SUM(L56,L57)/((L56&lt;&gt;"NA")*$F$56+(L57&lt;&gt;"NA")*$F$57)*$F55)))</f>
        <v/>
      </c>
      <c r="M55" s="4">
        <f>IF(OR(M56="ER",M57="ER"),"ER",IF(OR(M56="?",M57="?"),"?",IF(AND(M56="NA",M57="NA"),"NA",SUM(M56,M57)/((M56&lt;&gt;"NA")*$F$56+(M57&lt;&gt;"NA")*$F$57)*$F55)))</f>
        <v/>
      </c>
    </row>
    <row r="56">
      <c r="A56" t="inlineStr">
        <is>
          <t>SC7a</t>
        </is>
      </c>
      <c r="B56">
        <f>VLOOKUP($A56,'PARASTATAL Questions'!$A:$J,3,0)&amp;""</f>
        <v/>
      </c>
      <c r="C56">
        <f>VLOOKUP($A56,'PARASTATAL Questions'!$A:$J,4,0)&amp;""</f>
        <v/>
      </c>
      <c r="D56">
        <f>VLOOKUP($A56,'PARASTATAL Questions'!$A:$J,5,0)&amp;""</f>
        <v/>
      </c>
      <c r="E56">
        <f>VLOOKUP($A56,'PARASTATAL Questions'!$A:$J,7,0)&amp;""</f>
        <v/>
      </c>
      <c r="F56">
        <f>VLOOKUP($A56,'PARASTATAL Questions'!$A:$J,6,0)</f>
        <v/>
      </c>
      <c r="G56">
        <f>IF($F56=0,"NA",IF($A56=INDIRECT("'"&amp;$A56&amp;"'!$B$1"),IF(VLOOKUP(G$1,INDIRECT("'"&amp;$A56&amp;"'!$A$12:$Z$19"),MATCH("Points (Auto-generate)",INDIRECT("'"&amp;$A56&amp;"'!$A$12:$Z$12"),0),0)="","?",VLOOKUP(G$1,INDIRECT("'"&amp;$A56&amp;"'!$A$12:$Z$19"),MATCH("Points (Auto-generate)",INDIRECT("'"&amp;$A56&amp;"'!$A$12:$Z$12"),0),0)),"ER"))</f>
        <v/>
      </c>
      <c r="H56">
        <f>IF($F56=0,"NA",IF($A56=INDIRECT("'"&amp;$A56&amp;"'!$B$1"),IF(VLOOKUP(H$1,INDIRECT("'"&amp;$A56&amp;"'!$A$12:$Z$19"),MATCH("Points (Auto-generate)",INDIRECT("'"&amp;$A56&amp;"'!$A$12:$Z$12"),0),0)="","?",VLOOKUP(H$1,INDIRECT("'"&amp;$A56&amp;"'!$A$12:$Z$19"),MATCH("Points (Auto-generate)",INDIRECT("'"&amp;$A56&amp;"'!$A$12:$Z$12"),0),0)),"ER"))</f>
        <v/>
      </c>
      <c r="I56">
        <f>IF($F56=0,"NA",IF($A56=INDIRECT("'"&amp;$A56&amp;"'!$B$1"),IF(VLOOKUP(I$1,INDIRECT("'"&amp;$A56&amp;"'!$A$12:$Z$19"),MATCH("Points (Auto-generate)",INDIRECT("'"&amp;$A56&amp;"'!$A$12:$Z$12"),0),0)="","?",VLOOKUP(I$1,INDIRECT("'"&amp;$A56&amp;"'!$A$12:$Z$19"),MATCH("Points (Auto-generate)",INDIRECT("'"&amp;$A56&amp;"'!$A$12:$Z$12"),0),0)),"ER"))</f>
        <v/>
      </c>
      <c r="J56">
        <f>IF($F56=0,"NA",IF($A56=INDIRECT("'"&amp;$A56&amp;"'!$B$1"),IF(VLOOKUP(J$1,INDIRECT("'"&amp;$A56&amp;"'!$A$12:$Z$19"),MATCH("Points (Auto-generate)",INDIRECT("'"&amp;$A56&amp;"'!$A$12:$Z$12"),0),0)="","?",VLOOKUP(J$1,INDIRECT("'"&amp;$A56&amp;"'!$A$12:$Z$19"),MATCH("Points (Auto-generate)",INDIRECT("'"&amp;$A56&amp;"'!$A$12:$Z$12"),0),0)),"ER"))</f>
        <v/>
      </c>
      <c r="K56">
        <f>IF($F56=0,"NA",IF($A56=INDIRECT("'"&amp;$A56&amp;"'!$B$1"),IF(VLOOKUP(K$1,INDIRECT("'"&amp;$A56&amp;"'!$A$12:$Z$19"),MATCH("Points (Auto-generate)",INDIRECT("'"&amp;$A56&amp;"'!$A$12:$Z$12"),0),0)="","?",VLOOKUP(K$1,INDIRECT("'"&amp;$A56&amp;"'!$A$12:$Z$19"),MATCH("Points (Auto-generate)",INDIRECT("'"&amp;$A56&amp;"'!$A$12:$Z$12"),0),0)),"ER"))</f>
        <v/>
      </c>
      <c r="L56">
        <f>IF($F56=0,"NA",IF($A56=INDIRECT("'"&amp;$A56&amp;"'!$B$1"),IF(VLOOKUP(L$1,INDIRECT("'"&amp;$A56&amp;"'!$A$12:$Z$19"),MATCH("Points (Auto-generate)",INDIRECT("'"&amp;$A56&amp;"'!$A$12:$Z$12"),0),0)="","?",VLOOKUP(L$1,INDIRECT("'"&amp;$A56&amp;"'!$A$12:$Z$19"),MATCH("Points (Auto-generate)",INDIRECT("'"&amp;$A56&amp;"'!$A$12:$Z$12"),0),0)),"ER"))</f>
        <v/>
      </c>
      <c r="M56">
        <f>IF($F56=0,"NA",IF($A56=INDIRECT("'"&amp;$A56&amp;"'!$B$1"),IF(VLOOKUP(M$1,INDIRECT("'"&amp;$A56&amp;"'!$A$12:$Z$19"),MATCH("Points (Auto-generate)",INDIRECT("'"&amp;$A56&amp;"'!$A$12:$Z$12"),0),0)="","?",VLOOKUP(M$1,INDIRECT("'"&amp;$A56&amp;"'!$A$12:$Z$19"),MATCH("Points (Auto-generate)",INDIRECT("'"&amp;$A56&amp;"'!$A$12:$Z$12"),0),0)),"ER"))</f>
        <v/>
      </c>
    </row>
    <row r="57">
      <c r="A57" t="inlineStr">
        <is>
          <t>SC7b</t>
        </is>
      </c>
      <c r="B57">
        <f>VLOOKUP($A57,'PARASTATAL Questions'!$A:$J,3,0)&amp;""</f>
        <v/>
      </c>
      <c r="C57">
        <f>VLOOKUP($A57,'PARASTATAL Questions'!$A:$J,4,0)&amp;""</f>
        <v/>
      </c>
      <c r="D57">
        <f>VLOOKUP($A57,'PARASTATAL Questions'!$A:$J,5,0)&amp;""</f>
        <v/>
      </c>
      <c r="E57">
        <f>VLOOKUP($A57,'PARASTATAL Questions'!$A:$J,7,0)&amp;""</f>
        <v/>
      </c>
      <c r="F57">
        <f>VLOOKUP($A57,'PARASTATAL Questions'!$A:$J,6,0)</f>
        <v/>
      </c>
      <c r="G57">
        <f>IF($F57=0,"NA",IF($A57=INDIRECT("'"&amp;$A57&amp;"'!$B$1"),IF(VLOOKUP(G$1,INDIRECT("'"&amp;$A57&amp;"'!$A$12:$Z$19"),MATCH("Points (Auto-generate)",INDIRECT("'"&amp;$A57&amp;"'!$A$12:$Z$12"),0),0)="","?",VLOOKUP(G$1,INDIRECT("'"&amp;$A57&amp;"'!$A$12:$Z$19"),MATCH("Points (Auto-generate)",INDIRECT("'"&amp;$A57&amp;"'!$A$12:$Z$12"),0),0)),"ER"))</f>
        <v/>
      </c>
      <c r="H57">
        <f>IF($F57=0,"NA",IF($A57=INDIRECT("'"&amp;$A57&amp;"'!$B$1"),IF(VLOOKUP(H$1,INDIRECT("'"&amp;$A57&amp;"'!$A$12:$Z$19"),MATCH("Points (Auto-generate)",INDIRECT("'"&amp;$A57&amp;"'!$A$12:$Z$12"),0),0)="","?",VLOOKUP(H$1,INDIRECT("'"&amp;$A57&amp;"'!$A$12:$Z$19"),MATCH("Points (Auto-generate)",INDIRECT("'"&amp;$A57&amp;"'!$A$12:$Z$12"),0),0)),"ER"))</f>
        <v/>
      </c>
      <c r="I57">
        <f>IF($F57=0,"NA",IF($A57=INDIRECT("'"&amp;$A57&amp;"'!$B$1"),IF(VLOOKUP(I$1,INDIRECT("'"&amp;$A57&amp;"'!$A$12:$Z$19"),MATCH("Points (Auto-generate)",INDIRECT("'"&amp;$A57&amp;"'!$A$12:$Z$12"),0),0)="","?",VLOOKUP(I$1,INDIRECT("'"&amp;$A57&amp;"'!$A$12:$Z$19"),MATCH("Points (Auto-generate)",INDIRECT("'"&amp;$A57&amp;"'!$A$12:$Z$12"),0),0)),"ER"))</f>
        <v/>
      </c>
      <c r="J57">
        <f>IF($F57=0,"NA",IF($A57=INDIRECT("'"&amp;$A57&amp;"'!$B$1"),IF(VLOOKUP(J$1,INDIRECT("'"&amp;$A57&amp;"'!$A$12:$Z$19"),MATCH("Points (Auto-generate)",INDIRECT("'"&amp;$A57&amp;"'!$A$12:$Z$12"),0),0)="","?",VLOOKUP(J$1,INDIRECT("'"&amp;$A57&amp;"'!$A$12:$Z$19"),MATCH("Points (Auto-generate)",INDIRECT("'"&amp;$A57&amp;"'!$A$12:$Z$12"),0),0)),"ER"))</f>
        <v/>
      </c>
      <c r="K57">
        <f>IF($F57=0,"NA",IF($A57=INDIRECT("'"&amp;$A57&amp;"'!$B$1"),IF(VLOOKUP(K$1,INDIRECT("'"&amp;$A57&amp;"'!$A$12:$Z$19"),MATCH("Points (Auto-generate)",INDIRECT("'"&amp;$A57&amp;"'!$A$12:$Z$12"),0),0)="","?",VLOOKUP(K$1,INDIRECT("'"&amp;$A57&amp;"'!$A$12:$Z$19"),MATCH("Points (Auto-generate)",INDIRECT("'"&amp;$A57&amp;"'!$A$12:$Z$12"),0),0)),"ER"))</f>
        <v/>
      </c>
      <c r="L57">
        <f>IF($F57=0,"NA",IF($A57=INDIRECT("'"&amp;$A57&amp;"'!$B$1"),IF(VLOOKUP(L$1,INDIRECT("'"&amp;$A57&amp;"'!$A$12:$Z$19"),MATCH("Points (Auto-generate)",INDIRECT("'"&amp;$A57&amp;"'!$A$12:$Z$12"),0),0)="","?",VLOOKUP(L$1,INDIRECT("'"&amp;$A57&amp;"'!$A$12:$Z$19"),MATCH("Points (Auto-generate)",INDIRECT("'"&amp;$A57&amp;"'!$A$12:$Z$12"),0),0)),"ER"))</f>
        <v/>
      </c>
      <c r="M57">
        <f>IF($F57=0,"NA",IF($A57=INDIRECT("'"&amp;$A57&amp;"'!$B$1"),IF(VLOOKUP(M$1,INDIRECT("'"&amp;$A57&amp;"'!$A$12:$Z$19"),MATCH("Points (Auto-generate)",INDIRECT("'"&amp;$A57&amp;"'!$A$12:$Z$12"),0),0)="","?",VLOOKUP(M$1,INDIRECT("'"&amp;$A57&amp;"'!$A$12:$Z$19"),MATCH("Points (Auto-generate)",INDIRECT("'"&amp;$A57&amp;"'!$A$12:$Z$12"),0),0)),"ER"))</f>
        <v/>
      </c>
    </row>
    <row r="59">
      <c r="D59" s="4" t="inlineStr">
        <is>
          <t>PARASTATAL_Scores</t>
        </is>
      </c>
      <c r="G59" s="4" t="inlineStr">
        <is>
          <t>Bengaluru – BWSSB</t>
        </is>
      </c>
      <c r="H59" s="4" t="inlineStr">
        <is>
          <t>Bengaluru – BMTC</t>
        </is>
      </c>
      <c r="I59" s="4" t="inlineStr">
        <is>
          <t>Bengaluru – BDA</t>
        </is>
      </c>
      <c r="J59" s="4" t="inlineStr">
        <is>
          <t>Bengaluru – BMRCL</t>
        </is>
      </c>
      <c r="K59" s="4" t="inlineStr">
        <is>
          <t>Bengaluru – BMRDA</t>
        </is>
      </c>
      <c r="L59" s="4" t="inlineStr">
        <is>
          <t>Surat – SUDA</t>
        </is>
      </c>
      <c r="M59" s="4" t="inlineStr">
        <is>
          <t>Surat – GMRC</t>
        </is>
      </c>
    </row>
    <row r="60">
      <c r="D60" s="4" t="inlineStr">
        <is>
          <t>PARASTATAL_OVERALL_SCORE</t>
        </is>
      </c>
      <c r="G60">
        <f>IFERROR(SUMIFS(G$3:G$57,$C$3:$C$57,"MQ")/(COUNTIFS($C$3:$C$57,"MQ")-COUNTIFS($C$3:$C$57,"MQ",G$3:G$57,"NA")),"NA")</f>
        <v/>
      </c>
      <c r="H60">
        <f>IFERROR(SUMIFS(H$3:H$57,$C$3:$C$57,"MQ")/(COUNTIFS($C$3:$C$57,"MQ")-COUNTIFS($C$3:$C$57,"MQ",H$3:H$57,"NA")),"NA")</f>
        <v/>
      </c>
      <c r="I60">
        <f>IFERROR(SUMIFS(I$3:I$57,$C$3:$C$57,"MQ")/(COUNTIFS($C$3:$C$57,"MQ")-COUNTIFS($C$3:$C$57,"MQ",I$3:I$57,"NA")),"NA")</f>
        <v/>
      </c>
      <c r="J60">
        <f>IFERROR(SUMIFS(J$3:J$57,$C$3:$C$57,"MQ")/(COUNTIFS($C$3:$C$57,"MQ")-COUNTIFS($C$3:$C$57,"MQ",J$3:J$57,"NA")),"NA")</f>
        <v/>
      </c>
      <c r="K60">
        <f>IFERROR(SUMIFS(K$3:K$57,$C$3:$C$57,"MQ")/(COUNTIFS($C$3:$C$57,"MQ")-COUNTIFS($C$3:$C$57,"MQ",K$3:K$57,"NA")),"NA")</f>
        <v/>
      </c>
      <c r="L60">
        <f>IFERROR(SUMIFS(L$3:L$57,$C$3:$C$57,"MQ")/(COUNTIFS($C$3:$C$57,"MQ")-COUNTIFS($C$3:$C$57,"MQ",L$3:L$57,"NA")),"NA")</f>
        <v/>
      </c>
      <c r="M60">
        <f>IFERROR(SUMIFS(M$3:M$57,$C$3:$C$57,"MQ")/(COUNTIFS($C$3:$C$57,"MQ")-COUNTIFS($C$3:$C$57,"MQ",M$3:M$57,"NA")),"NA")</f>
        <v/>
      </c>
    </row>
    <row r="61">
      <c r="D61" s="4" t="inlineStr">
        <is>
          <t>No. of MQs not yet scored ("?") - overall score is provisional while &gt; 0</t>
        </is>
      </c>
      <c r="G61">
        <f>COUNTIFS($C$3:$C$57,"MQ",G$3:G$57,"?")</f>
        <v/>
      </c>
      <c r="H61">
        <f>COUNTIFS($C$3:$C$57,"MQ",H$3:H$57,"?")</f>
        <v/>
      </c>
      <c r="I61">
        <f>COUNTIFS($C$3:$C$57,"MQ",I$3:I$57,"?")</f>
        <v/>
      </c>
      <c r="J61">
        <f>COUNTIFS($C$3:$C$57,"MQ",J$3:J$57,"?")</f>
        <v/>
      </c>
      <c r="K61">
        <f>COUNTIFS($C$3:$C$57,"MQ",K$3:K$57,"?")</f>
        <v/>
      </c>
      <c r="L61">
        <f>COUNTIFS($C$3:$C$57,"MQ",L$3:L$57,"?")</f>
        <v/>
      </c>
      <c r="M61">
        <f>COUNTIFS($C$3:$C$57,"MQ",M$3:M$57,"?")</f>
        <v/>
      </c>
    </row>
    <row r="62">
      <c r="D62" s="4" t="inlineStr">
        <is>
          <t>No. of MQs marked NA (excluded from overall score)</t>
        </is>
      </c>
      <c r="G62">
        <f>COUNTIFS($C$3:$C$57,"MQ",G$3:G$57,"NA")</f>
        <v/>
      </c>
      <c r="H62">
        <f>COUNTIFS($C$3:$C$57,"MQ",H$3:H$57,"NA")</f>
        <v/>
      </c>
      <c r="I62">
        <f>COUNTIFS($C$3:$C$57,"MQ",I$3:I$57,"NA")</f>
        <v/>
      </c>
      <c r="J62">
        <f>COUNTIFS($C$3:$C$57,"MQ",J$3:J$57,"NA")</f>
        <v/>
      </c>
      <c r="K62">
        <f>COUNTIFS($C$3:$C$57,"MQ",K$3:K$57,"NA")</f>
        <v/>
      </c>
      <c r="L62">
        <f>COUNTIFS($C$3:$C$57,"MQ",L$3:L$57,"NA")</f>
        <v/>
      </c>
      <c r="M62">
        <f>COUNTIFS($C$3:$C$57,"MQ",M$3:M$57,"NA")</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22" customWidth="1" min="1" max="1"/>
    <col width="50" customWidth="1" min="2" max="2"/>
    <col width="16" customWidth="1" min="3" max="3"/>
    <col width="20" customWidth="1" min="4" max="4"/>
  </cols>
  <sheetData>
    <row r="1">
      <c r="A1" s="3" t="inlineStr">
        <is>
          <t>City</t>
        </is>
      </c>
      <c r="B1" s="3" t="inlineStr">
        <is>
          <t>Agencies</t>
        </is>
      </c>
      <c r="C1" s="3" t="inlineStr">
        <is>
          <t>PARASTATAL score</t>
        </is>
      </c>
      <c r="D1" s="3" t="inlineStr">
        <is>
          <t>Agencies with a score</t>
        </is>
      </c>
    </row>
    <row r="2">
      <c r="A2" t="inlineStr">
        <is>
          <t>Bengaluru</t>
        </is>
      </c>
      <c r="B2" t="inlineStr">
        <is>
          <t>BWSSB, BMTC, BDA, BMRCL, BMRDA</t>
        </is>
      </c>
      <c r="C2">
        <f>IFERROR(AVERAGEIFS('PARASTATAL_SUMMARY_RAW'!$G$60:$M$60,'PARASTATAL_SUMMARY_RAW'!$G$59:$M$59,$A2&amp;" – *"),"NA")</f>
        <v/>
      </c>
      <c r="D2">
        <f>COUNTIFS('PARASTATAL_SUMMARY_RAW'!$G$59:$M$59,$A2&amp;" – *",'PARASTATAL_SUMMARY_RAW'!$G$60:$M$60,"&gt;=0")</f>
        <v/>
      </c>
    </row>
    <row r="3">
      <c r="A3" t="inlineStr">
        <is>
          <t>Surat</t>
        </is>
      </c>
      <c r="B3" t="inlineStr">
        <is>
          <t>SUDA, GMRC</t>
        </is>
      </c>
      <c r="C3">
        <f>IFERROR(AVERAGEIFS('PARASTATAL_SUMMARY_RAW'!$G$60:$M$60,'PARASTATAL_SUMMARY_RAW'!$G$59:$M$59,$A3&amp;" – *"),"NA")</f>
        <v/>
      </c>
      <c r="D3">
        <f>COUNTIFS('PARASTATAL_SUMMARY_RAW'!$G$59:$M$59,$A3&amp;" – *",'PARASTATAL_SUMMARY_RAW'!$G$60:$M$60,"&gt;=0")</f>
        <v/>
      </c>
    </row>
    <row r="5">
      <c r="A5" s="5" t="inlineStr">
        <is>
          <t>A city's score is the average of its agencies' overall scores. Agencies with no applicable questions (NA) are left out.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30" customWidth="1" min="3" max="3"/>
    <col width="60" customWidth="1" min="5" max="5"/>
    <col width="30" customWidth="1" min="8" max="8"/>
    <col width="80" customWidth="1" min="9" max="9"/>
    <col width="50" customWidth="1" min="10" max="10"/>
  </cols>
  <sheetData>
    <row r="1">
      <c r="A1" s="3" t="inlineStr">
        <is>
          <t>Q No</t>
        </is>
      </c>
      <c r="B1" s="3" t="inlineStr">
        <is>
          <t>Original ID</t>
        </is>
      </c>
      <c r="C1" s="3" t="inlineStr">
        <is>
          <t>Group</t>
        </is>
      </c>
      <c r="D1" s="3" t="inlineStr">
        <is>
          <t>MQ_SQ</t>
        </is>
      </c>
      <c r="E1" s="3" t="inlineStr">
        <is>
          <t>Question</t>
        </is>
      </c>
      <c r="F1" s="3" t="inlineStr">
        <is>
          <t>Max Score</t>
        </is>
      </c>
      <c r="G1" s="3" t="inlineStr">
        <is>
          <t>Assessment level</t>
        </is>
      </c>
      <c r="H1" s="3" t="inlineStr">
        <is>
          <t>Applicability</t>
        </is>
      </c>
      <c r="I1" s="3" t="inlineStr">
        <is>
          <t>Detailed Methodology</t>
        </is>
      </c>
      <c r="J1" s="3" t="inlineStr">
        <is>
          <t>Notes for scorers</t>
        </is>
      </c>
    </row>
    <row r="2">
      <c r="A2" t="inlineStr">
        <is>
          <t>UPD1</t>
        </is>
      </c>
      <c r="B2" t="inlineStr">
        <is>
          <t>UPD 1</t>
        </is>
      </c>
      <c r="C2" t="inlineStr">
        <is>
          <t>Urban Planning &amp; Design (UPD)</t>
        </is>
      </c>
      <c r="D2" t="inlineStr">
        <is>
          <t>MQ</t>
        </is>
      </c>
      <c r="E2" t="inlineStr">
        <is>
          <t>Does the parastatal coordinate with the ULG(s) in preparing its spatial and/or sectoral plans?</t>
        </is>
      </c>
      <c r="F2" t="n">
        <v>10</v>
      </c>
      <c r="H2" t="inlineStr">
        <is>
          <t>Common — all parastatal types.</t>
        </is>
      </c>
      <c r="I2" t="inlineStr">
        <is>
          <t>Sum total of the sub-indicators below -</t>
        </is>
      </c>
      <c r="J2" t="inlineStr">
        <is>
          <t>See sub-indicators</t>
        </is>
      </c>
    </row>
    <row r="3">
      <c r="A3" t="inlineStr">
        <is>
          <t>UPD1a</t>
        </is>
      </c>
      <c r="B3" t="inlineStr">
        <is>
          <t>UPD 1a</t>
        </is>
      </c>
      <c r="C3" t="inlineStr">
        <is>
          <t>Urban Planning &amp; Design (UPD)</t>
        </is>
      </c>
      <c r="D3" t="inlineStr">
        <is>
          <t>SQ</t>
        </is>
      </c>
      <c r="E3" t="inlineStr">
        <is>
          <t>Is the parastatal mandated to prepare its spatial and/or sectoral plans in coordination with the ULG(s) within its jurisdiction?</t>
        </is>
      </c>
      <c r="F3" t="n">
        <v>5</v>
      </c>
      <c r="G3" t="inlineStr">
        <is>
          <t>Law/Policy</t>
        </is>
      </c>
      <c r="H3" t="inlineStr">
        <is>
          <t>Common — all parastatal types.</t>
        </is>
      </c>
      <c r="I3" t="inlineStr">
        <is>
          <t>Review the relevant Parastatal Act and the State Town and Country Planning (T&amp;CP) Act.
10 — ULG approval/concurrence or joint preparation is required. 
7.5 — formal consultation is mandatory, and ULG response must be considered/responded to. 
5 — consultation is mandatory, but there is no obligation to incorporate/respond. 
2.5 — consultation is discretionary (“may”). 
0 — no formal role.</t>
        </is>
      </c>
      <c r="J3" t="inlineStr">
        <is>
          <t>Relevant Parastatal Act; applicable Town and Country Planning (T&amp;CP) Act.</t>
        </is>
      </c>
    </row>
    <row r="4">
      <c r="A4" t="inlineStr">
        <is>
          <t>UPD1b</t>
        </is>
      </c>
      <c r="B4" t="inlineStr">
        <is>
          <t>UPD 1b</t>
        </is>
      </c>
      <c r="C4" t="inlineStr">
        <is>
          <t>Urban Planning &amp; Design (UPD)</t>
        </is>
      </c>
      <c r="D4" t="inlineStr">
        <is>
          <t>SQ</t>
        </is>
      </c>
      <c r="E4" t="inlineStr">
        <is>
          <t>Has the ULG participated in the parastatal’s plan-making process?</t>
        </is>
      </c>
      <c r="F4" t="n">
        <v>5</v>
      </c>
      <c r="G4" t="inlineStr">
        <is>
          <t>Implementation</t>
        </is>
      </c>
      <c r="H4" t="inlineStr">
        <is>
          <t>Common — all parastatal types.</t>
        </is>
      </c>
      <c r="I4" t="inlineStr">
        <is>
          <t>Review the latest available plan-making cycle for evidence of ULG participation in the parastatal’s plan-making process, irrespective of whether such participation is legally mandated.
Score 10 where there is evidence of substantive ULG participation, such as joint preparation, concurrence/approval, or documented consideration of and response to ULG inputs.
Score 5 where the ULG was formally consulted or invited to provide inputs, but there is no evidence of how these inputs were considered.
Score 2.5 where there is evidence of limited or informal engagement with the ULG.
Score 0 where there is no evidence of ULG participation.
Evidence may include plan documents, consultation records, meeting minutes, ULG resolutions/comments, responses to ULG inputs, or information published on the parastatal/ULG website.</t>
        </is>
      </c>
      <c r="J4" t="inlineStr">
        <is>
          <t>Evidence may include plan documents, consultation records, meeting minutes, ULG resolutions/comments, responses to ULG inputs, or information published on the parastatal website.</t>
        </is>
      </c>
    </row>
    <row r="5">
      <c r="A5" t="inlineStr">
        <is>
          <t>UPD2</t>
        </is>
      </c>
      <c r="B5" t="inlineStr">
        <is>
          <t>UPD 2</t>
        </is>
      </c>
      <c r="C5" t="inlineStr">
        <is>
          <t>Urban Planning &amp; Design (UPD)</t>
        </is>
      </c>
      <c r="D5" t="inlineStr">
        <is>
          <t>MQ</t>
        </is>
      </c>
      <c r="E5" t="inlineStr">
        <is>
          <t>Where multiple statutory or sectoral plans apply to the same territory, does the water supply board and transport corporation ensure consistency with the applicable metropolitan/regional or city master plan/strategic plan for the city?</t>
        </is>
      </c>
      <c r="F5" t="n">
        <v>10</v>
      </c>
      <c r="H5" t="inlineStr">
        <is>
          <t>All parastatals excluding Development Authorities</t>
        </is>
      </c>
      <c r="I5" t="inlineStr">
        <is>
          <t>Sum of the sub-questions below -</t>
        </is>
      </c>
      <c r="J5" t="inlineStr">
        <is>
          <t>See sub-indicators</t>
        </is>
      </c>
    </row>
    <row r="6">
      <c r="A6" t="inlineStr">
        <is>
          <t>UPD2a</t>
        </is>
      </c>
      <c r="B6" t="inlineStr">
        <is>
          <t>UPD 2a</t>
        </is>
      </c>
      <c r="C6" t="inlineStr">
        <is>
          <t>Urban Planning &amp; Design (UPD)</t>
        </is>
      </c>
      <c r="D6" t="inlineStr">
        <is>
          <t>SQ</t>
        </is>
      </c>
      <c r="E6" t="inlineStr">
        <is>
          <t>Where multiple statutory or sectoral plans apply to the same territory, is the water board mandated to ensure consistency with the applicable metropolitan/regional or city master plan/strategic plan for the city?</t>
        </is>
      </c>
      <c r="F6" t="n">
        <v>2.5</v>
      </c>
      <c r="G6" t="inlineStr">
        <is>
          <t>Law/Policy</t>
        </is>
      </c>
      <c r="H6" t="inlineStr">
        <is>
          <t>Water supply board</t>
        </is>
      </c>
      <c r="I6" t="inlineStr">
        <is>
          <t>Review the relevant Parastatal Act and Town and Country Planning Act.
Score 2.50 if the parastatal shall/is required to ensure that its spatial/sectoral plan is consistent with the applicable city, metropolitan or regional statutory plan.
Score 1.25 if the law provides that the parastatal may ensure/seek such consistency or otherwise makes alignment discretionary.
Score 0 if no such provision exists.
For example, a provision stating that a water supply plan shall conform to the applicable Master Plan or Metropolitan Plan would score 2.5, while a provision stating that the authority may have regard to such a plan would score 1.25.</t>
        </is>
      </c>
      <c r="J6" t="inlineStr">
        <is>
          <t>Relevant Parastatal Act; applicable Town and Country Planning (T&amp;CP) Act.</t>
        </is>
      </c>
    </row>
    <row r="7">
      <c r="A7" t="inlineStr">
        <is>
          <t>UPD2b</t>
        </is>
      </c>
      <c r="B7" t="inlineStr">
        <is>
          <t>UPD 2b</t>
        </is>
      </c>
      <c r="C7" t="inlineStr">
        <is>
          <t>Urban Planning &amp; Design (UPD)</t>
        </is>
      </c>
      <c r="D7" t="inlineStr">
        <is>
          <t>SQ</t>
        </is>
      </c>
      <c r="E7" t="inlineStr">
        <is>
          <t>Where multiple statutory or sectoral plans apply to the same territory, does the water supply board ensure consistency with the applicable metropolitan/regional or city master plan/strategic plan for the city?</t>
        </is>
      </c>
      <c r="F7" t="n">
        <v>2.5</v>
      </c>
      <c r="G7" t="inlineStr">
        <is>
          <t>Implementation</t>
        </is>
      </c>
      <c r="H7" t="inlineStr">
        <is>
          <t>Water supply board</t>
        </is>
      </c>
      <c r="I7" t="inlineStr">
        <is>
          <t>Review the Board’s current water supply/sewerage master plan, or equivalent sectoral planning document, together with the applicable Master Plan/Development Plan/Metropolitan or Regional Plan.
Score 2.5 if the water plan demonstrates substantive spatial alignment with the city’s master plan: It explicitly draws reference to the city master plan, uses the master plan’s growth/service areas and/or land-use framework to determine network expansion and major infrastructure siting, and also refers to the master plan or its projections as an input.
Score 1.25 if there is partial alignment: the water plan refers to the master plan and/or uses its population, density or land-use projections, but does not clearly demonstrate that these inputs determine the spatial location of network expansion, service areas or major infrastructure.
Score 0 if there is no identifiable evidence that the Master Plan or its spatial/population framework informs water planning.
The score sheet should record components for scores, the plan/document relied upon, year, applicable statutory master plan and the specific reference demonstrating alignment.
Additional quality check, and not for scoring:
Where readily available, record whether major treatment plants, trunk infrastructure or other significant facilities have required subsequent land-use conversion/regularisation because they were located on land not originally designated for that use. Treat this as contextual evidence of planning misalignment; it should not require a project-by-project review across the entire city.</t>
        </is>
      </c>
      <c r="J7" t="inlineStr">
        <is>
          <t>Water Supply Board's current water supply/sewerage master plan or equivalent sectoral planning document; applicable Master Plan/Development Plan/Metropolitan or Regional Plan; land-use conversion/regularisation records for major treatment plants or trunk infrastructure, where available.</t>
        </is>
      </c>
    </row>
    <row r="8">
      <c r="A8" t="inlineStr">
        <is>
          <t>UPD2c</t>
        </is>
      </c>
      <c r="B8" t="inlineStr">
        <is>
          <t>UPD 2c</t>
        </is>
      </c>
      <c r="C8" t="inlineStr">
        <is>
          <t>Urban Planning &amp; Design (UPD)</t>
        </is>
      </c>
      <c r="D8" t="inlineStr">
        <is>
          <t>SQ</t>
        </is>
      </c>
      <c r="E8" t="inlineStr">
        <is>
          <t>Where multiple statutory or sectoral plans apply to the same territory, is the transport corporation mandated to ensure consistency with the applicable metropolitan/regional or city master plan/strategic plan for the city?</t>
        </is>
      </c>
      <c r="F8" t="n">
        <v>2.5</v>
      </c>
      <c r="G8" t="inlineStr">
        <is>
          <t>Law/Policy</t>
        </is>
      </c>
      <c r="H8" t="inlineStr">
        <is>
          <t>Transport Corporation</t>
        </is>
      </c>
      <c r="I8" t="inlineStr">
        <is>
          <t>Review the relevant Parastatal Act and Town and Country Planning Act.
Score 2.5 if the parastatal shall/is required to ensure that its spatial/sectoral plan is consistent with the applicable city, metropolitan or regional statutory plan.
Score 1.25 if the law provides that the parastatal may ensure/seek such consistency or otherwise makes alignment discretionary.
Score 0 if no such provision exists.
For example, a provision stating that a transport plan shall conform to the applicable Master Plan or Metropolitan Plan would score 2.5, while a provision stating that the authority may have regard to such a plan would score 1.25.</t>
        </is>
      </c>
      <c r="J8" t="inlineStr">
        <is>
          <t>Relevant Parastatal Act; applicable Town and Country Planning (T&amp;CP) Act.</t>
        </is>
      </c>
    </row>
    <row r="9">
      <c r="A9" t="inlineStr">
        <is>
          <t>UPD2d</t>
        </is>
      </c>
      <c r="B9" t="inlineStr">
        <is>
          <t>UPD 2d</t>
        </is>
      </c>
      <c r="C9" t="inlineStr">
        <is>
          <t>Urban Planning &amp; Design (UPD)</t>
        </is>
      </c>
      <c r="D9" t="inlineStr">
        <is>
          <t>SQ</t>
        </is>
      </c>
      <c r="E9" t="inlineStr">
        <is>
          <t>Where multiple statutory or sectoral plans apply to the same territory, does the transport corporation ensure consistency with the applicable metropolitan/regional or city master plan/strategic plan for the city?</t>
        </is>
      </c>
      <c r="F9" t="n">
        <v>2.5</v>
      </c>
      <c r="G9" t="inlineStr">
        <is>
          <t>Implementation</t>
        </is>
      </c>
      <c r="H9" t="inlineStr">
        <is>
          <t>Transport Corporation</t>
        </is>
      </c>
      <c r="I9" t="inlineStr">
        <is>
          <t>Review the transport corporation's current transport/mobility master plan, network expansion plan, or equivalent sectoral planning document, together with the applicable Master Plan/Development Plan/Metropolitan or Regional Plan.
Score 2.5 if the transport plan demonstrates substantive spatial alignment with the city's master plan: it explicitly draws reference to the city master plan, uses the master plan's growth corridors, land-use framework and/or density projections to determine route planning, station/depot siting or network expansion, and refers to the master plan or its projections as an input.
Score 1.25 if there is partial alignment: the transport plan refers to the master plan and/or uses its population, density or land-use projections, but does not clearly demonstrate that these inputs determine the spatial location of routes, stations or major infrastructure.
Score 0 if there is no identifiable evidence that the Master Plan or its spatial/population framework informs transport planning.
The score sheet should record components for scores, the plan/document relied upon, year, applicable statutory master plan, and the specific reference demonstrating alignment.
Additional quality check, not for scoring: where readily available, record whether major depots, terminals or transit infrastructure required subsequent land-use conversion/regularisation because they were sited on land not originally designated for that use. Treat this as contextual evidence of planning misalignment; it should not require a project-by-project review across the entire city.</t>
        </is>
      </c>
      <c r="J9" t="inlineStr">
        <is>
          <t>Transport corporation's current mobility/network plan; applicable Master Plan/Development Plan/Metropolitan or Regional Plan; land-use conversion/regularisation records for major transport infrastructure, where available.</t>
        </is>
      </c>
    </row>
    <row r="10">
      <c r="A10" t="inlineStr">
        <is>
          <t>UPD3</t>
        </is>
      </c>
      <c r="B10" t="inlineStr">
        <is>
          <t>UPD 3</t>
        </is>
      </c>
      <c r="C10" t="inlineStr">
        <is>
          <t>Urban Planning &amp; Design (UPD)</t>
        </is>
      </c>
      <c r="D10" t="inlineStr">
        <is>
          <t>MQ</t>
        </is>
      </c>
      <c r="E10" t="inlineStr">
        <is>
          <t>Are the needs of women, the urban poor, and other vulnerable groups explicitly considered in the water board’s planning, service delivery or major investment decisions?</t>
        </is>
      </c>
      <c r="F10" t="n">
        <v>10</v>
      </c>
      <c r="G10" t="inlineStr">
        <is>
          <t>Law/Policy</t>
        </is>
      </c>
      <c r="H10" t="inlineStr">
        <is>
          <t>Water supply board</t>
        </is>
      </c>
      <c r="I10" t="inlineStr">
        <is>
          <t>Review the relevant Act of the parastatal and applicable sectoral legislation, rules, regulations and other binding policy instruments. Do not award credit solely for broad references such as “public interest”, “public welfare” or “welfare of inhabitants”; there must be an identifiable requirement relating to women, the urban poor, EWS/slum residents, persons with disabilities, informal workers, disadvantaged/vulnerable groups, affordability, equitable/universal access, safety, or rehabilitation/resettlement protections.</t>
        </is>
      </c>
      <c r="J10" t="inlineStr">
        <is>
          <t>Relevant Act of the parastatal and applicable sectoral legislation, rules, regulations and other binding policy instruments</t>
        </is>
      </c>
    </row>
    <row r="11">
      <c r="A11" t="inlineStr">
        <is>
          <t>UPD3a</t>
        </is>
      </c>
      <c r="B11" t="inlineStr">
        <is>
          <t>UPD 3a</t>
        </is>
      </c>
      <c r="C11" t="inlineStr">
        <is>
          <t>Urban Planning &amp; Design (UPD)</t>
        </is>
      </c>
      <c r="D11" t="inlineStr">
        <is>
          <t>SQ</t>
        </is>
      </c>
      <c r="E11" t="inlineStr">
        <is>
          <t>Is the water supply board mandated to consider the needs of women, the urban poor and other vulnerable groups in decisions relating to access, affordability and delivery of water and sanitation services?</t>
        </is>
      </c>
      <c r="F11" t="n">
        <v>5</v>
      </c>
      <c r="G11" t="inlineStr">
        <is>
          <t>Law/Policy</t>
        </is>
      </c>
      <c r="H11" t="inlineStr">
        <is>
          <t>Water supply board</t>
        </is>
      </c>
      <c r="I11" t="inlineStr">
        <is>
          <t>Review the Water Supply Board/utility Act, water and sanitation legislation, tariff regulations, service rules, State policies and other applicable binding instruments. Look for explicit requirements relating to universal/equitable access, service to slums or informal settlements, low-income/EWS households, affordability or concessional tariffs, minimum/lifeline supply, tenure-neutral access, women’s needs, persons with disabilities or other identified vulnerable groups.
Score 5 if equity requirements apply across core service-access and delivery decisions
Score 2.5 if limited to particular groups, services or schemes
Score 0 if no explicit requirement is found.</t>
        </is>
      </c>
      <c r="J11" t="inlineStr">
        <is>
          <t>Water Supply Board/utility Act, water and sanitation legislation, tariff regulations, service rules, State policies and other applicable binding instruments</t>
        </is>
      </c>
    </row>
    <row r="12">
      <c r="A12" t="inlineStr">
        <is>
          <t>UPD3b</t>
        </is>
      </c>
      <c r="B12" t="inlineStr">
        <is>
          <t>UPD 3b</t>
        </is>
      </c>
      <c r="C12" t="inlineStr">
        <is>
          <t>Urban Planning &amp; Design (UPD)</t>
        </is>
      </c>
      <c r="D12" t="inlineStr">
        <is>
          <t>SQ</t>
        </is>
      </c>
      <c r="E12" t="inlineStr">
        <is>
          <t>Does the water supply board actually consider the needs of women, the urban poor and other vulnerable groups in decisions relating to access, affordability and delivery of water and sanitation services?</t>
        </is>
      </c>
      <c r="F12" t="n">
        <v>5</v>
      </c>
      <c r="G12" t="inlineStr">
        <is>
          <t>Implementation</t>
        </is>
      </c>
      <c r="H12" t="inlineStr">
        <is>
          <t>Water supply board</t>
        </is>
      </c>
      <c r="I12" t="inlineStr">
        <is>
          <t>Review the Board’s current water supply plan. Assess whether the Board’s it contains identifiable equity and inclusion measures for groups such as EWS/BPL households, slum/informal-settlement residents, women, persons with disabilities, elderly persons or other specifically identified vulnerable/disadvantaged groups.
Do not award credit for generic language such as “public interest”, “all consumers”, “universal service” or “inclusive development” unless this is translated into a specific planning, service, tariff, connection or design provision.
Component 1 – Affordability and inclusion in service coverage: 2.5 marks
Look for identifiable provisions such as:
concessional/lifeline tariff, connection fee concession, deposit concession or other affordability measure for EWS/BPL/slum/low-income households
a named scheme or coverage commitment for slums/informal settlements
inclusion of slums/informal settlements within the water-supply master plan’s demand assessment, network design or service area, including where relevant irrespective of land tenure or notified status
priority/admissible category for network extension to low-income or underserved settlements
decentralised/service alternatives such as community stand posts, water ATMs or mini-networks where individual household connections are not feasible.
Scoring
Score 2.5 if there is evidence of both (i) an affordability/access measure and (ii) an explicit service-planning/coverage measure for an identified vulnerable group.
Score 1.25 if only one of the above is present.
Score 0 if neither is present.
Component 2 – Gender, and accessible design: 2.5 marks
Look for identifiable planning or design measures such as:
GESI/gender/social inclusion screening or analysis within water-supply planning or DPR preparation
explicit design consideration for women, PwDs, elderly persons, children or other identified vulnerable users
siting of shared water infrastructure to reduce time, distance or physical burden
safe and accessible approaches to community water points
barrier-free/universal-access design standards for public-facing water infrastructure, including ramps, step-free access, appropriate tap heights or other accessible design features
other specific design or service measures intended to address identified access barriers.
Scoring
Score 2.5 if the Board’s current planning/design framework contains specific operational or design measures addressing the needs of identified vulnerable groups.
Score 1.25 if vulnerable groups are specifically identified and considered, but the provision does not translate into a clear operational/design requirement.
Score 0 if there is no identifiable equity/accessibility consideration.</t>
        </is>
      </c>
      <c r="J12" t="inlineStr">
        <is>
          <t>Water Supply Board's current water supply/sanitation plan; scheme/coverage documents; tariff or connection-concession orders; design/service standards.</t>
        </is>
      </c>
    </row>
    <row r="13">
      <c r="A13" t="inlineStr">
        <is>
          <t>UPD4</t>
        </is>
      </c>
      <c r="B13" t="inlineStr">
        <is>
          <t>UPD 4</t>
        </is>
      </c>
      <c r="C13" t="inlineStr">
        <is>
          <t>Urban Planning &amp; Design (UPD)</t>
        </is>
      </c>
      <c r="D13" t="inlineStr">
        <is>
          <t>MQ</t>
        </is>
      </c>
      <c r="E13" t="inlineStr">
        <is>
          <t>Are the needs of women, the urban poor, and other vulnerable groups explicitly considered in the transport Corporation’s planning, service delivery or major investment decisions?</t>
        </is>
      </c>
      <c r="F13" t="n">
        <v>10</v>
      </c>
      <c r="H13" t="inlineStr">
        <is>
          <t>Transport Corporation</t>
        </is>
      </c>
      <c r="I13" t="inlineStr">
        <is>
          <t>Sum of the sub-questions below -</t>
        </is>
      </c>
      <c r="J13" t="inlineStr">
        <is>
          <t>See sub-indicators</t>
        </is>
      </c>
    </row>
    <row r="14">
      <c r="A14" t="inlineStr">
        <is>
          <t>UPD4a</t>
        </is>
      </c>
      <c r="B14" t="inlineStr">
        <is>
          <t>UPD 4a</t>
        </is>
      </c>
      <c r="C14" t="inlineStr">
        <is>
          <t>Urban Planning &amp; Design (UPD)</t>
        </is>
      </c>
      <c r="D14" t="inlineStr">
        <is>
          <t>SQ</t>
        </is>
      </c>
      <c r="E14" t="inlineStr">
        <is>
          <t>Is the transport corporation mandated to consider the mobility needs of women, the urban poor and other vulnerable groups in planning and delivering public transport services?</t>
        </is>
      </c>
      <c r="F14" t="n">
        <v>5</v>
      </c>
      <c r="G14" t="inlineStr">
        <is>
          <t>Law/Policy</t>
        </is>
      </c>
      <c r="H14" t="inlineStr">
        <is>
          <t>Transport Corporation</t>
        </is>
      </c>
      <c r="I14" t="inlineStr">
        <is>
          <t>Review the transport authority/corporation Act, applicable transport legislation, rules, service regulations, fare policies and other binding policy instruments. Look for requirements relating to women’s safety and mobility, affordability/concessional fares, service coverage for low-income or peripheral areas, universal accessibility, persons with disabilities, last-mile access or other identified vulnerable users.
Score 5 if such considerations are explicitly embedded across core service-planning and delivery functions
Score 2.5 if limited to specific groups, services or schemes
Score 0 if no explicit requirement is found.</t>
        </is>
      </c>
      <c r="J14" t="inlineStr">
        <is>
          <t>Transport authority/corporation Act, applicable transport legislation, rules, service regulations, fare policies and other binding policy instruments</t>
        </is>
      </c>
    </row>
    <row r="15">
      <c r="A15" t="inlineStr">
        <is>
          <t>UPD4b</t>
        </is>
      </c>
      <c r="B15" t="inlineStr">
        <is>
          <t>UPD 4b</t>
        </is>
      </c>
      <c r="C15" t="inlineStr">
        <is>
          <t>Urban Planning &amp; Design (UPD)</t>
        </is>
      </c>
      <c r="D15" t="inlineStr">
        <is>
          <t>SQ</t>
        </is>
      </c>
      <c r="E15" t="inlineStr">
        <is>
          <t>Does the Transport Corporation actually consider the needs of women, the urban poor and other vulnerable groups in decisions relating to access, affordability and delivery of public transport services?</t>
        </is>
      </c>
      <c r="F15" t="n">
        <v>5</v>
      </c>
      <c r="G15" t="inlineStr">
        <is>
          <t>Implementation</t>
        </is>
      </c>
      <c r="H15" t="inlineStr">
        <is>
          <t>Transport Corporation</t>
        </is>
      </c>
      <c r="I15" t="inlineStr">
        <is>
          <t>Review the Corporation's current transport/mobility plan or service-delivery framework. Assess whether it contains identifiable equity and inclusion measures for groups such as EWS/BPL households, informal-settlement residents, women, persons with disabilities, elderly persons or other specifically identified vulnerable/disadvantaged groups.
Do not award credit for generic language such as "public interest," "all commuters," "universal service" or "inclusive development" unless this is translated into a specific route, fare, service or design provision.
Component 1 – Affordability and inclusion in service coverage: 2.5 marks. Look for: concessional/subsidised fares for EWS/BPL, students, elderly persons, persons with disabilities or women; a named coverage commitment for low-income/peripheral areas; inclusion of informal settlements within route planning; last-mile connectivity measures for underserved settlements.
Score 2.5 if there is evidence of both (i) an affordability/fare-concession measure and (ii) an explicit route/coverage measure for an identified vulnerable group. Score 1.25 if only one is present. Score 0 if neither is present.
Component 2 – Gender, safety and accessible design: 2.5 marks. Look for: women's safety features (CCTV, panic buttons, adequate lighting); GESI/gender screening in transport planning; accessible design for persons with disabilities and elderly users (low-floor buses, ramps, priority seating, step-free access).
Score 2.5 if the Corporation's current planning/design framework contains specific operational or design measures. Score 1.25 if vulnerable groups are identified but this doesn't translate into an operational/design requirement. Score 0 if no identifiable consideration.</t>
        </is>
      </c>
      <c r="J15" t="inlineStr">
        <is>
          <t>Transport Corporation's current transport/mobility plan; fare policy/concession orders; service design standards or specifications; annual report.</t>
        </is>
      </c>
    </row>
    <row r="16">
      <c r="A16" t="inlineStr">
        <is>
          <t>UPD5</t>
        </is>
      </c>
      <c r="B16" t="inlineStr">
        <is>
          <t>UPD 5</t>
        </is>
      </c>
      <c r="C16" t="inlineStr">
        <is>
          <t>Urban Planning &amp; Design (UPD)</t>
        </is>
      </c>
      <c r="D16" t="inlineStr">
        <is>
          <t>MQ</t>
        </is>
      </c>
      <c r="E16" t="inlineStr">
        <is>
          <t>Are environmental considerations explicitly required to be integrated into the water supply board’s planning, service-delivery or major investment decisions?</t>
        </is>
      </c>
      <c r="F16" t="n">
        <v>10</v>
      </c>
      <c r="G16" t="inlineStr">
        <is>
          <t>Law/Policy</t>
        </is>
      </c>
      <c r="H16" t="inlineStr">
        <is>
          <t>Water supply board</t>
        </is>
      </c>
      <c r="I16" t="inlineStr">
        <is>
          <t>Assess through the relevant parastatal-specific question below. Review the enabling Act of the parastatal, applicable sectoral legislation, T&amp;CP/planning legislation where relevant, environmental rules/regulations, and other binding policy instruments governing the parastatal’s functions. Do not award credit solely for general references to “environment”, “public interest” or compliance with project-level environmental clearances. The legal/policy framework should require environmental considerations to inform the parastatal’s own planning, investment or service-delivery decisions.</t>
        </is>
      </c>
      <c r="J16" t="inlineStr">
        <is>
          <t>Enabling Act of the parastatal, applicable sectoral legislation, T&amp;CP/planning legislation, relevant environmental rules/regulations, and other binding policy instruments</t>
        </is>
      </c>
    </row>
    <row r="17">
      <c r="A17" t="inlineStr">
        <is>
          <t>UPD5a</t>
        </is>
      </c>
      <c r="B17" t="inlineStr">
        <is>
          <t>UPD 5a</t>
        </is>
      </c>
      <c r="C17" t="inlineStr">
        <is>
          <t>Urban Planning &amp; Design (UPD)</t>
        </is>
      </c>
      <c r="D17" t="inlineStr">
        <is>
          <t>SQ</t>
        </is>
      </c>
      <c r="E17" t="inlineStr">
        <is>
          <t>Is the water supply board mandated to consider environmental sustainability in planning and delivering water and sanitation services?</t>
        </is>
      </c>
      <c r="F17" t="n">
        <v>5</v>
      </c>
      <c r="G17" t="inlineStr">
        <is>
          <t>Law/Policy</t>
        </is>
      </c>
      <c r="H17" t="inlineStr">
        <is>
          <t>Water supply board</t>
        </is>
      </c>
      <c r="I17" t="inlineStr">
        <is>
          <t>Review the Water Supply Board/utility Act, water and sanitation legislation, service rules, State water policies, groundwater/source-protection provisions and other binding instruments. Look for explicit requirements relating to sustainable water sources, source protection, demand management or conservation, reduction of water losses, wastewater treatment/reuse, protection from pollution, environmental flows where applicable, climate resilience or environmentally sustainable service delivery. 
Score 5 if environmental sustainability requirements apply across core water/sanitation planning and service-delivery functions; 
Score 2.5 if limited to particular functions, schemes or environmental concerns; 
Score 0 if no explicit requirement is found.</t>
        </is>
      </c>
      <c r="J17" t="inlineStr">
        <is>
          <t>Water Supply Board/utility Act, water and sanitation legislation, service rules, State water policies, groundwater/source-protection provisions and other binding instruments</t>
        </is>
      </c>
    </row>
    <row r="18">
      <c r="A18" t="inlineStr">
        <is>
          <t>UPD5b</t>
        </is>
      </c>
      <c r="B18" t="inlineStr">
        <is>
          <t>UPD 5b</t>
        </is>
      </c>
      <c r="C18" t="inlineStr">
        <is>
          <t>Urban Planning &amp; Design (UPD)</t>
        </is>
      </c>
      <c r="D18" t="inlineStr">
        <is>
          <t>SQ</t>
        </is>
      </c>
      <c r="E18" t="inlineStr">
        <is>
          <t>Does the water supply board actually consider environmental sustainability in planning and delivering water and sanitation services?</t>
        </is>
      </c>
      <c r="F18" t="n">
        <v>5</v>
      </c>
      <c r="G18" t="inlineStr">
        <is>
          <t>Implementation</t>
        </is>
      </c>
      <c r="H18" t="inlineStr">
        <is>
          <t>Water supply board</t>
        </is>
      </c>
      <c r="I18" t="inlineStr">
        <is>
          <t>Review the Board's latest water supply plan. Assess whether it contains identifiable environmental sustainability measures relating to source management, conservation, wastewater management, or climate resilience.
Do not award credit for generic language such as "sustainable development," "efficient service," "environment friendly" or "public interest" unless this is translated into a specific planning, operational, or design provision.
Component 1 – Sustainable source management, conservation and loss reduction: 2.5 marks
Look for identifiable provisions such as:
sustainable or diversified water source development, or measures to reduce over-extraction/dependence on a stressed source
groundwater recharge, rainwater harvesting, or source-protection measures within the Board's own infrastructure planning
a non-revenue water (NRW)/water-loss reduction target or programme
demand management or water conservation measures (e.g., universal metering, leak detection and repair programme, conservation-oriented design standards)
measures to protect water sources from pollution or encroachment (buffer/catchment protection, control of upstream effluent discharge)
any other specific measure on sustainable source management, and/or conservation and loss reduction
Scoring:
Score 2.5 if there is evidence of both (i) a sustainable source/protection measure and (ii) an explicit loss-reduction or demand-management target/programme.
Score 1.25 if only one of the above is present. Score 0 if neither is present.
Component 2 – Wastewater management, reuse and climate resilience: 2.5 marks
Look for identifiable planning or operational measures such as:
wastewater treatment capacity or quality targets aligned with service expansion
a treated-wastewater reuse/recycling target or scheme (industrial, horticultural, non-potable reuse, etc.)
climate resilience or adaptation measures for water sources or infrastructure (drought contingency planning, flood-proofing of treatment/pumping assets)
energy efficiency measures in water/wastewater operations (energy audits, renewable energy use in pumping/treatment)
environmental flow or ecological considerations where surface water sources are used
other specific measures addressing the environmental impact of water or wastewater operations
Scoring:
Score 2.5 if the Board's current planning framework contains specific operational measures addressing wastewater management, climate resilience or energy use.
Score 1.25 if such considerations are mentioned or identified but do not translate into a clear operational or target-based requirement.
Score 0 if there is no identifiable environmental sustainability consideration.</t>
        </is>
      </c>
      <c r="J18" t="inlineStr">
        <is>
          <t>Water Supply Board's current water supply/sanitation plan; source-protection or conservation programme documents; wastewater treatment/reuse scheme documents; annual report.</t>
        </is>
      </c>
    </row>
    <row r="19">
      <c r="A19" t="inlineStr">
        <is>
          <t>UPD6</t>
        </is>
      </c>
      <c r="B19" t="inlineStr">
        <is>
          <t>UPD 6</t>
        </is>
      </c>
      <c r="C19" t="inlineStr">
        <is>
          <t>Urban Planning &amp; Design (UPD)</t>
        </is>
      </c>
      <c r="D19" t="inlineStr">
        <is>
          <t>MQ</t>
        </is>
      </c>
      <c r="E19" t="inlineStr">
        <is>
          <t>Are environmental considerations explicitly required to be integrated into the transport corporation’s planning, service-delivery or major investment decisions?</t>
        </is>
      </c>
      <c r="F19" t="n">
        <v>10</v>
      </c>
      <c r="H19" t="inlineStr">
        <is>
          <t>Transport Corporation</t>
        </is>
      </c>
      <c r="I19" t="inlineStr">
        <is>
          <t>Sum of the sub-questions below -</t>
        </is>
      </c>
      <c r="J19" t="inlineStr">
        <is>
          <t>See sub-indicators</t>
        </is>
      </c>
    </row>
    <row r="20">
      <c r="A20" t="inlineStr">
        <is>
          <t>UPD6a</t>
        </is>
      </c>
      <c r="B20" t="inlineStr">
        <is>
          <t>UPD 6a</t>
        </is>
      </c>
      <c r="C20" t="inlineStr">
        <is>
          <t>Urban Planning &amp; Design (UPD)</t>
        </is>
      </c>
      <c r="D20" t="inlineStr">
        <is>
          <t>SQ</t>
        </is>
      </c>
      <c r="E20" t="inlineStr">
        <is>
          <t>Is the transport corporation mandated to consider environmental sustainability in planning and delivering urban transport services and investments?</t>
        </is>
      </c>
      <c r="F20" t="n">
        <v>5</v>
      </c>
      <c r="G20" t="inlineStr">
        <is>
          <t>Law/Policy</t>
        </is>
      </c>
      <c r="H20" t="inlineStr">
        <is>
          <t>Transport Corporation</t>
        </is>
      </c>
      <c r="I20" t="inlineStr">
        <is>
          <t>Review the transport authority/corporation Act, applicable transport legislation, rules, mobility/transport policies and other binding instruments. Look for explicit requirements relating to public and non-motorised transport prioritisation, emissions reduction, cleaner vehicle/fuel transition, energy efficiency, integration of land use and transport, reduction of congestion or vehicle dependence, climate resilience, or environmental impacts of major transport investments.
Score 5 if environmental considerations are explicitly embedded across core transport planning/investment/service-delivery functions
Score 2.5 if limited to specific modes, projects or environmental objectives
Score 0 if no explicit requirement is found.</t>
        </is>
      </c>
      <c r="J20" t="inlineStr">
        <is>
          <t>Transport authority/corporation Act, applicable transport legislation, rules, mobility/transport policies and other binding instruments</t>
        </is>
      </c>
    </row>
    <row r="21">
      <c r="A21" t="inlineStr">
        <is>
          <t>UPD6b</t>
        </is>
      </c>
      <c r="B21" t="inlineStr">
        <is>
          <t>UPD 6b</t>
        </is>
      </c>
      <c r="C21" t="inlineStr">
        <is>
          <t>Urban Planning &amp; Design (UPD)</t>
        </is>
      </c>
      <c r="D21" t="inlineStr">
        <is>
          <t>SQ</t>
        </is>
      </c>
      <c r="E21" t="inlineStr">
        <is>
          <t>Does the transport corporation actually considers environmental sustainability in planning and delivering urban transport services and investments?</t>
        </is>
      </c>
      <c r="F21" t="n">
        <v>5</v>
      </c>
      <c r="G21" t="inlineStr">
        <is>
          <t>Implementation</t>
        </is>
      </c>
      <c r="H21" t="inlineStr">
        <is>
          <t>Transport Corporation</t>
        </is>
      </c>
      <c r="I21" t="inlineStr">
        <is>
          <t>Review the Corporation's current fleet plan, network/route plan or environmental/sustainability policy. Assess whether it contains identifiable environmental sustainability measures relating to fleet composition, emissions, energy use or modal integration.
Do not award credit for generic language such as "sustainable development," "green transport" or "environment friendly" unless translated into a specific fleet, operational or design provision.
Component 1 – Cleaner fleet and emissions reduction: 2.5 marks. Look for: an electric/CNG/hybrid fleet-transition target; an emissions or fuel-efficiency target; a retirement/phase-out schedule for high-emission vehicles.
Score 2.5 if evidence of both (i) a cleaner-fuel/fleet-transition measure and (ii) an explicit emissions/efficiency target. Score 1.25 if only one is present. Score 0 if neither.
Component 2 – Modal integration and demand-side measures: 2.5 marks. Look for: route planning informed by land-use/density to reduce vehicle-km travelled; NMT integration at stops/stations; multimodal integration (common ticketing, interchange with metro/rail); energy efficiency in depots/operations.
Score 2.5 if the Corporation's planning framework contains specific operational measures. Score 1.25 if mentioned but not operationalised/targeted. Score 0 if no identifiable consideration.</t>
        </is>
      </c>
      <c r="J21" t="inlineStr">
        <is>
          <t>Transport Corporation's fleet plan; route/network plan; environmental/sustainability policy; annual report.</t>
        </is>
      </c>
    </row>
    <row r="22">
      <c r="A22" t="inlineStr">
        <is>
          <t>DPG1</t>
        </is>
      </c>
      <c r="B22" t="inlineStr">
        <is>
          <t>DPG 1</t>
        </is>
      </c>
      <c r="C22" t="inlineStr">
        <is>
          <t>Decentralised Participatory Governance</t>
        </is>
      </c>
      <c r="D22" t="inlineStr">
        <is>
          <t>MQ</t>
        </is>
      </c>
      <c r="E22" t="inlineStr">
        <is>
          <t>Are the functions and geographical jurisdiction of the parastatal clearly defined vis-à-vis the ULG and other relevant agencies?</t>
        </is>
      </c>
      <c r="F22" t="n">
        <v>10</v>
      </c>
      <c r="G22" t="inlineStr">
        <is>
          <t>Institutional Design</t>
        </is>
      </c>
      <c r="H22" t="inlineStr">
        <is>
          <t>Common — all parastatal types.</t>
        </is>
      </c>
      <c r="I22" t="inlineStr">
        <is>
          <t>Sum of the sub-questions below -</t>
        </is>
      </c>
      <c r="J22" t="inlineStr">
        <is>
          <t>Parastatal, 12th Schedule mapping exercise</t>
        </is>
      </c>
    </row>
    <row r="23">
      <c r="A23" t="inlineStr">
        <is>
          <t>DPG1a</t>
        </is>
      </c>
      <c r="B23" t="inlineStr">
        <is>
          <t>DPG 1a</t>
        </is>
      </c>
      <c r="C23" t="inlineStr">
        <is>
          <t>Decentralised Participatory Governance</t>
        </is>
      </c>
      <c r="D23" t="inlineStr">
        <is>
          <t>SQ</t>
        </is>
      </c>
      <c r="E23" t="inlineStr">
        <is>
          <t>Does the legal framework clearly demarcate the functions/responsibilities of the parastatal vis-à-vis the ULG?</t>
        </is>
      </c>
      <c r="F23" t="n">
        <v>5</v>
      </c>
      <c r="G23" t="inlineStr">
        <is>
          <t>Institutional Design</t>
        </is>
      </c>
      <c r="H23" t="inlineStr">
        <is>
          <t>Common — all parastatal types.</t>
        </is>
      </c>
      <c r="I23" t="inlineStr">
        <is>
          <t>Step 1 — Check devolution status under the Municipal Act.
Review the Municipal Act to determine whether the specific function/service is:
A — Not devolved: the function is not assigned to the ULG at all.
B — Fully devolved: the function is assigned to the ULG in full, and the parastatal also delivers it (i.e. a potential overlap exists).
C — Partially devolved: only specific sub-functions are assigned to the ULG (e.g. domestic water supply to the ULG, bulk supply/production to the parastatal).
Step 2 — Score based on which scenario applies.
If A (not devolved): Score 5. There is no ULG claim to the function, so there is nothing to demarcate against — the parastatal Act's assignment stands on its own.
If B (fully devolved, both deliver it): Check whether the Parastatal Act explicitly carves out or distinguishes the parastatal's role from the ULG's (e.g. the parastatal Act specifies it handles a particular aspect, area, or scale of the function, rather than simply repeating the ULG's full assignment).
Score 5 if such a distinction is explicit in the Parastatal Act.
Score 0 if both Acts assign the same function with no distinction between them.
If C (partially devolved): Check whether the aspect assigned to the parastatal is explicit and does not overlap with the aspect assigned to the ULG (e.g. Municipal Act assigns domestic water supply to the ULG; Parastatal Act assigns bulk supply/production to the parastatal — no overlap).
Score 5 if the two Acts' assignments are explicit and non-overlapping.
Score 0 if the assigned aspects overlap, or if the parastatal's aspect is not clearly specified in its Act.
Record the devolution scenario (A/B/C) and the specific provisions relied upon in the evidence column.</t>
        </is>
      </c>
      <c r="J23" t="inlineStr">
        <is>
          <t>Relevant Parastatal Act; State Municipal Act — record the specific provisions establishing devolution status and (where applicable) the functional carve-out.</t>
        </is>
      </c>
    </row>
    <row r="24">
      <c r="A24" t="inlineStr">
        <is>
          <t>DPG1b</t>
        </is>
      </c>
      <c r="B24" t="inlineStr">
        <is>
          <t>DPG 1b</t>
        </is>
      </c>
      <c r="C24" t="inlineStr">
        <is>
          <t>Decentralised Participatory Governance</t>
        </is>
      </c>
      <c r="D24" t="inlineStr">
        <is>
          <t>SQ</t>
        </is>
      </c>
      <c r="E24" t="inlineStr">
        <is>
          <t>Is the parastatal's territorial/geographic jurisdiction clearly and specifically defined in its enabling legal framework?</t>
        </is>
      </c>
      <c r="F24" t="n">
        <v>5</v>
      </c>
      <c r="G24" t="inlineStr">
        <is>
          <t>Institutional Design</t>
        </is>
      </c>
      <c r="H24" t="inlineStr">
        <is>
          <t>Common — all parastatal types.</t>
        </is>
      </c>
      <c r="I24" t="inlineStr">
        <is>
          <t>Review the relevant Parastatal Act and Municipal Act as the primary source. Since jurisdiction may be amended or updated after the parent Act through subsequent notifications, gazette orders, or administrative boundary changes not yet reflected in the Act, also cross-check the parastatal's official website and any government notifications/gazette publications for the current jurisdictional boundary. 
Score 5 if jurisdiction is defined with a specific boundary description, schedule, or map reference in the enabling Act. Review the relevant Parastatal Act and Municipal Act. 
Score 2.5 if defined only in general terms (e.g. "notified area" with no schedule). Score 0 if jurisdiction is not defined.</t>
        </is>
      </c>
      <c r="J24" t="inlineStr">
        <is>
          <t>Enabling Act, 12th Schedule mapping exercise</t>
        </is>
      </c>
    </row>
    <row r="25">
      <c r="A25" t="inlineStr">
        <is>
          <t>DPG2</t>
        </is>
      </c>
      <c r="B25" t="inlineStr">
        <is>
          <t>DPG 2</t>
        </is>
      </c>
      <c r="C25" t="inlineStr">
        <is>
          <t>Decentralised Participatory Governance</t>
        </is>
      </c>
      <c r="D25" t="inlineStr">
        <is>
          <t>MQ</t>
        </is>
      </c>
      <c r="E25" t="inlineStr">
        <is>
          <t>Is the parastatal accountable to the ULG?</t>
        </is>
      </c>
      <c r="F25" t="n">
        <v>10</v>
      </c>
      <c r="G25" t="inlineStr">
        <is>
          <t>Institutional Design</t>
        </is>
      </c>
      <c r="H25" t="inlineStr">
        <is>
          <t>Common — all parastatal types.</t>
        </is>
      </c>
      <c r="I25" t="inlineStr">
        <is>
          <t>Sum of the sub-questions below -</t>
        </is>
      </c>
      <c r="J25" t="inlineStr">
        <is>
          <t>See sub-indicators</t>
        </is>
      </c>
    </row>
    <row r="26">
      <c r="A26" t="inlineStr">
        <is>
          <t>DPG2a</t>
        </is>
      </c>
      <c r="B26" t="inlineStr">
        <is>
          <t>DPG 2a</t>
        </is>
      </c>
      <c r="C26" t="inlineStr">
        <is>
          <t>Decentralised Participatory Governance</t>
        </is>
      </c>
      <c r="D26" t="inlineStr">
        <is>
          <t>SQ</t>
        </is>
      </c>
      <c r="E26" t="inlineStr">
        <is>
          <t>Does the ULG have representation on the parastatal's governing board?</t>
        </is>
      </c>
      <c r="F26" t="n">
        <v>5</v>
      </c>
      <c r="G26" t="inlineStr">
        <is>
          <t>Institutional Design</t>
        </is>
      </c>
      <c r="H26" t="inlineStr">
        <is>
          <t>Common — all parastatal types.</t>
        </is>
      </c>
      <c r="I26" t="inlineStr">
        <is>
          <t>Review the relevant Parastatal Act and Municipal Act for composition.
Score 5 if ULG-elected representatives sit on the board with voting rights. 
Score 2.5 if represented without voting rights or only as invitees. 
Score 0 if no representation.</t>
        </is>
      </c>
      <c r="J26" t="inlineStr">
        <is>
          <t>Composition clause of enabling Act; current board member list</t>
        </is>
      </c>
    </row>
    <row r="27">
      <c r="A27" t="inlineStr">
        <is>
          <t>DPG2b</t>
        </is>
      </c>
      <c r="B27" t="inlineStr">
        <is>
          <t>DPG-2b</t>
        </is>
      </c>
      <c r="C27" t="inlineStr">
        <is>
          <t>Decentralised Participatory Governance</t>
        </is>
      </c>
      <c r="D27" t="inlineStr">
        <is>
          <t>SQ</t>
        </is>
      </c>
      <c r="E27" t="inlineStr">
        <is>
          <t>Is the parastatal mandated to submit its plans, budgets or reports to the ULG/council?</t>
        </is>
      </c>
      <c r="F27" t="n">
        <v>5</v>
      </c>
      <c r="G27" t="inlineStr">
        <is>
          <t>Law/Policy</t>
        </is>
      </c>
      <c r="H27" t="inlineStr">
        <is>
          <t>Common — all parastatal types.</t>
        </is>
      </c>
      <c r="I27" t="inlineStr">
        <is>
          <t>Review the relevant Parastatal Act and Municipal Act for provisions requiring the parastatal to submit or table its plans, budgets and reports before the ULG/council. The requirement may be provided through a general provision covering these documents or through specific provisions for each.
Award 1.67 points each where:
1. plans are required to be submitted/tabled;
2. budgets are required to be submitted/tabled; and
3. annual/performance reports are required to be submitted/tabled.
Score 0 for each component where no such requirement exists. 
Where all three are provided for, award the full score of 5.
Record the relevant provision and the documents covered in the evidence column. Submission only to the State Government or another authority should not be counted as submission to the ULG/council.</t>
        </is>
      </c>
      <c r="J27" t="inlineStr">
        <is>
          <t>Plan/Budget preparation/Annual report preparation clause of the enabling Act of the relevant parastatal</t>
        </is>
      </c>
    </row>
    <row r="28">
      <c r="A28" t="inlineStr">
        <is>
          <t>DPG4</t>
        </is>
      </c>
      <c r="B28" t="inlineStr">
        <is>
          <t>DPG 4</t>
        </is>
      </c>
      <c r="C28" t="inlineStr">
        <is>
          <t>Decentralised Participatory Governance</t>
        </is>
      </c>
      <c r="D28" t="inlineStr">
        <is>
          <t>MQ</t>
        </is>
      </c>
      <c r="E28" t="inlineStr">
        <is>
          <t>Does the parastatal maintain an active and functional website?</t>
        </is>
      </c>
      <c r="F28" t="n">
        <v>10</v>
      </c>
      <c r="G28" t="inlineStr">
        <is>
          <t>Implementation</t>
        </is>
      </c>
      <c r="H28" t="inlineStr">
        <is>
          <t>Common.</t>
        </is>
      </c>
      <c r="I28" t="inlineStr">
        <is>
          <t>Check the official website of the relevant parastatal.
Score 10 if an official website of the relevant parastatal exists, opens without error, and shows content updated within the last 12 months (verifiable "last updated" date or dated content such as a recent notice/circular). 
Score 0 if no official website is found. This is a point-in-time check — record the date of verification and an archived screenshot/link as evidence, since website status can change.</t>
        </is>
      </c>
      <c r="J28" t="inlineStr">
        <is>
          <t>Live URL, screenshot/web-archive capture, date of check of the website of the relevant parastatal</t>
        </is>
      </c>
    </row>
    <row r="29">
      <c r="A29" t="inlineStr">
        <is>
          <t>DPG5</t>
        </is>
      </c>
      <c r="B29" t="inlineStr">
        <is>
          <t>DPG 5</t>
        </is>
      </c>
      <c r="C29" t="inlineStr">
        <is>
          <t>Decentralised Participatory Governance</t>
        </is>
      </c>
      <c r="D29" t="inlineStr">
        <is>
          <t>MQ</t>
        </is>
      </c>
      <c r="E29" t="inlineStr">
        <is>
          <t>Are the parastatal's key financial, governance, and operational documents available on the website and published in accessible, open-data formats?</t>
        </is>
      </c>
      <c r="F29" t="n">
        <v>10</v>
      </c>
      <c r="G29" t="inlineStr">
        <is>
          <t>Implementation</t>
        </is>
      </c>
      <c r="H29" t="inlineStr">
        <is>
          <t>Common.</t>
        </is>
      </c>
      <c r="I29" t="inlineStr">
        <is>
          <t>Sum of sub-questions below - 
Assess each of the ten components below independently. Each component carries 1 point: 0.5 for online availability and 0.5 for publication in an open, machine-readable/reusable format, as appropriate to the information type. 
For online availability, score 0.5 if the document/information is publicly available online and current, relating to the current financial year or at least the immediately preceding financial year, as applicable; 
score 0 if it is unavailable or outdated. 
Aggregate the scores across all ten components to arrive at the total score out of 10.</t>
        </is>
      </c>
      <c r="J29" t="inlineStr">
        <is>
          <t>Website screenshots/archived URLs with date of access, for each document type</t>
        </is>
      </c>
    </row>
    <row r="30">
      <c r="A30" t="inlineStr">
        <is>
          <t>DPG5a</t>
        </is>
      </c>
      <c r="B30" t="inlineStr">
        <is>
          <t>DPG5a</t>
        </is>
      </c>
      <c r="C30" t="inlineStr">
        <is>
          <t>Decentralised Participatory Governance</t>
        </is>
      </c>
      <c r="D30" t="inlineStr">
        <is>
          <t>SQ</t>
        </is>
      </c>
      <c r="E30" t="inlineStr">
        <is>
          <t>Annual budget</t>
        </is>
      </c>
      <c r="F30" t="n">
        <v>1</v>
      </c>
      <c r="G30" t="inlineStr">
        <is>
          <t>Implementation</t>
        </is>
      </c>
      <c r="H30" t="inlineStr">
        <is>
          <t>Common.</t>
        </is>
      </c>
      <c r="I30" t="inlineStr">
        <is>
          <t>Availability and currency — 0.5
0.5: Budget for the current FY or immediately preceding FY is publicly available online
0: Budget cannot be found/accessed online or is older than the permitted period.
Record the FY/year/date of the latest information found in a separate evidence field even where the score is 0.
Minimum format/accessibility — 0.5
0.5: Budget data available in a structured, machine-readable/reusable format (XLS/XLSX, CSV, ODS, structured HTML table, downloadable structured dataset)
0: Budget data is available but does not meet that standard (Scanned PDF/image; PDF containing only tables that cannot be readily extracted/reused)</t>
        </is>
      </c>
      <c r="J30" t="inlineStr">
        <is>
          <t>Website screenshots/archived URLs with date of access, for each document type</t>
        </is>
      </c>
    </row>
    <row r="31">
      <c r="A31" t="inlineStr">
        <is>
          <t>DPG5b</t>
        </is>
      </c>
      <c r="B31" t="inlineStr">
        <is>
          <t>DPG 5b</t>
        </is>
      </c>
      <c r="C31" t="inlineStr">
        <is>
          <t>Decentralised Participatory Governance</t>
        </is>
      </c>
      <c r="D31" t="inlineStr">
        <is>
          <t>SQ</t>
        </is>
      </c>
      <c r="E31" t="inlineStr">
        <is>
          <t>Audited annual accounts</t>
        </is>
      </c>
      <c r="F31" t="n">
        <v>1</v>
      </c>
      <c r="G31" t="inlineStr">
        <is>
          <t>Implementation</t>
        </is>
      </c>
      <c r="H31" t="inlineStr">
        <is>
          <t>Common.</t>
        </is>
      </c>
      <c r="I31" t="inlineStr">
        <is>
          <t>Availability and currency — 0.5
Score 0.5: Audited accounts for the immediately preceding FY, or the latest FY for which audited accounts are due, are publicly available online. Allow a one-FY lag where audit timelines make preceding-year accounts not yet due.
Score 0: Audited accounts cannot be found/accessed online or is older than the permitted period.
Record the FY/year/date of the latest information found in a separate evidence field even where the score is 0.
Minimum format/accessibility — 0.5
Score 0.5: Financial statements available in a structured, machine-readable/reusable format (XLS/XLSX, CSV, ODS, structured HTML table, downloadable structured dataset)
Score 0: Financial statements is available but does not meet that standard (Scanned PDF/image; PDF containing only tables that cannot be readily extracted/reused)</t>
        </is>
      </c>
      <c r="J31" t="inlineStr">
        <is>
          <t>Website screenshots/archived URLs with date of access, for each document type</t>
        </is>
      </c>
    </row>
    <row r="32">
      <c r="A32" t="inlineStr">
        <is>
          <t>DPG5c</t>
        </is>
      </c>
      <c r="B32" t="inlineStr">
        <is>
          <t>DPG 5c</t>
        </is>
      </c>
      <c r="C32" t="inlineStr">
        <is>
          <t>Decentralised Participatory Governance</t>
        </is>
      </c>
      <c r="D32" t="inlineStr">
        <is>
          <t>SQ</t>
        </is>
      </c>
      <c r="E32" t="inlineStr">
        <is>
          <t>Annual report</t>
        </is>
      </c>
      <c r="F32" t="n">
        <v>1</v>
      </c>
      <c r="G32" t="inlineStr">
        <is>
          <t>Implementation</t>
        </is>
      </c>
      <c r="H32" t="inlineStr">
        <is>
          <t>Common.</t>
        </is>
      </c>
      <c r="I32" t="inlineStr">
        <is>
          <t>Availability and currency — 0.5
Score 0.5: Annual report for the immediately preceding FY, or latest report due, is publicly available online.
Score 0: Annual report cannot be found/accessed online or is older than the permitted period.
Record the FY/year/date of the latest information found in a separate evidence field even where the score is 0.
Minimum format/accessibility — 0.5
Score 0.5: Annual report available in a searchable/text-readable and downloadable document (Searchable PDF/PDF-A, HTML, DOC/DOCX, accessible e-publication)
Score 0: Annual report is available but does not meet that standard (Scanned/image-only PDF; images of report pages)</t>
        </is>
      </c>
      <c r="J32" t="inlineStr">
        <is>
          <t>Website screenshots/archived URLs with date of access, for each document type</t>
        </is>
      </c>
    </row>
    <row r="33">
      <c r="A33" t="inlineStr">
        <is>
          <t>DPG5d</t>
        </is>
      </c>
      <c r="B33" t="inlineStr">
        <is>
          <t>DPG d</t>
        </is>
      </c>
      <c r="C33" t="inlineStr">
        <is>
          <t>Decentralised Participatory Governance</t>
        </is>
      </c>
      <c r="D33" t="inlineStr">
        <is>
          <t>SQ</t>
        </is>
      </c>
      <c r="E33" t="inlineStr">
        <is>
          <t>Meeting minutes of governing board</t>
        </is>
      </c>
      <c r="F33" t="n">
        <v>1</v>
      </c>
      <c r="G33" t="inlineStr">
        <is>
          <t>Implementation</t>
        </is>
      </c>
      <c r="H33" t="inlineStr">
        <is>
          <t>Common.</t>
        </is>
      </c>
      <c r="I33" t="inlineStr">
        <is>
          <t>Availability and currency — 0.5
Score 0.5: At least one set of minutes from the current FY or immediately preceding FY is publicly available online
Score 0: Meeting Minutes cannot be found/accessed online or is older than the permitted period.
Record the FY/year/date of the latest information found in a separate evidence field even where the score is 0.
Minimum format/accessibility — 0.5
Score 0.5: Meeting Minutes available in a searchable/text-readable and downloadable document (Searchable PDF, HTML, DOC/DOCX)
Score 0: Meeting Minutes is available but does not meet that standard (Scanned/image-only minutes; image gallery)</t>
        </is>
      </c>
      <c r="J33" t="inlineStr">
        <is>
          <t>Website screenshots/archived URLs with date of access, for each document type</t>
        </is>
      </c>
    </row>
    <row r="34">
      <c r="A34" t="inlineStr">
        <is>
          <t>DPG5f</t>
        </is>
      </c>
      <c r="B34" t="inlineStr">
        <is>
          <t>DPG f</t>
        </is>
      </c>
      <c r="C34" t="inlineStr">
        <is>
          <t>Decentralised Participatory Governance</t>
        </is>
      </c>
      <c r="D34" t="inlineStr">
        <is>
          <t>SQ</t>
        </is>
      </c>
      <c r="E34" t="inlineStr">
        <is>
          <t>Organisation and staffing information</t>
        </is>
      </c>
      <c r="F34" t="n">
        <v>1</v>
      </c>
      <c r="G34" t="inlineStr">
        <is>
          <t>Implementation</t>
        </is>
      </c>
      <c r="H34" t="inlineStr">
        <is>
          <t>Common.</t>
        </is>
      </c>
      <c r="I34" t="inlineStr">
        <is>
          <t>Availability and currency — 0.5
Score 0.5: Information reflects the current organisational structure, or has evidence of being updated in the current or immediately preceding FY
Score 0: Current organisational structure cannot be found/accessed online or is older than the permitted period.
Record the FY/year/date of the latest information found in a separate evidence field even where the score is 0.
Minimum format/accessibility — 0.5
Score 0.5: Current organisational structure available in as searchable webpage or searchable/downloadable document with identifiable posts/officials/structure (HTML organisation/staff directory; searchable PDF organisation chart; XLS/CSV staff-position information)
Score 0: Current organisational structure is available but does not meet that standard (Image-only organisation chart; scanned list)</t>
        </is>
      </c>
      <c r="J34" t="inlineStr">
        <is>
          <t>Website screenshots/archived URLs with date of access, for each document type</t>
        </is>
      </c>
    </row>
    <row r="35">
      <c r="A35" t="inlineStr">
        <is>
          <t>DPG5g</t>
        </is>
      </c>
      <c r="B35" t="inlineStr">
        <is>
          <t>DPG5g</t>
        </is>
      </c>
      <c r="C35" t="inlineStr">
        <is>
          <t>Decentralised Participatory Governance</t>
        </is>
      </c>
      <c r="D35" t="inlineStr">
        <is>
          <t>SQ</t>
        </is>
      </c>
      <c r="E35" t="inlineStr">
        <is>
          <t>Major plans / projects</t>
        </is>
      </c>
      <c r="F35" t="n">
        <v>1</v>
      </c>
      <c r="G35" t="inlineStr">
        <is>
          <t>Implementation</t>
        </is>
      </c>
      <c r="H35" t="inlineStr">
        <is>
          <t>Common.</t>
        </is>
      </c>
      <c r="I35" t="inlineStr">
        <is>
          <t>Availability and currency — 0.5
Score 0.5: Major plans and/or information on ongoing projects is available and relates to the current FY or immediately preceding FY, as applicable
Score 0: Major plans and/or information on ongoing projects cannot be found/accessed online or is older than the permitted period.
Record the FY/year/date of the latest information found in a separate evidence field even where the score is 0.
Minimum format/accessibility — 0.5
Score 0.5: Major plans and/or information on ongoing projects available in the following manner
- Plans: searchable/text-readable downloadable document. 
- Project information: searchable webpage/table or structured downloadable data (Searchable plan PDF; HTML project dashboard; XLS/CSV project list)
Score 0: Major plans and/or information on ongoing projects is available but does not meet that standard (Scanned plan only; project information presented only as images)</t>
        </is>
      </c>
      <c r="J35" t="inlineStr">
        <is>
          <t>Website screenshots/archived URLs with date of access, for each document type</t>
        </is>
      </c>
    </row>
    <row r="36">
      <c r="A36" t="inlineStr">
        <is>
          <t>DPG5h</t>
        </is>
      </c>
      <c r="B36" t="inlineStr">
        <is>
          <t>DPG h</t>
        </is>
      </c>
      <c r="C36" t="inlineStr">
        <is>
          <t>Decentralised Participatory Governance</t>
        </is>
      </c>
      <c r="D36" t="inlineStr">
        <is>
          <t>SQ</t>
        </is>
      </c>
      <c r="E36" t="inlineStr">
        <is>
          <t>Service-level benchmarks and performance reports</t>
        </is>
      </c>
      <c r="F36" t="n">
        <v>1</v>
      </c>
      <c r="G36" t="inlineStr">
        <is>
          <t>Implementation</t>
        </is>
      </c>
      <c r="H36" t="inlineStr">
        <is>
          <t>Common.</t>
        </is>
      </c>
      <c r="I36" t="inlineStr">
        <is>
          <t>Availability and currency — 0.5
Score 0.5: Performance information for the current FY or immediately preceding FY is publicly available online
Score 0: Performance information cannot be found/accessed online or is older than the permitted period.
Record the FY/year/date of the latest information found in a separate evidence field even where the score is 0.
Minimum format/accessibility — 0.5
Score 0.5: Performance information available in a structured, machine-readable/reusable format (CSV, XLS/XLSX, ODS, structured HTML table/dashboard with downloadable data)
Score 0: Performance information is available but does not meet that standard (Scanned performance report; image/chart with no underlying readable/reusable values)</t>
        </is>
      </c>
      <c r="J36" t="inlineStr">
        <is>
          <t>Website screenshots/archived URLs with date of access, for each document type</t>
        </is>
      </c>
    </row>
    <row r="37">
      <c r="A37" t="inlineStr">
        <is>
          <t>DPG5i</t>
        </is>
      </c>
      <c r="B37" t="inlineStr">
        <is>
          <t>DPG5i</t>
        </is>
      </c>
      <c r="C37" t="inlineStr">
        <is>
          <t>Decentralised Participatory Governance</t>
        </is>
      </c>
      <c r="D37" t="inlineStr">
        <is>
          <t>SQ</t>
        </is>
      </c>
      <c r="E37" t="inlineStr">
        <is>
          <t>Citizen / Service Charter</t>
        </is>
      </c>
      <c r="F37" t="n">
        <v>1</v>
      </c>
      <c r="G37" t="inlineStr">
        <is>
          <t>Implementation</t>
        </is>
      </c>
      <c r="H37" t="inlineStr">
        <is>
          <t>Common.</t>
        </is>
      </c>
      <c r="I37" t="inlineStr">
        <is>
          <t>Availability and currency — 0.5
Score 0.5: A currently applicable Charter is publicly available. No annual publication requirement; do not treat it as outdated solely because it predates the preceding FY if it remains in force.
Score 0: Charter cannot be found/accessed online or is older than the permitted period.
Record the FY/year/date of the latest information found in a separate evidence field even where the score is 0.
Minimum format/accessibility — 0.5
Score 0.5: Charter available in a searchable/text-readable webpage or downloadable document (HTML, searchable PDF/PDF-A, DOC/DOCX)
Score 0: Charter is available but does not meet that standard (Scanned/image-only Charter)</t>
        </is>
      </c>
      <c r="J37" t="inlineStr">
        <is>
          <t>Website screenshots/archived URLs with date of access, for each document type</t>
        </is>
      </c>
    </row>
    <row r="38">
      <c r="A38" t="inlineStr">
        <is>
          <t>DPG5j</t>
        </is>
      </c>
      <c r="B38" t="inlineStr">
        <is>
          <t>DPG5j</t>
        </is>
      </c>
      <c r="C38" t="inlineStr">
        <is>
          <t>Decentralised Participatory Governance</t>
        </is>
      </c>
      <c r="D38" t="inlineStr">
        <is>
          <t>SQ</t>
        </is>
      </c>
      <c r="E38" t="inlineStr">
        <is>
          <t>RTI details and designated Public Information Officer contact/procedure</t>
        </is>
      </c>
      <c r="F38" t="n">
        <v>1</v>
      </c>
      <c r="G38" t="inlineStr">
        <is>
          <t>Implementation</t>
        </is>
      </c>
      <c r="H38" t="inlineStr">
        <is>
          <t>Common.</t>
        </is>
      </c>
      <c r="I38" t="inlineStr">
        <is>
          <t>Availability and currency — 0.5
Score 0.5: Current PIO/APIO details and RTI procedure are publicly available; information should be treated as current where the named office-holder/contact details remain valid
Score 0: Information cannot be found/accessed online or ithe named office-holder/contact details are invalid.
Record the FY/year/date of the latest information found in a separate evidence field even where the score is 0.
Minimum format/accessibility — 0.5
Score 0.5: Information available in a searchable webpage or searchable/downloadable document (HTML RTI page; searchable PDF/DOC containing PIO/contact details)
Score 0: Information is available but does not meet that standard (Image-only notice; scanned PDF)</t>
        </is>
      </c>
      <c r="J38" t="inlineStr">
        <is>
          <t>Website screenshots/archived URLs with date of access, for each document type</t>
        </is>
      </c>
    </row>
    <row r="39">
      <c r="A39" t="inlineStr">
        <is>
          <t>DPG5k</t>
        </is>
      </c>
      <c r="B39" t="inlineStr">
        <is>
          <t>DPG5k</t>
        </is>
      </c>
      <c r="C39" t="inlineStr">
        <is>
          <t>Decentralised Participatory Governance</t>
        </is>
      </c>
      <c r="D39" t="inlineStr">
        <is>
          <t>SQ</t>
        </is>
      </c>
      <c r="E39" t="inlineStr">
        <is>
          <t>Procurement / tender notices and awarded-contract details</t>
        </is>
      </c>
      <c r="F39" t="n">
        <v>1</v>
      </c>
      <c r="G39" t="inlineStr">
        <is>
          <t>Implementation</t>
        </is>
      </c>
      <c r="H39" t="inlineStr">
        <is>
          <t>Common.</t>
        </is>
      </c>
      <c r="I39" t="inlineStr">
        <is>
          <t>Availability and currency — 0.5
Score 0.5: Procurement information includes tenders/awards from the current FY or immediately preceding FY
Score 0: Information cannot be found/accessed online or is older than the permitted period.
Record the FY/year/date of the latest information found in a separate evidence field even where the score is 0.
Minimum format/accessibility — 0.5
Score 0.5: Tender/award information available as a searchable structured webpage/table or machine-readable/reusable dataset (Searchable e-procurement table, HTML contract register, CSV/XLS/XLSX/ODS download)
Score 0: Information is available but does not meet that standard (Scanned tender lists; image-only notices; individual PDFs with no searchable/indexed tender/award register)</t>
        </is>
      </c>
      <c r="J39" t="inlineStr">
        <is>
          <t>Website screenshots/archived URLs with date of access, for each document type</t>
        </is>
      </c>
    </row>
    <row r="40">
      <c r="A40" t="inlineStr">
        <is>
          <t>DPG6</t>
        </is>
      </c>
      <c r="B40" t="inlineStr">
        <is>
          <t>DPG 6</t>
        </is>
      </c>
      <c r="C40" t="inlineStr">
        <is>
          <t>Decentralised Participatory Governance</t>
        </is>
      </c>
      <c r="D40" t="inlineStr">
        <is>
          <t>MQ</t>
        </is>
      </c>
      <c r="E40" t="inlineStr">
        <is>
          <t>Does the parastatal provide for and maintain an accessible grievance-redressal mechanism?</t>
        </is>
      </c>
      <c r="F40" t="n">
        <v>10</v>
      </c>
      <c r="G40" t="inlineStr">
        <is>
          <t>Institutional Design</t>
        </is>
      </c>
      <c r="H40" t="inlineStr">
        <is>
          <t>Common.</t>
        </is>
      </c>
      <c r="I40" t="inlineStr">
        <is>
          <t>Composite of the legal-mandate and implementation sub-indicators below.</t>
        </is>
      </c>
      <c r="J40" t="inlineStr">
        <is>
          <t>See sub-indicators</t>
        </is>
      </c>
    </row>
    <row r="41">
      <c r="A41" t="inlineStr">
        <is>
          <t>DPG6a</t>
        </is>
      </c>
      <c r="B41" t="inlineStr">
        <is>
          <t>DPG 6a</t>
        </is>
      </c>
      <c r="C41" t="inlineStr">
        <is>
          <t>Decentralised Participatory Governance</t>
        </is>
      </c>
      <c r="D41" t="inlineStr">
        <is>
          <t>SQ</t>
        </is>
      </c>
      <c r="E41" t="inlineStr">
        <is>
          <t>Is the parastatal mandated to provide a grievance-redressal mechanism?</t>
        </is>
      </c>
      <c r="F41" t="n">
        <v>5</v>
      </c>
      <c r="G41" t="inlineStr">
        <is>
          <t>Law/Policy</t>
        </is>
      </c>
      <c r="H41" t="inlineStr">
        <is>
          <t>Common.</t>
        </is>
      </c>
      <c r="I41" t="inlineStr">
        <is>
          <t>Score 5 if  the Parastatal Act/ corresponding subordinate legislation/ citizen or service charter requires a grievance-redressal mechanism (any channel); 0 if not.</t>
        </is>
      </c>
      <c r="J41" t="inlineStr">
        <is>
          <t>Parastatal Act/ corresponding subordinate legislation/ citizen or service charter</t>
        </is>
      </c>
    </row>
    <row r="42">
      <c r="A42" t="inlineStr">
        <is>
          <t>DPG6b</t>
        </is>
      </c>
      <c r="B42" t="inlineStr">
        <is>
          <t>DPG 6b</t>
        </is>
      </c>
      <c r="C42" t="inlineStr">
        <is>
          <t>Decentralised Participatory Governance</t>
        </is>
      </c>
      <c r="D42" t="inlineStr">
        <is>
          <t>SQ</t>
        </is>
      </c>
      <c r="E42" t="inlineStr">
        <is>
          <t>Are accessible grievance-redressal channels available and functional in practice?</t>
        </is>
      </c>
      <c r="F42" t="n">
        <v>5</v>
      </c>
      <c r="G42" t="inlineStr">
        <is>
          <t>Implementation</t>
        </is>
      </c>
      <c r="H42" t="inlineStr">
        <is>
          <t>Common.</t>
        </is>
      </c>
      <c r="I42" t="inlineStr">
        <is>
          <t>Score out of 5 based on the following components - 
Score 1.00 if a Web-based grievance channel exists
Qualification - An official website/portal provides a functioning mechanism through which a grievance can be lodged online. A dedicated grievance form, integrated government grievance portal or equivalent qualifies.
Evidence - Live URL + dated screenshot showing grievance-submission functionality. Where the parastatal redirects users to a State/common grievance portal, capture both the parastatal link/reference and the relevant portal page.
Score 1.00 if a Mobile / electronic grievance channel exists
Qualification - A currently operational mobile app, designated grievance email, WhatsApp or other officially notified electronic channel is provided for lodging grievances
Evidence - Official website listing the channel; official app listing or screenshot 
Score 1.00  if a telephone grievance channel exists
Qualification - A dedicated or clearly designated helpline/call centre/telephone number is provided for complaints or grievances. A generic office switchboard does not qualify unless it is explicitly identified as accepting grievances.
Evidence - Official website showing the grievance/helpline number.
Score 1.00 if an in-person grievance channel exists
Qualification - Citizens can lodge grievances through an identified helpdesk, grievance counter, designated office/officer or other physical mechanism.
Evidence - Citizen/Service Charter, official website, office notice/order or other official document identifying where/how an in-person grievance can be lodged.
Score 1.00 if an in-person grievance channel
Qualification - The mechanism provides evidence that a registered grievance can be acknowledged and subsequently tracked, through a complaint/reference number, status-tracking facility or equivalent process.
Evidence - Portal screenshot showing acknowledgement/tracking functionality; 
Where all five are provided for, award the full score of 5.</t>
        </is>
      </c>
      <c r="J42" t="inlineStr">
        <is>
          <t>Relevant parastatal's official website 
Detailed evidence information provided in the methodology column (I 33)</t>
        </is>
      </c>
    </row>
    <row r="43">
      <c r="A43" t="inlineStr">
        <is>
          <t>DPG7</t>
        </is>
      </c>
      <c r="B43" t="inlineStr">
        <is>
          <t>DPG 7</t>
        </is>
      </c>
      <c r="C43" t="inlineStr">
        <is>
          <t>Decentralised Participatory Governance</t>
        </is>
      </c>
      <c r="D43" t="inlineStr">
        <is>
          <t>MQ</t>
        </is>
      </c>
      <c r="E43" t="inlineStr">
        <is>
          <t>Does the law mandate citizen participation in the preparation of plans for which the parastatal is responsible, and does the parastatal provide for such participation in practice?</t>
        </is>
      </c>
      <c r="F43" t="n">
        <v>10</v>
      </c>
      <c r="G43" t="inlineStr">
        <is>
          <t>Law/Policy</t>
        </is>
      </c>
      <c r="H43" t="inlineStr">
        <is>
          <t>All parastatals excluding Development Authorities</t>
        </is>
      </c>
      <c r="I43" t="inlineStr">
        <is>
          <t>Sum of sub-questions below -</t>
        </is>
      </c>
      <c r="J43" t="inlineStr">
        <is>
          <t>Provisions on plan approval procedure in enabling act of the relevant parastatal/T&amp;CP Act</t>
        </is>
      </c>
    </row>
    <row r="44">
      <c r="A44" t="inlineStr">
        <is>
          <t>DPG7a</t>
        </is>
      </c>
      <c r="B44" t="inlineStr">
        <is>
          <t>DPG 7a</t>
        </is>
      </c>
      <c r="C44" t="inlineStr">
        <is>
          <t>Decentralised Participatory Governance</t>
        </is>
      </c>
      <c r="D44" t="inlineStr">
        <is>
          <t>SQ</t>
        </is>
      </c>
      <c r="E44" t="inlineStr">
        <is>
          <t>Is citizen participation in the preparation of the parastatal's plans mandated?</t>
        </is>
      </c>
      <c r="F44" t="n">
        <v>5</v>
      </c>
      <c r="G44" t="inlineStr">
        <is>
          <t>Law/Policy</t>
        </is>
      </c>
      <c r="H44" t="inlineStr">
        <is>
          <t>All parastatals excluding Development Authorities</t>
        </is>
      </c>
      <c r="I44" t="inlineStr">
        <is>
          <t>Review the parastatal Act and rules first. Also review the applicable T&amp;CP/planning Act, Municipal Act  to identify whether a citizen-participation requirement applies to the parastatal directly or to all authorities preparing the relevant category of plan. 
Score 5 if the applicable law/rules mandate a defined citizen-participation process before finalisation/approval of the plan, including publication of a draft plan and invitation of objections/suggestions, public hearing, consultation or equivalent. 
Score 2.5 if participation is provided for but is discretionary, or applies only to specified plan types/stages. 
Score 0 if no applicable requirement is found. Record the legal provision, plan type, form of participation prescribed, and whether the provision uses mandatory or discretionary language.</t>
        </is>
      </c>
      <c r="J44" t="inlineStr">
        <is>
          <t>Parastatal Act and rules; applicable T&amp;CP Act; State Municipal Act.</t>
        </is>
      </c>
    </row>
    <row r="45">
      <c r="A45" t="inlineStr">
        <is>
          <t>DPG7b</t>
        </is>
      </c>
      <c r="B45" t="inlineStr">
        <is>
          <t>DPG 7b</t>
        </is>
      </c>
      <c r="C45" t="inlineStr">
        <is>
          <t>Decentralised Participatory Governance</t>
        </is>
      </c>
      <c r="D45" t="inlineStr">
        <is>
          <t>SQ</t>
        </is>
      </c>
      <c r="E45" t="inlineStr">
        <is>
          <t>Are citizens consulted in practice in the preparation of plans by the parastatal?</t>
        </is>
      </c>
      <c r="F45" t="n">
        <v>5</v>
      </c>
      <c r="G45" t="inlineStr">
        <is>
          <t>Law/Policy</t>
        </is>
      </c>
      <c r="H45" t="inlineStr">
        <is>
          <t>All parastatals excluding Development Authorities</t>
        </is>
      </c>
      <c r="I45" t="inlineStr">
        <is>
          <t>Review the parastatal’s official website and the latest applicable plan/planning exercise. Check the plan document, consultation reports, public notices, minutes/proceedings of consultations or public hearings, and other relevant records available on the website. 
Score 5 if there is publicly verifiable evidence that citizens were provided an opportunity to participate through objections/suggestions, public hearings, consultations or an equivalent process before the plan was finalised. 
Score 2.5 if there is credible evidence that consultation took place, but the process cannot be fully verified from official records—for example, where only a consultation notice, minutes/proceedings, a reference in the final plan, media reports, or other partial documentation is available.</t>
        </is>
      </c>
      <c r="J45" t="inlineStr">
        <is>
          <t>Plan document; consultation reports; public notices; minutes/proceedings of consultations or hearings on the parastatal's official website; media reports.</t>
        </is>
      </c>
    </row>
    <row r="46">
      <c r="A46" t="inlineStr">
        <is>
          <t>SC1</t>
        </is>
      </c>
      <c r="B46" t="inlineStr">
        <is>
          <t>SC-1</t>
        </is>
      </c>
      <c r="C46" t="inlineStr">
        <is>
          <t>State Capacities</t>
        </is>
      </c>
      <c r="D46" t="inlineStr">
        <is>
          <t>MQ</t>
        </is>
      </c>
      <c r="E46" t="inlineStr">
        <is>
          <t>What proportion of the parastatal's total expenditure is financed through its own revenues?</t>
        </is>
      </c>
      <c r="F46" t="n">
        <v>10</v>
      </c>
      <c r="G46" t="inlineStr">
        <is>
          <t>Implementation (Numeric)</t>
        </is>
      </c>
      <c r="H46" t="inlineStr">
        <is>
          <t>Revenue-raising parastatals only</t>
        </is>
      </c>
      <c r="I46" t="inlineStr">
        <is>
          <t>Compute Own Revenue (Tax and Non-Tax revenue excluding any government grants) and use 3 years average wherever available (at least 2 years but not more than 5 years). Score is own revenue percentage as a proportion of 10 marks i.e. 50% gets 5 out of 10.</t>
        </is>
      </c>
      <c r="J46" t="inlineStr">
        <is>
          <t>Annual budget of the last three financial years of the relevant parastatal.</t>
        </is>
      </c>
    </row>
    <row r="47">
      <c r="A47" t="inlineStr">
        <is>
          <t>SC2</t>
        </is>
      </c>
      <c r="B47" t="inlineStr">
        <is>
          <t>SC-2</t>
        </is>
      </c>
      <c r="C47" t="inlineStr">
        <is>
          <t>State Capacities</t>
        </is>
      </c>
      <c r="D47" t="inlineStr">
        <is>
          <t>MQ</t>
        </is>
      </c>
      <c r="E47" t="inlineStr">
        <is>
          <t>What is the parastatal's per-capita capital expenditure?</t>
        </is>
      </c>
      <c r="F47" t="n">
        <v>10</v>
      </c>
      <c r="G47" t="inlineStr">
        <is>
          <t>Implementation (Numeric)</t>
        </is>
      </c>
      <c r="H47" t="inlineStr">
        <is>
          <t>Parastatals with an infrastructure-delivery/capital-expenditure mandate.</t>
        </is>
      </c>
      <c r="I47" t="inlineStr">
        <is>
          <t>Per-capita capital expenditure = capital expenditure (latest completed FY) ÷ population of the jurisdiction served (latest Census or most recent official projection, source cited). Report the absolute figure; for a composite score convert to a percentile/decile rank against other assessed parastatals of the same type only. Do not pool figures across dissimilar parastatal types (e.g. a transport corporation vs. a development authority) — the comparison is not meaningful.</t>
        </is>
      </c>
      <c r="J47" t="inlineStr">
        <is>
          <t>Latest annual budget and capital-expenditure accounts of the relevant parastatal; population figure with source.</t>
        </is>
      </c>
    </row>
    <row r="48">
      <c r="A48" t="inlineStr">
        <is>
          <t>SC3</t>
        </is>
      </c>
      <c r="B48" t="inlineStr">
        <is>
          <t>SC-3</t>
        </is>
      </c>
      <c r="C48" t="inlineStr">
        <is>
          <t>State Capacities</t>
        </is>
      </c>
      <c r="D48" t="inlineStr">
        <is>
          <t>MQ</t>
        </is>
      </c>
      <c r="E48" t="inlineStr">
        <is>
          <t>How realistic is the parastatal's annual budget?</t>
        </is>
      </c>
      <c r="F48" t="n">
        <v>10</v>
      </c>
      <c r="G48" t="inlineStr">
        <is>
          <t>Implementation (Numeric)</t>
        </is>
      </c>
      <c r="H48" t="inlineStr">
        <is>
          <t>Common — all parastatal types with an annual budget.</t>
        </is>
      </c>
      <c r="I48" t="inlineStr">
        <is>
          <t>3 year average of budget variance wherever available (at least 2 years but not more than 5 years); If variance is within 15%, the score will be 10 but anything over 15% will score 0 out of 10</t>
        </is>
      </c>
      <c r="J48" t="inlineStr">
        <is>
          <t>Budget documents and audited accounts for the same financial year, compared side by side</t>
        </is>
      </c>
    </row>
    <row r="49">
      <c r="A49" t="inlineStr">
        <is>
          <t>SC4</t>
        </is>
      </c>
      <c r="B49" t="inlineStr">
        <is>
          <t>SC-4</t>
        </is>
      </c>
      <c r="C49" t="inlineStr">
        <is>
          <t>State Capacities</t>
        </is>
      </c>
      <c r="D49" t="inlineStr">
        <is>
          <t>MQ</t>
        </is>
      </c>
      <c r="E49" t="inlineStr">
        <is>
          <t>Is the parastatal mandated to prepare a medium-term and/or long-term fiscal plan, and has it prepared a current plan in accordance with that mandate?</t>
        </is>
      </c>
      <c r="F49" t="n">
        <v>10</v>
      </c>
      <c r="G49" t="inlineStr">
        <is>
          <t>Law/Policy</t>
        </is>
      </c>
      <c r="H49" t="inlineStr">
        <is>
          <t>Common.</t>
        </is>
      </c>
      <c r="I49" t="inlineStr">
        <is>
          <t>Sum of the legal-mandate and public availability sub-indicators below.</t>
        </is>
      </c>
      <c r="J49" t="inlineStr">
        <is>
          <t>See sub-indicators</t>
        </is>
      </c>
    </row>
    <row r="50">
      <c r="A50" t="inlineStr">
        <is>
          <t>SC4a</t>
        </is>
      </c>
      <c r="B50" t="inlineStr">
        <is>
          <t>SC-4a</t>
        </is>
      </c>
      <c r="C50" t="inlineStr">
        <is>
          <t>State Capacities</t>
        </is>
      </c>
      <c r="D50" t="inlineStr">
        <is>
          <t>SQ</t>
        </is>
      </c>
      <c r="E50" t="inlineStr">
        <is>
          <t>Is a medium-term (3-5 year) and/or long-term (&gt;5 year) fiscal plan legally mandated?</t>
        </is>
      </c>
      <c r="F50" t="n">
        <v>5</v>
      </c>
      <c r="G50" t="inlineStr">
        <is>
          <t>Law/Policy</t>
        </is>
      </c>
      <c r="H50" t="inlineStr">
        <is>
          <t>Common.</t>
        </is>
      </c>
      <c r="I50" t="inlineStr">
        <is>
          <t>Score 5 if enabling act of the relevant parastatal require a fiscal plan of defined horizon (Medium term at 3-5 years and long term at &gt;5 years). Score 0 if no such requirement.</t>
        </is>
      </c>
      <c r="J50" t="inlineStr">
        <is>
          <t>Enabling act of the relevant parastatal</t>
        </is>
      </c>
    </row>
    <row r="51">
      <c r="A51" t="inlineStr">
        <is>
          <t>SC4b</t>
        </is>
      </c>
      <c r="B51" t="inlineStr">
        <is>
          <t>SC-4b</t>
        </is>
      </c>
      <c r="C51" t="inlineStr">
        <is>
          <t>State Capacities</t>
        </is>
      </c>
      <c r="D51" t="inlineStr">
        <is>
          <t>SQ</t>
        </is>
      </c>
      <c r="E51" t="inlineStr">
        <is>
          <t>Is the medium/long-term fiscal plan publicly available?</t>
        </is>
      </c>
      <c r="F51" t="n">
        <v>5</v>
      </c>
      <c r="G51" t="inlineStr">
        <is>
          <t>Implementation</t>
        </is>
      </c>
      <c r="H51" t="inlineStr">
        <is>
          <t>Common.</t>
        </is>
      </c>
      <c r="I51" t="inlineStr">
        <is>
          <t>Score 5 if the fiscal plan is published online on the relevant parastatal's website. Score 0 if not available.</t>
        </is>
      </c>
      <c r="J51" t="inlineStr">
        <is>
          <t>Website of the relevant parastatal</t>
        </is>
      </c>
    </row>
    <row r="52">
      <c r="A52" t="inlineStr">
        <is>
          <t>SC5</t>
        </is>
      </c>
      <c r="B52" t="inlineStr">
        <is>
          <t>SC-5</t>
        </is>
      </c>
      <c r="C52" t="inlineStr">
        <is>
          <t>State Capacities</t>
        </is>
      </c>
      <c r="D52" t="inlineStr">
        <is>
          <t>MQ</t>
        </is>
      </c>
      <c r="E52" t="inlineStr">
        <is>
          <t>Does the law mandate a minimum tenure for the executive authority of the parastatal?</t>
        </is>
      </c>
      <c r="F52" t="n">
        <v>10</v>
      </c>
      <c r="G52" t="inlineStr">
        <is>
          <t>Law/Policy</t>
        </is>
      </c>
      <c r="H52" t="inlineStr">
        <is>
          <t>Common.</t>
        </is>
      </c>
      <c r="I52" t="inlineStr">
        <is>
          <t>Review the relevant Parastatal Act and rules governing the appointment of the chief executive/executive authority.
Score 10 — the law mandates a minimum tenure of two years (or more) for the executive authority, with removal permitted only on defined grounds (e.g. misconduct, incapacity) rather than at unrestricted discretion.
Score 5 — the law mandates a minimum tenure of less than two years.
Score 0 — no minimum tenure is prescribed in law.
This refers to the bureaucratic/administrative head of the parastatal — for example, the Managing Director, Commissioner, Chief Executive Officer or equivalent executive authority — and not to the Chairperson or political head.</t>
        </is>
      </c>
      <c r="J52" t="inlineStr">
        <is>
          <t>Relevant Parastatal Act; rules governing appointment, tenure and removal of the executive authority/chief executive.</t>
        </is>
      </c>
    </row>
    <row r="53">
      <c r="A53" t="inlineStr">
        <is>
          <t>SC6</t>
        </is>
      </c>
      <c r="B53" t="inlineStr">
        <is>
          <t>SC-6</t>
        </is>
      </c>
      <c r="C53" t="inlineStr">
        <is>
          <t>State Capacities</t>
        </is>
      </c>
      <c r="D53" t="inlineStr">
        <is>
          <t>MQ</t>
        </is>
      </c>
      <c r="E53" t="inlineStr">
        <is>
          <t>What is the average tenure of the chief executive/executive authority of the parastatal?</t>
        </is>
      </c>
      <c r="F53" t="n">
        <v>10</v>
      </c>
      <c r="G53" t="inlineStr">
        <is>
          <t>Implementation (Numeric)</t>
        </is>
      </c>
      <c r="H53" t="inlineStr">
        <is>
          <t>Common — all parastatal types with a designated chief executive/executive authority post.</t>
        </is>
      </c>
      <c r="I53" t="inlineStr">
        <is>
          <t>Review appointments/transfers of the chief executive or executive authority over the last five years. 
Score 10 if one chief executive has served during the period
Score 5 if 2–3 chief executives have served
Score 0 if more than 3 chief executives have served. 
Where an officer has held only additional/acting charge, record this separately.</t>
        </is>
      </c>
      <c r="J53" t="inlineStr">
        <is>
          <t>Newspaper reports, Gazette notifications of appointment/transfer and website of relevant parastatal</t>
        </is>
      </c>
    </row>
    <row r="54">
      <c r="A54" t="inlineStr">
        <is>
          <t>SC7</t>
        </is>
      </c>
      <c r="B54" t="inlineStr">
        <is>
          <t>SC-7</t>
        </is>
      </c>
      <c r="C54" t="inlineStr">
        <is>
          <t>State Capacities</t>
        </is>
      </c>
      <c r="D54" t="inlineStr">
        <is>
          <t>MQ</t>
        </is>
      </c>
      <c r="E54" t="inlineStr">
        <is>
          <t>Does the parastatal have adequate and representative staffing capacity to discharge its mandate?</t>
        </is>
      </c>
      <c r="F54" t="n">
        <v>10</v>
      </c>
      <c r="G54" t="inlineStr">
        <is>
          <t>Implementation (Numeric)</t>
        </is>
      </c>
      <c r="H54" t="inlineStr">
        <is>
          <t>Common — all parastatal types.</t>
        </is>
      </c>
      <c r="I54" t="inlineStr">
        <is>
          <t>Sum of the sub-indicators below.</t>
        </is>
      </c>
      <c r="J54" t="inlineStr">
        <is>
          <t>RTI / Formal data request with the parastatal and Website of the relevant parastatal</t>
        </is>
      </c>
    </row>
    <row r="55">
      <c r="A55" t="inlineStr">
        <is>
          <t>SC7a</t>
        </is>
      </c>
      <c r="B55" t="inlineStr">
        <is>
          <t>SC-7a</t>
        </is>
      </c>
      <c r="C55" t="inlineStr">
        <is>
          <t>State Capacities</t>
        </is>
      </c>
      <c r="D55" t="inlineStr">
        <is>
          <t>SQ</t>
        </is>
      </c>
      <c r="E55" t="inlineStr">
        <is>
          <t>Does the parastatal have adequate staffing capacity to discharge its mandate?</t>
        </is>
      </c>
      <c r="F55" t="n">
        <v>5</v>
      </c>
      <c r="G55" t="inlineStr">
        <is>
          <t>Implementation (Numeric)</t>
        </is>
      </c>
      <c r="H55" t="inlineStr">
        <is>
          <t>Common — all parastatal types.</t>
        </is>
      </c>
      <c r="I55" t="inlineStr">
        <is>
          <t>Collect the parastatal’s sanctioned and filled positions, including permanent and contractual staff where they form part of the approved staffing structure. Calculate the proportion of sanctioned positions that are filled.
Score 5 – 90% or more of sanctioned positions filled
Score 4 – 75%–89%
Score 3 – 60%–74%
Score 2 – 40%–59%
Score 1 – below 40%
Score 0 – no staffing data available / no evidence of sanctioned staffing structure</t>
        </is>
      </c>
      <c r="J55" t="inlineStr">
        <is>
          <t>Staffing records on the website/ RTI  and/or formal data request with the parastatal/ annual report</t>
        </is>
      </c>
    </row>
    <row r="56">
      <c r="A56" t="inlineStr">
        <is>
          <t>SC7b</t>
        </is>
      </c>
      <c r="B56" t="inlineStr">
        <is>
          <t>SC-7b</t>
        </is>
      </c>
      <c r="C56" t="inlineStr">
        <is>
          <t>State Capacities</t>
        </is>
      </c>
      <c r="D56" t="inlineStr">
        <is>
          <t>SQ</t>
        </is>
      </c>
      <c r="E56" t="inlineStr">
        <is>
          <t>What proportion of the parastatal's workforce is women?</t>
        </is>
      </c>
      <c r="F56" t="n">
        <v>5</v>
      </c>
      <c r="G56" t="inlineStr">
        <is>
          <t>Implementation (Numeric)</t>
        </is>
      </c>
      <c r="H56" t="inlineStr">
        <is>
          <t>Common — all parastatal types.</t>
        </is>
      </c>
      <c r="I56" t="inlineStr">
        <is>
          <t>Compute women employees as a proportion of total filled posts using the latest available staffing data. 
% women in workforce = (Number of women employees ÷ Total filled posts) × 100, using the latest available staffing data.
Scoring bands:
Score 5 — women constitute ≥33% of the workforce
Score 2.5 — women constitute 15–32% of the workforce
Score 0 — women constitute &lt;15% of the workforce
Also record, wherever available, the proportion of women in senior/decision-making positions and technical/professional cadres.</t>
        </is>
      </c>
      <c r="J56" t="inlineStr">
        <is>
          <t>Staffing records on the website/ RTI  and/or formal data request with the parastatal/ annual report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UPD1a</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C13" t="inlineStr">
        <is>
          <t>THE BANGALORE WATER SUPPLY AND SEWERAGE ACT, 1964 (FAOLEX PDF) [BWSSB-04]</t>
        </is>
      </c>
      <c r="D13" t="inlineStr">
        <is>
          <t>Chapter II (Constitution, powers and duties of the Board)</t>
        </is>
      </c>
      <c r="E13" t="inlineStr">
        <is>
          <t>Section 14 (Consultative Committee), read with Section 15(2)(b)-(c) and its proviso (General duties of the Board)</t>
        </is>
      </c>
      <c r="F13" t="inlineStr">
        <is>
          <t>Section 14(1) and 14(4)(i); proviso to Section 15(2)</t>
        </is>
      </c>
      <c r="G13" t="inlineStr">
        <is>
          <t>12</t>
        </is>
      </c>
      <c r="H13" t="inlineStr">
        <is>
          <t>https://faolex.fao.org/docs/pdf/ind201320.pdf</t>
        </is>
      </c>
      <c r="I13" s="7" t="n">
        <v>1.25</v>
      </c>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C15" t="inlineStr">
        <is>
          <t>The Bangalore Development Authority Act, 1976 (Karnataka Act 12 of 1976) – consolidated text with amendments, PRS Legislative Research [BDA-02]</t>
        </is>
      </c>
      <c r="D15" t="inlineStr">
        <is>
          <t>Development schemes (Sections 17–19), Bangalore Development Authority Act, 1976</t>
        </is>
      </c>
      <c r="E15" t="inlineStr">
        <is>
          <t>Section 17(2), read with Section 17(4) and Section 18(1)(d)</t>
        </is>
      </c>
      <c r="F15" t="inlineStr">
        <is>
          <t>S.17(2): notification 'shall be sent to the Corporation', and the Corporation may make a representation within 30 days; S.17(4): if it sends none, its concurrence is deemed given; S.18(1): BDA submits the scheme 'after consideration of representations' and must attach 'any representation received under sub-section (2) of section 17' (cl. (d)); S.18(3): the Government sanctions</t>
        </is>
      </c>
      <c r="G15" t="inlineStr">
        <is>
          <t>26</t>
        </is>
      </c>
      <c r="H15" t="inlineStr">
        <is>
          <t>https://prsindia.org/files/bills_acts/acts_states/karnataka/1976/1976Karnataka12.pdf</t>
        </is>
      </c>
      <c r="I15" s="7" t="n">
        <v>3.75</v>
      </c>
      <c r="J15">
        <f>IF($B15="NO","NA",IF(I15="","",MIN(I15,$B$6)))</f>
        <v/>
      </c>
      <c r="K15" t="inlineStr">
        <is>
          <t>AI: left for a person. Step 2 found no evidence (Insufficient Evidence).</t>
        </is>
      </c>
    </row>
    <row r="16">
      <c r="A16" t="inlineStr">
        <is>
          <t>Bengaluru – BMRCL</t>
        </is>
      </c>
      <c r="B16" t="inlineStr">
        <is>
          <t>YES</t>
        </is>
      </c>
      <c r="C16" t="inlineStr">
        <is>
          <t>The Greater Bengaluru Governance Act, 2024, Act No. 36 of 2025 (PRS India copy) [BMRCL-34]</t>
        </is>
      </c>
      <c r="D16" t="inlineStr">
        <is>
          <t>Chapter III – Greater Bengaluru Authority</t>
        </is>
      </c>
      <c r="E16" t="inlineStr">
        <is>
          <t>Section 14 (Functions of the Greater Bengaluru Authority)</t>
        </is>
      </c>
      <c r="F16" t="inlineStr">
        <is>
          <t>Section 14(4); also s.15(1) and s.15(5); BMLTA Act s.21(2) proviso (BMRCL-35)</t>
        </is>
      </c>
      <c r="G16" t="inlineStr">
        <is>
          <t>15</t>
        </is>
      </c>
      <c r="H16" t="inlineStr">
        <is>
          <t>https://prsindia.org/files/bills_acts/acts_states/karnataka/2025/Act36of2025KA.pdf</t>
        </is>
      </c>
      <c r="I16" s="7" t="n">
        <v>0</v>
      </c>
      <c r="J16">
        <f>IF($B16="NO","NA",IF(I16="","",MIN(I16,$B$6)))</f>
        <v/>
      </c>
      <c r="K16" t="inlineStr">
        <is>
          <t>AI: left for a person. Step 2 found no evidence (Insufficient Evidence).</t>
        </is>
      </c>
    </row>
    <row r="17">
      <c r="A17" t="inlineStr">
        <is>
          <t>Bengaluru – BMRDA</t>
        </is>
      </c>
      <c r="B17" t="inlineStr">
        <is>
          <t>YES</t>
        </is>
      </c>
      <c r="C17" t="inlineStr">
        <is>
          <t>The Bangalore Metropolitan Region Development Authority Act, 1985 (Karnataka Act 39 of 1985), full text with amendments (PDF hosted by India Water Portal) [BMRDA-08]</t>
        </is>
      </c>
      <c r="D17" t="inlineStr">
        <is>
          <t>Chapter III – Powers and Functions of the Authority</t>
        </is>
      </c>
      <c r="E17" t="inlineStr">
        <is>
          <t>Section 9(1)</t>
        </is>
      </c>
      <c r="F17" t="inlineStr">
        <is>
          <t>Section 9(1)(ii); also checked s.9(1)(viii)-(ix), s.10, s.18, s.31 (inserting s.81-C into the Karnataka Town and Country Planning Act)</t>
        </is>
      </c>
      <c r="G17" t="inlineStr">
        <is>
          <t>10</t>
        </is>
      </c>
      <c r="H17" t="inlineStr">
        <is>
          <t>https://prod-qt-images.s3.amazonaws.com/indiawaterportal/import/sites/default/files/iwp2/Bangalore_Metropolitan_Region_Development_Authority_Act_Bangalore_Metropolitan_Region_Development_Authority_1985.pdf</t>
        </is>
      </c>
      <c r="I17" s="7" t="n">
        <v>0</v>
      </c>
      <c r="J17">
        <f>IF($B17="NO","NA",IF(I17="","",MIN(I17,$B$6)))</f>
        <v/>
      </c>
      <c r="K17" t="inlineStr">
        <is>
          <t>AI: left for a person. Step 2 found no evidence (Insufficient Evidence). Source needed: Readable official text of: (1) the BMRDA Act, 1985 as amended, especially the provisions on preparing and approving the Structure Plan and on consulting or obtaining the concurrence of local authorities, and on board membership of ULG representatives; (2) any Rules and Regulations under it; (3) the Karnataka Town and Country Planning Act, 1961, on how regional/structure plans relate to local planning and local authorities; (4) the Greater Bengaluru Governance Act, 2024, on GBA/City Corporation planning functions and any coordination or approval powers over public authorities. Sources should be the state legislation portal or eGazette, or the BMRDA Acts &amp; Rules page.</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5</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UPD1b</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C13" t="inlineStr">
        <is>
          <t>JICA – Bengaluru Water Supply and Sewerage Project (Phase 3), Final Report (Main Report), November 2017 [BWSSB-22]</t>
        </is>
      </c>
      <c r="D13" t="inlineStr">
        <is>
          <t>Chapter 5 Water Demand Projection for the Three Areas by Target Year</t>
        </is>
      </c>
      <c r="E13" t="inlineStr">
        <is>
          <t>Section 5.1.5 Projection of Population in the BBMP for the Water Balance Study (report p. 5-7, PDF p. 227)</t>
        </is>
      </c>
      <c r="F13" t="inlineStr">
        <is>
          <t>Item 2) 110 Villages; also the note under Table 5.1.10: 'Growth rates were authorized by BDA, BWSSB, BBMP and DHV for 110 Villages Project, 19 August 2014'</t>
        </is>
      </c>
      <c r="G13" t="inlineStr">
        <is>
          <t>227</t>
        </is>
      </c>
      <c r="H13" t="inlineStr">
        <is>
          <t>https://openjicareport.jica.go.jp/pdf/12300356_01.pdf</t>
        </is>
      </c>
      <c r="I13" s="7" t="n">
        <v>5</v>
      </c>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I15" s="7" t="n"/>
      <c r="J15">
        <f>IF($B15="NO","NA",IF(I15="","",MIN(I15,$B$6)))</f>
        <v/>
      </c>
      <c r="K15" t="inlineStr">
        <is>
          <t>AI: left for a person. Step 2 found no evidence (Insufficient Evidence).</t>
        </is>
      </c>
    </row>
    <row r="16">
      <c r="A16" t="inlineStr">
        <is>
          <t>Bengaluru – BMRCL</t>
        </is>
      </c>
      <c r="B16" t="inlineStr">
        <is>
          <t>YES</t>
        </is>
      </c>
      <c r="I16" s="7" t="n"/>
      <c r="J16">
        <f>IF($B16="NO","NA",IF(I16="","",MIN(I16,$B$6)))</f>
        <v/>
      </c>
      <c r="K16" t="inlineStr">
        <is>
          <t>AI: left for a person. Step 2 found no evidence (Insufficient Evidence).</t>
        </is>
      </c>
    </row>
    <row r="17">
      <c r="A17" t="inlineStr">
        <is>
          <t>Bengaluru – BMRDA</t>
        </is>
      </c>
      <c r="B17" t="inlineStr">
        <is>
          <t>YES</t>
        </is>
      </c>
      <c r="I17" s="7" t="n"/>
      <c r="J17">
        <f>IF($B17="NO","NA",IF(I17="","",MIN(I17,$B$6)))</f>
        <v/>
      </c>
      <c r="K17" t="inlineStr">
        <is>
          <t>AI: left for a person. Step 2 found no evidence (Insufficient Evidence). Source needed: Any one of these would answer it: the text of BMRDA's latest Structure Plan or Land Utilisation Plan 2031 report, especially sections on stakeholder consultation or local bodies consulted; records of objections and suggestions received and how they were dealt with; BMRDA Authority meeting minutes approving the plan; GBA, city corporation or former BBMP council resolutions or written comments on the BMRDA plan, and BMRDA's responses to them.</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UPD2a</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2.5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C13" t="inlineStr">
        <is>
          <t>THE BANGALORE WATER SUPPLY AND SEWERAGE ACT, 1964 (FAOLEX PDF) [BWSSB-04]</t>
        </is>
      </c>
      <c r="D13" t="inlineStr">
        <is>
          <t>Chapter III (Board's duties)</t>
        </is>
      </c>
      <c r="E13" t="inlineStr">
        <is>
          <t>Section 15 – General duties of the Board</t>
        </is>
      </c>
      <c r="F13" t="inlineStr">
        <is>
          <t>Section 15(2)(b)-(c) and proviso</t>
        </is>
      </c>
      <c r="G13" t="inlineStr">
        <is>
          <t>13</t>
        </is>
      </c>
      <c r="H13" t="inlineStr">
        <is>
          <t>https://faolex.fao.org/docs/pdf/ind201320.pdf</t>
        </is>
      </c>
      <c r="I13" s="7" t="n">
        <v>0</v>
      </c>
      <c r="J13">
        <f>IF($B13="NO","NA",IF(I13="","",MIN(I13,$B$6)))</f>
        <v/>
      </c>
      <c r="K13" t="inlineStr">
        <is>
          <t>AI: left for a person. Step 2 found no evidence (Insufficient Evidence).</t>
        </is>
      </c>
    </row>
    <row r="14">
      <c r="A14" s="8" t="inlineStr">
        <is>
          <t>Bengaluru – BMTC</t>
        </is>
      </c>
      <c r="B14" s="8" t="inlineStr">
        <is>
          <t>NO</t>
        </is>
      </c>
      <c r="C14" s="8" t="n"/>
      <c r="D14" s="8" t="n"/>
      <c r="E14" s="8" t="n"/>
      <c r="F14" s="8" t="n"/>
      <c r="G14" s="8" t="n"/>
      <c r="H14" s="8" t="n"/>
      <c r="I14" s="8" t="n"/>
      <c r="J14" s="8">
        <f>IF($B14="NO","NA",IF(I14="","",MIN(I14,$B$6)))</f>
        <v/>
      </c>
      <c r="K14" s="8" t="n"/>
    </row>
    <row r="15">
      <c r="A15" s="8" t="inlineStr">
        <is>
          <t>Bengaluru – BDA</t>
        </is>
      </c>
      <c r="B15" s="8" t="inlineStr">
        <is>
          <t>NO</t>
        </is>
      </c>
      <c r="C15" s="8" t="n"/>
      <c r="D15" s="8" t="n"/>
      <c r="E15" s="8" t="n"/>
      <c r="F15" s="8" t="n"/>
      <c r="G15" s="8" t="n"/>
      <c r="H15" s="8" t="n"/>
      <c r="I15" s="8" t="n"/>
      <c r="J15" s="8">
        <f>IF($B15="NO","NA",IF(I15="","",MIN(I15,$B$6)))</f>
        <v/>
      </c>
      <c r="K15" s="8" t="n"/>
    </row>
    <row r="16">
      <c r="A16" s="8" t="inlineStr">
        <is>
          <t>Bengaluru – BMRCL</t>
        </is>
      </c>
      <c r="B16" s="8" t="inlineStr">
        <is>
          <t>NO</t>
        </is>
      </c>
      <c r="C16" s="8" t="n"/>
      <c r="D16" s="8" t="n"/>
      <c r="E16" s="8" t="n"/>
      <c r="F16" s="8" t="n"/>
      <c r="G16" s="8" t="n"/>
      <c r="H16" s="8" t="n"/>
      <c r="I16" s="8" t="n"/>
      <c r="J16" s="8">
        <f>IF($B16="NO","NA",IF(I16="","",MIN(I16,$B$6)))</f>
        <v/>
      </c>
      <c r="K16" s="8" t="n"/>
    </row>
    <row r="17">
      <c r="A17" s="8" t="inlineStr">
        <is>
          <t>Bengaluru – BMRDA</t>
        </is>
      </c>
      <c r="B17" s="8" t="inlineStr">
        <is>
          <t>NO</t>
        </is>
      </c>
      <c r="C17" s="8" t="n"/>
      <c r="D17" s="8" t="n"/>
      <c r="E17" s="8" t="n"/>
      <c r="F17" s="8" t="n"/>
      <c r="G17" s="8" t="n"/>
      <c r="H17" s="8" t="n"/>
      <c r="I17" s="8" t="n"/>
      <c r="J17" s="8">
        <f>IF($B17="NO","NA",IF(I17="","",MIN(I17,$B$6)))</f>
        <v/>
      </c>
      <c r="K17" s="8" t="n"/>
    </row>
    <row r="18">
      <c r="A18" s="8" t="inlineStr">
        <is>
          <t>Surat – SUDA</t>
        </is>
      </c>
      <c r="B18" s="8" t="inlineStr">
        <is>
          <t>NO</t>
        </is>
      </c>
      <c r="C18" s="8" t="n"/>
      <c r="D18" s="8" t="n"/>
      <c r="E18" s="8" t="n"/>
      <c r="F18" s="8" t="n"/>
      <c r="G18" s="8" t="n"/>
      <c r="H18" s="8" t="n"/>
      <c r="I18" s="8" t="n"/>
      <c r="J18" s="8">
        <f>IF($B18="NO","NA",IF(I18="","",MIN(I18,$B$6)))</f>
        <v/>
      </c>
      <c r="K18" s="8" t="n"/>
    </row>
    <row r="19">
      <c r="A19" s="8" t="inlineStr">
        <is>
          <t>Surat – GMRC</t>
        </is>
      </c>
      <c r="B19" s="8" t="inlineStr">
        <is>
          <t>NO</t>
        </is>
      </c>
      <c r="C19" s="8" t="n"/>
      <c r="D19" s="8" t="n"/>
      <c r="E19" s="8" t="n"/>
      <c r="F19" s="8" t="n"/>
      <c r="G19" s="8" t="n"/>
      <c r="H19" s="8" t="n"/>
      <c r="I19" s="8" t="n"/>
      <c r="J19" s="8">
        <f>IF($B19="NO","NA",IF(I19="","",MIN(I19,$B$6)))</f>
        <v/>
      </c>
      <c r="K19" s="8" t="n"/>
    </row>
  </sheetData>
  <dataValidations count="1">
    <dataValidation sqref="I13:I19" showDropDown="0" showInputMessage="0" showErrorMessage="1" allowBlank="1" error="See the instruction above the 'Score' column." type="decimal" operator="between">
      <formula1>0</formula1>
      <formula2>2.5</formula2>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UPD2b</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2.5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I13" s="7" t="n"/>
      <c r="J13">
        <f>IF($B13="NO","NA",IF(I13="","",MIN(I13,$B$6)))</f>
        <v/>
      </c>
      <c r="K13" t="inlineStr">
        <is>
          <t>AI: left for a person. Step 2 found no evidence (Insufficient Evidence).</t>
        </is>
      </c>
    </row>
    <row r="14">
      <c r="A14" s="8" t="inlineStr">
        <is>
          <t>Bengaluru – BMTC</t>
        </is>
      </c>
      <c r="B14" s="8" t="inlineStr">
        <is>
          <t>NO</t>
        </is>
      </c>
      <c r="C14" s="8" t="n"/>
      <c r="D14" s="8" t="n"/>
      <c r="E14" s="8" t="n"/>
      <c r="F14" s="8" t="n"/>
      <c r="G14" s="8" t="n"/>
      <c r="H14" s="8" t="n"/>
      <c r="I14" s="8" t="n"/>
      <c r="J14" s="8">
        <f>IF($B14="NO","NA",IF(I14="","",MIN(I14,$B$6)))</f>
        <v/>
      </c>
      <c r="K14" s="8" t="n"/>
    </row>
    <row r="15">
      <c r="A15" s="8" t="inlineStr">
        <is>
          <t>Bengaluru – BDA</t>
        </is>
      </c>
      <c r="B15" s="8" t="inlineStr">
        <is>
          <t>NO</t>
        </is>
      </c>
      <c r="C15" s="8" t="n"/>
      <c r="D15" s="8" t="n"/>
      <c r="E15" s="8" t="n"/>
      <c r="F15" s="8" t="n"/>
      <c r="G15" s="8" t="n"/>
      <c r="H15" s="8" t="n"/>
      <c r="I15" s="8" t="n"/>
      <c r="J15" s="8">
        <f>IF($B15="NO","NA",IF(I15="","",MIN(I15,$B$6)))</f>
        <v/>
      </c>
      <c r="K15" s="8" t="n"/>
    </row>
    <row r="16">
      <c r="A16" s="8" t="inlineStr">
        <is>
          <t>Bengaluru – BMRCL</t>
        </is>
      </c>
      <c r="B16" s="8" t="inlineStr">
        <is>
          <t>NO</t>
        </is>
      </c>
      <c r="C16" s="8" t="n"/>
      <c r="D16" s="8" t="n"/>
      <c r="E16" s="8" t="n"/>
      <c r="F16" s="8" t="n"/>
      <c r="G16" s="8" t="n"/>
      <c r="H16" s="8" t="n"/>
      <c r="I16" s="8" t="n"/>
      <c r="J16" s="8">
        <f>IF($B16="NO","NA",IF(I16="","",MIN(I16,$B$6)))</f>
        <v/>
      </c>
      <c r="K16" s="8" t="n"/>
    </row>
    <row r="17">
      <c r="A17" s="8" t="inlineStr">
        <is>
          <t>Bengaluru – BMRDA</t>
        </is>
      </c>
      <c r="B17" s="8" t="inlineStr">
        <is>
          <t>NO</t>
        </is>
      </c>
      <c r="C17" s="8" t="n"/>
      <c r="D17" s="8" t="n"/>
      <c r="E17" s="8" t="n"/>
      <c r="F17" s="8" t="n"/>
      <c r="G17" s="8" t="n"/>
      <c r="H17" s="8" t="n"/>
      <c r="I17" s="8" t="n"/>
      <c r="J17" s="8">
        <f>IF($B17="NO","NA",IF(I17="","",MIN(I17,$B$6)))</f>
        <v/>
      </c>
      <c r="K17" s="8" t="n"/>
    </row>
    <row r="18">
      <c r="A18" s="8" t="inlineStr">
        <is>
          <t>Surat – SUDA</t>
        </is>
      </c>
      <c r="B18" s="8" t="inlineStr">
        <is>
          <t>NO</t>
        </is>
      </c>
      <c r="C18" s="8" t="n"/>
      <c r="D18" s="8" t="n"/>
      <c r="E18" s="8" t="n"/>
      <c r="F18" s="8" t="n"/>
      <c r="G18" s="8" t="n"/>
      <c r="H18" s="8" t="n"/>
      <c r="I18" s="8" t="n"/>
      <c r="J18" s="8">
        <f>IF($B18="NO","NA",IF(I18="","",MIN(I18,$B$6)))</f>
        <v/>
      </c>
      <c r="K18" s="8" t="n"/>
    </row>
    <row r="19">
      <c r="A19" s="8" t="inlineStr">
        <is>
          <t>Surat – GMRC</t>
        </is>
      </c>
      <c r="B19" s="8" t="inlineStr">
        <is>
          <t>NO</t>
        </is>
      </c>
      <c r="C19" s="8" t="n"/>
      <c r="D19" s="8" t="n"/>
      <c r="E19" s="8" t="n"/>
      <c r="F19" s="8" t="n"/>
      <c r="G19" s="8" t="n"/>
      <c r="H19" s="8" t="n"/>
      <c r="I19" s="8" t="n"/>
      <c r="J19" s="8">
        <f>IF($B19="NO","NA",IF(I19="","",MIN(I19,$B$6)))</f>
        <v/>
      </c>
      <c r="K19" s="8" t="n"/>
    </row>
  </sheetData>
  <dataValidations count="1">
    <dataValidation sqref="I13:I19" showDropDown="0" showInputMessage="0" showErrorMessage="1" allowBlank="1" error="See the instruction above the 'Score' column." type="decimal" operator="between">
      <formula1>0</formula1>
      <formula2>2.5</formula2>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UPD2c</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2.5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s="8" t="inlineStr">
        <is>
          <t>Bengaluru – BWSSB</t>
        </is>
      </c>
      <c r="B13" s="8" t="inlineStr">
        <is>
          <t>NO</t>
        </is>
      </c>
      <c r="C13" s="8" t="n"/>
      <c r="D13" s="8" t="n"/>
      <c r="E13" s="8" t="n"/>
      <c r="F13" s="8" t="n"/>
      <c r="G13" s="8" t="n"/>
      <c r="H13" s="8" t="n"/>
      <c r="I13" s="8" t="n"/>
      <c r="J13" s="8">
        <f>IF($B13="NO","NA",IF(I13="","",MIN(I13,$B$6)))</f>
        <v/>
      </c>
      <c r="K13" s="8" t="n"/>
    </row>
    <row r="14">
      <c r="A14" t="inlineStr">
        <is>
          <t>Bengaluru – BMTC</t>
        </is>
      </c>
      <c r="B14" t="inlineStr">
        <is>
          <t>YES</t>
        </is>
      </c>
      <c r="C14" t="inlineStr">
        <is>
          <t>The Bengaluru Metropolitan Land Transport Authority Act, 2022 (Karnataka Act No. 6 of 2023), full text (PRS Legislative Research copy of the official Act) [BMTC-23]</t>
        </is>
      </c>
      <c r="D14" t="inlineStr">
        <is>
          <t>Chapter VI – Sectoral and City Mobility Investment Program and Annual Implementation Plan (also Chapters IV–V)</t>
        </is>
      </c>
      <c r="E14" t="inlineStr">
        <is>
          <t>Bengaluru Metropolitan Land Transport Authority Act, 2022 (Karnataka Act No. 6 of 2023): Section 24(a); see also Sections 2(ff), 2(v), 19(1)-(2), 21(2), 22 and 25(1)(c)</t>
        </is>
      </c>
      <c r="F14" t="inlineStr">
        <is>
          <t>s.24(a)</t>
        </is>
      </c>
      <c r="G14" t="inlineStr">
        <is>
          <t>19</t>
        </is>
      </c>
      <c r="H14" t="inlineStr">
        <is>
          <t>https://prsindia.org/files/bills_acts/acts_states/karnataka/2023/Act6of2023Karnataka.pdf</t>
        </is>
      </c>
      <c r="I14" s="7" t="n">
        <v>2.5</v>
      </c>
      <c r="J14">
        <f>IF($B14="NO","NA",IF(I14="","",MIN(I14,$B$6)))</f>
        <v/>
      </c>
      <c r="K14" t="inlineStr">
        <is>
          <t>AI: left for a person. Step 2 found no evidence (Insufficient Evidence).</t>
        </is>
      </c>
    </row>
    <row r="15">
      <c r="A15" s="8" t="inlineStr">
        <is>
          <t>Bengaluru – BDA</t>
        </is>
      </c>
      <c r="B15" s="8" t="inlineStr">
        <is>
          <t>NO</t>
        </is>
      </c>
      <c r="C15" s="8" t="n"/>
      <c r="D15" s="8" t="n"/>
      <c r="E15" s="8" t="n"/>
      <c r="F15" s="8" t="n"/>
      <c r="G15" s="8" t="n"/>
      <c r="H15" s="8" t="n"/>
      <c r="I15" s="8" t="n"/>
      <c r="J15" s="8">
        <f>IF($B15="NO","NA",IF(I15="","",MIN(I15,$B$6)))</f>
        <v/>
      </c>
      <c r="K15" s="8" t="n"/>
    </row>
    <row r="16">
      <c r="A16" s="8" t="inlineStr">
        <is>
          <t>Bengaluru – BMRCL</t>
        </is>
      </c>
      <c r="B16" s="8" t="inlineStr">
        <is>
          <t>NO</t>
        </is>
      </c>
      <c r="C16" s="8" t="n"/>
      <c r="D16" s="8" t="n"/>
      <c r="E16" s="8" t="n"/>
      <c r="F16" s="8" t="n"/>
      <c r="G16" s="8" t="n"/>
      <c r="H16" s="8" t="n"/>
      <c r="I16" s="8" t="n"/>
      <c r="J16" s="8">
        <f>IF($B16="NO","NA",IF(I16="","",MIN(I16,$B$6)))</f>
        <v/>
      </c>
      <c r="K16" s="8" t="n"/>
    </row>
    <row r="17">
      <c r="A17" s="8" t="inlineStr">
        <is>
          <t>Bengaluru – BMRDA</t>
        </is>
      </c>
      <c r="B17" s="8" t="inlineStr">
        <is>
          <t>NO</t>
        </is>
      </c>
      <c r="C17" s="8" t="n"/>
      <c r="D17" s="8" t="n"/>
      <c r="E17" s="8" t="n"/>
      <c r="F17" s="8" t="n"/>
      <c r="G17" s="8" t="n"/>
      <c r="H17" s="8" t="n"/>
      <c r="I17" s="8" t="n"/>
      <c r="J17" s="8">
        <f>IF($B17="NO","NA",IF(I17="","",MIN(I17,$B$6)))</f>
        <v/>
      </c>
      <c r="K17" s="8" t="n"/>
    </row>
    <row r="18">
      <c r="A18" s="8" t="inlineStr">
        <is>
          <t>Surat – SUDA</t>
        </is>
      </c>
      <c r="B18" s="8" t="inlineStr">
        <is>
          <t>NO</t>
        </is>
      </c>
      <c r="C18" s="8" t="n"/>
      <c r="D18" s="8" t="n"/>
      <c r="E18" s="8" t="n"/>
      <c r="F18" s="8" t="n"/>
      <c r="G18" s="8" t="n"/>
      <c r="H18" s="8" t="n"/>
      <c r="I18" s="8" t="n"/>
      <c r="J18" s="8">
        <f>IF($B18="NO","NA",IF(I18="","",MIN(I18,$B$6)))</f>
        <v/>
      </c>
      <c r="K18" s="8" t="n"/>
    </row>
    <row r="19">
      <c r="A19" s="8" t="inlineStr">
        <is>
          <t>Surat – GMRC</t>
        </is>
      </c>
      <c r="B19" s="8" t="inlineStr">
        <is>
          <t>NO</t>
        </is>
      </c>
      <c r="C19" s="8" t="n"/>
      <c r="D19" s="8" t="n"/>
      <c r="E19" s="8" t="n"/>
      <c r="F19" s="8" t="n"/>
      <c r="G19" s="8" t="n"/>
      <c r="H19" s="8" t="n"/>
      <c r="I19" s="8" t="n"/>
      <c r="J19" s="8">
        <f>IF($B19="NO","NA",IF(I19="","",MIN(I19,$B$6)))</f>
        <v/>
      </c>
      <c r="K19" s="8" t="n"/>
    </row>
  </sheetData>
  <dataValidations count="1">
    <dataValidation sqref="I13:I19" showDropDown="0" showInputMessage="0" showErrorMessage="1" allowBlank="1" error="See the instruction above the 'Score' column." type="decimal" operator="between">
      <formula1>0</formula1>
      <formula2>2.5</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UPD2d</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2.5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s="8" t="inlineStr">
        <is>
          <t>Bengaluru – BWSSB</t>
        </is>
      </c>
      <c r="B13" s="8" t="inlineStr">
        <is>
          <t>NO</t>
        </is>
      </c>
      <c r="C13" s="8" t="n"/>
      <c r="D13" s="8" t="n"/>
      <c r="E13" s="8" t="n"/>
      <c r="F13" s="8" t="n"/>
      <c r="G13" s="8" t="n"/>
      <c r="H13" s="8" t="n"/>
      <c r="I13" s="8" t="n"/>
      <c r="J13" s="8">
        <f>IF($B13="NO","NA",IF(I13="","",MIN(I13,$B$6)))</f>
        <v/>
      </c>
      <c r="K13" s="8" t="n"/>
    </row>
    <row r="14">
      <c r="A14" t="inlineStr">
        <is>
          <t>Bengaluru – BMTC</t>
        </is>
      </c>
      <c r="B14" t="inlineStr">
        <is>
          <t>YES</t>
        </is>
      </c>
      <c r="I14" s="7" t="n"/>
      <c r="J14">
        <f>IF($B14="NO","NA",IF(I14="","",MIN(I14,$B$6)))</f>
        <v/>
      </c>
      <c r="K14" t="inlineStr">
        <is>
          <t>AI: left for a person. Step 2 found no evidence (Insufficient Evidence).</t>
        </is>
      </c>
    </row>
    <row r="15">
      <c r="A15" s="8" t="inlineStr">
        <is>
          <t>Bengaluru – BDA</t>
        </is>
      </c>
      <c r="B15" s="8" t="inlineStr">
        <is>
          <t>NO</t>
        </is>
      </c>
      <c r="C15" s="8" t="n"/>
      <c r="D15" s="8" t="n"/>
      <c r="E15" s="8" t="n"/>
      <c r="F15" s="8" t="n"/>
      <c r="G15" s="8" t="n"/>
      <c r="H15" s="8" t="n"/>
      <c r="I15" s="8" t="n"/>
      <c r="J15" s="8">
        <f>IF($B15="NO","NA",IF(I15="","",MIN(I15,$B$6)))</f>
        <v/>
      </c>
      <c r="K15" s="8" t="n"/>
    </row>
    <row r="16">
      <c r="A16" s="8" t="inlineStr">
        <is>
          <t>Bengaluru – BMRCL</t>
        </is>
      </c>
      <c r="B16" s="8" t="inlineStr">
        <is>
          <t>NO</t>
        </is>
      </c>
      <c r="C16" s="8" t="n"/>
      <c r="D16" s="8" t="n"/>
      <c r="E16" s="8" t="n"/>
      <c r="F16" s="8" t="n"/>
      <c r="G16" s="8" t="n"/>
      <c r="H16" s="8" t="n"/>
      <c r="I16" s="8" t="n"/>
      <c r="J16" s="8">
        <f>IF($B16="NO","NA",IF(I16="","",MIN(I16,$B$6)))</f>
        <v/>
      </c>
      <c r="K16" s="8" t="n"/>
    </row>
    <row r="17">
      <c r="A17" s="8" t="inlineStr">
        <is>
          <t>Bengaluru – BMRDA</t>
        </is>
      </c>
      <c r="B17" s="8" t="inlineStr">
        <is>
          <t>NO</t>
        </is>
      </c>
      <c r="C17" s="8" t="n"/>
      <c r="D17" s="8" t="n"/>
      <c r="E17" s="8" t="n"/>
      <c r="F17" s="8" t="n"/>
      <c r="G17" s="8" t="n"/>
      <c r="H17" s="8" t="n"/>
      <c r="I17" s="8" t="n"/>
      <c r="J17" s="8">
        <f>IF($B17="NO","NA",IF(I17="","",MIN(I17,$B$6)))</f>
        <v/>
      </c>
      <c r="K17" s="8" t="n"/>
    </row>
    <row r="18">
      <c r="A18" s="8" t="inlineStr">
        <is>
          <t>Surat – SUDA</t>
        </is>
      </c>
      <c r="B18" s="8" t="inlineStr">
        <is>
          <t>NO</t>
        </is>
      </c>
      <c r="C18" s="8" t="n"/>
      <c r="D18" s="8" t="n"/>
      <c r="E18" s="8" t="n"/>
      <c r="F18" s="8" t="n"/>
      <c r="G18" s="8" t="n"/>
      <c r="H18" s="8" t="n"/>
      <c r="I18" s="8" t="n"/>
      <c r="J18" s="8">
        <f>IF($B18="NO","NA",IF(I18="","",MIN(I18,$B$6)))</f>
        <v/>
      </c>
      <c r="K18" s="8" t="n"/>
    </row>
    <row r="19">
      <c r="A19" s="8" t="inlineStr">
        <is>
          <t>Surat – GMRC</t>
        </is>
      </c>
      <c r="B19" s="8" t="inlineStr">
        <is>
          <t>NO</t>
        </is>
      </c>
      <c r="C19" s="8" t="n"/>
      <c r="D19" s="8" t="n"/>
      <c r="E19" s="8" t="n"/>
      <c r="F19" s="8" t="n"/>
      <c r="G19" s="8" t="n"/>
      <c r="H19" s="8" t="n"/>
      <c r="I19" s="8" t="n"/>
      <c r="J19" s="8">
        <f>IF($B19="NO","NA",IF(I19="","",MIN(I19,$B$6)))</f>
        <v/>
      </c>
      <c r="K19" s="8" t="n"/>
    </row>
  </sheetData>
  <dataValidations count="1">
    <dataValidation sqref="I13:I19" showDropDown="0" showInputMessage="0" showErrorMessage="1" allowBlank="1" error="See the instruction above the 'Score' column." type="decimal" operator="between">
      <formula1>0</formula1>
      <formula2>2.5</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UPD3a</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C13" t="inlineStr">
        <is>
          <t>Karnataka Urban Drinking Water and Sanitation Policy, 2002 (Government of Karnataka), text reproduced by IELRC [BWSSB-33]</t>
        </is>
      </c>
      <c r="D13" t="inlineStr">
        <is>
          <t>Karnataka Urban Drinking Water and Sanitation Policy, 2002</t>
        </is>
      </c>
      <c r="E13" t="inlineStr">
        <is>
          <t>Tariff section</t>
        </is>
      </c>
      <c r="F13" t="inlineStr">
        <is>
          <t>pp. 2-3: subsidies focused on 'pockets and communities of extreme poverty'; minimum 'life line' supply to the poor. Objective section (p.1) names BWSSB as a partner agency.</t>
        </is>
      </c>
      <c r="G13" t="inlineStr">
        <is>
          <t>3</t>
        </is>
      </c>
      <c r="H13" t="inlineStr">
        <is>
          <t>https://www.ielrc.org/content/e0213.pdf</t>
        </is>
      </c>
      <c r="I13" s="7" t="n">
        <v>2.5</v>
      </c>
      <c r="J13">
        <f>IF($B13="NO","NA",IF(I13="","",MIN(I13,$B$6)))</f>
        <v/>
      </c>
      <c r="K13" t="inlineStr">
        <is>
          <t>AI: left for a person. Step 2 found no evidence (Insufficient Evidence).</t>
        </is>
      </c>
    </row>
    <row r="14">
      <c r="A14" s="8" t="inlineStr">
        <is>
          <t>Bengaluru – BMTC</t>
        </is>
      </c>
      <c r="B14" s="8" t="inlineStr">
        <is>
          <t>NO</t>
        </is>
      </c>
      <c r="C14" s="8" t="n"/>
      <c r="D14" s="8" t="n"/>
      <c r="E14" s="8" t="n"/>
      <c r="F14" s="8" t="n"/>
      <c r="G14" s="8" t="n"/>
      <c r="H14" s="8" t="n"/>
      <c r="I14" s="8" t="n"/>
      <c r="J14" s="8">
        <f>IF($B14="NO","NA",IF(I14="","",MIN(I14,$B$6)))</f>
        <v/>
      </c>
      <c r="K14" s="8" t="n"/>
    </row>
    <row r="15">
      <c r="A15" s="8" t="inlineStr">
        <is>
          <t>Bengaluru – BDA</t>
        </is>
      </c>
      <c r="B15" s="8" t="inlineStr">
        <is>
          <t>NO</t>
        </is>
      </c>
      <c r="C15" s="8" t="n"/>
      <c r="D15" s="8" t="n"/>
      <c r="E15" s="8" t="n"/>
      <c r="F15" s="8" t="n"/>
      <c r="G15" s="8" t="n"/>
      <c r="H15" s="8" t="n"/>
      <c r="I15" s="8" t="n"/>
      <c r="J15" s="8">
        <f>IF($B15="NO","NA",IF(I15="","",MIN(I15,$B$6)))</f>
        <v/>
      </c>
      <c r="K15" s="8" t="n"/>
    </row>
    <row r="16">
      <c r="A16" s="8" t="inlineStr">
        <is>
          <t>Bengaluru – BMRCL</t>
        </is>
      </c>
      <c r="B16" s="8" t="inlineStr">
        <is>
          <t>NO</t>
        </is>
      </c>
      <c r="C16" s="8" t="n"/>
      <c r="D16" s="8" t="n"/>
      <c r="E16" s="8" t="n"/>
      <c r="F16" s="8" t="n"/>
      <c r="G16" s="8" t="n"/>
      <c r="H16" s="8" t="n"/>
      <c r="I16" s="8" t="n"/>
      <c r="J16" s="8">
        <f>IF($B16="NO","NA",IF(I16="","",MIN(I16,$B$6)))</f>
        <v/>
      </c>
      <c r="K16" s="8" t="n"/>
    </row>
    <row r="17">
      <c r="A17" s="8" t="inlineStr">
        <is>
          <t>Bengaluru – BMRDA</t>
        </is>
      </c>
      <c r="B17" s="8" t="inlineStr">
        <is>
          <t>NO</t>
        </is>
      </c>
      <c r="C17" s="8" t="n"/>
      <c r="D17" s="8" t="n"/>
      <c r="E17" s="8" t="n"/>
      <c r="F17" s="8" t="n"/>
      <c r="G17" s="8" t="n"/>
      <c r="H17" s="8" t="n"/>
      <c r="I17" s="8" t="n"/>
      <c r="J17" s="8">
        <f>IF($B17="NO","NA",IF(I17="","",MIN(I17,$B$6)))</f>
        <v/>
      </c>
      <c r="K17" s="8" t="n"/>
    </row>
    <row r="18">
      <c r="A18" s="8" t="inlineStr">
        <is>
          <t>Surat – SUDA</t>
        </is>
      </c>
      <c r="B18" s="8" t="inlineStr">
        <is>
          <t>NO</t>
        </is>
      </c>
      <c r="C18" s="8" t="n"/>
      <c r="D18" s="8" t="n"/>
      <c r="E18" s="8" t="n"/>
      <c r="F18" s="8" t="n"/>
      <c r="G18" s="8" t="n"/>
      <c r="H18" s="8" t="n"/>
      <c r="I18" s="8" t="n"/>
      <c r="J18" s="8">
        <f>IF($B18="NO","NA",IF(I18="","",MIN(I18,$B$6)))</f>
        <v/>
      </c>
      <c r="K18" s="8" t="n"/>
    </row>
    <row r="19">
      <c r="A19" s="8" t="inlineStr">
        <is>
          <t>Surat – GMRC</t>
        </is>
      </c>
      <c r="B19" s="8" t="inlineStr">
        <is>
          <t>NO</t>
        </is>
      </c>
      <c r="C19" s="8" t="n"/>
      <c r="D19" s="8" t="n"/>
      <c r="E19" s="8" t="n"/>
      <c r="F19" s="8" t="n"/>
      <c r="G19" s="8" t="n"/>
      <c r="H19" s="8" t="n"/>
      <c r="I19" s="8" t="n"/>
      <c r="J19" s="8">
        <f>IF($B19="NO","NA",IF(I19="","",MIN(I19,$B$6)))</f>
        <v/>
      </c>
      <c r="K19" s="8" t="n"/>
    </row>
  </sheetData>
  <dataValidations count="1">
    <dataValidation sqref="I13:I19" showDropDown="0" showInputMessage="0" showErrorMessage="1" allowBlank="1" error="See the instruction above the 'Score' column." type="decimal" operator="between">
      <formula1>0</formula1>
      <formula2>5</formula2>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UPD3b</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C13" t="inlineStr">
        <is>
          <t>JICA – Bengaluru Water Supply and Sewerage Project (Phase 3) Final Report (sewerage / O&amp;M volume) [BWSSB-23]</t>
        </is>
      </c>
      <c r="D13" t="inlineStr">
        <is>
          <t>Chapter 16 (Financial analysis): 16.3 Study on Present Water and Sewerage Tariff</t>
        </is>
      </c>
      <c r="E13" t="inlineStr">
        <is>
          <t>16.3.1 Study on Present Water and Sewerage Tariff, (1) Domestic Water Use, Table 16.3.2 Tariff for Domestic Water Charges</t>
        </is>
      </c>
      <c r="F13" t="inlineStr">
        <is>
          <t>Note to Table 16.3.2: 'Slum group; free charge, Poor group; flat charge 56 INR' (PDF p.192, report p.16-13)</t>
        </is>
      </c>
      <c r="G13" t="inlineStr">
        <is>
          <t>192</t>
        </is>
      </c>
      <c r="H13" t="inlineStr">
        <is>
          <t>https://openjicareport.jica.go.jp/pdf/12300364_04.pdf</t>
        </is>
      </c>
      <c r="I13" s="7" t="n">
        <v>2.5</v>
      </c>
      <c r="J13">
        <f>IF($B13="NO","NA",IF(I13="","",MIN(I13,$B$6)))</f>
        <v/>
      </c>
      <c r="K13" t="inlineStr">
        <is>
          <t>AI: left for a person. Step 2 found no evidence (Insufficient Evidence).</t>
        </is>
      </c>
    </row>
    <row r="14">
      <c r="A14" s="8" t="inlineStr">
        <is>
          <t>Bengaluru – BMTC</t>
        </is>
      </c>
      <c r="B14" s="8" t="inlineStr">
        <is>
          <t>NO</t>
        </is>
      </c>
      <c r="C14" s="8" t="n"/>
      <c r="D14" s="8" t="n"/>
      <c r="E14" s="8" t="n"/>
      <c r="F14" s="8" t="n"/>
      <c r="G14" s="8" t="n"/>
      <c r="H14" s="8" t="n"/>
      <c r="I14" s="8" t="n"/>
      <c r="J14" s="8">
        <f>IF($B14="NO","NA",IF(I14="","",MIN(I14,$B$6)))</f>
        <v/>
      </c>
      <c r="K14" s="8" t="n"/>
    </row>
    <row r="15">
      <c r="A15" s="8" t="inlineStr">
        <is>
          <t>Bengaluru – BDA</t>
        </is>
      </c>
      <c r="B15" s="8" t="inlineStr">
        <is>
          <t>NO</t>
        </is>
      </c>
      <c r="C15" s="8" t="n"/>
      <c r="D15" s="8" t="n"/>
      <c r="E15" s="8" t="n"/>
      <c r="F15" s="8" t="n"/>
      <c r="G15" s="8" t="n"/>
      <c r="H15" s="8" t="n"/>
      <c r="I15" s="8" t="n"/>
      <c r="J15" s="8">
        <f>IF($B15="NO","NA",IF(I15="","",MIN(I15,$B$6)))</f>
        <v/>
      </c>
      <c r="K15" s="8" t="n"/>
    </row>
    <row r="16">
      <c r="A16" s="8" t="inlineStr">
        <is>
          <t>Bengaluru – BMRCL</t>
        </is>
      </c>
      <c r="B16" s="8" t="inlineStr">
        <is>
          <t>NO</t>
        </is>
      </c>
      <c r="C16" s="8" t="n"/>
      <c r="D16" s="8" t="n"/>
      <c r="E16" s="8" t="n"/>
      <c r="F16" s="8" t="n"/>
      <c r="G16" s="8" t="n"/>
      <c r="H16" s="8" t="n"/>
      <c r="I16" s="8" t="n"/>
      <c r="J16" s="8">
        <f>IF($B16="NO","NA",IF(I16="","",MIN(I16,$B$6)))</f>
        <v/>
      </c>
      <c r="K16" s="8" t="n"/>
    </row>
    <row r="17">
      <c r="A17" s="8" t="inlineStr">
        <is>
          <t>Bengaluru – BMRDA</t>
        </is>
      </c>
      <c r="B17" s="8" t="inlineStr">
        <is>
          <t>NO</t>
        </is>
      </c>
      <c r="C17" s="8" t="n"/>
      <c r="D17" s="8" t="n"/>
      <c r="E17" s="8" t="n"/>
      <c r="F17" s="8" t="n"/>
      <c r="G17" s="8" t="n"/>
      <c r="H17" s="8" t="n"/>
      <c r="I17" s="8" t="n"/>
      <c r="J17" s="8">
        <f>IF($B17="NO","NA",IF(I17="","",MIN(I17,$B$6)))</f>
        <v/>
      </c>
      <c r="K17" s="8" t="n"/>
    </row>
    <row r="18">
      <c r="A18" s="8" t="inlineStr">
        <is>
          <t>Surat – SUDA</t>
        </is>
      </c>
      <c r="B18" s="8" t="inlineStr">
        <is>
          <t>NO</t>
        </is>
      </c>
      <c r="C18" s="8" t="n"/>
      <c r="D18" s="8" t="n"/>
      <c r="E18" s="8" t="n"/>
      <c r="F18" s="8" t="n"/>
      <c r="G18" s="8" t="n"/>
      <c r="H18" s="8" t="n"/>
      <c r="I18" s="8" t="n"/>
      <c r="J18" s="8">
        <f>IF($B18="NO","NA",IF(I18="","",MIN(I18,$B$6)))</f>
        <v/>
      </c>
      <c r="K18" s="8" t="n"/>
    </row>
    <row r="19">
      <c r="A19" s="8" t="inlineStr">
        <is>
          <t>Surat – GMRC</t>
        </is>
      </c>
      <c r="B19" s="8" t="inlineStr">
        <is>
          <t>NO</t>
        </is>
      </c>
      <c r="C19" s="8" t="n"/>
      <c r="D19" s="8" t="n"/>
      <c r="E19" s="8" t="n"/>
      <c r="F19" s="8" t="n"/>
      <c r="G19" s="8" t="n"/>
      <c r="H19" s="8" t="n"/>
      <c r="I19" s="8" t="n"/>
      <c r="J19" s="8">
        <f>IF($B19="NO","NA",IF(I19="","",MIN(I19,$B$6)))</f>
        <v/>
      </c>
      <c r="K19" s="8" t="n"/>
    </row>
  </sheetData>
  <dataValidations count="1">
    <dataValidation sqref="I13:I19" showDropDown="0" showInputMessage="0" showErrorMessage="1" allowBlank="1" error="See the instruction above the 'Score' column." type="decimal" operator="between">
      <formula1>0</formula1>
      <formula2>5</formula2>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UPD4a</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s="8" t="inlineStr">
        <is>
          <t>Bengaluru – BWSSB</t>
        </is>
      </c>
      <c r="B13" s="8" t="inlineStr">
        <is>
          <t>NO</t>
        </is>
      </c>
      <c r="C13" s="8" t="n"/>
      <c r="D13" s="8" t="n"/>
      <c r="E13" s="8" t="n"/>
      <c r="F13" s="8" t="n"/>
      <c r="G13" s="8" t="n"/>
      <c r="H13" s="8" t="n"/>
      <c r="I13" s="8" t="n"/>
      <c r="J13" s="8">
        <f>IF($B13="NO","NA",IF(I13="","",MIN(I13,$B$6)))</f>
        <v/>
      </c>
      <c r="K13" s="8" t="n"/>
    </row>
    <row r="14">
      <c r="A14" t="inlineStr">
        <is>
          <t>Bengaluru – BMTC</t>
        </is>
      </c>
      <c r="B14" t="inlineStr">
        <is>
          <t>YES</t>
        </is>
      </c>
      <c r="C14" t="inlineStr">
        <is>
          <t>BMTC Services (monthly and concessional passes) – KarnatakaOne portal, Government of Karnataka [BMTC-13]</t>
        </is>
      </c>
      <c r="D14" t="inlineStr">
        <is>
          <t>Issue of Monthly Pass.</t>
        </is>
      </c>
      <c r="E14" t="inlineStr">
        <is>
          <t>BMTC Services – Issue of Monthly Pass (pass rate list)</t>
        </is>
      </c>
      <c r="H14" t="inlineStr">
        <is>
          <t>https://www.karnatakaone.gov.in/Info/Public/BMTC</t>
        </is>
      </c>
      <c r="I14" s="7" t="n"/>
      <c r="J14">
        <f>IF($B14="NO","NA",IF(I14="","",MIN(I14,$B$6)))</f>
        <v/>
      </c>
      <c r="K14" t="inlineStr">
        <is>
          <t>AI: left for a person. Step 2 found no evidence (Insufficient Evidence).</t>
        </is>
      </c>
    </row>
    <row r="15">
      <c r="A15" s="8" t="inlineStr">
        <is>
          <t>Bengaluru – BDA</t>
        </is>
      </c>
      <c r="B15" s="8" t="inlineStr">
        <is>
          <t>NO</t>
        </is>
      </c>
      <c r="C15" s="8" t="n"/>
      <c r="D15" s="8" t="n"/>
      <c r="E15" s="8" t="n"/>
      <c r="F15" s="8" t="n"/>
      <c r="G15" s="8" t="n"/>
      <c r="H15" s="8" t="n"/>
      <c r="I15" s="8" t="n"/>
      <c r="J15" s="8">
        <f>IF($B15="NO","NA",IF(I15="","",MIN(I15,$B$6)))</f>
        <v/>
      </c>
      <c r="K15" s="8" t="n"/>
    </row>
    <row r="16">
      <c r="A16" s="8" t="inlineStr">
        <is>
          <t>Bengaluru – BMRCL</t>
        </is>
      </c>
      <c r="B16" s="8" t="inlineStr">
        <is>
          <t>NO</t>
        </is>
      </c>
      <c r="C16" s="8" t="n"/>
      <c r="D16" s="8" t="n"/>
      <c r="E16" s="8" t="n"/>
      <c r="F16" s="8" t="n"/>
      <c r="G16" s="8" t="n"/>
      <c r="H16" s="8" t="n"/>
      <c r="I16" s="8" t="n"/>
      <c r="J16" s="8">
        <f>IF($B16="NO","NA",IF(I16="","",MIN(I16,$B$6)))</f>
        <v/>
      </c>
      <c r="K16" s="8" t="n"/>
    </row>
    <row r="17">
      <c r="A17" s="8" t="inlineStr">
        <is>
          <t>Bengaluru – BMRDA</t>
        </is>
      </c>
      <c r="B17" s="8" t="inlineStr">
        <is>
          <t>NO</t>
        </is>
      </c>
      <c r="C17" s="8" t="n"/>
      <c r="D17" s="8" t="n"/>
      <c r="E17" s="8" t="n"/>
      <c r="F17" s="8" t="n"/>
      <c r="G17" s="8" t="n"/>
      <c r="H17" s="8" t="n"/>
      <c r="I17" s="8" t="n"/>
      <c r="J17" s="8">
        <f>IF($B17="NO","NA",IF(I17="","",MIN(I17,$B$6)))</f>
        <v/>
      </c>
      <c r="K17" s="8" t="n"/>
    </row>
    <row r="18">
      <c r="A18" s="8" t="inlineStr">
        <is>
          <t>Surat – SUDA</t>
        </is>
      </c>
      <c r="B18" s="8" t="inlineStr">
        <is>
          <t>NO</t>
        </is>
      </c>
      <c r="C18" s="8" t="n"/>
      <c r="D18" s="8" t="n"/>
      <c r="E18" s="8" t="n"/>
      <c r="F18" s="8" t="n"/>
      <c r="G18" s="8" t="n"/>
      <c r="H18" s="8" t="n"/>
      <c r="I18" s="8" t="n"/>
      <c r="J18" s="8">
        <f>IF($B18="NO","NA",IF(I18="","",MIN(I18,$B$6)))</f>
        <v/>
      </c>
      <c r="K18" s="8" t="n"/>
    </row>
    <row r="19">
      <c r="A19" s="8" t="inlineStr">
        <is>
          <t>Surat – GMRC</t>
        </is>
      </c>
      <c r="B19" s="8" t="inlineStr">
        <is>
          <t>NO</t>
        </is>
      </c>
      <c r="C19" s="8" t="n"/>
      <c r="D19" s="8" t="n"/>
      <c r="E19" s="8" t="n"/>
      <c r="F19" s="8" t="n"/>
      <c r="G19" s="8" t="n"/>
      <c r="H19" s="8" t="n"/>
      <c r="I19" s="8" t="n"/>
      <c r="J19" s="8">
        <f>IF($B19="NO","NA",IF(I19="","",MIN(I19,$B$6)))</f>
        <v/>
      </c>
      <c r="K19" s="8" t="n"/>
    </row>
  </sheetData>
  <dataValidations count="1">
    <dataValidation sqref="I13:I19" showDropDown="0" showInputMessage="0" showErrorMessage="1" allowBlank="1" error="See the instruction above the 'Score' column." type="decimal" operator="between">
      <formula1>0</formula1>
      <formula2>5</formula2>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UPD4b</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s="8" t="inlineStr">
        <is>
          <t>Bengaluru – BWSSB</t>
        </is>
      </c>
      <c r="B13" s="8" t="inlineStr">
        <is>
          <t>NO</t>
        </is>
      </c>
      <c r="C13" s="8" t="n"/>
      <c r="D13" s="8" t="n"/>
      <c r="E13" s="8" t="n"/>
      <c r="F13" s="8" t="n"/>
      <c r="G13" s="8" t="n"/>
      <c r="H13" s="8" t="n"/>
      <c r="I13" s="8" t="n"/>
      <c r="J13" s="8">
        <f>IF($B13="NO","NA",IF(I13="","",MIN(I13,$B$6)))</f>
        <v/>
      </c>
      <c r="K13" s="8" t="n"/>
    </row>
    <row r="14">
      <c r="A14" t="inlineStr">
        <is>
          <t>Bengaluru – BMTC</t>
        </is>
      </c>
      <c r="B14" t="inlineStr">
        <is>
          <t>YES</t>
        </is>
      </c>
      <c r="C14" t="inlineStr">
        <is>
          <t>BMTC Services (monthly and concessional passes) – KarnatakaOne portal, Government of Karnataka [BMTC-13]</t>
        </is>
      </c>
      <c r="D14" t="inlineStr">
        <is>
          <t>BMTC Services available with KarnatakaOne Centres</t>
        </is>
      </c>
      <c r="E14" t="inlineStr">
        <is>
          <t>Issue of Monthly Pass – rates of bus passes by type</t>
        </is>
      </c>
      <c r="F14" t="inlineStr">
        <is>
          <t>Senior citizen pass rates (Sr. Citizen Black Board Pass Rs 650 against Black Board Pass Rs 725; Sr. Citizen Pushpak Pass Rs 830 against Pushpak Pass Rs 925)</t>
        </is>
      </c>
      <c r="H14" t="inlineStr">
        <is>
          <t>https://www.karnatakaone.gov.in/Info/Public/BMTC</t>
        </is>
      </c>
      <c r="I14" s="7" t="n">
        <v>1.25</v>
      </c>
      <c r="J14">
        <f>IF($B14="NO","NA",IF(I14="","",MIN(I14,$B$6)))</f>
        <v/>
      </c>
      <c r="K14" t="inlineStr">
        <is>
          <t>AI: left for a person. Step 2 found no evidence (Insufficient Evidence).</t>
        </is>
      </c>
    </row>
    <row r="15">
      <c r="A15" s="8" t="inlineStr">
        <is>
          <t>Bengaluru – BDA</t>
        </is>
      </c>
      <c r="B15" s="8" t="inlineStr">
        <is>
          <t>NO</t>
        </is>
      </c>
      <c r="C15" s="8" t="n"/>
      <c r="D15" s="8" t="n"/>
      <c r="E15" s="8" t="n"/>
      <c r="F15" s="8" t="n"/>
      <c r="G15" s="8" t="n"/>
      <c r="H15" s="8" t="n"/>
      <c r="I15" s="8" t="n"/>
      <c r="J15" s="8">
        <f>IF($B15="NO","NA",IF(I15="","",MIN(I15,$B$6)))</f>
        <v/>
      </c>
      <c r="K15" s="8" t="n"/>
    </row>
    <row r="16">
      <c r="A16" s="8" t="inlineStr">
        <is>
          <t>Bengaluru – BMRCL</t>
        </is>
      </c>
      <c r="B16" s="8" t="inlineStr">
        <is>
          <t>NO</t>
        </is>
      </c>
      <c r="C16" s="8" t="n"/>
      <c r="D16" s="8" t="n"/>
      <c r="E16" s="8" t="n"/>
      <c r="F16" s="8" t="n"/>
      <c r="G16" s="8" t="n"/>
      <c r="H16" s="8" t="n"/>
      <c r="I16" s="8" t="n"/>
      <c r="J16" s="8">
        <f>IF($B16="NO","NA",IF(I16="","",MIN(I16,$B$6)))</f>
        <v/>
      </c>
      <c r="K16" s="8" t="n"/>
    </row>
    <row r="17">
      <c r="A17" s="8" t="inlineStr">
        <is>
          <t>Bengaluru – BMRDA</t>
        </is>
      </c>
      <c r="B17" s="8" t="inlineStr">
        <is>
          <t>NO</t>
        </is>
      </c>
      <c r="C17" s="8" t="n"/>
      <c r="D17" s="8" t="n"/>
      <c r="E17" s="8" t="n"/>
      <c r="F17" s="8" t="n"/>
      <c r="G17" s="8" t="n"/>
      <c r="H17" s="8" t="n"/>
      <c r="I17" s="8" t="n"/>
      <c r="J17" s="8">
        <f>IF($B17="NO","NA",IF(I17="","",MIN(I17,$B$6)))</f>
        <v/>
      </c>
      <c r="K17" s="8" t="n"/>
    </row>
    <row r="18">
      <c r="A18" s="8" t="inlineStr">
        <is>
          <t>Surat – SUDA</t>
        </is>
      </c>
      <c r="B18" s="8" t="inlineStr">
        <is>
          <t>NO</t>
        </is>
      </c>
      <c r="C18" s="8" t="n"/>
      <c r="D18" s="8" t="n"/>
      <c r="E18" s="8" t="n"/>
      <c r="F18" s="8" t="n"/>
      <c r="G18" s="8" t="n"/>
      <c r="H18" s="8" t="n"/>
      <c r="I18" s="8" t="n"/>
      <c r="J18" s="8">
        <f>IF($B18="NO","NA",IF(I18="","",MIN(I18,$B$6)))</f>
        <v/>
      </c>
      <c r="K18" s="8" t="n"/>
    </row>
    <row r="19">
      <c r="A19" s="8" t="inlineStr">
        <is>
          <t>Surat – GMRC</t>
        </is>
      </c>
      <c r="B19" s="8" t="inlineStr">
        <is>
          <t>NO</t>
        </is>
      </c>
      <c r="C19" s="8" t="n"/>
      <c r="D19" s="8" t="n"/>
      <c r="E19" s="8" t="n"/>
      <c r="F19" s="8" t="n"/>
      <c r="G19" s="8" t="n"/>
      <c r="H19" s="8" t="n"/>
      <c r="I19" s="8" t="n"/>
      <c r="J19" s="8">
        <f>IF($B19="NO","NA",IF(I19="","",MIN(I19,$B$6)))</f>
        <v/>
      </c>
      <c r="K19" s="8" t="n"/>
    </row>
  </sheetData>
  <dataValidations count="1">
    <dataValidation sqref="I13:I19" showDropDown="0" showInputMessage="0" showErrorMessage="1" allowBlank="1" error="See the instruction above the 'Score' column." type="decimal" operator="between">
      <formula1>0</formula1>
      <formula2>5</formula2>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UPD5a</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C13" t="inlineStr">
        <is>
          <t>THE BANGALORE WATER SUPPLY AND SEWERAGE ACT, 1964 (FAOLEX PDF) [BWSSB-04]</t>
        </is>
      </c>
      <c r="D13" t="inlineStr">
        <is>
          <t>Chapter V (Sewerage); also Chapter IV (Water Supply)</t>
        </is>
      </c>
      <c r="E13" t="inlineStr">
        <is>
          <t>Section 74 (Appointment of places for the emptying of sewers and disposal of sewage); supporting: Sections 49, 50, 52</t>
        </is>
      </c>
      <c r="F13" t="inlineStr">
        <is>
          <t>Section 74, second proviso</t>
        </is>
      </c>
      <c r="G13" t="inlineStr">
        <is>
          <t>32</t>
        </is>
      </c>
      <c r="H13" t="inlineStr">
        <is>
          <t>https://faolex.fao.org/docs/pdf/ind201320.pdf</t>
        </is>
      </c>
      <c r="I13" s="7" t="n">
        <v>2.5</v>
      </c>
      <c r="J13">
        <f>IF($B13="NO","NA",IF(I13="","",MIN(I13,$B$6)))</f>
        <v/>
      </c>
      <c r="K13" t="inlineStr">
        <is>
          <t>AI: left for a person. Step 2 found no evidence (Insufficient Evidence).</t>
        </is>
      </c>
    </row>
    <row r="14">
      <c r="A14" s="8" t="inlineStr">
        <is>
          <t>Bengaluru – BMTC</t>
        </is>
      </c>
      <c r="B14" s="8" t="inlineStr">
        <is>
          <t>NO</t>
        </is>
      </c>
      <c r="C14" s="8" t="n"/>
      <c r="D14" s="8" t="n"/>
      <c r="E14" s="8" t="n"/>
      <c r="F14" s="8" t="n"/>
      <c r="G14" s="8" t="n"/>
      <c r="H14" s="8" t="n"/>
      <c r="I14" s="8" t="n"/>
      <c r="J14" s="8">
        <f>IF($B14="NO","NA",IF(I14="","",MIN(I14,$B$6)))</f>
        <v/>
      </c>
      <c r="K14" s="8" t="n"/>
    </row>
    <row r="15">
      <c r="A15" s="8" t="inlineStr">
        <is>
          <t>Bengaluru – BDA</t>
        </is>
      </c>
      <c r="B15" s="8" t="inlineStr">
        <is>
          <t>NO</t>
        </is>
      </c>
      <c r="C15" s="8" t="n"/>
      <c r="D15" s="8" t="n"/>
      <c r="E15" s="8" t="n"/>
      <c r="F15" s="8" t="n"/>
      <c r="G15" s="8" t="n"/>
      <c r="H15" s="8" t="n"/>
      <c r="I15" s="8" t="n"/>
      <c r="J15" s="8">
        <f>IF($B15="NO","NA",IF(I15="","",MIN(I15,$B$6)))</f>
        <v/>
      </c>
      <c r="K15" s="8" t="n"/>
    </row>
    <row r="16">
      <c r="A16" s="8" t="inlineStr">
        <is>
          <t>Bengaluru – BMRCL</t>
        </is>
      </c>
      <c r="B16" s="8" t="inlineStr">
        <is>
          <t>NO</t>
        </is>
      </c>
      <c r="C16" s="8" t="n"/>
      <c r="D16" s="8" t="n"/>
      <c r="E16" s="8" t="n"/>
      <c r="F16" s="8" t="n"/>
      <c r="G16" s="8" t="n"/>
      <c r="H16" s="8" t="n"/>
      <c r="I16" s="8" t="n"/>
      <c r="J16" s="8">
        <f>IF($B16="NO","NA",IF(I16="","",MIN(I16,$B$6)))</f>
        <v/>
      </c>
      <c r="K16" s="8" t="n"/>
    </row>
    <row r="17">
      <c r="A17" s="8" t="inlineStr">
        <is>
          <t>Bengaluru – BMRDA</t>
        </is>
      </c>
      <c r="B17" s="8" t="inlineStr">
        <is>
          <t>NO</t>
        </is>
      </c>
      <c r="C17" s="8" t="n"/>
      <c r="D17" s="8" t="n"/>
      <c r="E17" s="8" t="n"/>
      <c r="F17" s="8" t="n"/>
      <c r="G17" s="8" t="n"/>
      <c r="H17" s="8" t="n"/>
      <c r="I17" s="8" t="n"/>
      <c r="J17" s="8">
        <f>IF($B17="NO","NA",IF(I17="","",MIN(I17,$B$6)))</f>
        <v/>
      </c>
      <c r="K17" s="8" t="n"/>
    </row>
    <row r="18">
      <c r="A18" s="8" t="inlineStr">
        <is>
          <t>Surat – SUDA</t>
        </is>
      </c>
      <c r="B18" s="8" t="inlineStr">
        <is>
          <t>NO</t>
        </is>
      </c>
      <c r="C18" s="8" t="n"/>
      <c r="D18" s="8" t="n"/>
      <c r="E18" s="8" t="n"/>
      <c r="F18" s="8" t="n"/>
      <c r="G18" s="8" t="n"/>
      <c r="H18" s="8" t="n"/>
      <c r="I18" s="8" t="n"/>
      <c r="J18" s="8">
        <f>IF($B18="NO","NA",IF(I18="","",MIN(I18,$B$6)))</f>
        <v/>
      </c>
      <c r="K18" s="8" t="n"/>
    </row>
    <row r="19">
      <c r="A19" s="8" t="inlineStr">
        <is>
          <t>Surat – GMRC</t>
        </is>
      </c>
      <c r="B19" s="8" t="inlineStr">
        <is>
          <t>NO</t>
        </is>
      </c>
      <c r="C19" s="8" t="n"/>
      <c r="D19" s="8" t="n"/>
      <c r="E19" s="8" t="n"/>
      <c r="F19" s="8" t="n"/>
      <c r="G19" s="8" t="n"/>
      <c r="H19" s="8" t="n"/>
      <c r="I19" s="8" t="n"/>
      <c r="J19" s="8">
        <f>IF($B19="NO","NA",IF(I19="","",MIN(I19,$B$6)))</f>
        <v/>
      </c>
      <c r="K19" s="8" t="n"/>
    </row>
  </sheetData>
  <dataValidations count="1">
    <dataValidation sqref="I13:I19" showDropDown="0" showInputMessage="0" showErrorMessage="1" allowBlank="1" error="See the instruction above the 'Score' column." type="decimal" operator="between">
      <formula1>0</formula1>
      <formula2>5</formula2>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UPD5b</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C13" t="inlineStr">
        <is>
          <t>Presentation by Chief Engineer, BWSSB – Water Sensitivity (AMDA) [BWSSB-12]</t>
        </is>
      </c>
      <c r="D13" t="inlineStr">
        <is>
          <t>Presentation by Chief Engineer, BWSSB – 'Water Sensitivity' (AMDA), slides 11-38</t>
        </is>
      </c>
      <c r="E13" t="inlineStr">
        <is>
          <t>Slide 14 'BWSSB's Actions to Mitigate Water Demand'; slides 15 and 19 'Reuse of Treated Waste Water' / 'Recycle &amp; Reuse of Water'; slide 24 'Rainwater Harvesting'; slide 31 (Jakkur advanced water treatment plant); slides 36-38 (wastewater treatment gap analysis, Karnataka Multi Sectoral Resilience Development Project objectives, treated sewage parameters)</t>
        </is>
      </c>
      <c r="F13" t="inlineStr">
        <is>
          <t>Slide 15, first bullet</t>
        </is>
      </c>
      <c r="G13" t="inlineStr">
        <is>
          <t>15</t>
        </is>
      </c>
      <c r="H13" t="inlineStr">
        <is>
          <t>https://amdaindia.org/wp-content/uploads/Presentation-by-Chief-Engineer-Bangalore-Water-Supply-and-Sewerage-Board-WATER-SENSITIVITY-MS-3rd-PPT-Part-II.pdf</t>
        </is>
      </c>
      <c r="I13" s="7" t="n">
        <v>5</v>
      </c>
      <c r="J13">
        <f>IF($B13="NO","NA",IF(I13="","",MIN(I13,$B$6)))</f>
        <v/>
      </c>
      <c r="K13" t="inlineStr">
        <is>
          <t>AI: left for a person. Step 2 found no evidence (Insufficient Evidence).</t>
        </is>
      </c>
    </row>
    <row r="14">
      <c r="A14" s="8" t="inlineStr">
        <is>
          <t>Bengaluru – BMTC</t>
        </is>
      </c>
      <c r="B14" s="8" t="inlineStr">
        <is>
          <t>NO</t>
        </is>
      </c>
      <c r="C14" s="8" t="n"/>
      <c r="D14" s="8" t="n"/>
      <c r="E14" s="8" t="n"/>
      <c r="F14" s="8" t="n"/>
      <c r="G14" s="8" t="n"/>
      <c r="H14" s="8" t="n"/>
      <c r="I14" s="8" t="n"/>
      <c r="J14" s="8">
        <f>IF($B14="NO","NA",IF(I14="","",MIN(I14,$B$6)))</f>
        <v/>
      </c>
      <c r="K14" s="8" t="n"/>
    </row>
    <row r="15">
      <c r="A15" s="8" t="inlineStr">
        <is>
          <t>Bengaluru – BDA</t>
        </is>
      </c>
      <c r="B15" s="8" t="inlineStr">
        <is>
          <t>NO</t>
        </is>
      </c>
      <c r="C15" s="8" t="n"/>
      <c r="D15" s="8" t="n"/>
      <c r="E15" s="8" t="n"/>
      <c r="F15" s="8" t="n"/>
      <c r="G15" s="8" t="n"/>
      <c r="H15" s="8" t="n"/>
      <c r="I15" s="8" t="n"/>
      <c r="J15" s="8">
        <f>IF($B15="NO","NA",IF(I15="","",MIN(I15,$B$6)))</f>
        <v/>
      </c>
      <c r="K15" s="8" t="n"/>
    </row>
    <row r="16">
      <c r="A16" s="8" t="inlineStr">
        <is>
          <t>Bengaluru – BMRCL</t>
        </is>
      </c>
      <c r="B16" s="8" t="inlineStr">
        <is>
          <t>NO</t>
        </is>
      </c>
      <c r="C16" s="8" t="n"/>
      <c r="D16" s="8" t="n"/>
      <c r="E16" s="8" t="n"/>
      <c r="F16" s="8" t="n"/>
      <c r="G16" s="8" t="n"/>
      <c r="H16" s="8" t="n"/>
      <c r="I16" s="8" t="n"/>
      <c r="J16" s="8">
        <f>IF($B16="NO","NA",IF(I16="","",MIN(I16,$B$6)))</f>
        <v/>
      </c>
      <c r="K16" s="8" t="n"/>
    </row>
    <row r="17">
      <c r="A17" s="8" t="inlineStr">
        <is>
          <t>Bengaluru – BMRDA</t>
        </is>
      </c>
      <c r="B17" s="8" t="inlineStr">
        <is>
          <t>NO</t>
        </is>
      </c>
      <c r="C17" s="8" t="n"/>
      <c r="D17" s="8" t="n"/>
      <c r="E17" s="8" t="n"/>
      <c r="F17" s="8" t="n"/>
      <c r="G17" s="8" t="n"/>
      <c r="H17" s="8" t="n"/>
      <c r="I17" s="8" t="n"/>
      <c r="J17" s="8">
        <f>IF($B17="NO","NA",IF(I17="","",MIN(I17,$B$6)))</f>
        <v/>
      </c>
      <c r="K17" s="8" t="n"/>
    </row>
    <row r="18">
      <c r="A18" s="8" t="inlineStr">
        <is>
          <t>Surat – SUDA</t>
        </is>
      </c>
      <c r="B18" s="8" t="inlineStr">
        <is>
          <t>NO</t>
        </is>
      </c>
      <c r="C18" s="8" t="n"/>
      <c r="D18" s="8" t="n"/>
      <c r="E18" s="8" t="n"/>
      <c r="F18" s="8" t="n"/>
      <c r="G18" s="8" t="n"/>
      <c r="H18" s="8" t="n"/>
      <c r="I18" s="8" t="n"/>
      <c r="J18" s="8">
        <f>IF($B18="NO","NA",IF(I18="","",MIN(I18,$B$6)))</f>
        <v/>
      </c>
      <c r="K18" s="8" t="n"/>
    </row>
    <row r="19">
      <c r="A19" s="8" t="inlineStr">
        <is>
          <t>Surat – GMRC</t>
        </is>
      </c>
      <c r="B19" s="8" t="inlineStr">
        <is>
          <t>NO</t>
        </is>
      </c>
      <c r="C19" s="8" t="n"/>
      <c r="D19" s="8" t="n"/>
      <c r="E19" s="8" t="n"/>
      <c r="F19" s="8" t="n"/>
      <c r="G19" s="8" t="n"/>
      <c r="H19" s="8" t="n"/>
      <c r="I19" s="8" t="n"/>
      <c r="J19" s="8">
        <f>IF($B19="NO","NA",IF(I19="","",MIN(I19,$B$6)))</f>
        <v/>
      </c>
      <c r="K19" s="8" t="n"/>
    </row>
  </sheetData>
  <dataValidations count="1">
    <dataValidation sqref="I13:I19" showDropDown="0" showInputMessage="0" showErrorMessage="1" allowBlank="1" error="See the instruction above the 'Score' column." type="decimal" operator="between">
      <formula1>0</formula1>
      <formula2>5</formula2>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UPD6a</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s="8" t="inlineStr">
        <is>
          <t>Bengaluru – BWSSB</t>
        </is>
      </c>
      <c r="B13" s="8" t="inlineStr">
        <is>
          <t>NO</t>
        </is>
      </c>
      <c r="C13" s="8" t="n"/>
      <c r="D13" s="8" t="n"/>
      <c r="E13" s="8" t="n"/>
      <c r="F13" s="8" t="n"/>
      <c r="G13" s="8" t="n"/>
      <c r="H13" s="8" t="n"/>
      <c r="I13" s="8" t="n"/>
      <c r="J13" s="8">
        <f>IF($B13="NO","NA",IF(I13="","",MIN(I13,$B$6)))</f>
        <v/>
      </c>
      <c r="K13" s="8" t="n"/>
    </row>
    <row r="14">
      <c r="A14" t="inlineStr">
        <is>
          <t>Bengaluru – BMTC</t>
        </is>
      </c>
      <c r="B14" t="inlineStr">
        <is>
          <t>YES</t>
        </is>
      </c>
      <c r="C14" t="inlineStr">
        <is>
          <t>The Bengaluru Metropolitan Land Transport Authority Act, 2022 (Karnataka Act No. 6 of 2023), full text (PRS Legislative Research copy of the official Act) [BMTC-23]</t>
        </is>
      </c>
      <c r="D14" t="inlineStr">
        <is>
          <t>Chapter VI – Sectoral and City Mobility Investment Program and Annual Implementation Plan</t>
        </is>
      </c>
      <c r="E14" t="inlineStr">
        <is>
          <t>Section 25(1)(c) (read with ss. 2(aa), 2(h), 2(ff), 14(1)(a), 14(1)(d), 21(2)(a), 24(a))</t>
        </is>
      </c>
      <c r="F14" t="inlineStr">
        <is>
          <t>s.25(1)(c)</t>
        </is>
      </c>
      <c r="G14" t="inlineStr">
        <is>
          <t>19</t>
        </is>
      </c>
      <c r="H14" t="inlineStr">
        <is>
          <t>https://prsindia.org/files/bills_acts/acts_states/karnataka/2023/Act6of2023Karnataka.pdf</t>
        </is>
      </c>
      <c r="I14" s="7" t="n">
        <v>2.5</v>
      </c>
      <c r="J14">
        <f>IF($B14="NO","NA",IF(I14="","",MIN(I14,$B$6)))</f>
        <v/>
      </c>
      <c r="K14" t="inlineStr">
        <is>
          <t>AI: left for a person. Step 2 found no evidence (Insufficient Evidence).</t>
        </is>
      </c>
    </row>
    <row r="15">
      <c r="A15" s="8" t="inlineStr">
        <is>
          <t>Bengaluru – BDA</t>
        </is>
      </c>
      <c r="B15" s="8" t="inlineStr">
        <is>
          <t>NO</t>
        </is>
      </c>
      <c r="C15" s="8" t="n"/>
      <c r="D15" s="8" t="n"/>
      <c r="E15" s="8" t="n"/>
      <c r="F15" s="8" t="n"/>
      <c r="G15" s="8" t="n"/>
      <c r="H15" s="8" t="n"/>
      <c r="I15" s="8" t="n"/>
      <c r="J15" s="8">
        <f>IF($B15="NO","NA",IF(I15="","",MIN(I15,$B$6)))</f>
        <v/>
      </c>
      <c r="K15" s="8" t="n"/>
    </row>
    <row r="16">
      <c r="A16" s="8" t="inlineStr">
        <is>
          <t>Bengaluru – BMRCL</t>
        </is>
      </c>
      <c r="B16" s="8" t="inlineStr">
        <is>
          <t>NO</t>
        </is>
      </c>
      <c r="C16" s="8" t="n"/>
      <c r="D16" s="8" t="n"/>
      <c r="E16" s="8" t="n"/>
      <c r="F16" s="8" t="n"/>
      <c r="G16" s="8" t="n"/>
      <c r="H16" s="8" t="n"/>
      <c r="I16" s="8" t="n"/>
      <c r="J16" s="8">
        <f>IF($B16="NO","NA",IF(I16="","",MIN(I16,$B$6)))</f>
        <v/>
      </c>
      <c r="K16" s="8" t="n"/>
    </row>
    <row r="17">
      <c r="A17" s="8" t="inlineStr">
        <is>
          <t>Bengaluru – BMRDA</t>
        </is>
      </c>
      <c r="B17" s="8" t="inlineStr">
        <is>
          <t>NO</t>
        </is>
      </c>
      <c r="C17" s="8" t="n"/>
      <c r="D17" s="8" t="n"/>
      <c r="E17" s="8" t="n"/>
      <c r="F17" s="8" t="n"/>
      <c r="G17" s="8" t="n"/>
      <c r="H17" s="8" t="n"/>
      <c r="I17" s="8" t="n"/>
      <c r="J17" s="8">
        <f>IF($B17="NO","NA",IF(I17="","",MIN(I17,$B$6)))</f>
        <v/>
      </c>
      <c r="K17" s="8" t="n"/>
    </row>
    <row r="18">
      <c r="A18" s="8" t="inlineStr">
        <is>
          <t>Surat – SUDA</t>
        </is>
      </c>
      <c r="B18" s="8" t="inlineStr">
        <is>
          <t>NO</t>
        </is>
      </c>
      <c r="C18" s="8" t="n"/>
      <c r="D18" s="8" t="n"/>
      <c r="E18" s="8" t="n"/>
      <c r="F18" s="8" t="n"/>
      <c r="G18" s="8" t="n"/>
      <c r="H18" s="8" t="n"/>
      <c r="I18" s="8" t="n"/>
      <c r="J18" s="8">
        <f>IF($B18="NO","NA",IF(I18="","",MIN(I18,$B$6)))</f>
        <v/>
      </c>
      <c r="K18" s="8" t="n"/>
    </row>
    <row r="19">
      <c r="A19" s="8" t="inlineStr">
        <is>
          <t>Surat – GMRC</t>
        </is>
      </c>
      <c r="B19" s="8" t="inlineStr">
        <is>
          <t>NO</t>
        </is>
      </c>
      <c r="C19" s="8" t="n"/>
      <c r="D19" s="8" t="n"/>
      <c r="E19" s="8" t="n"/>
      <c r="F19" s="8" t="n"/>
      <c r="G19" s="8" t="n"/>
      <c r="H19" s="8" t="n"/>
      <c r="I19" s="8" t="n"/>
      <c r="J19" s="8">
        <f>IF($B19="NO","NA",IF(I19="","",MIN(I19,$B$6)))</f>
        <v/>
      </c>
      <c r="K19" s="8" t="n"/>
    </row>
  </sheetData>
  <dataValidations count="1">
    <dataValidation sqref="I13:I19" showDropDown="0" showInputMessage="0" showErrorMessage="1" allowBlank="1" error="See the instruction above the 'Score' column." type="decimal" operator="between">
      <formula1>0</formula1>
      <formula2>5</formula2>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UPD6b</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s="8" t="inlineStr">
        <is>
          <t>Bengaluru – BWSSB</t>
        </is>
      </c>
      <c r="B13" s="8" t="inlineStr">
        <is>
          <t>NO</t>
        </is>
      </c>
      <c r="C13" s="8" t="n"/>
      <c r="D13" s="8" t="n"/>
      <c r="E13" s="8" t="n"/>
      <c r="F13" s="8" t="n"/>
      <c r="G13" s="8" t="n"/>
      <c r="H13" s="8" t="n"/>
      <c r="I13" s="8" t="n"/>
      <c r="J13" s="8">
        <f>IF($B13="NO","NA",IF(I13="","",MIN(I13,$B$6)))</f>
        <v/>
      </c>
      <c r="K13" s="8" t="n"/>
    </row>
    <row r="14">
      <c r="A14" t="inlineStr">
        <is>
          <t>Bengaluru – BMTC</t>
        </is>
      </c>
      <c r="B14" t="inlineStr">
        <is>
          <t>YES</t>
        </is>
      </c>
      <c r="C14" t="inlineStr">
        <is>
          <t>UITP Working Paper – Fleet Wide Transition to Zero Emission Buses: A Roadmap for the City of Bengaluru (August 2023) [BMTC-39]</t>
        </is>
      </c>
      <c r="D14" t="inlineStr">
        <is>
          <t>Section 3, Overview of current BMTC operations; sidebar 'BMTC Electric Bus Procurement'; Section 4, BMTC 2030 fleet needs and procurement timeline</t>
        </is>
      </c>
      <c r="E14" t="inlineStr">
        <is>
          <t>UITP/ICCT Working Paper (August 2023), pages 4-5</t>
        </is>
      </c>
      <c r="F14" t="inlineStr">
        <is>
          <t>Sidebar 'BMTC Electric Bus Procurement' and the text under Table 2 (1,101 12m non-AC e-buses under FAME-II; 840 BS VI diesel buses; all 1,941 to be deployed in 2023)</t>
        </is>
      </c>
      <c r="G14" t="inlineStr">
        <is>
          <t>4</t>
        </is>
      </c>
      <c r="H14" t="inlineStr">
        <is>
          <t>https://www.uitp.org/wp-content/uploads/sites/7/2025/04/Working-Paper_Fleet-Wide-Transition.pdf</t>
        </is>
      </c>
      <c r="I14" s="7" t="n">
        <v>1.25</v>
      </c>
      <c r="J14">
        <f>IF($B14="NO","NA",IF(I14="","",MIN(I14,$B$6)))</f>
        <v/>
      </c>
      <c r="K14" t="inlineStr">
        <is>
          <t>AI: left for a person. Step 2 found no evidence (Insufficient Evidence).</t>
        </is>
      </c>
    </row>
    <row r="15">
      <c r="A15" s="8" t="inlineStr">
        <is>
          <t>Bengaluru – BDA</t>
        </is>
      </c>
      <c r="B15" s="8" t="inlineStr">
        <is>
          <t>NO</t>
        </is>
      </c>
      <c r="C15" s="8" t="n"/>
      <c r="D15" s="8" t="n"/>
      <c r="E15" s="8" t="n"/>
      <c r="F15" s="8" t="n"/>
      <c r="G15" s="8" t="n"/>
      <c r="H15" s="8" t="n"/>
      <c r="I15" s="8" t="n"/>
      <c r="J15" s="8">
        <f>IF($B15="NO","NA",IF(I15="","",MIN(I15,$B$6)))</f>
        <v/>
      </c>
      <c r="K15" s="8" t="n"/>
    </row>
    <row r="16">
      <c r="A16" s="8" t="inlineStr">
        <is>
          <t>Bengaluru – BMRCL</t>
        </is>
      </c>
      <c r="B16" s="8" t="inlineStr">
        <is>
          <t>NO</t>
        </is>
      </c>
      <c r="C16" s="8" t="n"/>
      <c r="D16" s="8" t="n"/>
      <c r="E16" s="8" t="n"/>
      <c r="F16" s="8" t="n"/>
      <c r="G16" s="8" t="n"/>
      <c r="H16" s="8" t="n"/>
      <c r="I16" s="8" t="n"/>
      <c r="J16" s="8">
        <f>IF($B16="NO","NA",IF(I16="","",MIN(I16,$B$6)))</f>
        <v/>
      </c>
      <c r="K16" s="8" t="n"/>
    </row>
    <row r="17">
      <c r="A17" s="8" t="inlineStr">
        <is>
          <t>Bengaluru – BMRDA</t>
        </is>
      </c>
      <c r="B17" s="8" t="inlineStr">
        <is>
          <t>NO</t>
        </is>
      </c>
      <c r="C17" s="8" t="n"/>
      <c r="D17" s="8" t="n"/>
      <c r="E17" s="8" t="n"/>
      <c r="F17" s="8" t="n"/>
      <c r="G17" s="8" t="n"/>
      <c r="H17" s="8" t="n"/>
      <c r="I17" s="8" t="n"/>
      <c r="J17" s="8">
        <f>IF($B17="NO","NA",IF(I17="","",MIN(I17,$B$6)))</f>
        <v/>
      </c>
      <c r="K17" s="8" t="n"/>
    </row>
    <row r="18">
      <c r="A18" s="8" t="inlineStr">
        <is>
          <t>Surat – SUDA</t>
        </is>
      </c>
      <c r="B18" s="8" t="inlineStr">
        <is>
          <t>NO</t>
        </is>
      </c>
      <c r="C18" s="8" t="n"/>
      <c r="D18" s="8" t="n"/>
      <c r="E18" s="8" t="n"/>
      <c r="F18" s="8" t="n"/>
      <c r="G18" s="8" t="n"/>
      <c r="H18" s="8" t="n"/>
      <c r="I18" s="8" t="n"/>
      <c r="J18" s="8">
        <f>IF($B18="NO","NA",IF(I18="","",MIN(I18,$B$6)))</f>
        <v/>
      </c>
      <c r="K18" s="8" t="n"/>
    </row>
    <row r="19">
      <c r="A19" s="8" t="inlineStr">
        <is>
          <t>Surat – GMRC</t>
        </is>
      </c>
      <c r="B19" s="8" t="inlineStr">
        <is>
          <t>NO</t>
        </is>
      </c>
      <c r="C19" s="8" t="n"/>
      <c r="D19" s="8" t="n"/>
      <c r="E19" s="8" t="n"/>
      <c r="F19" s="8" t="n"/>
      <c r="G19" s="8" t="n"/>
      <c r="H19" s="8" t="n"/>
      <c r="I19" s="8" t="n"/>
      <c r="J19" s="8">
        <f>IF($B19="NO","NA",IF(I19="","",MIN(I19,$B$6)))</f>
        <v/>
      </c>
      <c r="K19" s="8" t="n"/>
    </row>
  </sheetData>
  <dataValidations count="1">
    <dataValidation sqref="I13:I19" showDropDown="0" showInputMessage="0" showErrorMessage="1" allowBlank="1" error="See the instruction above the 'Score' column." type="decimal" operator="between">
      <formula1>0</formula1>
      <formula2>5</formula2>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DPG1a</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C13" t="inlineStr">
        <is>
          <t>The Greater Bengaluru Governance Act, 2024 (Karnataka Act No. 36 of 2025), Gazette text as published 24.04.2025 (PRS Legislative Research copy) [BWSSB-29]</t>
        </is>
      </c>
      <c r="D13" t="inlineStr">
        <is>
          <t>Chapter IX (Powers, Functions and Procedures of the City Corporation and Committees); Schedule I</t>
        </is>
      </c>
      <c r="E13" t="inlineStr">
        <is>
          <t>Section 111(1) read with Schedule I, Part (1) Core Functions</t>
        </is>
      </c>
      <c r="F13" t="inlineStr">
        <is>
          <t>Schedule I(1)(v) and (vi)</t>
        </is>
      </c>
      <c r="G13" t="inlineStr">
        <is>
          <t>134</t>
        </is>
      </c>
      <c r="H13" t="inlineStr">
        <is>
          <t>https://prsindia.org/files/bills_acts/acts_states/karnataka/2025/Act36of2025KA.pdf</t>
        </is>
      </c>
      <c r="I13" s="7" t="n">
        <v>0</v>
      </c>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C15" t="inlineStr">
        <is>
          <t>The Bangalore Development Authority Act, 1976 (Karnataka Act 12 of 1976) – consolidated text with amendments, PRS Legislative Research [BDA-02]</t>
        </is>
      </c>
      <c r="D15" t="inlineStr">
        <is>
          <t>Chapter II (s.14) and Chapter III – Development Schemes (ss.15, 16, 25, 28, 28A)</t>
        </is>
      </c>
      <c r="E15" t="inlineStr">
        <is>
          <t>Section 14 (Objects of the Authority); Sections 15 and 16 (development schemes)</t>
        </is>
      </c>
      <c r="F15" t="inlineStr">
        <is>
          <t>s.14; s.15(1)(a)-(b), s.15(2)(ii); s.16(1)(a)-(d); proviso to s.25(1); s.28; s.28A(a)</t>
        </is>
      </c>
      <c r="G15" t="inlineStr">
        <is>
          <t>25</t>
        </is>
      </c>
      <c r="H15" t="inlineStr">
        <is>
          <t>https://prsindia.org/files/bills_acts/acts_states/karnataka/1976/1976Karnataka12.pdf</t>
        </is>
      </c>
      <c r="I15" s="7" t="n">
        <v>0</v>
      </c>
      <c r="J15">
        <f>IF($B15="NO","NA",IF(I15="","",MIN(I15,$B$6)))</f>
        <v/>
      </c>
      <c r="K15" t="inlineStr">
        <is>
          <t>AI: left for a person. Step 2 found no evidence (Insufficient Evidence).</t>
        </is>
      </c>
    </row>
    <row r="16">
      <c r="A16" t="inlineStr">
        <is>
          <t>Bengaluru – BMRCL</t>
        </is>
      </c>
      <c r="B16" t="inlineStr">
        <is>
          <t>YES</t>
        </is>
      </c>
      <c r="C16" t="inlineStr">
        <is>
          <t>The Greater Bengaluru Governance Act, 2024, Act No. 36 of 2025 (PRS India copy) [BMRCL-34]</t>
        </is>
      </c>
      <c r="D16" t="inlineStr">
        <is>
          <t>Chapter IX – Powers, Functions and Procedures of the City Corporation and Committees; Schedule I (see section 111)</t>
        </is>
      </c>
      <c r="E16" t="inlineStr">
        <is>
          <t>Section 112(1); Section 111 read with Schedule I (Core Functions items (iv) and (xvii))</t>
        </is>
      </c>
      <c r="F16" t="inlineStr">
        <is>
          <t>s.112(1) puts urban transport in the Central/State functional domain; Schedule I core items (iv) roads, flyovers, underpasses, subways, skywalks and bridges and (xvii) parking spaces and bus stops are the only transport-related ULG functions</t>
        </is>
      </c>
      <c r="G16" t="inlineStr">
        <is>
          <t>46</t>
        </is>
      </c>
      <c r="H16" t="inlineStr">
        <is>
          <t>https://prsindia.org/files/bills_acts/acts_states/karnataka/2025/Act36of2025KA.pdf</t>
        </is>
      </c>
      <c r="I16" s="7" t="n">
        <v>5</v>
      </c>
      <c r="J16">
        <f>IF($B16="NO","NA",IF(I16="","",MIN(I16,$B$6)))</f>
        <v/>
      </c>
      <c r="K16" t="inlineStr">
        <is>
          <t>AI: left for a person. Step 2 found no evidence (Insufficient Evidence).</t>
        </is>
      </c>
    </row>
    <row r="17">
      <c r="A17" t="inlineStr">
        <is>
          <t>Bengaluru – BMRDA</t>
        </is>
      </c>
      <c r="B17" t="inlineStr">
        <is>
          <t>YES</t>
        </is>
      </c>
      <c r="C17" t="inlineStr">
        <is>
          <t>The Bangalore Metropolitan Region Development Authority Act, 1985 (Karnataka Act 39 of 1985), full text with amendments (PDF hosted by India Water Portal) [BMRDA-08]</t>
        </is>
      </c>
      <c r="D17" t="inlineStr">
        <is>
          <t>Chapter III – Powers and Functions of the Authority</t>
        </is>
      </c>
      <c r="E17" t="inlineStr">
        <is>
          <t>Section 9(1) (also Sections 10, 18, 19 and 31, which inserts Section 81-C into the KTCP Act 1961)</t>
        </is>
      </c>
      <c r="F17" t="inlineStr">
        <is>
          <t>Section 9(1)(i)-(vii)</t>
        </is>
      </c>
      <c r="G17" t="inlineStr">
        <is>
          <t>10</t>
        </is>
      </c>
      <c r="H17" t="inlineStr">
        <is>
          <t>https://prod-qt-images.s3.amazonaws.com/indiawaterportal/import/sites/default/files/iwp2/Bangalore_Metropolitan_Region_Development_Authority_Act_Bangalore_Metropolitan_Region_Development_Authority_1985.pdf</t>
        </is>
      </c>
      <c r="I17" s="7" t="n"/>
      <c r="J17">
        <f>IF($B17="NO","NA",IF(I17="","",MIN(I17,$B$6)))</f>
        <v/>
      </c>
      <c r="K17" t="inlineStr">
        <is>
          <t>AI: left for a person. Step 2 found no evidence (Insufficient Evidence). Source needed: Four documents would answer this. (1) Full text of the BMRDA Act, 1985, as currently amended, especially the sections on BMRDA's functions and powers and its relationship with local authorities and planning authorities. (2) Full text of the Act that currently governs the city government (the team notes name the Greater Bengaluru Governance Act, 2024; to be confirmed from an official source): its functions schedules, any town planning or planning-authority provisions, and any powers to coordinate, supervise or direct public authorities. (3) The Karnataka Town and Country Planning Act provisions on local planning authorities and BMRDA's role within the Bengaluru Metropolitan Region. (4) The Rules and Regulations under the BMRDA Act. All four should come from official Karnataka government sources such as the state legislation portal, the eGazette, the Urban Development Department, or BMRDA's own 'Acts and Rules' page.</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5</formula2>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DPG1b</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C13" t="inlineStr">
        <is>
          <t>THE BANGALORE WATER SUPPLY AND SEWERAGE ACT, 1964 (FAOLEX PDF) [BWSSB-04]</t>
        </is>
      </c>
      <c r="D13" t="inlineStr">
        <is>
          <t>Chapter I – Preliminary</t>
        </is>
      </c>
      <c r="E13" t="inlineStr">
        <is>
          <t>Section 2 (Definitions)</t>
        </is>
      </c>
      <c r="F13" t="inlineStr">
        <is>
          <t>Section 2(1); read with Section 15(1)-(3) (general duties of the Board in the Bangalore Metropolitan Area)</t>
        </is>
      </c>
      <c r="G13" t="inlineStr">
        <is>
          <t>7</t>
        </is>
      </c>
      <c r="H13" t="inlineStr">
        <is>
          <t>https://faolex.fao.org/docs/pdf/ind201320.pdf</t>
        </is>
      </c>
      <c r="I13" s="7" t="n">
        <v>2.5</v>
      </c>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C15" t="inlineStr">
        <is>
          <t>The Bangalore Development Authority Act, 1976 (Karnataka Act 12 of 1976) – consolidated text with amendments, PRS Legislative Research [BDA-02]</t>
        </is>
      </c>
      <c r="D15" t="inlineStr">
        <is>
          <t>Chapter I – Preliminary</t>
        </is>
      </c>
      <c r="E15" t="inlineStr">
        <is>
          <t>Section 2 (Definitions)</t>
        </is>
      </c>
      <c r="F15" t="inlineStr">
        <is>
          <t>Section 2(c) 'Bangalore Metropolitan Area'</t>
        </is>
      </c>
      <c r="G15" t="inlineStr">
        <is>
          <t>16</t>
        </is>
      </c>
      <c r="H15" t="inlineStr">
        <is>
          <t>https://prsindia.org/files/bills_acts/acts_states/karnataka/1976/1976Karnataka12.pdf</t>
        </is>
      </c>
      <c r="I15" s="7" t="n">
        <v>2.5</v>
      </c>
      <c r="J15">
        <f>IF($B15="NO","NA",IF(I15="","",MIN(I15,$B$6)))</f>
        <v/>
      </c>
      <c r="K15" t="inlineStr">
        <is>
          <t>AI: left for a person. Step 2 found no evidence (Insufficient Evidence).</t>
        </is>
      </c>
    </row>
    <row r="16">
      <c r="A16" t="inlineStr">
        <is>
          <t>Bengaluru – BMRCL</t>
        </is>
      </c>
      <c r="B16" t="inlineStr">
        <is>
          <t>YES</t>
        </is>
      </c>
      <c r="C16" t="inlineStr">
        <is>
          <t>The Metro Railways (Operation and Maintenance) Act, 2002 (updated text, hosted by the Commission of Railway Safety, Government of India) [BMRCL-15]</t>
        </is>
      </c>
      <c r="D16" t="inlineStr">
        <is>
          <t>Chapter I – Preliminary</t>
        </is>
      </c>
      <c r="E16" t="inlineStr">
        <is>
          <t>Section 1(2) (extent, as substituted by Act 34 of 2009); also Section 2(1)(h), 2(1)(ha), 2(1)(i)(A); Sections 3(1) and 5</t>
        </is>
      </c>
      <c r="F16" t="inlineStr">
        <is>
          <t>Section 1(2)</t>
        </is>
      </c>
      <c r="G16" t="inlineStr">
        <is>
          <t>5</t>
        </is>
      </c>
      <c r="H16" t="inlineStr">
        <is>
          <t>https://crs.gov.in/wp-content/uploads/2024/03/THE-METRO-RAILWAYS-OPERATION-AND-MAINTENANCE-ACT-2002.pdf</t>
        </is>
      </c>
      <c r="I16" s="7" t="n">
        <v>2.5</v>
      </c>
      <c r="J16">
        <f>IF($B16="NO","NA",IF(I16="","",MIN(I16,$B$6)))</f>
        <v/>
      </c>
      <c r="K16" t="inlineStr">
        <is>
          <t>AI: left for a person. Step 2 found no evidence (Insufficient Evidence).</t>
        </is>
      </c>
    </row>
    <row r="17">
      <c r="A17" t="inlineStr">
        <is>
          <t>Bengaluru – BMRDA</t>
        </is>
      </c>
      <c r="B17" t="inlineStr">
        <is>
          <t>YES</t>
        </is>
      </c>
      <c r="C17" t="inlineStr">
        <is>
          <t>The Bangalore Metropolitan Region Development Authority Act, 1985 (Karnataka Act 39 of 1985), full text with amendments (PDF hosted by India Water Portal) [BMRDA-08]</t>
        </is>
      </c>
      <c r="D17" t="inlineStr">
        <is>
          <t>Chapter I – Preliminary</t>
        </is>
      </c>
      <c r="E17" t="inlineStr">
        <is>
          <t>Section 2(c) (definition of 'Bangalore Metropolitan Region'), read with Section 3(1)</t>
        </is>
      </c>
      <c r="F17" t="inlineStr">
        <is>
          <t>2(c), as substituted by Karnataka Act 8 of 2005 w.e.f. 23.03.2005</t>
        </is>
      </c>
      <c r="G17" t="inlineStr">
        <is>
          <t>5</t>
        </is>
      </c>
      <c r="H17" t="inlineStr">
        <is>
          <t>https://prod-qt-images.s3.amazonaws.com/indiawaterportal/import/sites/default/files/iwp2/Bangalore_Metropolitan_Region_Development_Authority_Act_Bangalore_Metropolitan_Region_Development_Authority_1985.pdf</t>
        </is>
      </c>
      <c r="I17" s="7" t="n">
        <v>5</v>
      </c>
      <c r="J17">
        <f>IF($B17="NO","NA",IF(I17="","",MIN(I17,$B$6)))</f>
        <v/>
      </c>
      <c r="K17" t="inlineStr">
        <is>
          <t>AI: left for a person. Step 2 found no evidence (Insufficient Evidence). Source needed: (1) The full text of the BMRDA Act, 1985 (Karnataka Act 39 of 1985), current amended version: the definition of the Bangalore Metropolitan Region / 'Area' and any schedule or section listing the covered taluks or areas. (2) The government notification(s) declaring or changing BMRDA's jurisdiction, published in the Karnataka Gazette or on the BMRDA site, plus the official jurisdiction map. (3) The Greater Bengaluru Governance Act (city government law), to cross-check the boundary against the city government's area. (4) The BMRDA jurisdiction web page, saved as a readable copy, to confirm the current boundary.</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5</formula2>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DPG2a</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C13" t="inlineStr">
        <is>
          <t>THE BANGALORE WATER SUPPLY AND SEWERAGE ACT, 1964 (FAOLEX PDF) [BWSSB-04]</t>
        </is>
      </c>
      <c r="D13" t="inlineStr">
        <is>
          <t>Chapter II – Establishment of the Board</t>
        </is>
      </c>
      <c r="E13" t="inlineStr">
        <is>
          <t>Section 3 – Constitution and composition of the Bangalore Water Supply and Sewerage Board</t>
        </is>
      </c>
      <c r="F13" t="inlineStr">
        <is>
          <t>Section 3(2), 3(3), 3(5)</t>
        </is>
      </c>
      <c r="G13" t="inlineStr">
        <is>
          <t>10</t>
        </is>
      </c>
      <c r="H13" t="inlineStr">
        <is>
          <t>https://faolex.fao.org/docs/pdf/ind201320.pdf</t>
        </is>
      </c>
      <c r="I13" s="7" t="n">
        <v>0</v>
      </c>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C15" t="inlineStr">
        <is>
          <t>The Bangalore Development Authority Act, 1976 (Karnataka Act 12 of 1976) – consolidated text with amendments, PRS Legislative Research [BDA-02]</t>
        </is>
      </c>
      <c r="D15" t="inlineStr">
        <is>
          <t>Chapter II – Constitution of the Authority</t>
        </is>
      </c>
      <c r="E15" t="inlineStr">
        <is>
          <t>Section 3(3)(l), read with Sections 4(1)(f), 5(1) proviso and 8(4)</t>
        </is>
      </c>
      <c r="F15" t="inlineStr">
        <is>
          <t>Section 3(3)(l): two members elected by the councillors of the Bangalore City Corporation</t>
        </is>
      </c>
      <c r="G15" t="inlineStr">
        <is>
          <t>19</t>
        </is>
      </c>
      <c r="H15" t="inlineStr">
        <is>
          <t>https://prsindia.org/files/bills_acts/acts_states/karnataka/1976/1976Karnataka12.pdf</t>
        </is>
      </c>
      <c r="I15" s="7" t="n">
        <v>5</v>
      </c>
      <c r="J15">
        <f>IF($B15="NO","NA",IF(I15="","",MIN(I15,$B$6)))</f>
        <v/>
      </c>
      <c r="K15" t="inlineStr">
        <is>
          <t>AI: left for a person. Step 2 found no evidence (Insufficient Evidence).</t>
        </is>
      </c>
    </row>
    <row r="16">
      <c r="A16" t="inlineStr">
        <is>
          <t>Bengaluru – BMRCL</t>
        </is>
      </c>
      <c r="B16" t="inlineStr">
        <is>
          <t>YES</t>
        </is>
      </c>
      <c r="C16" t="inlineStr">
        <is>
          <t>BMRCL Annual Report 2020-21 (Board's Report, Independent Auditor's Report, CAG comments, audited Balance Sheet, P&amp;L and Cash Flow for FY 2020-21), laid before the Karnataka Legislative Council [BMRCL-01]</t>
        </is>
      </c>
      <c r="D16" t="inlineStr">
        <is>
          <t>Board's Report – Corporate Governance Report</t>
        </is>
      </c>
      <c r="E16" t="inlineStr">
        <is>
          <t>Board of Directors – Constitution of the Board (summary of the Articles of Association)</t>
        </is>
      </c>
      <c r="F16" t="inlineStr">
        <is>
          <t>Annual Report 2020-21, around pp. 45-46 of the printed report; also the 'Board of Directors' list on p. 2</t>
        </is>
      </c>
      <c r="G16" t="inlineStr">
        <is>
          <t>47</t>
        </is>
      </c>
      <c r="H16" t="inlineStr">
        <is>
          <t>https://kla.kar.nic.in/council/house/Paperlaid/146/33.pdf</t>
        </is>
      </c>
      <c r="I16" s="7" t="n">
        <v>0</v>
      </c>
      <c r="J16">
        <f>IF($B16="NO","NA",IF(I16="","",MIN(I16,$B$6)))</f>
        <v/>
      </c>
      <c r="K16" t="inlineStr">
        <is>
          <t>AI: left for a person. Step 2 found no evidence (Insufficient Evidence).</t>
        </is>
      </c>
    </row>
    <row r="17">
      <c r="A17" t="inlineStr">
        <is>
          <t>Bengaluru – BMRDA</t>
        </is>
      </c>
      <c r="B17" t="inlineStr">
        <is>
          <t>YES</t>
        </is>
      </c>
      <c r="C17" t="inlineStr">
        <is>
          <t>The Bangalore Metropolitan Region Development Authority Act, 1985 (Karnataka Act 39 of 1985), full text with amendments (PDF hosted by India Water Portal) [BMRDA-08]</t>
        </is>
      </c>
      <c r="D17" t="inlineStr">
        <is>
          <t>Chapter II – The Bangalore Metropolitan Region Development Authority</t>
        </is>
      </c>
      <c r="E17" t="inlineStr">
        <is>
          <t>Section 3(3)(d), read with Section 5(4)</t>
        </is>
      </c>
      <c r="F17" t="inlineStr">
        <is>
          <t>Section 3(3)(d): the Mayor is an ex-officio member of the Authority. Section 5(4): questions are decided by majority vote of members present and voting. Also Section 6(1)(e): the Mayor sits on the Executive Committee.</t>
        </is>
      </c>
      <c r="G17" t="inlineStr">
        <is>
          <t>6</t>
        </is>
      </c>
      <c r="H17" t="inlineStr">
        <is>
          <t>https://prod-qt-images.s3.amazonaws.com/indiawaterportal/import/sites/default/files/iwp2/Bangalore_Metropolitan_Region_Development_Authority_Act_Bangalore_Metropolitan_Region_Development_Authority_1985.pdf</t>
        </is>
      </c>
      <c r="I17" s="7" t="n">
        <v>5</v>
      </c>
      <c r="J17">
        <f>IF($B17="NO","NA",IF(I17="","",MIN(I17,$B$6)))</f>
        <v/>
      </c>
      <c r="K17" t="inlineStr">
        <is>
          <t>AI: left for a person. Step 2 found no evidence (Insufficient Evidence). Source needed: Needed: (1) the current consolidated BMRDA Act, 1985, especially the section that sets up the Authority and lists its members, showing which are ex-officio or nominated, any Mayor or corporation seats, and whether invitees vote; (2) BMRDA's own 'Constitution of the Authority' page or the latest government notification naming the current members; (3) the Greater Bengaluru Governance Act, 2024 (or the law in force for the ULG), to see whether it names GBA or corporation nominees to BMRDA or substitutes them for BBMP; (4) any GO substituting GBA for BBMP or the Corporation of the City of Bangalore in the BMRDA Act; (5) a recent annual report or proceedings listing board members, to show whether ULG seats are actually filled.</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5</formula2>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DPG2b</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C13" t="inlineStr">
        <is>
          <t>THE BANGALORE WATER SUPPLY AND SEWERAGE ACT, 1964 (FAOLEX PDF) [BWSSB-04]</t>
        </is>
      </c>
      <c r="D13" t="inlineStr">
        <is>
          <t>Chapter III (The Board's Finance, Accounts and Audit); Chapter VI (Miscellaneous)</t>
        </is>
      </c>
      <c r="E13" t="inlineStr">
        <is>
          <t>Sections 17(1), 17(3), 86(1), 86(2), 86(3), 14(5)</t>
        </is>
      </c>
      <c r="F13" t="inlineStr">
        <is>
          <t>s.17(1) budget goes to the State Government; s.17(3) the State Government lays it before the State Legislature; s.86(1)-(2) annual and activities reports go to the State Government and the Legislature; s.86(3) scheme particulars go to the State Government</t>
        </is>
      </c>
      <c r="G13" t="inlineStr">
        <is>
          <t>14</t>
        </is>
      </c>
      <c r="H13" t="inlineStr">
        <is>
          <t>https://faolex.fao.org/docs/pdf/ind201320.pdf</t>
        </is>
      </c>
      <c r="I13" s="7" t="n">
        <v>0</v>
      </c>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C15" t="inlineStr">
        <is>
          <t>The Bangalore Development Authority Act, 1976 (Karnataka Act 12 of 1976) – consolidated text with amendments, PRS Legislative Research [BDA-02]</t>
        </is>
      </c>
      <c r="D15" t="inlineStr">
        <is>
          <t>Finance, Accounts and Audit; Development Schemes (Ch. III)</t>
        </is>
      </c>
      <c r="E15" t="inlineStr">
        <is>
          <t>BDA Act 1976 ss.42-45 (budget estimates), s.47(5) (audited accounts), s.47A (reports), s.18 (sanction of schemes); s.17(2) borderline</t>
        </is>
      </c>
      <c r="F15" t="inlineStr">
        <is>
          <t>s.44; s.47A; s.47(5); s.18(1)-(3); s.17(2), (4)</t>
        </is>
      </c>
      <c r="G15" t="inlineStr">
        <is>
          <t>43</t>
        </is>
      </c>
      <c r="H15" t="inlineStr">
        <is>
          <t>https://prsindia.org/files/bills_acts/acts_states/karnataka/1976/1976Karnataka12.pdf</t>
        </is>
      </c>
      <c r="I15" s="7" t="n">
        <v>0</v>
      </c>
      <c r="J15">
        <f>IF($B15="NO","NA",IF(I15="","",MIN(I15,$B$6)))</f>
        <v/>
      </c>
      <c r="K15" t="inlineStr">
        <is>
          <t>AI: left for a person. Step 2 found no evidence (Insufficient Evidence).</t>
        </is>
      </c>
    </row>
    <row r="16">
      <c r="A16" t="inlineStr">
        <is>
          <t>Bengaluru – BMRCL</t>
        </is>
      </c>
      <c r="B16" t="inlineStr">
        <is>
          <t>YES</t>
        </is>
      </c>
      <c r="C16" t="inlineStr">
        <is>
          <t>The Greater Bengaluru Governance Act, 2024, Act No. 36 of 2025 (PRS India copy) [BMRCL-34]</t>
        </is>
      </c>
      <c r="D16" t="inlineStr">
        <is>
          <t>Chapter III – Greater Bengaluru Authority</t>
        </is>
      </c>
      <c r="E16" t="inlineStr">
        <is>
          <t>Section 19 (Power of supervision and to issue directions to authorities); see also Sections 9(3)(j), 13(1)(j) and 14(4)</t>
        </is>
      </c>
      <c r="F16" t="inlineStr">
        <is>
          <t>Section 19(1)</t>
        </is>
      </c>
      <c r="G16" t="inlineStr">
        <is>
          <t>17</t>
        </is>
      </c>
      <c r="H16" t="inlineStr">
        <is>
          <t>https://prsindia.org/files/bills_acts/acts_states/karnataka/2025/Act36of2025KA.pdf</t>
        </is>
      </c>
      <c r="I16" s="7" t="n">
        <v>0</v>
      </c>
      <c r="J16">
        <f>IF($B16="NO","NA",IF(I16="","",MIN(I16,$B$6)))</f>
        <v/>
      </c>
      <c r="K16" t="inlineStr">
        <is>
          <t>AI: left for a person. Step 2 found no evidence (Insufficient Evidence).</t>
        </is>
      </c>
    </row>
    <row r="17">
      <c r="A17" t="inlineStr">
        <is>
          <t>Bengaluru – BMRDA</t>
        </is>
      </c>
      <c r="B17" t="inlineStr">
        <is>
          <t>YES</t>
        </is>
      </c>
      <c r="C17" t="inlineStr">
        <is>
          <t>The Bangalore Metropolitan Region Development Authority Act, 1985 (Karnataka Act 39 of 1985), full text with amendments (PDF hosted by India Water Portal) [BMRDA-08]</t>
        </is>
      </c>
      <c r="D17" t="inlineStr">
        <is>
          <t>Chapter III (Powers and Functions); Chapter IV (Finance, Accounts and Audit); Chapter V (Miscellaneous)</t>
        </is>
      </c>
      <c r="E17" t="inlineStr">
        <is>
          <t>Sections 9(1)(ii), 12, 13, 16(3), 19 and 31 (inserting Section 81-C into the Karnataka Town and Country Planning Act, 1961), BMRDA Act, 1985</t>
        </is>
      </c>
      <c r="F17" t="inlineStr">
        <is>
          <t>Section 12 (Budget); Section 13 (Annual report)</t>
        </is>
      </c>
      <c r="G17" t="inlineStr">
        <is>
          <t>12</t>
        </is>
      </c>
      <c r="H17" t="inlineStr">
        <is>
          <t>https://prod-qt-images.s3.amazonaws.com/indiawaterportal/import/sites/default/files/iwp2/Bangalore_Metropolitan_Region_Development_Authority_Act_Bangalore_Metropolitan_Region_Development_Authority_1985.pdf</t>
        </is>
      </c>
      <c r="I17" s="7" t="n">
        <v>0</v>
      </c>
      <c r="J17">
        <f>IF($B17="NO","NA",IF(I17="","",MIN(I17,$B$6)))</f>
        <v/>
      </c>
      <c r="K17" t="inlineStr">
        <is>
          <t>AI: left for a person. Step 2 found no evidence (Insufficient Evidence). Source needed: Needed: (1) the full text of the BMRDA Act, 1985 (Karnataka Act 39 of 1985), current amended version, especially the sections on preparing and approving the structure plan and other plans, the budget, the annual report and accounts, and to whom each is submitted; (2) any Rules made under that Act and the BMRDA Regulations (1996/1999/2000) covering budget or reporting procedure; (3) the Greater Bengaluru Governance Act, 2024 (and Rules), for any provision requiring parastatals or public authorities such as BMRDA to submit or table plans, budgets or reports before the GBA, the City Corporations or their councils.</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5</formula2>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DPG4</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10</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I13" s="7" t="n"/>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I15" s="7" t="n"/>
      <c r="J15">
        <f>IF($B15="NO","NA",IF(I15="","",MIN(I15,$B$6)))</f>
        <v/>
      </c>
      <c r="K15" t="inlineStr">
        <is>
          <t>AI: left for a person. Step 2 found no evidence (Insufficient Evidence).</t>
        </is>
      </c>
    </row>
    <row r="16">
      <c r="A16" t="inlineStr">
        <is>
          <t>Bengaluru – BMRCL</t>
        </is>
      </c>
      <c r="B16" t="inlineStr">
        <is>
          <t>YES</t>
        </is>
      </c>
      <c r="C16" t="inlineStr">
        <is>
          <t>BMRCL Annual Report 2020-21 (Board's Report, Independent Auditor's Report, CAG comments, audited Balance Sheet, P&amp;L and Cash Flow for FY 2020-21), laid before the Karnataka Legislative Council [BMRCL-01]</t>
        </is>
      </c>
      <c r="D16" t="inlineStr">
        <is>
          <t>Board's Report; Corporate Governance Report</t>
        </is>
      </c>
      <c r="E16" t="inlineStr">
        <is>
          <t>Corporate Governance Report, item 7 'Company's Website'; Board's Report sections on Risk Management, Vigil Mechanism and BMRC Newsletter</t>
        </is>
      </c>
      <c r="F16" t="inlineStr">
        <is>
          <t>Annual Report FY 2020-21, pp. 40, 42, 55-56</t>
        </is>
      </c>
      <c r="G16" t="inlineStr">
        <is>
          <t>42</t>
        </is>
      </c>
      <c r="H16" t="inlineStr">
        <is>
          <t>https://kla.kar.nic.in/council/house/Paperlaid/146/33.pdf</t>
        </is>
      </c>
      <c r="I16" s="7" t="n"/>
      <c r="J16">
        <f>IF($B16="NO","NA",IF(I16="","",MIN(I16,$B$6)))</f>
        <v/>
      </c>
      <c r="K16" t="inlineStr">
        <is>
          <t>AI: left for a person. Step 2 found no evidence (Insufficient Evidence).</t>
        </is>
      </c>
    </row>
    <row r="17">
      <c r="A17" t="inlineStr">
        <is>
          <t>Bengaluru – BMRDA</t>
        </is>
      </c>
      <c r="B17" t="inlineStr">
        <is>
          <t>YES</t>
        </is>
      </c>
      <c r="C17" t="inlineStr">
        <is>
          <t>Bengaluru Metropolitan Region Development Authority — official website [BMRDA-01]</t>
        </is>
      </c>
      <c r="D17" t="inlineStr">
        <is>
          <t>Homepage, 'ಇಲಾಖಾ ದಾಖಲೆಗಳು' (Departmental documents) panel</t>
        </is>
      </c>
      <c r="E17" t="inlineStr">
        <is>
          <t>'ಕಾಯ್ದೆ ಮತ್ತು ನಿಯಮಗಳು' (Acts and Rules) list; 'ಅಧಿಸೂಚನೆ' (Notifications) and CA-site press notices; footer</t>
        </is>
      </c>
      <c r="F17" t="inlineStr">
        <is>
          <t>Footer ownership line: 'ವಿಷಯದ ಮಾಲೀಕತ್ವ ಮತ್ತು ನಿರ್ವಹಣೆ : ಬೆಂಗಳೂರು ಮಹಾನಗರ ಪ್ರದೇಶಾಭಿವೃದ್ಧಿ ಪ್ರಾಧಿಕಾರ, ಕರ್ನಾಟಕ ಸರ್ಕಾರ'</t>
        </is>
      </c>
      <c r="H17" t="inlineStr">
        <is>
          <t>https://bmrda.karnataka.gov.in/</t>
        </is>
      </c>
      <c r="I17" s="7" t="n">
        <v>10</v>
      </c>
      <c r="J17">
        <f>IF($B17="NO","NA",IF(I17="","",MIN(I17,$B$6)))</f>
        <v/>
      </c>
      <c r="K17" t="inlineStr">
        <is>
          <t>AI (medium confidence), from Step 2 answer (Answered — Verified Source) and BMRDA-01: Score: 10. I checked the Step 2 answer against BMRDA-01, the only source in the Citation Sheet for this agency.
**What the source shows**
1. **Official site:** The site sits on the karnataka.gov.in domain (.gov.in). The footer says the content is owned and maintained by BMRDA, Government of Karnataka. It was built by the Centre for e-Governance, Karnataka, and carries '© 2026'.
2. **Opens and is readable:** The saved copy is a full homepage, not an error, login or empty page. It has these sections:
   - RTI 4(1)(a)/(b) documents
   - Acts and Rules
   - Budget and Annual Reports
   - Notifications
   - Services: change of land use, layout approval, amalgamation of sites
   - Feedback, contact and sitemap pages
3. **Recent content:**
   - The Acts and Rules list includes the Karnataka Planning Authorities (Allotment of Civic Amenity sites within Bengaluru Metropolitan Region) Rules, 2026.
   - A CA-site newspaper notice for the Bengaluru International Airport Area Planning Authority is a file named 'PV_BC_30072026-6_1785746475.pdf', which reads as 30.07.2026.
   - The upload-ID numbers at the end of the file names (1785746475; 1787639516 for the 2026 Rules) look like timestamps from about early to late August 2026. This is my own inference from the file names, not a stated date.
   - The news panel shows a CA-site press notice posted '2 months ago'.
   - Under rules version v2 (Sept 2026), all of this falls well within a 12-month window.
**Why I gave 10**
The task input did not include the question's full text, Detailed Methodology or rubric bands. I applied the band as the Step 2 record describes it: an official website exists, is accessible, and was updated within the last 12 months, which earns 10. A reviewer should confirm that the DPG4 rubric's top band needs nothing more than this. If it needs more (e.g. specific content or that every link works), the score may need revisiting.
**Caveats for the reviewer**
- The footer 'ಇತ್ತೀಚಿನ ನವೀಕರಣ' (Last updated) field is blank. Currency therefore rests on dated documents, not a site-wide update stamp.
- The capture date is not recorded, so '2 months ago' cannot be pinned to a date.
- Only the homepage was saved. Sub-pages and PDF links were not each opened, so functionality is checked only at homepage level.
- Some content is old: the Citizen Charter 2020-21, the Annual Report 2023-24 and the 2020-23 pages for local planning authorities.
- The question-bank evidence still needs a dated screenshot or archive capture. The reviewer should record the date of check and confirm the 2026 items are still live on that date.
Quote: "ಕರ್ನಾಟಕ ಯೋಜನಾ ಪ್ರಾಧಿಕಾರಗಳ (ಬೆಂಗಳೂರು ಮಹಾನಗರ ಪ್ರದೇಶದ ವ್ಯಾಪ್ತಿಯಲ್ಲಿ ನಾಗರಿಕ ಸೌಕರ್ಯ ನಿವೇಶನಗಳ ಹಂಚಿಕೆ) ನಿಯಮಗಳು, 2026."</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10</formula2>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DPG5a</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1</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I13" s="7" t="n"/>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I15" s="7" t="n"/>
      <c r="J15">
        <f>IF($B15="NO","NA",IF(I15="","",MIN(I15,$B$6)))</f>
        <v/>
      </c>
      <c r="K15" t="inlineStr">
        <is>
          <t>AI: left for a person. Step 2 found no evidence (Insufficient Evidence).</t>
        </is>
      </c>
    </row>
    <row r="16">
      <c r="A16" t="inlineStr">
        <is>
          <t>Bengaluru – BMRCL</t>
        </is>
      </c>
      <c r="B16" t="inlineStr">
        <is>
          <t>YES</t>
        </is>
      </c>
      <c r="I16" s="7" t="n"/>
      <c r="J16">
        <f>IF($B16="NO","NA",IF(I16="","",MIN(I16,$B$6)))</f>
        <v/>
      </c>
      <c r="K16" t="inlineStr">
        <is>
          <t>AI: left for a person. Step 2 found no evidence (Insufficient Evidence).</t>
        </is>
      </c>
    </row>
    <row r="17">
      <c r="A17" t="inlineStr">
        <is>
          <t>Bengaluru – BMRDA</t>
        </is>
      </c>
      <c r="B17" t="inlineStr">
        <is>
          <t>YES</t>
        </is>
      </c>
      <c r="I17" s="7" t="n"/>
      <c r="J17">
        <f>IF($B17="NO","NA",IF(I17="","",MIN(I17,$B$6)))</f>
        <v/>
      </c>
      <c r="K17" t="inlineStr">
        <is>
          <t>AI: left for a person. Step 2 found no evidence (Insufficient Evidence). Source needed: A saved copy of BMRDA's budget page (the 'ಆಯವ್ಯಯ' page under Budget and Annual Reports) and the budget document itself for FY 2026-27 or FY 2025-26. It needs to show the FY covered and the actual file type (XLS/XLSX/CSV/ODS/structured HTML vs text PDF vs scanned PDF). If BMRDA does not publish it, the approved budget may be in papers laid before the Karnataka Legislature or held by the Urban Development Department.</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1</formula2>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DPG5b</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1</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I13" s="7" t="n"/>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I15" s="7" t="n"/>
      <c r="J15">
        <f>IF($B15="NO","NA",IF(I15="","",MIN(I15,$B$6)))</f>
        <v/>
      </c>
      <c r="K15" t="inlineStr">
        <is>
          <t>AI: left for a person. Step 2 found no evidence (Insufficient Evidence).</t>
        </is>
      </c>
    </row>
    <row r="16">
      <c r="A16" t="inlineStr">
        <is>
          <t>Bengaluru – BMRCL</t>
        </is>
      </c>
      <c r="B16" t="inlineStr">
        <is>
          <t>YES</t>
        </is>
      </c>
      <c r="C16" t="inlineStr">
        <is>
          <t>BMRCL Annual Report 2020-21 (Board's Report, Independent Auditor's Report, CAG comments, audited Balance Sheet, P&amp;L and Cash Flow for FY 2020-21), laid before the Karnataka Legislative Council [BMRCL-01]</t>
        </is>
      </c>
      <c r="D16" t="inlineStr">
        <is>
          <t>Notice of AGM; Independent Auditor's Report; Financial Statements (Balance Sheet, Statement of Profit and Loss, Cash Flow) for FY 2020-21</t>
        </is>
      </c>
      <c r="E16" t="inlineStr">
        <is>
          <t>Ordinary Business item 1 (Notice of AGM, p.4 of report / PDF p.6); Auditor's Report dated 24-08-2021; C&amp;AG comments dated 22 October 2021</t>
        </is>
      </c>
      <c r="G16" t="inlineStr">
        <is>
          <t>6</t>
        </is>
      </c>
      <c r="H16" t="inlineStr">
        <is>
          <t>https://kla.kar.nic.in/council/house/Paperlaid/146/33.pdf</t>
        </is>
      </c>
      <c r="I16" s="7" t="n">
        <v>0</v>
      </c>
      <c r="J16">
        <f>IF($B16="NO","NA",IF(I16="","",MIN(I16,$B$6)))</f>
        <v/>
      </c>
      <c r="K16" t="inlineStr">
        <is>
          <t>AI: left for a person. Step 2 found no evidence (Insufficient Evidence).</t>
        </is>
      </c>
    </row>
    <row r="17">
      <c r="A17" t="inlineStr">
        <is>
          <t>Bengaluru – BMRDA</t>
        </is>
      </c>
      <c r="B17" t="inlineStr">
        <is>
          <t>YES</t>
        </is>
      </c>
      <c r="I17" s="7" t="n"/>
      <c r="J17">
        <f>IF($B17="NO","NA",IF(I17="","",MIN(I17,$B$6)))</f>
        <v/>
      </c>
      <c r="K17" t="inlineStr">
        <is>
          <t>AI: left for a person. Step 2 found no evidence (Insufficient Evidence). Source needed: Saved copies of three things: (1) BMRDA's 'Budget and Annual Reports' page, listing every year published; (2) the latest annual report or financial statement PDF, showing whether audited accounts and the auditor's certificate are included, which FY is covered, and the file type (text PDF, scanned PDF, XLS/CSV); (3) if BMRDA does not publish them, audit reports on BMRDA accounts for FY 2024-25 or FY 2025-26 from the Karnataka audit authority (CAG or State Accounts/Local Fund Audit), or papers laid before the Karnataka Legislature.</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1</formula2>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DPG5c</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1</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I13" s="7" t="n"/>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I15" s="7" t="n"/>
      <c r="J15">
        <f>IF($B15="NO","NA",IF(I15="","",MIN(I15,$B$6)))</f>
        <v/>
      </c>
      <c r="K15" t="inlineStr">
        <is>
          <t>AI: left for a person. Step 2 found no evidence (Insufficient Evidence).</t>
        </is>
      </c>
    </row>
    <row r="16">
      <c r="A16" t="inlineStr">
        <is>
          <t>Bengaluru – BMRCL</t>
        </is>
      </c>
      <c r="B16" t="inlineStr">
        <is>
          <t>YES</t>
        </is>
      </c>
      <c r="I16" s="7" t="n"/>
      <c r="J16">
        <f>IF($B16="NO","NA",IF(I16="","",MIN(I16,$B$6)))</f>
        <v/>
      </c>
      <c r="K16" t="inlineStr">
        <is>
          <t>AI: left for a person. Step 2 found no evidence (Insufficient Evidence).</t>
        </is>
      </c>
    </row>
    <row r="17">
      <c r="A17" t="inlineStr">
        <is>
          <t>Bengaluru – BMRDA</t>
        </is>
      </c>
      <c r="B17" t="inlineStr">
        <is>
          <t>YES</t>
        </is>
      </c>
      <c r="C17" t="inlineStr">
        <is>
          <t>Home - Bangalore Metropolitan Region Development Authority (BMRDA) (English home page) [BMRDA-02]</t>
        </is>
      </c>
      <c r="D17" t="inlineStr">
        <is>
          <t>Official BMRDA website, English home page</t>
        </is>
      </c>
      <c r="E17" t="inlineStr">
        <is>
          <t>Department Documents menu &gt; Budget and Annual Reports</t>
        </is>
      </c>
      <c r="F17" t="inlineStr">
        <is>
          <t>Annual Report link (file '2023-24 Anual Report.pdf')</t>
        </is>
      </c>
      <c r="H17" t="inlineStr">
        <is>
          <t>https://bmrda.karnataka.gov.in/english</t>
        </is>
      </c>
      <c r="I17" s="7" t="n"/>
      <c r="J17">
        <f>IF($B17="NO","NA",IF(I17="","",MIN(I17,$B$6)))</f>
        <v/>
      </c>
      <c r="K17" t="inlineStr">
        <is>
          <t>AI: left for a person. Step 2 found no evidence (Insufficient Evidence). Source needed: Three things are needed: (1) a saved, dated copy of BMRDA's Budget and Annual Reports listing page, showing every annual report posted and its FY, including whether a 2024-25 or 2025-26 report exists; (2) the latest annual report PDF itself, opened and saved, to confirm its FY and whether the text is searchable or a scanned image; (3) optionally, the Karnataka Legislature papers-laid record of BMRDA annual reports, to fix which report was 'latest due'.</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1</formula2>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DPG5d</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1</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I13" s="7" t="n"/>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I15" s="7" t="n"/>
      <c r="J15">
        <f>IF($B15="NO","NA",IF(I15="","",MIN(I15,$B$6)))</f>
        <v/>
      </c>
      <c r="K15" t="inlineStr">
        <is>
          <t>AI: left for a person. Step 2 found no evidence (Insufficient Evidence).</t>
        </is>
      </c>
    </row>
    <row r="16">
      <c r="A16" t="inlineStr">
        <is>
          <t>Bengaluru – BMRCL</t>
        </is>
      </c>
      <c r="B16" t="inlineStr">
        <is>
          <t>YES</t>
        </is>
      </c>
      <c r="I16" s="7" t="n"/>
      <c r="J16">
        <f>IF($B16="NO","NA",IF(I16="","",MIN(I16,$B$6)))</f>
        <v/>
      </c>
      <c r="K16" t="inlineStr">
        <is>
          <t>AI: left for a person. Step 2 found no evidence (Insufficient Evidence).</t>
        </is>
      </c>
    </row>
    <row r="17">
      <c r="A17" t="inlineStr">
        <is>
          <t>Bengaluru – BMRDA</t>
        </is>
      </c>
      <c r="B17" t="inlineStr">
        <is>
          <t>YES</t>
        </is>
      </c>
      <c r="I17" s="7" t="n"/>
      <c r="J17">
        <f>IF($B17="NO","NA",IF(I17="","",MIN(I17,$B$6)))</f>
        <v/>
      </c>
      <c r="K17" t="inlineStr">
        <is>
          <t>AI: left for a person. Step 2 found no evidence (Insufficient Evidence). Source needed: Needed: (1) a capture of BMRDA's website sitemap and of any Authority/board meeting page, showing whether minutes or proceedings of BMRDA Authority meetings (under the BMRDA Act, 1985) are posted, with the meeting dates; (2) the RTI s.4(1)(b) proactive disclosure PDF, which may list or link meeting records; (3) the latest Annual Report (2023-24 or later), which may report board meetings held. For any minutes found, record the meeting date/FY and the file type (searchable PDF, HTML, DOC/DOCX or scanned image). Add dated screenshots.</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1</formula2>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DPG5f</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1</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I13" s="7" t="n"/>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I15" s="7" t="n"/>
      <c r="J15">
        <f>IF($B15="NO","NA",IF(I15="","",MIN(I15,$B$6)))</f>
        <v/>
      </c>
      <c r="K15" t="inlineStr">
        <is>
          <t>AI: left for a person. Step 2 found no evidence (Insufficient Evidence).</t>
        </is>
      </c>
    </row>
    <row r="16">
      <c r="A16" t="inlineStr">
        <is>
          <t>Bengaluru – BMRCL</t>
        </is>
      </c>
      <c r="B16" t="inlineStr">
        <is>
          <t>YES</t>
        </is>
      </c>
      <c r="I16" s="7" t="n"/>
      <c r="J16">
        <f>IF($B16="NO","NA",IF(I16="","",MIN(I16,$B$6)))</f>
        <v/>
      </c>
      <c r="K16" t="inlineStr">
        <is>
          <t>AI: left for a person. Step 2 found no evidence (Insufficient Evidence).</t>
        </is>
      </c>
    </row>
    <row r="17">
      <c r="A17" t="inlineStr">
        <is>
          <t>Bengaluru – BMRDA</t>
        </is>
      </c>
      <c r="B17" t="inlineStr">
        <is>
          <t>YES</t>
        </is>
      </c>
      <c r="C17" t="inlineStr">
        <is>
          <t>Bangalore Metropolitan Region Development Authority — official website [BMRDA-01]</t>
        </is>
      </c>
      <c r="D17" t="inlineStr">
        <is>
          <t>BMRDA official website: Contact Us page</t>
        </is>
      </c>
      <c r="E17" t="inlineStr">
        <is>
          <t>Staff directory listing name, designation and office number for each post</t>
        </is>
      </c>
      <c r="H17" t="inlineStr">
        <is>
          <t>https://bmrda.karnataka.gov.in/page/Contact+Us/en</t>
        </is>
      </c>
      <c r="I17" s="7" t="n">
        <v>1</v>
      </c>
      <c r="J17">
        <f>IF($B17="NO","NA",IF(I17="","",MIN(I17,$B$6)))</f>
        <v/>
      </c>
      <c r="K17" t="inlineStr">
        <is>
          <t>AI: left for a person. Step 2 found no evidence (Insufficient Evidence). Source needed: A saved, dated copy of BMRDA's organisation structure document (ORGNkannada.pdf) showing its date or FY and whether its text can be searched (or whether it is image-only or scanned). Alternatively, BMRDA's current RTI section 4(1)(b) disclosure (directory of officers and employees with designations) or an HTML staff/contact directory on the BMRDA website, dated within FY 2025-26 or 2026-27.</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1</formula2>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DPG5g</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1</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I13" s="7" t="n"/>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I15" s="7" t="n"/>
      <c r="J15">
        <f>IF($B15="NO","NA",IF(I15="","",MIN(I15,$B$6)))</f>
        <v/>
      </c>
      <c r="K15" t="inlineStr">
        <is>
          <t>AI: left for a person. Step 2 found no evidence (Insufficient Evidence).</t>
        </is>
      </c>
    </row>
    <row r="16">
      <c r="A16" t="inlineStr">
        <is>
          <t>Bengaluru – BMRCL</t>
        </is>
      </c>
      <c r="B16" t="inlineStr">
        <is>
          <t>YES</t>
        </is>
      </c>
      <c r="I16" s="7" t="n"/>
      <c r="J16">
        <f>IF($B16="NO","NA",IF(I16="","",MIN(I16,$B$6)))</f>
        <v/>
      </c>
      <c r="K16" t="inlineStr">
        <is>
          <t>AI: left for a person. Step 2 found no evidence (Insufficient Evidence).</t>
        </is>
      </c>
    </row>
    <row r="17">
      <c r="A17" t="inlineStr">
        <is>
          <t>Bengaluru – BMRDA</t>
        </is>
      </c>
      <c r="B17" t="inlineStr">
        <is>
          <t>YES</t>
        </is>
      </c>
      <c r="C17" t="inlineStr">
        <is>
          <t>Home - Bangalore Metropolitan Region Development Authority (BMRDA) (English home page) [BMRDA-02]</t>
        </is>
      </c>
      <c r="D17" t="inlineStr">
        <is>
          <t>Official BMRDA English homepage, 'Department Documents' section</t>
        </is>
      </c>
      <c r="E17" t="inlineStr">
        <is>
          <t>Notifications &gt; Proposed Draft Mobility Plan (links for 9 Local Planning Authorities); also 'GBIT BROCHURE', 'Structure Plan', 'Reports'</t>
        </is>
      </c>
      <c r="H17" t="inlineStr">
        <is>
          <t>https://bmrda.karnataka.gov.in/english</t>
        </is>
      </c>
      <c r="I17" s="7" t="n"/>
      <c r="J17">
        <f>IF($B17="NO","NA",IF(I17="","",MIN(I17,$B$6)))</f>
        <v/>
      </c>
      <c r="K17" t="inlineStr">
        <is>
          <t>AI: left for a person. Step 2 found no evidence (Insufficient Evidence). Source needed: Saved, opened copies of: (a) BMRDA's current major plan documents (Structure Plan report, Land Utilization Plan 2031 page, Transport Networks 2031 page, the LPA draft mobility plans), showing their publication or approval date and whether they are text-searchable or scanned/image-only; (b) any BMRDA page, table or downloadable list of ongoing projects (for example GBIT or road projects) dated FY 2025-26 or FY 2026-27; (c) the latest BMRDA annual report (FY 2024-25 or 2025-26) if it lists ongoing projects.</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1</formula2>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DPG5h</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1</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I13" s="7" t="n"/>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I15" s="7" t="n"/>
      <c r="J15">
        <f>IF($B15="NO","NA",IF(I15="","",MIN(I15,$B$6)))</f>
        <v/>
      </c>
      <c r="K15" t="inlineStr">
        <is>
          <t>AI: left for a person. Step 2 found no evidence (Insufficient Evidence).</t>
        </is>
      </c>
    </row>
    <row r="16">
      <c r="A16" t="inlineStr">
        <is>
          <t>Bengaluru – BMRCL</t>
        </is>
      </c>
      <c r="B16" t="inlineStr">
        <is>
          <t>YES</t>
        </is>
      </c>
      <c r="I16" s="7" t="n"/>
      <c r="J16">
        <f>IF($B16="NO","NA",IF(I16="","",MIN(I16,$B$6)))</f>
        <v/>
      </c>
      <c r="K16" t="inlineStr">
        <is>
          <t>AI: left for a person. Step 2 found no evidence (Insufficient Evidence).</t>
        </is>
      </c>
    </row>
    <row r="17">
      <c r="A17" t="inlineStr">
        <is>
          <t>Bengaluru – BMRDA</t>
        </is>
      </c>
      <c r="B17" t="inlineStr">
        <is>
          <t>YES</t>
        </is>
      </c>
      <c r="C17" t="inlineStr">
        <is>
          <t>Home - Bangalore Metropolitan Region Development Authority (BMRDA) (English home page) [BMRDA-02]</t>
        </is>
      </c>
      <c r="D17" t="inlineStr">
        <is>
          <t>BMRDA official website, English home page</t>
        </is>
      </c>
      <c r="E17" t="inlineStr">
        <is>
          <t>Department Documents &gt; Budget and Annual Reports</t>
        </is>
      </c>
      <c r="F17" t="inlineStr">
        <is>
          <t>Annual Report link (file name '2023-24 Anual Report.pdf')</t>
        </is>
      </c>
      <c r="H17" t="inlineStr">
        <is>
          <t>https://bmrda.karnataka.gov.in/english</t>
        </is>
      </c>
      <c r="I17" s="7" t="n">
        <v>0</v>
      </c>
      <c r="J17">
        <f>IF($B17="NO","NA",IF(I17="","",MIN(I17,$B$6)))</f>
        <v/>
      </c>
      <c r="K17" t="inlineStr">
        <is>
          <t>AI: left for a person. Step 2 found no evidence (Insufficient Evidence). Source needed: Saved, dated copies of: (1) BMRDA's Budget and Annual Reports page and the latest annual report or performance report, ideally for FY 2025-26 or 2026-27, with any service-level or performance indicators; (2) the APA page and the 2020-23 local planning authority pages, to see what they contain; (3) any BMRDA performance dashboard or downloadable data (CSV/XLS/ODS) on its own site or on Karnataka's open data portal. For each, record the FY covered and the actual file type (structured data, text PDF or scanned PDF).</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1</formula2>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DPG5i</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1</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I13" s="7" t="n"/>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I15" s="7" t="n"/>
      <c r="J15">
        <f>IF($B15="NO","NA",IF(I15="","",MIN(I15,$B$6)))</f>
        <v/>
      </c>
      <c r="K15" t="inlineStr">
        <is>
          <t>AI: left for a person. Step 2 found no evidence (Insufficient Evidence).</t>
        </is>
      </c>
    </row>
    <row r="16">
      <c r="A16" t="inlineStr">
        <is>
          <t>Bengaluru – BMRCL</t>
        </is>
      </c>
      <c r="B16" t="inlineStr">
        <is>
          <t>YES</t>
        </is>
      </c>
      <c r="I16" s="7" t="n"/>
      <c r="J16">
        <f>IF($B16="NO","NA",IF(I16="","",MIN(I16,$B$6)))</f>
        <v/>
      </c>
      <c r="K16" t="inlineStr">
        <is>
          <t>AI: left for a person. Step 2 found no evidence (Insufficient Evidence).</t>
        </is>
      </c>
    </row>
    <row r="17">
      <c r="A17" t="inlineStr">
        <is>
          <t>Bengaluru – BMRDA</t>
        </is>
      </c>
      <c r="B17" t="inlineStr">
        <is>
          <t>YES</t>
        </is>
      </c>
      <c r="C17" t="inlineStr">
        <is>
          <t>Bengaluru Metropolitan Region Development Authority — official website [BMRDA-01]</t>
        </is>
      </c>
      <c r="D17" t="inlineStr">
        <is>
          <t>BMRDA official website, Kannada homepage</t>
        </is>
      </c>
      <c r="E17" t="inlineStr">
        <is>
          <t>ಪರಿಚಯ (About) menu</t>
        </is>
      </c>
      <c r="F17" t="inlineStr">
        <is>
          <t>Link labelled 'ನಾಗರಿಕ ಸನ್ನದ್ದು' (Citizen Charter), next to ಪರಿಚಯ / ಕಾರ್ಯಗಳು / ಸಂಸ್ಥೆಯ ರಚನೆ</t>
        </is>
      </c>
      <c r="H17" t="inlineStr">
        <is>
          <t>https://bmrda.karnataka.gov.in/</t>
        </is>
      </c>
      <c r="I17" s="7" t="n"/>
      <c r="J17">
        <f>IF($B17="NO","NA",IF(I17="","",MIN(I17,$B$6)))</f>
        <v/>
      </c>
      <c r="K17" t="inlineStr">
        <is>
          <t>AI (low confidence), from Step 2 answer (Partially Answered) and BMRDA-01: I left the Score blank. This is a VERIFICATION-LIMIT, not a negative finding.
What I checked: I read BMRDA-01, the only source in the Citation Sheet for this agency. I also searched the whole sheet for 'citizen charter' and found no other source.
What the source shows: The BMRDA homepage (© 2026) has a Citizen Charter link ('ನಾಗರಿಕ ಸನ್ನದ್ದು') in its ಪರಿಚಯ (About) menu. The link points to a PDF named 'CITIZEN CHARTER-2020-21 ka.pdf'. This agrees with the Step 2 answer.
Why I could not score:
- The charter PDF itself is not in the Citation Sheet, so its content was never read.
- Availability and currency (0.5): a link proves the charter is listed, not that the file opens or is still in force. The rubric says a charter that predates the previous FY can still count if it remains in force. Its date (2020-21) comes only from the file name and is not verified.
- Format (0.5): the PDF was not opened, so I cannot tell whether it is searchable text or a scanned image.
- No English version appeared in the Citation Sheet.
I could not score 0 either. The Citation Sheet does not show that the charter is missing, so this does not meet the affirmative-absence standard.
What a person needs to do:
(a) Open the charter PDF and record its date. Check whether it is still in force and whether a newer charter exists.
(b) Check that the text can be selected or searched, and is not only a scanned image.
(c) Capture a dated screenshot, as the question bank's evidence requirement asks.
(d) Then score: 0.5 for availability/currency, plus 0.5 for searchable format.
Quote: "[https://bmrda.karnataka.gov.in/storage/pdf-files/CITIZEN CHARTER-2020-21 ka.pdf] ನಾಗರಿಕ ಸನ್ನದ್ದು"
"Score" left blank: the Citation Sheet doesn't decide it.</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1</formula2>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DPG5j</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1</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I13" s="7" t="n"/>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I15" s="7" t="n"/>
      <c r="J15">
        <f>IF($B15="NO","NA",IF(I15="","",MIN(I15,$B$6)))</f>
        <v/>
      </c>
      <c r="K15" t="inlineStr">
        <is>
          <t>AI: left for a person. Step 2 found no evidence (Insufficient Evidence).</t>
        </is>
      </c>
    </row>
    <row r="16">
      <c r="A16" t="inlineStr">
        <is>
          <t>Bengaluru – BMRCL</t>
        </is>
      </c>
      <c r="B16" t="inlineStr">
        <is>
          <t>YES</t>
        </is>
      </c>
      <c r="I16" s="7" t="n"/>
      <c r="J16">
        <f>IF($B16="NO","NA",IF(I16="","",MIN(I16,$B$6)))</f>
        <v/>
      </c>
      <c r="K16" t="inlineStr">
        <is>
          <t>AI: left for a person. Step 2 found no evidence (Insufficient Evidence).</t>
        </is>
      </c>
    </row>
    <row r="17">
      <c r="A17" t="inlineStr">
        <is>
          <t>Bengaluru – BMRDA</t>
        </is>
      </c>
      <c r="B17" t="inlineStr">
        <is>
          <t>YES</t>
        </is>
      </c>
      <c r="C17" t="inlineStr">
        <is>
          <t>Home - Bangalore Metropolitan Region Development Authority (BMRDA) (English home page) [BMRDA-02]</t>
        </is>
      </c>
      <c r="D17" t="inlineStr">
        <is>
          <t>BMRDA official website – English home page (top menu and News and Events)</t>
        </is>
      </c>
      <c r="E17" t="inlineStr">
        <is>
          <t>RTI menu links (Right To Information, Online R T I, RTI 4(1) A, RTI 4(1) B, RTI 26 (3) (B)) and the news item 'RTI ONLINE SERVICES ARE AVAILABLE FOR BMRDA'</t>
        </is>
      </c>
      <c r="H17" t="inlineStr">
        <is>
          <t>https://bmrda.karnataka.gov.in/english</t>
        </is>
      </c>
      <c r="I17" s="7" t="n"/>
      <c r="J17">
        <f>IF($B17="NO","NA",IF(I17="","",MIN(I17,$B$6)))</f>
        <v/>
      </c>
      <c r="K17" t="inlineStr">
        <is>
          <t>AI: left for a person. Step 2 found no evidence (Insufficient Evidence). Source needed: Saved, dated copies of: (a) BMRDA's own RTI web page, showing the current PIO, APIO and appellate authority names, designations and contact details plus the filing procedure and fees; (b) BMRDA's Section 4(1)(b) proactive-disclosure document listing the PIOs and APIOs, with its file type recorded (searchable or scanned PDF); (c) the Contact Us page, to check that the named office-holders are still current (e.g. against the Metropolitan Commissioner named on the homepage).</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1</formula2>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DPG5k</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1</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I13" s="7" t="n"/>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I15" s="7" t="n"/>
      <c r="J15">
        <f>IF($B15="NO","NA",IF(I15="","",MIN(I15,$B$6)))</f>
        <v/>
      </c>
      <c r="K15" t="inlineStr">
        <is>
          <t>AI: left for a person. Step 2 found no evidence (Insufficient Evidence).</t>
        </is>
      </c>
    </row>
    <row r="16">
      <c r="A16" t="inlineStr">
        <is>
          <t>Bengaluru – BMRCL</t>
        </is>
      </c>
      <c r="B16" t="inlineStr">
        <is>
          <t>YES</t>
        </is>
      </c>
      <c r="I16" s="7" t="n"/>
      <c r="J16">
        <f>IF($B16="NO","NA",IF(I16="","",MIN(I16,$B$6)))</f>
        <v/>
      </c>
      <c r="K16" t="inlineStr">
        <is>
          <t>AI: left for a person. Step 2 found no evidence (Insufficient Evidence).</t>
        </is>
      </c>
    </row>
    <row r="17">
      <c r="A17" t="inlineStr">
        <is>
          <t>Bengaluru – BMRDA</t>
        </is>
      </c>
      <c r="B17" t="inlineStr">
        <is>
          <t>YES</t>
        </is>
      </c>
      <c r="I17" s="7" t="n"/>
      <c r="J17">
        <f>IF($B17="NO","NA",IF(I17="","",MIN(I17,$B$6)))</f>
        <v/>
      </c>
      <c r="K17" t="inlineStr">
        <is>
          <t>AI: left for a person. Step 2 found no evidence (Insufficient Evidence). Source needed: Needed: (1) a saved, dated copy of the Karnataka e-procurement portal's tender search and awarded-contract listings filtered for BMRDA (Bengaluru Metropolitan Region Development Authority), showing the latest tender or award date and whether results are a searchable table or downloadable dataset; (2) saved copies of any tenders or procurement page on BMRDA's own site, including its Notifications, Circulars and sitemap pages, showing the latest dated tender or award notice and its file format (HTML table, XLS/CSV, text PDF or scanned PDF).</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1</formula2>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DPG6a</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C13" t="inlineStr">
        <is>
          <t>THE BANGALORE WATER SUPPLY AND SEWERAGE ACT, 1964 (FAOLEX PDF) [BWSSB-04]</t>
        </is>
      </c>
      <c r="D13" t="inlineStr">
        <is>
          <t>Chapter IV (Water Supply), applied to Chapter V (Sewers and Sewerage) by Section 82(2)</t>
        </is>
      </c>
      <c r="E13" t="inlineStr">
        <is>
          <t>Section 59(7)</t>
        </is>
      </c>
      <c r="F13" t="inlineStr">
        <is>
          <t>Section 59(7)(c), read with Section 82(2)</t>
        </is>
      </c>
      <c r="G13" t="inlineStr">
        <is>
          <t>26</t>
        </is>
      </c>
      <c r="H13" t="inlineStr">
        <is>
          <t>https://faolex.fao.org/docs/pdf/ind201320.pdf</t>
        </is>
      </c>
      <c r="I13" s="7" t="n">
        <v>5</v>
      </c>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C15" t="inlineStr">
        <is>
          <t>The Bangalore Development Authority Act, 1976 (Karnataka Act 12 of 1976) – consolidated text with amendments, PRS Legislative Research [BDA-02]</t>
        </is>
      </c>
      <c r="D15" t="inlineStr">
        <is>
          <t>Chapter VIII (Miscellaneous), per consolidated BDA Act, 1976</t>
        </is>
      </c>
      <c r="E15" t="inlineStr">
        <is>
          <t>Section 62A (Appeal against assessment etc.), inserted by Act 6 of 1993; also checked Section 63 (Revision)</t>
        </is>
      </c>
      <c r="F15" t="inlineStr">
        <is>
          <t>Section 62A(1)</t>
        </is>
      </c>
      <c r="G15" t="inlineStr">
        <is>
          <t>50</t>
        </is>
      </c>
      <c r="H15" t="inlineStr">
        <is>
          <t>https://prsindia.org/files/bills_acts/acts_states/karnataka/1976/1976Karnataka12.pdf</t>
        </is>
      </c>
      <c r="I15" s="7" t="n">
        <v>0</v>
      </c>
      <c r="J15">
        <f>IF($B15="NO","NA",IF(I15="","",MIN(I15,$B$6)))</f>
        <v/>
      </c>
      <c r="K15" t="inlineStr">
        <is>
          <t>AI: left for a person. Step 2 found no evidence (Insufficient Evidence).</t>
        </is>
      </c>
    </row>
    <row r="16">
      <c r="A16" t="inlineStr">
        <is>
          <t>Bengaluru – BMRCL</t>
        </is>
      </c>
      <c r="B16" t="inlineStr">
        <is>
          <t>YES</t>
        </is>
      </c>
      <c r="I16" s="7" t="n"/>
      <c r="J16">
        <f>IF($B16="NO","NA",IF(I16="","",MIN(I16,$B$6)))</f>
        <v/>
      </c>
      <c r="K16" t="inlineStr">
        <is>
          <t>AI: left for a person. Step 2 found no evidence (Insufficient Evidence).</t>
        </is>
      </c>
    </row>
    <row r="17">
      <c r="A17" t="inlineStr">
        <is>
          <t>Bengaluru – BMRDA</t>
        </is>
      </c>
      <c r="B17" t="inlineStr">
        <is>
          <t>YES</t>
        </is>
      </c>
      <c r="C17" t="inlineStr">
        <is>
          <t>The Bangalore Metropolitan Region Development Authority Act, 1985 (Karnataka Act 39 of 1985), full text with amendments (PDF hosted by India Water Portal) [BMRDA-08]</t>
        </is>
      </c>
      <c r="D17" t="inlineStr">
        <is>
          <t>Chapter III (powers and functions of the Authority; s.10 is just before Chapter IV, Finance, Accounts and Audit)</t>
        </is>
      </c>
      <c r="E17" t="inlineStr">
        <is>
          <t>Section 10(5); see also Section 26(3)</t>
        </is>
      </c>
      <c r="F17" t="inlineStr">
        <is>
          <t>s.10(5): appeal to the State Government against BMRDA's decision on development permission under s.10(4)</t>
        </is>
      </c>
      <c r="G17" t="inlineStr">
        <is>
          <t>11</t>
        </is>
      </c>
      <c r="H17" t="inlineStr">
        <is>
          <t>https://prod-qt-images.s3.amazonaws.com/indiawaterportal/import/sites/default/files/iwp2/Bangalore_Metropolitan_Region_Development_Authority_Act_Bangalore_Metropolitan_Region_Development_Authority_1985.pdf</t>
        </is>
      </c>
      <c r="I17" s="7" t="n"/>
      <c r="J17">
        <f>IF($B17="NO","NA",IF(I17="","",MIN(I17,$B$6)))</f>
        <v/>
      </c>
      <c r="K17" t="inlineStr">
        <is>
          <t>AI: left for a person. Step 2 found no evidence (Insufficient Evidence). Source needed: Any one of these would answer the question: (1) the text of the BMRDA Citizen Charter (latest version, ideally newer than 2020-21) showing any complaint or grievance channel and the officer responsible; (2) the current consolidated text of the BMRDA Act 1985 and its Rules and Regulations (the 1996 Regulations and the 1999/2000 service regulations), checked for any grievance or complaint clause; (3) the schedule of Karnataka's service-guarantee law (Sakala) or the notification listing BMRDA services, with its appeal or redress provisions.</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5</formula2>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DPG6b</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I13" s="7" t="n"/>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I15" s="7" t="n"/>
      <c r="J15">
        <f>IF($B15="NO","NA",IF(I15="","",MIN(I15,$B$6)))</f>
        <v/>
      </c>
      <c r="K15" t="inlineStr">
        <is>
          <t>AI: left for a person. Step 2 found no evidence (Insufficient Evidence).</t>
        </is>
      </c>
    </row>
    <row r="16">
      <c r="A16" t="inlineStr">
        <is>
          <t>Bengaluru – BMRCL</t>
        </is>
      </c>
      <c r="B16" t="inlineStr">
        <is>
          <t>YES</t>
        </is>
      </c>
      <c r="I16" s="7" t="n"/>
      <c r="J16">
        <f>IF($B16="NO","NA",IF(I16="","",MIN(I16,$B$6)))</f>
        <v/>
      </c>
      <c r="K16" t="inlineStr">
        <is>
          <t>AI: left for a person. Step 2 found no evidence (Insufficient Evidence).</t>
        </is>
      </c>
    </row>
    <row r="17">
      <c r="A17" t="inlineStr">
        <is>
          <t>Bengaluru – BMRDA</t>
        </is>
      </c>
      <c r="B17" t="inlineStr">
        <is>
          <t>YES</t>
        </is>
      </c>
      <c r="I17" s="7" t="n"/>
      <c r="J17">
        <f>IF($B17="NO","NA",IF(I17="","",MIN(I17,$B$6)))</f>
        <v/>
      </c>
      <c r="K17" t="inlineStr">
        <is>
          <t>AI: left for a person. Step 2 found no evidence (Insufficient Evidence). Source needed: Saved, dated copies of: (a) BMRDA's Contact Us page showing any grievance phone number, grievance email or designated grievance officer; (b) BMRDA's Feedback page, tested to see whether it accepts grievances and gives a reference number; (c) the current Citizen Charter (the linked one is 2020-21), showing in-person grievance arrangements and redress timelines; (d) the Janaspandana/IPGRS (or e-Spandana) portal page, captured with a screenshot showing BMRDA can be selected as the department or office and that complaints are acknowledged and tracked; (e) any BMRDA office order or notice designating a grievance officer or help desk.</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5</formula2>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DPG7a</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C13" t="inlineStr">
        <is>
          <t>THE BANGALORE WATER SUPPLY AND SEWERAGE ACT, 1964 (FAOLEX PDF) [BWSSB-04]</t>
        </is>
      </c>
      <c r="D13" t="inlineStr">
        <is>
          <t>Chapter II (Board, Consultative Committee and general duties)</t>
        </is>
      </c>
      <c r="E13" t="inlineStr">
        <is>
          <t>Section 15(2)(b)-(c) and proviso; Section 14</t>
        </is>
      </c>
      <c r="F13" t="inlineStr">
        <is>
          <t>s.15(2)(b), s.15(2)(c), proviso to s.15(2); s.14(1) and s.14(4)(i)</t>
        </is>
      </c>
      <c r="G13" t="inlineStr">
        <is>
          <t>13</t>
        </is>
      </c>
      <c r="H13" t="inlineStr">
        <is>
          <t>https://faolex.fao.org/docs/pdf/ind201320.pdf</t>
        </is>
      </c>
      <c r="I13" s="7" t="n">
        <v>0</v>
      </c>
      <c r="J13">
        <f>IF($B13="NO","NA",IF(I13="","",MIN(I13,$B$6)))</f>
        <v/>
      </c>
      <c r="K13" t="inlineStr">
        <is>
          <t>AI: left for a person. Step 2 found no evidence (Insufficient Evidence).</t>
        </is>
      </c>
    </row>
    <row r="14">
      <c r="A14" t="inlineStr">
        <is>
          <t>Bengaluru – BMTC</t>
        </is>
      </c>
      <c r="B14" t="inlineStr">
        <is>
          <t>YES</t>
        </is>
      </c>
      <c r="C14" t="inlineStr">
        <is>
          <t>The Bengaluru Metropolitan Land Transport Authority Act, 2022 (Karnataka Act No. 6 of 2023), full text (PRS Legislative Research copy of the official Act) [BMTC-23]</t>
        </is>
      </c>
      <c r="D14" t="inlineStr">
        <is>
          <t>Chapter V – Preparation of policies and Comprehensive Mobility Plan; Chapter VI – Sectoral and City Mobility Investment Program and Annual Implementation Plan</t>
        </is>
      </c>
      <c r="E14" t="inlineStr">
        <is>
          <t>Section 21(3) (with Sections 21(2)(d), 21(2)(l), 23, 24(b)-(e), 25(2) and 2(ff))</t>
        </is>
      </c>
      <c r="F14" t="inlineStr">
        <is>
          <t>Section 21(3): draft plan, objections and suggestions from any person, maximum two months; Section 23: same process for five-yearly CMP revision</t>
        </is>
      </c>
      <c r="G14" t="inlineStr">
        <is>
          <t>17</t>
        </is>
      </c>
      <c r="H14" t="inlineStr">
        <is>
          <t>https://prsindia.org/files/bills_acts/acts_states/karnataka/2023/Act6of2023Karnataka.pdf</t>
        </is>
      </c>
      <c r="I14" s="7" t="n">
        <v>2.5</v>
      </c>
      <c r="J14">
        <f>IF($B14="NO","NA",IF(I14="","",MIN(I14,$B$6)))</f>
        <v/>
      </c>
      <c r="K14" t="inlineStr">
        <is>
          <t>AI: left for a person. Step 2 found no evidence (Insufficient Evidence).</t>
        </is>
      </c>
    </row>
    <row r="15">
      <c r="A15" s="8" t="inlineStr">
        <is>
          <t>Bengaluru – BDA</t>
        </is>
      </c>
      <c r="B15" s="8" t="inlineStr">
        <is>
          <t>NO</t>
        </is>
      </c>
      <c r="C15" s="8" t="n"/>
      <c r="D15" s="8" t="n"/>
      <c r="E15" s="8" t="n"/>
      <c r="F15" s="8" t="n"/>
      <c r="G15" s="8" t="n"/>
      <c r="H15" s="8" t="n"/>
      <c r="I15" s="8" t="n"/>
      <c r="J15" s="8">
        <f>IF($B15="NO","NA",IF(I15="","",MIN(I15,$B$6)))</f>
        <v/>
      </c>
      <c r="K15" s="8" t="n"/>
    </row>
    <row r="16">
      <c r="A16" t="inlineStr">
        <is>
          <t>Bengaluru – BMRCL</t>
        </is>
      </c>
      <c r="B16" t="inlineStr">
        <is>
          <t>YES</t>
        </is>
      </c>
      <c r="C16" t="inlineStr">
        <is>
          <t>The Bengaluru Metropolitan Land Transport Authority Act, 2022 (Karnataka Act 6 of 2023) [BMRCL-35]</t>
        </is>
      </c>
      <c r="D16" t="inlineStr">
        <is>
          <t>Chapter V – Preparation of policies and Comprehensive Mobility Plan (also Chapter VI, s.24)</t>
        </is>
      </c>
      <c r="E16" t="inlineStr">
        <is>
          <t>Section 21(3), read with s.21(2)(d), s.21(2)(l), s.24 and s.19</t>
        </is>
      </c>
      <c r="F16" t="inlineStr">
        <is>
          <t>s.21(3): publish a draft plan and invite objections/suggestions from any person within a period of up to two months; mandatory 'shall'</t>
        </is>
      </c>
      <c r="G16" t="inlineStr">
        <is>
          <t>17</t>
        </is>
      </c>
      <c r="H16" t="inlineStr">
        <is>
          <t>https://prsindia.org/files/bills_acts/acts_states/karnataka/2023/Act6of2023Karnataka.pdf</t>
        </is>
      </c>
      <c r="I16" s="7" t="n">
        <v>2.5</v>
      </c>
      <c r="J16">
        <f>IF($B16="NO","NA",IF(I16="","",MIN(I16,$B$6)))</f>
        <v/>
      </c>
      <c r="K16" t="inlineStr">
        <is>
          <t>AI: left for a person. Step 2 found no evidence (Insufficient Evidence).</t>
        </is>
      </c>
    </row>
    <row r="17">
      <c r="A17" s="8" t="inlineStr">
        <is>
          <t>Bengaluru – BMRDA</t>
        </is>
      </c>
      <c r="B17" s="8" t="inlineStr">
        <is>
          <t>NO</t>
        </is>
      </c>
      <c r="C17" s="8" t="n"/>
      <c r="D17" s="8" t="n"/>
      <c r="E17" s="8" t="n"/>
      <c r="F17" s="8" t="n"/>
      <c r="G17" s="8" t="n"/>
      <c r="H17" s="8" t="n"/>
      <c r="I17" s="8" t="n"/>
      <c r="J17" s="8">
        <f>IF($B17="NO","NA",IF(I17="","",MIN(I17,$B$6)))</f>
        <v/>
      </c>
      <c r="K17" s="8" t="n"/>
    </row>
    <row r="18">
      <c r="A18" s="8" t="inlineStr">
        <is>
          <t>Surat – SUDA</t>
        </is>
      </c>
      <c r="B18" s="8" t="inlineStr">
        <is>
          <t>NO</t>
        </is>
      </c>
      <c r="C18" s="8" t="n"/>
      <c r="D18" s="8" t="n"/>
      <c r="E18" s="8" t="n"/>
      <c r="F18" s="8" t="n"/>
      <c r="G18" s="8" t="n"/>
      <c r="H18" s="8" t="n"/>
      <c r="I18" s="8" t="n"/>
      <c r="J18" s="8">
        <f>IF($B18="NO","NA",IF(I18="","",MIN(I18,$B$6)))</f>
        <v/>
      </c>
      <c r="K18" s="8" t="n"/>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5</formula2>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DPG7b</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C13" t="inlineStr">
        <is>
          <t>JICA – Bengaluru Water Supply and Sewerage Project (Phase 3) Final Report (sewerage / O&amp;M volume) [BWSSB-23]</t>
        </is>
      </c>
      <c r="D13" t="inlineStr">
        <is>
          <t>Chapter 14 Environmental and Social Considerations</t>
        </is>
      </c>
      <c r="E13" t="inlineStr">
        <is>
          <t>Section 14.12 Stakeholders' Meeting</t>
        </is>
      </c>
      <c r="F13" t="inlineStr">
        <is>
          <t>p. 14-100 / PDF page ~135 of the JICA Phase 3 Final Report (NJS Consultants, November 2017)</t>
        </is>
      </c>
      <c r="G13" t="inlineStr">
        <is>
          <t>135</t>
        </is>
      </c>
      <c r="H13" t="inlineStr">
        <is>
          <t>https://openjicareport.jica.go.jp/pdf/12300364_04.pdf</t>
        </is>
      </c>
      <c r="I13" s="7" t="n">
        <v>2.5</v>
      </c>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s="8" t="inlineStr">
        <is>
          <t>Bengaluru – BDA</t>
        </is>
      </c>
      <c r="B15" s="8" t="inlineStr">
        <is>
          <t>NO</t>
        </is>
      </c>
      <c r="C15" s="8" t="n"/>
      <c r="D15" s="8" t="n"/>
      <c r="E15" s="8" t="n"/>
      <c r="F15" s="8" t="n"/>
      <c r="G15" s="8" t="n"/>
      <c r="H15" s="8" t="n"/>
      <c r="I15" s="8" t="n"/>
      <c r="J15" s="8">
        <f>IF($B15="NO","NA",IF(I15="","",MIN(I15,$B$6)))</f>
        <v/>
      </c>
      <c r="K15" s="8" t="n"/>
    </row>
    <row r="16">
      <c r="A16" t="inlineStr">
        <is>
          <t>Bengaluru – BMRCL</t>
        </is>
      </c>
      <c r="B16" t="inlineStr">
        <is>
          <t>YES</t>
        </is>
      </c>
      <c r="C16" t="inlineStr">
        <is>
          <t>Environmental Impact Assessment – Gottigere–Nagavara Corridor (Line 6), Bangalore Metro Rail Project Phase II (EIB register) [BMRCL-21]</t>
        </is>
      </c>
      <c r="D16" t="inlineStr">
        <is>
          <t>G. Consultations, Participation and Information Disclosure</t>
        </is>
      </c>
      <c r="E16" t="inlineStr">
        <is>
          <t>1.2 Public Consultation, para 223 (with Table 28, paras 224-225 and Appendix 4)</t>
        </is>
      </c>
      <c r="F16" t="inlineStr">
        <is>
          <t>para 223</t>
        </is>
      </c>
      <c r="G16" t="inlineStr">
        <is>
          <t>66</t>
        </is>
      </c>
      <c r="H16" t="inlineStr">
        <is>
          <t>https://www.eib.org/attachments/registers/143756287.pdf</t>
        </is>
      </c>
      <c r="I16" s="7" t="n">
        <v>2.5</v>
      </c>
      <c r="J16">
        <f>IF($B16="NO","NA",IF(I16="","",MIN(I16,$B$6)))</f>
        <v/>
      </c>
      <c r="K16" t="inlineStr">
        <is>
          <t>AI: left for a person. Step 2 found no evidence (Insufficient Evidence).</t>
        </is>
      </c>
    </row>
    <row r="17">
      <c r="A17" s="8" t="inlineStr">
        <is>
          <t>Bengaluru – BMRDA</t>
        </is>
      </c>
      <c r="B17" s="8" t="inlineStr">
        <is>
          <t>NO</t>
        </is>
      </c>
      <c r="C17" s="8" t="n"/>
      <c r="D17" s="8" t="n"/>
      <c r="E17" s="8" t="n"/>
      <c r="F17" s="8" t="n"/>
      <c r="G17" s="8" t="n"/>
      <c r="H17" s="8" t="n"/>
      <c r="I17" s="8" t="n"/>
      <c r="J17" s="8">
        <f>IF($B17="NO","NA",IF(I17="","",MIN(I17,$B$6)))</f>
        <v/>
      </c>
      <c r="K17" s="8" t="n"/>
    </row>
    <row r="18">
      <c r="A18" s="8" t="inlineStr">
        <is>
          <t>Surat – SUDA</t>
        </is>
      </c>
      <c r="B18" s="8" t="inlineStr">
        <is>
          <t>NO</t>
        </is>
      </c>
      <c r="C18" s="8" t="n"/>
      <c r="D18" s="8" t="n"/>
      <c r="E18" s="8" t="n"/>
      <c r="F18" s="8" t="n"/>
      <c r="G18" s="8" t="n"/>
      <c r="H18" s="8" t="n"/>
      <c r="I18" s="8" t="n"/>
      <c r="J18" s="8">
        <f>IF($B18="NO","NA",IF(I18="","",MIN(I18,$B$6)))</f>
        <v/>
      </c>
      <c r="K18" s="8" t="n"/>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5</formula2>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SC1</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10</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I13" s="7" t="n"/>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I15" s="7" t="n"/>
      <c r="J15">
        <f>IF($B15="NO","NA",IF(I15="","",MIN(I15,$B$6)))</f>
        <v/>
      </c>
      <c r="K15" t="inlineStr">
        <is>
          <t>AI: left for a person. Step 2 found no evidence (Insufficient Evidence).</t>
        </is>
      </c>
    </row>
    <row r="16">
      <c r="A16" s="8" t="inlineStr">
        <is>
          <t>Bengaluru – BMRCL</t>
        </is>
      </c>
      <c r="B16" s="8" t="inlineStr">
        <is>
          <t>NO</t>
        </is>
      </c>
      <c r="C16" s="8" t="n"/>
      <c r="D16" s="8" t="n"/>
      <c r="E16" s="8" t="n"/>
      <c r="F16" s="8" t="n"/>
      <c r="G16" s="8" t="n"/>
      <c r="H16" s="8" t="n"/>
      <c r="I16" s="8" t="n"/>
      <c r="J16" s="8">
        <f>IF($B16="NO","NA",IF(I16="","",MIN(I16,$B$6)))</f>
        <v/>
      </c>
      <c r="K16" s="8" t="n"/>
    </row>
    <row r="17">
      <c r="A17" s="8" t="inlineStr">
        <is>
          <t>Bengaluru – BMRDA</t>
        </is>
      </c>
      <c r="B17" s="8" t="inlineStr">
        <is>
          <t>NO</t>
        </is>
      </c>
      <c r="C17" s="8" t="n"/>
      <c r="D17" s="8" t="n"/>
      <c r="E17" s="8" t="n"/>
      <c r="F17" s="8" t="n"/>
      <c r="G17" s="8" t="n"/>
      <c r="H17" s="8" t="n"/>
      <c r="I17" s="8" t="n"/>
      <c r="J17" s="8">
        <f>IF($B17="NO","NA",IF(I17="","",MIN(I17,$B$6)))</f>
        <v/>
      </c>
      <c r="K17" s="8" t="n"/>
    </row>
    <row r="18">
      <c r="A18" s="8" t="inlineStr">
        <is>
          <t>Surat – SUDA</t>
        </is>
      </c>
      <c r="B18" s="8" t="inlineStr">
        <is>
          <t>NO</t>
        </is>
      </c>
      <c r="C18" s="8" t="n"/>
      <c r="D18" s="8" t="n"/>
      <c r="E18" s="8" t="n"/>
      <c r="F18" s="8" t="n"/>
      <c r="G18" s="8" t="n"/>
      <c r="H18" s="8" t="n"/>
      <c r="I18" s="8" t="n"/>
      <c r="J18" s="8">
        <f>IF($B18="NO","NA",IF(I18="","",MIN(I18,$B$6)))</f>
        <v/>
      </c>
      <c r="K18" s="8" t="n"/>
    </row>
    <row r="19">
      <c r="A19" s="8" t="inlineStr">
        <is>
          <t>Surat – GMRC</t>
        </is>
      </c>
      <c r="B19" s="8" t="inlineStr">
        <is>
          <t>NO</t>
        </is>
      </c>
      <c r="C19" s="8" t="n"/>
      <c r="D19" s="8" t="n"/>
      <c r="E19" s="8" t="n"/>
      <c r="F19" s="8" t="n"/>
      <c r="G19" s="8" t="n"/>
      <c r="H19" s="8" t="n"/>
      <c r="I19" s="8" t="n"/>
      <c r="J19" s="8">
        <f>IF($B19="NO","NA",IF(I19="","",MIN(I19,$B$6)))</f>
        <v/>
      </c>
      <c r="K19" s="8" t="n"/>
    </row>
  </sheetData>
  <dataValidations count="1">
    <dataValidation sqref="I13:I19" showDropDown="0" showInputMessage="0" showErrorMessage="1" allowBlank="1" error="See the instruction above the 'Score' column." type="decimal" operator="between">
      <formula1>0</formula1>
      <formula2>10</formula2>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SC2</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10</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I13" s="7" t="n"/>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I15" s="7" t="n"/>
      <c r="J15">
        <f>IF($B15="NO","NA",IF(I15="","",MIN(I15,$B$6)))</f>
        <v/>
      </c>
      <c r="K15" t="inlineStr">
        <is>
          <t>AI: left for a person. Step 2 found no evidence (Insufficient Evidence).</t>
        </is>
      </c>
    </row>
    <row r="16">
      <c r="A16" t="inlineStr">
        <is>
          <t>Bengaluru – BMRCL</t>
        </is>
      </c>
      <c r="B16" t="inlineStr">
        <is>
          <t>YES</t>
        </is>
      </c>
      <c r="C16" t="inlineStr">
        <is>
          <t>BMRCL Annual Report 2020-21 (Board's Report, Independent Auditor's Report, CAG comments, audited Balance Sheet, P&amp;L and Cash Flow for FY 2020-21), laid before the Karnataka Legislative Council [BMRCL-01]</t>
        </is>
      </c>
      <c r="D16" t="inlineStr">
        <is>
          <t>Audited Financial Statements FY 2020-21: Statement of Cash Flows</t>
        </is>
      </c>
      <c r="E16" t="inlineStr">
        <is>
          <t>Cash flows from Investing Activities (Amount in ₹ Lakhs), page 87 of the Annual Report (PDF page 89)</t>
        </is>
      </c>
      <c r="F16" t="inlineStr">
        <is>
          <t>Purchase of fixed assets, including CWIP and capital advances (Net): year ended 31 March 2021 vs 31 March 2020</t>
        </is>
      </c>
      <c r="G16" t="inlineStr">
        <is>
          <t>89</t>
        </is>
      </c>
      <c r="H16" t="inlineStr">
        <is>
          <t>https://kla.kar.nic.in/council/house/Paperlaid/146/33.pdf</t>
        </is>
      </c>
      <c r="I16" s="7" t="n"/>
      <c r="J16">
        <f>IF($B16="NO","NA",IF(I16="","",MIN(I16,$B$6)))</f>
        <v/>
      </c>
      <c r="K16" t="inlineStr">
        <is>
          <t>AI: left for a person. Step 2 found no evidence (Insufficient Evidence).</t>
        </is>
      </c>
    </row>
    <row r="17">
      <c r="A17" s="8" t="inlineStr">
        <is>
          <t>Bengaluru – BMRDA</t>
        </is>
      </c>
      <c r="B17" s="8" t="inlineStr">
        <is>
          <t>NO</t>
        </is>
      </c>
      <c r="C17" s="8" t="n"/>
      <c r="D17" s="8" t="n"/>
      <c r="E17" s="8" t="n"/>
      <c r="F17" s="8" t="n"/>
      <c r="G17" s="8" t="n"/>
      <c r="H17" s="8" t="n"/>
      <c r="I17" s="8" t="n"/>
      <c r="J17" s="8">
        <f>IF($B17="NO","NA",IF(I17="","",MIN(I17,$B$6)))</f>
        <v/>
      </c>
      <c r="K17" s="8" t="n"/>
    </row>
    <row r="18">
      <c r="A18" s="8" t="inlineStr">
        <is>
          <t>Surat – SUDA</t>
        </is>
      </c>
      <c r="B18" s="8" t="inlineStr">
        <is>
          <t>NO</t>
        </is>
      </c>
      <c r="C18" s="8" t="n"/>
      <c r="D18" s="8" t="n"/>
      <c r="E18" s="8" t="n"/>
      <c r="F18" s="8" t="n"/>
      <c r="G18" s="8" t="n"/>
      <c r="H18" s="8" t="n"/>
      <c r="I18" s="8" t="n"/>
      <c r="J18" s="8">
        <f>IF($B18="NO","NA",IF(I18="","",MIN(I18,$B$6)))</f>
        <v/>
      </c>
      <c r="K18" s="8" t="n"/>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10</formula2>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SC3</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10</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I13" s="7" t="n"/>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I15" s="7" t="n"/>
      <c r="J15">
        <f>IF($B15="NO","NA",IF(I15="","",MIN(I15,$B$6)))</f>
        <v/>
      </c>
      <c r="K15" t="inlineStr">
        <is>
          <t>AI: left for a person. Step 2 found no evidence (Insufficient Evidence).</t>
        </is>
      </c>
    </row>
    <row r="16">
      <c r="A16" t="inlineStr">
        <is>
          <t>Bengaluru – BMRCL</t>
        </is>
      </c>
      <c r="B16" t="inlineStr">
        <is>
          <t>YES</t>
        </is>
      </c>
      <c r="I16" s="7" t="n"/>
      <c r="J16">
        <f>IF($B16="NO","NA",IF(I16="","",MIN(I16,$B$6)))</f>
        <v/>
      </c>
      <c r="K16" t="inlineStr">
        <is>
          <t>AI: left for a person. Step 2 found no evidence (Insufficient Evidence).</t>
        </is>
      </c>
    </row>
    <row r="17">
      <c r="A17" t="inlineStr">
        <is>
          <t>Bengaluru – BMRDA</t>
        </is>
      </c>
      <c r="B17" t="inlineStr">
        <is>
          <t>YES</t>
        </is>
      </c>
      <c r="I17" s="7" t="n"/>
      <c r="J17">
        <f>IF($B17="NO","NA",IF(I17="","",MIN(I17,$B$6)))</f>
        <v/>
      </c>
      <c r="K17" t="inlineStr">
        <is>
          <t>AI: left for a person. Step 2 found no evidence (Insufficient Evidence). Source needed: Needed for at least 2, and preferably 3, completed financial years (up to 5): (a) BMRDA's approved budget, with budgeted total expenditure per year (the documents behind the website's Budget page), and (b) audited annual accounts or the annual report showing actual total expenditure for the same years (e.g. the 2023-24 annual report linked on the website, plus other years). Alternatively, BMRDA accounts or audit reports for those years tabled in the Karnataka legislature or published by CAG.</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10</formula2>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SC4a</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C13" t="inlineStr">
        <is>
          <t>THE BANGALORE WATER SUPPLY AND SEWERAGE ACT, 1964 (FAOLEX PDF) [BWSSB-04]</t>
        </is>
      </c>
      <c r="D13" t="inlineStr">
        <is>
          <t>Chapter III – The Board's Finance, Accounts and Audit</t>
        </is>
      </c>
      <c r="E13" t="inlineStr">
        <is>
          <t>Section 17</t>
        </is>
      </c>
      <c r="F13" t="inlineStr">
        <is>
          <t>Sub-section (1)</t>
        </is>
      </c>
      <c r="G13" t="inlineStr">
        <is>
          <t>14</t>
        </is>
      </c>
      <c r="H13" t="inlineStr">
        <is>
          <t>https://faolex.fao.org/docs/pdf/ind201320.pdf</t>
        </is>
      </c>
      <c r="I13" s="7" t="n">
        <v>0</v>
      </c>
      <c r="J13">
        <f>IF($B13="NO","NA",IF(I13="","",MIN(I13,$B$6)))</f>
        <v/>
      </c>
      <c r="K13" t="inlineStr">
        <is>
          <t>AI: left for a person. Step 2 found no evidence (Insufficient Evidence).</t>
        </is>
      </c>
    </row>
    <row r="14">
      <c r="A14" t="inlineStr">
        <is>
          <t>Bengaluru – BMTC</t>
        </is>
      </c>
      <c r="B14" t="inlineStr">
        <is>
          <t>YES</t>
        </is>
      </c>
      <c r="C14" t="inlineStr">
        <is>
          <t>Financial Brief on Bangalore Metropolitan Transport Corporation – Janaagraha [BMTC-22]</t>
        </is>
      </c>
      <c r="D14" t="inlineStr">
        <is>
          <t>Insight 5 (page 4)</t>
        </is>
      </c>
      <c r="E14" t="inlineStr">
        <is>
          <t>Discussion of the Road Transport Corporations Act, 1950 as BMTC's governing Act</t>
        </is>
      </c>
      <c r="G14" t="inlineStr">
        <is>
          <t>4</t>
        </is>
      </c>
      <c r="H14" t="inlineStr">
        <is>
          <t>https://www.janaagraha.org/files/publications/Financial-Brief-on-BMTC.pdf</t>
        </is>
      </c>
      <c r="I14" s="7" t="n">
        <v>0</v>
      </c>
      <c r="J14">
        <f>IF($B14="NO","NA",IF(I14="","",MIN(I14,$B$6)))</f>
        <v/>
      </c>
      <c r="K14" t="inlineStr">
        <is>
          <t>AI: left for a person. Step 2 found no evidence (Insufficient Evidence).</t>
        </is>
      </c>
    </row>
    <row r="15">
      <c r="A15" t="inlineStr">
        <is>
          <t>Bengaluru – BDA</t>
        </is>
      </c>
      <c r="B15" t="inlineStr">
        <is>
          <t>YES</t>
        </is>
      </c>
      <c r="C15" t="inlineStr">
        <is>
          <t>The Bangalore Development Authority Act, 1976 (Karnataka Act 12 of 1976) – consolidated text with amendments, PRS Legislative Research [BDA-02]</t>
        </is>
      </c>
      <c r="D15" t="inlineStr">
        <is>
          <t>Chapter V – Property and Finance</t>
        </is>
      </c>
      <c r="E15" t="inlineStr">
        <is>
          <t>Section 42 (read with Sections 43–47A)</t>
        </is>
      </c>
      <c r="F15" t="inlineStr">
        <is>
          <t>42(1)</t>
        </is>
      </c>
      <c r="G15" t="inlineStr">
        <is>
          <t>43</t>
        </is>
      </c>
      <c r="H15" t="inlineStr">
        <is>
          <t>https://prsindia.org/files/bills_acts/acts_states/karnataka/1976/1976Karnataka12.pdf</t>
        </is>
      </c>
      <c r="I15" s="7" t="n">
        <v>0</v>
      </c>
      <c r="J15">
        <f>IF($B15="NO","NA",IF(I15="","",MIN(I15,$B$6)))</f>
        <v/>
      </c>
      <c r="K15" t="inlineStr">
        <is>
          <t>AI: left for a person. Step 2 found no evidence (Insufficient Evidence).</t>
        </is>
      </c>
    </row>
    <row r="16">
      <c r="A16" t="inlineStr">
        <is>
          <t>Bengaluru – BMRCL</t>
        </is>
      </c>
      <c r="B16" t="inlineStr">
        <is>
          <t>YES</t>
        </is>
      </c>
      <c r="C16" t="inlineStr">
        <is>
          <t>BMRCL Annual Report 2020-21 (Board's Report, Independent Auditor's Report, CAG comments, audited Balance Sheet, P&amp;L and Cash Flow for FY 2020-21), laid before the Karnataka Legislative Council [BMRCL-01]</t>
        </is>
      </c>
      <c r="D16" t="inlineStr">
        <is>
          <t>Board's Report – Corporate Governance Report</t>
        </is>
      </c>
      <c r="E16" t="inlineStr">
        <is>
          <t>Constitution of the Board</t>
        </is>
      </c>
      <c r="F16" t="inlineStr">
        <is>
          <t>s. 2(g), s. 2(o), s. 24(d), s. 25(1)(b)</t>
        </is>
      </c>
      <c r="G16" t="inlineStr">
        <is>
          <t>47</t>
        </is>
      </c>
      <c r="H16" t="inlineStr">
        <is>
          <t>https://kla.kar.nic.in/council/house/Paperlaid/146/33.pdf</t>
        </is>
      </c>
      <c r="I16" s="7" t="n">
        <v>0</v>
      </c>
      <c r="J16">
        <f>IF($B16="NO","NA",IF(I16="","",MIN(I16,$B$6)))</f>
        <v/>
      </c>
      <c r="K16" t="inlineStr">
        <is>
          <t>AI: left for a person. Step 2 found no evidence (Insufficient Evidence).</t>
        </is>
      </c>
    </row>
    <row r="17">
      <c r="A17" t="inlineStr">
        <is>
          <t>Bengaluru – BMRDA</t>
        </is>
      </c>
      <c r="B17" t="inlineStr">
        <is>
          <t>YES</t>
        </is>
      </c>
      <c r="C17" t="inlineStr">
        <is>
          <t>The Bangalore Metropolitan Region Development Authority Act, 1985 (Karnataka Act 39 of 1985), full text with amendments (PDF hosted by India Water Portal) [BMRDA-08]</t>
        </is>
      </c>
      <c r="D17" t="inlineStr">
        <is>
          <t>Chapter IV (Finance)</t>
        </is>
      </c>
      <c r="E17" t="inlineStr">
        <is>
          <t>Section 12 (Budget); also Sections 11, 13-16 and Section 9(1)(ii),(vi)</t>
        </is>
      </c>
      <c r="G17" t="inlineStr">
        <is>
          <t>12</t>
        </is>
      </c>
      <c r="H17" t="inlineStr">
        <is>
          <t>https://prod-qt-images.s3.amazonaws.com/indiawaterportal/import/sites/default/files/iwp2/Bangalore_Metropolitan_Region_Development_Authority_Act_Bangalore_Metropolitan_Region_Development_Authority_1985.pdf</t>
        </is>
      </c>
      <c r="I17" s="7" t="n">
        <v>0</v>
      </c>
      <c r="J17">
        <f>IF($B17="NO","NA",IF(I17="","",MIN(I17,$B$6)))</f>
        <v/>
      </c>
      <c r="K17" t="inlineStr">
        <is>
          <t>AI: left for a person. Step 2 found no evidence (Insufficient Evidence). Source needed: The full readable text of the BMRDA Act, 1985 (Karnataka Act No. 39), current amended version, especially its finance, budget and accounts sections. Ideally from the Karnataka legislation portal or eGazette, or the BMRDA 'Acts and Rules' PDF. Also any Rules made under the Act on budget or finance, the BMRDA Regulations 1996, 1999 and 2000, and any Karnataka GO requiring BMRDA to prepare a medium-term or long-term fiscal plan.</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5</formula2>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SC4b</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I13" s="7" t="n"/>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I15" s="7" t="n"/>
      <c r="J15">
        <f>IF($B15="NO","NA",IF(I15="","",MIN(I15,$B$6)))</f>
        <v/>
      </c>
      <c r="K15" t="inlineStr">
        <is>
          <t>AI: left for a person. Step 2 found no evidence (Insufficient Evidence).</t>
        </is>
      </c>
    </row>
    <row r="16">
      <c r="A16" t="inlineStr">
        <is>
          <t>Bengaluru – BMRCL</t>
        </is>
      </c>
      <c r="B16" t="inlineStr">
        <is>
          <t>YES</t>
        </is>
      </c>
      <c r="I16" s="7" t="n"/>
      <c r="J16">
        <f>IF($B16="NO","NA",IF(I16="","",MIN(I16,$B$6)))</f>
        <v/>
      </c>
      <c r="K16" t="inlineStr">
        <is>
          <t>AI: left for a person. Step 2 found no evidence (Insufficient Evidence).</t>
        </is>
      </c>
    </row>
    <row r="17">
      <c r="A17" t="inlineStr">
        <is>
          <t>Bengaluru – BMRDA</t>
        </is>
      </c>
      <c r="B17" t="inlineStr">
        <is>
          <t>YES</t>
        </is>
      </c>
      <c r="C17" t="inlineStr">
        <is>
          <t>Home - Bangalore Metropolitan Region Development Authority (BMRDA) (English home page) [BMRDA-02]</t>
        </is>
      </c>
      <c r="D17" t="inlineStr">
        <is>
          <t>BMRDA official website, English home page, 'Department Documents' menu</t>
        </is>
      </c>
      <c r="E17" t="inlineStr">
        <is>
          <t>Menu items 'Budget and Annual Reports' and 'Budget' (https://bmrda.karnataka.gov.in/44/budget/en)</t>
        </is>
      </c>
      <c r="H17" t="inlineStr">
        <is>
          <t>https://bmrda.karnataka.gov.in/english</t>
        </is>
      </c>
      <c r="I17" s="7" t="n"/>
      <c r="J17">
        <f>IF($B17="NO","NA",IF(I17="","",MIN(I17,$B$6)))</f>
        <v/>
      </c>
      <c r="K17" t="inlineStr">
        <is>
          <t>AI: left for a person. Step 2 found no evidence (Insufficient Evidence). Source needed: Two things are needed. First, the full contents of BMRDA's own website 'Budget' (ಆಯವ್ಯಯ) and 'Budget and Annual Reports' pages, plus the latest budget and annual report documents, checked for a published medium-term (3-5 year) or long-term (&gt;5 year) fiscal plan or multi-year revenue and expenditure projections. Second, a dated screenshot showing whether such a document is on the site or not.</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5</formula2>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SC5</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10</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C13" t="inlineStr">
        <is>
          <t>THE BANGALORE WATER SUPPLY AND SEWERAGE ACT, 1964 (FAOLEX PDF) [BWSSB-04]</t>
        </is>
      </c>
      <c r="D13" t="inlineStr">
        <is>
          <t>Chapter II (Constitution of the Board)</t>
        </is>
      </c>
      <c r="E13" t="inlineStr">
        <is>
          <t>Section 4 (term of office); also Section 3(4), Section 6 and Section 87(2)(a)</t>
        </is>
      </c>
      <c r="F13" t="inlineStr">
        <is>
          <t>Section 4; Section 6(1)(e) and 6(5) cover removal</t>
        </is>
      </c>
      <c r="G13" t="inlineStr">
        <is>
          <t>10</t>
        </is>
      </c>
      <c r="H13" t="inlineStr">
        <is>
          <t>https://faolex.fao.org/docs/pdf/ind201320.pdf</t>
        </is>
      </c>
      <c r="I13" s="7" t="n">
        <v>0</v>
      </c>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C15" t="inlineStr">
        <is>
          <t>The Bangalore Development Authority Act, 1976 (Karnataka Act 12 of 1976) – consolidated text with amendments, PRS Legislative Research [BDA-02]</t>
        </is>
      </c>
      <c r="D15" t="inlineStr">
        <is>
          <t>Chapter II – The Bangalore Development Authority</t>
        </is>
      </c>
      <c r="E15" t="inlineStr">
        <is>
          <t>Section 12 (Appointment of Commissioner), read with Section 13(1) and Sections 3(3)(m), 5(1) and 6</t>
        </is>
      </c>
      <c r="F15" t="inlineStr">
        <is>
          <t>Section 12(1)-(3)</t>
        </is>
      </c>
      <c r="G15" t="inlineStr">
        <is>
          <t>23</t>
        </is>
      </c>
      <c r="H15" t="inlineStr">
        <is>
          <t>https://prsindia.org/files/bills_acts/acts_states/karnataka/1976/1976Karnataka12.pdf</t>
        </is>
      </c>
      <c r="I15" s="7" t="n">
        <v>0</v>
      </c>
      <c r="J15">
        <f>IF($B15="NO","NA",IF(I15="","",MIN(I15,$B$6)))</f>
        <v/>
      </c>
      <c r="K15" t="inlineStr">
        <is>
          <t>AI: left for a person. Step 2 found no evidence (Insufficient Evidence).</t>
        </is>
      </c>
    </row>
    <row r="16">
      <c r="A16" t="inlineStr">
        <is>
          <t>Bengaluru – BMRCL</t>
        </is>
      </c>
      <c r="B16" t="inlineStr">
        <is>
          <t>YES</t>
        </is>
      </c>
      <c r="C16" t="inlineStr">
        <is>
          <t>BMRCL Annual Report 2020-21 (Board's Report, Independent Auditor's Report, CAG comments, audited Balance Sheet, P&amp;L and Cash Flow for FY 2020-21), laid before the Karnataka Legislative Council [BMRCL-01]</t>
        </is>
      </c>
      <c r="D16" t="inlineStr">
        <is>
          <t>Corporate Governance Report (Board's Report, BMRCL Annual Report 2020-21)</t>
        </is>
      </c>
      <c r="E16" t="inlineStr">
        <is>
          <t>Constitution of the Board</t>
        </is>
      </c>
      <c r="F16" t="inlineStr">
        <is>
          <t>Summary of the Articles of Association on rights to nominate and appoint the Chairman and the MD &amp; CEO (about pages 47-48 of the PDF)</t>
        </is>
      </c>
      <c r="G16" t="inlineStr">
        <is>
          <t>47</t>
        </is>
      </c>
      <c r="H16" t="inlineStr">
        <is>
          <t>https://kla.kar.nic.in/council/house/Paperlaid/146/33.pdf</t>
        </is>
      </c>
      <c r="I16" s="7" t="n">
        <v>0</v>
      </c>
      <c r="J16">
        <f>IF($B16="NO","NA",IF(I16="","",MIN(I16,$B$6)))</f>
        <v/>
      </c>
      <c r="K16" t="inlineStr">
        <is>
          <t>AI: left for a person. Step 2 found no evidence (Insufficient Evidence).</t>
        </is>
      </c>
    </row>
    <row r="17">
      <c r="A17" t="inlineStr">
        <is>
          <t>Bengaluru – BMRDA</t>
        </is>
      </c>
      <c r="B17" t="inlineStr">
        <is>
          <t>YES</t>
        </is>
      </c>
      <c r="I17" s="7" t="n"/>
      <c r="J17">
        <f>IF($B17="NO","NA",IF(I17="","",MIN(I17,$B$6)))</f>
        <v/>
      </c>
      <c r="K17" t="inlineStr">
        <is>
          <t>AI: left for a person. Step 2 found no evidence (Insufficient Evidence). Source needed: Needed: (1) the full text of the Bangalore Metropolitan Region Development Authority Act, 1985 (Karnataka Act 39 of 1985), current amended version, especially the sections on constituting the Authority and appointing, term, conditions and removal of the Metropolitan Commissioner; (2) any Rules under the Act on the Metropolitan Commissioner's terms and conditions; (3) the BMRDA Cadre and Recruitment Rules 2008 and the BMRDA Regulations (1996/1999/2000); (4) any Karnataka government notification or GO on appointment or tenure for the post; (5) any state minimum-tenure rule for IAS officers in such posts (e.g. Civil Services Board / minimum-tenure provisions as applied in Karnataka).</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10</formula2>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SC6</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10</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I13" s="7" t="n"/>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I15" s="7" t="n"/>
      <c r="J15">
        <f>IF($B15="NO","NA",IF(I15="","",MIN(I15,$B$6)))</f>
        <v/>
      </c>
      <c r="K15" t="inlineStr">
        <is>
          <t>AI: left for a person. Step 2 found no evidence (Insufficient Evidence).</t>
        </is>
      </c>
    </row>
    <row r="16">
      <c r="A16" t="inlineStr">
        <is>
          <t>Bengaluru – BMRCL</t>
        </is>
      </c>
      <c r="B16" t="inlineStr">
        <is>
          <t>YES</t>
        </is>
      </c>
      <c r="C16" t="inlineStr">
        <is>
          <t>BMRCL Annual Report 2020-21 (Board's Report, Independent Auditor's Report, CAG comments, audited Balance Sheet, P&amp;L and Cash Flow for FY 2020-21), laid before the Karnataka Legislative Council [BMRCL-01]</t>
        </is>
      </c>
      <c r="D16" t="inlineStr">
        <is>
          <t>Board's Report – General Information</t>
        </is>
      </c>
      <c r="E16" t="inlineStr">
        <is>
          <t>Appointment of Managing Director and Director after the end of the Financial year 31.03.2021</t>
        </is>
      </c>
      <c r="F16" t="inlineStr">
        <is>
          <t>Page 39 of the PDF (page 37 of the report); also the Board of Directors list on page 4 of the PDF</t>
        </is>
      </c>
      <c r="G16" t="inlineStr">
        <is>
          <t>39</t>
        </is>
      </c>
      <c r="H16" t="inlineStr">
        <is>
          <t>https://kla.kar.nic.in/council/house/Paperlaid/146/33.pdf</t>
        </is>
      </c>
      <c r="I16" s="7" t="n"/>
      <c r="J16">
        <f>IF($B16="NO","NA",IF(I16="","",MIN(I16,$B$6)))</f>
        <v/>
      </c>
      <c r="K16" t="inlineStr">
        <is>
          <t>AI: left for a person. Step 2 found no evidence (Insufficient Evidence).</t>
        </is>
      </c>
    </row>
    <row r="17">
      <c r="A17" t="inlineStr">
        <is>
          <t>Bengaluru – BMRDA</t>
        </is>
      </c>
      <c r="B17" t="inlineStr">
        <is>
          <t>YES</t>
        </is>
      </c>
      <c r="I17" s="7" t="n"/>
      <c r="J17">
        <f>IF($B17="NO","NA",IF(I17="","",MIN(I17,$B$6)))</f>
        <v/>
      </c>
      <c r="K17" t="inlineStr">
        <is>
          <t>AI: left for a person. Step 2 found no evidence (Insufficient Evidence). Source needed: Karnataka DPAR (Department of Personnel and Administrative Reforms) or Urban Development Department government orders, or gazette notifications, that appoint or transfer each Metropolitan Commissioner of BMRDA over the last five years, with dates and whether each was a substantive posting or an additional/acting charge. Alternatively, a list of past Metropolitan Commissioners on the BMRDA website, or BMRDA annual reports for each year that name the Metropolitan Commissioner. The BMRDA Act 1985 and its Rules are also needed to confirm, by function, that the Metropolitan Commissioner is the executive authority.</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10</formula2>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SC7a</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C13" t="inlineStr">
        <is>
          <t>JICA – Bengaluru Water Supply and Sewerage Project (Phase 3), Final Report (Main Report), November 2017 [BWSSB-22]</t>
        </is>
      </c>
      <c r="D13" t="inlineStr">
        <is>
          <t>Chapter 2, Section 2.2.3 Relevant Organizations to the Sectors, (3) BWSSB (page 2-38, PDF page 116)</t>
        </is>
      </c>
      <c r="E13" t="inlineStr">
        <is>
          <t>Table 2.2.11 Present Number of BWSSB Permanent Staff (Source: BWSSB as of August, 2017)</t>
        </is>
      </c>
      <c r="F13" t="inlineStr">
        <is>
          <t>Total row: Sanctioned 3,501 / Actual working 2,157 / Vacancy 1,344</t>
        </is>
      </c>
      <c r="G13" t="inlineStr">
        <is>
          <t>116</t>
        </is>
      </c>
      <c r="H13" t="inlineStr">
        <is>
          <t>https://openjicareport.jica.go.jp/pdf/12300356_01.pdf</t>
        </is>
      </c>
      <c r="I13" s="7" t="n">
        <v>3</v>
      </c>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I15" s="7" t="n"/>
      <c r="J15">
        <f>IF($B15="NO","NA",IF(I15="","",MIN(I15,$B$6)))</f>
        <v/>
      </c>
      <c r="K15" t="inlineStr">
        <is>
          <t>AI: left for a person. Step 2 found no evidence (Insufficient Evidence).</t>
        </is>
      </c>
    </row>
    <row r="16">
      <c r="A16" t="inlineStr">
        <is>
          <t>Bengaluru – BMRCL</t>
        </is>
      </c>
      <c r="B16" t="inlineStr">
        <is>
          <t>YES</t>
        </is>
      </c>
      <c r="I16" s="7" t="n"/>
      <c r="J16">
        <f>IF($B16="NO","NA",IF(I16="","",MIN(I16,$B$6)))</f>
        <v/>
      </c>
      <c r="K16" t="inlineStr">
        <is>
          <t>AI: left for a person. Step 2 found no evidence (Insufficient Evidence).</t>
        </is>
      </c>
    </row>
    <row r="17">
      <c r="A17" t="inlineStr">
        <is>
          <t>Bengaluru – BMRDA</t>
        </is>
      </c>
      <c r="B17" t="inlineStr">
        <is>
          <t>YES</t>
        </is>
      </c>
      <c r="C17" t="inlineStr">
        <is>
          <t>Bangalore Metropolitan Region Development Authority — official website [BMRDA-01]</t>
        </is>
      </c>
      <c r="D17" t="inlineStr">
        <is>
          <t>Contact Us page (official BMRDA website)</t>
        </is>
      </c>
      <c r="E17" t="inlineStr">
        <is>
          <t>Officer directory table (Name / Designation / Office Number)</t>
        </is>
      </c>
      <c r="H17" t="inlineStr">
        <is>
          <t>https://bmrda.karnataka.gov.in/page/Contact+Us/en</t>
        </is>
      </c>
      <c r="I17" s="7" t="n"/>
      <c r="J17">
        <f>IF($B17="NO","NA",IF(I17="","",MIN(I17,$B$6)))</f>
        <v/>
      </c>
      <c r="K17" t="inlineStr">
        <is>
          <t>AI: left for a person. Step 2 found no evidence (Insufficient Evidence). Source needed: Any one of these, showing the number of sanctioned posts and the number filled (permanent, plus contractual staff within the approved structure) as of a stated date: BMRDA's latest annual report with a staffing table; the RTI Section 4(1)(b) disclosure covering staff and posts; the organisation structure document; or the sanctioned-post schedule under the 2008 Cadre and Recruitment Rules (or a later amendment or GO). An RTI reply or formal data request to BMRDA would also work. The linked documents on BMRDA-01 (annual report, 4(1)(b) disclosure, organisation structure PDF, 2008 Rules) should be added to the Citation Sheet in Step 1.</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5</formula2>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K19"/>
  <sheetViews>
    <sheetView workbookViewId="0">
      <pane xSplit="1" ySplit="12" topLeftCell="B1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0" customWidth="1" min="2" max="2"/>
    <col width="30" customWidth="1" min="3" max="3"/>
    <col width="10" customWidth="1" min="8" max="8"/>
    <col width="40" customWidth="1" min="9" max="9"/>
  </cols>
  <sheetData>
    <row r="1">
      <c r="A1" t="inlineStr">
        <is>
          <t>Question Code</t>
        </is>
      </c>
      <c r="B1" t="inlineStr">
        <is>
          <t>SC7b</t>
        </is>
      </c>
      <c r="C1" t="inlineStr">
        <is>
          <t>&lt;Sheet name and this code must match&gt;</t>
        </is>
      </c>
    </row>
    <row r="2">
      <c r="A2" s="4" t="inlineStr">
        <is>
          <t>Group</t>
        </is>
      </c>
      <c r="B2" s="2">
        <f>VLOOKUP($B$1,'PARASTATAL Questions'!$A:$J,3,0)&amp;""</f>
        <v/>
      </c>
    </row>
    <row r="3">
      <c r="A3" s="4" t="inlineStr">
        <is>
          <t>Original ID</t>
        </is>
      </c>
      <c r="B3" s="2">
        <f>VLOOKUP($B$1,'PARASTATAL Questions'!$A:$J,2,0)&amp;""</f>
        <v/>
      </c>
    </row>
    <row r="4">
      <c r="A4" s="4" t="inlineStr">
        <is>
          <t>MQ_SQ</t>
        </is>
      </c>
      <c r="B4" s="2">
        <f>VLOOKUP($B$1,'PARASTATAL Questions'!$A:$J,4,0)&amp;""</f>
        <v/>
      </c>
    </row>
    <row r="5">
      <c r="A5" s="4" t="inlineStr">
        <is>
          <t>Question</t>
        </is>
      </c>
      <c r="B5" s="2">
        <f>VLOOKUP($B$1,'PARASTATAL Questions'!$A:$J,5,0)&amp;""</f>
        <v/>
      </c>
    </row>
    <row r="6">
      <c r="A6" s="4" t="inlineStr">
        <is>
          <t>Max Score</t>
        </is>
      </c>
      <c r="B6" s="2">
        <f>VLOOKUP($B$1,'PARASTATAL Questions'!$A:$J,6,0)</f>
        <v/>
      </c>
    </row>
    <row r="7">
      <c r="A7" s="4" t="inlineStr">
        <is>
          <t>Assessment level</t>
        </is>
      </c>
      <c r="B7" s="2">
        <f>VLOOKUP($B$1,'PARASTATAL Questions'!$A:$J,7,0)&amp;""</f>
        <v/>
      </c>
    </row>
    <row r="8">
      <c r="A8" s="4" t="inlineStr">
        <is>
          <t>Applicability</t>
        </is>
      </c>
      <c r="B8" s="2">
        <f>VLOOKUP($B$1,'PARASTATAL Questions'!$A:$J,8,0)&amp;""</f>
        <v/>
      </c>
    </row>
    <row r="9">
      <c r="A9" s="4" t="inlineStr">
        <is>
          <t>Detailed Methodology</t>
        </is>
      </c>
      <c r="B9" s="2">
        <f>VLOOKUP($B$1,'PARASTATAL Questions'!$A:$J,9,0)&amp;""</f>
        <v/>
      </c>
    </row>
    <row r="10">
      <c r="A10" s="4" t="inlineStr">
        <is>
          <t>Notes for scorers</t>
        </is>
      </c>
      <c r="B10" s="2">
        <f>VLOOKUP($B$1,'PARASTATAL Questions'!$A:$J,10,0)&amp;""</f>
        <v/>
      </c>
    </row>
    <row r="11">
      <c r="B11" s="6" t="inlineStr">
        <is>
          <t>PRE-FILLED - DO NOT ALTER</t>
        </is>
      </c>
      <c r="I11" s="6" t="inlineStr">
        <is>
          <t>ENTER A NUMBER 0 TO 5</t>
        </is>
      </c>
      <c r="J11" s="6" t="inlineStr">
        <is>
          <t>DO NOT ALTER FORMULA</t>
        </is>
      </c>
    </row>
    <row r="12">
      <c r="A12" s="3" t="inlineStr">
        <is>
          <t>City</t>
        </is>
      </c>
      <c r="B12" s="3" t="inlineStr">
        <is>
          <t>Applies?</t>
        </is>
      </c>
      <c r="C12" s="3" t="inlineStr">
        <is>
          <t>Act Name/Web name/Doc name</t>
        </is>
      </c>
      <c r="D12" s="3" t="inlineStr">
        <is>
          <t>Chapter</t>
        </is>
      </c>
      <c r="E12" s="3" t="inlineStr">
        <is>
          <t>Provision</t>
        </is>
      </c>
      <c r="F12" s="3" t="inlineStr">
        <is>
          <t>Clause</t>
        </is>
      </c>
      <c r="G12" s="3" t="inlineStr">
        <is>
          <t>Page Number</t>
        </is>
      </c>
      <c r="H12" s="3" t="inlineStr">
        <is>
          <t>Link</t>
        </is>
      </c>
      <c r="I12" s="3" t="inlineStr">
        <is>
          <t>Score</t>
        </is>
      </c>
      <c r="J12" s="3" t="inlineStr">
        <is>
          <t>Points (Auto-generate)</t>
        </is>
      </c>
      <c r="K12" s="3" t="inlineStr">
        <is>
          <t>SCORER COMMENTS</t>
        </is>
      </c>
    </row>
    <row r="13">
      <c r="A13" t="inlineStr">
        <is>
          <t>Bengaluru – BWSSB</t>
        </is>
      </c>
      <c r="B13" t="inlineStr">
        <is>
          <t>YES</t>
        </is>
      </c>
      <c r="I13" s="7" t="n"/>
      <c r="J13">
        <f>IF($B13="NO","NA",IF(I13="","",MIN(I13,$B$6)))</f>
        <v/>
      </c>
      <c r="K13" t="inlineStr">
        <is>
          <t>AI: left for a person. Step 2 found no evidence (Insufficient Evidence).</t>
        </is>
      </c>
    </row>
    <row r="14">
      <c r="A14" t="inlineStr">
        <is>
          <t>Bengaluru – BMTC</t>
        </is>
      </c>
      <c r="B14" t="inlineStr">
        <is>
          <t>YES</t>
        </is>
      </c>
      <c r="I14" s="7" t="n"/>
      <c r="J14">
        <f>IF($B14="NO","NA",IF(I14="","",MIN(I14,$B$6)))</f>
        <v/>
      </c>
      <c r="K14" t="inlineStr">
        <is>
          <t>AI: left for a person. Step 2 found no evidence (Insufficient Evidence).</t>
        </is>
      </c>
    </row>
    <row r="15">
      <c r="A15" t="inlineStr">
        <is>
          <t>Bengaluru – BDA</t>
        </is>
      </c>
      <c r="B15" t="inlineStr">
        <is>
          <t>YES</t>
        </is>
      </c>
      <c r="I15" s="7" t="n"/>
      <c r="J15">
        <f>IF($B15="NO","NA",IF(I15="","",MIN(I15,$B$6)))</f>
        <v/>
      </c>
      <c r="K15" t="inlineStr">
        <is>
          <t>AI: left for a person. Step 2 found no evidence (Insufficient Evidence).</t>
        </is>
      </c>
    </row>
    <row r="16">
      <c r="A16" t="inlineStr">
        <is>
          <t>Bengaluru – BMRCL</t>
        </is>
      </c>
      <c r="B16" t="inlineStr">
        <is>
          <t>YES</t>
        </is>
      </c>
      <c r="I16" s="7" t="n"/>
      <c r="J16">
        <f>IF($B16="NO","NA",IF(I16="","",MIN(I16,$B$6)))</f>
        <v/>
      </c>
      <c r="K16" t="inlineStr">
        <is>
          <t>AI: left for a person. Step 2 found no evidence (Insufficient Evidence).</t>
        </is>
      </c>
    </row>
    <row r="17">
      <c r="A17" t="inlineStr">
        <is>
          <t>Bengaluru – BMRDA</t>
        </is>
      </c>
      <c r="B17" t="inlineStr">
        <is>
          <t>YES</t>
        </is>
      </c>
      <c r="I17" s="7" t="n"/>
      <c r="J17">
        <f>IF($B17="NO","NA",IF(I17="","",MIN(I17,$B$6)))</f>
        <v/>
      </c>
      <c r="K17" t="inlineStr">
        <is>
          <t>AI: left for a person. Step 2 found no evidence (Insufficient Evidence). Source needed: Any of these would answer it: BMRDA's latest staffing statement giving working (filled) strength by gender; the Annual Report 2023-24 text if it has an establishment table; the RTI Section 4(1)(b) staff directory with names and designations, from which gender can be taken only if it is stated explicitly; or a formal data request / RTI reply from BMRDA giving women employees, total filled posts, and a breakdown by senior/decision-making and technical cadres.</t>
        </is>
      </c>
    </row>
    <row r="18">
      <c r="A18" t="inlineStr">
        <is>
          <t>Surat – SUDA</t>
        </is>
      </c>
      <c r="B18" t="inlineStr">
        <is>
          <t>YES</t>
        </is>
      </c>
      <c r="I18" s="7" t="n"/>
      <c r="J18">
        <f>IF($B18="NO","NA",IF(I18="","",MIN(I18,$B$6)))</f>
        <v/>
      </c>
    </row>
    <row r="19">
      <c r="A19" t="inlineStr">
        <is>
          <t>Surat – GMRC</t>
        </is>
      </c>
      <c r="B19" t="inlineStr">
        <is>
          <t>YES</t>
        </is>
      </c>
      <c r="I19" s="7" t="n"/>
      <c r="J19">
        <f>IF($B19="NO","NA",IF(I19="","",MIN(I19,$B$6)))</f>
        <v/>
      </c>
    </row>
  </sheetData>
  <dataValidations count="1">
    <dataValidation sqref="I13:I19" showDropDown="0" showInputMessage="0" showErrorMessage="1" allowBlank="1" error="See the instruction above the 'Score' column." type="decimal" operator="between">
      <formula1>0</formula1>
      <formula2>5</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2026-10-08T11:34:51Z</dcterms:created>
  <dcterms:modified xsi:type="dcterms:W3CDTF">2026-10-12T03:17:25Z</dcterms:modified>
</cp:coreProperties>
</file>