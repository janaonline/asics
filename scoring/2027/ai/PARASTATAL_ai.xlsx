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7.xml" ContentType="application/vnd.openxmlformats-officedocument.spreadsheetml.worksheet+xml"/>
  <Override PartName="/xl/worksheets/sheet14.xml" ContentType="application/vnd.openxmlformats-officedocument.spreadsheetml.worksheet+xml"/>
  <Override PartName="/xl/worksheets/sheet22.xml" ContentType="application/vnd.openxmlformats-officedocument.spreadsheetml.worksheet+xml"/>
  <Override PartName="/xl/worksheets/sheet24.xml" ContentType="application/vnd.openxmlformats-officedocument.spreadsheetml.worksheet+xml"/>
  <Override PartName="/xl/worksheets/sheet2.xml" ContentType="application/vnd.openxmlformats-officedocument.spreadsheetml.worksheet+xml"/>
  <Override PartName="/xl/worksheets/sheet25.xml" ContentType="application/vnd.openxmlformats-officedocument.spreadsheetml.worksheet+xml"/>
  <Override PartName="/xl/worksheets/sheet39.xml" ContentType="application/vnd.openxmlformats-officedocument.spreadsheetml.worksheet+xml"/>
  <Override PartName="/xl/worksheets/sheet15.xml" ContentType="application/vnd.openxmlformats-officedocument.spreadsheetml.worksheet+xml"/>
  <Override PartName="/xl/worksheets/sheet36.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26.xml" ContentType="application/vnd.openxmlformats-officedocument.spreadsheetml.worksheet+xml"/>
  <Override PartName="/xl/worksheets/sheet17.xml" ContentType="application/vnd.openxmlformats-officedocument.spreadsheetml.worksheet+xml"/>
  <Override PartName="/xl/worksheets/sheet41.xml" ContentType="application/vnd.openxmlformats-officedocument.spreadsheetml.worksheet+xml"/>
  <Override PartName="/xl/worksheets/sheet6.xml" ContentType="application/vnd.openxmlformats-officedocument.spreadsheetml.worksheet+xml"/>
  <Override PartName="/xl/worksheets/sheet37.xml" ContentType="application/vnd.openxmlformats-officedocument.spreadsheetml.worksheet+xml"/>
  <Override PartName="/xl/worksheets/sheet29.xml" ContentType="application/vnd.openxmlformats-officedocument.spreadsheetml.worksheet+xml"/>
  <Override PartName="/xl/worksheets/sheet19.xml" ContentType="application/vnd.openxmlformats-officedocument.spreadsheetml.worksheet+xml"/>
  <Override PartName="/xl/worksheets/sheet35.xml" ContentType="application/vnd.openxmlformats-officedocument.spreadsheetml.worksheet+xml"/>
  <Override PartName="/xl/worksheets/sheet11.xml" ContentType="application/vnd.openxmlformats-officedocument.spreadsheetml.worksheet+xml"/>
  <Override PartName="/xl/worksheets/sheet8.xml" ContentType="application/vnd.openxmlformats-officedocument.spreadsheetml.worksheet+xml"/>
  <Override PartName="/xl/worksheets/sheet12.xml" ContentType="application/vnd.openxmlformats-officedocument.spreadsheetml.worksheet+xml"/>
  <Override PartName="/xl/worksheets/sheet9.xml" ContentType="application/vnd.openxmlformats-officedocument.spreadsheetml.worksheet+xml"/>
  <Override PartName="/xl/worksheets/sheet18.xml" ContentType="application/vnd.openxmlformats-officedocument.spreadsheetml.worksheet+xml"/>
  <Override PartName="/xl/worksheets/sheet20.xml" ContentType="application/vnd.openxmlformats-officedocument.spreadsheetml.worksheet+xml"/>
  <Override PartName="/xl/worksheets/sheet33.xml" ContentType="application/vnd.openxmlformats-officedocument.spreadsheetml.worksheet+xml"/>
  <Override PartName="/xl/worksheets/sheet21.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4.xml" ContentType="application/vnd.openxmlformats-officedocument.spreadsheetml.worksheet+xml"/>
  <Override PartName="/xl/worksheets/sheet13.xml" ContentType="application/vnd.openxmlformats-officedocument.spreadsheetml.worksheet+xml"/>
  <Override PartName="/xl/worksheets/sheet27.xml" ContentType="application/vnd.openxmlformats-officedocument.spreadsheetml.worksheet+xml"/>
  <Override PartName="/xl/worksheets/sheet38.xml" ContentType="application/vnd.openxmlformats-officedocument.spreadsheetml.worksheet+xml"/>
  <Override PartName="/xl/worksheets/sheet16.xml" ContentType="application/vnd.openxmlformats-officedocument.spreadsheetml.worksheet+xml"/>
  <Override PartName="/xl/worksheets/sheet47.xml" ContentType="application/vnd.openxmlformats-officedocument.spreadsheetml.worksheet+xml"/>
  <Override PartName="/xl/worksheets/sheet40.xml" ContentType="application/vnd.openxmlformats-officedocument.spreadsheetml.worksheet+xml"/>
  <Override PartName="/xl/worksheets/sheet44.xml" ContentType="application/vnd.openxmlformats-officedocument.spreadsheetml.worksheet+xml"/>
  <Override PartName="/xl/worksheets/sheet23.xml" ContentType="application/vnd.openxmlformats-officedocument.spreadsheetml.worksheet+xml"/>
  <Override PartName="/xl/worksheets/sheet42.xml" ContentType="application/vnd.openxmlformats-officedocument.spreadsheetml.worksheet+xml"/>
  <Override PartName="/xl/worksheets/sheet28.xml" ContentType="application/vnd.openxmlformats-officedocument.spreadsheetml.worksheet+xml"/>
  <Override PartName="/xl/worksheets/sheet10.xml" ContentType="application/vnd.openxmlformats-officedocument.spreadsheetml.worksheet+xml"/>
  <Override PartName="/xl/worksheets/sheet43.xml" ContentType="application/vnd.openxmlformats-officedocument.spreadsheetml.worksheet+xml"/>
  <Override PartName="/xl/worksheets/sheet46.xml" ContentType="application/vnd.openxmlformats-officedocument.spreadsheetml.worksheet+xml"/>
  <Override PartName="/xl/worksheets/sheet32.xml" ContentType="application/vnd.openxmlformats-officedocument.spreadsheetml.worksheet+xml"/>
  <Override PartName="/xl/worksheets/sheet45.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0"/>
  </bookViews>
  <sheets>
    <sheet name="Scores (start here)" sheetId="1" state="visible" r:id="rId3"/>
    <sheet name="Check before use" sheetId="2" state="visible" r:id="rId4"/>
    <sheet name="PARASTATAL_SUMMARY_RAW" sheetId="3" state="visible" r:id="rId5"/>
    <sheet name="PARASTATAL_CITY_SCORES" sheetId="4" state="visible" r:id="rId6"/>
    <sheet name="PARASTATAL Questions" sheetId="5" state="visible" r:id="rId7"/>
    <sheet name="UPD1a" sheetId="6" state="visible" r:id="rId8"/>
    <sheet name="UPD1b" sheetId="7" state="visible" r:id="rId9"/>
    <sheet name="UPD2a" sheetId="8" state="visible" r:id="rId10"/>
    <sheet name="UPD2b" sheetId="9" state="visible" r:id="rId11"/>
    <sheet name="UPD2c" sheetId="10" state="visible" r:id="rId12"/>
    <sheet name="UPD2d" sheetId="11" state="visible" r:id="rId13"/>
    <sheet name="UPD3a" sheetId="12" state="visible" r:id="rId14"/>
    <sheet name="UPD3b" sheetId="13" state="visible" r:id="rId15"/>
    <sheet name="UPD4a" sheetId="14" state="visible" r:id="rId16"/>
    <sheet name="UPD4b" sheetId="15" state="visible" r:id="rId17"/>
    <sheet name="UPD5a" sheetId="16" state="visible" r:id="rId18"/>
    <sheet name="UPD5b" sheetId="17" state="visible" r:id="rId19"/>
    <sheet name="UPD6a" sheetId="18" state="visible" r:id="rId20"/>
    <sheet name="UPD6b" sheetId="19" state="visible" r:id="rId21"/>
    <sheet name="DPG1a" sheetId="20" state="visible" r:id="rId22"/>
    <sheet name="DPG1b" sheetId="21" state="visible" r:id="rId23"/>
    <sheet name="DPG2a" sheetId="22" state="visible" r:id="rId24"/>
    <sheet name="DPG2b" sheetId="23" state="visible" r:id="rId25"/>
    <sheet name="DPG4" sheetId="24" state="visible" r:id="rId26"/>
    <sheet name="DPG5a" sheetId="25" state="visible" r:id="rId27"/>
    <sheet name="DPG5b" sheetId="26" state="visible" r:id="rId28"/>
    <sheet name="DPG5c" sheetId="27" state="visible" r:id="rId29"/>
    <sheet name="DPG5d" sheetId="28" state="visible" r:id="rId30"/>
    <sheet name="DPG5f" sheetId="29" state="visible" r:id="rId31"/>
    <sheet name="DPG5g" sheetId="30" state="visible" r:id="rId32"/>
    <sheet name="DPG5h" sheetId="31" state="visible" r:id="rId33"/>
    <sheet name="DPG5i" sheetId="32" state="visible" r:id="rId34"/>
    <sheet name="DPG5j" sheetId="33" state="visible" r:id="rId35"/>
    <sheet name="DPG5k" sheetId="34" state="visible" r:id="rId36"/>
    <sheet name="DPG6a" sheetId="35" state="visible" r:id="rId37"/>
    <sheet name="DPG6b" sheetId="36" state="visible" r:id="rId38"/>
    <sheet name="DPG7a" sheetId="37" state="visible" r:id="rId39"/>
    <sheet name="DPG7b" sheetId="38" state="visible" r:id="rId40"/>
    <sheet name="SC1" sheetId="39" state="visible" r:id="rId41"/>
    <sheet name="SC2" sheetId="40" state="visible" r:id="rId42"/>
    <sheet name="SC3" sheetId="41" state="visible" r:id="rId43"/>
    <sheet name="SC4a" sheetId="42" state="visible" r:id="rId44"/>
    <sheet name="SC4b" sheetId="43" state="visible" r:id="rId45"/>
    <sheet name="SC5" sheetId="44" state="visible" r:id="rId46"/>
    <sheet name="SC6" sheetId="45" state="visible" r:id="rId47"/>
    <sheet name="SC7a" sheetId="46" state="visible" r:id="rId48"/>
    <sheet name="SC7b" sheetId="47" state="visible" r:id="rId49"/>
  </sheets>
  <definedNames>
    <definedName function="false" hidden="true" localSheetId="0" name="_xlnm._FilterDatabase" vbProcedure="false">'Scores (start here)'!$A$1:$R$211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<sst xmlns="http://schemas.openxmlformats.org/spreadsheetml/2006/main" count="4863" uniqueCount="1473">
  <si>
    <t xml:space="preserve">Question</t>
  </si>
  <si>
    <t xml:space="preserve">Row</t>
  </si>
  <si>
    <t xml:space="preserve">Question text</t>
  </si>
  <si>
    <t xml:space="preserve">AI score</t>
  </si>
  <si>
    <t xml:space="preserve">Max score</t>
  </si>
  <si>
    <t xml:space="preserve">★ Your score</t>
  </si>
  <si>
    <t xml:space="preserve">★ Your comments</t>
  </si>
  <si>
    <t xml:space="preserve">Agrees with AI?</t>
  </si>
  <si>
    <t xml:space="preserve">Final score</t>
  </si>
  <si>
    <t xml:space="preserve">Score used</t>
  </si>
  <si>
    <t xml:space="preserve">Status</t>
  </si>
  <si>
    <t xml:space="preserve">Step 2 status</t>
  </si>
  <si>
    <t xml:space="preserve">Step 2 answer</t>
  </si>
  <si>
    <t xml:space="preserve">Citation</t>
  </si>
  <si>
    <t xml:space="preserve">Link</t>
  </si>
  <si>
    <t xml:space="preserve">Quote</t>
  </si>
  <si>
    <t xml:space="preserve">AI's reasoning</t>
  </si>
  <si>
    <t xml:space="preserve">Why left for a person</t>
  </si>
  <si>
    <t xml:space="preserve">UPD1a</t>
  </si>
  <si>
    <t xml:space="preserve">Bengaluru – BWSSB</t>
  </si>
  <si>
    <t xml:space="preserve">Left for a person</t>
  </si>
  <si>
    <t xml:space="preserve">Partially Answered</t>
  </si>
  <si>
    <t xml:space="preserve">ANSWER: In the sources available, I found no provision that requires BWSSB to prepare its water supply or sewerage plans or schemes jointly with, in consultation with, or with the approval of the ULG (the Greater Bengaluru Authority (GBA) and its City Corporations). On BWSSB's side, the Act gives the Board its own duty to prepare schemes. The approval it requires for big schemes comes from the State Government, not the ULG. The only ULG link is a Consultative Committee set up by the State Government that advises the Board on 'major schemes'. ULG involvement in that committee is at the State's discretion. On the ULG's side, the Greater Bengaluru Governance Act gives GBA wide powers to supervise and coordinate public authorities, including BWSSB, through binding directions. It does not require BWSSB to prepare its own plans in coordination with the ULG. The Karnataka Town and Country Planning Act is not in the Citation Sheet, so the answer is incomplete. | EVIDENCE: (1) BWSSB Act 1964 (BWSSB-02, PRS consolidated copy): s.15(2)(b)-(c) says it is the Board's duty to take steps 'for preparing and carrying out schemes' for water supply and sewerage. The s.15(2) proviso says no scheme 'estimated to cost more than a crore of rupees shall be carried out by the Board except with the approval of the State Government' (State approval, not ULG). s.14: 'The State Government shall constitute a Consultative Committee'. Its other members are appointed 'after consultation with such representat</t>
  </si>
  <si>
    <t xml:space="preserve">The Bangalore Water Supply and Sewerage Act, 1964 [BWSSB-02]</t>
  </si>
  <si>
    <t xml:space="preserve">https://prsindia.org/files/bills_acts/acts_states/karnataka/1964/1964KR36.pdf</t>
  </si>
  <si>
    <t xml:space="preserve">(i) to advise the Board on major questions of policy and major schemes;</t>
  </si>
  <si>
    <t xml:space="preserve">I left the Score blank for three reasons.
(1) SCALE-MISMATCH. The Step 2 notes say the rubric bands run from 0 to 10, but the Max Score is 5. The detailed methodology and band wording were not in my task input, so I could not check the bands or match the evidence to one. A person needs to confirm the scale.
(2) The evidence fits no band without a team decision (RUBRIC-GAP). The two possible bands are 2.5 and 0.
- BWSSB Act 1964 (BWSSB-02, PRS consolidated copy, amended up to Act 29 of 2021). Under s.15(2)(b)-(c) the Board prepares its own water supply and sewerage schemes. Under the s.15(2) proviso, schemes costing more than Rs 1 crore need approval from the State Government, not the city government.
- The only link to the city government is s.14. The State 'shall constitute' a Consultative Committee, and it consults bodies representing the city corporation (still named as the Bruhat Bangalore Mahanagara Palike) only 'as the State Government thinks fit'. The committee's role is to 'advise the Board on major questions of policy and major schemes'. That is advice, not approval, and nothing requires the Board to follow it.
- On the city government's side, the Greater Bengaluru Governance Act (BWSSB-04, Act 36 of 2025, as enacted, GBA era) gives the Greater Bengaluru Authority (GBA) several powers:
  - s.14(4): 'Integrating and supervising the activities of public authorities like ... the Bengaluru Water Supply and Sewerage Board ... issuing directions for the same which shall be binding'.
  - s.14(3)(b): coordinating the execution of schemes that implement plans prepared by GBA.
  - s.15(1): GBA makes the master plan and mobility plans.
  These are general powers to supervise and direct. None of them makes city government consultation or approval a required step when BWSSB prepares its own plans. The team must decide whether these powers count as 'coordination' for UPD1a.
(3) I cannot show affirmative absence, so a 0 is not supported. The Karnataka Town and Country Planning Act 1961 is not in the Citation Sheet; I searched and found nothing. No BWSSB Rules (s.87), Regulations (s.88) or s.14(4)(iv) Rules are in the sheet either.
I checked BWSSB-02 ss.12-15, BWSSB-04 ss.14-15 and the definition of 'public authority' in s.2(54), and the Step 2 review of BWSSB-23 and BWSSB-28 (these are bills, not enacted law).
Also flagged: the BWSSB Act still names BBMP. No source in the sheet shows GBA or the City Corporations substituted for it.</t>
  </si>
  <si>
    <t xml:space="preserve">The citation didn't settle every input. "Score" left blank: the Citation Sheet doesn't decide it.</t>
  </si>
  <si>
    <t xml:space="preserve">Bengaluru – BMTC</t>
  </si>
  <si>
    <t xml:space="preserve">ANSWER: None of the sources in the Citation Sheet requires BMTC to prepare its own spatial or sectoral plans together with, in consultation with, or with the approval of the Greater Bengaluru Authority (GBA) or its City Corporations. What exists runs mainly the other way. (i) The GBA's own law gives the GBA a general power to integrate and supervise BMTC's activities. Its directions are binding, BMTC must obey them, and BMTC must write the GBA's coordinating role into its Memorandum of Association. (ii) The GBA must make the master plan and the mobility plans for the Greater Bengaluru Area. (iii) The GBA may hand the planning of major infrastructure projects to public authorities, and those authorities must help when asked. (iv) Under the transport authority's Act (BMLTA), BMTC, as an 'Urban Transport Agency', must prepare its Sectoral Mobility Investment Program 'in consultation with' the BMLTA. The BMLTA is a state authority, not the city government, although the 2025 amendment bill (BMTC-24) adds the five City Corporation Mayors and Commissioners and the GBA Chief Commissioner to it and its Executive Committee. Whether the GBA's general power to supervise and direct counts as 'approval/concurrence' or fits no band at all is a judgement for the team. | EVIDENCE: BMTC's side. Road Transport Corporations Act, 1950 (BMTC-02): s.18 sets a general duty to provide an 'efficient, adequate, economical and properly co-ordinated system of road transport services'. s.19 lists BMTC's p</t>
  </si>
  <si>
    <t xml:space="preserve">The Greater Bengaluru Governance Act, 2024 Act No. 36 of 2025 [BMTC-04]</t>
  </si>
  <si>
    <t xml:space="preserve">https://prsindia.org/files/bills_acts/acts_states/karnataka/2025/Act36of2025KA.pdf</t>
  </si>
  <si>
    <t xml:space="preserve">Integrating and supervising the activities of public authorities like the Bangalore Development Authority, the Bengaluru Water Supply and Sewerage Board, Bangalore Metropolitan Transport Corporation, Bengaluru Solid Waste Management Corporation, Bengaluru Metro Rail Corporation Limited, the Bangalore Electricity Supply Company and such other bodies connected with municipal activities in the Greater Bengaluru Area in such a manner that all functions are streamlined and implemented in a citizen-friendly manner and issuing directions for the same which shall be binding;</t>
  </si>
  <si>
    <t xml:space="preserve">Score left blank for three reasons.
(1) SCALE-MISMATCH. Step 2 reports that the UPD1a rubric bands run 0-10, but this input allows only 0-5. The highest band is neither the Max Score nor a sum of components, so I have not scaled a band down. The team should confirm the scale.
(2) RUBRIC-GAP / band undetermined. I checked the Step 2 answer against the source and it is accurate. The Greater Bengaluru Governance Act, 2024 (BMTC-04) gives the GBA (the city government) a general, binding power to integrate, supervise and direct BMTC's 'activities' (s.14(4)). BMTC must obey those directions and must add the GBA's coordinating role to its Memorandum of Association. But no provision requires BMTC to prepare its own spatial or sectoral plans in consultation with, or with the approval of, the GBA or the City Corporations. Other provisions read:
- s.15(1): the GBA makes the master plan and mobility plans itself.
- s.15(5): the GBA 'may' assign the planning of major infrastructure projects to public authorities. This is a discretionary power, not a duty on BMTC.
- s.14(3)(b): covers schemes for plans prepared by the GBA, not BMTC's own plans.
- BMLTA Act s.24(b) (BMTC-06): requires consultation with the BMLTA, a state authority, not the city government.
Whether a general power to direct counts as 'approval/concurrence' is a judgement for the team. I have not interpolated a band.
(3) No affirmative absence, so 0 cannot be scored. Not in the Citation Sheet:
- BMTC's Memorandum and Articles of Association
- Rules or Regulations under the Road Transport Corporations Act, 1950 or the BMLTA Act
- GBA regulations or directions under s.14(4)
Checked:
- BMTC-04: s.8, s.9, s.13, s.14(2)-(4), s.15
- BMTC-05: the GBA amendment bill. Its amendments to s.8(2) and s.14(1) clarify the GBA's functions. They do not touch s.14(4) or add any duty on BMTC's plans.
- BMTC-02, BMTC-06, BMTC-07, BMTC-22, BMTC-24: as reported in Step 2.
- Sheet-wide search for BMTC plans with GBA approval or consultation: found nothing new.
For the team to check:
- BMTC's legal form. The GBA Act calls it 'Bangalore Metropolitan Transport Corporation Limited', which conflicts with the Road Transport Corporations Act, 1950 being listed as its enabling Act.
- Whether the BMLTA amendment (BMTC-24 bill; Act 10 of 2026) is in force.
The UPD1a Detailed Methodology text was not supplied in this task, which also prevents scoring.</t>
  </si>
  <si>
    <t xml:space="preserve">Bengaluru – BDA</t>
  </si>
  <si>
    <t xml:space="preserve">ANSWER: The answer depends on the type of plan, so I have not given a single band. (1) BDA's development schemes: the law requires BDA to send each scheme notification to 'the Corporation'. The Corporation has 30 days to make representations. Representations go to the Government through BDA, and BDA must consider them before submitting the scheme for sanction. If no representation arrives in time, the Corporation's concurrence is deemed given. This is mandatory consultation with a duty to consider, not a real right of approval: the Corporation's silence counts as consent, and a representation does not stop the scheme going forward. (2) Works for further development: the Corporation 'shall be consulted' if the area lies within the City limits. This is mandatory consultation with no duty to respond. (3) Private layouts within Corporation limits: BDA needs the Corporation's concurrence. If they disagree, the Government decides. This is a sanction of private layouts, not a plan BDA prepares itself. (4) Master plan under the T&amp;CP Act: the sections I read give the local authority no role in preparing the master plan, only public notice and public comments. On top of this, the Greater Bengaluru Governance Act makes GBA itself the Planning Authority for the Greater Bengaluru Area 'notwithstanding anything contained in any other law'. GBA can also issue binding directions to BDA. These are ULG powers over BDA, but they are not a duty on BDA to prepare its plans jointly with GBA. | EVI</t>
  </si>
  <si>
    <t xml:space="preserve">The Bangalore Development Authority Act, 1976 (Act 12 of 1976) – PRS copy, 'Amendments appended: 19 of 2002, 19 of 2005, 27 of 2020, 42 of 2026' [BDA-02]</t>
  </si>
  <si>
    <t xml:space="preserve">https://prsindia.org/files/bills_acts/acts_states/karnataka/1976/1976Karnataka12.pdf</t>
  </si>
  <si>
    <t xml:space="preserve">(2) A copy of the said notification shall be sent to the Corporation which shall, within thirty days from the date of  receipt thereof, forward to the Authority for transmission to the Government as hereinafter  provided, any representation which the Corporation may think fit to  make with regard to the scheme.</t>
  </si>
  <si>
    <t xml:space="preserve">I have left the Score blank for three reasons.
(1) SCALE-MISMATCH. The rubric bands described for UPD1a run from 0 to 10, but the Score column allows only 0 to 5. The Detailed Methodology text was not given to me in this task. Without it I cannot confirm how a band converts to the 0-5 input, so I have not scored. Possible raw band values, recorded only so a person can check them: 7.5 or 10 for development schemes, 5 for s.25 works, 10 for s.32 layouts.
(2) Plan-scope question for the team. I checked Step 2's evidence against BDA-02 (PRS copy, amended up to Act 42 of 2026), and it is accurate. The wording supports these readings:
- s.17(2): the Corporation must be sent the scheme notification and may make representations within 30 days. Its representations go to the Government through BDA.
- s.17(4): if the Corporation sends nothing, its concurrence is 'deemed to have been given'.
- s.18(1): BDA 'shall submit' the scheme to the Government 'after consideration of representations, if any', with any changes it 'may think fit'. So BDA must consider the representations but need not accept them. This is not a veto.
- s.25(1) proviso: for works inside City limits, the Corporation 'shall be consulted'. This is consultation only.
- s.32(1) provisos: BDA needs the Corporation's concurrence to sanction private layouts, but these are not plans BDA prepares itself.
- s.26: schemes made 'on the recommendation of the Corporation' are optional.
For the master plan under the KTCP Act (BDA-06), the sections Step 2 read show only public notice and comments. The KTCP Rules and the BDA Rules are not in the Citation Sheet, so I cannot claim affirmative absence of a ULG role at master-plan level. The team needs to decide whether scheme-level and layout-level mechanisms count as 'spatial/sectoral plans' for this question.
(3) Jurisdiction and successor-body question. BDA-03 (GBGA 2024, Act 36 of 2025):
- s.14(2)(a): 'Notwithstanding anything contained in any other law', GBA is the KTCP 'Planning Authority' for the Greater Bengaluru Area.
- s.14(4): GBA integrates and supervises 'the Bangalore Development Authority', and its directions are binding.
- s.15(1): GBA makes the master plan and mobility plans.
BDA-05 (KTCP Amendment Bill 2025, as passed by the Assembly only) would limit BDA to the Bengaluru Metropolitan Area 'excluding the Greater Bengaluru Area'. Its s.1(2) says it comes into force on a date the State notifies, and no commencement notification is in the Citation Sheet. The BDA Act still says 'Corporation of the City of Bangalore' (s.2(i)). No source shows GBA or the City Corporations formally substituted.
For a person to check: (a) the UPD1a methodology and how its bands convert to the 0-5 Score; (b) whether scheme or layout mechanisms count as plans; (c) whether BDA still plans any area inside a ULG; (d) whether the KTCP Amendment 2025 has commenced; (e) the KTCP and BDA Rules, which are needed before anyone can claim affirmative absence at master-plan level. Only PRS copies of the Acts were available.</t>
  </si>
  <si>
    <t xml:space="preserve">Bengaluru – BMRCL</t>
  </si>
  <si>
    <t xml:space="preserve">ANSWER: No source in the Citation Sheet requires BMRCL to prepare its own spatial or sectoral plans together with the ULG (the Greater Bengaluru Authority (GBA) and its City Corporations). The Sheet contains no Act that constitutes BMRCL, because BMRCL is a company. The planning relationship runs the other way, from the ULG to BMRCL. Under the GBA Act, the GBA makes the master plan and mobility plans for the Greater Bengaluru Area. It also integrates and supervises 'public authorities', naming BMRCL, and its directions to them are binding. It may give public authorities the job of planning major infrastructure projects, and they must assist it. Separately, the BMLTA Act makes BMRCL-type transport agencies consult BMLTA, a state transport authority and not the ULG, when preparing their investment programmes. None of this is a duty on BMRCL to consult the ULG, obtain its concurrence or plan jointly with it. Not every legal layer is in the Sheet, so I cannot show that such a duty is affirmatively absent. | EVIDENCE: ULG side: Greater Bengaluru Governance Act, 2024 (Act 36 of 2025), PRS text [BMRCL-02]. (1) s.2(54) names 'Bengaluru Metro Rail Corporation Limited' as a 'Public authority'. (2) s.14(4) 'Co-ordination and Supervision of Public Authorities': GBA integrates and supervises BMRCL and others, 'issuing directions for the same which shall be binding'. Public authorities 'shall cooperate ... and obey its directions'. This is a general supervisory power that a ULG body can ex</t>
  </si>
  <si>
    <t xml:space="preserve">The Greater Bengaluru Governance Act, 2024 Act No. 36 of 2025 [BMRCL-02]</t>
  </si>
  <si>
    <t xml:space="preserve">The Greater Bengaluru Authority may assign the task of planning the major infrastructural projects in the Greater Bengaluru Area to such public authorities or any other agencies, bodies carrying out civic functions in the Greater Bengaluru Area or take such assistance from these agencies as is necessary for successful execution of the projects. The agencies shall be bound to assist the Greater Bengaluru Authority when called up on to do so.</t>
  </si>
  <si>
    <t xml:space="preserve">I left the Score blank for four reasons.
(1) SCALE-MISMATCH. The Step 2 record says the UPD1a rubric bands run 0-10 but the Max Score is 5. The input asks for a number from 0 to 5. The full rubric text and Detailed Methodology were not in the task material, so I cannot choose a band or convert one. A person needs to confirm the band and the conversion.
(2) RUBRIC-GAP / relationship judgement. I re-read BMRCL-02 (Greater Bengaluru Governance Act, Act 36 of 2025, as enacted, GBA era). It confirms these provisions:
- s.2(54) names BMRCL as a 'Public authority'.
- s.14(4): GBA integrates and supervises BMRCL's activities through directions 'which shall be binding'. Public authorities 'shall cooperate ... and obey its directions'.
- s.15(1): GBA 'shall be responsible to make master plan and mobility plans'.
- s.15(5): GBA 'may' give public authorities the job of planning major infrastructure projects. The agencies 'shall be bound to assist' when called on.
- s.13(1)(j): BMRCL's MD sits on the GBA Executive Committee.
These are ULG powers over BMRCL, plus a duty on BMRCL to assist when asked. None of them requires BMRCL to prepare its own plans in consultation with the ULG or with its concurrence. Whether they count as 'coordination with the ULG' is a methodological question for a person to decide.
On the other side, the BMLTA Act s.24(b) [BMRCL-08] makes consultation mandatory ('shall be prepared in consultation with the Authority'). But that Authority is BMLTA, a state transport authority, not the ULG. ULG Mayors and Commissioners sit on BMLTA only under the 2025 Amendment Bill [BMRCL-38], and the Sheet does not show that Bill enacted.
(3) No affirmative absence, so I cannot give 0. These instruments are missing from the Citation Sheet:
- the Metro Railways (Construction of Works) Act, 1978 (only the 2009 amending Bill, BMRCL-37, is present)
- BMRCL's Memorandum and Articles of Association
- GBA Rules and Regulations
- BMLTA Regulations
- the notification extending the Metro Railways (O&amp;M) Act to Bengaluru
- a consolidated, current KTCP Act
(4) What was checked: BMRCL-02, BMRCL-03, BMRCL-04, BMRCL-06, BMRCL-08, BMRCL-09 and BMRCL-38, as recorded in Step 2, and I re-read BMRCL-02 ss.14-15 myself. The Step 2 answer matches the source text.
A person should check:
(a) the band and the 0-10 to 5 conversion;
(b) whether ss.14(4) and 15(5) earn credit as coordination;
(c) the missing instruments listed in (3);
(d) whether the BMLTA Amendment Bill 2025 has been enacted.</t>
  </si>
  <si>
    <t xml:space="preserve">Bengaluru – BMRDA</t>
  </si>
  <si>
    <t xml:space="preserve">ANSWER: I can't settle this from the Citation Sheet. The operative text of the BMRDA Act, 1985 on how the Structure Plan is prepared, and on who sits on the Authority, is not in the sheet. Nothing in the sources I read requires BMRDA to prepare its Structure Plan or schemes jointly with the ULG (GBA and its City Corporations), with ULG concurrence, or after consulting the ULG. The links that do exist run the other way. BMRDA has a duty to coordinate the city government's activities. Under the state planning Act (KTCP Act), Planning Authorities in the region must send their master plans to the State Government through BMRDA, which acts as Director of Town Planning for those plans. Neither of these is the ULG taking part in BMRDA's own plans. | EVIDENCE: (1) BMRDA side. The functions page on BMRDA's website (BMRDA-02) paraphrases the Act and is not the Act's own text. It lists: "To prepare a structure plan for thent [sic] of the Bangalore Metropolitan Region"; "To entrust to any local authority the work of execution of any development plan or town planning scheme"; "To co-ordinate the activities of the Bangalore Development Authority, the Corporation of the City of Bangalore, the Bangalore WaterSupply and Sewerage Board...". BMRDA's 2022-23 Annual Report (BMRDA-03, p.10) says these functions sit in s.9 of the Act. In this list BMRDA coordinates the ULG and may extend assistance to or entrust work to local authorities. None of the listed functions requires ULG consultation or co</t>
  </si>
  <si>
    <t xml:space="preserve">Annual Report of Bangalore Metropolitan Region Development Authority for the year 2022-2023 [01-04-2022 to 31-03-2023] [BMRDA-03]</t>
  </si>
  <si>
    <t xml:space="preserve">https://kla.kar.nic.in/council/house/Paperlaid/152/37.pdf</t>
  </si>
  <si>
    <t xml:space="preserve">The Executive Committee is chaired by the Minister for Urban Development, while the Metropolitan Commissioner is the Vice Chairman and the Mayor of Bangalore, the Secretaries to Government and heads of several related departments/ organisations are the Members.</t>
  </si>
  <si>
    <t xml:space="preserve">I left the score blank for two separate reasons.
(1) SCALE-MISMATCH. The Step 2 record says the rubric bands are 0/2.5/5/7.5/10, but the Max Score is 5. Under the v2 rules I can't map or interpolate a band, so the research team needs to confirm the scale before anyone scores this.
(2) The evidence is incomplete, so I can't show affirmative absence. The Citation Sheet does not contain the text of the BMRDA Act 1985 itself (its Structure Plan preparation, publication and approval sections, or its membership provisions). It also lacks the BMRDA Rules and Regulations.
Correction to Step 2: Step 2 says it found no ULG role. But the BMRDA 2022-23 Annual Report (BMRDA-03, p.10, Item 3) shows a formal ULG presence on BMRDA's governing bodies:
- The Mayor of Bangalore sits on the Executive Committee.
- The Act provides for the Government to nominate representatives of the Local Authorities from the Region to the Authority. However, the report says these nominated seats have been vacant since July 2005.
This is the Annual Report's paraphrase, not the Act's text. It also predates GBA: the Mayor post and BBMP have since been replaced by GBA and its City Corporations. Someone needs to check:
- whether the Executive Committee or the Authority approves the Structure Plan (the Revised Structure Plan-2031 was approved by Government order UDD/149/BMR/2014 dated 08/05/2017, per p.11);
- whether a GBA-era official has replaced the Mayor.
So a rubric 0 ('no formal role') is not supported. A positive band can't be set without the Act's text and the rubric definitions either.
What else I checked:
- BMRDA-02, the website functions page. It is a paraphrase of s.9. BMRDA coordinates the ULG and may entrust work to or assist local authorities. It does not mention ULG consultation or concurrence on the Structure Plan.
- BMRDA-08, KTCP Act s.81-C. Master plans of Planning Authorities in the region are sent through BMRDA. This runs the opposite way: BMRDA has a role in their plans, not the ULG in BMRDA's.
- BMRDA-10, the GBA Act (functions section, the BMPC under Art. 243ZE). BMRDA is not named in the GBA coordination list. I could not read the full BMPC clause.
- BMRDA-11, BMLTA Act s.22. This concerns BMLTA, not a ULG role in BMRDA's plans.
A person should obtain the BMRDA Act 1985 (sections on composition, the Executive Committee and the Structure Plan) and the BMRDA Rules. They should then confirm the rubric scale and score this.</t>
  </si>
  <si>
    <t xml:space="preserve">Surat – SUDA</t>
  </si>
  <si>
    <t xml:space="preserve">Insufficient Evidence</t>
  </si>
  <si>
    <t xml:space="preserve">Step 2 found no evidence: a source needs to be found and added. Step 2 found no evidence (Insufficient Evidence). Source needed: The full current consolidated text of the Gujarat Town Planning and Urban Development Act, 1976, specifically ss.9-17 and 19-22 on preparing, publishing, revising and sanctioning development plans and on UDA board composition, plus the town planning scheme sections, from an official Gujarat legislative or Urban Development Department source. Also the Gujarat Metropolitan Planning Committees Act, 2008, and the full GPMC Act 1949, to check for any ULG approval or consultation role in SUDA's plans.</t>
  </si>
  <si>
    <t xml:space="preserve">Surat – GMRC</t>
  </si>
  <si>
    <t xml:space="preserve">Step 2 found no evidence: a source needs to be found and added. Step 2 found no evidence (Insufficient Evidence). Source needed: Needed: the full text of the Metro Railways (Construction of Works) Act 1978 and the Metro Railways (Operation &amp; Maintenance) Act 2002 (as amended in 2009), plus the central notification applying them to Surat, from an official Government of India source; GMRC's Memorandum and Articles of Association and the tripartite GoI–GoG–GMRC MoU; any Gujarat UMTA Act or notification; the current consolidated Gujarat Town Planning and Urban Development Act 1976 from the Gujarat Legislative Department; any Gujarat GO or Rules on metro-corridor or TOD planning that give Surat Municipal Corporation a consultation or concurrence role.</t>
  </si>
  <si>
    <t xml:space="preserve">UPD1b</t>
  </si>
  <si>
    <t xml:space="preserve">Step 2 found no evidence: a source needs to be found and added. Step 2 found no evidence (Insufficient Evidence). Source needed: Any of these would answer the question: the BWSSB Vision Document / strategic Master plan 2050 itself, including its preparation, stakeholder-consultation and approval chapters; minutes of the BWSSB Board meeting and Consultative Committee (s.14) meetings that considered or approved it, with attendance and any GBA or City Corporation input; GBA or City Corporation council or Executive Committee resolutions or letters commenting on BWSSB plans; or a recent BWSSB annual report (after 2016-17) describing how the plan was prepared.</t>
  </si>
  <si>
    <t xml:space="preserve">Step 2 found no evidence: a source needs to be found and added. Step 2 found no evidence (Insufficient Evidence). Source needed: BMTC's latest plan document (annual development plan, business or fleet plan, or route rationalisation plan) showing ULG inputs or concurrence. BMTC Board minutes recording GBA/City Corporation (or earlier BBMP) participation. GBA or City Corporation council or standing-committee resolutions or letters commenting on BMTC plans, and any BMTC replies. For Bengaluru bus priority lanes specifically: the joint ULB-BMTC proposal or DULT sanction record naming the ULG as co-applicant.</t>
  </si>
  <si>
    <t xml:space="preserve">Step 2 found no evidence: a source needs to be found and added. Step 2 found no evidence (Insufficient Evidence). Source needed: The documents from BDA's latest plan-making cycle: the latest Revised Master Plan or draft master plan and its report, especially any chapter on stakeholder or agency consultation. Also BDA Authority meeting minutes approving the draft plan; BBMP, GBA or City Corporation council or standing-committee resolutions, or letters commenting on the BDA draft plan; and any BDA record of how it considered and answered those ULG comments. A government notification or official statement would also be needed to show which body runs the current master-plan cycle for the Greater Bengaluru Area, and whether the KTCP (Amendment) 2025 has come into force.</t>
  </si>
  <si>
    <t xml:space="preserve">Step 2 found no evidence: a source needs to be found and added. Step 2 found no evidence (Insufficient Evidence). Source needed: Records from BMRCL's latest plan-making cycle showing what the ULG did: (a) the latest DPR (e.g. Phase-3 or later) with its stakeholder-consultation annex; (b) BMRCL letters asking BBMP, GBA or the City Corporations for comments, and their replies; (c) minutes of GBA authority meetings or City Corporation council or standing-committee meetings that discussed BMRCL plans (e.g. the Parking Policy or new corridors); (d) a GO or Board approval note for the Metro Parking Policy 2025 listing who was consulted; (e) a recent BMRCL annual report (FY2023-24 or later) describing coordination with the ULG.</t>
  </si>
  <si>
    <t xml:space="preserve">Step 2 found no evidence: a source needs to be found and added. Step 2 found no evidence (Insufficient Evidence). Source needed: Any of these would answer it: the RSP-2031 report (draft or final), especially any chapter on stakeholder consultation; BMRDA Authority or Executive Committee minutes from the RSP-2031 preparation and approval (2014-2017) showing BBMP or Mayor inputs; BBMP council or standing committee resolutions or letters commenting on the draft Structure Plan, and BMRDA's responses; or, if a new Structure Plan cycle has started, GBA-era consultation records.</t>
  </si>
  <si>
    <t xml:space="preserve">Answered — Verified Source</t>
  </si>
  <si>
    <t xml:space="preserve">ANSWER: Yes, at the level of formal consultation. In SUDA's latest plan cycle in the Citation Sheet, the Development Plan 2035 (2013-2017), the Mayor of Surat Municipal Corporation (SMC) was formally invited on 22.04.2016 to discuss the plan, together with all MPs, MLAs and the Surat Zilla Panchayat President, and their suggestions were invited. The plan document gives no record of what SMC itself said or how SUDA considered or answered SMC's inputs. It also shows no joint preparation with SMC and no concurrence or approval by SMC. This matches the 5 band ('formally consulted or invited to provide inputs, but no evidence of how these inputs were considered'). | EVIDENCE: (1) SUDA-14, DP 2035 (2017), Ch.16 'Stakeholders Consultation', p.183 (doc p.166): 'All MP, MLA, Surat Zilla Panchayat President and Mayor (SMC) were invited on 22.04.2016 for detailed discussion on Development Plan 2035... their suggestions on the same were invited.' Table 116 (p.184 / doc p.167) gives only a combined count of 136 suggestions from all elected representatives, split by topic (Zoning 42, Road 39, Reservation 23, GDCR 16, SUDA Extension 7, Others 9). It does not say which came from the Mayor or SMC, and gives no response to them. (2) SUDA-14 §2.2 (pp.31-32): study groups, eight sub-committees and a Core Committee were formed. Ch.16 (p.183) says these committees 'included internal as well as external members' and that about 60 meetings were held. Members are not named, so no SMC role on these co</t>
  </si>
  <si>
    <t xml:space="preserve">DEVELOPMENT PLAN 2035 2017 SURAT URBAN DEVELOPMENT AUTHORITY [SUDA-14]</t>
  </si>
  <si>
    <t xml:space="preserve">https://www.sudaonline.org/wp-content/uploads/2017/03/SUDA-DP-2035-report-final-22.02.2017.pdf</t>
  </si>
  <si>
    <t xml:space="preserve">All MP, MLA, Surat Zilla Panchayat President and Mayor (SMC) were invited on 22.04.2016  for detailed discussion on Development Plan 2035. Discussion on various issues were carried out and their suggestions on the same were invited.</t>
  </si>
  <si>
    <t xml:space="preserve">SCALE-MISMATCH. The Step 2 answer says the rubric runs 0-10 (top band 10 = substantive participation; band 5 = formally consulted or invited to give inputs, with no evidence of how they were considered). The Max Score is 5, and the input column also asks for 0-5. The question-bank anomaly rule says not to score a scale mismatch, so the Score is left blank. RAW BAND = 5 on the 0-10 rubric. A reviewer must decide how this maps to the 0-5 workbook scale. Do not just enter 5 or halve it to 2.5 without confirmation.
The source supports Step 2's band reading:
(1) SUDA-14 Ch.16, p.183: SMC's Mayor was invited on 22.04.2016, together with MPs, MLAs and the Zilla Panchayat President, to discuss DP 2035, and their suggestions were invited.
(2) Table 116 gives only a combined count of 136 suggestions from all elected representatives. Nothing is attributed to SMC, and there is no record of how SUDA answered them.
(3) §2.2 and Ch.16: the Core Committee and the eight sub-committees had 'internal as well as external members', but members are not named, so no SMC role is shown.
(4) The SUDA Board in the 2016 SUDA Board list (§1.4.1, Table 5 in SUDA-14) includes SMC's Standing Committee Chairman, Municipal Commissioner and City Engineer. This is institutional design only. No Board minutes approving DP 2035 are in the Sheet.
(5) The general public notice under s.13 is not ULG consultation.
Please check:
(a) how the 0-10 rubric maps to the 0-5 Max Score;
(b) whether a mixed meeting of elected representatives that included the Mayor counts as formal ULG consultation;
(c) whether SUDA Board or Core Committee minutes exist that could support a higher band.
The Sheet has no SMC resolution or comments on DP 2035 and no SUDA response to SMC inputs.</t>
  </si>
  <si>
    <t xml:space="preserve">ANSWER: Yes, for the latest plan cycle in the Citation Sheet (the Surat Metro Rail Phase-I DPR, December 2018), the DPR records substantive participation by Surat Municipal Corporation (SMC). SMC commissioned the Comprehensive Mobility Plan (CMP) and the travel-demand study the DPR is built on. Corridor options were presented to SMC authorities 'on various occasions', and the three corridors sent to the High Powered Committee were shortlisted 'on the suggestions of SMC &amp; CEPT'. SMC's TOD revenue figures, land rates and its decision on the railway-station hub (MMTH) tunnel road were written into the DPR. This is documented consideration of, and response to, ULG input, which fits the top band ('substantive participation'). | EVIDENCE: (1) GMRC-08 DPR Ch.1 p.92: alignment options were 'presented before the concerned authorities of Surat Municipal Corporation (SMC) on various occasions', and 'on the suggestions of SMC &amp; CEPT, following three corridors were shortlisted and presented before High Powered Committee (HPC)' on 13.01.2017. The HPC then approved 2 corridors (MoM letter GUDC/METRO/HPC/2017/182 dt 23.01.2017). (2) GMRC-08 Exec Summary pp.8-9 and Ch.2 pp.98-102: the CMP 2017 'got completed by Surat Municipal Corporation (SMC) through ... CEPT'. The demand estimate for Phase-I corridors was done by CEPT, 'entrusted this assignment by Surat Municipal Corporation (SMC) vide their letter No. CE.Spl.Cell/Out/339 dated 31.08.2016'. A gist of the CMP is included in the DPR. (3) GM</t>
  </si>
  <si>
    <t xml:space="preserve">DPR for Metro Rail Project in Surat, Gujarat (December 2018) [GMRC-08]</t>
  </si>
  <si>
    <t xml:space="preserve">https://www.gujaratmetrorail.com/wp-content/uploads/DPR/Surat-DPR-2020_opt.pdf</t>
  </si>
  <si>
    <t xml:space="preserve">Subsequently, on the suggestions of SMC &amp; CEPT, following three corridors were shortlisted and presented before High Powered Committee (HPC) in a meeting held on 13.01.2017 at Ahmedabad</t>
  </si>
  <si>
    <t xml:space="preserve">I left the Score blank because of SCALE-MISMATCH. Step 2 and the question-bank anomaly note for UPD 1b both say the top rubric band is 'raw 10', while the input runs 0 to 5. The top band is not the Max Score and is not a sum of components, so I am not converting it. The team needs to confirm how the 10-point rubric maps onto the 0-5 input.
The evidence itself fits the top band ('substantive ULG participation: documented consideration of and response to ULG inputs'). I checked these points against GMRC-08 (DPR, December 2018, Phase-I):
(1) The alignment options were presented to SMC 'on various occasions'. The three corridors sent to the HPC were then shortlisted 'on the suggestions of SMC &amp; CEPT' (Ch.1 p.92).
(2) SMC commissioned the CMP 2017 and the CEPT demand study (letter CE.Spl.Cell/Out/339 dated 31.08.2016). The DPR says it was prepared 'in line with' that study (Exec Summary §0.2.1, §0.3; Ch.2 §2.3.1).
(3) The MMTH integration and tunnel-road decision came out of 'a series of meetings ... in the office of The Commissioner, Surat Municipal Corporation'. SMC supplied the cost estimate, and the executing agency is to be decided 'in consultation with SMC' (§0.19.2; Ch.19 §19.13).
(4) SMC's TOD revenue figures (letter dated 22-12-2017) were written into the DPR (Ch.18 p.692).
Points a person should check:
(a) Final corridor approval came from a state HPC, not SMC. SMC shaped the inputs and the shortlist but did not concur or approve.
(b) The DPR was prepared by DMRC at the request of GoG/MEGA. GMRC-25 says MEGA is GMRC's former name, which is what ties this plan to GMRC.
(c) I could not see Annexure-A / Table 1.7, the list of SMC presentations.
(d) The Citation Sheet has no Phase-II plan, so it is unconfirmed that this is the latest plan cycle.
(e) The task input leaves the ULG blank. Only the DPR names SMC as the city corporation.
(f) GMRC-09, -10 and -11 record consultations with communities and the public, not with the ULG.
If the team confirms the top band maps to the Max Score, the evidence would support 5, subject to points (d) and (e).</t>
  </si>
  <si>
    <t xml:space="preserve">UPD2a</t>
  </si>
  <si>
    <t xml:space="preserve">ANSWER: I can't confirm or rule out a mandate from the Citation Sheet. The BWSSB Act says nothing about it: it contains no provision, with either 'shall' or 'may', requiring BWSSB's water supply or sewerage schemes to conform to or be consistent with a city, metropolitan or regional master plan or development plan. On the city government (ULG) side, the Greater Bengaluru Governance Act gives the Greater Bengaluru Authority (GBA) binding coordination and direction powers over BWSSB. It does not state a duty on BWSSB to make its plans consistent with the master plan. The Karnataka Town and Country Planning Act, 1961, which the methodology says to review, is not in the Citation Sheet. So I can't establish that no such provision exists, which a score of 0 would require. | EVIDENCE: (1) BWSSB Act 1964 (BWSSB-02). s.15(1) gives the general duty to supply water and provide sewerage in the Bangalore Metropolitan Area. Under s.15(2)(b)-(c) 'it shall be the duty of the Board to take steps from time to time' to prepare and carry out water supply and sewerage schemes. The proviso says schemes costing over Rs 1 crore need 'the approval of the State Government'. s.15(3) sets what schemes must contain (piped supply to every part with houses, and so on). None of these refers to a master plan or development plan. Other provisions: s.14 creates an advisory Consultative Committee (advises on 'major questions of policy and major schemes'), which is advice, not a consistency duty. Under s.89 the </t>
  </si>
  <si>
    <t xml:space="preserve">The Greater Bengaluru Governance Act, 2024 Act No. 36 of 2025 [BWSSB-04]</t>
  </si>
  <si>
    <t xml:space="preserve">issuing directions for the same which shall be binding; and all the public authorities shall cooperate with the Greater Bengaluru Authority for successful coordination and obey its directions issued, in discharge of functions assigned in this Act.</t>
  </si>
  <si>
    <t xml:space="preserve">I left the score blank. The Citation Sheet doesn't show whether there is a legal requirement for BWSSB's plans to be consistent with a city, metropolitan or regional master plan or development plan, and a 0 needs affirmative absence, which I can't show. I agree with the Step 2 answer. (1) BWSSB Act 1964 (BWSSB-02), PRS copy as amended up to 2010. I re-read s.15(1)-(7), the general duties and schemes. s.15(2)(b)-(c) say 'it shall be the duty of the Board to take steps from time to time' to prepare and carry out water supply and sewerage schemes. The proviso requires State Government approval for schemes over Rs 1 crore. s.15(3) sets what schemes must contain. None of these refers to a master plan or development plan. The Step 2 answer also reports that s.14 (advisory Consultative Committee) and s.89 (State directions) have no conformity clause. (2) Greater Bengaluru Governance Act 2024, Act 36 of 2025 (BWSSB-04), which is the city government (ULG) side, GBA era. s.14(2)(a) makes GBA the Planning Authority under the KTCP Act 1961. s.14(3)(b) gives GBA binding directions for coordinating the execution of schemes that implement GBA plans. s.14(4) names BWSSB among the public authorities GBA integrates and supervises, and those authorities 'shall cooperate... and obey its directions'. s.15(1) puts the master plan on GBA. The duty to 'incorporate the infrastructure development plan' falls on the City Corporations, not BWSSB. s.15(5) says agencies are 'bound to assist'. s.19 covers State Government directions. These are binding direction and coordination powers held by GBA and the State. None of them is an express requirement that BWSSB's own plans or schemes conform to the master plan. Whether a binding direction power counts as the middle band (alignment that is discretionary or not mandated) is a judgement for the team: CONFIRM. (3) Missing layers: the Karnataka Town and Country Planning Act 1961 isn't in the Sheet. It is the instrument most likely to make master plans or development plans binding on public authorities or their works, and the methodology says to review it. BWSSB Rules (s.87), BWSSB Regulations (s.88) and any GO on BWSSB planning are also not in the Sheet. Searches of the Sheet for 'master plan conform consistent development plan public authorities' and 'Town and Country Planning Act comprehensive development plan Board schemes' found nothing beyond the GBA Act provisions above. (4) Era: the PRS copy of the BWSSB Act still names the Bruhat Bangalore Mahanagara Palike. No source in the Sheet shows GBA or the City Corporations substituted into the BWSSB Act: CONFIRM. To score this, the team needs to add the official text of the KTCP Act 1961 (current amended version), especially the provisions on the effect of master plans on public authorities and their development, and confirm the band for the GBA direction powers.</t>
  </si>
  <si>
    <t xml:space="preserve">UPD2b</t>
  </si>
  <si>
    <t xml:space="preserve">Step 2 found no evidence: a source needs to be found and added. Step 2 found no evidence (Insufficient Evidence). Source needed: (1) BWSSB's current water supply and sewerage master plan or 2050 vision and strategic master plan document, showing its population source and how it sets service areas and sites major works (treatment plants, pumping stations, reservoirs, trunk mains). (2) The applicable statutory spatial plan for the same area: the BDA Revised Master Plan in force, or any GBA- or BMRDA-era development or regional plan, with its land-use and growth framework and population projections. (3) Where readily available, land-use conversion or regularisation orders or records for major BWSSB treatment plants or trunk infrastructure.</t>
  </si>
  <si>
    <t xml:space="preserve">UPD2c</t>
  </si>
  <si>
    <t xml:space="preserve">ANSWER: No source in the Citation Sheet says that BMTC 'shall' (or 'may') make its own spatial or sectoral plan consistent with the city master plan or the metropolitan/regional plan. The only binding consistency duty found is indirect, and it ties BMTC to the Comprehensive Mobility Plan (CMP), not to a master plan. Under the Bengaluru Metropolitan Land Transport Authority (BMLTA) Act, an 'Urban Transport Agency' such as BMTC needs BMLTA approval for major urban transport projects, judged on consistency with the CMP. BMLTA prepares the CMP 'in conjunction with' the applicable land use plan. Whether this two-step chain, or the general Town and Country Planning (T&amp;CP) rule that all development must conform to the master plan, counts for this question is a methodology call. Score left blank. | EVIDENCE: (1) Parastatal Act: Road Transport Corporations Act, 1950 (BMTC-02). s.3 (setting up corporations: coordination with other transport), s.5 (Board), s.18 (general duty: 'efficient, adequate, economical and properly co-ordinated system of road transport services'), s.19 (powers), s.20 (route extension schemes). None of these mentions a master plan, a development plan or a land-use plan. (2) BMLTA Act, 2022 (Karnataka Act 6 of 2023; PRS text with Act 10 of 2026 appended) (BMTC-06). s.2(ff): 'Urban Transport Agency' means 'both the private and public agencies engaged in providing of Urban Mobility'. The Statement of Objects names the Bengaluru Metropolitan Transport Corporation among</t>
  </si>
  <si>
    <t xml:space="preserve">The Bengaluru Metropolitan Land Transport Authority Act, 2022 Act No. 6 of 2023 (Amendment appended: 10 of 2026) [BMTC-06]</t>
  </si>
  <si>
    <t xml:space="preserve">https://prsindia.org/files/bills_acts/acts_states/karnataka/2023/Act6of2023Karnataka.pdf</t>
  </si>
  <si>
    <t xml:space="preserve">(a) The Sectoral Mobility Investment Program shall be aligned with the goals of the Comprehensive Mobility Plan; (b) The Sectoral Mobility Investment Program shall be prepared in consultation with the Authority;</t>
  </si>
  <si>
    <t xml:space="preserve">Score left blank. The Citation Sheet does not support 2.5 (BMTC 'shall' make its plans consistent with the master/metropolitan plan) or 1.25 (a 'may' provision). It also does not establish affirmative absence, so 0 cannot be given. I checked the Step 2 answer against the sources and add these findings. (1) BMTC-06 s.24(a) is a binding 'shall', but it ties the Sectoral Mobility Investment Program of each Urban Transport Agency to the goals of the Comprehensive Mobility Plan (CMP), not to the master plan. Step 2 had not read s.24; this is the strongest provision found. s.25(1)(c) also requires extra Annual Implementation Plan projects to 'align with the Comprehensive Mobility Plan goals'. s.19(1) adds project approval 'from the perspective of consistency with the Comprehensive Mobility Plan'. The CMP is prepared by BMLTA 'in conjunction with ... the land use plan' (s.21(2)), so the link to the master plan is indirect and is BMLTA's duty, not BMTC's. (2) BMTC-04 (GBA Act 36 of 2025): s.14(4) names BMTC among the public authorities that GBA integrates and supervises. GBA's directions are binding, and BMTC must incorporate GBA's coordinating role in its Memorandum of Association. s.14(3)(b) makes GBA directions binding when it coordinates schemes that implement plans prepared by GBA. s.15(1) makes GBA responsible for the 'master plan and mobility plans', but only the City Corporations are told they 'shall incorporate' GBA's infrastructure development plan; BMTC is not. These are coordination and direction powers, not a mandate that BMTC's own plans be consistent with the master plan. (3) BMTC-07, Karnataka Town and Country Planning (KTCP) Act s.14(1): every development must conform to the Master Plan. This is general development control, not plan consistency, and BMLTA s.60(2) may override it. (4) BMTC-02, Road Transport Corporations Act 1950 (s.3, 5, 18, 19, 20): no mention of a master plan. Gaps: there are no Karnataka rules under the 1950 Act, no BMLTA Rules or Regulations (s.54(ix) leaves the procedure for the City Mobility Investment Program (CMIP) and Sectoral Mobility Investment Programs to regulations), and no BMTC MoA (which s.14(4) of the GBA Act requires to be amended). BMTC-20 (BMTC 'Rules And Regulations' page) was not shown to me. FOR THE TEAM: (a) Does a binding 'shall align with the CMP' duty (BMLTA s.24(a)) meet the 2.5 band, when the CMP is a metropolitan mobility plan prepared with the land use plan? If yes, 2.5 is supported by BMTC-06 s.24(a). If the question requires conformity with the statutory master, metropolitan or regional spatial plan, the result stays 'not found' until the Rules, Regulations and MoA are checked. (b) Please confirm BMTC is an 'Urban Transport Agency' under s.2(ff); BMTC is named only in the Statement of Objects. Source is the PRS text (Act 6 of 2023, with Amendment Act 10 of 2026 appended); this is a secondary source.</t>
  </si>
  <si>
    <t xml:space="preserve">UPD2d</t>
  </si>
  <si>
    <t xml:space="preserve">Step 2 found no evidence: a source needs to be found and added. Step 2 found no evidence (Insufficient Evidence). Source needed: Needed: (1) BMTC's current network or route-rationalisation plan, fleet and depot expansion plan, Sectoral Mobility Investment Programme or Annual Implementation Plan under the BMLTA Act ss.24-25, or the 'BMTC Vision 2025' document itself. Any of these should show whether master-plan growth corridors, land use or density projections decide where routes, depots and terminals go. (2) The applicable statutory master plan for Bengaluru: the current revised master plan, or any GBA or BMPC development plan. (3) The Bengaluru Comprehensive Mobility Plan, if BMTC's planning flows through it. (4) For the context check, which does not affect the score: land-use conversion or regularisation records, or BMTC annual report or board notes, for major depots and TTMCs.</t>
  </si>
  <si>
    <t xml:space="preserve">UPD3a</t>
  </si>
  <si>
    <t xml:space="preserve">ANSWER: Only partly answered. The BWSSB Act contains one binding, general access duty: water supply schemes 'shall' provide piped water to every part of the Bangalore Metropolitan Area that has houses. Where pipes are not practicable at reasonable cost, the scheme must provide a public supply within a reasonable distance of every house. That duty is limited by reasonable cost and covers only water supply schemes, not sewerage. No source in the Citation Sheet sets an explicit requirement on women, the urban poor or slums, persons with disabilities, affordability or concessional tariffs, a minimum or lifeline supply, or access regardless of land tenure. The tariff regulations and the water supply regulations are not in the Citation Sheet, so the score is not decided. | EVIDENCE: (1) BWSSB Act 1964 (PRS text), s.15(2)(b) and s.15(3)(a)-(b), parastatal side: a scheme 'shall inter alia make provision' for piped wholesome water to every part with houses, 'at a reasonable cost'. Where piping is impracticable and the existing supply endangers health, it must provide a supply 'as far as possible' within 'a reasonable distance of every house'. Under s.15(4) the State Government settles any dispute on 'reasonable cost'. s.15(5): the Board 'shall', 'as far as is reasonably practicable', make sure every house has enough water, by using its powers over house owners. (2) s.38(1): the Board 'may', subject to payment by the city corporation (BBMP), 'provide gratuitous supply of wholesome wate</t>
  </si>
  <si>
    <t xml:space="preserve">A scheme under clause (b) of sub-section (2) shall inter alia make provision,— (a) for a supply of wholesome water in pipes to every part of the Bangalore Metropolitan Area in which there are houses, for the domestic purposes of the occupants thereof</t>
  </si>
  <si>
    <t xml:space="preserve">SCORE LEFT BLANK. This prompt did not give me the question text, the Detailed Methodology or the rubric bands for UPD3a, so I cannot match the evidence to a band. A person must apply the rubric.
I checked the Step 2 answer against the source and it holds:
(1) BWSSB-02, s.15(3)(a)-(b): a binding 'shall' duty. Water supply schemes must provide piped water to every part of the Bangalore Metropolitan Area that has houses. Where pipes are not practicable at reasonable cost, they must provide a public supply within a reasonable distance of every house. The duty is limited by reasonable cost and practicability (s.15(4): the State Government decides those questions). It covers water supply only, not sewerage.
(2) s.38(1) (free public supply through hydrants) and s.61A(d) (bye-laws for 'equitable distribution of water supplied to occupiers') both say 'may', so they are discretionary.
(3) The Act has no provision on women, the urban poor or slums, persons with disabilities, lifeline or concessional tariffs, or access regardless of land tenure.
(4) BWSSB-13 (website 'Our Services', undated) describes services for the urban poor: lower connection charges (Rs.550 for houses up to 150 sq.ft.; Rs.800 for 151-600 sq.ft.), payment in two instalments, any proof of residence accepted, and shared connections for communities without tenure security. The page cites no regulation, Board resolution or GO for these measures. It describes a programme that dates from 2003-2006 and the JICA project. It is not a binding instrument.
I searched the Citation Sheet for tariff, lifeline, slum and concession provisions. None of the BWSS water supply/sewerage regulations (the website cites 'regulation 5.1'), tariff notifications, Board resolutions or GOs is in the sheet. This is the regulations and tariff layer.
A 0 is not supportable for two reasons: there is no affirmative absence, and the s.15(3) universal-access duty exists. The top band cannot be judged until the regulations and tariff layer is seen. Step 2 gave a provisional 2.5, which depends on two things the team must confirm: whether that band exists in the rubric (a SCALE-MISMATCH or RUBRIC-GAP check), and whether a general universal-supply duty counts as an equity requirement.
Period: the Act text is the PRS copy, as amended up to Act 15 of 2010. Later amendments were not verified. The Act still names BBMP. Whether GBA or the city corporations have been substituted is not verified and should be flagged for the team.</t>
  </si>
  <si>
    <t xml:space="preserve">UPD3b</t>
  </si>
  <si>
    <t xml:space="preserve">ANSWER: In part. BWSSB's own website shows measures for slum residents and the urban poor: lower connection charges, payment in instalments, simpler documents, shared connections for communities with no land tenure, free water meters and waiver of interest on overdue bills in slums. It also mentions a JICA-assisted Slum Development component meant to cover all slums in the core area. All of this is undated or historical (2000–2006 pilots, the BBMP era, a JBIC/JICA project said to be 'currently under implementation'). No current water-supply plan, current tariff order or design standard is in the Citation Sheet. No measure for women, persons with disabilities or elderly people was found in the sources read. So the evidence does not show current practice, and Component 2 cannot be decided. | EVIDENCE: (1) BWSSB-13, 'Our Services' page, section 'Services for Urban Poor – BWSSB's Experiments and Future Plans'. This is the Board's official page, era: BBMP-era (it refers to the 'BBMP area'). (a) Affordability: 'BWSSB has offered a rationalized reduction in the connection rates' by house size, ≤150 sq ft pays only the Rs.550 meter cost; 'slum dwellers are allowed to pay the connection charges in two installments'; simpler connection papers (hakku patras, ration card, election ID card, KSCB ID). (b) Coverage/service planning: 'shared metered connections, on payment... for... communities without security of tenure are being provided'; a Social Development Unit working with NGOs and CB</t>
  </si>
  <si>
    <t xml:space="preserve">Our Services - Bangalore Water Supply and Sewerage Board [BWSSB-13]</t>
  </si>
  <si>
    <t xml:space="preserve">https://bwssb.karnataka.gov.in/info-1/Our+Services/en</t>
  </si>
  <si>
    <t xml:space="preserve">BWSSB has offered a rationalized reduction in the connection rates. A house with an area of 150 sq.ft. is required to pay only the meter cost of Rs.550/; between 151sq.ft. and 600 sq.ft. RS. 800/ (meter cost of Rs.550 + Rs.250 as cost of UGD connection) and a house above 600 sq. ft. has to pay the regular rates.</t>
  </si>
  <si>
    <t xml:space="preserve">I left the score blank. I agree with the Step 2 answer, which matches the source. BWSSB-13 is the Board's official page on karnataka.gov.in, but it is undated and refers to the 'BBMP area' (BBMP-era wording). It describes these slum measures: lower connection charges by house size, payment in two instalments, simpler documents (hakku patras, ration card, election ID), and shared metered connections 'for... communities without security of tenure'. On their face these would meet Component 1, which Step 2 put at 2.5: one affordability measure plus one slum-coverage measure that does not depend on land tenure. But the programmes the page names are historical: the AusAID pilot (2000-02), the Package Programme (2003-06) and a JBIC/JICA slum component still described as 'currently under implementation'. Nothing dates these measures to the current plan, and this is an Implementation question about current practice. BWSSB-41 (Achievements: free meters for slum households, interest waiver on overdue bills) is also undated. I re-read BWSSB-07: its ongoing-projects item '6. Slum Developme[nt]' is cut off in the saved text and could not be read. Its Vision Document 2050 passage is generic and has no equity content. A search of the whole Citation Sheet for women, persons with disabilities, elderly people, public taps and design found nothing on BWSSB service design. The only hits were the GBG Act (BWSSB-04) Schedule I social-welfare functions, which belong to the city government, not the Board. Component 2 (gender, disability, elderly, siting or design) therefore cannot be scored 0, because absence is not affirmative. These documents are not in the Citation Sheet: the Vision Document 2050 PDF, the 2025 water tariff ready reckoner, any current slum or lifeline tariff order, current DPRs (CWSS Stage V, 110 villages), and a recent annual report (BWSSB-29 covers FY2016-17 and only contains a generic 'equitably' objective). Note: the full question text and Detailed Methodology were not in the task input. The component split (C1 up to 2.5, C2 up to 2.5) comes from the Step 2 notes and should be confirmed. Reviewer actions: (1) confirm whether the undated website text can count as the current framework; (2) add and read the Vision Document 2050, the Tariff 2025 and the full BWSSB-07 'Slum Development' item; (3) send the RTI to the BWSSB PIO on current slum, EWS and BPL concessions and any gender or disability design standards, FY2024-26.</t>
  </si>
  <si>
    <t xml:space="preserve">UPD4a</t>
  </si>
  <si>
    <t xml:space="preserve">ANSWER: None of the binding instruments in the Citation Sheet requires BMTC itself to consider the mobility needs of women, the urban poor or other vulnerable groups. The only binding provision found is in the BMLTA Act, 2022. It requires the Comprehensive Mobility Plan, which the Bengaluru Metropolitan Land Transport Authority (BMLTA) prepares, to include accessible mobility for persons with disabilities. BMTC is bound by this only indirectly: it has to follow BMLTA's policies, standards and plan. No binding provision on women, the urban poor, affordability or service to peripheral areas was found. The BMTC parent Act only lets the Corporation give free or concessional passes if it chooses ('may'). | EVIDENCE: (1) Road Transport Corporations Act, 1950 (BMTC-02). s.18 sets a general duty to provide an 'efficient, adequate, economical and properly co-ordinated system of road transport services'. This is generic wording and names no vulnerable group. Its proviso says the duty cannot be enforced in any court or tribunal. s.19(1)(d) gives a power, not a duty, 'to authorise the issue of passes to its employees and other persons either free of cost or at concessional rates and on such conditions as it may deem fit to impose'. s.34 lets the State Government issue general instructions, but no such instruction on concessions or vulnerable groups is in the sheet. (2) BMLTA Act, 2022 (Karnataka Act 6 of 2023), with amending Act 10 of 2026 appended (BMTC-06). The Comprehensive Mobility P</t>
  </si>
  <si>
    <t xml:space="preserve">(h) accessible mobility and transport for persons who are persons with benchmark disability and p erson with disability as defined under the Rights of persons with Disabilities Act, 2016 (Central Act 49 of 2016);</t>
  </si>
  <si>
    <t xml:space="preserve">Score left blank. Neither 2.5 nor 0 can be given safely on this evidence.
**What the evidence shows**
(1) The only binding provision on a vulnerable group is in the BMLTA Act. It uses 'shall include' for accessible mobility for persons with disabilities (item (h)). That duty sits on BMLTA's own Comprehensive Mobility Plan, not on BMTC. BMTC is bound only indirectly: plans made by other authorities must comply with BMLTA's Urban Mobility policies (first proviso), and agencies are bound by BMLTA's standards (s.14(1)(e), as Step 2 reports). Whether an indirect mandate covering one group counts as BMTC being 'mandated' is a judgement call for the team. If it does, the evidence fits the 'specific groups' band (2.5).
(2) Road Transport Corporations Act, 1950 (BMTC-02):
- s.19(1)(d), on passes 'free of cost or at concessional rates', is a power ('may'), not a duty.
- The s.18 duty is generic, names no vulnerable group, and its proviso makes it unenforceable.
(3) I checked the Step 2 answer against the sources and also looked at:
- BMTC-20 (the Rules and Regulations page). It lists only KSRTC employee and service regulations plus the KSRTC Rules, 1961. Those Rules are linked but their text is not in the sheet.
- BMTC-27 (Student Pass 2026-27). It says passes are issued free 'As per the directions of the Government of Karnataka'. That points to a state direction for students, but the order itself is not in the sheet, so it cannot be cited as a binding instrument.
- BMTC-25 (DULT, the Directorate of Urban Land Transport). It has a generic line on 'equality of access ... for all economic classes'. This is a departmental webpage, not a mandate on BMTC.
(4) Not credited, because none of these is a binding instrument: BMTC-32 (mission: 'Extend travel concession to the weaker sections'), BMTC-28 (one-off free travel for women on Women's Day 2023), and BMTC-27 (website description).
**Why 0 is not available**
Affirmative absence is not established. The sheet does not contain:
- any state GO on concessions (free travel for women, students, senior citizens, persons with disabilities);
- BMTC's Memorandum of Association or regulations on service or fares;
- the KSRTC Rules, 1961 text;
- BMLTA Rules, regulations or Urban Mobility policies;
- the RPwD Act, 2016 transport accessibility standards.
**Other issues**
- The Detailed Methodology and band text were not given in this task. The 2.5 'limited to specific groups' band is taken from the Step 2 notes and should be confirmed.
- BMTC's legal form needs checking: the GBA Act s.14(4) calls it a 'Corporation Limited' with a Memorandum of Association, while BMTC-02 is the 1950 Act.
- The team should add the missing concession GOs and BMLTA policies, then re-score.
**Period covered**
BMLTA Act as enacted (2023), with amending Act 10 of 2026 appended; BMTC website pages as of 30-09-2026.</t>
  </si>
  <si>
    <t xml:space="preserve">UPD4b</t>
  </si>
  <si>
    <t xml:space="preserve">ANSWER: Partly established. BMTC does run fare measures for some vulnerable groups. In 2026-27 it issues student passes free of charge. It sells senior-citizen passes at a lower price. Its homepage lists a 'Physically Challenged Scheme' and the 'Shakthi Scheme', though only by title. Its tender index also shows the women's safety work funded under the Nirbhaya scheme: an implementation agency chosen in 2020 and a functional audit in 2023 for a mobile app with a women's safety feature and an in-bus surveillance system in city buses. The Citation Sheet has no route or coverage commitment for an identified vulnerable group, such as informal settlements, low-income or peripheral areas, or last-mile links for underserved settlements. The metro-feeder and new-route announcements are general service changes. The Sheet also has no accessible-design measures (low-floor buses, ramps, priority seating), no gender screening in planning, and no BMTC mobility plan or service-design framework. | EVIDENCE: (1) BMTC-27, BMTC Student Pass page, 'Student Pass 2026-27' (last updated 30-09-2026): 'Bangalore Metropolitan Transport Corporation is issuing student passes at a free from the date of its formation for the benefit of students community'. This is an affordability measure for students. (2) BMTC-30, KarnatakaOne BMTC services page (reviewed 14 July 2026): 'Black Board Pass Rs 725/-' vs 'Sr. Citizen Black Board Pass Rs 650/-', and 'Pushpak Pass Rs 925/-' vs 'Sr. Citizen Pushpak Pass Rs 830/-</t>
  </si>
  <si>
    <t xml:space="preserve">Student Pass - Bengaluru Metropolitan Transport Corporation [BMTC-27]</t>
  </si>
  <si>
    <t xml:space="preserve">https://mybmtc.karnataka.gov.in/info-3/Student+Pass/en</t>
  </si>
  <si>
    <t xml:space="preserve">Bangalore Metropolitan Transport Corporation is issuing student passes at a free from the date of its formation for the benefit of students community.</t>
  </si>
  <si>
    <t xml:space="preserve">I left the score blank because two of the score components can't be decided from the Citation Sheet. I don't have the Detailed Methodology text, so I relied on the band structure set out in the Step 2 notes. A reviewer should check those bands against the question bank. Component 1, part (i), fare affordability for vulnerable groups: met for students and the elderly. (a) BMTC-27 (2026-27) says BMTC issues student passes free of charge (quoted above). (b) BMTC-30 (KarnatakaOne page, reviewed 14-07-2026) lists cheaper senior-citizen passes (Black Board Rs 650 vs Rs 725; Pushpak Rs 830 vs Rs 925). That page also says rates are subject to change and gives no date for them. (c) BMTC-32, the Vision and Mission page, lists 'Extend travel concession to the weaker sections of the society' as a mission. That is a general commitment, so I gave it no separate credit. Component 1, part (ii), route or coverage measures for an identified vulnerable group: not found. My searches for route coverage, underserved areas, slums and last-mile links returned only generic text (e.g. BMTC-32: 'serving urban, sub-urban and rural areas', 'every nook and corner of the city'). The metro-feeder and new-route press releases in BMTC-28 name no vulnerable group. The Sheet has no BMTC route-planning document or mobility plan, so absence is not established and I can't score this part 0. Component 2, a planning or design framework with specific operational measures: BMTC-10 shows the Nirbhaya-scheme women's-safety app, in-bus surveillance and passenger information system tenders: implementation agency selected on 01/12/2020, functional-audit agency on 30/8/2023, and a further tender on 16/10/2023. Only the tender titles are in the Sheet. Nothing shows the system is running now, or whether this counts as a 'current framework' for the top band. My search for low-floor, wheelchair or accessible-bus measures found nothing about BMTC. The only hit was the BMLTA Act's Comprehensive Mobility Plan clause in BMTC-06, which binds the BMLTA, not BMTC, so I gave it no credit. BMTC-01 links the 'Physically Challenged Scheme' and 'Shakthi Scheme' write-ups by title only; their terms are not in the Sheet. This is a VERIFICATION-LIMIT, not a negative finding. The Step 2 answer gives a range of 2.5 to 5. Picking any single number would be a guess, so I propose none. To settle the score, a reviewer needs: (1) the Shakti and Physically Challenged scheme write-ups (PDFs linked from BMTC-01); (2) any BMTC route or service plan naming underserved or low-income areas; (3) current evidence that the Nirbhaya system is operating, plus any accessible-fleet specifications; (4) the question's Detailed Methodology text to confirm the component bands; (5) a dated screenshot, which the question bank requires.</t>
  </si>
  <si>
    <t xml:space="preserve">UPD5a</t>
  </si>
  <si>
    <t xml:space="preserve">ANSWER: The Board's own Act has some explicit environmental provisions, but each covers only one function or concern. No provision found requires BWSSB to consider environmental sustainability across its core planning and service-delivery duties. The general duty in s.15(1)-(3) covers supplying wholesome water and providing sewerage and sewage disposal. It says nothing about sustainable sources, conservation, cutting water losses, reuse or climate resilience. The specific provisions are: (i) s.15(6) gives the Board a power ('shall also have power to insist'), not a duty, to make owners adopt rainwater harvesting and wastewater recycling; (ii) s.72A puts the rainwater-harvesting duty on building owners, not on the Board; (iii) s.74 bans discharge of untreated sewage into watercourses, but only from a date the Board appoints, with treatment set by bye-laws; (iv) ss.49, 52 and 60 prevent waste of water and pollution of the water supply. On this evidence the Act fits the 'limited to particular functions, schemes or environmental concerns' band (2.5). The score is left blank because State water policies and the Board's regulations and bye-laws are not in the Citation Sheet. | EVIDENCE: BWSSB Act 1964 (PRS consolidated text with amending Acts appended, BWSSB-02): (1) s.15(1)-(3) general duties: 'general duty of providing a supply and improving the existing supply of water ... and of making adequate provision for the sewerage and the disposal of the sewage'. Schemes are for 'supply </t>
  </si>
  <si>
    <t xml:space="preserve">The Board shall also have power to insist on owner, occupier or builder to adopt water conservation methods like rain water harvesting and recycling of waste water for non potable or potable purposes.</t>
  </si>
  <si>
    <t xml:space="preserve">I have left the score blank. The Citation Sheet does not contain all the legal layers this question needs, so the band cannot be set yet.
What I checked in the Act (BWSSB-02, PRS secondary copy, as amended up to Act 29 of 2021; era n/a):
- s.15(1) gives the Board a general duty to supply and improve water supply and to provide for sewerage and sewage disposal. It says nothing about environmental sustainability.
- s.15(6) says the Board 'shall also have power to insist' that owners adopt rainwater harvesting and waste-water recycling. This is a power aimed at consumers, not a duty on the Board to consider sustainability in its own planning.
- Narrower provisions also exist: s.72A (rainwater harvesting duty on owners), s.72 (separate drains for sewage and rainwater), s.74 proviso (treated discharge into watercourses, from a date the Board appoints and per bye-laws), and ss.49/52/60 (waste and pollution). Each covers one function or concern only.
- I agree with the Step 2 answer that the Act on its own fits the 'limited to particular functions or concerns' band (2.5), not the top band. I am relying on the band description given in the Step 2 answer, because the full Detailed Methodology text was not given to me here.
Why the score is still blank (rule 5/6, not an affirmative-absence case):
- BWSSB-38 (the Board's Notifications page) lists Board instruments whose text is not in the Citation Sheet and that I could not read:
  - 'STP Notification' (21-2-2018)
  - 'STP, School Notification Amendment of Reg. 7 and 36'
  - 'RWH Notification'
  - 'Guideline for packaged STP'
  - 'Tertiary treated water availability for non-potable purposes'
- These are the regulation and bye-law layer. They may add sewage-treatment or reuse duties, so they could change the band.
- Not in the sheet at all: any Karnataka State Water Policy or treated-wastewater reuse policy, and any Rules under the BWSSB Act.
- BWSSB-40 (Rain Water Harvesting page) is website description, not a binding instrument. It does not count as evidence for this law-level question.
- BWSSB-33 (Ground Water Act s.22(4)) gives local authorities, which by its s.2(k) definition include BWSSB, a 'may impose' power over rainwater-harvesting conditions on buildings. That is also limited to one concern.
What a reviewer should do:
- Fetch and read the notification PDFs listed on BWSSB-38 and any state water or reuse policy.
- If none of them sets a sustainability duty across the Board's core functions, score 2.5. Otherwise, re-band.
The Act text used is the PRS secondary copy only, and the Act still names Bruhat Bangalore Mahanagara Palike rather than its successor bodies.</t>
  </si>
  <si>
    <t xml:space="preserve">UPD5b</t>
  </si>
  <si>
    <t xml:space="preserve">ANSWER: Partly. BWSSB's own published material shows specific environmental sustainability measures under both components. However, the Citation Sheet has no current water supply or sanitation plan. The material it does have dates from about FY2015-17, before the GBA was set up. It cannot show that these measures are in the Board's current planning, so no score is proposed. | EVIDENCE: (1) BWSSB-07, BWSSB 'About BWSSB' page, undated: (a) Loss reduction: water supply improvement works for 'reduction in unaccounted for water and leakage control' over about 50% of the core area, 'envisaged to reduce the overall water losses to 16%'. These include 'Exclusive leak detection works' using JICA/MRI L-sign monitoring and helium-gas hidden leak detection, with work completed in 4 subdivisions (Rs 25 crore). (b) Source measures: a second Cauvery source, CWSS Stage V (775 MLD, after an additional 10 TMC allocation). Also rain water and groundwater recharge through shafts, galleries and lakes. The page notes that 110 villages depend on borewells. (c) Wastewater: 11 STPs treating 339 MLD under CWSS Stage IV Ph II; 6 new STPs of 520 MLD proposed, with DPRs prepared. Environmental Action Plans A, B and C replace trunk sewers to stop sewage entering storm water drains (e.g. EAP-B diverts 150 MLD to STPs). The Hebbal 'zero flow' scheme keeps sewage out of Hebbal and Nagavara lakes. Upstream STPs are proposed to avoid pollution of Bellandur and Varthur lakes. About 30% of treated effluent goes </t>
  </si>
  <si>
    <t xml:space="preserve">About BWSSB - Bangalore Water Supply and Sewerage Board [BWSSB-07]</t>
  </si>
  <si>
    <t xml:space="preserve">https://bwssb.karnataka.gov.in/info-1/About+BWSSB/en</t>
  </si>
  <si>
    <t xml:space="preserve">For proper water accounting and loss reduction with the aims of improvement in water distribution system, reduction in unaccounted for water and leakage control three major works are taken covering about 50% of the core area (133 sqkm) wherein it is envisaged to reduce the overall water losses to 16%.</t>
  </si>
  <si>
    <t xml:space="preserve">I left the score blank. This is an Implementation question about current practice, and the only evidence is undated or old. All of it comes from before the GBA was set up, in the BBMP era. Step 2 also proposed no score, and having checked the sources myself I agree.
(1) What BWSSB-07 shows. This is the undated 'About BWSSB' page, and its content points to about FY2015-16:
- It names BBMP as the jurisdiction.
- It says sewerage works are 'planned to be completed in 2016' and that the Bellandur STP is 'proposed to be commissioned in 2016'.
- Its DPRs are priced at '2014-15 SR'.
It does describe specific sustainability measures:
- Water supply: a target to cut water losses to 16% over about 50% of the core area; JICA/MRI L-sign and helium leak detection; the CWSS Stage V source.
- Sanitation: 11 STPs treating 339 MLD; Environmental Action Plans A, B and C to stop sewage entering storm water drains; the Hebbal zero-flow scheme; 6 new STPs of 520 MLD proposed.
The page itself shows that some of these figures are out of date. For example, it gives two different versions of the same loss-reduction work: 133 sq km at Rs 655 crore, and 116 sq km at Rs 821 crore.
(2) The other sources. BWSSB-29, the Annual Report for FY2016-17, records a Board decision to reuse 15 MLD of tertiary treated water from the Jakkur STP for the Yelahanka power plant. It also records monthly NRW of about 38-48%. BWSSB-41 (Achievements, undated) lists past works: pipe restoration, 218 bulk flow meters 'for plugging water leakage', the Hebbal zero-discharge scheme, mandatory rain water harvesting (RWH) and 23,000 RWH installations. BWSSB-40 (RWH page, undated) covers the RWH mandate and outreach. BWSSB-25, the Press Release page, has dated entries up to July 2026, but they are only about shutdowns, water adalats and recruitment. None deals with sustainability planning.
(3) What is missing. The Citation Sheet has no current BWSSB water supply plan, sanitation plan, NRW programme or reuse plan, and no annual report after 2017. Under the period rule, an old document is not evidence of the current arrangement.
(4) Indicative score. If the team accepts the undated web material as the Board's current planning framework, it would support about 2.5 for water supply (a source measure plus a loss-reduction target and programme) and about 2.5 for sanitation (STP capacity, sewage diversion and reuse), for a total of 5. Treat this as indicative only and confirm it against the full Detailed Methodology. That methodology was not reproduced in this task, so I could not check the bands myself.
(5) Why not 0. A score of 0 is not justified, because measures are clearly documented. The only open question is whether they are current.
ACTION for reviewer:
- Get a current BWSSB plan, NRW programme or STP/reuse document, or an Annual Report from FY2023-24 onward.
- Take a dated screenshot of BWSSB-07 and BWSSB-40.
- Confirm the currency rule.</t>
  </si>
  <si>
    <t xml:space="preserve">UPD6a</t>
  </si>
  <si>
    <t xml:space="preserve">ANSWER: BMTC has no environmental duty in its own law. The 1950 Road Transport Corporations Act, under which BMTC was set up, gives it a general duty to run an efficient, adequate, economical and properly co-ordinated service, with no environmental element. The only binding environmental requirements in the Citation Sheet reach BMTC indirectly, through the Bengaluru Metropolitan Land Transport Authority (BMLTA) Act. That Act counts BMTC as an 'Urban Transport Agency' (public agencies providing urban mobility, which includes bus systems). It ties BMTC's investment planning to a Comprehensive Mobility Plan built around 'sustainable urban transport' and 'clean' transport. The Act defines sustainable urban transport only as projects that cut private-vehicle use and raise public transport, walking and cycling. Land use is linked to transport only in the plan the Authority itself prepares. None of the instruments read has an explicit BMTC requirement on emissions, cleaner fuels or vehicles, energy efficiency, climate resilience, or the environmental impact of its services or investments. On the evidence so far, the provisions point to the 2.5 band (limited to certain objectives and to the investment-planning stage). But layers that could change the band are missing from the Sheet, so no score is given. | EVIDENCE: (1) Road Transport Corporations Act, 1950 (BMTC-02): s.18 says it is the corporation's general duty to provide 'an efficient, adequate, economical and properly co-ordinat</t>
  </si>
  <si>
    <t xml:space="preserve">These additional projects shall align with the Comprehensive Mobility Plan goals and promote sustainable urban transport.</t>
  </si>
  <si>
    <t xml:space="preserve">I left the score blank because the Citation Sheet doesn't support a score. The full Detailed Methodology and rubric for UPD6a weren't in the task input. The 0/2.5/5 bands come only from Step 2's summary, so I couldn't check whether any band fits.
**What the sources show:**
- **BMTC's own Act (BMTC-02, Road Transport Corporations Act, 1950):** s.18 sets a general duty to provide 'an efficient, adequate, economical and properly co-ordinated system of road transport services'. It has no environmental element.
- **BMLTA Act, 2022 (BMTC-06, PRS republication with Amendment Act 10 of 2026 appended):** BMTC is covered as an Urban Transport Agency (the Schedule lists 'Bus systems'). Its environment-related duties are indirect only:
  - s.24(a): its Sectoral Mobility Investment Program 'shall be aligned with the goals of the Comprehensive Mobility Plan'.
  - s.2(h): the Comprehensive Mobility Plan is to provide 'safe, clean and efficient urban transport'.
  - s.25(1)(c): additional Annual Implementation Plan projects 'shall align with the Comprehensive Mobility Plan goals and promote sustainable urban transport'.
  - s.2(aa) defines 'sustainable urban transport' narrowly, as cutting private-vehicle use and raising public and non-motorised transport.
- **Commencement:** s.1(3) says the BMLTA Act 'shall come into force on such date as the State Government may by notification in the official Gazette, appoint'. No commencement notification and no notice setting up the Authority is in the Sheet. Whether these BMLTA duties currently bind BMTC is therefore unverified.
- **City government's law (BMTC-04, GBA Act):** s.17 creates a Climate Action Cell within the GBA. I found no provision requiring BMTC to consider emissions or sustainability.
- **BMTC website (BMTC-32):** the mission line 'Adopt environment-friendly and sustainable practices' is a statement of intent, not a mandate.
- **Other environment items:** BMTC-01 lists press releases on BS-VI buses and on monitoring electric buses. These show implementation, not a mandate.
**Why I didn't give 2.5:** it depends on two judgements a person must make. First, whether an indirect duty to align with the Authority's plan counts as BMTC being 'mandated' to consider environmental sustainability. Second, whether the Act is in force.
**Why I didn't give 0:** that needs affirmative absence, and these layers are not in the Sheet or were not read:
- KSRTC Rules, 1961 and the BMTC/KSRTC regulations listed on BMTC-20 (only the index page is in the Sheet).
- Rules and regulations under the BMLTA Act.
- The Comprehensive Mobility Plan and the Authority's policies.
- State EV, clean-fuel or transport policies and government orders binding on BMTC.
**To check:**
1. Get the UPD6a methodology and band definitions.
2. Find the BMLTA Act commencement notification and the notice constituting the Authority.
3. Read the KSRTC Rules 1961 and any state EV or clean-fleet government orders that name BMTC.
4. Decide whether the indirect alignment duty earns the partial band.</t>
  </si>
  <si>
    <t xml:space="preserve">UPD6b</t>
  </si>
  <si>
    <t xml:space="preserve">Human Verification Required</t>
  </si>
  <si>
    <t xml:space="preserve">ANSWER: Partly. BMTC's own website shows that it runs electric buses: 1,771 electric buses under the GCC model, out of 6,921 vehicles, as on 25 Sept 2026. It also runs metro feeder services. But the Citation Sheet has no current BMTC fleet plan, route or network plan, environmental or sustainability policy, or annual report. So none of these can be confirmed: (i) a fleet-transition target, (ii) an emissions or fuel-efficiency target, (iii) a phase-out schedule for high-emission buses, or (iv) operational modal-integration or energy-efficiency measures in BMTC's planning framework. Neither component can be fully decided. | EVIDENCE: (1) BMTC-15, BMTC at a Glance, as on 25 Sept 2026: 'No. of Vehicles 6921 (Including EV)'; 'No of Electric buses under GCC model 1771'. This shows a cleaner fleet in operation. It is a fleet count, not a target or a transition schedule. (2) BMTC-32, Vision and Mission: the vision is 'Make BMTC sustainable, people-centered and choice mode of travel for everyone'. Mission items include 'Adopt environment-friendly and sustainable practices' and 'Ensure inter-agency coordination and multi-modal integration'. This is generic wording, and the methodology gives it no credit unless it is turned into specific provisions. The page also says BMTC adopts 'Environmental policies', but the policy itself is not in the sheet. (3) BMTC-01, homepage: link titles include 'Metro Feeder Live Tracking', 'Metro Feeder Service', 'Inauguration of the First Batch of 100 BS-V</t>
  </si>
  <si>
    <t xml:space="preserve">Step 2 found no evidence: a source needs to be found and added. Step 2 found no evidence (Human Verification Required). Source needed: Needed: BMTC's current fleet plan or e-bus transition plan with targets and a diesel phase-out schedule; any emissions or fuel-efficiency (KMPL/kWh per km) targets; the latest BMTC annual report (laid before the Legislature under RTC Act s.35); the route rationalisation or network plan, including the metro feeder plan and interchange or common-ticketing arrangements; the text of BMTC's environmental policy; and any depot energy-efficiency or solar measures.</t>
  </si>
  <si>
    <t xml:space="preserve">DPG1a</t>
  </si>
  <si>
    <t xml:space="preserve">ANSWER: No. Neither Act, as far as I could read them, clearly separates BWSSB's water and sewerage role from the city government's. This is Scenario B (fully devolved, both deliver it). The Greater Bengaluru Governance Act lists water supply for domestic, industrial and commercial purposes, and liquid waste management, as core functions of the City Corporations, and they must provide these services. The BWSSB Act gives the Board the general duty of supplying water, and providing sewerage and sewage disposal, for the whole Bangalore Metropolitan Area. It does not mark out a particular aspect, area or scale. The few points where the two touch are an optional arrangement to supply water through the municipal body, a consultation on closing public hydrants, and a power to override the old municipal Act when laying mains. None of these divides the function. The Greater Bengaluru Authority (GBA) now has a binding power to coordinate and supervise BWSSB, which adds a layer of oversight but no division of the function. The evidence points to 0 under Scenario B, but I have not scored it (see LIMITS). | EVIDENCE: City government side (BWSSB-04, GBA Act 2024, Karnataka Act 36 of 2025): s.111(1): City Corporations shall prepare and implement schemes for First Schedule matters, 'subject to the provisions of this Act and the provisions of the other Acts'. Proviso to s.111(1): it 'shall be the duty of the City Corporation to render necessary services' for core functions. Sch. I(1) core func</t>
  </si>
  <si>
    <t xml:space="preserve">26. Vesting of works in Board. —On and from the date of coming into force of this Chapter, all public reservoirs, tanks, cisterns, fountains, wells, pumps, pipes, taps, conduits and other works connected with the supply of water to the</t>
  </si>
  <si>
    <t xml:space="preserve">I have left the score blank and not given 0. The Step 2 answer cannot be accepted as it stands. (1) The task did not include the Detailed Methodology or the score bands for DPG1a. All I have is Step 2's own wording ('Scenario B' etc.). With no rubric, I cannot place this case on the 0-5 scale. Flag as RUBRIC-GAP: a person should apply the actual DPG1a bands. (2) Step 2 says the BWSSB Act does not separate the Board's role from the city government's. That claim missed the vesting and transfer provisions, which I have now read in BWSSB-02 (PRS compilation, amended up to Act 29 of 2021). s.26 vests in the Board and places under its control all water works for the Bangalore Metropolitan Area, 'whether made at the cost of the Government, the Bruhat Bangalore Mahanagara Palike or otherwise'. s.63 vests sewers in the Board (heading seen in the table of contents only). s.123 transfers BBMP's water supply and sewerage staff to the Board. s.127(1)(c) and s.127(2)(c) vest BBMP's water supply and sewerage undertaking property in the Board. s.36 lets the Board supply water to BBMP 'on such terms ... as shall be determined by the Board'. s.38(1) has the Board provide free public supply subject to payment of charges by BBMP. The 1964 Statement of Objects records that the Act moved distribution from the Corporation to the Board. Read together, these provisions arguably allocate the whole function to the Board, away from the municipal body. That may count as an explicit distinction, or it may count only as a transfer that never defines what the city government keeps. That is a judgement call for the team. (3) The later GBA Act (BWSSB-04, Karnataka Act 36 of 2025, as enacted, GBA era) contradicts this. Sch. I(1)(v) lists 'Water supply for domestic, industrial and commercial purposes' and (vi) liquid waste management as City Corporation core functions, though s.111(1) makes them 'subject to ... the provisions of the other Acts'. Sch. I(3)(vii)(f) gives the City Corporations 'unfiltered water supply for non-domestic uses', which may be a partial split by scale or aspect. The BWSSB Act still names BBMP and the KMC Act, and no source in the Citation Sheet shows these references formally substituted by the City Corporations or GBA. So the two laws overlap or conflict rather than divide the function cleanly. (4) A 0 would need affirmative absence, and we do not have it. Neither Rules nor Regulations under the BWSSB Act, nor Rules under the GBA Act, are in the Citation Sheet. Both Act texts are PRS secondary copies. BWSSB-23 and BWSSB-28 are Bills as introduced, and the Citation Sheet does not show them enacted. Checked: BWSSB-02 (ss.14, 15, 26, 27, 31, 36, 38, 39, 123, 127, 129, and the 2010 amending Act s.31 substitution), BWSSB-04 (s.111 and Schedule I), and a search across the whole Citation Sheet. A person should apply the real DPG1a rubric to the s.26/s.127 vesting set against GBA Act Schedule I.</t>
  </si>
  <si>
    <t xml:space="preserve">ANSWER: No clear demarcation was found, but I have not scored it. The sources point to Scenario C (partly devolved). BMTC's operating role is defined in the Road Transport Corporations Act. However, the city government's law (GBA Act) gives the City Corporations bus stops as a core function. It also lets BMTC put up bus stands on City Corporation land, and gives the GBA binding powers to supervise and direct BMTC and to make mobility plans. The BMTC law does not separate BMTC's role from the city government's. The answer leans to 0. It is left blank because the instrument that set up BMTC and BMTC's legal form are not in the Citation Sheet (see CAVEATS). | EVIDENCE: City government side, GBA Act 2024 (Karnataka Act 36 of 2025, PRS copy, BMTC-04): (1) Schedule I (s.111) lists 18 core functions. Public bus transport is not among them. Core function (xvii) does include 'parking spaces for vehicles, bus stops', and (xii) includes 'waiting sheds for travelers'. (2) s.112(1): the City Corporation 'may', with State or Central approval and cost cover, take on State-domain functions 'such functions may include... urban transport'. This is optional, not a transfer of the function. (3) s.14(4): the GBA is to integrate and supervise 'Bangalore Metropolitan Transport Corporation'. Its directions are binding and public authorities 'shall... obey its directions'. BMTC 'shall suitably incorporate in their Memorandum of Association the coordinating role' of the GBA. (4) s.15(1): the GBA 'shal</t>
  </si>
  <si>
    <t xml:space="preserve">Notwithstanding anything contained in this act no licence or permission shall be necessary for the Bengaluru Metropolitan Transport City Corporation in respect of the fixation or erection of posts showing places of stoppage of buses or erection or construction of passenger-shelters, ticket booths and bus stands on any road or land vested in the City Corporation:</t>
  </si>
  <si>
    <t xml:space="preserve">Score left blank. A person needs to score this.
1) The sheet cannot settle the score. The task did not give me the Detailed Methodology or the scenario bands for DPG1a. Without them I cannot map the evidence to a number from 0 to 5. Treat this as a possible RUBRIC-GAP until a scorer applies the bands.
2) BMTC's own founding instrument is missing. The order that set up BMTC under section 3 of the Road Transport Corporations (RTC) Act 1950 is not in the sheet, and neither is any Memorandum of Association. GBA Act s.14(4) calls BMTC 'Bangalore Metropolitan Transport Corporation Limited' and requires it to 'suitably incorporate in their Memorandum of Association' the GBA's coordinating role. That suggests BMTC may be a company, which conflicts with treating the RTC Act as its governing law. A 0 on 'no demarcation' needs affirmative absence across BMTC's whole legal stack, and I cannot show that.
3) What I checked:
- RTC Act 1950 (BMTC-02), ss.3, 18 and 19: a general duty to run road transport services and provide 'ancillary service'. There is no reference to municipal bodies.
- BMTC-20 (BMTC's Rules and Regulations page): only staff and service regulations inherited from KSRTC, plus the KSRTC Rules 1961. Nothing on BMTC's role relative to the city government.
- GBA Act (BMTC-04), city government side:
  - Schedule I gives the City Corporations bus stops, parking and waiting sheds as core functions.
  - s.112(1) says the City Corporation 'may' take on urban transport. This is optional.
  - s.14(4) gives the GBA binding supervision and directions over BMTC.
  - s.15(1) gives the GBA mobility plans.
  - s.234(2)-(3) lets BMTC put up bus-stop posts, shelters, ticket booths and bus stands on City Corporation land without a licence. It needs prior State sanction and pays ground rent to the City Corporation, either as agreed or as set by the Government.
- Taken together, this is a partial demarcation on bus-stop infrastructure only, and it sits in the city government's Act. Running bus services is BMTC's under the RTC Act, but the city government may take it on with State approval (s.112(1)). This fits the Step 2 answer's 'Scenario C / partly devolved' reading, but I could not check that band against the rubric.
4) Points for the scorer:
- s.234 says 'Bengaluru Metropolitan Transport City Corporation', which looks like a drafting slip for BMTC.
- The GBA Act text is the PRS republication, so whether later amendments are included is unknown.
- Whether the GBA (Amendment) Bill 2025 (BMTC-05) was enacted is unknown. It changes only s.8(2) and s.14(1).
- The BMLTA Act (BMTC-06) sets up a State-level transport authority, not the city government.
- Era: GBA era. The earlier BBMP-era arrangement was not assessed.
5) Before scoring, add BMTC's founding notification or Memorandum of Association to the sheet and apply the DPG1a scenario bands. I agree with Step 2 that the evidence leans towards no clear demarcation (overlapping bus-stop functions, binding GBA directions, and no carve-out in BMTC's own law), but that cannot be confirmed from this sheet.</t>
  </si>
  <si>
    <t xml:space="preserve">ANSWER: No. Scenario B (fully devolved, both deliver it). The city government's law gives urban planning, land-use regulation and scheme-making to the Greater Bengaluru Authority (GBA) and its City Corporations. The BDA Act still gives BDA a general development mandate over the whole Bangalore Metropolitan Area, including development schemes, layouts, streets, drainage and water supply. The BDA Act has no provision that separates BDA's role from the GBA's or the Corporations'. BDA's operational mandate is defined, but its responsibilities relative to the ULG are not clearly separated. This is because GBA Act Schedule I gives the Corporations urban planning, and GBA Act s.14(2)-(4) makes the GBA the Planning Authority and scheme-maker for the Greater Bengaluru Area, with binding power to supervise BDA. The only area split (BDA as planning authority outside the Greater Bengaluru Area) appears in the Town and Country Planning (KTCP) amendment and the GBA Act, not in the BDA Act. | EVIDENCE: ULG side, GBA Act 2024 (Karnataka Act 36 of 2025) [BDA-03]: (a) Schedule I (s.111) core functions of the City Corporation are '(i) Urban planning including town planning; (ii) Regulation of land-use ... and construction of buildings; (iii) Planning for economic and social development; (iv) Roads ...; (x) Slum improvement'. (b) s.14(2)(a): the GBA 'shall be the "Planning Authority" ... for the areas comprising of the Greater Bengaluru Area'. s.14(2)(b): the GBA may approve layouts within the G</t>
  </si>
  <si>
    <t xml:space="preserve">The Greater Bengaluru Governance Act, 2024 (Act No. 36 of 2025) [BDA-03]</t>
  </si>
  <si>
    <t xml:space="preserve">(i) Urban planning including town planning; (ii) Regulation of land-use including protection of public land from encroachment and construction of buildings;</t>
  </si>
  <si>
    <t xml:space="preserve">I left the Score blank. The task gave me no question text, Detailed Methodology or scoring notes for DPG1a, so I could not check the rubric bands myself. Step 2's description ('Scenario B ... no explicit carve-out in the Parastatal Act -&gt; 0') does not tell me what the bands between 0 and 5 are, or whether a partial separation earns intermediate credit. Scoring from it would be a guess. A person holding the DPG1a rubric should set the score.
What I checked against the sources:
(1) The city government law (BDA-03, the Greater Bengaluru Governance Act 2024, Act 36 of 2025, PRS text) gives the City Corporations 'Urban planning including town planning' and land-use regulation in Schedule I (s.111). Section 223 makes Corporation land-use powers conform to the Master Plan or have the Planning Authority's concurrence. A search of the sheet also shows s.14 gives the GBA the planning, scheme-coordination and supervisory role.
(2) The parastatal law (BDA-02, BDA Act 1976, PRS copy with amendments appended up to Act 42 of 2026, gazetted 07.09.2026): I read the arrangement of sections. No section refers to the GBA or the Greater Bengaluru Area. Act 42 of 2026 amends only s.10 (estimate limits raised to five crore rupees) and s.38D (allotment rates and eviction). This confirms that the BDA Act was not amended to separate BDA's role from the GBA's or the Corporations'.
(3) The only area-based split (BDA as planning authority outside the Greater Bengaluru Area) is in BDA-05. That is the KTCP and Certain Other Laws (Amendment) Bill 2025, as passed by the Legislative Assembly. The sheet does not show that it was enacted or brought into force.
(4) The BDA Act has interface provisions with 'the Corporation': s.15(2) (schemes recommended and funded by a local authority), the s.25 proviso (the Corporation must be consulted), s.26, s.28, s.28A (streets maintained until vested in the Corporation) and s.28B. Step 2 treats these as handover provisions only, not a division of the function. A person should decide whether the rubric gives partial credit for these. They still name the pre-GBA 'Corporation', and no source in the sheet shows a successor substituted.
If the rubric really is 'no explicit separation of responsibilities in the Parastatal Act -&gt; 0', the evidence supports 0. Affirmative absence has been checked for the BDA Act layer: arrangement of sections, the amendments appended, and ss.65-70. No BDA Rules or Regulations are in the sheet.
All Act texts are PRS secondary copies or Bill papers. Era: GBA-era.
RUBRIC-GAP: no methodology was supplied to me. Please confirm the rubric and set the score.</t>
  </si>
  <si>
    <t xml:space="preserve">ANSWER: No, the law does not clearly demarcate BMRCL's role from the ULG's. The ULG's law gives the Greater Bengaluru Authority (GBA) part of the urban-transport function: under s.14(4) of the GBA Act it 'integrates and supervises' the activities of named public authorities, including the 'Bengaluru Metro Rail Corporation Limited', and issues directions that are binding. Neither instrument sets out where that supervision ends and BMRCL's own role begins. The City Corporations' function list (Schedule I) does not include metro or mass transit. Section 112(1) puts urban transport in the State/Central domain, and a City Corporation 'may' take it on only with that government's approval and funding. So this is not Scenario A (function not given to the ULG at all). It is closest to Scenario C (only some sub-functions given to the ULG): GBA does mobility planning, coordination and binding supervision, while the metro railway administration operates and maintains the metro. That split is not shown to be non-overlapping, because GBA's binding directions reach BMRCL's own activities with no carve-out. I have not proposed a score because BMRCL's own legal stack could not be fully checked (see LIMITS). | EVIDENCE: ULG side, GBA Act 2024 (Karnataka Act 36 of 2025, PRS copy, BMRCL-02): s.14(4) 'Co-ordination and Supervision of Public Authorities: Integrating and supervising the activities of public authorities like ... Bengaluru Metro Rail Corporation Limited ... issuing directions for the</t>
  </si>
  <si>
    <t xml:space="preserve">Integrating and supervising the activities of public authorities like the Bangalore Development Authority, the Bengaluru Water Supply and Sewerage Board, Bangalore Metropolitan Transport Corporation, Bengaluru Solid Waste Management Corporation, Bengaluru Metro Rail Corporation Limited, the Bangalore Electricity Supply Company and such other bodies connected with municipal activities in the Greater Bengaluru Area in such a manner that all functions are streamlined and implemented in a citizen-friendly manner and issuing directions for the same which shall be binding</t>
  </si>
  <si>
    <t xml:space="preserve">SCORE LEFT BLANK for a person to decide.
(1) The question's Detailed Methodology and Notes for scorers were not included in this task, apart from the scenario labels (A/B/C) that Step 2 uses. I cannot check which band a 0-5 score maps to, so I have not proposed a number.
(2) I checked Step 2's reading against the source and it holds:
- GBA Act s.14(4): GBA 'integrates and supervises' the activities of the 'Bengaluru Metro Rail Corporation Limited' and issues binding directions. Public authorities 'shall cooperate' and 'obey its directions'. There is no carve-out for metro operations.
- s.15(1): GBA 'shall be responsible to make master plan and mobility plans'.
- s.13(1)(j): the MD of BMRCL sits on GBA's Executive Committee.
- s.112(1): a City Corporation 'may', with Central or State approval and funding, take on 'urban transport'. That is discretionary and conditional, not an assignment of the function.
- s.178: the Urban Transport Fund is run by the Directorate of Urban Land Transport (DULT), not by the City Corporation.
- Metro O&amp;M Act 2002 (BMRCL-04), as amended by Act 34 of 2009: ss.5-6 cover BMRCL's operation and maintenance role. s.86 lets the Central Government give policy directions to a non-Government metro railway. Nothing I read in this Act mentions the city government or GBA, or separates BMRCL's role from GBA's supervision.
- Overall, the evidence points to overlapping, undemarcated roles: GBA supervises, coordinates and plans with binding directions, while BMRCL operates.
(3) A 0 needs affirmative absence, and I cannot show it. The Citation Sheet does not contain:
- BMRCL's Memorandum and Articles of Association (my search found no MoA text);
- the notification extending the Metro O&amp;M Act 2002 / the 1978 Construction of Works Act to Bengaluru;
- the full text of the 1978 Act;
- the operative text of the BMLTA Act 2022 ss.18-19;
- any Rules or GOs on how GBA and BMRCL relate.
I therefore cannot confirm that there is no demarcating provision anywhere in BMRCL's legal stack.
(4) Points for the team to check:
- The Act names 'Bengaluru Metro Rail Corporation Limited' (ss.2(54), 13, 14(4)) but 'Bangalore Metro Rail Corporation' in s.9(3)(j). The company's own annual report (BMRCL-09) uses 'Bangalore'. Confirm the Act means this company.
- The BMRCL-02 PDF also contains the text of a GBA (Second Amendment) Act 2025 (Karnataka Act 01 of 2026). It amends ss.13, 29, 30, 33 and 241, but not s.14(4). Step 2 did not mention it.
- The GBA Act text is a PRS secondary copy, and its date of coming into force has not been verified.
- Era: GBA era.</t>
  </si>
  <si>
    <t xml:space="preserve">ANSWER: I couldn't score this question. The city government's law clearly gives planning functions to the city government, so the case falls under Scenario B or C (the function is devolved), not A. Whether BMRDA's role is explicitly separated from the city government's can't be decided because the BMRDA Act, 1985 is not in the Citation Sheet. BMRDA's functions are known only from paraphrases on its own website and in its 2022-23 annual report. Those paraphrases describe a region-level role: surveys, a structure plan for the Bangalore Metropolitan Region, schemes to implement it, and coordinating other agencies, including the 'Corporation of the City of Bangalore'. Region versus city is a possible difference of scale. But the coordination role seems to overlap with the Greater Bengaluru Authority's (GBA's) binding power to coordinate and supervise public authorities. That can only be confirmed against the Act's own wording. | EVIDENCE: City government side (BMRDA-10, Greater Bengaluru Governance Act, 2024, Act 36 of 2025, PRS text): (1) s.14(2)(a), 'Notwithstanding anything contained in any other law', GBA 'shall be the "Planning Authority" as defined under the Karnataka Town and Country Planning Act, 1961, for the areas comprising of the Greater Bengaluru Area'. (2) s.14(2)(c): the State shall set up the Bengaluru Metropolitan Planning Committee (BMPC) under Art. 243ZE for an area 'including but not limited to the Greater Bengaluru Area', with GBA's Chief Commissioner as Memb</t>
  </si>
  <si>
    <t xml:space="preserve">The Greater Bengaluru Governance Act, 2024 Act No. 36 of 2025 [BMRDA-10]</t>
  </si>
  <si>
    <t xml:space="preserve">(a) the Greater Bengaluru Authority shall be the “Planning Authority” as defined under the Karnataka Town and Country Planning Act, 1961, for the areas comprising of the Greater Bengaluru Area;</t>
  </si>
  <si>
    <t xml:space="preserve">I left the score blank because the Citation Sheet does not have the text needed to decide it. The question's full Detailed Methodology was not given to me. The Step 2 answer refers to Scenarios A, B and C and an 'explicit, non-overlapping carve-out' test, so I used that.
(1) City government side. I checked this against BMRDA-10 (Greater Bengaluru Governance Act, 2024, Act 36 of 2025, PRS text, GBA era; commencement date not established from the Sheet). The Act clearly gives planning to the city government's system:
- s.14(2) starts 'Notwithstanding anything contained in any other law'. Under s.14(2)(a), GBA 'shall be' the Planning Authority under the KTCP Act for the Greater Bengaluru Area.
- Under s.14(2)(c), the state shall set up the Bengaluru Metropolitan Planning Committee (BMPC) under Art. 243ZE.
- Under s.14(3)(b), GBA issues binding directions for executing schemes.
- Under s.15(1), GBA 'shall be responsible to make master plan and mobility plans'.
- Under s.223, City Corporations must act in line with the KTCP master plan.
So Scenario A (function not devolved) does not fit. The case is Scenario B or C. The Step 2 summary of the city government side is supported by the source.
(2) BMRDA side. The BMRDA Act, 1985 is not in the Citation Sheet: not s.9 (functions), not any amendment, Rules, regulations, or GO linking BMRDA to GBA or the BMPC. The only accounts of its functions are paraphrases in BMRDA-02 (website) and BMRDA-03 (FY 2022-23 annual report, BBMP era, historical). Those paraphrases give BMRDA a structure plan for the whole region. They also give it a role coordinating BDA, BWSSB and the 'Corporation of the City of Bangalore', which is a predecessor body; no successor substitution is shown in the Sheet. That role seems to overlap GBA's binding power under s.14(4) to integrate and supervise BDA, BWSSB and 'such other bodies connected with municipal activities'. A score of 0 for overlap, or a positive score for a separation by scale (regional versus city), can only be decided from the Act's own wording. A paraphrase is not enough.
(3) Points for a person to check:
- BMRDA is not among the bodies named in s.14(4). It does sit on GBA (s.9(3)(u)) and its Executive Committee (s.13(1)(e)).
- The 'public authority' definition in s.2(54) is cut off in the saved text at 'the Bengaluru Metropolita...'. It may name BMRDA or BMLTA. Check it in the full text, because it decides whether BMRDA falls under GBA's coordination.
- Choose between B and C. Schedule I sector-wise (i)(c) requires integration with 'regional development plan[s]', which suggests a split by scale (C).
- The team notes say BMRDA's eligibility is 'needs_review' at screening.
What is missing: the primary text of the BMRDA Act, 1985 (s.9 and amendments) from an official Karnataka source, and any notification on how BMRDA relates to GBA or the BMPC.</t>
  </si>
  <si>
    <t xml:space="preserve">ANSWER: Not determinable from the Citation Sheet. The Surat Municipal Corporation (SMC) law does give the ULG urban and town planning, but only as a discretionary function. SUDA's own planning area includes the SMC area. So the provisional scenario is B: the function is devolved to the ULG, and SUDA also plans for the SMC area. Under scenario B the score depends on whether the Gujarat Town Planning and Urban Development Act (GTPUD Act) explicitly separates SUDA's role from SMC's role (for example, which body is the 'appropriate authority' for town planning schemes or development permission inside SMC limits). The working text of that Act's sections 2, 22, 23 and 26-29 is not readable in the sheet, so that question cannot be settled. What the sheet does show points toward overlap, not separation: SUDA's development control regulations cover SMC, and the State Government may hand SUDA's powers to the local authority. | EVIDENCE: (1) ULG side, Gujarat Provincial Municipal Corporations Act, 1949 (GPMC Act), as modified up to 30-11-2017 [SUDA-04]: s.66 says 'The Corporation may, in its discretion, provide ... for all or any of the following matters', and s.66(8B) lists 'urban planning including town planning and regulation of land use'. This is a discretionary ('may') assignment, not an obligatory one. Separately, s.63(1)(23A), an obligatory duty, covers 'The preparation of plans for economic development and social justice'. (2) Parastatal side, GTPUD Act, 1976 [SUDA-01, PRS copy]</t>
  </si>
  <si>
    <t xml:space="preserve">Gujarat Provincial Municipal Corporations Act, 1949 (Bombay Act No. LIX of 1949) (As modified upto the 30th November, 2017) [SUDA-04]</t>
  </si>
  <si>
    <t xml:space="preserve">https://cpahmedabad.gujarat.gov.in/Upload/MUNCIPAL_2_16082023.pdf</t>
  </si>
  <si>
    <t xml:space="preserve">(8B) urban planning including town planning and regulation of land use;]</t>
  </si>
  <si>
    <t xml:space="preserve">Score left blank because the law that decides this question cannot be read in the Citation Sheet.
1. The ULG side is confirmed. GPMC Act s.66 says 'The Corporation may, in its discretion, provide ...' and lists in (8B) 'urban planning including town planning and regulation of land use'. This is a discretionary ('may') function, not a duty. The team should confirm whether a discretionary function counts as 'devolved'. Step 2 also points to the obligatory s.63(1)(23A) on plans for economic development and social justice.
2. SUDA's planning area includes the SMC area:
- SUDA-14 (DP 2035, 2017), ch.1.4.3: SUDA's area has included the SMC area since it was set up on 30.01.1978.
- SUDA-05 (revised draft GDCR, undated), title and cl.1.1.3: the regulations cover the SMC area.
- SUDA-14 also records that SUDA prepared 23 town planning schemes and SMC prepared 129. That is practice, not law.
Taken together, this provisionally fits Scenario B (function devolved, and the parastatal also works in the ULG area). Scenario B then needs an explicit separation of roles in the parastatal's law.
3. What the sheet shows on separation is mixed:
- GTPUD Act s.23(1), as reproduced in SUDA-14 ch.1.4.2 (a secondary reproduction, not the Act text), gives SUDA functions across the whole 'urban development area'. These include (iv) 'to guide, direct and assist the local authority or authorities ... in matters pertaining to the planning, development and use of urban land' and (v) controlling development under the development plan. This points toward overlap or coordination, not a carve-out.
- s.23(2), as substituted by Gujarat Act 22 of 2017 (SUDA-01), says the State 'may ... delegate' SUDA's powers to the local authority. No delegation notification is in the sheet.
- In the other direction, GDCR cl.2.13 defines Competent Authority as persons authorised 'by the Surat Urban Development Authority/Surat Municipal Corporation as the case may be'. The s.27 application form is addressed to the 'Chief Executive Authority/Municipal Commissioner'. Cl.28.3 sets up a joint SUDA–SMC appeal committee. All of this suggests some split between the two bodies, but it is a draft regulation and not an explicit division in the Act.
4. The provision that decides the question is GTPUD Act s.2(iii), the definition of 'appropriate authority'. It would show whether SMC is the appropriate authority for town planning schemes and development permission inside its limits. It cannot be read anywhere in the sheet: SUDA-01 contains only the amending gazettes, and SUDA-03 (Rules) uses the term without defining it. Nor can the working text of GTPUD ss.22–29, the 1978 constitution notification, or the 2015 boundary notifications be read.
Without these I cannot support a 5 (explicit carve-out) or a 0. A 0 would need affirmative absence, and the deciding instrument was not read.
Checked: SUDA-01, SUDA-03, SUDA-04 (ss.63 and 66), SUDA-05 (cl.1.1.3, 2.13, 28.3, Form C(a)), SUDA-13 and SUDA-14 (ch.1.4).
For a person to check: obtain the full GTPUD Act text (s.2(iii), s.23) from an official Gujarat source, and any s.23(2) delegation notification for Surat.</t>
  </si>
  <si>
    <t xml:space="preserve">ANSWER: Not determinable from the Citation Sheet, so no score is proposed. On the city-government side, the Gujarat Provincial Municipal Corporations Act, 1949 does give the city government a role in rail transit, but only as an optional function. Section 66(20) says the Corporation 'may, in its discretion' provide for light railways, tramways and motor transport facilities 'within or without the City'. Chapter XX (ss.341-342) sets out the powers the Corporation has if it sets up a Transport Undertaking. Because the function is assigned to the city government in some form, Scenario A (not devolved, score 5) does not apply. The case points to Scenario B. On GMRC's side, there is no parastatal Act. GMRC is a company set up under the Companies Act. The only instrument in the Sheet that gives it the Surat role is the MoHUA sanction letter of 06-06-2019, para 8.3: the Surat Metro Rail Project, two named corridors, 'shall be implemented by' GMRC. That is a central government order, not an Act. It names a specific project, but it does not separate GMRC's role from the city government's s.66(20) power. The central Metro Railways Acts and GMRC's Memorandum of Association are not in the Sheet as text. So I cannot tell whether any statute carves out GMRC's role (would score 5 under B) or whether no distinction exists (would score 0). | EVIDENCE: (1) City-government law, GMRC-18 (GPMC Act 1949, modified up to 30-11-2017). s.66 opening words: 'The Corporation may, in its discretion, provi</t>
  </si>
  <si>
    <t xml:space="preserve">The Gujarat Provincial Municipal Corporations Act, 1949 (Bombay Act No. LIX of 1949) (As modified upto the 30th November, 2017) – Government of Gujarat, Legislative and Parliamentary Affairs Department [GMRC-18]</t>
  </si>
  <si>
    <t xml:space="preserve">the construction, purchase, organization, maintenance or management of light railways, tramways, trackless trams, or motor transport facilities for the conveyance of the public or goods within or without the City;</t>
  </si>
  <si>
    <t xml:space="preserve">SCORE LEFT BLANK. I couldn't decide either side of the comparison from the Citation Sheet.
(1) City-government side, GMRC-18 (GPMC Act 1949, as modified up to 30-11-2017). I checked this against the source. Section 66(20) lists light railways, tramways, trackless trams and motor transport facilities 'within or without the City' as matters the Corporation may take up at its discretion. Chapter XX (ss.341-342) gives the Corporation powers 'in the event of the Corporation acquiring or establishing a Transport Undertaking'. So the city-government law assigns the transit function, but only as an option. Following the Step 2 reading, that rules out Scenario A (not devolved, score 5) and points to Scenario B. Two things a person should check: (a) whether 'light railways/tramways/mechanically propelled transport facilities' covers metro rail; (b) whether the GPMC Act governs Surat. The extract in the Sheet does not name Surat, and the task input leaves the city government's name blank.
(2) GMRC side. GMRC has no constituting Act. GMRC-03 (RTI s.4(1)(b) disclosure) says GMRC was incorporated on 4-2-2010 under the Companies Act, 1956 'to implement Metro Rail Project', and became a 50:50 GoI-GoG SPV from 20-3-2015. GMRC-07 (MoHUA sanction, 06-06-2019) is a central government order, not an Act. Para 8.3 says the Surat project 'shall be implemented by' GMRC. The central Metro Railways (Construction of Works) Act 1978, the Metro Railways (O&amp;M) Act 2002, the 2009 amendment and GMRC's Memorandum and Articles appear in GMRC-03 only as links. Their text is not in the Sheet. My searches of the Sheet for metro-Act provisions and for anything on the Surat city government's role found nothing usable.
So under Scenario B I can't apply the 5 band (a parastatal law that explicitly carves out a role distinct from the city government's), because no such text is in the Sheet. I can't apply the 0 band either (no distinction): that needs proof of absence, and the relevant instruments are not in the Sheet to read.
RUBRIC-GAP / CONFIRM: the team should decide how DPG1a applies when the parastatal is a Companies Act SPV with no constituting Act. Do the central Metro Acts or the MoHUA sanction count as the 'Parastatal Act'? If the function is held to be devolved but in practice delivered only by GMRC, check whether Scenario D applies.
Evidence reviewed: GMRC-18, GMRC-03, GMRC-07, plus a Sheet-wide search (GMRC-05, -06, -08 returned nothing relevant).</t>
  </si>
  <si>
    <t xml:space="preserve">DPG1b</t>
  </si>
  <si>
    <t xml:space="preserve">Scored by AI</t>
  </si>
  <si>
    <t xml:space="preserve">ANSWER: Yes, but only in general terms. The BWSSB Act defines BWSSB's area by pointing to another body's jurisdiction, plus extra adjacent areas the State Government may notify from time to time. The Act has no schedule, boundary description or map reference. The city-government law does the same: it also defines its area by notification. This fits the 2.5 band ('defined only in general terms'), not the 5 band. | EVIDENCE: (1) BWSSB Act, 1964 (PRS copy). The long title and preamble cover 'water supply, sewerage and sewage disposal in Bangalore Metropolitan area'. s.2(1a), substituted by Act 15 of 2010 w.e.f. 16.04.2010: ''Bangalore Metropolitan Area' means the area falling within the jurisdiction of the Bruhat Bangalore Mahanagara Palike and includes such other areas adjacent thereto as the State Government may, by notification, from time to time specify'. s.2(3) defines 'Bruhat Bangalore Mahanagara' as the areas within the jurisdiction of the BBMP 'constituted under the Karnataka Municipal Corporations Act, 1976'. s.31 of the 2010 amending Act replaced 'City of Bangalore' with 'Bruhat Bangalore Mahanagara' throughout the Act. No schedule or map is referred to in the parts read. (2) City-government (ULG) side: Greater Bengaluru Governance Act, 2024 (Act 36 of 2025, PRS copy). s.1(2): 'It shall extend to the Greater Bengaluru Area as notified by the Government'. s.6: boundaries of City Corporations can be changed by notification. s.7(3)-(4): a final notification constitutes ne</t>
  </si>
  <si>
    <t xml:space="preserve">(1a) ‘Bangalore Metropolitan Area’   means the area falling within the jurisdiction of the Bruhat Bangalore Mahanagara Palike and includes such other areas adjacent thereto as the State Government may, by notification, from time to time specify;</t>
  </si>
  <si>
    <t xml:space="preserve">Score is 2.5: the BWSSB Act defines BWSSB's area, but only in general terms. I checked this against BWSSB-02 (PRS copy, as amended up to Act 5 of 2011, with later amending Acts appended). Section 2(1a) defines the 'Bangalore Metropolitan Area' as the area in the jurisdiction of the Bruhat Bangalore Mahanagara Palike, plus any adjacent areas the State Government may notify from time to time. Section 2(3) defines 'Bruhat Bangalore Mahanagara' by the jurisdiction of the BBMP constituted under the KMC Act, 1976. So the area is set by pointing to another body's jurisdiction and to future notifications. The Act has no schedule, no description of boundaries and no map reference. Step 2 says this fits the 2.5 band ('defined only in general terms'), not the 5 band (boundary description, schedule or map in the enabling Act) and not 0 (no definition). I have not seen the rubric text myself, so this rests on Step 2's account of the bands. Step 2 left open whether Act 29 of 2021 changed s.2(1a). It did not: I read the appended text, and it only substitutes s.72A (rain water harvesting). The other appended amending Acts I read (32 of 2010 on s.89A, 5 of 2011 on s.72A, 28 of 2013 on s.109A) do not touch the area definition either. On the city-government side, BWSSB-04 (GBA Act) s.1(2) also defines the area 'as notified by the Government', which does not change the band. FOR THE TEAM TO CHECK: (1) Section 2(1a) still names the BBMP. Under GBA Act s.7(4) the BBMP ceases to exist once the City Corporations are notified. No source in the sheet shows the BWSSB Act's definition was changed to the Greater Bengaluru Area or the City Corporations, so it is unclear which boundary now applies. Either way the band stays at general terms. (2) There is no official state gazette copy in the sheet; the Act text is a PRS secondary copy. (3) No s.2(1a) notifications adding adjacent areas are in the sheet. They would sit outside the Act, so they would not by themselves earn the 5 band.</t>
  </si>
  <si>
    <t xml:space="preserve">ANSWER: This cannot be fully determined from the Citation Sheet. BMTC's enabling Act, the Road Transport Corporations Act, 1950, describes territory only in general terms. Section 3 lets the State Government set up a corporation "for the whole or any part of the State" by notification in the Official Gazette, and the Act has no schedule, boundary description or map. The instrument that would actually set BMTC's area is the Karnataka Government's section 3 notification establishing BMTC. That notification is not in the Citation Sheet, so it is unknown whether it gives a specific boundary. On the Act alone this looks like the 2.5 band (general terms only), but I have not scored it because the deciding notification is missing. | EVIDENCE: (1) Road Transport Corporations Act, 1950 (BMTC-02): s.3 says the State Government "may, by notification in the Official Gazette, establish a Road Transport Corporation for the whole or any part of the State". s.18 sets a general duty to provide transport services "in the State or part of the State for which it is established and in any extended area". s.19(1)(a) gives power "to operate road transport services in the State and in any extended area". s.2(c) defines "extended area" as an area or route extended under s.20, which provides for a sanctioned scheme to run services into another State, alterable by supplementary scheme under s.20(4). The Act has no schedule or map. (2) City government law, Greater Bengaluru Governance Act, 2024 (Act 36 </t>
  </si>
  <si>
    <t xml:space="preserve">THE ROAD TRANSPORT CORPORATIONS ACT, 1950 [BMTC-02]</t>
  </si>
  <si>
    <t xml:space="preserve">https://www.transport.telangana.gov.in/html/pdf/The_Road_Transport_Corporations_Act_1950.pdf</t>
  </si>
  <si>
    <t xml:space="preserve">may, by notification in the Official Gazette, establish a Road Transport Corporation for the whole or any part of the State under such name as may be specified in the notification.</t>
  </si>
  <si>
    <t xml:space="preserve">I left the score blank because the document that would set BMTC's area is not in the Citation Sheet. I can't score without it, and I won't guess.
What I checked:
- I confirmed the Step 2 reading against BMTC-02, the Road Transport Corporations Act, 1950 (amended up to Act 63 of 1982). This is a central Act. The copy in the sheet is hosted on the Telangana transport portal, but for a central Act the text is the same in every state.
- Section 3 does not draw any boundary. It only lets the State Government set up a corporation 'for the whole or any part of the State' by notification in the Official Gazette. Section 2(b) defines 'Corporation' as one established under section 3. Sections 18 and 19 speak only of 'the State or part of the State for which it is established' and any 'extended area' under section 20. The Act has no schedule or map.
- So the actual area comes from the Karnataka section 3 notification that set up BMTC, plus any later notifications changing it. That notification is part of the enabling legal framework, and it is not in the Citation Sheet.
- I searched the whole sheet for an establishment notification or area description and found none. BMTC-15 (BMTC Glance) contains only website policy and help text. BMTC-20 (Rules and Regulations) lists only KSRTC employee regulations and the KSRTC Rules, 1961, with no area or establishment notification. BMTC-01 and BMTC-32 give only a general description: 'sole public bus transport provider for Bengaluru, serving urban, sub-urban and rural areas'. BMTC-04 (the city government's Act, the Greater Bengaluru Governance Act, PRS copy) s.234 covers only bus stops, shelters and bus stands on City Corporation land, and does not define BMTC's area. BMTC-06 (BMLTA Act) s.3 defines the separate authority BMLTA's mobility region, not BMTC's area.
How the bands would apply:
- On the parent Act alone, this looks like the 2.5 band ('general terms').
- Scoring 2.5 now would mean stopping at the parent Act. If the notification gives a specific boundary, the answer could be 5. That makes 2.5 unsafe.
- A score of 0 is not justified either. I can't show the area is undefined anywhere, because the deciding document was never checked.
What the team needs to do:
1. Get the Karnataka Gazette notification establishing BMTC under s.3 of the RTC Act (and any later notifications changing its area), for example by an RTI request to the Transport Department or BMTC's Public Information Officer, and add it to the Citation Sheet.
2. Rule whether a section 3 notification counts as part of the 'enabling Act' for the 5 band. The methodology says 'in the enabling Act'; the question says 'enabling legal framework'.
3. Confirm that the GBA Act's 'Bengaluru Metropolitan Transport City Corporation' (BMTC-04, s.234) means BMTC.</t>
  </si>
  <si>
    <t xml:space="preserve">ANSWER: Yes, but only in general terms. The BDA Act, s.2(c), defines BDA's area, the 'Bangalore Metropolitan Area'. It does this by pointing to other laws: the City of Bangalore as defined in the 1949 Municipal Corporation Act, plus the areas where the 1945 Improvement Act was in force. It then adds any adjacent areas the Government 'may from time to time by notification specify'. s.3(1) sets up BDA 'for the Bangalore Metropolitan Area'. The Act has no schedule, boundary description or map. So the jurisdiction is defined, but it rests on cross-references and open-ended notifications, which fits the 2.5 band. | EVIDENCE: (1) BDA Act 1976, PRS copy with amendments up to Act 42 of 2026 (BDA-02). s.2(c) defines the BMA as quoted. s.3(1): 'constitute for the Bangalore Metropolitan Area an Authority'. The list of sections shows no territorial schedule: the only 'Schedule' is s.49, a schedule of officers and servants. The text read of the 2026 amending Act changes s.10 and s.38D; that text did not show any change to s.2(c). (2) KTCP Act 1961, PRS copy with amendments up to 2015 (BDA-06). s.2(7)(a)(i) names BDA as Planning Authority for 'the local planning area comprising the City of Bangalore'. s.81-B(i) gives BDA 'jurisdiction over the area which the City Planning Authority for the City of Bangalore had jurisdiction immediately before' BDA was constituted. That is again a reference, not a boundary description. (3) City government law: Greater Bengaluru Governance Act 2024 (BDA-03).</t>
  </si>
  <si>
    <t xml:space="preserve">(c) ‘Bangalore Metropolitan Area’ means the area comprising the City of Bangalore as defined in the City of Bangalore Municipal Corporation Act, 1949 (Mysore Act 69 of 1949), the areas where the City of Bangalore Improvement Act, 1945 (Mysore Act 5 of 1945) was immediately before the commencement  of this Act in force and such other areas adjacent to the aforesaid as the Government may from time to time by notification specify;</t>
  </si>
  <si>
    <t xml:space="preserve">Score 2.5: the BDA Act defines BDA's area, but only in general terms. I checked the Step 2 answer against BDA-02 (PRS copy of the BDA Act, with amending Acts up to Act 42 of 2026). (a) s.2(c) defines the Bangalore Metropolitan Area (BMA) only by reference to other laws: the City of Bangalore as defined in the 1949 Municipal Corporation Act, plus the areas covered by the 1945 Improvement Act. It then adds adjacent areas 'as the Government may from time to time by notification specify'. (b) s.3(1) sets up BDA 'for the Bangalore Metropolitan Area'. (c) The Act has no territorial schedule or map; the only schedule I saw is the one on officers and servants. (d) Act 42 of 2026 (Gazette 07.09.2026) amends only s.10 and s.38D; I re-read its text and found no change to s.2(c). (e) A search of the whole Citation Sheet for boundary, schedule, village or map wording found no boundary description of BDA's jurisdiction. BDA-06 (KTCP Act s.81-B(i)) defines BDA's planning area only by reference to the old City Planning Authority's area. BDA-03 (Greater Bengaluru Governance Act s.2(30) and s.3) defines the Greater Bengaluru Area by notification. So jurisdiction is defined, which rules out 0, but there is no specific boundary description, schedule or map, which rules out 5. That leaves 2.5. CHECKS FOR A PERSON: (1) The question's full Detailed Methodology text was not in this task message. I took the bands (5 = boundary description, schedule or map in the Act; 2.5 = defined in general terms; 0 = not defined) from the Step 2 notes. Please confirm them against the question bank. (2) Confirm that defining the area 'as defined in' the 1949 Act counts as 'general terms'. (3) Pending law: the KTCP and Certain Other Laws (Amendment) Bill 2025 (BDA-05) was passed by the Assembly, but the Sheet does not show it enacted or in force. If enacted, BDA's planning area would become the BMA minus the Greater Bengaluru Area. That is still a notification-based, general definition, so the band would stay the same. Check the official gazette. (4) Only the PRS copy is in the Sheet; there is no official gazette text. There are also no s.2(c) notifications adding adjacent areas and no GBA area declaration, so the current boundary cannot be cross-checked.</t>
  </si>
  <si>
    <t xml:space="preserve">ANSWER: I cannot confirm from the Citation Sheet whether BMRCL's territorial jurisdiction is defined by a specific boundary, schedule or map. BMRCL is a company. The law it runs metro services under, the Metro Railways (Operation and Maintenance) Act, 2002, defines its area only in general terms: the 'National Capital Region, metropolitan city and metropolitan area', with the Act reaching other areas only when the Central Government issues a notification. The Act's list of 'metropolitan cities' does not include Bangalore. So Bengaluru could only be covered as a 'metropolitan area' (Article 243P(c)) through a notification, and that notification is not in the sheet. A separate Act, the Metro Railways (Construction of Works) Act, 1978, ties the 'metro alignment' to a Schedule entry for each city. That could meet the 5-point 'schedule' test, but the sheet has only short extracts of that Act and no Bangalore Schedule entry. The city government's law (the Greater Bengaluru Governance Act, 2024) names BMRCL as a 'public authority' delivering services in the Greater Bengaluru Area. It does not set BMRCL's boundary. | EVIDENCE: (1) BMRCL-04, Metro Railways (O&amp;M) Act, 2002 as amended by Act 34 of 2009: Long title, 'metro railway in the National Capital Region, metropolitan city and metropolitan area'. s.1(2): 'extends in the first instance to the National Capital Region and the Central Government may, by notification, after consultation with the State Government, extend this Act to suc</t>
  </si>
  <si>
    <t xml:space="preserve">THE METRO RAILWAYS (OPERATION AND MAINTENANCE) ACT, 2002 [BMRCL-04]</t>
  </si>
  <si>
    <t xml:space="preserve">https://crs.gov.in/wp-content/uploads/2024/03/THE-METRO-RAILWAYS-OPERATION-AND-MAINTENANCE-ACT-2002.pdf</t>
  </si>
  <si>
    <t xml:space="preserve">It extends in the first instance to the National Capital Region and the Central Government may, by notification, after consultation with the State Government, extend this Act to such other metropolitan area and metropolitan city, except the metropolitan city of Calcutta</t>
  </si>
  <si>
    <t xml:space="preserve">I left the score blank because the sheet cannot settle the 5-point band. The 2.5 band (general terms only) is supported, but picking 2.5 would mean the 5-point band (a specific boundary, schedule or map) is not met. The sheet does not have the documents needed to decide that.
What I checked against the source: the Step 2 summary of BMRCL-04 is correct. That is the Metro Railways (Operation and Maintenance) Act, 2002, as amended by Act 34 of 2009, in force from 7-9-2009.
- Its long title, s.3(1), s.5 and s.14 describe the area only in general terms: 'National Capital Region, metropolitan city and metropolitan area'.
- s.1(2) applies the Act beyond the National Capital Region only when the Central Government issues a notification.
- s.2(1)(ha) lists only Bombay, Calcutta, Delhi and Madras as metropolitan cities.
- On its own, this text is jurisdiction in general terms, which fits 2.5.
Why the 5-point band stays open:
- BMRCL-37 (the 2009 Amendment Bill on PRS) quotes the 1978 Construction of Works Act. Its s.2(1)(h) defines 'metro alignment' as the alignment 'specified in the Schedule under that city', and s.32 lets the Central Government add alignments to that Schedule by notification.
- So a city-specific Schedule entry for the Bengaluru metro alignment may exist. That could count as a schedule reference in the enabling law. The sheet does not have it.
My searches of the whole sheet for 'Schedule metro alignment Bangalore' and 'jurisdiction / boundary / map' found no such Schedule entry. They also found no central notification extending the 1978 or 2002 Act to Bengaluru, and no BMRCL Memorandum of Association.
- BMRCL-02 (Greater Bengaluru Governance Act, 2024; GBA era) names BMRCL as a public authority in the Greater Bengaluru Area under s.2(54) and s.14(4). That is a coordination role, not a definition of BMRCL's own territory.
- BMRCL-08 (Bengaluru Metropolitan Land Transport Authority Act, 2022) defines an Urban Mobility Region for that authority, not for BMRCL.
- BMRCL-09 (Annual Report FY 2020-21, historical, BBMP era) says only 'Metro Rail Project in the city of Bangalore', which is a description, not a legal boundary.
- BMRCL-06 (Companies Act) says nothing on territory.
Decisions the team needs to make:
1. Which documents count as the 'enabling legal framework' for a company-form parastatal: the Memorandum of Association, the Metro Railways Acts, or both.
2. Whether a Bengaluru entry in the 1978 Act Schedule counts for the 5-point band.
3. Whether BMRCL's legal form makes it eligible for this question at all.
To decide the score, a person needs to get:
- the current full text of the 1978 Act with its Schedule;
- the central notifications extending both Acts to Bengaluru;
- BMRCL's Memorandum and Articles of Association.
If none of these gives a specific boundary, schedule or map, the score would be 2.5.</t>
  </si>
  <si>
    <t xml:space="preserve">ANSWER: Not determined. I could not confirm from the Citation Sheet whether the enabling Act defines BMRDA's territorial jurisdiction with a specific boundary description, schedule or map reference. Two BMRDA sources, the annual report and the website, both say the Bangalore Metropolitan Region (BMR) covers the whole of Bangalore Urban, Bangalore Rural and Ramanagaram Districts, about 8005 sq km. That is a specific geographic definition. But neither source is the Act, and neither says whether the definition sits in the Act itself (for example a section 2 definition or a Schedule) or in a later notification. | EVIDENCE: (1) BMRDA-03, BMRDA Annual Report 2022-23, p.11, para 4 'The Metropolitan Region': BMR is '...covering the entire Bangalore Urban, Bangalore Rural and Ramanagaram Districts measuring 8005 sq. kms.' On p.10 the report names the Act (Karnataka Act No. 39 of 1985) and summarises its section 3 and section 9. It does not summarise any section defining the Region. (2) BMRDA-07, BMRDA website, 'Local Planning Areas' page (undated): 'BMR comprises Bengaluru Urban District, Bengaluru Rural District &amp; Ramanagaram District. The total area Bengaluru Metropolitan Region is about 8005 Sq Kms.' The page also lists 12 local planning authorities inside BMR, including BDA and Ramanagara UDA. (3) BMRDA-05, BMRDA website home page: has menu links called 'Jurisdiction', 'Jurisdiction Notification', 'Jurisdiction Map' and 'BMRDA Act 1985'. The Sheet has only the link labels, not the</t>
  </si>
  <si>
    <t xml:space="preserve">Step 2 found no evidence: a source needs to be found and added. Step 2 found no evidence (Human Verification Required). Source needed: Needed: (a) the full text of the BMRDA Act 1985 (Karnataka Act 39 of 1985), current amended version, especially the definition of 'Bangalore Metropolitan Region' and any Schedule or power to change the area by notification. Best copy is from the Karnataka legislation or eGazette portal, or a readable copy of the Act on BMRDA's own site. (b) The government notification that declares or changes the BMR boundary, plus the jurisdiction map. (c) A check of the Greater Bengaluru Governance Act for any provision on BMR's area.</t>
  </si>
  <si>
    <t xml:space="preserve">ANSWER: SUDA's area is set by state government notifications made under section 22 of the Gujarat Town Planning and Urban Development Act, 1976 (GTPUD Act). It does not come from a schedule or boundary description in the Act itself. Those notifications describe the area specifically, by villages and square kilometres. They also changed it several times: 722 sq km in 1978, 715 sq km after 1979, 1351 sq km from December 2015, and 985.16 sq km after villages were removed in 2016. The Citation Sheet has no readable copy of section 22 and no copy of the notifications themselves. So I cannot check from primary text whether the Act gives only a general 'notified area' power (2.5) or whether the notifications' village lists count as a specific boundary in the enabling framework (5). | EVIDENCE: (1) GTPUD Act 1976 (SUDA-01, PRS compilation with amendments up to 14 of 2019): pages 2-86, which hold the main Act, have no extractable text. Only the amending Acts are readable. The 2017 amendment shows the state government 'may, by notification in the Official Gazette, delegate any of the powers and functions of the Urban Development Authorities to the local authority ... within its jurisdiction' (s.23(2) as substituted). It defines no boundary. (2) GDCR (SUDA-05, cl.1.1.3, revised draft, undated): the rules apply to the 'Urban Development Area including Surat Municipal Corporation area notified under sub-section (2) of section 22 of the Act vide ... Notification No.GHB/R1/UDA/1177/646(4)-q</t>
  </si>
  <si>
    <t xml:space="preserve">The Government of Gujarat in Panchayats, Housing and Urban Development Department constituted the Surat Urban Development Authority vide Government notification number GHB/23/ UDA/1177/646(5)-Q2 dated January 30, 1978, in exercise of the powers conferred b y sub sections (1), (2) and (4) of section 22 of the Gujarat Town Planning and Urban Development Act 1976 for the development area consisting of Surat Municipal Corporation and 148 villages admeasuring 722 sq. km.</t>
  </si>
  <si>
    <t xml:space="preserve">I left the score blank. A person needs to score this.
1) PRIMARY TEXT MISSING. SUDA-01 is the PRS compilation of the GTPUD Act 1976. I re-read it this session: pages 2-86, which hold the main Act and so section 22, have no extractable text. Only the amending Acts are readable (2017: s.23(2), s.7(2), s.76A; 2019: s.9, s.12, s.19A). None of them sets out how SUDA's area is defined or where its boundary lies. A search of the whole Citation Sheet found no readable text of s.22.
2) WHAT THE SHEET DOES SHOW. SUDA-14 (SUDA's own Draft Development Plan 2035, dated 2017) reports the following:
- SUDA's area was set by state notification under s.22(1), (2) and (4) on 30.01.1978: SMC plus 148 villages, 722 sq km.
- Delad village was then deleted, giving 715 sq km.
- Notifications of 9.12.2015 and 18.12.2015 added 100 villages, giving 1351 sq km.
- Under s.22(2A), Khajod village was removed by notification of 19.07.2016 (GH/V/144), and villages were excluded by notifications of 24.10.2016 (GH/V/199) and 03.11.2016 (GH/V/200).
- Table 153 gives a resulting area of 985.16 sq km.
SUDA-05 (GDCR cl.1.1.3, a revised draft, undated) also says the area was notified under s.22(2), citing Notification No. GHB/R1/UDA/1177/646(4)-q-2 of 31.01.1978. All of this is second-hand. None of the Gazette notifications or their village schedules is in the sheet. SUDA-21 is a map based on the 9/12/2015 notifications and is out of date after the 2016 exclusions. SUDA-03 (Rules, r.3) refers only generally to 'the area within the jurisdiction'.
3) RUBRIC-GAP / interpretation. I was not given the question's Detailed Methodology text. The Step 2 notes describe a 5-point band for a 'specific boundary description, schedule, or map reference in the enabling Act' and a 2.5-point band for a 'notified area'. Two things are unresolved:
- Whether a s.22 notification that lists villages counts as the 'enabling legal framework' for the 5 band. If it does, the score could be 5. If only text inside the Act counts, it points to 2.5.
- Whether the readable s.22 wording, which the sheet does not contain, gives only a general power to notify an area.
The evidence does not decide between 2.5 and 5. A 0 is not supported, because an area-defining mechanism clearly exists.
4) OTHER POINTS FOR THE TEAM.
- The two 1978 notifications are cited differently (GDCR: 646(4), 31.01.1978; DP 2035: 646(5), 30.01.1978). They may be separate declaration and constitution instruments.
- The DP records that SUDA treats Asnabad village as still inside its area, despite the wording of the 2016 notification.
- The DP is internally inconsistent. Section 21.1 says 54 villages were excluded on 24.10.2016 (effectively 53) and 7 more on 03.11.2016. Table 153 gives 985.16 sq km and 135 rural settlements.
- The boundary after 2017 is not confirmed.
To score this, the team needs: readable official text of GTPUD Act s.22 (a gujarat.gov.in or gazette copy), copies of the 1978, 2015 and 2016 notifications, and confirmation of how the band should be read.</t>
  </si>
  <si>
    <t xml:space="preserve">Step 2 found no evidence: a source needs to be found and added. Step 2 found no evidence (Insufficient Evidence). Source needed: Needed: (1) GMRC's Memorandum and Articles of Association (objects clause and any stated area of operation). (2) Official texts of the Metro Railways (Construction of Works) Act 1978 and the Metro Railways (O&amp;M) Act 2002 as amended, especially the provisions on applying them to a metropolitan area or city. (3) The Government of India gazette notification(s) extending these Acts to Surat and/or declaring the Surat metro alignment or area, with any schedule or map. (4) Any Government of Gujarat GO or notification defining GMRC's area of operation in Surat. (5) Confirmation of Surat's city government and the boundary provisions in its governing Act.</t>
  </si>
  <si>
    <t xml:space="preserve">DPG2a</t>
  </si>
  <si>
    <t xml:space="preserve">ANSWER: Under the BWSSB Act, elected city-government representatives cannot sit on the BWSSB Board, so the 5-point band (elected ULG representatives with voting rights) is ruled out in law. All Board members are appointed by the State Government. The Act gives the city government no reserved seat, and s.3(5) disqualifies any member of a local authority. That bar appears to cover councillors of the GBA City Corporations too, but this is an interpretation. The only evidence of city representation on the Board involves officials, not elected representatives, and it is from 2016-17. That year's Annual Report lists the BBMP Commissioner (an IAS officer) first as a Board member (the report does not say whether he could vote) and, from 27-08-2016, as a 'Special/Permanent Invitee'. The Citation Sheet has no current (GBA-era) Board list. So we cannot tell whether any GBA or City Corporation official now sits on the Board, or in what capacity. | EVIDENCE: (1) BWSSB Act 1964, PRS copy with amendments up to Act 29 of 2021. s.3(2) (substituted by Act 15 of 2010): 'The Board shall consist of not less than three and not more than nine members appointed by the State Government.' s.3(3) sets qualifications: commercial and administration experience, civil and public-health engineering, and accounts and finance. There is no seat for the corporation or its councillors. s.3(4): the State Government appoints the Chairman. s.3(5): a person is disqualified from being a Board member if he is a member</t>
  </si>
  <si>
    <t xml:space="preserve">(5) A person shall be disqualif ied for being appointed or being a member of the Board if he is a member of the Parliament or of any State Legislature or any local authority.</t>
  </si>
  <si>
    <t xml:space="preserve">I left the score blank. The sources don't show the current Board make-up, and the way the rubric treats officials is unclear. The question details were not given to me in full, so I relied on the band structure set out in the Step 2 answer: 5 = elected city-government representatives with voting rights, 2.5 = some city-government representation, 0 = none. This needs checking against the actual rubric.
What the sources show:
(1) BWSSB Act 1964 (BWSSB-02), PRS copy with amendments up to Act 29 of 2021. s.3(2): the Board 'shall consist of not less than three and not more than nine members appointed by the State Government'. s.3(3) sets qualifications in commercial/administrative work, engineering and finance. No seat is reserved for the city government. s.3(5) disqualifies anyone who is a member of 'any local authority'. s.6(1)(d) allows removal of a member who 'becomes or seeks to become a member of ... any local authority'. I have treated these as ruling out the 5 band in law. But whether 'local authority' covers councillors of the GBA City Corporations is an interpretation and needs confirming.
(2) Annual Report 2016-17 (BWSSB-29, pp.63-66, BBMP era, historical only). I checked this against the source. The 'Commissioner, BBMP' (N. Manjunath Prasad, IAS, 25-06-2016 to 02-07-2017) is listed as a Member, and from 27-08-2016 also as a 'Special/ Permanent Invitee'. No Mayor or councillor is listed. The report doesn't say whether he could vote. This is a city official, not an elected representative, and the evidence is about nine years old.
(3) GBA Act 2024 (BWSSB-04) and Second Amendment Bill 2025 (BWSSB-28). These put the BWSSB Chairman on the GBA and its Executive Committee, which is the opposite direction. They give the GBA supervisory powers (s.14(4)). I found nothing in either that gives the GBA or the City Corporations a seat on the BWSSB Board.
Why I can't score 0: there is no current (GBA-era) Board list or Board-constitution notification in the sheet, and none of the BWSSB Rules made under s.4. So I can't show that the city has no representation at all.
Why I can't score 2.5: it depends on (a) whether a city official as member or invitee counts as city-government representation under the rubric, and (b) current evidence that such an official sits on the Board now. Neither is settled by the sheet. This is a RUBRIC-GAP / evidence gap.
For a person to check:
- Confirm the rubric's treatment of official (non-elected) members and invitees.
- Get the current BWSSB Board constitution notification and member/invitee list with voting status for FY 2025-26 (RTI to the BWSSB PIO or the Urban Development Department).
- Check whether any official instrument replaces BBMP with the GBA or City Corporations in the BWSSB Act. The PRS text still names BBMP.
Era: the BWSSB Act text is as amended to 2021; the Annual Report is from the BBMP era; the GBA Act and Bill are from the GBA era.</t>
  </si>
  <si>
    <t xml:space="preserve">ANSWER: None of the sources we have gives the city government (GBA or its City Corporations) a seat on BMTC's Board. (1) The enabling Act leaves every appointment to the State Government and only requires seats for the Central and State Governments. (2) The city government's law (GBA Act) does not put the city government on BMTC's Board. It works the other way: BMTC's Managing Director sits on the GBA, and the GBA can supervise and direct BMTC. (3) The Board list on BMTC's website shows 11 directors (Chairman, Vice-Chairman and 9 'DIRECTOR (Official)'). All are State or Central Government officials or heads of state transport corporations. None is a GBA or City Corporation councillor, Mayor or official. This points to 'no representation'. However, the Rules that set out how the Board is made up are not in the Citation Sheet, so absence cannot be confirmed. | EVIDENCE: Parastatal side - Road Transport Corporations Act, 1950 (BMTC-02): s.5(1) puts the running of the Corporation in a Board of Directors. s.5(2): 'The Board shall consist of a Chairman and such other Directors, being not less than five and not more than seventeen, as the State Government may think fit to appoint.' s.5(3): the State Government 'may' appoint a Vice-Chairman. s.5(4): Rules 'shall provide for the representation, both of the Central Government and of the State Government concerned', plus any shareholders. It says nothing about local bodies. s.5(5) and s.45(2)(a): the Directors' term, how they are appoin</t>
  </si>
  <si>
    <t xml:space="preserve">(2) The Board shall consist of a Chairman and such other Directors, being not less than five and not more than seventeen, as the State Government may think fit to appoint.</t>
  </si>
  <si>
    <t xml:space="preserve">I left the score blank. The evidence suggests BMTC's Board has no city-government member, but a 0 needs every relevant legal layer to have been read, and the Rules that set the Board's make-up are not in the Citation Sheet.
What I checked:
(1) BMTC-02, Road Transport Corporations Act, 1950 (compiled text; consolidation date not stated). s.5(2) leaves all Board appointments to the State Government: 'as the State Government may think fit to appoint'. s.5(3) says the State Government 'may' name a Vice-Chairman. Under s.5(4), Rules 'shall provide for the representation' only of the Central and State Governments, plus any shareholders. Nothing is said about local bodies. s.5(5) and s.45(2)(a) leave the Board's make-up, terms and related matters to Rules.
(2) BMTC-09, BMTC 'Directors List' page (undated). It shows 11 directors: the Chairman (V.S. Aaradhya) and Vice-Chairman (M. Niketh Raj), both described only by their BMTC posts; the Transport Secretary and the Finance Secretary (Expenditure); the Managing Directors of KSRTC, BMTC, KKRTC and NWKRTC; BMTC's Director (Security &amp; Vigilance) and Director (IT); and the Director (Transport) of MoRTH, Government of India. No GBA or City Corporation councillor, Mayor or Commissioner is listed. The page lists Directors only, so it cannot show whether there are special invitees.
(3) BMTC-04, GBA Act 2024 (Act 36 of 2025), as enacted, GBA era. This runs the other way. s.9(3)(i) makes BMTC's Managing Director an ex-officio member of the GBA, and s.14(4) gives the GBA coordinating and directing powers. Neither puts the city government on BMTC's Board, so neither counts as representation.
(4) BMTC-06 (BMLTA Act) and BMTC-07 (KTCP Act) are not relevant to BMTC's Board.
Missing evidence:
- The KSRTC Rules, 1961, or any BMTC-specific Rules. They are listed on BMTC-20, but their text is not in the Sheet.
- The State Government notification that set up BMTC and its Board.
- Whether the Vice-Chairman holds an elected city-government office.
- Whether any special invitees attend Board meetings (the 2.5 band).
If a person confirms that the Rules and the notification give no local-body seat or invitee, and that the Vice-Chairman is not a city representative, the score would be 0.
Also for the team: GBA Act s.14(4) calls BMTC a 'Limited' company with a 'Memorandum of Association'. That does not match BMTC being set up under the 1950 Act, so its legal form should be confirmed, because that decides which Board-composition instrument applies.
The question's full methodology text was not supplied. I assumed a 0–5 rubric with bands of 5 (city representation on the Board), 2.5 (special invitees) and 0 (none), based on the Step 2 notes.</t>
  </si>
  <si>
    <t xml:space="preserve">ANSWER: The BDA Act, as amended up to Act 42 of 2026, gives the city's elected council seats on BDA's governing board. Section 3(3)(l) adds two councillors, elected by the councillors of the 'Bangalore City Corporation' from among themselves. Section 3(3)(f) adds the Commissioner of the 'Corporation of the City of Bangalore' as an ex-officio member. These are full members of the Authority, not invitees. The question is whether this still gives the current city government a seat, and that is unresolved. The Act still names the old single Corporation. No source in the Citation Sheet shows that the Greater Bengaluru Authority (GBA) or its City Corporations have been put in its place. There is also no current list of board members. | EVIDENCE: (1) BDA Act 1976 (BDA-02), s.3(3): '(l) two persons elected by the councillors of the Bangalore City Corporation from among themselves in the prescribed manner'. Proviso: while the Corporation is superseded or run by an Administrator, 'the two persons shall be nominated by the Administrator from among the officers of the Corporations'. s.3(3)(f): 'the Commissioner, Corporation of the City of Bangalore, ex-officio' (substituted by Act 34 of 1986). s.2(i): 'Corporation' means the 'Corporation of the City of Bangalore' (substituted by Act 34 of 1986). s.4(1)(f): a member is disqualified if, 'being an elected member', he 'ceases to be a councillor of the Corporation'. s.5(1) proviso: the Corporation representative's term ends when he stops bein</t>
  </si>
  <si>
    <t xml:space="preserve">(l) two persons elected by the councillors of  the Bangalore  City Corporation from among themselves in the prescribed manner :</t>
  </si>
  <si>
    <t xml:space="preserve">I left the score blank. The BDA Act gives council seats in law, but the Citation Sheet does not show whether those seats belong to today's city government.
What the Act says (BDA-02, PRS copy with amendments up to Act 42 of 2026):
- s.3(3)(l) gives two seats to people elected by the councillors of the 'Bangalore City Corporation' from among themselves.
- s.3(3)(f) makes the Commissioner of the 'Corporation of the City of Bangalore' an ex-officio member.
- s.8(4) says all questions are decided 'by a majority of the votes of the members present and voting'. I found nothing that limits these members' votes, so I agree with Step 2 that they are full voting members. Step 2 had not read s.8; I have now checked it.
- s.4(1)(f) and the s.5(1) proviso tie the seat to remaining a Corporation councillor.
- Act 42 of 2026 and Act 27 of 2020 do not amend s.3.
On the law as written, this looks like the top band (elected councillors as full members).
Why I did not give 5:
(1) Successor body: the Act still names the old 'Bangalore City Corporation'. The Greater Bengaluru Governance Act (BDA-03) repeals the BBMP Act (s.361) and creates several City Corporations. My searches of BDA-03, BDA-04 and BDA-13 found no clause saying that references to the Corporation in the BDA Act now mean the GBA or a City Corporation. So the sheet does not show which council, if any, elects the two members.
(2) Supersession proviso: if the City Corporation councils are dissolved or run by Administrators (GBA Act s.130-131), the s.3(3)(l) proviso hands the seats to Corporation officers, not elected councillors. That would fit a lower band. The sheet has no evidence on whether elected councils are sitting.
(3) No current board list: there is no BDA notification under s.3(6) and no current list of members. Step 2 reports that the question bank's evidence requirement asks for one.
(4) I was not given the full DPG2a rubric text, so I could not check the bands myself. I relied on Step 2's description of them.
The GBA Executive Committee seat for the BDA Commissioner (BDA-13) is the reverse relationship and does not count here.
For a person to resolve:
- Confirm whether s.3(3)(l) counts as representation for the GBA-era City Corporations.
- Confirm whether the City Corporation councils are elected and sitting.
- Get the current BDA board list, by RTI to the BDA PIO if needed.
If the councils are elected and the seats are filled by councillors, the law supports 5. If Administrators hold them, a lower band applies.</t>
  </si>
  <si>
    <t xml:space="preserve">ANSWER: Not determined. The Citation Sheet does not show that the ULG has any seat on BMRCL's board, but it is not enough to confirm that the ULG has none today. BMRCL is a company, so its board seats are set by its Articles of Association, not by a statute. The only description of those seats is in the FY2020-21 Annual Report, and it gives nomination rights only to the Government of India (GoI) and the Government of Karnataka (GoK). The board list in that report (as on 31.03.2021, when BBMP was the city government) names 12 directors: 10 GoI/GoK nominees, including the Chairman and the MD, plus 2 functional directors. None is shown as a BBMP nominee, an elected councillor or a BBMP officer. There is no current board list from the GBA era. | EVIDENCE: (1) BMRCL-09, Annual Report FY2020-21, Corporate Governance Report pp.45-46 (printed): it describes the Articles of Association as setting a board of 3 to 15 directors, 'either whole-time functional Directors or Part-time Directors nominated by the Promoter Government(s)'. It calls BMRCL 'a 50:50 joint venture of Government of India and Government of Karnataka' and says 'Both the Governments have the right to nominate five (5) Directors each'. GoI appoints the part-time Chairman and GoK appoints the MD &amp; CEO. The 'Composition of Board as on 31.03.2021' lists 12 directors. Where the report gives a director's post, it is a state or central government office: ACS Urban Development Department, ACS Finance, ACS &amp; Development Commissi</t>
  </si>
  <si>
    <t xml:space="preserve">Bangalore Metro Rail Corporation Limited Annual Report (15th AGM; Board's Report and Financial Statements for year ended 31st March, 2021) [BMRCL-09]</t>
  </si>
  <si>
    <t xml:space="preserve">https://kla.kar.nic.in/council/house/Paperlaid/146/33.pdf</t>
  </si>
  <si>
    <t xml:space="preserve">These Directors may be either whole-time functional Directors or Part-time Directors nominated by the Promoter Government(s).</t>
  </si>
  <si>
    <t xml:space="preserve">I left the score blank because the Citation Sheet does not prove that the city government has no seat on BMRCL's board.
What the sources show:
- BMRCL is a company. Its board seats are set by its Articles of Association, which are not in the Citation Sheet.
- The only description of the Articles is a summary in the Annual Report for FY2020-21 (BMRCL-09, printed pp.45-46). It says the board has 3 to 15 directors, who are either whole-time functional directors or part-time directors nominated by the 'Promoter Government(s)'. The Government of India (GoI) and the Government of Karnataka (GoK) each have the right to nominate five directors.
- I checked the board list as on 31.03.2021 against the source. It names 12 directors: the ex officio Chairman, the MD, 8 nominee directors and 2 functional directors.
- Where the report gives a director's post, it is a GoI or GoK office: ACS Urban Development, ACS Finance, ACS &amp; Development Commissioner, a Railway Board official and a DMRC director.
- The report does not give the posts of every nominee (for example M. Nagaraj and Jaideep). None is shown as a BBMP nominee, an elected councillor or a BBMP officer.
- This list is from the BBMP era (31.03.2021). It is not evidence of the board's make-up today, under the Greater Bengaluru Authority (GBA).
What I checked on the city government side:
- Greater Bengaluru Governance Act (BMRCL-02). It works the other way round: BMRCL's MD sits on the GBA (s.9(3)(j)) and on its Executive Committee (s.13(1)(j)), and the GBA can supervise and direct BMRCL (s.14(4)). Neither gives the city government a seat on BMRCL's board, so neither earns credit here.
- Metro Railways (O&amp;M) Act 2002 (BMRCL-04): it has no board-composition clause.
- Companies Act 2013 (BMRCL-06): general company law only.
- BMLTA Act (BMRCL-08) and its 2025 amendment bill (BMRCL-38): these are about the BMLTA's own membership (they name the BBMP Mayor and Chief Commissioner), not BMRCL's board.
Why a 0 is not justified: under the v2 rule a 0 needs proof of absence. The Articles and a current board list are missing, and some directors' posts are unknown, so this is a 'not found' result, not an absence.
What a person should check:
- Get the current Articles of Association and the current list of directors, with each director's post and which government nominated them. Ask BMRCL's Company Secretary or Public Information Officer.
- If a city government official (not an elected representative) turns up on the board, the team needs to decide how to score them, since the top band (5) names only elected representatives of the city government with voting rights.
- The team still needs to confirm whether BMRCL counts as a parastatal for this survey, given that it is a company.</t>
  </si>
  <si>
    <t xml:space="preserve">ANSWER: Not determined. The Citation Sheet does not show whether the ULG has a voting seat on BMRDA's governing board. The only evidence is BMRDA's own 2022-23 annual report, which summarises the BMRDA Act 1985 in its own words. On that summary: (i) the Authority itself has government-nominated 'representatives of the Local Authorities from the Region', and these seats have been vacant since July 2005; (ii) the Executive Committee includes 'the Mayor of Bangalore' (BBMP-era). The BMRDA Act's composition clause is not in the Citation Sheet. So it cannot be confirmed whether these seats exist in the current law, whether they vote, or whether the Mayor seat now passes to the GBA or City Corporation mayors. There is no current board member list. | EVIDENCE: (1) BMRDA-03, BMRDA Annual Report 2022-23, p.10, s.3 'Composition of the Authority and its Executive Committee': the Chief Minister chairs and the Minister for Urban Development is Vice Chairman; 'The Act also provides for nomination by the Government of individuals representing ... members of the State Legislature and representatives of the Local Authorities from the Region. Such representations fell vacant since July 2005 due to removal / resignation of the nominees.' Also: 'The Executive Committee is chaired by the Minister for Urban Development, while the Metropolitan Commissioner is the Vice Chairman and the Mayor of Bangalore, the Secretaries to Government and heads of several related departments/ organisations are the M</t>
  </si>
  <si>
    <t xml:space="preserve">The Act also provides for nomination by the Government of individuals representing labour, women, scheduled castes, scheduled tribes, members of the State Legislature and representatives of the Local Authorities from the Region. Such representations fell vacant since July 2005 due to removal / resignation of the nominees.</t>
  </si>
  <si>
    <t xml:space="preserve">I left the score blank because the Citation Sheet cannot decide it. I could not see the question's own text or Detailed Methodology, so I am reading DPG2a as asking whether the city government (ULG) has a voting seat on BMRDA's governing board. (1) The only evidence on BMRDA's board make-up is BMRDA-03, the BBMP-era annual report for FY 2022-23 (1 Apr 2022 to 31 Mar 2023). It is BMRDA's own summary of the Act, not the Act. It says the Act provides for the State Government to nominate 'representatives of the Local Authorities from the Region' to the Authority. Those seats have been vacant since July 2005. Separately, it says 'the Mayor of Bangalore' sits on the Executive Committee. It says nothing about voting rights. It does not say whether the nominees must be elected ULG representatives, and they are chosen by the State, not by the ULG. It does not say whether the Executive Committee counts as the 'governing board'. (2) The BMRDA Act 1985 text and the BMRDA Regulations of 1996, 1999 and 2000 are only linked from the website pages (BMRDA-13 lists 'act 1985 ka.pdf' and the Regulations PDFs, plus a 'constitution-of-the-authority' page). None of their text is in the Citation Sheet, so I cannot check the composition clause, voting rights or any amendment. (3) BMRDA-10, the Greater Bengaluru Governance Act 2024 (Karnataka Act 36 of 2025), works in the opposite direction. Under s.9(3)(u) and s.13(1)(e), BMRDA's Metropolitan Commissioner sits on the GBA and its Executive Committee. The parts of the Act in the Citation Sheet show nothing that substitutes a GBA or City Corporation office for the 'Mayor of Bangalore' seat in BMRDA's law. (4) BMRDA-08, the KTCP Act s.4C, covers Local Planning Authorities, which are not BMRDA's board. A score of 0 is not possible: there is no affirmative absence, because the Act and Regulations were never read and the report itself says local-authority seats exist in law. A positive score is not possible either, because voting rights, whether the seat is elected and the current member list are all unverified. ERA: the annual report is BBMP-era. The ULG has since been restructured under the GBG Act 2024, so the 'Mayor of Bangalore' wording is historical. A person should: (a) get and read the BMRDA Act 1985 composition section and the 1996 Regulations from the BMRDA Acts &amp; Rules page, looking for voting rights and the Executive Committee's powers; (b) decide whether the Executive Committee or only the Authority counts as the governing board; (c) check whether any official instrument replaced the Mayor seat after the GBA came in; (d) get a current list of Authority members.</t>
  </si>
  <si>
    <t xml:space="preserve">ANSWER: Partly answered. In the 2016 board list, Surat Municipal Corporation (SMC) has seats on the SUDA board: the Chairman of SMC's Standing Committee sits as a 'Member', and the Municipal Commissioner and SMC City Engineer sit as ex-officio members. The Standing Committee Chairman looks like the one elected ULG representative on the board. Whether any of these members can vote could not be determined, and the composition clause of the Act (s.22) could not be read. The highest band ('ULG-elected representatives ... with voting rights') therefore cannot be confirmed. | EVIDENCE: (1) SUDA-14, Development Plan 2035 (SUDA, 2017), s.1.4.1, pp.26-27. Table 4 lists the first board, constituted in 1978 under GTPUD Act s.22(1), (2), (4): it includes 'Chairman, Standing Committee, SMC' as Member and 'City Engineer, SMC' as Ex-Officio Member. The plan says that 'After the amendment in the Section 22 of the Act in 1999, the Municipal Commissioner was added as ex-officio member'. Table 5 (Members of SUDA Board, 2016) lists the Chairman (an IAS officer); the Chairman, Standing Committee, SMC (Member); the District Collector (Member-Secretary and Chief Executive Authority); the Municipal Commissioner, SMC (Ex-Officio); the President, District Panchayat; the District Development Officer; the Chief Town Planner; the Financial Advisor, GoG; and the City Engineer, SMC (Ex-Officio). No voting or invitee status is shown for anyone. (2) SUDA-01, GTPUD Act 1976 (PRS copy with amendments): pages 2</t>
  </si>
  <si>
    <t xml:space="preserve">After the amendment in the Section 22 of the Act in 1999, the Municipal Commissioner was added as ex-officio member of the Urban Development Authority. The present board members of SUDA are shown in the Table below.</t>
  </si>
  <si>
    <t xml:space="preserve">Score left blank because a key fact is missing: whether the SMC members can vote. What the sources show: (1) SUDA-14 (SUDA Development Plan 2035, published 2017, era n/a) lists the 2016 SUDA board. SMC holds three seats: the Chairman of SMC's Standing Committee as 'Member', and the Municipal Commissioner and the SMC City Engineer as 'Ex-Officio Member'. The 1978 first board, appointed under GTPUD Act s.22(4), also had the Standing Committee Chairman as a Member. (2) I checked one point the Step 2 answer had left open. SUDA-04 (Gujarat Provincial Municipal Corporations Act 1949, as modified up to 30-11-2017) confirms that the Standing Committee Chairman is an elected councillor. Its s.20(1) says 'The Standing Committee shall consist of twelve councillors', and s.21(1) says the Committee members 'shall appoint one of its members to be the Chairman'. So SMC has at least one elected representative on the SUDA board (as of 2016), plus two SMC officials. The Commissioner and City Engineer are officials, not elected representatives. What is missing: (a) Voting rights. No source in the Citation Sheet says whether SMC's members vote on the SUDA board. Table 5 shows positions only. The members are listed as 'Member', not 'invitee', but that alone does not prove they vote. The GTPUD Act s.22 text in SUDA-01 is on scanned pages with no readable text. The readable amendment Acts (6 of 2017, 22 of 2017, 14 of 2019) do not touch s.22. SUDA-03 (GTPUD Rules 1979) has no rule on authority meetings or voting in the parts I read. (b) The current board. The newest list is from 2016, and there is no constitution or reconstitution notification. (c) The 1999 amendment to s.22 is known only from SUDA-14's account; I did not read it directly. The question's band wording was not supplied in full. Per the Step 2 answer, the top band (5) needs 'ULG-elected representatives ... with voting rights'. The evidence fits at least the 2.5 level, but scoring 2.5 risks under-scoring and 5 would be a guess. A zero is clearly ruled out: SMC is represented. A person should get a readable official copy of GTPUD Act s.22 as amended (or SUDA's board regulations) and a current board notification showing who votes, for example through an RTI request to SUDA's PIO (Public Information Officer). If the SMC members are full voting members, the answer points to 5. If they are non-voting, it points to 2.5.</t>
  </si>
  <si>
    <t xml:space="preserve">ANSWER: The current evidence shows no representation for the city government (Surat Municipal Corporation, SMC) on GMRC's board. That covers both elected SMC councillors and SMC officials, as voting directors or as invitees. All directors are nominees of the Government of India (GoI) or the Government of Gujarat (GoG), or are GMRC's own functional directors. The rule that sets the board's composition is GMRC's Articles of Association, and that document is not in the Citation Sheet. So 'no representation' cannot be confirmed at the level of the composition rule, and no score is given. | EVIDENCE: GMRC side: (1) GMRC-04, the Present Board of Directors page (updated 12-Oct-2026), lists 'Nominated By Government of India': the Secretary of the Ministry of Housing &amp; Urban Affairs (MoHUA, Chairman) and MoHUA's Joint Secretary &amp; Financial Advisor. Under 'Nominated By Government of Gujarat' it lists the Additional Chief Secretary (Finance Department), the Principal Secretary (Urban Development &amp; Urban Housing Department), the Managing Director of Gujarat Energy Limited and Shri S.S. Rathore (Managing Director). It also lists two 'Functional Directors' (Project &amp; Planning; Finance). No SMC councillor, Mayor or Municipal Commissioner appears, and no invitee category is shown. (2) GMRC-03, the RTI s.4(1)(b) disclosure, Chapter 8: 'The board of directors of GMRCL consists of 13 directors, which include five nominees from the Government of India, five nominees from the Government of Gujara</t>
  </si>
  <si>
    <t xml:space="preserve">Proactive Disclosure under the provision of Section 4(1)(b) of RTI Act 2005 [GMRC-03]</t>
  </si>
  <si>
    <t xml:space="preserve">https://www.gujaratmetrorail.com/proactive-disclosure-under-the-provision-of-section-41b-of-rti-act-2005/</t>
  </si>
  <si>
    <t xml:space="preserve">The board of directors of GMRCL consists of 13 directors, which include five nominees from the Government of India, five nominees from the Government of Gujarat Three functional directors.</t>
  </si>
  <si>
    <t xml:space="preserve">I left the score blank. All the evidence I found says GMRC's board has no city government (ULG) representative. But a 0 needs affirmative absence, which I can't establish. (a) The rule that sets the board's make-up is not in the Citation Sheet. (b) The task did not include the question's rubric (Detailed Methodology / bands), so I can't map the evidence to a 0-5 band.
WHAT THE SOURCES SHOW:
(1) GMRC-03 (RTI s.4(1)(b) disclosure, Chapter 8): the board is 13 directors. Five are Government of India (GoI) nominees, five are Government of Gujarat (GoG) nominees and three are functional directors. No municipal seat is mentioned.
(2) GMRC-04 (Present Board of Directors page, last updated 12-Oct-2026), read in full:
- GoI nominees: MoHUA Secretary (Chairman) and MoHUA JS &amp; FA.
- GoG nominees: ACS Finance, PS of the Urban Development &amp; Urban Housing Dept, MD of Gujarat Energy Ltd, and the GMRC Managing Director.
- Functional directors: Director (Project &amp; Planning) and Director (Finance).
- No Surat Municipal Corporation (SMC) councillor, Mayor, Municipal Commissioner or special invitee is listed.
(3) GMRC-05 (2024-25 Annual Report):
- s.XII says GMRC is a 50:50 GoI/GoG SPV, and each government appoints five directors.
- s.XIII says the board had 11 directors 'out of maximum fifteen (15) as provided in the Articles of Association' (as on 31-03-2025).
- The board committees are made up only of GoI and GoG nominees.
- SMC appears only in the acknowledgements.
(4) The PS (UD&amp;UHD) is a state government official, not an SMC representative.
CHECKED: GMRC-03, GMRC-04 and GMRC-05 (read). I also searched the whole sheet for 'Municipal Commissioner Surat director board GMRC'. The only hits were the acknowledgement in GMRC-05, a line in the Gender Action Plan (GMRC-10) saying there are 12 board members, and unrelated EIA rows.
WHAT'S MISSING:
(i) GMRC's Memorandum &amp; Articles of Association. The annual report names these as the rule that sets board size and nominations. No GoI-GoG agreement or nomination clause from the sanction order is in the sheet either.
(ii) The ULG side: the GPMC Act, 1949 (GMRC-18) has not been read in full for any provision giving the corporation a seat on a metro company board.
(iii) The rubric itself.
FOR THE TEAM:
- If the team accepts the current board list plus the annual report as enough, the evidence points to the lowest band ('no ULG representation'). A person should confirm this against the rubric and the Articles.
- Confirm that SMC is the ULG; the ULG name was blank upstream.
- The sources disagree on board size: 13 in GMRC-03, 11 of a maximum 15 in GMRC-05, 8 listed in GMRC-04, and 12 in GMRC-10.
- RTI target: GMRC's Public Information Officer, for the current Articles of Association and the director-nomination clauses.</t>
  </si>
  <si>
    <t xml:space="preserve">DPG2b</t>
  </si>
  <si>
    <t xml:space="preserve">ANSWER: The sources I could read contain no requirement for BWSSB to submit or table its plans, budgets or annual/performance reports before the ULG: the Greater Bengaluru Authority (GBA), a City Corporation or its council. Every submission duty in the BWSSB Act runs to the State Government, and the State Government then lays the document before the State Legislature or publishes it in the Gazette. The methodology says submission only to the State Government does not count. So the evidence points to no requirement for any of the three components. I am not proposing a 0, though, because two layers of the law were not available to check: the BWSSB Rules and Regulations, and the full GBA Act text. | EVIDENCE: Parastatal side, BWSSB Act 1964 (BWSSB-02). (1) Budget, s.17(1): 'In February of each year the Board shall submit to the State Government a statement ... of the estimated capital and revenue receipts and expenditure for the ensuing year'. Under s.17(3) the State Government lays it before both Houses of the State Legislature, and under s.17(4) the Board considers the Legislature's comments. Nothing sends it to the Corporation. (2) Annual report, s.86(1): an annual report goes to the State Government and is published in the Gazette. s.86(2): a yearly activity report goes to the State Government and is laid before the State Legislature. That report must also cover 'the activities, if any, which are likely to be undertaken by the Board in the next financial year', which is the </t>
  </si>
  <si>
    <t xml:space="preserve">The Board shall, before such date and in such form as may be prescribed by rules, submit to the State Government an annual report upon such matters as may be prescribed by rules, and the State Government shall cause such report to be published in the official Gazette.</t>
  </si>
  <si>
    <t xml:space="preserve">Score left blank. The sources point to no requirement for BWSSB to submit its plans, budgets or reports to the city government, but a 0 needs proof that nothing exists in every layer of the law, and two layers are missing. I checked the sources against the Step 2 answer and they support it. What I read: (1) BWSSB Act 1964 (BWSSB-02, PRS consolidated copy, secondary text, era n/a). s.17(1) sends the annual budget statement to the State Government, and s.17(3) has it laid before the State Legislature. s.86(1) sends the annual report to the State Government and has it published in the Gazette. s.86(2) sends the yearly activity report, which also covers activities planned for the next year, to the State Government and the State Legislature. s.86(3) gives the State Government statistics and scheme details on demand. s.25(4)-(5) sends the audited accounts to the State Government and the State Legislature. s.14(5) has the Board place its budget statement before the Consultative Committee. That Committee is set up by the State Government and is advisory (s.14(4)). Its members are State appointees chosen 'after consultation with' bodies including the BBMP, so it is not the city government or its council. s.14(1) still names the BBMP, the predecessor body. No official source shows the Greater Bengaluru Authority (GBA) or the City Corporations substituted. (2) Greater Bengaluru Governance Act 2024, Act 36 of 2025 (BWSSB-04, GBA era), searched again. s.14(4) gives the GBA power to supervise public authorities, naming BWSSB, and to issue binding directions; that is a power to direct, not a duty on BWSSB to submit documents. s.19(1) lets 'The Government', not the GBA or the Corporations, call for periodic reports. s.21-22 cover only the GBA's own budget and annual report (s.22(2) sends copies to the City Corporations). No provision requires BWSSB to submit plans, budgets or reports to the GBA or a City Corporation. (3) Amendment Bill 81 of 2025 (BWSSB-28) has no relevant provision in the parts in the sheet. Missing: the BWSSB Rules made under s.87, which set the form and date of the annual report and budget statement; the BWSSB Regulations; and a consolidated GBA Act after amendment. None of these is in the Citation Sheet. So the result is 'not found', not an affirmative 0. If the team confirms the Rules and Regulations add no submission to the GBA or City Corporations, the evidence supports 0/5. A person should also check whether the reference to the BBMP in s.14 has been replaced by the GBA or City Corporations.</t>
  </si>
  <si>
    <t xml:space="preserve">ANSWER: None of the laws in the Citation Sheet requires BMTC to submit or table its plans, budgets or annual reports before the ULG (the Greater Bengaluru Authority or the City Corporations or their councils). BMTC's own Act sends its budget, audited accounts and annual report only to the State Government, or the Central and State Governments. The GBA Act lets the GBA integrate, supervise and direct BMTC, but it makes no BMTC document go to the GBA or the corporations. On the two Acts read, every component would be 0. A 0 is not proposed because the Rules under BMTC's Act, BMTC's Regulations and the order setting up BMTC are not in the Citation Sheet. | EVIDENCE: Parastatal side: Road Transport Corporations Act, 1950 (BMTC-02). (1) Plans: no requirement to submit plans to any local body was found. s.17A(2)(f) covers only a subsidiary corporation, whose capital and revenue budgets and annual development plans 'shall be submitted for approval to the parent Corporation and where such budget or plan involves any deficit, also to the State Government' (the parent is another corporation, not the ULG). (2) Budgets: s.32(1) says the Corporation shall 'prepare and submit to the State Government for approval a budget for the next financial year'. (3) Reports: s.35(1) requires returns, statistics and accounts to be furnished to the State Government. s.35(2) requires an annual report on performance, policy and programme to be submitted 'to the Central and the State Governments'. s.33(4) </t>
  </si>
  <si>
    <t xml:space="preserve">32. Budget.—(1) Every Corporation shall, by such date in each year as may be prescribed, prepare and submit to the State Government for approval a budget for the next financial year showing the estimated receipts and expenditure during that financial year in such form as may be prescribed.</t>
  </si>
  <si>
    <t xml:space="preserve">Score left blank: the Citation Sheet does not show the absence needed for a 0. What I checked: (1) BMTC-02, the RTC Act 1950 as amended up to Act 63 of 1982. s.32(1) sends the budget to the State Government for approval. s.33 sends CAG-audited accounts to the State Government, to be laid before the State Legislature. s.35(1) sends returns and accounts to the State Government. s.35(2) sends the annual report on performance, policy and programme 'to the Central and the State Governments'. s.17A(2)(f) applies only to a subsidiary, whose plans go to its parent corporation. No provision sends BMTC plans, budgets or reports to a city government. (2) BMTC-04, the GBA Act 2024 (Act 36 of 2025), GBA era. s.14(4) lets the GBA integrate and supervise public authorities, including BMTC, and issue binding directions. Authorities 'shall cooperate' and obey. But this is a power to direct, not a duty to submit plans, budgets or reports. s.19(1) gives the power to call for periodic reports to 'The Government' (the State), not the GBA or the corporations. ss.21-22 cover the GBA's own budget and report: s.22(2) is the GBA sending its documents to the City Corporations, not BMTC sending its own. (3) BMTC-06: under the BMLTA Act ss.21-26, plans feed into BMLTA, a state authority, not the ULG. (4) BMTC-07: the KTCP Act provisions concern the planning authority, not BMTC. (5) BMTC-20, BMTC's 'Rules And Regulations' page, only lists links. They include 'KSRTC Rules, 1961', which may be the Karnataka rules under RTC Act s.44 that set the budget and report form and dates, and several KSRTC staff regulations. The texts of those Rules are not in the Citation Sheet, so I could not read them. Also missing: BMTC's s.45 Regulations on administration, the s.3 notification establishing BMTC, and the Memorandum of Association. The Memorandum matters because GBA Act s.14(4) calls the body 'Bangalore Metropolitan Transport Corporation Limited' and requires the GBA's coordinating role to be written into its Memorandum. That could include reporting to the GBA. On the two Acts read, the plans, budgets and reports components all look like 0, so 0/5 is the likely score. A person should: (a) read the KSRTC Rules 1961 (linked from BMTC-20) and BMTC's Memorandum and Articles; (b) confirm BMTC's legal form, statutory corporation or company; (c) confirm whether 0 can be given on the parent Acts alone. I have checked the Step 2 answer against BMTC-02 and BMTC-04, and the sources support it.</t>
  </si>
  <si>
    <t xml:space="preserve">ANSWER: Partly. Under the BDA Act, the only document BDA must send to the city corporation is a copy of the notification for each development scheme (s.17(2)). The Corporation may then send representations, and if it does not reply within 30 days its concurrence is deemed given (s.17(4)). In the sources I read, BDA's budget and its reports go only to the Authority's own board, the State Government and the State Legislature. No provision found requires them to go to the city government or its council. The plans component is still uncertain for two reasons. The Act names the 'Corporation of the City of Bangalore', and no source in the sheet shows its successor substituted. And in the GBA era, BDA's planning role inside the Greater Bengaluru Area may have been taken away. | EVIDENCE: BDA side, BDA Act 1976 (BDA-02, PRS copy with amendments up to Act 42 of 2026): (1) Plans: s.17(2) 'A copy of the said notification shall be sent to the Corporation which shall, within thirty days... forward to the Authority for transmission to the Government... any representation'. s.17(3) says the notification is also to be posted in the Corporation's office. s.17(4) says concurrence is deemed if the Corporation does not reply. s.18 says the scheme goes to the Government for sanction. s.2(i) defines 'Corporation' as the 'Corporation of the City of Bangalore'. (2) Budgets: s.42 says the Commissioner lays the estimate before the Authority. s.43 says the Authority approves it. s.44 says 'The estimate</t>
  </si>
  <si>
    <t xml:space="preserve">A copy of the said notification shall be sent to the Corporation which</t>
  </si>
  <si>
    <t xml:space="preserve">I left the Score blank. Neither the plans component nor the budget and report components can be scored from the Citation Sheet.
**What I confirmed in BDA-02** (BDA Act 1976, PRS copy, amended up to Act 42 of 2026, gazetted 7 Sept 2026):
- **Plans:** under s.17(2), BDA 'shall' send a copy of each development-scheme notification to 'the Corporation'. The Corporation can make representations within 30 days. If it does not reply, its concurrence is deemed given (s.17(4)). The scheme then goes to the Government for sanction (s.18).
- **Budget:** under ss.42-45, the budget estimate is laid before the Authority, approved by it and 'submitted to the Government'. Supplementary estimates also go to the Government. The city government is not mentioned.
- **Accounts and reports:** under ss.47(5) and 47A, the audited accounts, the auditor's report and the annual reports go to the State Government and are laid before the Legislature. The city government is not mentioned.
- **Act 42 of 2026:** it only changes s.10 (money limits) and s.38D (allotment of BDA land). It adds nothing about submissions to the city government.
The Step 2 summary of these provisions matches the source.
**Why the plans component is unscored:**
1. 'Corporation' in the BDA Act refers to the old Corporation of the City of Bangalore. In the GBA Act (BDA-03), s.360 (Transitory Provisions) and s.361 (Repeal and Savings) carry over earlier rules and orders and repeal the BBMP Act 2020. Neither provision says that a reference to 'the Corporation' in another law now means the GBA or the City Corporations. So the successor body is not verified.
2. Under the KTCP and Certain Other Laws (Amendment) Bill 2025 (BDA-05), BDA may no longer be the planning authority for the Greater Bengaluru Area. The Bill exists only as passed by the Assembly; its enactment is not confirmed in the sheet.
3. A team decision is needed on whether a scheme notification sent to the Corporation for representations, with deemed concurrence, counts as 'submitting plans' to the city government.
**Why I did not score the budget and report components 0:**
- The BDA Rules and Regulations (made under ss.69 and 70) are not in the Citation Sheet. Section 47A reports are due 'before such date and in such form' as is prescribed, so the Rules could name other recipients.
- Under GBA Act s.14(4), GBA can supervise BDA and issue it directions. The GBA Act does not place a duty on BDA to send its budget or reports to GBA or to the City Corporations, but I could not read the whole Act (BDA-03).
On the Act and GBA Act text alone, budget and reports look absent. Without the Rules, this is 'not found', not proven absence.
**Checked:**
- BDA-02: ss.2, 17, 18, 29, 30, 42-47A, 69, 70, and the amendments of 2002, 2005, 2020 and 2026.
- BDA-03: ss.14, 19, 21, 22, 360 and 361.
- Step 2's review of BDA-06 (KTCP ss.68B and 68D: the budget and annual reports go to the State Government and the Board only) and of BDA-05.
**The likely outcome depends on the team's ruling:**
- If s.17(2) counts as plans and the City Corporations or GBA are the successor, and the Rules confirm budget and reports are absent: about 1.67.
- Otherwise: 0.
METHODOLOGY GAP: the Detailed Methodology text for DPG2b was not given to me. I have not checked the component weighting (about 1.67 each for plans, budgets and reports out of 5) against the rubric, so a person should confirm it.</t>
  </si>
  <si>
    <t xml:space="preserve">ANSWER: I found no provision in the sources I could read that requires BMRCL to submit or table its plans, budgets or annual/performance reports before the Greater Bengaluru Authority (GBA), the City Corporations or their councils. Every reporting duty I found runs to the Central Government, the State Government, Parliament or the State Legislature, or to BMLTA. None of those is the city government (ULG). The score is left blank because BMRCL's Memorandum and Articles of Association are not in the Citation Sheet. As a company, BMRCL takes its constitution from those documents, so I cannot confirm that the requirement is absent. | EVIDENCE: (1) City government law: Greater Bengaluru Governance Act, 2024 (Act 36 of 2025; BMRCL-02, PRS text). s.14(4) gives GBA the power to integrate and supervise public authorities, including 'Bengaluru Metro Rail Corporation Limited', and to issue 'directions ... which shall be binding'. This lets GBA direct BMRCL; it is not a duty on BMRCL to submit documents. s.14(4) also requires only BESCOM and BMTC, not BMRCL, to write GBA's coordinating role into their Memorandum. s.13(1)(j) makes BMRCL's Managing Director a member of GBA's Executive Committee. That is a seat on the committee, not a duty to submit documents. s.19(1): 'The Government shall be entitled to call for periodic reports from such Public Authorities...'. These reports go to the State Government, not to GBA or the Corporations. s.22(2) requires GBA itself, not the parastatal, to su</t>
  </si>
  <si>
    <t xml:space="preserve">The Government shall be entitled to call for periodic reports from such Public Authorities, agencies and departments of the Government discharging municipal functions in the Greater Bengaluru Area, and shall be further entitled to issue instructions and recommendations to those regarding the performance of any of their functions contained in the provisions of their constituent statutes.</t>
  </si>
  <si>
    <t xml:space="preserve">Score left blank: I found no requirement for BMRCL to submit its plans, budgets or reports to the city government, but I could not confirm it is absent, so I cannot give a 0.
What I checked:
(1) BMRCL-02, the Greater Bengaluru Governance Act 2024 (Act 36 of 2025; PRS copy, a secondary source):
- s.19(1): the State Government, not the Greater Bengaluru Authority (GBA) or the City Corporations, 'shall be entitled to call for periodic reports' from public authorities. This is a power to ask for reports. It is not a duty on BMRCL to submit them to the city government.
- s.14(4): GBA can issue binding directions, which is also an oversight power.
- s.15(5): GBA may assign planning work to agencies, and the agencies must help. Again, nothing requires BMRCL to submit its own plans.
- s.13(1)(j): BMRCL's Managing Director sits on GBA's committee. That is a seat, not a submission duty.
- s.22(2): GBA itself must send its own Annual Report and Budget to the City Corporations. Nothing similar applies to BMRCL.
The Step 2 answer reads these sections correctly.
(2) BMRCL-03, the GBA Amendment Bill 2025: it changes only s.8(2) and s.14(1). Nothing about parastatals reporting.
(3) Companies Act s.394 (BMRCL-06): annual reports are laid before Parliament and the State Legislature, not the city government.
(4) Metro Railways (O&amp;M) Act 2002 (BMRCL-04): s.46 returns of accidents go to the Central Government.
(5) BMLTA Act 2022 (BMRCL-08): approvals and reporting go to BMLTA, which is a state authority, not the city government.
(6) BMRCL Annual Report FY2020-21 (BMRCL-09): the report is placed before shareholders.
None of these counts as submitting or tabling to the city government or its council.
Why no 0: a 0 needs proof of absence across the whole legal stack. The Citation Sheet does not contain:
- BMRCL's Memorandum and Articles of Association, which are its constitution as a Government Company;
- Rules under the GBA Act, the Metro Railways (O&amp;M) Act or the BMLTA Act;
- any GO or agreement setting BMRCL's reporting lines;
- the Metro Railways (Construction of Works) Act 1978.
BMRCL-38 (BMLTA Amendment Bill 2025) was not read in full.
For the team:
- Get BMRCL's MoA/AoA and the GBA Rules. If neither requires submission to GBA, the Corporations or their councils, a 0 is likely.
- Check the rubric bands against the 0–5 maximum when scoring.
- Confirm the GBA Act's effective date and that the GBA-era structure is in force.</t>
  </si>
  <si>
    <t xml:space="preserve">Step 2 found no evidence: a source needs to be found and added. Step 2 found no evidence (Insufficient Evidence). Source needed: Needed: the full official text of the BMRDA Act, 1985 (Karnataka Act 39 of 1985), current amended version, especially its structure plan, budget, accounts/audit and annual report sections. Also any Rules under that Act, the BMRDA Regulations (1996, 1999, 2000 amendment), and any GO or notification requiring BMRDA to send plans, budgets or reports to the Greater Bengaluru Authority, the City Corporations or their councils.</t>
  </si>
  <si>
    <t xml:space="preserve">ANSWER: In the sources available, SUDA must send its plans, budgets and reports to the State Government. Nothing found requires it to send or table them before the Surat Municipal Corporation (SMC) or its council. (1) Development plans go to the State Government for sanction under GTPUD Act ss.9/16/17. (2) The budget (Annual Financial Statement) and programme of work go to the State Government for approval (GTPUD Rules 1979, r.47). (3) The annual report and the half-yearly progress report go to the State Government (r.49(1) and r.49(3)). The methodology says submission only to the State Government does not count, so every component looks like 0. A 0 can't be confirmed, though, because the parent Act's sections on accounts, budget and plans could not be read in the Citation Sheet copy. | EVIDENCE: SUDA side: (a) GTPUD Rules 1979, r.47(1): 'The appropriate authority shall submit to the State Government for approval before 1 st day of February of each year the annual Financial Statement and programme of work'. Under r.47(4) the programme of work goes with a note to the State Government. (b) r.49(1): 'submit Annual Report to the State Government'. Under r.49(2) the report covers the programme of work, progress on town planning schemes and development plans, finances and directions from the State Government. (c) r.49(3): a progress report for the first six months goes to the State Government by 1 November. (d) GTPUD Rules (SUDA-03 p.4): 'The State Government may sanction the draft</t>
  </si>
  <si>
    <t xml:space="preserve">Gujarat Town Planning and Urban Development Rules, 1979 (GTPUD-Rules-1979.pdf) [SUDA-03]</t>
  </si>
  <si>
    <t xml:space="preserve">https://www.sudaonline.org/wp-content/uploads/2013/08/GTPUD-Rules-1979.pdf</t>
  </si>
  <si>
    <t xml:space="preserve">The appropriate authority shall within three months of the date of closing of each year submit Annual Report to the State Government.</t>
  </si>
  <si>
    <t xml:space="preserve">I left the Score blank. A 0 needs affirmative absence, and the Citation Sheet doesn't let me show it.
What the sources show (SUDA's own legal stack):
(1) Budget: GTPUD Rules 1979 r.47(1) says the appropriate authority 'shall submit to the State Government for approval' its Annual Financial Statement and programme of work. Under r.47(4) the programme-of-work note also goes to the State Government.
(2) Annual report: r.49(1) sends it to the State Government. r.49(3) sends the six-monthly progress report to the State Government.
(3) Plans: Rules Form A/Form B, SUDA-13 (2013) and SUDA-14 (2017) show the draft plan going to the State Government under ss.9/16 and being sanctioned under s.17. The only other step is public objections. A public notice is not submission to the ULG.
The methodology (as Step 2 reports it) says submission only to the State Government does not count. So every component points toward 0. I checked the Step 2 reading against SUDA-03 and the quotes are accurate.
Why I did not score 0:
(a) SUDA-01 (PRS copy of the GTPUD Act 1976) only returns the appended amending Acts (2017, 2019). I ran read_citation twice, looking for ss.9-17 (development plans) and s.94 onward (budget, accounts, audit, annual report). The principal text never came back. So I can't confirm the Act has no clause sending documents to, or laying them before, the local authority.
(b) I read SUDA-04 (GPMC Act 1949, as modified up to 30-11-2017) only in fragments: the table of contents, the Corporation's own budget and administration report, and the Transport budget. None of what I saw requires an urban development authority to table documents before the Corporation. But I could not read the whole body of the Act.
(c) The 2019 amendment (inside SUDA-01) sends MPC/DPC plans to the State Government. The Gujarat MPC Act 2008 itself is not in the Citation Sheet.
Not credited: SMC officials sit on SUDA's board (Standing Committee Chairman, Municipal Commissioner and City Engineer, per SUDA-14). Board membership is not submission or tabling before the ULG or council.
For the reviewer: get the full principal text of the GTPUD Act 1976 (especially ss.9, 16, 17 and 94-97) and confirm the GPMC Act has no such clause. If both are confirmed, the score would be 0 (plans 0 + budget 0 + annual report 0). The task input does not name the ULG; the sources name Surat Municipal Corporation. Era: n/a.
Periods: Rules as in SUDA's PDF copy (amendments to 1987). Act in the PRS copy, amended up to Act 14 of 2019. GPMC Act as modified up to 30-11-2017.</t>
  </si>
  <si>
    <t xml:space="preserve">Step 2 found no evidence: a source needs to be found and added. Step 2 found no evidence (Insufficient Evidence). Source needed: GMRC's Memorandum and Articles of Association (current version); the three-way MoU between the Government of India, Government of Gujarat and GMRC for Surat Metro; the official texts of the Metro Railways (Construction of Works) Act 1978 and Metro Railways (Operation &amp; Maintenance) Act 2002, with any Rules; any Gujarat government order or notification on the Surat Metro set-up or a Surat transport authority (UMTA); and the current consolidated Gujarat Provincial Municipal Corporations Act (after Nov 2017). Any of these would show whether GMRC must submit plans, budgets or reports to the city government or council.</t>
  </si>
  <si>
    <t xml:space="preserve">DPG4</t>
  </si>
  <si>
    <r>
      <rPr>
        <sz val="11"/>
        <color theme="1"/>
        <rFont val="Calibri"/>
        <family val="2"/>
        <charset val="1"/>
      </rPr>
      <t xml:space="preserve">ANSWER: Yes. BWSSB has an official website at bwssb.karnataka.gov.in. The saved pages loaded with their full content, and they carry dated content from July 2026: a press release dated 27.07.2026 announcing a water shutdown on 31-07-2026. That meets every condition of the 10-point band. | EVIDENCE: (1) BWSSB-01, the home page (https://bwssb.karnataka.gov.in/english). It loaded in full. The footer reads 'Content Owned and maintained by: Bengaluru Water Supply and Sewerage Board, </t>
    </r>
    <r>
      <rPr>
        <sz val="11"/>
        <color theme="1"/>
        <rFont val="Noto Sans"/>
        <family val="2"/>
      </rPr>
      <t xml:space="preserve">ಕರ್ನಾಟಕ ಸರ್ಕಾರ</t>
    </r>
    <r>
      <rPr>
        <sz val="11"/>
        <color theme="1"/>
        <rFont val="Calibri"/>
        <family val="2"/>
        <charset val="1"/>
      </rPr>
      <t xml:space="preserve">' and 'Designed, Developed &amp; Hosted by: Centre for e-governance - Webportal karnataka government © 2026'. The Latest News list shows 'Water Shutdown on 22-07-2026' (2 hours ago), 'Deployment of Officers/Employees after Re-Organisation 2026' (2 weeks ago), 'Revised Water Adalath Schedule' (2 weeks ago) and Direct Recruitment-2025 document-verification lists (4 days ago). (2) BWSSB-25, the Press Release page. Under 'Water Related Press Release', item 1 is 'Water Shutdown on 31-07-2026.' dated 27.07.2026, with a linked PDF. Item 2 is 'Water Shutdown on 22-07-2026.' dated 20.07.2026. (3) BWSSB-07, BWSSB-13 and BWSSB-30 are inner pages of the same site that also loaded. | CAVEATS: The 'Last Updated:' field in the footer is blank, so currency rests on dated content, not a site-level update date. Older press-release sections (Jala Spandana, Phone-in, Other) stop at 2021–2024. That does not affect the 12-month test, because the water press releases are current. The home page and the Press Release</t>
    </r>
  </si>
  <si>
    <t xml:space="preserve">Press Release - Bangalore Water Supply and Sewerage Board [BWSSB-25]</t>
  </si>
  <si>
    <t xml:space="preserve">https://bwssb.karnataka.gov.in/info-4/Press+Release/en</t>
  </si>
  <si>
    <t xml:space="preserve">Water Shutdown on 31-07-2026.</t>
  </si>
  <si>
    <r>
      <rPr>
        <sz val="11"/>
        <color theme="1"/>
        <rFont val="Calibri"/>
        <family val="2"/>
        <charset val="1"/>
      </rPr>
      <t xml:space="preserve">I score 10. The sources show that BWSSB has an official website that exists, opens, is current and works.
(1) Existence and ownership. The site runs on the Karnataka government domain bwssb.karnataka.gov.in. The footer on BWSSB-25, BWSSB-01 and BWSSB-36 reads: 'Content Owned and maintained by: Bengaluru Water Supply and Sewerage Board, </t>
    </r>
    <r>
      <rPr>
        <sz val="11"/>
        <color theme="1"/>
        <rFont val="Noto Sans"/>
        <family val="2"/>
      </rPr>
      <t xml:space="preserve">ಕರ್ನಾಟಕ ಸರ್ಕಾರ</t>
    </r>
    <r>
      <rPr>
        <sz val="11"/>
        <color theme="1"/>
        <rFont val="Calibri"/>
        <family val="2"/>
        <charset val="1"/>
      </rPr>
      <t xml:space="preserve">'. It also says the site is 'Designed, Developed &amp; Hosted by: Centre for e-governance - Webportal karnataka government © 2026'.
(2) Accessibility. The saved home page (BWSSB-01) and inner pages (BWSSB-07, -13, -25, -30, -36) loaded with full readable content, not error pages or empty shells.
(3) Currency. On BWSSB-25, the first water-related press release is 'Water Shutdown on 31-07-2026.' dated 27.07.2026, and the second is dated 20.07.2026. On BWSSB-01, the Latest News list has recent items: 'Water Shutdown on 22-07-2026.' (2 hours ago), Direct Recruitment-2025 document-verification lists (4 days ago), and 'Deployment of Officers/Employees after Re-Organisation 2026' (2 weeks ago). This is well within a 12-month window of the September 2026 rules version.
(4) Functionality. Navigation, linked PDFs and service portal links (Jalamithra, Kaveri on Wheels, Antharjala, RTI) are present. I did not test the linked portals.
I checked the Step 2 answer against BWSSB-25 and BWSSB-01, and the sources support it.
For reviewers to check:
(a) The Detailed Methodology text for DPG4 was not included in this task message. I applied the 10-point band as Step 2 describes it: existence, accessibility, updated within 12 months, functionality. Please confirm this against the question bank.
(b) The footer's 'Last Updated:' field is blank, so currency rests on dated content, not a site-level update date.
(c) The Citation Sheet does not record the date of the check, and there is no archived screenshot. The question bank asks for both. Record the date of verification and capture a dated screenshot. If the check date is after 27.07.2027, re-test currency.
(d) Older press-release sections (Water Adalath, Other) stop in 2021–2023. That does not matter here, because current dated items exist.</t>
    </r>
  </si>
  <si>
    <t xml:space="preserve">ANSWER: Yes. BMTC has an official website at mybmtc.karnataka.gov.in. It opened without error when it was captured, and it has dated content from within the last 12 months: tender notices up to 23/09/2026 and a page footer reading 'Last Updated: 30-09-2026'. This meets the Score-10 condition. | EVIDENCE: (1) BMTC-10, the BMTC Tenders page (https://mybmtc.karnataka.gov.in/info-4/BMTC+Tenders/en). The full page body was captured, with navigation, the tender list and footer. The newest entry is 'TENDER NOTIFICATION NO: 24/2026-27 (e-Procurement Platform): 23/09/2026'. It is followed by notices dated 17/09/2026, 09/09/2026, 04/09/2026, Aug-2026, Jul-2026, Jun-2026, May-2026 and Apr-2026, back to Oct-2025. The footer reads 'Last Updated: 30-09-2026' and 'Content Owned and maintained by: Bengaluru Metropolitan Transport Corporation, Government of Karnataka'. (2) BMTC-18, the Departments page (https://mybmtc.karnataka.gov.in/info-1/Departments/en). It also loaded with its full body, including the department list and links to Complaints, RTI and Recruitment, and has the same footer. (3) BMTC-28 (Press Releases) and BMTC-32 (Vision and Mission) are other pages on the same domain that were captured with full bodies and the same footer. (4) Proof that the site is official: it sits on the karnataka.gov.in domain, which is an allowed .gov.in domain. The footer names BMTC as content owner and says the site is hosted by the Centre for e-Governance, Government of Karnataka. | CAVEATS: (a) Th</t>
  </si>
  <si>
    <t xml:space="preserve">BMTC Tenders - Bengaluru Metropolitan Transport Corporation [BMTC-10]</t>
  </si>
  <si>
    <t xml:space="preserve">https://mybmtc.karnataka.gov.in/info-4/BMTC+Tenders/en</t>
  </si>
  <si>
    <t xml:space="preserve">TENDER NOTIFICATION NO: 24/2026-27 (e-Procurement Platform): 23/09/2026</t>
  </si>
  <si>
    <t xml:space="preserve">I checked BMTC-10 against the Step 2 answer, and it supports a score of 10. (1) The website exists and is official: the page is on mybmtc.karnataka.gov.in, which is an allowed .gov.in domain. The footer names BMTC as content owner and says the Centre for e-Governance, Government of Karnataka designed and hosts the site. (2) The page is accessible: the captured body has full navigation, the tender list and the footer, so it is not an error page or empty shell. (3) The content is current: there are dated tender notices in an unbroken run through 2026 (23/09/2026, 17/09/2026, 09/09/2026, 04/09/2026, August, July, June, May and April 2026), all within 12 months of the September 2026 cycle. The 'Last Updated: 30-09-2026' footer is the same on every captured page, so it may come from the site template. I relied on the dated tender notices, not the footer. CAVEATS FOR THE REVIEWER: (a) The Detailed Methodology and rubric text for DPG4 were not in my task input. I scored against the Score-10 band as Step 2 described it: the website exists, opens without error, and has dated content from within the last 12 months. Please confirm this band against the question bank. (b) This is a point-in-time check. The Citation Sheet does not record the exact capture date, which must have been on or after 30-09-2026. There is also no archived screenshot or web-archive link, which the question's evidence requirement reportedly asks for. Please record the verification date and save a dated capture. (c) Linked PDFs and sub-portals were not opened one by one. (d) The Press Releases page (BMTC-28) appears stale, with items only up to Nov-2022. That does not affect the existence or currency test here, but it matters for related DPG questions. (e) The KarnatakaOne page (BMTC-30) points to www.mybmtc.com, which was not captured and was not used.</t>
  </si>
  <si>
    <t xml:space="preserve">Step 2 found no evidence: a source needs to be found and added. Step 2 found no evidence (Insufficient Evidence). Source needed: A saved copy of BDA's official website home page and its notices/circulars page, fetched on a recorded date. It should show that the site opens without error and has content dated within the last 12 months (e.g. a recent notice, circular or tender). It also needs proof that the site is official: a link to it from a Karnataka government .gov.in or .nic.in page, or an official instrument naming it. A dated screenshot or web-archive capture is also needed.</t>
  </si>
  <si>
    <t xml:space="preserve">ANSWER: I can't determine this from the Citation Sheet. One source shows that BMRCL has an official website, www.bmrc.co.in. But the sheet has no capture of the live site, so I can't confirm that it opens without error or that it has content dated within the last 12 months. The score needs all three conditions, so it is left blank. | EVIDENCE: BMRCL Annual Report, 15th AGM, Board's Report for the year ended 31 March 2021 (BMRCL-09). Page 40 says the Whistle Blower Policy is "placed in the Company's website www.bmrc.co.in" and that the monthly "BMRC Newsletter" is "published on the Company's Website: www.bmrc.co.in". Page 42 says the annual return "is placed on the website of the Company and can be accessed at www.bmrc.co.in". Page 56 says the Company "hosts all its tenders on the Website" and that the website is "continuously updated". It also lists "Website : www.bmrc.co.in" in the Registered Office block. These are the company's own statements about FY2020-21; they are not a check of the site. The other sources do not help with this question: the Greater Bengaluru Governance Act (BMRCL-02), the Companies Act (BMRCL-06), the Karnataka Town and Country Planning Act (BMRCL-07), the BMLTA Act (BMRCL-08), the Metro Railways (Operation and Maintenance) Act (BMRCL-04), the Metro Parking Policy 2025 (BMRCL-32) and the Metro Railways (Amendment) Bill 2009 (BMRCL-37). None of them records a check of BMRCL's website. | CAVEATS: The annual report only shows that a website existed and w</t>
  </si>
  <si>
    <t xml:space="preserve">Website : www.bmrc.co.in</t>
  </si>
  <si>
    <t xml:space="preserve">I left the score blank. This is a VERIFICATION-LIMIT, not a negative finding. A score of 10 needs three things: an official BMRCL website exists, it opens without error, and it has content dated within the last 12 months. The Citation Sheet has no saved copy, screenshot or dated check of the live site, so the second and third conditions cannot be confirmed.
What I checked:
(1) BMRCL-09, the FY2020-21 Annual Report dated 09-11-2021. It names www.bmrc.co.in as the company website and says the site is 'continuously updated'. This is the company describing itself in 2021. It shows the site existed then, not that it works or is current in 2026. I checked the Step 2 quote and it is in the source.
(2) BMRCL-32, the Metro Parking Policy (Government of Karnataka, 2025). Its saved source URL is https://www.bmrc.co.in/pd/FinalMetroParkingPolicy02-04-2026.pdf. That URL sits on the BMRCL domain and was fetched during research. This strongly suggests the domain is up and hosts recent material: the document is dated 2025 and the filename appears to read 02-04-2026. But that is only a PDF. It does not show that the homepage opens without error, and the 'date' is a filename reading, not a dated publication record.
(3) BMRCL-33, a tender on etenders.gov.in published 04-Jan-2025. It is a central government portal, not BMRCL's own website, so it does not count.
(4) BMRCL-02, -03, -04, -06, -08, -37 and -38 are Acts and Bills. None of them records a check of the website.
A score of 0 is ruled out because the website is named in an official source and a file was retrieved from that domain. A score of 10 is not confirmed because nobody has checked the homepage or a dated update.
For a reviewer: open www.bmrc.co.in, record the date of the check, and take a dated screenshot showing the site opens and has content (a notice, tender or news item) from within the last 12 months. If it does, score 10. The BMRCL-32 PDF is a strong lead that this will pass. The team also still needs to confirm that BMRCL qualifies as a parastatal; I have not decided that here.</t>
  </si>
  <si>
    <t xml:space="preserve">ANSWER: Yes. BMRDA has an official website at bmrda.karnataka.gov.in, a Government of Karnataka (.gov.in) domain. The saved copy of the homepage opened and showed its full readable content. It carries content from 2026, which is within the 12-month window. | EVIDENCE: (1) BMRDA-05, the homepage (SOURCE URL https://bmrda.karnataka.gov.in/english), opened with full content: menus, introduction, services, Acts and Rules, RTI and notifications. The footer of the saved BMRDA pages says the site is 'Content Owned and maintained by: Bengaluru Metropolitan Region Development Authority(BMRDA), Government of Karnataka', with '© 2026'. (2) Dated content on the homepage: the 'Department Documents' list includes 'The Karnataka Planning Authorities (Allotment of Civic Amenity Sites within the Bengaluru Metropolitan Region) Rules, 2026.' 'Latest News' shows 'CA Site Paper Notification', posted '2 months ago'. The 'CA Site Paper Notifications' link to newspaper notices whose file names are dated 29-07-2026 and 30-07-2026 (for example, 'NIE Bengaluru 29-07-2026' and 'EPaper-Bangalore_30-07-2026'). A 'Proposed Draft Mobility Plan' section links plans for nine local planning authorities. The gallery has 'INDEPENDENCE DAY 2025'. (3) Other site pages also opened in saved copies: Local Planning Areas (BMRDA-07), Maps (BMRDA-16), Guidelines (BMRDA-17) and Subdivision Layout Approval (BMRDA-18). So internal links work. | CAVEATS: The site's own 'Last Updated:' field is blank on every saved page, so </t>
  </si>
  <si>
    <t xml:space="preserve">Home - Bangalore Metropolitan Region Development Authority(BMRDA) [BMRDA-05]</t>
  </si>
  <si>
    <t xml:space="preserve">https://bmrda.karnataka.gov.in/english</t>
  </si>
  <si>
    <t xml:space="preserve">The Karnataka Planning Authorities (Allotment of Civic Amenity Sites within the Bengaluru Metropolitan Region) Rules, 2026.</t>
  </si>
  <si>
    <t xml:space="preserve">Score is 10. Under the four criteria Step 2 lists, BMRDA's website gets full marks.
Check the rubric first. The question text and Detailed Methodology for DPG4 were not in my task input. I used the band set out in the Step 2 notes: 10 = Existence + Accessibility + Currency + Functionality. If DPG4's real rubric has different bands or content requirements, a reviewer must re-check the score.
What I checked in BMRDA-05 (https://bmrda.karnataka.gov.in/english):
(1) Existence: the site is on the Government of Karnataka domain (karnataka.gov.in). The homepage says it was 'Designed, Developed &amp; Hosted by: Centre for e-governance - Webportal karnataka government © 2026'. A 'Content Owned and maintained by:' line is there, but the owner's name is cut off in the excerpts I could read. Step 2 quotes it in full ('…BMRDA, Government of Karnataka') and the visible text fits that, but a reviewer should confirm the full line.
(2) Accessibility: the saved homepage text is complete and readable. It has the introduction (set up under the BMRDA Act, 1985), services, Acts and Rules, RTI pages, notifications and the gallery.
(3) Currency: there is dated content from the last 12 months:
  - the 'Rules, 2026' listed under Department Documents;
  - CA-site newspaper notices whose file names include 29-07-2026 and 30-07-2026 (e.g. 'NIE Bengaluru 29-07-2026', 'EPaper-Bangalore_30-07-2026');
  - 'CA Site Paper Notification' marked '2 months ago';
  - Draft Mobility Plan files for nine planning authorities.
  The upload file names also carry numbers that look like Unix timestamps (≈1.787–1.791e9, i.e. about Aug–Sep 2026). That is my own reading of the file names, not a stated date.
(4) Functionality: the homepage links to working internal pages. Step 2 also reports that saved copies of BMRDA-07, -16, -17 and -18 opened.
Caveats:
- The site's own 'Last Updated:' field is blank, so currency rests on dated content, not a stated update date.
- Some menu items are old: Citizen Charter 2020-21, RTI 4(1)(b) 2019-20, and the '2020 to 2023' planning-authority pages.
- A featured-content block just reads 'test'.
- Online forms and services were not tested.
- The capture date is not recorded in the Citation Sheet, and there is no dated screenshot or archive copy on file.
For the reviewer:
- Record the date you verify the site.
- Confirm the 2026 Rules and the July 2026 notices are still live on that date.
- Capture a dated screenshot, as the evidence requirement asks.</t>
  </si>
  <si>
    <t xml:space="preserve">ANSWER: Not determined. Files hosted at sudaonline.org were captured, so SUDA has a website and at least some of its files opened. However, the Citation Sheet has no capture of the homepage, nothing dated in the last 12 months (before September 2026), and no check that the site works today. The 'active and functional' test cannot be scored, and a 0 is not allowed because a website was found. | EVIDENCE: (1) SUDA-24: a SUDA document saved from https://www.sudaonline.org/wp-content/uploads/2015/06/... It lists 'SUDA website for Zonal Plan: http://www.sudaonline.org/' and 'URL for Online Development Permission: http://202.71.140.162:8021/BPAMSClient/default.aspx' (page 6). This shows the site exists, as SUDA's own document describes it. (2) SUDA-13 (presentation dated 03-08-2013), SUDA-03 and SUDA-05 (2013/08 upload folders) and SUDA-14 (DP 2035 report, 2017/03 upload folder, dated 22.02.2017) are all saved from sudaonline.org. These are the most recent dated items on the domain in the sheet, all from 2017 or earlier. (3) SUDA-23: a SUDA tender notice for FY 2021-22, hosted on arhc.mohua.gov.in. It names the e-tender site 'https://www.suda.nprocure.com', not sudaonline.org. It is not evidence about SUDA's own website and is outside the 12-month window anyway. | CAVEATS: The rubric has only two bands: 10 (site exists, opens and has content updated in the last 12 months) and 0 (no site). It has no band for a site that exists but looks out of date. If a live check finds a stale sit</t>
  </si>
  <si>
    <t xml:space="preserve">Information to be uploaded on website for registration under shops and establishment act / building permission / NOC from Fire Department (information-related-to-ease-of-doing-bussiness.pdf) [SUDA-24]</t>
  </si>
  <si>
    <t xml:space="preserve">https://www.sudaonline.org/wp-content/uploads/2015/06/information-related-to-ease-of-doing-bussiness.pdf</t>
  </si>
  <si>
    <t xml:space="preserve">SUDA website for Zonal Plan:  http://www.sudaonline.org/</t>
  </si>
  <si>
    <t xml:space="preserve">The score is left blank: VERIFICATION-LIMIT and possible RUBRIC-GAP. (1) Does SUDA have a website? Yes. SUDA's own document (SUDA-24) names 'http://www.sudaonline.org/' as the SUDA website for Zonal Plan, and several Citation Sheet files were saved from that domain: SUDA-03 and SUDA-05 (2013/08 upload folder), SUDA-13 (presentation dated 03-08-2013), SUDA-14 (DP 2035 report dated 22.02.2017) and SUDA-24 (2015/06 upload folder). Because a website exists, a score of 0 is not justified. (2) Is it active and working, with content updated in the last 12 months? This cannot be decided from the Citation Sheet. There is no saved copy of the homepage or of any notices, tenders or news page, no 'last updated' date, and no dated screenshot. The newest dated item on the domain is from 22.02.2017. SUDA-23 is a SUDA tender notice for FY 2021-22, but it is hosted on arhc.mohua.gov.in, not on sudaonline.org. It gives the email sudaonline1978@gmail.com and says corrigenda 'shall be uploaded on website only'. Even so, it does not show the site's current state and falls outside the 12-month window. I searched the sheet for 2025/2026 content and for notices or tenders and found nothing recent. Not finding recent content in the sheet does not prove the site is stale. Live-site evidence that could not be checked is a verification limit, not a negative finding. (3) Possible RUBRIC-GAP: the Step 2 notes describe only two bands, 10 (site works and content updated in the last 12 months) and 0 (no website). If a live check shows the site opens but has nothing dated in the last 12 months, no band fits, and the team must decide. (4) Proof that sudaonline.org is SUDA's official domain comes only from SUDA's own document (SUDA-24). No gov.in/nic.in link or Act/GO in the sheet names it. Reviewer action: open https://www.sudaonline.org/ as of September 2026, take a dated screenshot, and check for content dated within the last 12 months. Score 10 if both checks pass. Refer it to the team if the site works but is stale.</t>
  </si>
  <si>
    <t xml:space="preserve">ANSWER: Yes. GMRC has its own website, https://www.gujaratmetrorail.com/. Several pages were saved with readable content: the home page, Tenders, Reports &amp; Downloads and the Surat Phase-1 Project Overview. They carry dated content from the last 12 months. The home page has a Public Caution Notice dated 02.07.2026, a press note dated 16.05.2026 and a timetable effective 18 May 2026. The Tenders page lists notices dated 07/10/2026 to 12/10/2026, plus a Surat Metro Phase-1 tender dated 11/02/2026. The site has a section on Surat Phase-1, so it covers this city. This meets the 10-point band: an official site that exists, opens and has content updated within 12 months. | EVIDENCE: (1) GMRC-02 (home page, SOURCE URL https://www.gujaratmetrorail.com/): 'Public Caution Notice on 02.07.2026'; 'PRESS NOTE GUJ 16.05.2026'; 'Timetable for Ahmedabad-Gandhinagar Metro Services, w.e.f 18 May 2026'. The footer says 'This website belongs to ... Gujarat Metro Rail Corporation (GMRC) Limited' and 'Last Updated on : 12-Oct-2026 @ 6:16 PM'. The menu has working sections for RTI, Tenders, Careers, Feedback / Grievance and Surat Phase-1. (2) GMRC-12 (Tenders): listings include GEM/2026/B/8141296, dated 12/10/2026 to 03/11/2026; GMRC/CONS/STNS+VDCT-5/2026, opening 07/10/2026; and the Surat IBS tender GMRC/S&amp;T/IBS/SURAT/PH-1/2026, dated 11/02/2026. (3) GMRC-01 (Reports &amp; Downloads): the 15th Annual Report 2024-25 is uploaded at a 2026/05 path. Footer: 'Last Updated on : 12-Oct-2026 @ 6:05 PM'. (4) GM</t>
  </si>
  <si>
    <t xml:space="preserve">Gujarat Metro Rail Corporation (GMRC) Limited (home page) [GMRC-02]</t>
  </si>
  <si>
    <t xml:space="preserve">https://www.gujaratmetrorail.com/</t>
  </si>
  <si>
    <t xml:space="preserve">Timetable for Ahmedabad-Gandhinagar Metro Services, w.e.f 18 May 2026</t>
  </si>
  <si>
    <t xml:space="preserve">I checked the Step 2 answer against the saved pages, and they support it. (1) The site exists and opens with readable text. GMRC-02 (home page) has a full menu: About Us, Project, Reports &amp; Downloads, Tenders, Careers, RTI, Feedback / Grievance and Contact Us. Its footer says the website belongs to Gujarat Metro Rail Corporation (GMRC) Limited. (2) The site is current. The home page carries a Public Caution Notice dated 02.07.2026, a Press Note dated 16.05.2026 and a timetable effective 18 May 2026. GMRC-12 (Tenders) lists live notices dated 07/10/2026 to 12/10/2026, with upload paths under wp-content/uploads/2026/10. (3) The site covers Surat. GMRC-26 has a Surat Metro Project Overview: 38 stations, 40.35 km, civil works under progress. GMRC-12 also lists Surat-specific 2026 tenders, for example GMRC/MMI-2/SURAT/PH-1/2026 (15/05/2026, with addenda up to 30/07/2026) and GMRC/S&amp;T/IBS/SURAT/PH-1/2026 (11/02/2026). (4) The domain is shown to be GMRC's own by the site's ownership statement and by GMRC's 14th Annual Report (GMRC-06, p.68), which names this website as its own. Score 10 follows the band Step 2 described: an official site that exists, opens with readable content and has dated content from the last 12 months. Points to check: (a) The full Detailed Methodology / rubric text for DPG4 was not in my task input. I took the 10-point band from the Step 2 notes, so a reviewer should confirm 10 is the right band and that the highest band equals the Max Score of 10. (b) The domain is not on gov.in or nic.in. Its official status rests on GMRC's own annual report and the site's own statement, not on a link from a gov.in or nic.in page. (c) The Citation Sheet does not record the exact date the pages were checked, and has no dated screenshot or archive copy. The latest content seen is from 12-Oct-2026. The question bank asks for a screenshot and a verification date, so a reviewer should capture both. (d) Whether GMRC passes parastatal screening for Surat has not yet been confirmed by the research team. (e) The footer 'Last Updated' stamps differ by page (6:05 PM vs 6:16 PM) and may be generated automatically. The currency finding rests on the dated notices and tenders, not on the footer.</t>
  </si>
  <si>
    <t xml:space="preserve">DPG5a</t>
  </si>
  <si>
    <t xml:space="preserve">Step 2 found no evidence: a source needs to be found and added. Step 2 found no evidence (Insufficient Evidence). Source needed: A dated, saved copy of the BWSSB website's 'Budget' page under Documents &gt; Accounts, plus any budget files linked from it. These would show whether the Annual Financial Statement (Budget) for FY 2025-26 or FY 2026-27 is published and in what format (XLS/CSV/structured HTML, text PDF or scanned PDF). Other possible sources: the BWSSB budget or annual financial statement for FY 2025-26/2026-27 as laid before the Karnataka Legislature, or a recent BWSSB annual report under s.86 that includes the budget estimates.</t>
  </si>
  <si>
    <t xml:space="preserve">Step 2 found no evidence: a source needs to be found and added. Step 2 found no evidence (Insufficient Evidence). Source needed: Needed: a dated capture of a BMTC budget document (budget estimates / revised estimates) for FY 2026-27 or FY 2025-26, published on BMTC's official website (mybmtc.karnataka.gov.in) or on a Karnataka government portal (e.g. a Transport Department or Finance Department budget volume listing BMTC's budget), with its file type recorded (XLS/CSV/structured HTML vs text PDF vs scanned PDF). A reviewer should also open and save BMTC's 'Annual Administrative Report' page and any finance or downloads pages to check for a budget. If none is published, the BMTC Public Information Officer (the Chief Law Officer, per the department list in BMTC-18) could be asked for the approved budget for FY 2025-26 / FY 2026-27.</t>
  </si>
  <si>
    <t xml:space="preserve">Step 2 found no evidence: a source needs to be found and added. Step 2 found no evidence (Insufficient Evidence). Source needed: Two things are needed: (1) BDA's budget estimates for FY 2026-27 or FY 2025-26, or the Board resolution approving them, as published on BDA's official website (with proof that the domain is official from a .gov.in page) or on a Karnataka government portal; and (2) the file format of that document (XLS/CSV/structured HTML, text PDF or scanned PDF). For each, a dated screenshot or archived URL with the access date is needed.</t>
  </si>
  <si>
    <t xml:space="preserve">Step 2 found no evidence: a source needs to be found and added. Step 2 found no evidence (Insufficient Evidence). Source needed: Needed: a dated copy (or archived URL with access date) of a BMRCL annual budget (budget estimates, or revised and budget estimates) for FY 2025-26 or FY 2026-27, from BMRCL's official website or a Government of Karnataka .gov.in source (e.g. UDD or Finance Department budget papers that give BMRCL's budget), with its file type recorded (XLSX/CSV/structured HTML vs text PDF vs scanned PDF). Failing that, BMRCL's RTI s.4(1)(b) proactive-disclosure page showing the budget allocated to the agency.</t>
  </si>
  <si>
    <t xml:space="preserve">Step 2 found no evidence: a source needs to be found and added. Step 2 found no evidence (Insufficient Evidence). Source needed: A saved copy of the BMRDA website's 'Budget' page and of the budget documents it links to (budget estimates for FY 2026-27 or FY 2025-26), recording the year covered, the file type (XLS/XLSX/CSV/structured HTML vs text PDF vs scanned PDF) and the date accessed. A copy of the budget BMRDA approved and sent to the State Government for FY 2025-26 or 2026-27, if it is published elsewhere on an official Karnataka (.gov.in) site, would also answer the question.</t>
  </si>
  <si>
    <t xml:space="preserve">Step 2 found no evidence: a source needs to be found and added. Step 2 found no evidence (Insufficient Evidence). Source needed: Need a dated copy of SUDA's adopted annual budget (budget estimates in Form N or equivalent) for FY 2026-27 or FY 2025-26. It could be on SUDA's official website (its finance/budget or RTI proactive-disclosure section) or on a Gujarat government (gov.in) page hosting it, such as the Urban Development &amp; Urban Housing Department. The URL, access date and file type (XLS/CSV/HTML table vs text PDF vs scanned PDF) must be recorded. If the website has no budget, a saved copy of the relevant website sections showing that, read in full, would be needed before a 0 could be given.</t>
  </si>
  <si>
    <t xml:space="preserve">Step 2 found no evidence: a source needs to be found and added. Step 2 found no evidence (Insufficient Evidence). Source needed: GMRC's annual budget (budget estimates, or revised and budget estimates) for FY 2026-27 or FY 2025-26, published on its official website or a Government of India / Government of Gujarat portal. Also needed: a saved copy of the 'Budget Allocation &amp; Expenditure' PDF linked from RTI Ch.11, to check what it covers and its file format (XLSX/CSV/HTML vs text PDF vs scanned PDF).</t>
  </si>
  <si>
    <t xml:space="preserve">DPG5b</t>
  </si>
  <si>
    <t xml:space="preserve">Step 2 found no evidence: a source needs to be found and added. Step 2 found no evidence (Insufficient Evidence). Source needed: A dated, saved copy of BWSSB's 'Accounts' web page and of the most recent audited annual statement of accounts (income and expenditure account, balance sheet and auditor's report) for the preceding FY, or one year earlier where audit timelines allow. The file type needs to be recorded (XLSX/CSV/HTML vs text PDF vs scanned PDF). Other possible sources are the Karnataka Legislature papers-laid records under s.25(5)(a), or a State Audit or CAG report that includes BWSSB's certified accounts.</t>
  </si>
  <si>
    <r>
      <rPr>
        <sz val="11"/>
        <color theme="1"/>
        <rFont val="Calibri"/>
        <family val="2"/>
        <charset val="1"/>
      </rPr>
      <t xml:space="preserve">ANSWER: No score can be given yet. The most recent financial statements found online are for FY 2019-20, which is too old for the scoring window. BMTC's official homepage (mybmtc.karnataka.gov.in, a karnataka.gov.in domain) lists under 'Recent Updates' a PDF called 'Balance Sheet and Profit and Loss Account for the Year ended 31st March 2020'. The page footer reads 'Last Updated: 30-09-2026'. The window allows audited accounts for FY 2025-26, or FY 2024-25 if the one-year lag applies. So FY 2019-20 does not qualify. That PDF itself is not in the Citation Sheet, so it is not confirmed that those accounts are audited or what file format they use. Two linked pages that could hold newer accounts, 'Annual Administrative Report' and 'More about BMTC', are not in the Citation Sheet either. Absence of newer accounts is therefore not established. | EVIDENCE: (1) BMTC-01, BMTC homepage (English), 'Recent Updates' block: link to storage/pdf-files/bs-eng.pdf titled 'Balance Sheet and Profit and Loss Account for the Year ended 31st March 2020', plus a separate link to the 'Annual Administrative Report' page (/80/annual-administrative-report/en). Footer: 'Last Updated: 30-09-2026'. (2) BMTC-12, the Kannada homepage, has the same item: bs-kan.pdf, '</t>
    </r>
    <r>
      <rPr>
        <sz val="11"/>
        <color theme="1"/>
        <rFont val="Noto Sans"/>
        <family val="2"/>
      </rPr>
      <t xml:space="preserve">ಆಸ್ತಿ ಮತ್ತು ಜವಾಬ್ಧಾರಿ ಪಟ್ಟಿ ಮತ್ತು ಲಾಭ ಮತ್ತು ನಷ್ಟದ ತ ಖ್ತೆ </t>
    </r>
    <r>
      <rPr>
        <sz val="11"/>
        <color theme="1"/>
        <rFont val="Calibri"/>
        <family val="2"/>
        <charset val="1"/>
      </rPr>
      <t xml:space="preserve">2020</t>
    </r>
    <r>
      <rPr>
        <sz val="11"/>
        <color theme="1"/>
        <rFont val="Noto Sans"/>
        <family val="2"/>
      </rPr>
      <t xml:space="preserve">ರ ಮಾರ್ಚ್ </t>
    </r>
    <r>
      <rPr>
        <sz val="11"/>
        <color theme="1"/>
        <rFont val="Calibri"/>
        <family val="2"/>
        <charset val="1"/>
      </rPr>
      <t xml:space="preserve">31 </t>
    </r>
    <r>
      <rPr>
        <sz val="11"/>
        <color theme="1"/>
        <rFont val="Noto Sans"/>
        <family val="2"/>
      </rPr>
      <t xml:space="preserve">ರಂದು ಇದ್ದರಂತೆ</t>
    </r>
    <r>
      <rPr>
        <sz val="11"/>
        <color theme="1"/>
        <rFont val="Calibri"/>
        <family val="2"/>
        <charset val="1"/>
      </rPr>
      <t xml:space="preserve">' (balance sheet and profit and loss account as at 31 March 2020). (3) Legal background only, not evidence of practice: Road Transport Corporations Act, 1950 (B</t>
    </r>
  </si>
  <si>
    <t xml:space="preserve">Bangalore Metropolitan Transport Corporation — official website [BMTC-01]</t>
  </si>
  <si>
    <t xml:space="preserve">https://mybmtc.karnataka.gov.in/english</t>
  </si>
  <si>
    <t xml:space="preserve">Balance Sheet and Profit and Loss Account for the Year ended 31st March 2020</t>
  </si>
  <si>
    <t xml:space="preserve">Score left blank. Not found is not the same as absent, and part of this is a VERIFICATION-LIMIT. (1) What the sheet shows: the BMTC homepage (BMTC-01, karnataka.gov.in domain, last updated 30-09-2026) links to only one set of financial statements, 'Balance Sheet and Profit and Loss Account for the Year ended 31st March 2020' (FY 2019-20). The Kannada homepage (BMTC-12) has the same item. FY 2019-20 is outside the window, which allows FY 2025-26, or FY 2024-25 with the one-year lag. So this document earns no credit. (2) Why I did not give a 0: the methodology needs affirmative absence, and the sheet does not have it. Three things are missing from the Citation Sheet: (a) the 'Annual Administrative Report' page (/80/annual-administrative-report/en), (b) the 'More about BMTC' page (/72/more-about-bmtc/en), and (c) the bs-eng.pdf file itself. Any of these could hold newer audited accounts, so a human must check them. BMTC-14 (Performance Indicator page) links a 'Financial Performance' / Performance Indicators PDF. Its text is not in the sheet, and nothing shows it is a set of audited financial statements. (3) Format half: without the PDF I cannot tell whether it is text, scanned or extractable. No XLS/CSV/HTML version was seen. (4) Background only: RTC Act 1950 s.33 (BMTC-02) says the accounts 'shall' be prepared and audited by the CAG and laid before the Legislature. It does not require online publication, and a legal duty is not evidence of practice. (5) What I checked: BMTC-01, BMTC-12, BMTC-14, BMTC-15, BMTC-02, and a sheet-wide search for 'audited accounts balance sheet 2024-25 annual report', which found no BMTC accounts newer than FY 2019-20. (6) Missing context: the full question text and Detailed Methodology for DPG5b were not given to me. I relied on the Step 2 summary of the band structure (an availability/currency part and a format part, max 1). A person should confirm the rubric. (7) Next steps for the reviewer: open the Annual Administrative Report page, the More-about-BMTC page and the Performance Indicators PDF. Look for audited accounts for FY 2024-25 or FY 2025-26, and record the file format. If none are there, the availability/currency part is 0 and the latest FY found is 2019-20. Capture a dated screenshot.</t>
  </si>
  <si>
    <t xml:space="preserve">Step 2 found no evidence: a source needs to be found and added. Step 2 found no evidence (Insufficient Evidence). Source needed: Any of these would answer it: a saved, dated copy of the BDA official website's accounts, annual report or RTI s.4(1)(b) disclosure page, showing the latest audited annual accounts with their financial year and file type (PDF text or scanned, or XLS/CSV/HTML); a Karnataka Legislature papers-laid record of BDA's audited accounts and auditor's report for FY 2024-25 (or FY 2023-24 if the one-year lag applies); or a State Audit and Accounts Department or CAG publication of BDA's audited accounts. Also the Rules made under the BDA Act that set the 'prescribed manner' of publication, for context.</t>
  </si>
  <si>
    <t xml:space="preserve">ANSWER: The newest audited accounts in the Citation Sheet are for FY 2020-21 (year ended 31 March 2021). They are in BMRCL's Annual Report, published as a PDF on the Karnataka Legislative Council's papers-laid page. The question is assessed as of September 2026. By then, accounts for at least FY 2024-25 should be online (FY 2025-26 if already due). The FY 2020-21 accounts are well outside that window. However, the Citation Sheet does not include BMRCL's own website financials or investor pages, or any later Annual Report. So I cannot show that newer accounts are missing, and availability is 'not found' rather than 0. The accounts I found are in PDF, not XLS/CSV or a structured HTML table. | EVIDENCE: BMRCL-09 (Annual Report, 15th AGM, a PDF on kla.kar.nic.in papers laid): it contains the 'Balance Sheet As at 31st March 2021' (printed p.81, PDF p.83), the cash flow statement and notes. The statutory auditor's report (Badari, Madhusudhan &amp; Srinivasan) is dated 24-08-2021. The C&amp;AG's comments under s.143(6)(b) of the Companies Act are dated 22 October 2021. The Board's Report says the annual return is on www.bmrc.co.in, but says nothing similar about the accounts. BMRCL-06 (Companies Act 2013, s.136(1) provisos): listed companies must put their financial statements on their website. This is a legal duty, not evidence of practice, and I have not confirmed BMRCL's listing status. BMRCL-09 does mention SEBI (LODR) Reg. 52 filings. | CAVEATS: The document is on the state legislature</t>
  </si>
  <si>
    <t xml:space="preserve">Balance Sheet As at 31st March 2021</t>
  </si>
  <si>
    <t xml:space="preserve">I left the score blank because the Citation Sheet doesn't show whether BMRCL's audited accounts are currently published, or in what format.
**What the Citation Sheet shows:**
- The newest audited accounts are for FY 2020-21: the Balance Sheet as at 31 March 2021, the auditor's report dated 24-08-2021 and the C&amp;AG comments. They are in BMRCL-09, a PDF on the Karnataka Legislative Council papers-laid page (kla.kar.nic.in).
- That is far older than the window expected for an assessment as of September 2026, which is FY 2024-25 or FY 2025-26.
- The document is a PDF with extractable text. It is not XLS/CSV or a structured HTML table.
**Why this can't be a 0:**
- The Citation Sheet has no capture of BMRCL's own website, its financials or investor pages, its stock-exchange (SEBI LODR) disclosures, or any Annual Report after FY 2020-21.
- I searched the whole sheet for later financial statements (FY 2024-25 and machine-readable versions). Only BMRCL-09 came up. The other hits (BMRCL-02, the Greater Bengaluru Governance Act accounts sections, and BMRCL-06, the Companies Act) describe legal duties, not practice.
- Without those pages there is no proof of absence, so the result is 'not found', not 0.
- Pages that couldn't be checked are a VERIFICATION-LIMIT, not a negative finding.
**Other gaps:**
- The question text and detailed methodology for DPG5b were not in the task input. I relied on the Step 2 framing: availability and currency of audited accounts, plus machine-readable format.
- I could not check how the 0-1 scale maps to those components.
**What the reviewer should do:**
1. Check BMRCL's official site and stock-exchange filings for audited accounts for FY 2021-22 to FY 2025-26, and note their file format.
2. Capture a dated screenshot.
3. Score as follows:
   - If current accounts are found only as PDF, the format component is likely 0.
   - If no accounts newer than FY 2020-21 exist after a full check, the question likely scores 0.
The Step 2 answer matches the source: FY 2020-21 accounts in PDF on a state legislature domain.</t>
  </si>
  <si>
    <t xml:space="preserve">Step 2 found no evidence: a source needs to be found and added. Step 2 found no evidence (Insufficient Evidence). Source needed: Two things would answer this. First, BMRDA's audited annual accounts (balance sheet, income and expenditure, and the audit report/certificate of the State Audit &amp; Accounts Department / Controller of State Accounts) for FY 2025-26, or FY 2024-25 under the one-year lag, as published on BMRDA's 'Budget and Annual Reports' page or among the Karnataka Legislature's papers laid. Second, the content and file format of the 2023-24 Annual Report linked from the BMRDA website. The BMRDA Act 1985 accounts and audit section would also show whether audited accounts are legally due and on what timeline.</t>
  </si>
  <si>
    <t xml:space="preserve">Step 2 found no evidence: a source needs to be found and added. Step 2 found no evidence (Insufficient Evidence). Source needed: The page on SUDA's own website (or a Gujarat UDD/State page) that hosts SUDA's audited annual accounts or Annual Report for FY 2024-25 (or FY 2023-24 under the one-FY lag), opened and saved with the access date, and its file type recorded (XLSX/CSV/HTML table vs text PDF vs scanned PDF). Failing that, SUDA's RTI s.4(1)(b) proactive-disclosure page or a CAG/Local Fund audit report on SUDA, to show whether the accounts are published at all.</t>
  </si>
  <si>
    <t xml:space="preserve">ANSWER: GMRC's latest audited annual accounts are online for FY 2024-25 (year ended 31 March 2025). They are inside the 15th Annual Report, a PDF linked from GMRC's own 'Reports &amp; Downloads' page. Availability and currency likely earns 0.5 under the one-FY lag allowance, but this depends on the assessment reference date. Format earns 0: the financial statements were found only as PDFs, with no XLS/CSV/ODS file or structured HTML table. In the saved copy, the Balance Sheet, Profit and Loss, Changes in Equity and Cash Flow pages (report pp. 92-96) and several Notes pages give no extractable text, so the tables cannot readily be reused. These accounts cover the whole company (Ahmedabad-Gandhinagar and Surat metro projects), not Surat alone. | EVIDENCE: (1) GMRC-01, GMRC's official 'Reports &amp; Downloads' page (page footer reads 'Last Updated on: 12-Oct-2026'). Under 'Annual Reports' it lists annual reports from the 5th (2014-15) to the 15th (2024-25), all as .pdf links. The newest is '15TH Annual Report 2024-25' at .../wp-content/uploads/2026/05/Annual-Report-for-FY-2024-2025.pdf. No spreadsheet or structured-data version is listed. (2) GMRC-05, the 15th Annual Report FY 2024-25, fetched from that PDF link. The contents list the Balance Sheet (p.92), P&amp;L (p.93), Changes in Equity (p.94), Cash Flow (pp.95-96) and Notes (pp.97-152). The Independent Auditor's Report (DGSM &amp; Co, signed 11/08/2025) covers the Ind AS financial statements 'as at March 31, 2025'. The report also includes </t>
  </si>
  <si>
    <t xml:space="preserve">GUJARAT METRO RAIL COPRORATION (GMRC) LIMITED 15th Annual Report 2024-25 [GMRC-05]</t>
  </si>
  <si>
    <t xml:space="preserve">https://www.gujaratmetrorail.com/wp-content/uploads/2026/05/Annual-Report-for-FY-2024-2025.pdf</t>
  </si>
  <si>
    <t xml:space="preserve">Your Directors take pleasure in presenting the 15th Annual Report on performance of Gujarat Metro Rail Corporation (GMRC) Limited (50:50 SPV of Government of India and Government of Gujarat) along with the audited Financial Statement, Independent Auditors Reports for the financial year ended 31st March 2025.</t>
  </si>
  <si>
    <t xml:space="preserve">Proposed score 0.5 = 0.5 for being available and current + 0 for format.
(1) Availability and currency, 0.5. GMRC-05 is the 15th Annual Report for FY 2024-25. It contains the audited financial statements for the year ended 31-03-2025, the Independent Auditor's Report, and C&amp;AG comments at pp.45-49. The AGM notice (dated 22/12/2025) says the 15th AGM on 24-Dec-2025 will adopt these audited financial statements. GMRC-01 is GMRC's own Reports &amp; Downloads page (footer: 'Last Updated on: 12-Oct-2026'). It links this report as '15TH Annual Report 2024-25' (upload path 2026/05). No FY 2025-26 accounts appear in the Citation Sheet. The FY 2024-25 accounts earn the 0.5 only under the one-FY lag allowance that Step 2 describes.
(2) Format, 0. Every annual report on GMRC-01, from the 5th (2014-15) to the 15th (2024-25), is a .pdf link. The RTI Section 4(1)(b) disclosure page (GMRC-03), Chapter 11 'Budget Allocation &amp; Expenditure', only points back to the Reports page and to a PDF. I found no XLS/XLSX/CSV/ODS file, structured HTML table or dataset for the accounts on either page. A search of the whole Citation Sheet for xlsx/csv/excel found nothing. This absence rests on GMRC-01 and GMRC-03, which are GMRC's two disclosure pages in the sheet.
PLEASE CHECK:
(a) The question's Detailed Methodology and Notes for scorers were not included in this task input. The band split I used (0.5 availability/currency within a one-FY lag, plus 0.5 for structured formats) comes from Step 2's description, not from rubric text I could read. A person must confirm the rubric.
(b) Assessment reference date. The rules version is Sept 2026 and the Reports page was updated 12-Oct-2026. By then FY 2025-26 had ended (31-03-2026). If the methodology demands the most recently completed FY with no lag, or if FY 2025-26 accounts were already due and published by the reference date, the availability part would be 0 and the total 0. Note that GMRC adopted its FY 2024-25 accounts only in Dec 2025.
(c) Step 2 says the statement pages (pp.92-96) gave no extractable text and may be scanned images. This was not checked visually, and it does not change the format score, because PDF is not a credited format either way.
(d) The accounts cover the whole company (Ahmedabad-Gandhinagar and Surat projects), not Surat alone.
(e) A reviewer should capture a dated screenshot of GMRC-01.
Confidence is low because the rubric text was not available to me and currency depends on an unconfirmed reference date.</t>
  </si>
  <si>
    <t xml:space="preserve">DPG5c</t>
  </si>
  <si>
    <t xml:space="preserve">ANSWER: The newest BWSSB Board annual report in the Citation Sheet that could be read is for FY 2016-17. It is a Legislature Paper laid in the Karnataka Legislative Council and hosted on kla.kar.nic.in. As of September 2026, the immediately preceding FY is 2025-26, and the latest report due is at least FY 2024-25. No report for any period that recent is in the Citation Sheet. BWSSB's own RTI page has an 'Annual report' table with three entries: '2022-23' (file 'rti-YearlyReport-PROSec.pdf'), '2019' and '2017'. None of these linked documents was opened, so it is not known what they contain. Even if the 2022-23 file is the Board's annual report, it is still older than the permitted period. The availability/currency part probably fails, but the Citation Sheet cannot prove that nothing newer exists, so it stays as 'not found' and is not scored 0. On format, the 2016-17 report is a PDF with a text layer: the English pages can be searched, but the Kannada pages use a legacy non-Unicode font and come out garbled. | EVIDENCE: (1) BWSSB-29, the Annual Report 2016-17 laid in the Legislative Council. Page 61 reads 'ANNUAL REPORT FOR THE YEAR 2016-17'. The board decisions are dated up to 31-03-2017, and the financial tables show 2016-17 revised estimates and 2017-18 budget estimates. The English Chairman's foreword on page 59 says it is prepared under 'Section 86(2) of Bangalore Water Supply and Sewerage Board Act 1964'. (2) BWSSB-12, the RTI page on BWSSB's official website. Its 'Annual</t>
  </si>
  <si>
    <r>
      <rPr>
        <sz val="11"/>
        <color theme="1"/>
        <rFont val="Calibri"/>
        <family val="2"/>
        <charset val="1"/>
      </rPr>
      <t xml:space="preserve">BANGALORE WATER SUPPLY AND SEWERAGE BOARD – Annual Report 2016-17 (</t>
    </r>
    <r>
      <rPr>
        <sz val="11"/>
        <color theme="1"/>
        <rFont val="Noto Sans"/>
        <family val="2"/>
      </rPr>
      <t xml:space="preserve">ವಾರ್ಷಿಕ ವರದಿ </t>
    </r>
    <r>
      <rPr>
        <sz val="11"/>
        <color theme="1"/>
        <rFont val="Calibri"/>
        <family val="2"/>
        <charset val="1"/>
      </rPr>
      <t xml:space="preserve">2016-17), paper laid in Karnataka Legislative Council [BWSSB-29]</t>
    </r>
  </si>
  <si>
    <t xml:space="preserve">https://kla.kar.nic.in/council/house/Paperlaid/139/30/302016-17rept.pdf</t>
  </si>
  <si>
    <t xml:space="preserve">ANNUAL REPORT FOR THE YEAR 2016-17</t>
  </si>
  <si>
    <t xml:space="preserve">I've left the score blank. The newest annual report I could confirm is too old, but the Citation Sheet doesn't show that nothing newer exists, so the case for a 0 isn't met. (1) What's confirmed: BWSSB-29 is the Board's annual report for FY 2016-17 (1 Apr 2016 to 31 Mar 2017). It was laid in the Karnataka Legislative Council and is hosted on kla.kar.nic.in. Board decisions in it run to 31-03-2017. It has a text layer: the English pages can be searched, but the Kannada pages use a legacy non-Unicode font and come out garbled. The English foreword wrongly calls it 'The Annual report of 2017-18'; the title and contents are 2016-17. As of September 2026 the report should cover FY 2025-26, or at least 2024-25. A 2016-17 report is far older than that and can't earn credit on currency. (2) A 0 needs affirmative absence, and that isn't met. BWSSB-12, the RTI page on BWSSB's official site, has an 'Annual report' table with three entries: '2022-23' (https://bwssb.karnataka.gov.in/storage/pdf-files/rti-YearlyReport-PROSec.pdf), '2019' and '2017'. None of these files was opened, so their contents and format are unknown. From its name, the 2022-23 file may be the PRO section's RTI yearly report rather than the Board's s.86(2) report. Even if it is the Board's report, it would still predate FY 2024-25/2025-26. The sheet also has no Karnataka Legislature papers-laid listings after 2016-17, and only parts of the BWSSB website. A search of the sheet for '2024-25' annual report material found nothing relevant, just Act text from BWSSB-02 and BWSSB-04. Checked: BWSSB-29, BWSSB-12, BWSSB-01, BWSSB-02 (s.86(2): the Board 'shall' prepare and submit an annual report; this is a duty to prepare one, not evidence that one was published), BWSSB-04, and a sheet-wide search. (3) The detailed methodology and rubric for DPG5c weren't given in the task, so I couldn't check the band definitions against the Max Score of 1. For a reviewer to confirm: (a) open rti-YearlyReport-PROSec.pdf and the '2019'/'2017' pages and record what they contain; (b) look for any FY 2024-25 or 2025-26 BWSSB annual report on bwssb.karnataka.gov.in or in Karnataka Legislature papers laid; (c) decide whether a report hosted on the legislature site counts as 'publicly available online'; (d) decide whether legacy-font Kannada pages meet the searchability standard. If a full check finds no current report, a 0 would be justified. RTI target: PIO, BWSSB, for its s.86(2) annual reports for FY 2022-23 to 2025-26.</t>
  </si>
  <si>
    <t xml:space="preserve">Step 2 found no evidence: a source needs to be found and added. Step 2 found no evidence (Insufficient Evidence). Source needed: A saved, dated copy of BMTC's Annual Administrative Report page, listing which years are posted. Also the latest report itself (preferably for the immediately preceding FY), to check its FY and whether it is a text-searchable PDF/HTML or a scanned image. A secondary source would be the Karnataka Legislature papers-laid record of BMTC's annual report under RTC Act s.35(3).</t>
  </si>
  <si>
    <t xml:space="preserve">Step 2 found no evidence: a source needs to be found and added. Step 2 found no evidence (Insufficient Evidence). Source needed: Three kinds of source would answer this: (1) BDA's own official website page listing annual reports, with the latest report (ideally FY 2025-26 or FY 2024-25) saved as a copy so the FY and whether the PDF is searchable or scanned can be checked; (2) Karnataka Legislature papers-laid records showing a BDA annual report under s.47A, with a link to the document; (3) the Rules made under the BDA Act that set the report form and due date, to decide which report counts as 'latest report due'.</t>
  </si>
  <si>
    <t xml:space="preserve">ANSWER: The newest BMRCL annual report in the Citation Sheet covers FY 2020-21. It is the 15th AGM report: Board's Report and Financial Statements for the year ended 31 March 2021. It is a text-readable PDF hosted on the Karnataka Legislature papers-laid site (kla.kar.nic.in), not on BMRCL's own website. Under rules v2 (September 2026), the report needed is for FY 2025-26, or else the latest one due (probably FY 2024-25, since the FY 2025-26 AGM may not yet be due). So the FY 2020-21 report is far outside the permitted period. I still cannot score availability 0. BMRCL's own website (annual reports / investor pages) and any later papers-laid listings are not in the Citation Sheet, so I cannot show that no newer report exists online. Availability and currency are therefore undetermined. The format of the report found meets the standard: it is a searchable PDF and can be downloaded. | EVIDENCE: BMRCL-09 (https://kla.kar.nic.in/council/house/Paperlaid/146/33.pdf). Index p.3: 'Statement of Profit and Loss for the year ended 31st March, 2021'. Board's Report p.50: 'Board Meetings held during the year 2020-21'. The C&amp;AG comments letter is dated 22 October 2021 and the statutory auditor signed on 24-08-2021. Text can be extracted from p.3 onward; pp.1-2 (covers) have no text layer. Board's Report p.55 (Company's Website) says the official website is www.bmrc.co.in, but no copy of that site is in the Sheet. A search of the Sheet for later annual reports (FY 2021-22 to 2025-26) found </t>
  </si>
  <si>
    <t xml:space="preserve">Statement of Profit and Loss for the year ended 31st March, 2021</t>
  </si>
  <si>
    <t xml:space="preserve">I left Score blank because the Citation Sheet cannot settle the availability and currency part of the score, so it is not found rather than absent. What I checked: BMRCL-09 is a text-searchable, downloadable PDF of BMRCL's Annual Report for FY 2020-21, the year ended 31.03.2021. The statutory auditor signed on 24-08-2021, the C&amp;AG comments letter is dated 22 October 2021, and the Board's Report is dated 09-11-2021. It is hosted on the Karnataka Legislature papers-laid site (kla.kar.nic.in). This agrees with the Step 2 answer. For an assessment as of September 2026, the report would need to be for FY 2025-26 or the latest one due (probably FY 2024-25). FY 2020-21 is well outside that period. I searched the whole Sheet for later annual reports (FY 2021-22 to 2025-26) and found none. The other BMRCL citations are not annual reports: BMRCL-02, -03, -04, -06, -08, -37 and -38 are Acts or Bills, BMRCL-32 is a parking policy and BMRCL-33 is a tender. The FY 2020-21 report itself says BMRCL's official website is www.bmrc.co.in and that financial results and the annual return are placed there. No page from that website is in the Sheet, so a newer report may well be published online. Scoring availability as 0 would need affirmative absence, which the Sheet does not provide. Scoring it as positive would rely on a report that is about five years out of date. Format: the FY 2020-21 PDF has a text layer from p.3 onward (the cover pages do not), so it would meet a searchable or downloadable test. I did not award format-only partial credit on its own. Doing so would quietly treat availability as 0, and the format would have to be checked again on any newer report that is found. For the reviewer: (1) check www.bmrc.co.in (annual reports or investor pages) and later Karnataka Legislature papers-laid listings for annual reports for FY 2021-22 to FY 2025-26, with a dated screenshot. If none exists after a full check, score availability 0 and apply the format component as the rubric directs. (2) Confirm whether a report hosted only on a legislature site counts as 'publicly available online'. (3) Confirm that BMRCL is eligible as a parastatal, since it is a company. VERIFICATION-LIMIT: the agency's own website was not fetched into the Sheet. RTI-TARGET: the PIO at BMRCL, for annual reports for FY 2021-22 to FY 2025-26 and where each is published online.</t>
  </si>
  <si>
    <t xml:space="preserve">ANSWER: The newest BMRDA annual report I could find is for FY 2023-24. BMRDA's own website links to it, but no copy of that PDF is in the Citation Sheet, so its content and format are unchecked. The newest report whose text I could read is FY 2022-23 (1 Apr 2022 to 31 Mar 2023), laid before the Karnataka Legislative Council. It is a PDF with selectable, searchable text and can be downloaded. Neither report is for FY 2025-26, the year just before this September 2026 assessment. It is also unclear whether either counts as the 'latest report due', because the filing date set under KTCP Act s.68D is not in the Citation Sheet. I cannot say for certain that no newer report exists, so I have not proposed a score. | EVIDENCE: (1) BMRDA-05, BMRDA's official homepage (bmrda.karnataka.gov.in, '© 2026', carries uploads from July 2026). Under 'Department Documents' it links 'Budget and Annual Reports' and one 'Annual Report' file named '2023-24 Anual Report.pdf'. No later report is linked there. The 'Budget and Annual Reports' page itself is not in the Citation Sheet. (2) BMRDA-03, kla.kar.nic.in Council papers laid (Paperlaid/152/37.pdf): 'Annual Report of Bangalore Metropolitan Region Development Authority for the year 2022-2023 [01-04-2022 to 31-03-2023]'. It has a Kannada part (pp.1-9) and an English part (p.10 onward). The English text extracts cleanly. The Kannada text extracts but comes out garbled because of a legacy font encoding, so it is not image-only. (3) BMRDA-08, KTCP Act s</t>
  </si>
  <si>
    <t xml:space="preserve">[https://bmrda.karnataka.gov.in/40/budget-and-annual-reports/en] Budget and Annual Reports [https://bmrda.karnataka.gov.in/storage/pdf-files/2023-24 Anual Report.pdf] Annual Report</t>
  </si>
  <si>
    <t xml:space="preserve">SCORE LEFT BLANK. A person needs to score this.
What the Citation Sheet shows:
(1) BMRDA-05 is BMRDA's official homepage, fetched in 2026 ('© 2026'; it carries uploads dated July 2026). Under 'Department Documents' it links only one annual report, a file named '2023-24 Anual Report.pdf'. That PDF is not in the Citation Sheet, so its content and format (scanned or text) cannot be checked. VERIFICATION-LIMIT. The 'Budget and Annual Reports' page it points to (/40/budget-and-annual-reports/en) is not in the Citation Sheet either, so it may list later reports I cannot see.
(2) BMRDA-03 is the FY 2022-23 annual report (1 Apr 2022 to 31 Mar 2023), from the Karnataka Legislature's papers-laid list. I read it again. The English part (p.10 onward) is selectable text that extracts cleanly. The Kannada part (pp.1-9) is in a legacy font encoding: the text extracts but comes out garbled, so it is not image-only. As a format example it would meet a text-readable, downloadable standard.
(3) BMRDA-08 is KTCP Act s.68D: every Planning Authority 'shall prepare for every year a report... on or before such date as may be prescribed'. The due date is not in the Citation Sheet. That makes it impossible to say which year is the 'latest report due' as of September 2026, either FY 2024-25 or FY 2025-26.
(4) I searched the Citation Sheet for 'Annual Report 2024-25'. It turned up no report for FY 2024-25 or FY 2025-26.
Why no score:
- Availability: the newest report found (FY 2023-24) is older than the year probably due. That points to a low or zero score, but scoring it 0 needs affirmative absence. Two places were never read: the 'Budget and Annual Reports' page and the Legislature papers laid after FY 2022-23.
- Format: the FY 2023-24 file was not opened, so its format is unknown.
- Rubric: the detailed methodology for DPG5c, including how the 0-1 score splits between availability and format, was not given to me. I cannot apply bands I cannot see.
I checked the Step 2 answer against the sources and they support it.
To do:
(a) Open https://bmrda.karnataka.gov.in/40/budget-and-annual-reports/en and the 2023-24 PDF, and take a dated screenshot.
(b) Check the Karnataka Legislature (kla.kar.nic.in) papers laid for 2024-26 for any BMRDA annual report for FY 2023-24, 2024-25 or 2025-26.
(c) Confirm the prescribed due date for the annual report under KTCP Act s.68D, or under the BMRDA Act or Regulations.
(d) Possible RTI request to the PIO (Assistant Metropolitan Commissioner, Administration), BMRDA.</t>
  </si>
  <si>
    <t xml:space="preserve">Step 2 found no evidence: a source needs to be found and added. Step 2 found no evidence (Insufficient Evidence). Source needed: Either a SUDA annual report for the last full financial year (or the latest report due), or the SUDA website (or a Gujarat government gov.in page) where annual reports are listed or proactively disclosed. It should be fetched and saved with the access date and the file type recorded: searchable/text PDF, HTML or DOC versus scanned/image PDF.</t>
  </si>
  <si>
    <t xml:space="preserve">ANSWER: GMRC's annual report is online. The newest one found is the 15th Annual Report for FY 2024-25. It is linked from the 'Annual Reports' list on GMRC's 'Reports &amp; Downloads' page and is a downloadable PDF whose text can be read and searched. The list also links every report from FY 2014-15 to FY 2023-24. Whether FY 2024-25 meets the currency test depends on the assessment date. The page snapshot is dated 12-Oct-2026, when the immediately preceding FY is 2025-26. No FY 2025-26 report was found in the Citation Sheet. Format test: met (0.5). Currency test: not decided (0.5 or 0). | EVIDENCE: (1) GMRC-01, the 'Reports &amp; Downloads' page, 'Annual Reports' list: '15TH Annual Report 2024-25', linked to .../wp-content/uploads/2026/05/Annual-Report-for-FY-2024-2025.pdf. The same list links the 14th Annual Report 2023-24 and the 13th Annual Report 2022-23. The page footer says 'Last Updated on : 12-Oct-2026'. (2) GMRC-05, the FY 2024-25 report itself, opened at that exact URL. Its text was extracted page by page (152 numbered pages: Board's Report, C&amp;AG comments, audited financial statements for the year ended 31 March 2025). The notice for the 15th AGM says it 'WILL BE HELD ON WEDNESDAY, THE 24TH DECEMBER, 2025' and is dated 22/12/2025. The statutory auditor signed on 11/08/2025. The '2026/05' upload folder suggests the file went online around May 2026; this is read from the URL only, not confirmed. (3) GMRC-06, the FY 2023-24 report, and GMRC-25, the FY 2022-23 report, are earlie</t>
  </si>
  <si>
    <t xml:space="preserve">Reports &amp; Downloads - Gujarat Metro Rail Corporation (GMRC) Limited [GMRC-01]</t>
  </si>
  <si>
    <t xml:space="preserve">https://www.gujaratmetrorail.com/reports/</t>
  </si>
  <si>
    <t xml:space="preserve">15TH Annual Report 2024-25</t>
  </si>
  <si>
    <t xml:space="preserve">I left the score blank because the currency part can't be decided from the Citation Sheet. The format part can.
FORMAT (0.5), supported:
- GMRC-01 (the GMRC Reports &amp; Downloads page) links the '15TH Annual Report 2024-25' as a downloadable PDF.
- GMRC-05 is that PDF, opened at the same URL. It is 152 pages and the text can be read: Board's Report, C&amp;AG comments, and audited statements for the year ended 31-Mar-2025.
- Only a few pages are image-only: the cover and the Secretarial Audit pages.
- Earlier reports for FY14-15 to FY23-24 are also listed. GMRC-06 (FY23-24) and GMRC-25 (FY22-23) are readable.
CURRENCY (0.5 or 0), undecided:
- The GMRC-01 page footer is dated 12-Oct-2026, so the immediately preceding FY is 2025-26. No FY 2025-26 report is listed or in the Citation Sheet.
- The FY 2024-25 report was adopted at the 15th AGM. GMRC-05 gives the meeting date as 24-Dec-2025, with the notice dated 22/12/2025.
- GMRC-06 shows the FY 2023-24 report was adopted at an AGM on 21-Dec-2024. So GMRC usually adopts its report in December after C&amp;AG comments, and the FY 2025-26 report may not yet have been adopted by Oct 2026.
- I searched the Citation Sheet, and read GMRC-03 (RTI proactive disclosure), GMRC-05 and GMRC-06. None gives a due date for the FY 2025-26 report, or a Companies Act deadline, so I can't tell whether FY 2024-25 counts as the 'latest report due'.
- The '2026/05' upload folder hints at an upload around May 2026. That comes from the URL only and is not confirmed.
OUTCOME:
- If the team accepts FY 2024-25 as the latest report due at the assessment date, the score is 1 (0.5 + 0.5).
- If not, the score is 0.5 (format only).
- I did not enter 0.5 as a floor, because that would be a guess about the currency part.
OTHER CHECKS:
- The question bank asks for a dated screenshot. There is no archive record, and the date we have is the site's own 'Last Updated' footer. A reviewer should capture a dated screenshot. This is a verification limit.
- Scope: GMRC is a single company for Ahmedabad, Gandhinagar and Surat, and the Surat metro is not yet running. The team needs to confirm GMRC is counted as a parastatal for Surat (PRE-OPERATIONAL flag).
- The Step 2 answer matches the sources.</t>
  </si>
  <si>
    <t xml:space="preserve">DPG5d</t>
  </si>
  <si>
    <t xml:space="preserve">Step 2 found no evidence: a source needs to be found and added. Step 2 found no evidence (Insufficient Evidence). Source needed: Needed: a dated capture of the BWSSB official website section (or RTI s.4(1)(b) proactive-disclosure page) that lists Board meeting proceedings or minutes, showing at least one set from FY 2025-26 or FY 2026-27 and its file type (searchable PDF, HTML, DOC or scanned). Alternatively, a documented full check of the BWSSB website and Karnataka legislature papers-laid pages confirming that no minutes are published, with access dates. A recent BWSSB annual report (FY 2024-25 or later) would at most show recent board decisions, not minutes.</t>
  </si>
  <si>
    <t xml:space="preserve">Step 2 found no evidence: a source needs to be found and added. Step 2 found no evidence (Insufficient Evidence). Source needed: A saved, dated copy of the BMTC website page that publishes Board of Directors meeting minutes, such as the RTI Section 4(1)(b) proactive-disclosure page, a Board Secretariat or 'Board meetings' page, or minutes/resolutions posted under the RTI menu. It should show at least one set of minutes dated FY 2025-26 or FY 2026-27, the date of the latest minutes, and the file type (searchable PDF/HTML/DOC versus scanned image). If the website does not publish them, the absence needs to be confirmed by reviewing every disclosure page.</t>
  </si>
  <si>
    <t xml:space="preserve">Step 2 found no evidence: a source needs to be found and added. Step 2 found no evidence (Insufficient Evidence). Source needed: Any of these would answer it: BDA's official website page (its domain shown to be official through a link from a .gov.in page or a statutory instrument) listing minutes or proceedings of Authority (board) meetings, with dated documents from FY 2025-26 or FY 2026-27; BDA's RTI section 4(1)(b) proactive-disclosure page if it carries board proceedings; or an official Karnataka government page (e.g. Urban Development Department) hosting BDA Authority meeting proceedings. Each needs a saved, dated copy showing the meeting date and whether the file is a searchable/text PDF, HTML or DOC versus a scanned image.</t>
  </si>
  <si>
    <t xml:space="preserve">Step 2 found no evidence: a source needs to be found and added. Step 2 found no evidence (Insufficient Evidence). Source needed: A dated copy of BMRCL's official website page, captured in this session, that publishes board minutes or decisions for FY 2025-26 or FY 2026-27 (or a confirmed absence on its disclosures or board-meetings pages), plus the downloaded minutes file to check whether it is searchable PDF/HTML/DOC or a scan. Failing that, a recent BMRCL annual report or a state-portal disclosure saying whether minutes are published.</t>
  </si>
  <si>
    <t xml:space="preserve">Step 2 found no evidence: a source needs to be found and added. Step 2 found no evidence (Insufficient Evidence). Source needed: Needed: a full, dated capture of the BMRDA official website (sitemap plus any 'Proceedings', 'Minutes' or 'Authority/Executive Committee meetings' section), showing whether minutes of an Authority or Executive Committee meeting from FY 2025-26 or 2026-27 are posted, and in what file format (searchable PDF, HTML or DOC, versus scanned). Also useful: BMRDA's latest RTI s.4(1)(b) disclosure and a recent annual report (FY 2024-25 or 2025-26) listing board meetings held. If nothing is published, the Member Secretary (Metropolitan Commissioner) holds the minutes.</t>
  </si>
  <si>
    <t xml:space="preserve">Step 2 found no evidence: a source needs to be found and added. Step 2 found no evidence (Insufficient Evidence). Source needed: A dated, saved copy of the SUDA official website section that lists Authority or governing-board meeting minutes or resolutions (for example a 'Board meetings', 'Resolutions' or RTI Section 4(1)(b) proactive-disclosure page). It should include at least one set of minutes from the current FY or the immediately preceding FY, the meeting date, and the file type (searchable PDF, HTML or DOC versus scanned image). If no such page exists, a full read of the SUDA website's disclosure sections would be needed to establish affirmative absence.</t>
  </si>
  <si>
    <t xml:space="preserve">Step 2 found no evidence: a source needs to be found and added. Step 2 found no evidence (Insufficient Evidence). Source needed: A complete check of the GMRC website (the 'Present Board of Directors' and 'Board Level Committees' pages, the sitemap and a site search) showing whether any Board minutes from FY 2025-26 or FY 2026-27 are published, and in what file format. If none are published, the Board minutes held by the Company Secretary under the Companies Act (an RTI request).</t>
  </si>
  <si>
    <t xml:space="preserve">DPG5f</t>
  </si>
  <si>
    <t xml:space="preserve">ANSWER: BWSSB's official website has an 'Organization Chart' page. It lists a 'Re-Organisation Chart 2026' and other 2026 re-organisation documents as downloadable PDFs, so information on the current structure exists and its titles are dated 2026. That points to the currency half being met. The format half cannot be judged because none of the PDFs is in the Citation Sheet. We cannot tell whether they are searchable text PDFs that name posts and officials, or image-only or scanned files. The total score is left blank. | EVIDENCE: (1) BWSSB-11, Organization Chart page on bwssb.karnataka.gov.in. Its table lists: 'Re-organization of BWSSB FA section 2026' (View, an HTML link); 'Re-Organisation Chart 2026' (Download, PDF); 'OM-Deployment of Officers/Employees after Re-Organisation 2026'; 'Annexure-1 - Deployment of Officers/Employees after Re-Organisation 2026'; 'Annexure-2 -(Re-Organisation 2026)' (all PDFs); and older charts 'Organisation Chart - 2020' and 'Organisation Chart - 2016'. (2) BWSSB-01, BWSSB homepage. 'Deployment of Officers/Employees after Re-Organisation 2026' appears under news as '2 weeks ago', near 'Water Shutdown on 22-07-2026' marked '2 hours ago'. This suggests the posting is from around July 2026 (FY 2026-27). (3) BWSSB-42, Duties and Responsibilities page. It lists PDFs of officers' powers and duties and Delegation of Powers for 2016, 2018 and 2019. These are old and are not a current structure. (4) BWSSB-43, Provisional Seniority List 2023. These are cadr</t>
  </si>
  <si>
    <t xml:space="preserve">Organization Chart - Bangalore Water Supply and Sewerage Board [BWSSB-11]</t>
  </si>
  <si>
    <t xml:space="preserve">https://bwssb.karnataka.gov.in/info-1/Organization+Chart/en</t>
  </si>
  <si>
    <t xml:space="preserve">Re-Organisation Chart 2026</t>
  </si>
  <si>
    <t xml:space="preserve">VERIFICATION-LIMIT. Score left blank; it is not a 0. I could not see the question's own rubric text, so I scored against Step 2's two-half reading: currency 0.5 and format 0.5. A reviewer should confirm that split. What the sheet supports: (1) BWSSB-11, the official Organization Chart page on a gov.in domain, lists 'Re-Organisation Chart 2026' (PDF) and 'OM-Deployment of Officers/Employees after Re-Organisation 2026' with Annexures 1 and 2. It also lists an HTML 'Re-organization of BWSSB FA section 2026' page and older charts from 2020 and 2016. (2) BWSSB-16 and BWSSB-01 show the news item 'Deployment of Officers/Employees after Re-Organisation 2026' marked '2 weeks ago', next to a 'Water Shutdown on 22-07-2026' item marked '2 hours ago'. So a 2026 structure document appears to have been posted in FY 2026-27. Even so, the currency half rests on document titles and news timing, not on the chart's content. (3) BWSSB-12, the RTI page, links a 4(1)(b)(i) 'Administrative Organization Chart' as a .jpg image, which is undated and likely old. It also links RTI 4(1)(a) pages for 2025-26 by zone or office, but these are file indexes, not the structure. What is missing: the text of the 2026 chart PDF, the deployment OM and its annexures, the FA-section HTML page and the Senior Management page are not in the Citation Sheet. So I can't tell whether the chart is a searchable text PDF or a scanned image, or whether it names posts or officials. That means the format half can't be decided, and the currency half can't be confirmed from the document itself. Older material is historical only: BWSSB-42 (delegation of powers, 2016-2019), BWSSB-43 (seniority list 2023), BWSSB-29 (Annual Report 2016-17 chart). Action for the reviewer: open the 'Re-Organisation Chart 2026' PDF linked on BWSSB-11. Check whether it is a text or image file and whether it names posts or officials. Check its date. Take a dated screenshot. Then assign the score, possibly 0.5 for currency plus 0.5 or 0 for format, if the rubric splits that way.</t>
  </si>
  <si>
    <t xml:space="preserve">ANSWER: Yes, BMTC's own website publishes information about its organisation and staff. But I cannot give a score because the Citation Sheet does not show (a) the date of the information or (b) the file type of the PDF staff lists. (1) An HTML 'Departments' page names 16 departments, each with the post that heads it and a description. It is searchable text with identifiable posts, but it carries no date. (2) An 'Officers List' page links to three PDFs: 'List of Management', 'List of Officers Working in BMTC' and 'List of Depot Managers Working in BMTC'. The PDFs themselves are not in the Citation Sheet, so their content, date and type (searchable or scanned) are unknown. The website's 'Organization Structure' and 'Directors List' pages appear in the menu but are not in the Citation Sheet. | EVIDENCE: BMTC-18 (Departments page, mybmtc.karnataka.gov.in, an official karnataka.gov.in site): a table of department, head and description. Examples: 'Traffic Operations - Chief Traffic Manager (Operation)'; 'Accounts Department - Chief Accounts Officer/ FA'; 'Board Secretariat - Board Secretary'; 16 entries in total. Posts are named by job title, not by person. No date appears on the content. BMTC-11 (Officers List page): table 'BMTC Officers Details', 'PDF Document', rows 01 'List of Management', 02 'List of Officers Working in BMTC', 03 'List of Depot Managers Working in BMTC'. Each PDF file name contains 'working list updated eng 3107'. That hints at an update dated 31/07, but no ye</t>
  </si>
  <si>
    <t xml:space="preserve">Officers List - Bengaluru Metropolitan Transport Corporation [BMTC-11]</t>
  </si>
  <si>
    <t xml:space="preserve">https://mybmtc.karnataka.gov.in/info-1/Officers+List/en</t>
  </si>
  <si>
    <t xml:space="preserve">List of Officers Working in BMTC</t>
  </si>
  <si>
    <t xml:space="preserve">Score left blank. The sheet shows that BMTC publishes organisation and staff information, but not whether it is current or what format the key documents are in. This is a verification limit, not a negative finding, so nothing is scored 0. The full rubric text for DPG5f was not in the task input. I relied on the currency and format tests described in the Step 2 notes, and a reviewer should check them against the question bank.
The Step 2 answer matches the sources.
(1) BMTC-11, the Officers List page, links to three PDFs: the management list, the officers list and the depot managers list. Their file names contain 'working list updated eng 3107'. The PDFs themselves are not in the Citation Sheet, so their content, date and type (searchable or scanned) cannot be confirmed. One lead for the reviewer: the numbers at the end of the file names (e.g. 1785482902, 1785482793) look like upload times. Read as Unix timestamps, they fall on about 31 July 2026, which matches '3107' and would be FY 2026-27. This is my inference from file names, not verified evidence of currency, so I did not score on it.
(2) BMTC-18, the Departments page, is HTML text listing 16 departments. Each has the post that heads it (e.g. 'Chief Security and Vigilance Officer', 'Board Secretary', 'Controller of Stores and Purchases') and a description. It is searchable and the posts can be identified, but the content has no date. The footer 'Last Updated: 30-09-2026' is a site-wide stamp and does not date this page's content.
(3) BMTC-09, the Directors List, names the Chairman and Vice-Chairman (e.g. 'SRI. V.S.Aaradhya, Chairman'). It is board composition, not the organisational structure, and it is also undated.
(4) The 'Organization Structure' page (link 31/organization-structure, seen in BMTC-12 and BMTC-01) is not in the Citation Sheet, so I cannot tell whether it is a searchable chart or an image.
Reviewer actions:
- Open the three officer-list PDFs and record their dates and whether they are searchable or scanned.
- Open the Organization Structure page and record its format and date.
- Confirm whether '3107' means 31 July 2026.
- Capture dated screenshots.
If the current structure is confirmed as a searchable webpage or PDF with identifiable posts dated FY 2025-26 or 2026-27, the evidence would likely support the full score of 1, depending on the rubric.
Checked: BMTC-11, BMTC-18, BMTC-09, BMTC-01, BMTC-12, and a search of the whole sheet for 'Organization Structure organisation chart'. The legal sources (BMTC-02, -04, -06, -07) do not bear on this Implementation question.</t>
  </si>
  <si>
    <t xml:space="preserve">Step 2 found no evidence: a source needs to be found and added. Step 2 found no evidence (Insufficient Evidence). Source needed: Copies of BDA's own official website pages, saved with the date accessed: an 'Organisation chart' or 'Officers / Who's who / Contact us' directory listing current posts and officials, or BDA's RTI s.4(1)(b) proactive disclosure (organisation, functions and duties; directory of officers; staff and pay). Each item needs its date or FY and its file type (HTML, searchable PDF, XLS/CSV, or image/scanned). Also needed: proof that the website is BDA's official domain, e.g. a link to it from a Karnataka .gov.in page. BDA's latest annual report showing sanctioned and working posts would also help.</t>
  </si>
  <si>
    <t xml:space="preserve">Step 2 found no evidence: a source needs to be found and added. Step 2 found no evidence (Insufficient Evidence). Source needed: Any of these would answer it: a dated copy of BMRCL's official-website page with its current organisation chart, officer or staff directory, or RTI Section 4(1)(b) proactive disclosure (directory of officers and employees, sanctioned and working posts), accessed in 2026, with the file format recorded; or a BMRCL annual report for FY 2024-25 or FY 2025-26 (for example, one laid in the Karnataka Legislature) describing the current organisational set-up.</t>
  </si>
  <si>
    <t xml:space="preserve">ANSWER: BMRDA puts its staff directory online as a searchable HTML Contact Us page. The page lists each post with the officer's name and office phone number, and marks unfilled posts as 'Vacant'. That meets the format standard. Whether the page is current cannot be confirmed because it carries no date. There are signs it was updated after March 2023: the Metropolitan Commissioner named on it differs from the one in the FY 2022-23 Annual Report, and other officers have moved to new posts. But none of the sources ties it to the current or the immediately preceding FY. The most recent dated staffing information is the FY 2022-23 Annual Report, Annexure-1 (position as on 31.03.2023), which falls outside the permitted window. | EVIDENCE: (1) BMRDA-06, Contact Us page (bmrda.karnataka.gov.in, the BMRDA site; the Annual Report BMRDA-03, p.15 names it as the Authority's website). It has a Name / Designation / Office Number table with 17 posts. Filled posts include 'Sri. Rajendra P Cholan, Metropolitan Commissioner', 'Smt. Suma J, Metropolitan Planner and Director', 'Sri.Maruthi Prasanna B V, Additional Metropolitan Commissioner', 'Sri Pradeep T, Joint Metropolitan Commissioner', two Joint Directors, one Assistant Director and the Accounts Officer. Posts marked 'Vacant' include Additional Director, Deputy Metropolitan Commissioner, 4 Deputy Directors, 3 Assistant Directors and the Account Superintendant. There is no date on the page: the footer reads 'Last Updated:' with nothing after</t>
  </si>
  <si>
    <t xml:space="preserve">Contact Us - Bangalore Metropolitan Region Development Authority(BMRDA) [BMRDA-06]</t>
  </si>
  <si>
    <t xml:space="preserve">https://bmrda.karnataka.gov.in/page/Contact+Us/en</t>
  </si>
  <si>
    <t xml:space="preserve">Sri. Rajendra P Cholan
Metropolitan Commissioner
080-22255493</t>
  </si>
  <si>
    <t xml:space="preserve">I left the score blank because the Citation Sheet doesn't show whether BMRDA's organisation chart or staff directory is current. I checked Step 2's evidence against the sources.
What the sources show:
(1) BMRDA-06, the Contact Us page on BMRDA's official site, is a searchable web page (not a scan). Its table lists 17 posts by Name, Designation and Office Number, filled posts by name (e.g. 'Sri. Rajendra P Cholan, Metropolitan Commissioner') and 12 posts marked 'Vacant'. That supports Step 2's view that the format part is met (0.5).
(2) The page has no date. The footer reads 'Last Updated:' with nothing after it, then '© 2026'. The © 2026 is a site-wide footer, so it does not date this page.
(3) BMRDA-05, the Home page, names the same Metropolitan Commissioner and is clearly being kept up: the site shows items dated July 2026 and a Rules notice dated 2026. That is a sign the whole site is maintained, not a date for the Contact Us page.
(4) BMRDA-03, the Annual Report for FY 2022-23 (Annexure-1, staff as on 31.03.2023), names a different Commissioner. So the page changed after March 2023, but this does not show it reflects the current or the previous financial year.
Under the rules, undated content means currency can't be decided. It is not evidence that the page is out of date, so currency can't be scored 0 either. The total therefore can't be set at 0.5 or 1.
What a reviewer needs to do:
(a) Confirm which financial year is being assessed and the question's full scoring method. Its text was not included in this task; I relied on Step 2's description of two components, currency and format (0.5).
(b) Open the 'Organisation chart' PDF (ORGNenglish.pdf) linked from BMRDA-05. Record its date and whether it is searchable text or a scanned image. It is not in the Citation Sheet.
(c) Check the 2023-24 Annual Report linked from BMRDA-05. It may list staff as on 31.03.2024. It is not in the Citation Sheet.
(d) Save a dated screenshot of the Contact Us page.
The page also lists officer-level posts only, not the full sanctioned staff of 56 or the reporting lines.</t>
  </si>
  <si>
    <t xml:space="preserve">Step 2 found no evidence: a source needs to be found and added. Step 2 found no evidence (Insufficient Evidence). Source needed: A dated capture of SUDA's own official website section showing its current organisation or staff, e.g. an organisation chart, a who's-who or officer directory with designations, or a post-wise sanctioned/working staff list. Alternatively, SUDA's RTI section 4(1)(b) proactive-disclosure manuals (organisation, functions and duties; directory of officers and employees) for FY 2025-26 or 2026-27. The capture should record the file type: HTML, searchable PDF, XLS/CSV, or image/scanned.</t>
  </si>
  <si>
    <t xml:space="preserve">ANSWER: The Citation Sheet shows that GMRC publishes some organisation information online. It does not show a dated organisation chart or a staff directory for the current period, so neither component can be scored yet. GMRC's RTI section 4(1)(b) proactive-disclosure webpage is searchable HTML. It describes each department's duties, a top-level decision chain (Board -&gt; Managing Director -&gt; Functional Heads), the Board's composition and a table of grades and designations. Its 'Directory of Officers and Employees' chapter publishes no directory: it tells the reader to contact the Public Information Officer (PIO). The 2024-25 Annual Report (a searchable text PDF) adds a short written description of the organisational set-up and names the Directors and Key Managerial Personnel (KMP), with changes up to 10.08.2025. | EVIDENCE: (1) GMRC-03, RTI 4(1)(b) webpage: Ch.1 says GMRC is a 50:50 joint company of the Government of India and the Government of Gujarat. Ch.2 lists duties by department (Systems / Rolling Stock / Traction, Civil, Human Resources, Operations, etc.). Ch.3 gives the chain 'BOARD OF DIRECTORS -&gt; MANAGING DIRECTOR -&gt; FUNCTIONAL HEADS'. Ch.8 says the Board 'consists of 13 directors' (5 from the Government of India, 5 from the Government of Gujarat, 3 functional) and links to a 'Present Board of Directors' page, which is not in the Citation Sheet. Ch.9, Directory of Officers and Employees, says only 'Kindly contact Public Information Officer (PIO) for information'. Ch.1</t>
  </si>
  <si>
    <t xml:space="preserve">CHAPTER 9 :DIRECTORY OF OFFICERS AND EMPLOYEES
Kindly contact Public Information Officer (PIO) for information</t>
  </si>
  <si>
    <t xml:space="preserve">SCORE LEFT BLANK. Reasons: (1) RUBRIC-GAP. The task gives no Detailed Methodology or Notes for scorers for DPG5f, only the 0-1 'Score' column. The Step 2 notes mention two parts ('Availability &amp; currency' and 'Format'), but without the actual rubric I cannot tell whether 1 needs an organisation chart, a staff directory or just identifiable posts. I also cannot tell whether partial scores are allowed. (2) What the Citation Sheet shows: GMRC-03 (RTI 4(1)(b) webpage, searchable HTML) has department duties (Ch.2), a top-level decision chain Board -&gt; MD -&gt; Functional Heads (Ch.3) and the Board's make-up (Ch.8). Ch.8 says the Board has 13 directors (5 from Government of India, 5 from Government of Gujarat, 3 functional), which looks out of date. Ch.10 has a table of grades and designations. Ch.9 (Directory of Officers and Employees) publishes no directory; it only says to contact the PIO. CORRECTION TO STEP 2: Step 2 said the 'Present Board of Directors' page was not in the Citation Sheet. It is, as GMRC-04. It names 8 directors: 2 nominated by Government of India, including Chairman Satendra Singh; 4 nominated by Government of Gujarat, including MD S. S. Rathore; and 2 functional directors, Director (Project &amp; Planning) and Director (Finance). This conflicts with Ch.8 of GMRC-03 (13 directors) and with GMRC-05 (11 directors as on 31.03.2025). GMRC-04's footer reads 'Last Updated on : 12-Oct-2026'. The identical footer, with the same visit count, also appears on GMRC-14, so it is probably a site-wide timestamp, not proof that the Board page itself is current. GMRC-14 names 4 RTI officers with their designations (I/c CAO; JGM-Operations; Sr. DGM Civil/Safety as PIO for Surat; DGM-Administration). GMRC-05 (Annual Report 2024-25, p.30, s.XII) describes the set-up in words and lists Directors and KMP, with changes up to 10.08.2025. (3) What is missing: I searched the sheet ('organisation chart organogram') and found no organisation chart, organogram or staff directory. The site's other pages (Contact Us, Board Level Committees, Careers) are not in the sheet, so this is not affirmative absence, and a 0 is not justified. (4) Surat: nothing describes a set-up specific to Surat beyond a PIO for Surat (GMRC-14). For the human scorer: apply the DPG5f rubric. If credit needs an organisation chart or officer directory, nothing in the sheet supports it. If identifiable posts and officials are enough, GMRC-04, GMRC-14, GMRC-05 and GMRC-03 Ch.10 together may earn partial credit, but whether they are current remains in doubt because the Board counts conflict. Capture a dated screenshot as the question bank requires.</t>
  </si>
  <si>
    <t xml:space="preserve">DPG5g</t>
  </si>
  <si>
    <t xml:space="preserve">Step 2 found no evidence: a source needs to be found and added. Step 2 found no evidence (Insufficient Evidence). Source needed: One of these, from BWSSB's official website or another official source, dated FY2025-26 or FY2026-27: a current list of ongoing projects or a project dashboard (e.g. CWSS Stage V, 110-villages water and underground drainage, STP and used-water projects) showing status, cost and dates; or a searchable plan document (Vision 2050 / master plan, an annual action plan, or a budget with a capital works programme). Each needs a dated saved copy or screenshot and the date of access, so that both currency and format can be checked.</t>
  </si>
  <si>
    <t xml:space="preserve">Step 2 found no evidence: a source needs to be found and added. Step 2 found no evidence (Insufficient Evidence). Source needed: Dated website copies of BMTC's own plans and project information, for the current or immediately preceding FY: e.g. a BMTC annual development or implementation plan (including any Annual Implementation Plan under BMLTA Act s.25), the latest BMTC annual report or budget that names major projects, or a projects page, dashboard or XLS/CSV list of ongoing projects (e-bus induction, depots, TTMCs, bus priority lanes) with status. Also needed: the full Press Releases and News pages, to confirm the newest item and whether it is text or an image.</t>
  </si>
  <si>
    <t xml:space="preserve">Step 2 found no evidence: a source needs to be found and added. Step 2 found no evidence (Insufficient Evidence). Source needed: A dated copy of BDA's official website showing: (1) its current major plan (e.g. the Master Plan or Revised Master Plan for its current planning area, or development scheme documents) as a downloadable document, with a note on whether the text is searchable or scanned; and (2) information on ongoing projects (layouts, flyovers, housing, PRR etc.) as a searchable web page/table or XLS/CSV list, dated within FY 2025-26 or FY 2026-27. The date of the latest item found should also be recorded. Also needed: official confirmation of whether the KTCP Amendment Bill 2025 (LA Bill 55 of 2025) was enacted and has commenced, which settles whether BDA or GBA owns the Greater Bengaluru master plan.</t>
  </si>
  <si>
    <t xml:space="preserve">ANSWER: Not determined. The Citation Sheet has no BMRCL project page, project dashboard, project list or major plan document. One current document, the BMRCL Metro Parking Policy (cover says 2025), is a text-readable PDF on bmrc.co.in. Its background section gives a short status of the metro phases: Phase-1 and part of Phase-2 operating; the rest of Phase-2, Phase-2A, Phase-2B and Phase-3 under construction. It is a sector policy, not a major plan or a project information source. The only full project progress record, the FY 2020-21 Annual Report, falls outside the current/previous-FY window. Neither half of the rubric can be decided reliably. | EVIDENCE: (1) BMRCL-32, Metro Parking Policy, cover 'Government of Karnataka 2025', file at bmrc.co.in/pd/FinalMetroParkingPolicy02-04-2026.pdf. Section 1 Background (p.5) says 'The total sanctioned network of BMRCL of Phase-1, Phase-2, Phase-2A, Phase-2B and Phase-3 is about 220.20 Km' and that 96.1 km with 83 stations is 'already under operation'. It says the remaining 21.26 km of Phase-2, Phase-2A (19.75 km), Phase-2B (38.44 km) and Phase-3 (44.65 km, 31 stations) are 'under construction'. The text can be extracted, so it is not a scanned PDF. (2) BMRCL-09, Annual Report, Board's Report for the year ended 31 March 2021 (FY 2020-21). It has detailed Phase-2 progress: contracts, land acquisition (pp.26, 33, 37). This is older than the permitted window. (3) BMRCL-02 (GBA Act), BMRCL-08 (BMLTA Act), BMRCL-04, BMRCL-06, BMRCL-07 and BMR</t>
  </si>
  <si>
    <t xml:space="preserve">Bangalore Metro Rail Corporation Limited (BMRCL) METRO PARKING POLICY, Government of Karnataka 2025 [BMRCL-32]</t>
  </si>
  <si>
    <t xml:space="preserve">https://www.bmrc.co.in/pd/FinalMetroParkingPolicy02-04-2026.pdf</t>
  </si>
  <si>
    <t xml:space="preserve">The total sanctioned network of BMRCL of Phase -1, Phase -2, Phase -2A, Phase -2B and  Phase-3 is about 220.20 Km.</t>
  </si>
  <si>
    <t xml:space="preserve">I left the Score blank. The Citation Sheet does not settle either part of the rubric (availability and currency 0.5, format 0.5). I checked the Step 2 answer against the sources and it holds up.
What each source shows:
(1) BMRCL-32, the Metro Parking Policy (cover says 2025; the file name contains 02-04-2026). This is a parking policy. Only one background paragraph gives the status of the metro phases: Phase-1 and part of Phase-2 operating (96.1 km, 83 stations); the remaining 21.26 km of Phase-2, Phase-2A (19.75 km), Phase-2B (38.44 km) and Phase-3 (44.65 km) under construction. It is not a major plan and not a source of information on ongoing projects. It has no progress, cost, timeline or completion data for those projects. Whether this paragraph earns any credit is for the team to decide.
(2) BMRCL-09, the Annual Report for FY 2020-21. It has detailed Phase-2 progress (contracts and land acquisition, pp.26, 33, 37), but it is outside the current/previous-FY window (FY 2026-27 / 2025-26).
(3) BMRCL-33, a CPPP eTender listing (etenders.gov.in) for the AFC system for Phase-2A/2B, published January 2025. It is a procurement notice on a central portal, not project information published by BMRCL.
(4) BMRCL-02, -03, -04, -06, -08, -37 and -38 are legal texts. BMRCL-08 s.25 requires an Annual Implementation Plan. That is a legal requirement, not evidence that the plan is published.
Why not 0: a 0 would need proof of absence. The Citation Sheet has no saved copy or dated screenshot of BMRCL's projects or progress webpages, so the website was never checked. That is a VERIFICATION-LIMIT, not a negative finding.
For a person to collect and check:
- dated screenshots of the BMRCL projects / Phase-2/2A/2B/3 progress pages on bmrc.co.in, so their format can be judged (webpage, table, structured data or PDF);
- a current annual report (FY 2024-25 or 2025-26) or an Annual Implementation Plan;
- the actual publication date of the parking policy;
- proof that bmrc.co.in is BMRCL's official domain (a link to it from a gov.in or nic.in page).</t>
  </si>
  <si>
    <t xml:space="preserve">Step 2 found no evidence: a source needs to be found and added. Step 2 found no evidence (Insufficient Evidence). Source needed: Each of these needs a saved, dated copy with the date of access, opened from BMRDA's official website (bmrda.karnataka.gov.in) or an official .gov.in page: (a) the Structure Plan report PDF, to confirm whether its text can be searched or it is scanned; (b) the GBIT brochure and any page listing ongoing projects or their status, dated FY 2025-26 or 2026-27, with its format recorded (HTML table, XLS/CSV, text PDF or images); (c) BMRDA's latest Annual Report (2023-24 or later) or its FY 2025-26/2026-27 budget documents listing ongoing projects.</t>
  </si>
  <si>
    <t xml:space="preserve">ANSWER: SUDA does publish a major plan online, but the Citation Sheet does not show current information. The Development Plan 2035 report is on SUDA's website as a text-readable PDF dated 22.02.2017. It describes major proposals such as the Multimodal Transport Hub at Surat Railway Station, the 90 m Outer Ring Road and the cost estimates in Table 152. However, it is a 2017 document. None of the sources has information on SUDA's ongoing projects for the current FY (2026-27, given rules dated September 2026) or the previous FY (2025-26). It is unclear whether a plan published in 2017 that covers up to 2035 counts as relating to the current FY 'as applicable'. The availability-and-currency half therefore cannot be decided. The format half would likely be met for plans, because the PDF is text-readable, but no project-information format can be assessed. | EVIDENCE: (1) SUDA-14, Development Plan 2035 report (sudaonline.org/wp-content/uploads/2017/03/..., file dated 22.02.2017). Its text could be extracted, so it is searchable. p.31 (report p.14): 'The Draft Development Plan 2035 is prepared with the objective to formulate a meaningful physical development plan...'. pp.220-222: MMTH project features. p.231 (report p.214): Table 152 total cost Rs 30,293 crore. §20.4 Phasing: 'the plan implementation programs can be worked out by 2016'. (2) SUDA-13, RDP-2035 presentation dated 03-8-2013, on sudaonline.org. This is historical and outside the window. (3) SUDA-23, ARHC Phase-III tender </t>
  </si>
  <si>
    <t xml:space="preserve">The Draft Development Plan 2035 is prepared with the objective to formulate a meaningful physical development plan to regulate and guide the urban growth in the development authority area in a planned and healthy manner</t>
  </si>
  <si>
    <t xml:space="preserve">Score left blank. The Citation Sheet cannot settle the currency part of the question, so I did not score it. I checked the Step 2 answer against the sources and agree with it.
What the sheet shows:
(1) SUDA-14 is the Development Plan 2035 report. It is a text-readable PDF hosted on sudaonline.org and dated 2017. In places it calls itself a 'Draft' Development Plan, for example in §2.1 and in Chapter 4, which talks about 'framing the proposals of the Draft Development Plan of SUDA 2035'. The sheet does not show whether this online file is the sanctioned final plan.
(2) SUDA-13 is a presentation from 03-8-2013, which is historical.
(3) SUDA-23 is an ARHC tender from FY 2021-22. It is hosted on arhc.mohua.gov.in, not on SUDA's own site, and it falls outside a current or previous FY window of 2025-26 / 2026-27.
(4) SUDA-24 is an ease-of-doing-business note. It only says that zonal plans are on sudaonline.org and has no project information.
(5) SUDA-01, 03, 04 and 05 are the Act, the Rules and the GDCR. They say nothing about what is published on SUDA's website.
I also searched the whole sheet for 'SUDA ongoing projects website 2025-26'. Only historical DP-2004 and DP-2035 material came back.
Why I did not score 0: there is no saved copy of SUDA's current website project pages, so I cannot show that the information is absent. That is a verification limit, not a negative finding (VERIFICATION-LIMIT).
Why I did not give partial credit: the format part (text-readable PDF) holds for the 2017 plan. But the availability/currency part depends on whether a plan published in 2017 that runs to 2035 'relates to the current or preceding FY, as applicable'. That is a methodology call for a person to make. I was also not given the question's full rubric text, so I could not check its band structure.
What a person should check:
(a) Capture a dated copy of SUDA's website showing its plans and ongoing projects for FY 2025-26 or 2026-27, and their format.
(b) Confirm whether DP 2035 as published online is the sanctioned version.
(c) Confirm that sudaonline.org is SUDA's official site through a gov.in/nic.in link or a GO. The only reference to it in the sheet is on the site itself.
(d) Decide whether a long-horizon plan counts as current.</t>
  </si>
  <si>
    <t xml:space="preserve">ANSWER: GMRC does publish its Surat plans and information on the ongoing Surat Metro Phase-1 project online, in readable formats. The currency half cannot be scored. The Surat project text on the website has no date. Every dated Surat plan or progress document found is older than the permitted window, which for an access date of October 2026 is FY 2026-27 or FY 2025-26. Format: met. Currency: undetermined. | EVIDENCE: (1) GMRC-26, the GMRC 'Project Overview' webpage, Surat Metro section. It is an HTML page with a structured table of corridors, stations, elevated/underground route length and depots. Its text: 'The civil construction work is under progress.' It gives no date for the Surat status. The same page has dated items for other GMRC projects, e.g. Ahmedabad Phase-II final section inaugurated 11 January 2026, and Phase-2A/2B entries. That shows the page itself was edited in 2026, but not that the Surat section was. The 'Last Updated on: 12-Oct-2026' footer is site-wide: it is identical on GMRC-01, with the same visit count, so it says nothing about the Surat section. (2) GMRC-01, the 'Reports &amp; Downloads' page, lists these Surat items: 'Detailed Project Report – Surat Metro Rail Project Phase-1' (file named Surat-DPR-2020); the Surat Phase-1 EIA, Stakeholder Engagement Plan, ESMP and Gender Action Plan; the Surat alignment map PDF; the Surat sanction letter of 6 June 2019; and annual reports up to the 15th Annual Report 2024-25. The newest dated Surat documents in the 20</t>
  </si>
  <si>
    <t xml:space="preserve">Project Overview – Surat Phase-1 (Gujarat Metro Rail Corporation (GMRC) Limited) [GMRC-26]</t>
  </si>
  <si>
    <t xml:space="preserve">https://www.gujaratmetrorail.com/project-overview2/#posrt</t>
  </si>
  <si>
    <t xml:space="preserve">Surat Metro Project comprises of two corridors : Corridor-1 -Sarthana to Dream city and Corridor 2- Bhesan to Saroli having 38 stations with a total length of 40.35 km of which 6.47 km is underground. The two (02) depots are located at Dream City and Bhesan. The civil construction work is under progress.</t>
  </si>
  <si>
    <t xml:space="preserve">Score left blank. I did not propose one. Format: met. GMRC's Surat project information is on a searchable HTML page with a structured table (GMRC-26). The Reports &amp; Downloads page (GMRC-01) links the Surat DPR, EIA, SEP, ESMP, Gender Action Plan, alignment map and the 6 June 2019 sanction letter. The DPR (GMRC-08), EIA (GMRC-11) and ESMP (GMRC-24) are text-readable PDFs. So the format half (0.5, per the Step 2 band reading) is supported. Availability and currency: cannot be decided. (1) The Surat section of GMRC-26 has no date. It only says 'The civil construction work is under progress.' The 2026-dated items on the same page (Ahmedabad Phase-II final section inaugurated 11 January 2026; Phase-2A/2B) are about other projects. The footer 'Last Updated on: 12-Oct-2026' is site-wide: it is identical on GMRC-01, with the same visit count of 221953. So it does not date the Surat content. (2) The newest dated Surat material is the 15th Annual Report 2024-25 (GMRC-05). Its Section D 'Surat Metro Rail Project, Phase-I' describes only 'ongoing construction efforts'. The auditor's report is dated 11/08/2025, and the GMRC-01 link sits in a /2026/05/ upload path. With an access date of October 2026, the current FY is 2026-27 and the preceding FY is 2025-26, so FY 2024-25 is outside that window. GMRC-01 lists no 2025-26 annual report. (3) The Surat plans are dated: DPR December 2018 (the GMRC-01 file is named Surat-DPR-2020), EIA December 2020, ESMP January 2021. All are older than the window. (4) The only items on GMRC-01 dated 2026 (DPRs for Phase-2A/2B, sanction letters of 17.03.2026 and 07.07.2026) are Ahmedabad items. They are not evidence for Surat. I could not give a 0 for currency because the content is undated, not shown to be absent or stale. That leaves 'undetermined', not affirmative absence. A person must decide three things: (a) whether currency is judged on Surat-specific content or on the agency's website as a whole; (b) whether the FY 2024-25 annual report, apparently uploaded in May 2026, counts as 'immediately preceding FY, as applicable'; (c) whether a dated screenshot of the Surat section, or a Surat entry on the Milestones page, can establish the date. The Milestones page is not in the Citation Sheet. The full Detailed Methodology text for DPG5g was not given in this task, so I could not check the band values independently. The 0.5 format value comes from the Step 2 reading and should be confirmed. Reviewer should capture a dated screenshot. Checked: GMRC-26, GMRC-01, GMRC-05; search_citation_sheet for Surat progress in 2025-26 found nothing newer.</t>
  </si>
  <si>
    <t xml:space="preserve">DPG5h</t>
  </si>
  <si>
    <t xml:space="preserve">Step 2 found no evidence: a source needs to be found and added. Step 2 found no evidence (Insufficient Evidence). Source needed: Needed: BWSSB performance information for FY 2025-26 or 2026-27, with its file format recorded. This could be a recent BWSSB annual report (from the BWSSB website or Karnataka Legislature papers-laid pages), the WQMS water-quality dashboard and any downloadable data behind it, the website's Accounts/Budget/Technical pages, or a service-level benchmark dataset for BWSSB on an official portal. Each needs a dated capture showing whether the data is CSV/XLSX/structured HTML or a PDF/image.</t>
  </si>
  <si>
    <t xml:space="preserve">ANSWER: Availability and currency are met. BMTC publishes current-FY performance information online: the 'BMTC at a glance' page is dated 'As on 25 September, 2026' (FY 2026-27). It gives schedules, vehicles, daily service km, trips, daily traffic revenue, depots, staff and bus-staff ratio. Its 'Perfomance Indicator' page also lists physical and financial performance reports covering 2018-19 to 2025-26, with 2025-26 marked Estimated. The format component cannot be settled. The glance figures are a short HTML list or table on the page, and no download option was seen. The performance-indicator reports are PDFs, and their contents (text or scanned) are not in the Citation Sheet. Neither is clearly a CSV/XLS/ODS file or 'structured HTML table/dashboard with downloadable data'. | EVIDENCE: BMTC-15 (official BMTC site on karnataka.gov.in, BMTC Glance page): 'As on 25 September, 2026 ... Daily Service kms.(Lakhs) 12.39 ... No. of Trips 61740 ... Everyday Traffic Revenue(Rs.Crores) 7.28 ... Bus Staff Ratio 4.54'. These are HTML page values; no download option appears in the saved copy. BMTC-14 (Perfomance Indicator page): 'Performance Indicators from 2018-19 to 2025-26( Estimated)', with a 'Physical performance' link to a .pdf file and a 'Financial Performance' entry. The PDF content itself was not saved. BMTC-01, BMTC-18 and BMTC-28 (other site pages) were checked; none holds a separate performance report or downloadable dataset. Legal sources (BMTC-04 GBA Act, BMTC-06 BMLTA Act, B</t>
  </si>
  <si>
    <t xml:space="preserve">BMTC Glance - Bengaluru Metropolitan Transport Corporation [BMTC-15]</t>
  </si>
  <si>
    <t xml:space="preserve">https://mybmtc.karnataka.gov.in/info-1/BMTC+Glance/en</t>
  </si>
  <si>
    <t xml:space="preserve">As on 25 September, 2026</t>
  </si>
  <si>
    <t xml:space="preserve">Score left blank. The score has two parts, and the Citation Sheet settles only the first. Availability and currency (0.5): BMTC-15 shows current-FY figures 'As on 25 September, 2026' (FY 2026-27) on BMTC's own karnataka.gov.in site, including 'Daily Service kms.(Lakhs) 12.39', 'No. of Trips 61740', 'Everyday Traffic Revenue(Rs.Crores) 7.28' and 'Bus Staff Ratio 4.54'. BMTC-14 adds a 'Performance Indicators from 2018-19 to 2025-26( Estimated)' page that links to a 'Physical performance' PDF and lists a 'Financial Performance' entry. Format (the other 0.5) cannot be decided. (a) The glance figures are a short list on the web page, and the saved copy shows no download option, so it is unclear whether this counts as a 'structured HTML table/dashboard with downloadable data'. (b) The PDF in BMTC-14 was not saved, so we cannot tell whether it is text-based or scanned. Its contents are not in the Citation Sheet. (c) No CSV/XLS/ODS or data.gov.in dataset is in the Citation Sheet. Entering 0.5 would amount to scoring the format part 0. That needs affirmative absence, and we don't have it, because the PDF was never read. So the result is 'not found', not 0. Note that the full question rubric text was not in my inputs. I checked the component split against the Step 2 note only (availability 0.5 + format 0.5). For a person to check: (1) Open the Physical/Financial Performance PDFs linked from BMTC-14 and record whether they are machine-readable, and their period. (2) Decide whether the glance list counts as structured HTML without a download. (3) Decide whether an operating-statistics snapshot counts as 'performance information' when the question title refers to service-level benchmarks. The 2025-26 indicator figures are labelled 'Estimated'. (4) Take a dated screenshot, as the question bank requires. I agree with the Step 2 answer's 'Partially Answered' status. The source supports the availability finding; the format part stays undetermined. Era: current (2026).</t>
  </si>
  <si>
    <t xml:space="preserve">Step 2 found no evidence: a source needs to be found and added. Step 2 found no evidence (Insufficient Evidence). Source needed: Each of these needs a dated access record (screenshot or archived URL): BDA's official website pages showing performance information, such as service-level benchmarks, an annual or activity report, or a dashboard, for FY 2025-26 or FY 2026-27, together with the file format of each (CSV/XLS/ODS/structured HTML with downloadable data, versus text or scanned PDF). Also useful: BDA's annual report under s.47A of the BDA Act or s.68D of the Town and Country Planning Act as tabled in the Karnataka Legislature, and Sakala portal service-delivery statistics for BDA services.</t>
  </si>
  <si>
    <t xml:space="preserve">Step 2 found no evidence: a source needs to be found and added. Step 2 found no evidence (Insufficient Evidence). Source needed: BMRCL's own official website pages that publish operational performance: daily or monthly ridership, punctuality/on-time performance, train availability, service-level benchmarks. Also BMRCL annual reports for FY 2024-25 or FY 2025-26, and any dashboard or open-data release (e.g. on a government open-data portal) with downloadable CSV/XLS. Each needs a dated, saved copy or screenshot so currency and format can be checked.</t>
  </si>
  <si>
    <t xml:space="preserve">Step 2 found no evidence: a source needs to be found and added. Step 2 found no evidence (Insufficient Evidence). Source needed: Needed: (a) a saved copy of BMRDA's 'Budget and Annual Reports' page and every report listed there, to see whether a FY 2025-26 or FY 2026-27 annual or performance report exists, and its file type (text or scanned PDF versus XLS/CSV/structured HTML); (b) the 2023-24 annual report PDF, to confirm its period and format; (c) any BMRDA dashboard or published service-level benchmarks (e.g. turnaround times for change of land use and layout approvals, or Sakala service statistics) in reusable form; (d) Karnataka Legislature papers-laid listings for BMRDA annual reports after FY 2022-23.</t>
  </si>
  <si>
    <t xml:space="preserve">Step 2 found no evidence: a source needs to be found and added. Step 2 found no evidence (Insufficient Evidence). Source needed: Needed: a dated capture of SUDA's official website showing performance information for FY 2025-26 or 2026-27. This could be its Rule 49 Annual Report or half-yearly progress report, development-permission statistics (applications received, disposed of within the 72-hour or other timeline, pending), or a service-level dashboard. The capture must record the file format (CSV/XLSX/structured HTML vs text or scanned PDF). If nothing is published, the Urban Development and Urban Housing Department's or SUDA's annual report as submitted under Rule 49 would show what exists.</t>
  </si>
  <si>
    <t xml:space="preserve">Step 2 found no evidence: a source needs to be found and added. Step 2 found no evidence (Insufficient Evidence). Source needed: Any of these, with dated saved copies: (1) a GMRC performance report or service-level benchmark statement for Surat Metro covering FY 2025-26 or 2026-27, once services start; (2) GMRC's Surat project page or an open-data/ridership dashboard, ideally with downloadable CSV/XLSX; (3) GMRC's FY 2025-26 annual report. Before any of this is collected, the research team must decide whether this question applies to an agency that is not yet operating in Surat.</t>
  </si>
  <si>
    <t xml:space="preserve">DPG5i</t>
  </si>
  <si>
    <t xml:space="preserve">ANSWER: A charter exists on the website, but whether it is current and whether it is machine-readable could not be checked. The RTI page on BWSSB's official website (bwssb.karnataka.gov.in) has a 'Civil Charter' section with a download link to a file named 'Citizen charter.pdf'. The PDF itself was not saved in the Citation Sheet. So its date, whether it is still in force, and whether it is searchable text or a scanned image are all unknown. Neither 0.5-point component can be scored. | EVIDENCE: (1) BWSSB-12 (BWSSB RTI page): heading 'Civil Charter', Sl. No. 1 'Civil Charter', link [https://bwssb.karnataka.gov.in/storage/pdf-files/RTI ACT/Citizen charter.pdf] with a Kannada 'Download' label. This shows the charter is listed on the website. It does not show the content, date or format. (2) BWSSB-01 / BWSSB-36 / BWSSB-16 (BWSSB home and contact pages): the menu links to a 'Sakala Services' page (bwssb.karnataka.gov.in/221/sakala-services). That page's text was not saved, so it cannot be read as a service charter. (3) BWSSB-34 (Sakala portal, sakala.kar.nic.in): describes the Karnataka Guarantee of Services to Citizens Act, 2011. It does not reproduce a BWSSB charter or a BWSSB service schedule. (4) BWSSB-02 (BWSSB Act 1964, PRS copy) and BWSSB-04 (GBA Act, PRS copy): legal texts, not charters, so not relevant to this practice question. | CAVEATS: The methodology does not require a yearly charter. An older charter still earns the availability point if it remains in force, but her</t>
  </si>
  <si>
    <t xml:space="preserve">Right to information Act - Bangalore Water Supply and Sewerage Board [BWSSB-12]</t>
  </si>
  <si>
    <t xml:space="preserve">https://bwssb.karnataka.gov.in/new-page/Right%20to%20information%20Act/en</t>
  </si>
  <si>
    <t xml:space="preserve">[https://bwssb.karnataka.gov.in/storage/pdf-files/RTI ACT/Citizen charter.pdf]</t>
  </si>
  <si>
    <t xml:space="preserve">I left the Score blank because of a VERIFICATION-LIMIT. It is not a 0. The Step 2 answer is supported. Two searches of the Citation Sheet ('citizen charter'; Sakala services and time limits) found no charter text. The only evidence is BWSSB-12, BWSSB's RTI page on its official website. It has a 'Civil Charter' heading and a download link to 'Citizen charter.pdf'. That shows the agency lists a charter online, but the PDF is not in the Citation Sheet. So I cannot check either 0.5-point component: (1) Availability and currency: the charter's date, version and whether it is still in force are unknown. (2) Format: I cannot tell whether the PDF is searchable text or a scanned image. Other sources I checked: BWSSB-01, BWSSB-36 and BWSSB-16 only link to a 'Sakala Services' page, whose text was not saved. BWSSB-13 (Our Services) describes connection procedures but is not a charter. BWSSB-34 (Sakala Act page) does not reproduce a BWSSB charter. BWSSB-02 and BWSSB-04 are Acts, not charters. Because the charter link exists, a 0 cannot be justified. Website evidence that could not be opened is never scored 0. Other files on the same RTI page are dated up to FY 2022-23 and 2025-26, but those dates say nothing about the charter's own date. For the reviewer: (a) open the Citizen charter.pdf link and record its date or version and whether it is still in force (0.5); (b) check whether the PDF has a text layer or is a scanned image (0.5); (c) decide whether the BWSSB Sakala Services page should count as a service charter; (d) capture a dated screenshot.</t>
  </si>
  <si>
    <t xml:space="preserve">Step 2 found no evidence: a source needs to be found and added. Step 2 found no evidence (Insufficient Evidence). Source needed: Any of these would answer it: (a) a BMTC Citizen's/Service Charter (web page or PDF) on BMTC's official site, saved with its date and file type (HTML, searchable PDF or scanned) so both currency and format can be judged; (b) BMTC's RTI section 4(1)(b) proactive-disclosure pages, especially the item on norms for discharging functions, where charters are often posted; (c) the Karnataka Sakala service schedule entry for BMTC services. If none of these exists after a full site check, a reviewer can record an affirmative absence with a dated screenshot of the full site menu and site map.</t>
  </si>
  <si>
    <t xml:space="preserve">Step 2 found no evidence: a source needs to be found and added. Step 2 found no evidence (Insufficient Evidence). Source needed: The BDA's current Citizen/Service Charter, saved with its date and URL. It would most likely be on BDA's official website, which needs proof it is official through a link from a .gov.in page, or published by the Karnataka Urban Development Department. Record when it was issued or last revised, and whether it is HTML, a searchable PDF or DOC, or a scanned image. Also useful: the Sakala portal's list of BDA services with time limits, and BDA's section 4(1)(b) RTI disclosure if it reproduces the charter.</t>
  </si>
  <si>
    <t xml:space="preserve">Step 2 found no evidence: a source needs to be found and added. Step 2 found no evidence (Insufficient Evidence). Source needed: A saved, dated copy of BMRCL's Citizen Charter / Service Charter page or document from BMRCL's official website. This needs proof that the domain is official, the date or version of the Charter, and its file type (HTML, searchable PDF or scanned PDF). Alternatively, an official Karnataka service-guarantee (Sakala) schedule entry or GO that sets out a Charter for BMRCL services. Each needs a date-of-access screenshot or archived URL.</t>
  </si>
  <si>
    <t xml:space="preserve">ANSWER: The BMRDA official website links to a Citizen Charter in English and in Kannada. The file names label it 2020-21. The charter PDFs themselves are not in the Citation Sheet and were not read. So I cannot confirm (a) that a charter is actually there behind the link, (b) whether it is still in force, or (c) whether it is a searchable PDF or a scanned image. Neither half of the rubric can be scored from the evidence held. | EVIDENCE: BMRDA-05 (BMRDA official site, English home page, bmrda.karnataka.gov.in): in the Introduction menu, next to 'Organisation chart', there is a link to 'storage/pdf-files/CITIZEN CHARTER-2020-21 eng.pdf' labelled 'Citizen Charter'. BMRDA-01 (BMRDA official site, Kannada home page) has the matching link 'storage/pdf-files/CITIZEN CHARTER-2020-21 ka.pdf'. A search of the whole Citation Sheet for 'citizen charter' found no other copy, no charter text and no service-guarantee schedule that names BMRDA services. BMRDA-10 (GBA Act, PRS copy) and BMRDA-11 (BMLTA Act, PRS copy) were also returned by the search but have nothing on a BMRDA charter. | CAVEATS: The file names suggest the charter dates from FY 2020-21. The rubric does not treat a charter as outdated just because of its age, if it is still in force. Nothing held shows whether this one is still in force or has been replaced. A link on a home page shows only that a link exists, not what it leads to. | PERIOD: Latest information found: a charter labelled 2020-21 (from the file name only, not co</t>
  </si>
  <si>
    <t xml:space="preserve">[https://bmrda.karnataka.gov.in/storage/pdf-files/CITIZEN CHARTER-2020-21 eng.pdf] Citizen Charter</t>
  </si>
  <si>
    <t xml:space="preserve">I left the score blank because of a VERIFICATION-LIMIT. The evidence does not show that the score is 0.
What the evidence shows: BMRDA-05 (the BMRDA English home page) has a link labelled 'Citizen Charter' to storage/pdf-files/CITIZEN CHARTER-2020-21 eng.pdf. BMRDA-13 (the Kannada Introduction page) has a matching link to 'CITIZEN CHARTER-2020-21 ka.pdf'. A link existing only proves the link is there. It does not show:
(a) that the file opens and contains a charter;
(b) whether that charter is still in force or has been replaced (the file name suggests FY 2020-21);
(c) whether the PDF has searchable text or is a scanned image.
The rubric needs all three to be judged, and the Citation Sheet holds no evidence on any of them.
What I checked:
- search_citation_sheet for 'citizen charter services time limit': no charter text anywhere.
- BMRDA-13: only the link.
- BMRDA-03 (Annual Report 2022-23): its list of website contents (Section 10) does not mention a citizen charter. This does not count as affirmative absence, because the site has changed since then.
- BMRDA-08, BMRDA-10 and BMRDA-11 (the Acts): none of them contains a BMRDA charter.
The charter PDF itself is not in the Citation Sheet, so a 0 cannot be given.
The Step 2 answer ('Partially Answered', score left blank) matches the sources.
For a person to do:
1. Open both charter PDFs.
2. Confirm what they contain and their effective date or validity.
3. Confirm whether a newer charter has replaced them.
4. Test whether the text can be selected and searched, or is image-only.
5. Capture a dated screenshot, as the question bank requires.
6. Confirm BMRDA is still in scope: the team screening notes mark eligibility E1/E6 as needs_review.</t>
  </si>
  <si>
    <t xml:space="preserve">Step 2 found no evidence: a source needs to be found and added. Step 2 found no evidence (Insufficient Evidence). Source needed: A Citizen or Service Charter published by SUDA on its official website or a Government of Gujarat portal, with a date or a statement that it is in force. Alternatively, a dated capture of SUDA's website citizen-services and RTI pages showing that no charter exists. Also needed: a Gujarat service-guarantee or citizen-charter instrument listing SUDA's services, if one exists.</t>
  </si>
  <si>
    <t xml:space="preserve">Step 2 found no evidence: a source needs to be found and added. Step 2 found no evidence (Insufficient Evidence). Source needed: A dated saved copy of GMRC's Citizen's Charter or Passenger/Service Charter page or document, if one exists, showing the file type. Alternatively, saved copies of the GMRC website's Sitemap, 'For Passengers' and Ahmedabad Metro pages, and Help and Feedback/Grievance pages. These would show the charter, or establish affirmatively that none is published. A check of any Gujarat government charter listing for GMRC would also help.</t>
  </si>
  <si>
    <t xml:space="preserve">DPG5j</t>
  </si>
  <si>
    <t xml:space="preserve">ANSWER: Not determinable from the Citation Sheet. BWSSB has an RTI page on its official site. That page links to downloadable lists of PIOs and First Appellate Authorities, but the lists themselves are not in the Citation Sheet. No PIO or APIO name, office, phone number or email appears in the page text that was saved, and the page does not describe how to file an RTI request. So it cannot be checked whether the office-holder details are current and valid (availability/currency) or whether the lists are searchable text rather than scans or images (format). | EVIDENCE: BWSSB-12 (BWSSB 'Right to information Act' page, an official Karnataka government web page): (1) Section 4(1)(b) list, item 15 '4 (1) (b) xvi List of First Appeal, Authority, Public Information Officers', a PDF download (file KANNADA(1).pdf); item 17 'List of Public Information Officers', a PDF download (file KM_226_03719.pdf); item 18 'PIO for stores', a JPG image download (file 20190701_123241.jpg). (2) The page also carries 'RTI 4(1)(a) - 2025-26' disclosures listed by zone/office, a notice titled 'Repeated Harassing RTI Application Cannot Be Entertained', and RTI annual reports (latest listed: 2022-23). (3) The site menu has RTI, RTI 4(1)(a), RTI 4(1)(b) and 'RTI Online' (a link to rtionline.gov.in). No text on the page explains the fee, application format or appeal steps. Other sources checked: BWSSB-01, -07, -13 and -30 (BWSSB site pages: the shown excerpts contain only footer policy text, and a sheet-wide</t>
  </si>
  <si>
    <t xml:space="preserve">4 (1) (b) xvi List of First Appeal, Authority, Public Information Officers</t>
  </si>
  <si>
    <t xml:space="preserve">SCORE BLANK because of a VERIFICATION-LIMIT. This is not a finding that the details are missing. I agree with the Step 2 answer (Partially Answered). BWSSB-12 is BWSSB's own RTI page on bwssb.karnataka.gov.in, a Karnataka government domain. It lists three downloads that should hold the PIO and appellate officer details: (15) '4 (1) (b) xvi List of First Appeal, Authority, Public Information Officers' (KANNADA(1).pdf); (17) 'List of Public Information Officers' (KM_226_03719.pdf); and (18) 'PIO for stores' (20190701_123241.jpg). None of these files is in the Citation Sheet. So their content, date, whether the office-holders are still in post, and whether the text is searchable or a scan are all unknown. Neither half of the score can be set: availability and currency (0.5) or format (0.5). There is no affirmative absence, so no 0 can be given either. What I checked: BWSSB-12 (the RTI page; no PIO name, phone or email in its text, and no fee or how-to-file steps); BWSSB-16 (Contact Info page; only menus and links, including 'RTI', 'RTI Online' to rtionline.gov.in and, in the footer, 'Online RTI' to rtionline.karnataka.gov.in; no PIO details); BWSSB-42 (staff duties and delegation of powers page; no PIO details); BWSSB-11 (organisation chart page). A search of the whole sheet for PIO name, phone or email found nothing else. Point for reviewers: BWSSB-11 lists a 'Re-Organisation Chart 2026' and an 'OM-Deployment of Officers/Employees after Re-Organisation 2026'. If the linked PIO lists are older than this 2026 reorganisation, the named office-holders may be out of date. The 'PIO for stores' file is an image (JPG), and its file name suggests 2019. KM_226_03719.pdf looks like scanner output. Both are inferences from file names only and have not been verified. FOR REVIEWER: (i) open KANNADA(1).pdf and KM_226_03719.pdf from the BWSSB RTI page and record the date of each list, whether the named PIOs and First Appellate Authorities and their contacts are still valid after the 2026 reorganisation, and whether the text is searchable or a scan or image; (ii) check whether the RTI pages at /255/rti/en or /255/rti-4(1)(b)/en show PIO details as plain text on the page; (iii) take a dated screenshot as the question bank requires.</t>
  </si>
  <si>
    <t xml:space="preserve">ANSWER: Not determinable from the Citation Sheet. BMTC's homepage links to an RTI page, an Online RTI link, RTI 4(1)(a) and 4(1)(b) pages, and a 'List of PIO-APIO-AA' PDF. None of those pages or the PDF is in the Citation Sheet, so we cannot confirm that current PIO/APIO names and contact details are published, that the RTI procedure is described, or what format the list is in (searchable or scanned). | EVIDENCE: (1) BMTC-01 (BMTC official website, homepage capture). The menu shows the links 'RTI', 'Online RTI' (to the Karnataka state RTI online portal), 'RTI 4(1)A', 'RTI 4(1) B' and 'List of PIO-APIO-AA'. The PDF's file name is 'RTIPIOENGupdated04-6-24.pdf', which suggests an update dated 4 June 2024. That is read from the file name only and was not checked against the document. (2) BMTC-18 (BMTC website, Departments page). Item 11, 'Internal Audit, Dy CAO/ IA', is described as 'Responsible for audit of all the depots/divisions/departments and nodalofficer for RTI'. This gives a designation only, with no name, address, phone or email. (3) BMTC-09 and BMTC-10 (other BMTC web pages) carry the same menu links. (4) Searched the whole Citation Sheet for 'Public Information Officer', 'PIO', 'APIO', 'Appellate Authority', '4(1)(b)' and 'application fee'. No PIO/APIO list text and no RTI procedure text was found. The Acts in the Sheet (BMTC-02 Road Transport Corporations Act; BMTC-04 GBG Act; BMTC-06 BMLTA Act; BMTC-07 KTCP Act) do not bear on this Implementation question. | CAVEATS</t>
  </si>
  <si>
    <t xml:space="preserve">[https://mybmtc.karnataka.gov.in/storage/pdf-files/RTIPIOENGupdated04-6-24.pdf] List of PIO-APIO-AA</t>
  </si>
  <si>
    <t xml:space="preserve">The Score is left blank because of a VERIFICATION-LIMIT. It is not a 0.
What the sources show:
- BMTC-01 (English homepage) has links to: an RTI page, the Karnataka Online RTI portal, the RTI 4(1)A and 4(1) B pages, and a 'List of PIO-APIO-AA' PDF (RTIPIOENGupdated04-6-24.pdf).
- BMTC-12 (Kannada homepage) has the same set of links, plus a Kannada version of the list (RTIPIOKANNADAupdated04-6-24.pdf).
- BMTC-18 (Departments page) names the 'Dy CAO/ IA' as 'nodalofficer for RTI'. It gives the designation only: no name, address, phone or email.
Why no score can be given:
- The Citation Sheet does not contain the RTI page, the 4(1)(a)/4(1)(b) pages, or either PIO-APIO-AA PDF.
- So the Sheet cannot show whether current PIO/APIO/Appellate Authority names and contact details are published (availability and currency component).
- It also cannot show whether the RTI procedure is described, or whether the PDF is searchable or scanned (format component).
- A link existing is not evidence of what it contains. The date 04-06-2024 is read from the file name only and has not been checked against the document.
- Without the linked content, neither component can be scored. Not being able to see a page is not proof that the content is missing, so a 0 cannot be justified.
What I checked:
- I searched the whole Citation Sheet for 'Public Information Officer PIO APIO Appellate Authority'. It returned only unrelated passages from the Acts (BMTC-04, BMTC-07, BMTC-02).
- I read BMTC-11 (Officers List) and BMTC-16 (Contact Us) for RTI and PIO details. Only the site menu and website policies came back.
- I read BMTC-12 (Kannada homepage). It has only the menu links.
- The Step 2 answer also checked BMTC-18, BMTC-09 and BMTC-10, with no PIO list text found.
For the reviewer:
- Open https://mybmtc.karnataka.gov.in/3/rti/en and the 'List of PIO-APIO-AA' PDF linked from BMTC-01. Record whether the named office-holders are current, whether contact details and the RTI procedure are given, and whether the PDF is searchable or a scanned image.
- Confirm the date of the list.
- Take a dated screenshot.
I agree with the Step 2 answer: the source supports the existence of the links and nothing more.</t>
  </si>
  <si>
    <t xml:space="preserve">Step 2 found no evidence: a source needs to be found and added. Step 2 found no evidence (Insufficient Evidence). Source needed: Any of these would answer it: (1) BDA's official RTI or Section 4(1)(b) webpage or document, saved with access date, naming the current PIOs/APIOs and First Appellate Authority, their contact details and the application procedure (fee, form, address), plus a record of its file format (HTML, searchable PDF or scanned PDF); (2) the saved RTI Online Karnataka PIO/First Appellate Officer list or department list showing BDA's entries; (3) proof that BDA's website is official, via a link from a gov.in page or a named GO.</t>
  </si>
  <si>
    <t xml:space="preserve">Step 2 found no evidence: a source needs to be found and added. Step 2 found no evidence (Insufficient Evidence). Source needed: A dated saved copy of BMRCL's official RTI page or its RTI Act Section 4(1)(b) proactive-disclosure page. It should list the current PIOs/APIOs and the First Appellate Authority with names, designations, addresses, phone numbers and email, plus the procedure for filing an application (fee, mode of payment, form, timelines). The file format also needs recording (HTML, searchable PDF or scanned). The site must be shown to be BMRCL's official domain, either by a link from a .gov.in/.nic.in page or by the instrument naming it.</t>
  </si>
  <si>
    <t xml:space="preserve">ANSWER: The BMRDA website links to a 'Right To Information' page, the Karnataka RTI Online portal and its own RTI 4(1)(a)/4(1)(b) files. But the RTI page itself, where current PIO/APIO names, contacts and procedure would appear, is not in the Citation Sheet, so I cannot confirm that current PIO/APIO details are published online. The only PIO listing in the sheet is in the 2022-23 Annual Report. It names the officers by post only (no names or contact details) and is not current. The Contact Us page gives current names and office phone numbers, but it does not mark anyone as PIO, APIO or Appellate Authority. The RTI procedure is partly shown through the state RTI Online portal (online filing and first appeal for Karnataka public authorities). Neither component can be scored. | EVIDENCE: (1) BMRDA-03 Annual Report 2022-23, pp.14-15, 'RTI Act - Status and Report': PIOs u/s 5(1), APIOs u/s 5(2) and Appellate Authorities u/s 19(1), by section and by post only. Admin &amp; Revenue: PIO Assistant Metropolitan Commissioner, APIO Tahasildar, Appellate Authority Deputy Metropolitan Commissioner. Town &amp; Country Planning: PIO Deputy Director of T&amp;CP, APIOs Assistant Directors of T&amp;CP 1-4, Appellate Authority Additional Director of T&amp;CP. Accounts: PIO Accounts Officer, APIO Account Superintendent, Appellate Authority Deputy Metropolitan Commissioner. The Additional Metropolitan Commissioner is RTI Nodal Officer. 86 RTI applications were received and 86 disposed. p.15 says the website then cont</t>
  </si>
  <si>
    <t xml:space="preserve">The following officers have been designated as Public Information officers, Assistant Public Information officer and Appellate Authorities and accordingly they are performing their duties. The Additional Metropolitan Commissioner has been nominated as Nodal Officer for all matters relating Right to Information Act for this Authority.</t>
  </si>
  <si>
    <t xml:space="preserve">I left Score blank because of a VERIFICATION-LIMIT. This is not a negative finding. The Step 2 answer matches the sources.
What I checked:
(1) BMRDA-05 (home page) and BMRDA-06 (Contact Us). Both show menu links to the BMRDA 'Right To Information' page (/12/right-to-information/en), the 'RTI ONLINE SERVICES ARE AVAILABLE FOR BMRDA' page, the RTI 4(1)(a) parts I-IV, 'RTI 2019-20 4(1)(B).pdf' and RTI 26(3)(B). The text of none of these pages or PDFs is in the Citation Sheet. So I cannot tell whether current PIO/APIO names, contact details and the RTI procedure are published online, or in what format.
(2) BMRDA-06 body. It gives current names and office phone numbers. But it assigns no PIO, APIO or Appellate Authority role to anyone. Several posts named as PIO/APIO/Appellate Authority in 2022-23 are shown as Vacant: the Deputy Metropolitan Commissioner, Deputy Directors, several Assistant Directors, and the Account Superintendent.
(3) BMRDA-03, Annual Report FY 2022-23 (01-04-2022 to 31-03-2023). It lists PIOs, APIOs and Appellate Authorities by post only, with no names or contacts. It is a report, not a current web listing. It says the website then held 'Details of Public Information officers'. That is a past self-description, not evidence of what the site shows now.
(4) BMRDA-21, the Karnataka RTI Online portal. It offers online filing and first appeal for Govt of Karnataka public authorities, with a link to 'Public information officers and First appellate authority details'. The portal says filing works only for public authorities listed in its public-authority menu. The fetched page does not show whether BMRDA is listed or who its PIO is.
Why no score: under the detailed methodology neither availability/currency nor format can be scored from the sheet. Giving 0 would need affirmative absence, and the decisive RTI page is not in the sheet. Giving partial credit would be a guess, because the only PIO listing is from FY 2022-23, gives posts without names or contacts, and comes from an annual report.
For the reviewer: open https://bmrda.karnataka.gov.in/12/right-to-information/en and the 4(1)(b) PDF. Record whether they give named, current PIO/APIO/Appellate Authority details with contacts and the RTI procedure, and whether each is HTML, a searchable PDF or a scanned PDF. Check whether BMRDA appears in the public-authority and PIO lists on rtionline.karnataka.gov.in. Capture a dated screenshot.</t>
  </si>
  <si>
    <t xml:space="preserve">Step 2 found no evidence: a source needs to be found and added. Step 2 found no evidence (Insufficient Evidence). Source needed: Two kinds of saved copy would answer this. First, a dated copy of SUDA's own RTI page or its RTI Act Section 4(1)(b) proactive-disclosure manual on its official website, naming the current PIO, APIO and appellate authority with their contact details, fees and filing procedure. Second, a Gujarat government RTI portal page (gov.in or nic.in) listing SUDA's designated PIO. Either should come with its date and file type (HTML, searchable PDF or scanned PDF) recorded.</t>
  </si>
  <si>
    <t xml:space="preserve">ANSWER: Yes, mostly. GMRC's official website has an HTML RTI page that names the First Appellate Authority and four Public Information Officers (PIOs), with designations and official email addresses. One of them is a PIO for Surat. A second HTML page, the Section 4(1)(b) proactive disclosure, explains how to apply: write to the PIO, pay the fee, and the fee and time-limit tables. Both pages are searchable HTML, not scans. The rubric treats the details as current unless the named people or contacts are shown to be invalid. Nothing in the Citation Sheet shows that, and the PIO page's footer says it was last updated in October 2026. | EVIDENCE: (1) GMRC-14, 'Details of Public Information Officer and Appellate Authority' (HTML page): 'Competent Authority has appointed the following officers for providing relevant information under the Right to Information Act-2005'. It lists: (1) Shri Dhaval R Jani, I/c Chief Administrative Officer, Central First Appellate Authority (cao@gujaratmetrorail.com, +91-79-23248572 Ext 528); (2) Shri Saiyedmiyya Pathan, JGM-Operations, PIO (O&amp;M) for Ahmedabad-Gandhinagar (email); (3) Shri Deepak Mahana, Sr. DGM Civil/Safety, 'Public Information Officer(Surat)' (deepak.mahna@gujaratmetrorail.com); (4) Ms. Bhoomi Shah, DGM Administration, PIO 'Ahmedabad-Gandhinagar (All Departments Except (O&amp;M) and all Surat)' (email; Ext 520). Footer: 'Last Updated on : 12-Oct-2026 @ 6:16 PM'. (2) GMRC-03, proactive disclosure (HTML page). Chapter 15: citizens 'can write</t>
  </si>
  <si>
    <t xml:space="preserve">Details of Public Information Officer and Appellate Authority [GMRC-14]</t>
  </si>
  <si>
    <t xml:space="preserve">https://www.gujaratmetrorail.com/details-of-public-information-officer-and-appellate-authority/</t>
  </si>
  <si>
    <t xml:space="preserve">3.Shri Deepak Mahana, Senior Deputy General Manager (Sr. DGM) – Civil/SafetyPublic Information Officer(Surat)Email: deepak.mahna@gujaratmetrorail.com</t>
  </si>
  <si>
    <t xml:space="preserve">Proposed score: 1 out of 1, made of two parts of 0.5 each. (a) RTI officer details are published and current: 0.5. (b) They are in an accessible, non-scanned format: 0.5. IMPORTANT: this task did not include the Detailed Methodology text for DPG5j. I took the rubric (two 0.5 parts, 'PIO/APIO' naming, details treated as current unless shown invalid) from the Step 2 notes. A reviewer should check this split against the question bank before accepting the score. Checked against the source: GMRC-14, GMRC's own RTI page (HTML), says the 'Competent Authority has appointed the following officers... under the Right to Information Act-2005'. It names a Central First Appellate Authority (Shri Dhaval R Jani, with email and phone extension) and four PIOs with designations and official emails. Shri Deepak Mahana is the 'Public Information Officer(Surat)'. Ms. Bhoomi Shah is a PIO for 'all Surat' and has a phone extension. GMRC-03 is the Section 4(1)(b) disclosure, also HTML. It sets out the procedure. Ch.15: write to the PIO; the application must carry the prescribed fee; registered office address given. Ch.16: links to the PIO page. Ch.17: fee table (Rs.20; NIL for people below the poverty line) and time limits. It also has expenditure figures 'till 31-03-2026', which shows the page is kept up to date. Both pages are searchable text, not scans, so part (b) is met. On currency: GMRC-14's footer says 'Last Updated on : 12-Oct-2026'. This is a site-wide footer, so it may not refer to this page. Nothing in the Citation Sheet shows the named officers or contacts are invalid. Caveats for the reviewer: (1) No Assistant PIO (APIO) is named, even though the Ch.16 link text says 'assistant-pio'. (2) Two PIOs seem to cover Surat (Mahana for 'Surat', Shah for 'all Surat'). (3) The name is spelt 'Mahana' but the email reads 'mahna'. The Surat PIO has no phone number. (4) GMRC-03 has outdated or wrong text ('per floppy'; 'Within 48 days' where the Act says 48 hours). VERIFICATION-LIMIT: the emails and phone extensions were not tested, and there is no dated screenshot in the Citation Sheet. If the field check finds the contacts invalid, the currency part falls to 0 and the score becomes 0.5.</t>
  </si>
  <si>
    <t xml:space="preserve">DPG5k</t>
  </si>
  <si>
    <t xml:space="preserve">Step 2 found no evidence: a source needs to be found and added. Step 2 found no evidence (Insufficient Evidence). Source needed: A dated, saved copy of BWSSB's own Tender/Tenders page and the 'RFP for bank selection' page, and/or a Karnataka e-Procurement (KPPP) portal search filtered to BWSSB showing tender notices and awarded contracts from FY 2025-26 or FY 2026-27, with the format recorded (searchable HTML table or e-procurement listing vs individual or scanned PDFs). Also any BWSSB contract register or award list published online.</t>
  </si>
  <si>
    <t xml:space="preserve">ANSWER: Only the first half of the rubric can be settled. BMTC's official Tenders page lists tender notices from the current financial year (FY 2026-27). The latest is dated 23/09/2026, so the 'availability and currency' half (0.5) is met for tender notices. The format half cannot be settled. On BMTC's own site, tender information is a dated HTML list of links, each opening a separate PDF notice. There is no table, no search or filter, and no contract or award register. That looks like the 0 example in the rubric ('individual PDFs with no searchable/indexed tender/award register'). However, the list does give a notification number, title and date for each notice, which could be read as an index. Many notices also say the tender runs 'through Kpp Portal' (the Karnataka state e-procurement portal), and that portal is not in the Citation Sheet. So the format half is not determined and no total score is proposed. No awarded-contract details were found in any Citation Sheet source. | EVIDENCE: (1) BMTC-10, BMTC Tenders page (official site on a karnataka.gov.in address). Latest entries: 'TENDER NOTIFICATION NO: 24/2026-27 (e-Procurement Platform): 23/09/2026'; 'COMMERCIAL (ASSET) TENDER NOTIFICATION NO: 02/2026-27 (e-Procurement Platform): 17/09/2026'; 'Expression of Interest : 17.09.2026' (EOI format given as a .docx file); 'BMTC invites tender for procurement of the following Goods &amp; Services through Kpp Portal: 08/09/2026'. FY 2026-27 notices run back to April 2026 (e.g. 'Short </t>
  </si>
  <si>
    <t xml:space="preserve">I left the Score blank because only half of the rubric can be settled from the Citation Sheet.
(1) AVAILABILITY/CURRENCY HALF (0.5): this half looks met. BMTC-10, BMTC's official Tenders page on a karnataka.gov.in address, lists FY 2026-27 tender notices. The latest is 'TENDER NOTIFICATION NO: 24/2026-27 (e-Procurement Platform): 23/09/2026'. Notices run back through April 2026, e.g. 'Short Term TENDER NOTIFICATION NO: 02/2026-27 ... 17/04/2026'. The source supports the Step 2 finding here.
(2) FORMAT/ACCESSIBILITY HALF: not decided.
- What BMTC's own page shows: a dated HTML list grouped by month. Each entry gives the notice number, title and date, and links to a separate PDF (or .docx for EOI formats). The list has no table, filter or search of its own, and there is no award or contract register.
- Why this may score 0: that layout resembles the rubric's 0 example ('individual PDFs with no searchable/indexed tender/award register').
- Why I did not score it 0: the notice number, title and date for each entry could arguably be read as an index. Also, many notices say the tender runs 'through Kpp Portal' (the Karnataka state e-procurement portal). BMTC-01 only links to that portal ('e-Procurement'); BMTC's listings there are not in the Citation Sheet. A 0 for this half would need AFFIRMATIVE ABSENCE, and the KPP portal and the linked PDFs have not been read.
- BMTC-01's help text mentions a site-wide 'search here' box. That is a general website search, not a tender or award register, so I gave it no credit.
Because a 0.5 total would amount to scoring the format half 0 without affirmative absence, and 1.0 is not supported either, the Score stays blank.
OTHER CHECKS:
- I searched the whole Citation Sheet for KPP/e-procurement, award, contract register and work order. I found no BMTC award or contract details.
- BMTC-04 (GBA Act) ss.143-144 cover only City Corporations, not BMTC. Context only.
- Some links on BMTC-10 have a doubled path ('mybmtc.karnataka.gov.in/mybmtc.karnataka.gov.in/uploads/...'). They may be broken; this has not been checked (VERIFICATION-LIMIT).
- Whether the linked PDFs are text or scanned is unknown.
FOR THE REVIEWER:
(a) Decide whether BMTC's dated HTML list counts as an 'indexed register'.
(b) Decide whether BMTC's listings on the KPP portal count toward the format half. If they do, add them to the Citation Sheet.
(c) Capture a dated screenshot of the Tenders page, as the question bank requires.
If the reviewer decides the format half is 0 after checking the KPP portal, the Score would be 0.5. If the KPP portal provides a searchable register of BMTC tenders and awards, the Score would be 1.</t>
  </si>
  <si>
    <t xml:space="preserve">Step 2 found no evidence: a source needs to be found and added. Step 2 found no evidence (Insufficient Evidence). Source needed: Two things are needed. (1) A dated, saved copy of BDA's official website tender/notifications page, or of the Karnataka state public-procurement portal filtered to BDA as the procuring entity. It should show tender notices and awarded-contract (award/work-order) details with dates in FY 2026-27 or FY 2025-26. (2) Evidence of format: whether the information is a searchable structured table, HTML contract register, or CSV/XLS download, or only individual or scanned PDFs. Each needs a dated screenshot or archived URL.</t>
  </si>
  <si>
    <t xml:space="preserve">ANSWER: Partly answered, so no score is proposed. The Citation Sheet has one BMRCL tender notice. It is a structured HTML record on the Government of India eProcurement portal (etenders.gov.in), saved on 13-Oct-2026. It shows that BMRCL publishes tender notices online. It does not show any awarded-contract details. Its date also does not clearly fall within the allowed period: the tender was published on 04-Jan-2025 (FY 2024-25), while bid submission, the dated addendum and bid opening fall in April-May 2025 (FY 2025-26). At the access date the current FY was 2026-27, so the allowed window is FY 2026-27 or FY 2025-26. | EVIDENCE: BMRCL-33 (etenders.gov.in Tender Details page, accessed 13-Oct-2026): Organisation Chain 'Bangalore Metro Rail Corporation Limited||Projects Division - AFC-BMRCL'; Tender ID 2025_BMRCL_222481_1; Open Tender, Works; title 'Design, Manufacture, Supply, Installation, Testing and Commissioning of Automatic Fare Collection System (SLE, SC and CCS) for Phase-2A and 2B and Integration with Existing AFC System'. Critical dates: Published 04-Jan-2025; Bid Submission 17-May-2025 to 27-May-2025; Bid Opening 28-May-2025. Corrigenda: 'Addendumno5dated17042025' and 'Addendumno.6Date' (undated). 'Tender Value in ₹ NA'. The page gives structured fields (tender ID, dates, fees, EMD, authority), the notice and tender documents as PDFs, and the BOQ as .xls. The portal menu lists 'Search', 'Tenders by Organisation', 'Results of Tenders' and 'Awards', but none of those p</t>
  </si>
  <si>
    <t xml:space="preserve">Government eProcurement System - Tender Details: Bangalore Metro Rail Corporation Limited||Projects Division - AFC-BMRCL, Tender ID 2025_BMRCL_222481_1 [BMRCL-33]</t>
  </si>
  <si>
    <t xml:space="preserve">https://etenders.gov.in/eprocure/app?component=%24DirectLink&amp;page=FrontEndViewTender&amp;service=direct&amp;sp=SlPza7vKo52uJdrULT%2FzxVw%3D%3D</t>
  </si>
  <si>
    <t xml:space="preserve">Organisation Chain
 Bangalore Metro Rail Corporation Limited||Projects Division - AFC-BMRCL</t>
  </si>
  <si>
    <t xml:space="preserve">No score given. The Citation Sheet has too little evidence to place BMRCL in any band. I checked the Step 2 answer against BMRCL-33 and it is correct. BMRCL-33 is one BMRCL tender-detail page on the Government of India eProcurement portal, accessed 13-Oct-2026. It covers Tender ID 2025_BMRCL_222481_1, an Automatic Fare Collection (AFC) tender for Phase-2A/2B. It was published 04-Jan-2025 (FY 2024-25), with bid submission 17-27 May 2025 and bid opening 28-May-2025 (FY 2025-26). Addendum 5 is dated 17-04-2025. 'Tender Value in ₹ NA'.
Why the score is blank:
(1) No details of awarded contracts. The question covers both tender notices and awarded contracts, but no BMRCL award information is in the sheet. The portal menu lists 'Results of Tenders' and 'Awards', but neither page for BMRCL was saved. A search of the sheet for 'tender award contract awarded' found only BMRCL-09 (Annual Report FY 2020-21). It has narrative mentions such as a tender 'awarded during April 2017', which is out of period and not an award register.
(2) Currency is unclear. The access date falls in FY 2026-27. The one tender was published in FY 2024-25 but was still live and opened in FY 2025-26. Team to confirm which FY it counts in.
(3) Source type. The page is on a third-party Government of India portal, not BMRCL's own website. The DPG 5 parent question says 'website', while DPG5k says 'online'. Team to decide whether this portal counts.
(4) Format. A searchable BMRCL tender or award table was not shown working; only one detail page was saved.
The score cannot be 0 either, because there is no affirmative absence. BMRCL's own tenders and awards pages and the portal's organisation and award listings are not in the sheet, so this is a VERIFICATION-LIMIT, not a negative finding.
Also checked: BMRCL-02 ss.143-144 (contract register) apply to the City Corporations, not BMRCL. BMRCL-04, BMRCL-06, BMRCL-07, BMRCL-08 and BMRCL-32 have nothing on BMRCL procurement disclosure. The full band wording of the detailed methodology was not given, so a person should score this using it.
To fill the gap: capture dated screenshots of BMRCL's tender and award pages and of the etenders.gov.in 'Tenders by Organisation' and 'Awards' listings for BMRCL in FY 2025-26 and FY 2026-27. BMRCL's eligibility as a parastatal also still needs team confirmation.</t>
  </si>
  <si>
    <t xml:space="preserve">Step 2 found no evidence: a source needs to be found and added. Step 2 found no evidence (Insufficient Evidence). Source needed: A capture of the Karnataka e-Procurement portal's tender search and awarded-contract (AOC) listing filtered to BMRDA, showing tenders or awards dated FY 2025-26 or FY 2026-27 and the format (searchable HTML table or downloadable CSV/XLS). Or a tenders/procurement page on BMRDA's own site, if one exists outside the captured menu. The 2023-24 Annual Report could also give dated procurement or work-order information.</t>
  </si>
  <si>
    <t xml:space="preserve">Step 2 found no evidence: a source needs to be found and added. Step 2 found no evidence (Insufficient Evidence). Source needed: Two things are needed: (1) a saved, dated copy of SUDA's e-tender portal listing or of the tenders section of SUDA's own website, showing the latest tender notices and awarded contracts with their dates; (2) evidence of the format: whether it is a searchable e-procurement table, an HTML contract register or a CSV/XLS download, or only individual or scanned PDFs. An award or contract register, or award notices for FY 2025-26 or 2026-27, would also be needed for the awarded-contract part.</t>
  </si>
  <si>
    <t xml:space="preserve">ANSWER: Yes, on both parts. GMRC's own website has a Tenders register and an Awarded Tenders register. Both include FY 2026-27 entries, so availability and currency are met. Both are indexed HTML tables with one row per tender or award, which counts as a structured HTML register under the rubric, so the format part is met. Proposed score: 0.5 + 0.5 = 1. | EVIDENCE: (1) GMRC-13, the Awarded Tenders page. It is an HTML register with columns 'Tender No. / Work Details / Metro Rail Project / Awarded To / Work Order Date'. The latest entry is GEM/2026/B/7773143, an annual rate contract for batteries awarded to M/s POWER SOLUTION SERVICES and M/s HITEN TRADING CO, with work order date 19/08/2026. Other 2026 awards are dated 11/08/2026, 10/08/2026, 06/08/2026 and 04/08/2026. The register goes back to 2019-2020. Older rows include Surat Metro awards, e.g. a topographical survey Bhesan-Saroli (Surat Metro Rail Project Phase-1), awarded to M/s M K Soil Testing Laboratory on 04/02/2020. (2) GMRC-12, the Tenders page. It is an HTML register with columns 'Tender No. / Work Details &amp; Document / Metro Rail Project / Document Sale Date / Submission Date / Opening Date', and each row links to its NIT or bid PDF. The latest entries are GEM/2026/B/8141296 (sale from 12/10/2026) and GMRC/CONS/STNS+VDCT-5/2026 (sale from 07/10/2026). There are Surat entries too: GMRC/CONS/VDCT+STNS/SURAT/PH-1 EXT./2026 (sale 23/09/2026 to 07/11/2026) and GMRC/S&amp;T/IBS/SURAT/PH-1/2026 (11/02/2026 to 13/03/2026). La</t>
  </si>
  <si>
    <t xml:space="preserve">Awarded Tenders - Gujarat Metro Rail Corporation (GMRC) Limited [GMRC-13]</t>
  </si>
  <si>
    <t xml:space="preserve">https://www.gujaratmetrorail.com/awarded-tenders/</t>
  </si>
  <si>
    <t xml:space="preserve">GMRC/ROAD RESURFACE/SURAT/PH-1/2026Resurfacing and Repair of Roads along with Ancillary Works in Corridor-I &amp; II alignment of Surat Metro Rail Project, Phase-1Surat Metro Rail Project Phase – 1M/s. Sunil A. Domadia15/05/2026</t>
  </si>
  <si>
    <t xml:space="preserve">Proposed score: 1 (0.5 for availability and currency, plus 0.5 for format), based on the band structure described in the Step 2 answer. The full Detailed Methodology text was not in this task's input, so a reviewer should check the band wording against the question bank.
(1) Availability and currency. I re-read GMRC-13, the Awarded Tenders page. It is an HTML register with columns Tender No. / Work Details / Metro Rail Project / Awarded To / Work Order Date. The latest award is dated 19/08/2026. It also has Surat-specific awards in FY 2026-27: road resurfacing in the Surat Metro Phase-1 corridors (15/05/2026) and horticulture maintenance at Dream City Depot, Surat (18/04/2026). This corrects Step 2's caveat (a), which said the latest Surat award it saw was older.
I also re-read GMRC-12, the Tenders page. It is an HTML register with columns Tender No. / Work Details &amp; Document / Metro Rail Project / Document Sale Date / Submission Date / Opening Date. Each row links to its NIT, bid or addendum PDF. The latest entry is GEM/2026/B/8141296 (sale from 12/10/2026). It includes Surat tenders: GMRC/CONS/VDCT+STNS/SURAT/PH-1 EXT./2026 (23/09/2026 to 07/11/2026) and GMRC/S&amp;T/IBS/SURAT/PH-1/2026 (11/02/2026 to 13/03/2026). Both registers are therefore current to FY 2026-27.
(2) Format. Both registers are indexed HTML tables with one row per tender or award, and the tender PDFs sit inside that register. This matches the 'HTML contract register' example. The 'individual PDFs with no indexed register' zero band does not apply.
Points for a person to check:
(a) The saved text does not show whether the page has a search or filter box. If the team requires one for format credit, re-check the live page (VERIFICATION-LIMIT for the interactive features).
(b) No dated screenshot or access date is recorded. The QB evidence requirement asks for one.
(c) GMRC's eligibility as a Surat parastatal (a state-wide body) and the PRE-OPERATIONAL flag for Surat Phase-1 are team scope decisions. They are not settled here.</t>
  </si>
  <si>
    <t xml:space="preserve">DPG6a</t>
  </si>
  <si>
    <t xml:space="preserve">ANSWER: Not determined. The Citation Sheet has no clear mandate for BWSSB to run a grievance-redressal mechanism. The BWSSB Act, 1964 (PRS copy) appears to give people a statutory appeal against decisions or orders of the Water Supply Engineer, the Sanitary Engineer or other officers. The appeal goes to an authority prescribed by regulations and is subject to revision by the Board. I could read only a cut-off snippet of this provision (PRS p.54), so its opening words, section number and verb are not confirmed. It is also an appeal against officers' decisions, not a general complaint channel. Whether it counts as a 'grievance-redressal mechanism (any channel)' needs team confirmation. The other documents the rubric names (the citizen charter, the Sakala schedule entry, and the Rules and Regulations) are not in the sheet as text. | EVIDENCE: (1) BWSSB Act 1964, PRS copy with amendments up to Act 29 of 2021 (BWSSB-02). Section number not confirmed, PRS p.54 snippet: '...order of the Water Supply Engineer or the Sanitary Engineer or other officer under this Act or any rule or regulation made thereunder may within a period of sixty days from the date of such decision or order appeal to the authority prescribed by the regulations and subject to revision by the Board'. Other sections checked: s.14 Consultative Committee (advises the Board on policy and schemes, reviews progress, and considers matters placed before it; no complaint function), s.15 general duties (supply and sewerage </t>
  </si>
  <si>
    <t xml:space="preserve">120. Appeals.—Any person aggrieved by any decision or order of the Water Supply Engineer or the Sanitary Engineer or other officer under this Act or any rule or regulation made thereunder may within a period of sixty days from the date of such decision or order appeal to the authority prescribed by the regulations and subject to revision by the Board, the orders of the appellate authority on such appeal shall be final.</t>
  </si>
  <si>
    <t xml:space="preserve">I left the score blank. The team needs to make one call, and that is the only thing stopping a score.
What Step 2 got right and what I can now add: Step 2 could only read a cut-off snippet of the appeal provision. I read it in full in BWSSB-02. It is Section 120, 'Appeals'. Any person aggrieved by a decision or order of the Water Supply Engineer, the Sanitary Engineer or another officer under the Act, Rules or Regulations 'may' appeal within sixty days. The appeal goes to the authority prescribed by regulations, the Board can revise the outcome, and the appellate order 'shall be final'. Section 121 lets the Board call for and revise any subordinate officer's proceedings. So the Act itself creates a channel for aggrieved persons to seek redress. The 'may' gives the aggrieved person a right to appeal; the channel itself is created by the Act, not left to the Board's choice.
Why I did not score it 5: my copy of the question details and rubric is incomplete. I only have Step 2's summary ('5 = Act/subordinate legislation/charter requires a grievance channel'; 'grievance-redressal mechanism (any channel)'). Whether an appeal against officers' decisions or orders counts as a 'grievance-redressal mechanism' under DPG6a, or whether the question means a general channel for service complaints, is a judgement on what the rubric means. I won't guess it.
- If the team says a statutory appeal counts, a 5 is supported by s.120. Confidence would be medium, because the only text is the PRS copy, which is secondary. An official gazette or Law Department copy would be better.
- If the team says it does not count, the score stays blank, not 0, because the evidence below is missing.
Why a 0 is not possible: there is no affirmative absence.
- VERIFICATION-LIMIT: the BWSSB 'Civil Charter / Citizen charter.pdf' is linked on BWSSB-12, but its text is not in the Citation Sheet.
- BWSSB-34, the Sakala 'About Act' page, has Appeal-I and Appeal-II links but no schedule of services, so it does not show that BWSSB services are notified.
- None of these are in the sheet: Rules under s.87, Regulations under s.88 (including the one naming the s.120 appellate authority), or any Sakala schedule or notification listing BWSSB services.
What else I checked:
- BWSSB-02: ss.14, 15, 87, 88, 111, 118-122.
- BWSSB-04: GBA Act s.96(c). This grievance function belongs to a city-government committee, not to BWSSB, so I did not credit it.
- BWSSB-29: Annual Report 2016-17. It shows complaint handling, Appeal Committee meetings and Water Adalaths, but that is old practice evidence, not a mandate.
- BWSSB-01, -12, -13, -16, -36: no other grievance mandate found.
The Act still names 'Bruhat Bangalore Mahanagara Palike'. The sheet has no official source showing a successor body was substituted.</t>
  </si>
  <si>
    <t xml:space="preserve">Step 2 found no evidence: a source needs to be found and added. Step 2 found no evidence (Insufficient Evidence). Source needed: BMTC's citizen or service charter (if any); the text of the rules and regulations that apply to BMTC (KSRTC Rules, 1961 as applied, and any BMTC regulations under s.45 of the RTC Act) checked for passenger complaint or grievance provisions; the Karnataka Sakala service-guarantee schedule entries, if any, naming BMTC services; any State Government order directing BMTC to keep a public grievance cell or complaint system.</t>
  </si>
  <si>
    <t xml:space="preserve">ANSWER: Not determined. The BDA Act (PRS text with amendments up to Act 42 of 2026) has no general requirement for BDA to provide a grievance-redressal mechanism for citizens. The only redress channel it creates is narrow: s.62A lets a person who disputes BDA's property tax under s.28B appeal to an Appellate Authority notified by the Government. It is unclear whether a tax-only statutory appeal counts as a 'grievance-redressal mechanism (any channel)'. The other places such a duty usually sits are not in the Citation Sheet: the BDA Rules and Regulations, a BDA citizen or service charter, and the schedule of Karnataka's service-guarantee law (Sakala). So I cannot give either 5 or 0. | EVIDENCE: (1) BDA Act, BDA-02. s.62A(1): 'Any person aggrieved by the assessment, levy or imposition of any tax under section 28B may ... appeal to such authority as the Government may, by notification, specify'. s.62A(3): the Appellate Authority 'shall' hear both parties and its decision is final. This covers only tax under s.28B. s.63 (Revision): the Government or the Authority 'may call for the records' of any proceedings. This is their own power to review orders; the Act gives citizens no way to start it, though s.63(3) gives an affected person the right to make a representation before an adverse order. s.64 only requires notice before a suit; it is not a grievance channel. s.69, s.70 and s.71 give powers to make rules, regulations and bye-laws, but none of those instruments is in the sheet. </t>
  </si>
  <si>
    <t xml:space="preserve">Any person aggrieved by the assessment, levy  or imposition of any tax  under section  28B may, within a period  of one month  next after service of notice of demand, appeal to such authority  as the Government may, by notification, specify (hereinafter referred to as the  Appellate Authority) ;</t>
  </si>
  <si>
    <t xml:space="preserve">I have left the score blank. The sources we have can't support either 5 or 0.
1) Checked against the source. I read BDA-02, the BDA Act as amended up to Act 42 of 2026 (PRS copy, so secondary). The Act's only redress channel is s.62A. A person aggrieved by tax under s.28B 'may' appeal to an Appellate Authority that the Government notifies. Under s.62A(3) that Authority 'shall' give both parties a hearing, and its decision is final. This is a quasi-judicial appeal limited to one tax. It is not a general complaint channel for BDA's citizen services such as site allotment, layouts or approvals.
2) Other sections that don't count. s.63 (Revision) is the Government's and the Authority's own power to call for records; the Act gives citizens no way to start it. s.64 only requires notice before a suit. s.21(2) is a hearing on betterment-tax assessment, followed by reference to the District Court.
3) City-government law. GBG Act s.96(c) (BDA-03) says the constituency committee 'shall' 'Receive any grievances from the general public relating to the functioning of any authority empowered under this Act'. This is the city government's law. Nothing shown makes BDA an 'authority empowered under this Act', so it is not BDA's own framework.
4) Why I can't score 0. Scoring 0 requires confirming every relevant source is silent. Several layers where a grievance duty usually sits are not in the Citation Sheet: the BDA Rules and Regulations (made under s.69 and s.70), any BDA citizen charter, and the schedule of the Karnataka Sakala Services Act. My searches for 'grievance redressal', 'Sakala citizen charter guarantee of services' and related terms found nothing beyond BDA-02 and BDA-03. Not found is not absent.
5) Why I can't score 5. Whether a tax-only statutory appeal (s.62A) counts as a 'grievance-redressal mechanism (any channel)' is a methodology question for the team. If they say yes, s.62A could support a 5. In my view it is too narrow to credit without confirmation.
For the team: (a) rule on whether s.62A qualifies; (b) add the BDA Rules and Regulations, the BDA citizen charter and the Sakala schedule entries for BDA; (c) the government notification naming the s.62A Appellate Authority is also missing; (d) RTI target: PIO, Bangalore Development Authority.
Sources checked: BDA-02, BDA-30 (older PRS copy, same sections), BDA-03, BDA-04, BDA-05, BDA-06, BDA-13, BDA-27.</t>
  </si>
  <si>
    <t xml:space="preserve">Step 2 found no evidence: a source needs to be found and added. Step 2 found no evidence (Insufficient Evidence). Source needed: Any of these would answer it: BMRCL's citizen, passenger or service charter; the Karnataka Sakala service-guarantee schedule, if it lists BMRCL services; rules made under s.100 or BMRCL regulations under s.101 of the Metro Railways (O&amp;M) Act that cover passenger complaints; BMRCL's Memorandum and Articles of Association; or a Government of Karnataka or MoHUA order requiring BMRCL to run a public grievance cell. The Central Government's notification extending the O&amp;M Act to Bengaluru is also needed.</t>
  </si>
  <si>
    <t xml:space="preserve">Step 2 found no evidence: a source needs to be found and added. Step 2 found no evidence (Insufficient Evidence). Source needed: Needed: (a) the full current text of the BMRDA Act, 1985 (Karnataka Act 39 of 1985) and any Rules or Regulations made under it, from the state legislation portal or eGazette; (b) the text of BMRDA's Citizen Charter (the website links a 2020-21 version), checked for a required complaint or grievance channel and timelines; (c) the Karnataka service-guarantee (Sakala) Act schedule, if it lists BMRDA services; (d) for completeness, the full KTCP Act text, checked for any grievance provision for planning authorities.</t>
  </si>
  <si>
    <t xml:space="preserve">ANSWER: Not determined. The Citation Sheet has no readable provision that clearly requires SUDA to provide a grievance-redressal mechanism for citizens. The nearest provision is in a DRAFT regulation: the Revised draft GDCR, Reg. 28.3, says 'The authority shall form an appeal committee', but only for disputes over how the Development Control Regulations are interpreted. That committee is a fee-based appeal forum, not a general complaint channel. Whether it counts as 'a grievance-redressal mechanism (any channel)' is a judgement the research team must make, and the regulation's adoption status is not shown. The parent Act's text could not be read, so this cannot be scored, and it cannot be scored 0 either. | EVIDENCE: (1) Parent Act, Gujarat Town Planning and Urban Development Act, 1976 (SUDA-01, PRS copy): pages 2-86, which hold the principal Act, have no extractable text. Only the amendment Acts (6 of 2017, 22 of 2017, 14 of 2019) are readable, and none of them mentions grievance redressal. I could not check whether the Act has an appeal or complaint provision. (2) Rules, Gujarat Town Planning and Urban Development Rules, 1979 (SUDA-03): a search of the whole Citation Sheet for 'grievance redressal complaint' found nothing in the Rules. I could not do a full targeted read for appeal or complaint provisions because the tool limit was reached. (3) Regulations, Revised draft GDCR of SUDA (SUDA-05), Reg. 28.3 'APPEAL COMMITTEE': 'The authority shall form an appeal committee cons</t>
  </si>
  <si>
    <t xml:space="preserve">Revised draft General Development Control Regulation of the revised draft development plan of SUDA (including Surat Municipal Corporation area) - Surat_GDCR.pdf [SUDA-05]</t>
  </si>
  <si>
    <t xml:space="preserve">https://www.sudaonline.org/wp-content/uploads/2013/08/Surat_GDCR.pdf</t>
  </si>
  <si>
    <t xml:space="preserve">The authority shall form an appeal committee consisting of</t>
  </si>
  <si>
    <t xml:space="preserve">I left the score blank. This needs a person to decide.
1. The parent Act cannot be read. In the PRS copy of the GTPUD Act, 1976 (SUDA-01), the principal Act has no extractable text. Only the amendment Acts can be read: 6 of 2017, 22 of 2017 and 14 of 2019. My re-read with a query on grievance, complaint and appeal (s.30) returned only amendment text. So I cannot tell whether the Act requires an appeal or complaint mechanism. That rules out affirmative absence, so a 0 cannot be given.
2. The 1979 Rules (SUDA-03) only point to other bodies. Forms I and K (rule 26(9)) mention an appeal under s.54 of the Act to the Board of Appeal (the Principal Judge or District Judge) against decisions by the Town Planning Officer on town planning schemes. That is a statutory appeal against a scheme officer's decisions. It is not a grievance-redressal channel that SUDA itself must run for citizens. I found no complaint or grievance provision in the parts of the Rules I could retrieve, but the tool showed only the most relevant passages, so I have not confirmed the Rules are free of one.
3. The only SUDA-specific candidate is in a draft. GDCR Reg. 28.3 (SUDA-05) says SUDA 'shall form an appeal committee'. But it is: (a) in a REVISED DRAFT GDCR, with no proof in the Citation Sheet that it was sanctioned or is in force; (b) limited to 'any dispute arising for interpretation of the Development Control Regulation'; and (c) a fee-based forum that decides appeals, not a general citizen grievance channel.
4. Other sources don't answer the question:
- SUDA-23 (ARHC tender, 2021-22): the grievance mechanism there is the concessionaire's duty, not SUDA's.
- SUDA-24 (Ease of Doing Business sheet): gives a timeline but no complaint channel.
- SUDA-04 (GPMC Act): its appeal and complaint sections (s.406 onwards, s.431) cover the municipal corporation and magistrates, not SUDA.
- The Citation Sheet has no citizen charter, no Gujarat service-guarantee law and no grievance law.
I do not have the question's full Detailed Methodology or rubric bands, so I cannot map Reg. 28.3 to a band on 0-5 without guessing (RUBRIC-GAP).
The team should:
(a) find a readable official copy of the principal GTPUD Act and check it for appeal or complaint provisions;
(b) confirm whether the GDCR containing Reg. 28.3 was sanctioned and is in force;
(c) decide whether a committee limited to interpreting the DCR counts as a grievance-redressal mechanism under this question's rubric;
(d) look for a SUDA citizen charter or a Gujarat service-guarantee or grievance instrument that covers SUDA's services.</t>
  </si>
  <si>
    <t xml:space="preserve">Step 2 found no evidence: a source needs to be found and added. Step 2 found no evidence (Insufficient Evidence). Source needed: The full official text of the Metro Railways (Operation and Maintenance) Act, 2002 as amended, and of the Metro Railways General Rules, 2020 and the other Metro Railway Rules, to check for any provision on passenger complaints or grievances. Also GMRC's Memorandum and Articles of Association, and any citizen or passenger charter GMRC has published for its metro services (Surat or company-wide). Also any Gujarat GO or state service-guarantee schedule that lists GMRC services.</t>
  </si>
  <si>
    <t xml:space="preserve">DPG6b</t>
  </si>
  <si>
    <r>
      <rPr>
        <sz val="11"/>
        <color theme="1"/>
        <rFont val="Calibri"/>
        <family val="2"/>
        <charset val="1"/>
      </rPr>
      <t xml:space="preserve">ANSWER: The saved pages show two channels. They do not show that all five rubric components are met. (1) Telephone: the homepage gives a helpline, 'Call center-1916', plus 'Safa Mitra -14420'. This probably meets the telephone component. (2) Web: the homepage links 'Lodge Complaint' and 'Complaint Management System (CMS)' to the Board's CMS. That shows a web grievance channel exists, but the CMS page itself is not in the Citation Sheet, so we cannot show that it works. Three components are not shown: (3) a mobile app, grievance email or WhatsApp channel; (4) a named in-person grievance counter or officer (only a 'Revised Water Adalath Schedule' link appears, and its content was not saved); (5) acknowledgement or tracking of a complaint. None of these can be scored 0, because the pages that would decide them were never saved and read, so absence is not established. | EVIDENCE: BWSSB-01 (BWSSB homepage, English): banner 'Helpline numbers: Call center-1916, Safa Mitra -14420'; Services menu link 'Lodge Complaint' to the CMS new-complaint page; Staff login menu 'Complaint Management System (CMS)'; news item 'Revised Water Adalath Schedule' (2 weeks ago); 'Live Phone-In Programme on October 09'; 'Feedback' link. BWSSB-16 (Kannada Contact Info page): the same helpline banner and the '</t>
    </r>
    <r>
      <rPr>
        <sz val="11"/>
        <color theme="1"/>
        <rFont val="Noto Sans"/>
        <family val="2"/>
      </rPr>
      <t xml:space="preserve">ದೂರು ಸಲ್ಲಿಸಿ</t>
    </r>
    <r>
      <rPr>
        <sz val="11"/>
        <color theme="1"/>
        <rFont val="Calibri"/>
        <family val="2"/>
        <charset val="1"/>
      </rPr>
      <t xml:space="preserve">' (Lodge Complaint) link to the CMS. Its excerpts show no grievance email, WhatsApp number or complaint app. BWSSB-13 (Our Services): gives division phone numbers and says the Water Audit &amp;</t>
    </r>
  </si>
  <si>
    <t xml:space="preserve">Bangalore Water Supply and Sewerage Board — official website [BWSSB-01]</t>
  </si>
  <si>
    <t xml:space="preserve">https://bwssb.karnataka.gov.in/english</t>
  </si>
  <si>
    <t xml:space="preserve">Helpline numbers: Call center-1916, Safa Mitra -14420</t>
  </si>
  <si>
    <t xml:space="preserve">I left the score blank. Two of the five components cannot be decided from the Citation Sheet, so I cannot add up the components. Absence has not been shown for them, so a 0 is not allowed for either.
What each component looks like:
(1) TELEPHONE: likely met. BWSSB-01 and BWSSB-36 (the current homepage, © 2026) list 'Helpline numbers: Call center-1916, Safa Mitra -14420'. The 2016-17 Annual Report (BWSSB-29, p.101) adds that a '24x7 Call Centre for receiving water supply and sanitary complaints from citizens of Bangalore has been established.' That report is old, so it only partly supports the current position, but it backs up Step 2's point that the call centre takes complaints.
(2) WEB: probably met. The current homepage Services menu links 'Lodge Complaint' to the Board's CMS new-complaint page, and the Staff login menu lists a 'Complaint Management System (CMS)'. The CMS form itself is not in the sheet, so we cannot show that it works. VERIFICATION-LIMIT.
(3) MOBILE APP, EMAIL OR WHATSAPP: not found. Searches of BWSSB-01, -16, -36, -41 and the whole sheet found no grievance app, email address or WhatsApp number. The only apps found are HRMS apps for staff. The Contact Us page and app-store pages are not in the sheet, so absence is not established. VERIFICATION-LIMIT.
(4) IN-PERSON: probably met, and this goes further than Step 2. BWSSB-29 (Annual Report 2016-17, p.101) says: 'To solve the water bill disputes and public grievances, Water Adalats under the Chairmanship of Executive Engineers are being held once in a month in each sub-[division]'. The current homepage (BWSSB-36) shows a 'Revised Water Adalath Schedule' posted '2 weeks ago', which suggests the Adalaths still run. The schedule's content was not saved, so a dated current record is missing.
(5) TRACKING: not found. No saved page shows acknowledgement or status tracking of a complaint. The CMS tracking page is not in the sheet. The 2016-17 report mentions that complainants are told the outcome (the text is partly garbled), but that is old and is not tracking. I agree with Step 2 that Sakala tracking (BWSSB-34) covers service applications, not grievances. VERIFICATION-LIMIT.
What I checked: BWSSB-01, BWSSB-36, BWSSB-16, BWSSB-13, BWSSB-41 and BWSSB-29, plus a search of the whole sheet for complaint, WhatsApp, app, email and grievance.
On the evidence so far the total looks like 3 out of 5 (telephone, web and in-person) if a reviewer confirms those three, with mobile and tracking still open. That is only an indication, not a score.
For a person to check:
- Open cms.bwssb.gov.in to test the complaint form and status tracking.
- Open the Water Adalath schedule and the 1916 helpline detail page.
- Look for a BWSSB complaint app, WhatsApp number or grievance email.
- Take dated screenshots.
- Confirm whether the 5th component is in-person or tracking. Step 2 found that its label and its Qualification don't match.
I did not see the question text or the Detailed Methodology in this task; the component list is taken from Step 2's reading of the rubric.</t>
  </si>
  <si>
    <t xml:space="preserve">ANSWER: The Citation Sheet does not show that all five grievance components are available and working at BMTC. BMTC's official website links to an online complaint system and shows a helpline number. A link called 'Public Grievance Dashboard' may provide tracking, but none of the saved sources shows the complaint portal or dashboard actually working. No grievance email, WhatsApp channel or app complaint feature was found. No source names a place where a citizen can lodge a grievance in person. Component check: (1) Web channel: the link exists, but whether it works is not shown. (2) Mobile/electronic channel: not found. (3) Telephone: a 'BMTC Helpline Number' is published, and it probably qualifies (see CAVEATS). (4) In-person: not found. (5) Acknowledgement/tracking: a dashboard link exists, but whether it works is not shown. | EVIDENCE: (a) The navigation menu on BMTC's official website appears on the home page (BMTC-01), the Contact Us page (BMTC-16), the Departments page (BMTC-18) and the Directors and Tenders pages (BMTC-09, BMTC-10). It lists 'Complaints', 'New Complaint' (an external complaint-system subdomain under the mybmtc.com name) and 'Public Grievance Dashboard'. None of the saved sources is a copy of the complaint portal or the dashboard. (b) The home page 'What's New' list (BMTC-01) has an entry 'BMTC Helpline Number: 080 22483777', labelled '6 years ago'. The source does not say this number is for complaints. (c) The Departments page (BMTC-18) says the Traffic</t>
  </si>
  <si>
    <t xml:space="preserve">Contact Us - Bengaluru Metropolitan Transport Corporation [BMTC-16]</t>
  </si>
  <si>
    <t xml:space="preserve">https://mybmtc.karnataka.gov.in/page/Contact+Us/en</t>
  </si>
  <si>
    <t xml:space="preserve">Helpline Number: 080 22483777</t>
  </si>
  <si>
    <t xml:space="preserve">I left the score blank because of a VERIFICATION-LIMIT and missing evidence. I did not record a 0. The question text and Detailed Methodology for DPG6b were not in my task input. Step 2 treats it as five grievance components (web, mobile/electronic, telephone, in-person, acknowledgement/tracking), and I scored against that frame. A person should confirm the rubric.
Checking Step 2 against the sources: Step 2 said the Contact Us body was not visible. I read more of BMTC-16 and found the body. It gives the head office address ('K H Road, Shanthinagar, Bangalore - 560027') and 'Helpline Number: 080 22483777' (page last updated 30-09-2026). So a current helpline is published on the Contact Us page, not only in a 6-year-old 'What's New' item. Neither page calls it a complaints line. Whether it counts as a designated grievance channel is a reviewer decision.
Component by component:
(1) Web: the menu on BMTC-01, 09, 10, 16 and 18 links to 'Complaints', 'New Complaint' (http://crm.mybmtc.com) and the 'Public Grievance Dashboard'. No source is a saved copy of the portal, so I can't tell whether it works. VERIFICATION-LIMIT.
(2) Mobile/electronic: not found. A BMTC app appears only in tenders (BMTC-10) and a pass press release (BMTC-28). I found no complaint email or WhatsApp channel. BMTC-16 also has a 'Feedback' link, but it was not saved.
(3) Telephone: the helpline is published (BMTC-16, BMTC-01), but it is not stated to be for grievances.
(4) In-person: the head office address is published, and BMTC-18 says the Traffic department handles 'public complaints, suggestions and redressal'. Neither names a place to lodge grievances in person. The KarnatakaOne centres (BMTC-30) only issue monthly passes. The KIA Terminal 2 helpdesk (BMTC-01, about 3 years old) is not described as a grievance desk.
(5) Acknowledgement/tracking: the dashboard link exists, but whether it works is not shown. VERIFICATION-LIMIT.
I can't show affirmative absence for any component, because the CRM portal, dashboard, Complaints page and Feedback page are not in the Citation Sheet. So I can't give a partial number, which would amount to scoring the missing components 0.
A reviewer should:
- open and screenshot (dated) http://crm.mybmtc.com and /All_module
- open the Complaints and Feedback pages
- check for a BMTC app complaint feature
- confirm the DPG6b rubric and whether the Contact Us helpline counts.</t>
  </si>
  <si>
    <t xml:space="preserve">Step 2 found no evidence: a source needs to be found and added. Step 2 found no evidence (Insufficient Evidence). Source needed: BDA's official website pages, live and dated, showing: (a) an online grievance form or a redirect to a state grievance portal, with that portal's page; (b) a designated grievance email, app or WhatsApp channel; (c) a designated grievance helpline number; (d) an identified grievance counter, officer or office, e.g. in a BDA Citizen's Charter or office order; (e) a complaint or reference number or status-tracking feature, shown in a screenshot. An official state service-guarantee or grievance portal listing BDA would also help.</t>
  </si>
  <si>
    <t xml:space="preserve">Step 2 found no evidence: a source needs to be found and added. Step 2 found no evidence (Insufficient Evidence). Source needed: Saved, dated copies of these BMRCL pages: (a) the grievance or complaint form on its website, or a link to a state/central grievance portal; (b) the designated grievance email, WhatsApp number, or the app listing showing a complaint feature; (c) the helpline number explicitly labelled for complaints; (d) a citizen charter, office order or station notice naming where to lodge a grievance in person (helpdesk, customer care centre or grievance officer); (e) a portal screenshot showing a complaint reference number or status tracking. A recent BMRCL annual report describing its commuter grievance system would also help.</t>
  </si>
  <si>
    <t xml:space="preserve">ANSWER: The sources show only one of the five grievance channels BMRDA's rubric asks for: an email address for complaints. BMRDA's 2022-23 annual report names mc.bmrda@ka.gov.in as the address for public 'queries/complaints', and the current website (© 2026) still lists it. The other four components could not be established. (1) Web channel: the BMRDA site has a 'Feedback' link, but that page is not in the Citation Sheet. The site footer links to IPGRS and e-Spandana, but only as part of a generic list of Karnataka e-governance links. Nothing in the sources presents them as BMRDA's grievance route or shows that they work. (2) Telephone: the Contact Us page lists only office numbers for officers and a general office line (080-22090200), and none is identified as accepting grievances. (3) In-person: only the office address is given. No grievance desk, counter or designated grievance officer was found. (4) Acknowledgement and tracking: none was found. BMRDA's Online RTI facility, with its request-status tracking, is for information requests, not grievances. | EVIDENCE: BMRDA-03 (Annual Report 2022-23, p.15, item 10 'Website'): 'The public can send their queries/complaints if any to our E-mail ID viz. mc.bmrda@ka.gov.in'. The same page lists the website's contents and names no grievance form. BMRDA-03 p.14: the RTI officers designated (PIO, APIO, Appellate Authority); 86 RTI applications received and all 86 disposed of. This covers RTI, not grievances. BMRDA-06 (Contact Us, curre</t>
  </si>
  <si>
    <t xml:space="preserve">Step 2 found no evidence: a source needs to be found and added. Step 2 found no evidence (Human Verification Required). Source needed: Needed: (a) a capture of BMRDA's Feedback page showing whether it accepts grievances and gives a reference number; (b) BMRDA's current Citizen Charter, which may name a grievance officer, counter, helpline and timelines; (c) an IPGRS or e-Spandana page showing BMRDA (or the Urban Development Department for BMRDA) as a listed department, with acknowledgement and tracking; (d) any BMRDA office order or notice designating a public grievance officer or helpdesk; (e) dated screenshots of each channel.</t>
  </si>
  <si>
    <t xml:space="preserve">Step 2 found no evidence: a source needs to be found and added. Step 2 found no evidence (Insufficient Evidence). Source needed: Dated captures of: (1) the SUDA official website's grievance, complaint, contact or 'Citizen Charter' pages, showing any online grievance form or a link to a Gujarat state or common grievance portal, with an acknowledgement or tracking feature; (2) any official grievance email, mobile app or WhatsApp channel listed by SUDA; (3) a helpline number that is explicitly for grievances; (4) a Citizen Charter or office order naming SUDA's grievance officer, helpdesk or counter; (5) the matching portal page showing complaint reference numbers or status tracking.</t>
  </si>
  <si>
    <t xml:space="preserve">ANSWER: Only one of the five channels is shown on GMRC's official website in the Citation Sheet: an online Feedback / Grievance form. Its submission could not be tested. A GMRC annual report says passengers can also complain by telephone, e-mail and at stations, but the website copy in the sheet does not list a grievance number, a grievance e-mail or a helpdesk. Those channels also serve the Ahmedabad Metro, because Surat Phase-1 is still being built. No source shows that a complaint receives a reference number or can be tracked. Component by component: (1) Web: the form exists; whether it works is not verified. (2) Mobile/electronic: not determined. (3) Telephone: not determined. (4) In-person: only partly shown (see below). (5) Tracking: not found. | EVIDENCE: (a) GMRC-15, the official Feedback / Grievance page (gujaratmetrorail.com/feedback/), shows a form with the fields 'First Name', 'Last Name', 'Email' and 'Message / Feedback / Grievance Details' and a 'Submit' button. The page shows template messages for success and error ('The form has been submitted successfully!'). No reference number is mentioned and no tracking feature is shown. The page footer reads 'Last Updated on : 12-Oct-2026'. (b) GMRC-02, the home page, links to Contact Us and Feedback/Grievance. It also links to a Play Store app ('gmrcamddigitalticketing') and an App Store app ('Ahmedabad Metro Official App'). Nothing in the sheet shows either app accepting grievances. The home page lists Surat Phase-1 un</t>
  </si>
  <si>
    <t xml:space="preserve">Feedback / Grievance - Gujarat Metro Rail Corporation (GMRC) Limited [GMRC-15]</t>
  </si>
  <si>
    <t xml:space="preserve">https://www.gujaratmetrorail.com/feedback/</t>
  </si>
  <si>
    <t xml:space="preserve">Message / Feedback / Grievance Details</t>
  </si>
  <si>
    <t xml:space="preserve">I left the score blank. One channel is confirmed, three more are mentioned but not shown on GMRC's website or not shown for Surat, and nothing shows absence. A number would mean marking unchecked channels as 0.
(1) Web: GMRC-15 shows an online form on GMRC's own website. It has a grievance field and a Submit button. The source checks out: the form exists, but there is no record that a submission went through or was acknowledged. VERIFICATION-LIMIT.
(2) Mobile/electronic: GMRC-15 and GMRC-02 link to Play Store and App Store apps. GMRC-05 (Annual Report 2024-25, p.12) describes the Ahmedabad Metro app only as a ticketing app. Nothing in the sheet shows either app taking grievances. GMRC-05 p.15 says complaints can be made by e-mail, but no grievance e-mail address appears in any citation. GMRC-05 p.18 says social media is used to 'gather passenger feedback'. That is feedback, not a grievance channel.
(3) Telephone and (4) in-person: GMRC-05 pp.13-15 says 'Passengers can lodge their grievance through multiple channels such as Telephone, E-Mail and Station Walk-in.' It also reports about 14,000 queries/complaints/suggestions in FY 2024-25. This describes the operating Ahmedabad Metro. It gives no number, address or helpdesk, and Surat Phase-1 is listed as 'Under Implementation'. For Surat, the only mechanism is in GMRC-09 (Stakeholder Engagement Plan, Dec 2020). It is a plan for project-affected persons only. It names an officer at SUDA Bhawan, Surat, but the phone number is blank, and it is written in 'would/will' terms. It is not evidence that the mechanism operates today. The registered-office phone number in GMRC-05/06 is a general switchboard, not a grievance line.
(5) Acknowledgement/tracking: none shown. The form's success message gives no reference number. GMRC-09's '24 hours acknowledgement' and 'centralised GRM system' are only proposals. A search of the sheet for tracking, acknowledgement and helpline terms found nothing more. The Contact Us and Help pages are not in the Citation Sheet, so the absence of channels 2-5 is not established. I could not see the question bank's full Detailed Methodology text, only the five components listed in the Step 2 answer.
For the reviewer: (i) Decide whether GMRC's company-wide passenger channels, which serve Ahmedabad, count for pre-operational Surat. (ii) Add the Contact Us and Help pages and an app screenshot to the sheet. (iii) Capture a dated screenshot of a form submission showing any acknowledgement or reference number. (iv) If only the confirmed web form is credited, the provisional value is at least 1/5, but that should not be entered until channels 2-5 have been checked.</t>
  </si>
  <si>
    <t xml:space="preserve">DPG7a</t>
  </si>
  <si>
    <t xml:space="preserve">ANSWER: Not determined. Nothing in the Citation Sheet sources I read requires citizen participation in BWSSB's plans. No source I read requires a draft plan to be published for objections or suggestions, a public hearing, or public consultation before BWSSB finalises a plan. The closest provision is s.14 of the BWSSB Act. It sets up a statutory Consultative Committee that advises the Board on major schemes. That Committee is a small body nominated by the State Government; it is not a public participation process. Not every relevant legal layer was in the sheet or fully read, so this result is 'not found', not a confirmed absence. I have not scored it 0. | EVIDENCE: (1) Parastatal Act: Bangalore Water Supply and Sewerage Act, 1964 (PRS copy, amendments appended up to Act 29 of 2021). s.14(1): the State Government 'shall constitute a Consultative Committee' made up of Board members plus 3 to 9 persons the State Government appoints 'after consultation with such representatives or bodies representative of the following interests as the State Government thinks fit'. Those interests are the Municipal Corporation (BBMP), the Bangalore City Improvement Trust Board and 'consumers of water'. s.14(3): the Committee must meet at least once every three months. s.14(4)(i): its function is 'to advise the Board on major questions of policy and major schemes'. s.14(5): the Board must place its annual financial statement before the Committee. The legal strength is a mandatory advisory body mad</t>
  </si>
  <si>
    <t xml:space="preserve">(4) The functions of the Consultative Committee shall be as follows:— (i) to advise the Board on major questions of policy and major schemes;</t>
  </si>
  <si>
    <t xml:space="preserve">Score left blank. I could not show that BWSSB must involve citizens before finalising its plans, and I also could not confirm that no such requirement exists. I checked the Step 2 answer against BWSSB-02 (the BWSSB Act 1964, PRS copy, amended up to Act 29 of 2021) and it holds up.
(1) Consultative Committee, s.14. The Act says the State Government 'shall constitute' this Committee. It is made up of Board members plus 3 to 9 people the State Government appoints 'after consultation with such representatives or bodies representative of... consumers of water' (and of BBMP and the City Improvement Trust Board) 'as the State Government thinks fit'. Under s.14(4)(i) it 'advises' the Board on major policy and major schemes. It is an advisory body of government nominees. It is not a public process with draft publication, objections or hearings, so it does not meet the 5 band (a mandatory, defined public process before finalisation). Whether a nominated advisory body like this counts as 'citizen participation' for the 2.5 band is a methodology call. A reviewer must CONFIRM this; I did not award 2.5.
(2) Schemes, s.15(2)(b)-(c). The Board has a duty to prepare and carry out water and sewerage schemes. Any scheme costing more than Rs 1 crore needs State Government approval. I found no requirement to publish a draft scheme or invite objections. A search of BWSSB-02 for scheme publication, notice, objections or public inspection found only notice provisions aimed at owners and occupiers (e.g. ss.39, 66, 67). These are not plan consultation.
(3) GBA Act, BWSSB-04. Public objections are required only for: area notifications (pp.8-9), the heritage list (s.297(2)), and Ward Sabha inputs into the city government's own Annual Ward Development Plan (s.103(1)(c)). None of these is a BWSSB plan.
Why I could not score 0: that needs proof of absence across every relevant law, and several are missing or unread. The BWSSB Rules and Regulations are not in the Citation Sheet. Neither is the Karnataka Town and Country Planning Act 1961, which may govern master-plan objections that cover water and sewerage. The GBA Act's Metropolitan Planning Committee (BMPC) and master-plan procedure was only partly read.
Also flagged: the full question text and rubric bands were not given to me beyond the Step 2 band notes (5 / 2.5 / 0). A reviewer should check them against the question bank.</t>
  </si>
  <si>
    <t xml:space="preserve">ANSWER: No source in the Citation Sheet requires citizen participation when BMTC prepares its own plans. One requirement does reach BMTC's planning, but only indirectly and at one stage. Under the Bengaluru Metropolitan Land Transport Authority (BMLTA) Act, 2022, s.21(3), the BMLTA (not BMTC) 'shall' publish a draft plan and invite objections and suggestions before it finalises any plan under that Act. This covers the Comprehensive Mobility Plan (the city's overall mobility plan). The City Mobility Investment Program (the city's 5-year investment plan) is part of that plan, and it includes BMTC's Sectoral Mobility Investment Program (BMTC's own investment plan). BMTC's Annual Implementation Plan under s.25 and its own budget and plans under the Road Transport Corporations Act carry no participation requirement in the sources read. This fits the 2.5 band ('applies only to specified plan types/stages'), but I have not proposed a score because of the open items below. | EVIDENCE: (1) Parastatal Act, Road Transport Corporations Act, 1950 (BMTC-02): s.18 sets BMTC's general duty; s.32(1) says the Corporation 'shall... prepare and submit to the State Government for approval a budget'; s.35(2) requires an annual report 'on its policy and programme', laid before the Legislature. The rule-making power (s.44(2)) and regulation power (s.45) list no public-consultation matter. s.17 lets the State Government appoint an Advisory Council (only the start of the section was shown: 'The State </t>
  </si>
  <si>
    <t xml:space="preserve">(3) Before finalizing any plan as under this Act, the Authority shall cause to pu blish a draft plan by making a copy thereof available for inspection and publis</t>
  </si>
  <si>
    <t xml:space="preserve">SCORE LEFT BLANK. The most likely score is 2.5, but a person must confirm it.
(1) What the source supports. In the BMLTA Act 2022 (BMTC-06), s.21(3) says the Authority 'shall' publish a draft plan and invite objections and suggestions from any person before finalising 'any plan as under this Act'. Under s.21(2)(l), the Comprehensive Mobility Plan includes the City Mobility Investment Program, and that program is made up of the Sectoral Mobility Investment Programs submitted by the Urban Transport Agencies. BMTC is one of those agencies. s.23 applies the same process to the five-yearly revision of the Comprehensive Mobility Plan. So the law does require citizen participation at one stage: the Comprehensive Mobility Plan stage, which contains BMTC's investment program. Nothing in the parts read requires public participation when BMTC prepares its own plans. That covers the Sectoral Mobility Investment Program (s.24, where consultation is with the Authority only), the Annual Implementation Plan (s.25, reviewed and approved by the Authority), the budget (RTC Act s.32) and the annual report (s.35). The Step 2 reading checks out against the source.
(2) Why I have not entered 2.5.
(a) Relationship judgement: the duty in s.21(3) binds the BMLTA, not BMTC. The team must decide whether participation in a BMLTA plan that contains BMTC's investment program counts as participation in 'the parastatal's plans' (2.5 band, 'specified plan types/stages').
(b) The Sheet does not show that the BMLTA Act has been brought into force (s.1(3)) or that the Authority has been set up (s.4).
(c) Not every layer has been read. BMTC-20 (BMTC's Rules and Regulations page) links to 'KSRTC Rules, 1961' and several KSRTC staff regulations. Their text is not in the Sheet, so I cannot tell whether they apply to BMTC or contain any planning-participation provision. BMLTA regulations under s.54(1)(viii) are also not in the Sheet.
(3) Why 0 is not supportable: there is no affirmative absence, because the Rules and Regulations layers are missing and s.21(3) is a positive provision. Why 5 is not supported: nothing shows a participation requirement covering BMTC's own plans generally.
(4) Other layers checked:
- RTC Act 1950 (BMTC-02): s.17 Advisory Council is discretionary ('may') and advises the Corporation; it is not a citizen-participation process for plans. s.44(2) rule-making matters and s.45 contain no public-consultation item.
- GBA Act 2024 (BMTC-04): s.15(1) 'mobility plans', with no participation requirement in the excerpts read.
- KTCP Act (BMTC-07): s.10 public suggestions apply to master plans by the Planning Authority, not to BMTC.
(5) Period: BMLTA Act 2022 (Act 6 of 2023, with the amendment Act 10 of 2026 appended; PRS text, a secondary source); RTC Act as amended up to 1982. Era: GBA era.
The question's Detailed Methodology text was not supplied with this task. The band wording used here comes from the Step 2 notes; please confirm it against the question bank.</t>
  </si>
  <si>
    <t xml:space="preserve">ANSWER: The Citation Sheet shows no law that requires citizen participation in plans BMRCL prepares itself. There are mandatory public-participation duties, but they sit with other bodies. BMLTA must publish a draft Comprehensive Mobility Plan (CMP) and invite objections. BMLTA's mobility policies, including the parking policy, must go out for public feedback. The Planning Authority must call for public suggestions on the Master Plan. BMRCL's own programmes (if it is an 'Urban Transport Agency') need only consultation with BMLTA and BMLTA's approval. There is one possible indirect route. BMRCL's Sectoral Mobility Investment Program (SMIP) is folded into the City Mobility Investment Program, which by law is part of the CMP, and the CMP goes through mandatory draft publication and objections. That could fit the 2.5 band ('specified plan types/stages only'), but it depends on interpretation and on layers not in the sheet. So no score. | EVIDENCE: (1) Legal form, BMRCL-09 (Annual Report FY2020-21, Corporate Governance Report): BMRCL is 'a Government Company within the meaning of Section 2(45) of the Companies Act, 2013' and a 50:50 GoI-GoK joint venture. No Act constitutes it, so there is no parastatal Act with a plan-preparation procedure. Its Memorandum and Articles are not in the sheet. (2) Companies Act 2013 (BMRCL-06): the excerpts read contain no plan-participation provision. (3) Metro Railways (O&amp;M) Act 2002 (BMRCL-04): the parts read (ss.95-105, incl. rule power s.100 and</t>
  </si>
  <si>
    <t xml:space="preserve">The Bengaluru Metropolitan Land Transport Authority Act, 2022 Act No. 6 of 2023 [BMRCL-08]</t>
  </si>
  <si>
    <t xml:space="preserve">Before finalizing any plan as under this Act, the Authority shall cause to pu blish a draft plan by making a copy thereof available for inspection and publis</t>
  </si>
  <si>
    <t xml:space="preserve">Score left blank. The task input did not include the rubric bands for DPG7a, so I am working from the Step 2 summary of them ('specified plan types/stages only' = 2.5). A person should confirm the bands against the question bank.
What the sheet shows (BMLTA Act 2022, PRS text, BMRCL-08):
(1) One gap in Step 2 is now closed. Section 2(ff) defines 'Urban Transport Agency' as 'both the private and public agencies engaged in providing of Urban Mobility in Urban Mobility Region'. The Schedule lists 'Metro Railway' under Public Transportation, item (1)(iv). Read together, these bring BMRCL within the definition.
(2) Under s.2(v) and s.24(a)-(c), BMRCL as an Urban Transport Agency prepares a Sectoral Mobility Investment Program (SMIP). It must be prepared 'in consultation with the Authority' and is incorporated 'with or without modification' into the City Mobility Investment Program (CMIP). Under s.24(e) and s.21(2)(l), the CMIP 'shall be part of the Comprehensive Mobility Plan'.
(3) Under s.21(3), before finalising 'any plan as under this Act', the Authority (BMLTA) 'shall' publish a draft plan and invite objections and suggestions from any person. Under s.23 this applies again at each five-yearly revision of the CMP.
(4) Under s.25, BMRCL's Annual Implementation Plan needs only BMLTA review and approval; no public step is stated.
Why no score:
(a) The mandatory 'shall' duty sits with BMLTA, not BMRCL. Public input reaches BMRCL's SMIP only indirectly, at the CMP draft stage after BMLTA has folded it in. Whether that earns the 2.5 band ('specified plan types/stages only') or counts only for BMLTA's plans is a methodology call. It has to be confirmed, not guessed.
(b) It is also unclear whether s.21(3) covers the yearly CMIP revisions under s.26. Section 26 states no public step.
(c) A score of 0 is not available because affirmative absence is not met. These layers are not in the Citation Sheet: the Metro Railways (Construction of Works) Act 1978; Rules under the metro Acts; BMLTA Regulations (s.54(1)(viii) sets the form of draft-plan publication); BMRCL's Memorandum and Articles of Association; and the GBA Act Master Plan and Bengaluru Metropolitan Planning Committee procedure in full.
Also checked, with no participation duty found on BMRCL: BMRCL-04 (Metro O&amp;M Act 2002, sections read only), BMRCL-06 (Companies Act 2013), BMRCL-09 (Annual Report FY2020-21: BMRCL is a government company), BMRCL-07 (KTCP Act ss.10 and 13: the duty is on the Planning Authority), BMRCL-02 (GBA Act: participation provisions are for the City Corporation and heritage lists), BMRCL-32 (Metro Parking Policy 2025), BMRCL-38 (BMLTA Amendment Bill 2025).
Period: BMLTA Act as enacted (Act 6 of 2023), PRS republished text. PRS notes Amendment Act 10 of 2026 is appended, but its text was not seen. No gazette copy was verified.
For the team to confirm: whether participation in BMLTA's CMP draft, which contains BMRCL's SMIP through the CMIP, counts toward BMRCL for DPG7a. If it does, 2.5 looks supportable on this evidence; if not, the missing layers above must be read before any 0.</t>
  </si>
  <si>
    <t xml:space="preserve">Step 2 found no evidence: a source needs to be found and added. Step 2 found no evidence (Insufficient Evidence). Source needed: The official full text of: (a) the Metro Railways (Construction of Works) Act 1978 as amended by the Metro Railways (Amendment) Act 2009, and the notification applying it to Surat; (b) the Metro Railways (Operation and Maintenance) Act 2002 and the Metro Railways General Rules 2020; (c) the consolidated Gujarat Town Planning and Urban Development Act 1976, especially the sections on publishing draft development plans and inviting objections and whether they cover transport infrastructure plans; (d) GMRC's Memorandum and Articles of Association; (e) any Gujarat government order requiring public consultation on metro alignment or DPR plans.</t>
  </si>
  <si>
    <t xml:space="preserve">DPG7b</t>
  </si>
  <si>
    <t xml:space="preserve">Step 2 found no evidence: a source needs to be found and added. Step 2 found no evidence (Insufficient Evidence). Source needed: Sources that would answer this: (1) the BWSSB Vision Document 2050 / Master Plan itself, or the latest capital plan or DPR (e.g. CWSS Stage V), especially any chapter on stakeholder or public consultation; (2) public notices inviting objections or suggestions on a draft plan; (3) minutes or proceedings of public hearings or consultations, e.g. those held for an externally funded project's environmental and social assessment; (4) recent minutes of the s.14 Consultative Committee showing consumer representatives reviewing major schemes; (5) annual reports for recent years (after 2016-17) describing consultation on plans.</t>
  </si>
  <si>
    <t xml:space="preserve">Step 2 found no evidence: a source needs to be found and added. Step 2 found no evidence (Insufficient Evidence). Source needed: BMTC's latest plan or planning exercise (e.g. route rationalisation or network plan, fleet or depot plan, Annual Implementation Plan or Sectoral Mobility Investment Program under BMLTA Act ss.24-25), plus any official BMTC record of citizen participation before it was finalised: a public notice inviting objections or suggestions, a consultation or hearing report, minutes, or a section of the final plan describing consultation. Also needed: the text of the 11 July 2024 press release, to check whether it involved citizens and was tied to a plan.</t>
  </si>
  <si>
    <t xml:space="preserve">Step 2 found no evidence: a source needs to be found and added. Step 2 found no evidence (Insufficient Evidence). Source needed: Any of these would answer the question: BMRCL's own public notices inviting objections or suggestions on a draft plan or policy (e.g. the draft Metro Parking Policy, or the DPR or alignment for a metro phase); consultation reports or minutes of public hearings or stakeholder meetings on BMRCL's website; a passage in a final BMRCL plan or DPR describing the public consultation held; or a BMLTA record showing that the BMRCL parking policy was placed in the public domain for feedback under BMLTA Act s.20.</t>
  </si>
  <si>
    <t xml:space="preserve">ANSWER: Partly. GMRC's own Surat Metro Phase-I planning documents record that citizens were consulted in practice before the safeguard plans were finalised. Consultations were held on 8-9 November 2019 at 10 places along both corridors, and dated minutes list each venue, the number of participants, the issues raised and the suggestions made. The SEP's table adds a 'GMRC Reply' column, and the SEP says the inputs 'have been incorporated in the project identification and design'. However, the consultations were 'informal unstructured interviews' run by the EIA consultant. No public notice, no call for objections/suggestions on a draft plan and no public hearing appears in the Citation Sheet. The DPR records that a public hearing 'is not required'. The DPR itself, the core project plan (December 2018), is dated before these consultations. Only a reference to 'preliminary consultations' supports consultation for the DPR. This matches the 2.5 band ('only ... minutes/proceedings, a reference in the final plan'), not the fully verifiable process the 5 band needs. | EVIDENCE: (1) GMRC-11, EIA Final Report December 2020, Ch. 8, pp. 229-232: s.8.2 describes one-to-one meetings 'at the doorstep of the people or at a common place of people's gathering'. s.8.3: 'The consultations were conducted from November 8 to November 9, 2019 ... based on informal unstructured interviews'. Table 8.1 'Minutes of Public Consultations' covers 10 venues (Bhesan, Adajan Gaam, Majura Gate, Model Town, Kumbh</t>
  </si>
  <si>
    <t xml:space="preserve">Environmental Impact Assessment Study for Surat Metro Rail Project (Phase-I) - Final Report December 2020 [GMRC-11]</t>
  </si>
  <si>
    <t xml:space="preserve">https://www.gujaratmetrorail.com/wp-content/uploads/Reports/Surat-Metro-Rail-Project-Ph-I-Final-EIA-Report-R.pdf</t>
  </si>
  <si>
    <t xml:space="preserve">The consultations were conducted from November 8 to November 9, 2019 during the field visit and based on informal unstructured interviews and  stakeholder consultation.</t>
  </si>
  <si>
    <t xml:space="preserve">Proposed score: 2.5 (partial band). I checked the Step 2 answer against the sources and they support it. (1) GMRC-11, the EIA final report of Dec 2020, s.8.3: consultations were held on 8-9 Nov 2019 at 10 places on both corridors. They were 'informal unstructured interviews' run by the EIA consultant (RITES), not GMRC. Table 8.1 gives dated minutes for each venue, with the number of participants, issues raised and suggestions made. (2) GMRC-09, the Stakeholder Engagement Plan (SEP) of Dec 2020, s.2.3.3 (pp. 7-8): consultations were held in 'August and November 2019', and 'These stakeholder consultations and inputs have been incorporated in the project identification and design'. Appendix-1, Table 8 (p. 33 onward) holds the minutes with a 'GMRC Reply' column, for example on afforestation, protecting the Baobab trees and parking. (3) GMRC-08, the DPR of Dec 2018, Ch. 14 pp. 45-46: only 'preliminary consultations were conducted at the early stage of EIA preparation'. It says further consultations 'will be made' and 'shall be conducted by the SMC after the finalization of this report'. It also says 'public hearing is not required, as railway projects do not attract EIA Notification 2006'. So this is credible evidence of consultation: minutes, documented replies, and a reference in the final safeguard plans. But the Citation Sheet has no public notice, no invitation of objections or suggestions on a draft plan, and no public hearing. The DPR, the core plan, predates the documented sessions. That fits the partial band, not the full band. CHECK FOR REVIEWER: (a) The full Detailed Methodology text for DPG7b was not in my prompt. I took the band wording ('minutes/proceedings, a reference in the final plan' = 2.5; a fully verifiable process = 5) from the Step 2 answer. Please confirm this against the question bank, and confirm 2.5 is a valid band for a Max Score of 5. (b) Decide whether the dated, venue-level minutes with GMRC replies, published in the final SEP/EIA, are enough for the top band. They were not credited here because the sessions were informal, run by a consultant and had no prior notice. (c) Confirm the 'latest applicable plan': the Phase-I DPR, or the EIA/SEP/ESMP. The Citation Sheet has nothing on any later phase. (d) DPG7b is labelled Law/Policy but asks about practice; it was assessed as practice. The evidence covers Phase-I only (DPR Dec 2018; consultations Aug and Nov 2019; EIA and SEP Dec 2020).</t>
  </si>
  <si>
    <t xml:space="preserve">SC1</t>
  </si>
  <si>
    <t xml:space="preserve">ANSWER: I could not compute a current SC-1 ratio for BWSSB from the Citation Sheet. The only financial data is in the Annual Report 2016-17, covering FY2015-16 and FY2016-17. That is the 2-year minimum, but it is about 9 years out of date, and the report does not say what 'Other Income' contains or what counts as total expenditure. The figures below are for illustration only and are not scored. (i) Own revenue = Revenue Account income; total expenditure = revenue expenditure + capital 'Application of Funds'. FY2015-16: 128,089.61 / (132,746.25 + 79,615.98 = 212,362.23) = 60.32%. FY2016-17: 142,618.71 / (146,365.27 + 84,263.00 = 230,628.27) = 61.84%. Average 61.08%, which would score 6.11. (ii) Revenue expenditure only as the denominator: 96.49% and 97.44%, average 96.97%, which would score 9.70. | EVIDENCE: BWSSB-29, Annual Report 2016-17 (paper laid in the Karnataka Legislative Council), p.110 (repeated on p.54), 'REVENUE ACCOUNTS FOR 2016-17', Rs lakh. Income: Water Revenue including Meter Hire 108,668.60 (2015-16) / 119,559.61 (2016-17); Other Income 19,421.01 / 23,059.09; TOTAL 128,089.61 / 142,618.71. Expenditure TOTAL 132,746.25 / 146,365.27, which includes Depreciation 19,123.94 / 21,222.04 and Interest 30,254.16 / 30,223.48. pp.111-112, Capital Accounts: sources of funds are government loans, KUIDFC loans and grants (BBMP, BDA, GoK/JnNURM, World Bank, CWSS) plus 'Prorata Capitalised' 73,521.68 / 29,631.76. Application of Funds TOTAL 79,615.98 / 84,263.00. p.89, overal</t>
  </si>
  <si>
    <t xml:space="preserve">a Water Revenue including Meter Hire 108668.60 119559.61 b Other Income 19421.01 23059.09 TOTAL 128089.61 142618.71</t>
  </si>
  <si>
    <t xml:space="preserve">I left the score blank. Under the rules this is 'not found', not a 0. The only financial data in the Citation Sheet is the BWSSB Annual Report 2016-17 (BWSSB-29). It covers only FY2015-16 and FY2016-17. I searched the Citation Sheet for recent budgets or actuals and found none for BWSSB after FY2016-17. The full Detailed Methodology for SC1 was not given to me, so I could not check the exact ratio or band rule. Step 2's reading of the source is correct. Revenue Accounts income totals (Rs lakh): 128,089.61 for 2015-16 and 142,618.71 for 2016-17. Revenue expenditure totals: 132,746.25 and 146,365.27. These include depreciation of 19,123.94 / 21,222.04 and provisions of 118.32 / 7,398.60. Capital Application of Funds totals: 79,615.98 and 84,263.00. Reasons I did not score: (1) The data is about 9 years old. This is an Implementation-type financial ratio, so it is not evidence of the current period (roughly FY2022-23 to FY2024-25). (2) The ratio depends on which denominator is used. Revenue plus capital spending gives an average of about 61.1% (a score of about 6.1). Revenue spending only gives about 97.0% (about 9.7). There are also open questions about whether non-cash depreciation and provisions count as expenditure. (3) It is unclear whether 'Prorata Capitalised' counts as own revenue: 73,521.68 / 29,631.76, booked in the capital account. (4) 'Other Income' (19,421.01 / 23,059.09) is not broken down, so I cannot confirm it contains no grants. (5) The budget table on p.89 shows 2015-16 revenue receipts of 112,476.34, which does not match the 128,089.61 in the accounts. For a person to score this, they need BWSSB's audited accounts or its Annual Financial Statement (s.17, BWSS Act 1964) for the latest completed financial years, plus the SC1 methodology's definitions of own revenue and total expenditure.</t>
  </si>
  <si>
    <t xml:space="preserve">Step 2 found no evidence: a source needs to be found and added. Step 2 found no evidence (Insufficient Evidence). Source needed: Any one of these, for at least 2 and ideally the latest 3 completed financial years: BMTC's audited annual accounts or annual reports (as tabled in the Karnataka Legislature under RTC Act s.33(4)), or BMTC's annual budget documents. Each needs (a) traffic revenue, (b) non-traffic or commercial revenue, (c) government grants, subsidies and reimbursements shown separately so they can be left out, and (d) total revenue and capital expenditure. A CAG audit report on Karnataka state PSUs or corporations that covers BMTC would also work.</t>
  </si>
  <si>
    <t xml:space="preserve">Step 2 found no evidence: a source needs to be found and added. Step 2 found no evidence (Insufficient Evidence). Source needed: BDA's audited annual statements of accounts, or its approved budgets showing actual figures (income and expenditure statements), for at least 2 and ideally the latest 3 completed financial years. These need to show receipts by source (site sales, rents, property tax under s.28B, betterment tax, fees, interest) separately from Government grants (s.40(2)(b)), contributions from the Corporation or local authorities (s.40(2)(c)) and borrowings (s.39), plus total expenditure. Possible sources: the audited accounts laid before the Karnataka Legislature under s.47(5) (legislature papers-laid pages), BDA's own published accounts, or the BDA reports to Government under s.47A.</t>
  </si>
  <si>
    <t xml:space="preserve">SC2</t>
  </si>
  <si>
    <t xml:space="preserve">ANSWER: The Citation Sheet cannot give a per-capita capital expenditure for the latest completed FY. Its only BWSSB capital-expenditure figures are for FY 2016-17, nearly ten years out of date. For that year only, BWSSB's Capital Account shows total application of funds of 84,263.00. The units are not printed on that page; I read them as Rs lakh, because the budget table in the same report is stated in Rs lakh. That is about Rs 842.63 crore. Dividing by the report's own 2011 Census population for the Bangalore Metropolitan Area (96 lakh) gives Rs 8,42,63,00,000 / 96,00,000 = about Rs 877.74 per person (FY 2016-17, past year only). This is not the figure the question asks for, and it is not scored. | EVIDENCE: (1) BWSSB-29, Annual Report 2016-17, paper laid in the Karnataka Legislative Council. Capital Accounts for 2016-17 (pp. 55-56 Kannada part / pp. 111-112 English part), signed by the Assistant Controller (Accounts) and the FA &amp; CAO. Application of funds for 2016-17: Project Expenditure 41,726.69; Improvement Works of Board 7,157.76; Mega City Works (Raw Water Transmission) 1,607.71; Capital Works of Board 22,007.04; BBMP 1,737.86; BDA 2,256.07; Other Private Agencies/Govt. Organisations 2,102.62; GBWSS Project 1,903.30; KMRP-UGD Works 3,763.94; 'TOTAL 79615.98 84263.00' (2015-16, 2016-17). (2) BWSSB-29, Board meeting of 10-03-2017, budget table 'Rs. In Lakhs' (pp. 32/89). Capital Account payments: 62,765.81 (2015-16 actual), 1,69,581.10 (2016-17 budget estimate), 78,407.4</t>
  </si>
  <si>
    <t xml:space="preserve">TOTAL 79615.98 84263.00</t>
  </si>
  <si>
    <t xml:space="preserve">Score left blank. Five reasons follow. (1) Wrong period. SC2 asks for per-capita capital expenditure in the latest completed financial year (FY 2025-26, or at least FY 2024-25, as of September 2026). The only BWSSB capital-expenditure figures in the Citation Sheet are from the Annual Report 2016-17 (BWSSB-29). That report shows total Application of Funds of 84,263.00 for 2016-17, from the BBMP era. A search of the whole Citation Sheet for capex or budget figures from 2024-25 or 2025-26 found nothing. The two GBA amendment bills (BWSSB-23, BWSSB-28) contain only 'no extra expenditure' financial memoranda. The website pages (BWSSB-01 and others) link to Schedule of Rates (SR) documents, not accounts. A figure nearly ten years old cannot stand in for current capital expenditure. (2) Units. The Capital Account page does not print its units. Step 2 reads them as Rs lakh from the budget table in the same report, which is plausible, but a person should confirm. (3) Definition. The 84,263.00 total includes deposit works paid for by grants from BBMP, BDA and other bodies (lines f, g, h, totalling 6,096.55). A person needs to decide whether these count as BWSSB's own capital expenditure. (4) Population. The sources give three different population figures: 96 lakh (2011 Census, as quoted in BWSSB-29), 8.499 million (the BWSSB-07 projection table) and 12.9 million 'served' (undated). None is a dated official figure for the current service area after the restructuring under the Greater Bengaluru Governance (GBA) Act (BWSSB-04). (5) Peer rank. Step 2 says SC2 is scored by percentile rank against other assessed water-supply boards, and no peer data is in the Citation Sheet. This is a RUBRIC-GAP and needs confirmation. I checked Step 2's arithmetic against the source: the line items and total 84,263.00 match pp. 111-112, and Rs 842.63 crore over 96 lakh people gives about Rs 877.74 per person for FY 2016-17 only. That figure is for information and is not scored. Missing evidence: audited accounts or budget of BWSSB for FY 2024-25 or 2025-26, a dated population for the service area, and peer per-capita figures. Since the evidence is missing rather than shown to be absent, no 0 is given.</t>
  </si>
  <si>
    <t xml:space="preserve">Step 2 found no evidence: a source needs to be found and added. Step 2 found no evidence (Insufficient Evidence). Source needed: Needed: (a) BMTC's audited annual accounts, annual administrative report or capital budget for the latest completed FY, showing capital expenditure (capex or additions to fixed assets) in rupees; (b) the latest Census figure, or an official population projection, for the area BMTC serves, plus the notification that defines that area (for example, the one establishing BMTC under s.3 of the Road Transport Corporations Act, 1950).</t>
  </si>
  <si>
    <t xml:space="preserve">Step 2 found no evidence: a source needs to be found and added. Step 2 found no evidence (Insufficient Evidence). Source needed: Three things are needed: (1) BDA's audited annual accounts or annual report for the latest completed FY (published under s.47(5) or laid under s.47A), showing capital expenditure separately from revenue expenditure, or BDA's budget showing actual capital expenditure for that FY; (2) a Census 2011 population figure, or a recent official projection, for the area BDA serves (the Bangalore Metropolitan Area as defined under the BDA Act, or the area left after the Greater Bengaluru Area is carved out), with its source named; (3) an official notification confirming BDA's current jurisdiction, i.e. whether the 2025 amendment to the Town and Country Planning Act has been enacted and brought into force.</t>
  </si>
  <si>
    <t xml:space="preserve">Step 2 found no evidence: a source needs to be found and added. Step 2 found no evidence (Insufficient Evidence). Source needed: Three things are needed. (1) BMRCL's audited annual report or financial statements for the latest completed FY (FY 2025-26, or FY 2024-25 if FY 2025-26 accounts are not yet adopted), giving capital expenditure (cash-flow purchase of PPE/CWIP, or additions to PPE plus the change in CWIP), ideally with the capital budget. (2) An official population figure for BMRCL's service area: Census 2011 for the relevant area, or a state or Government of India official projection, with the source named. (3) A team decision on which jurisdiction counts as 'served' by the metro, plus SC-2 figures for other assessed metro or transport-corporation parastatals so a peer rank can be worked out.</t>
  </si>
  <si>
    <t xml:space="preserve">ANSWER: I could not work out GMRC's per-capita capital expenditure for the latest completed year (FY 2024-25). The sources do not give a capital-spending figure for that year, either for the whole company or for Surat. A population figure for Surat is available (Census 2011: 45,91,246), but there is no capital-spending figure to divide by it. | EVIDENCE: (1) GMRC-05, the 15th Annual Report 2024-25 (audited accounts, auditor's report dated 11/08/2025). Its contents list a Cash Flow Statement on pages 95-96, but no readable text from that statement came back from repeated searches. The Board's Report, page 8 of 152 ('Additional Financial Information', Rs lakh, company-wide), gives only year-end balances, not money spent in the year: capital work in progress 7,93,092.02 (2024-25) and 6,67,043.72 (2023-24); fixed assets, net block, 13,53,861.95 and 11,10,236.44; intangible assets, net block, 44,164.50 and 44,954.52. These balances cannot be turned into the year's spending without the additions or depreciation figures, which I did not have. The report also covers Ahmedabad Phase-I and II and Gandhinagar, so a company-wide figure is not Surat-specific. Funding flows during the year (Surat AFD loan EUR 83.69 million / Rs 752.33 crore, and KfW EUR 116.54 million / Rs 1,047.44 crore, disbursed up to 31.03.2025) are borrowing, not spending. (2) GMRC-03, the RTI Section 4(1)(b) disclosure, Chapter 11: for Surat Metro Rail Project Phase-I, sanctioned cost Rs 12,020.32 crore and spending </t>
  </si>
  <si>
    <t xml:space="preserve">Capital Work in Progress 7,93,092.02 6,67,043.72 3,28,119.57</t>
  </si>
  <si>
    <t xml:space="preserve">I left the score blank. The Citation Sheet does not give a capital spending figure for GMRC for FY 2024-25, so per-capita capital expenditure cannot be worked out. A score also needs a rank against peer agencies, which is not in the sheet.
What I checked:
(1) GMRC-05 (15th Annual Report, FY 2024-25, audited, era n/a). The only financial figures are year-end balances for the whole company, in Rs lakh: capital work in progress 7,93,092.02 (FY 2024-25) against 6,67,043.72 (FY 2023-24); net block 13,53,861.95 against 11,10,236.44. These are balances, not spending in the year. The change in them cannot be read as spending without the PPE/CWIP additions, the transfers out of CWIP and depreciation. My own searches for the Cash Flow Statement (pages 95-96) returned no readable investing-activity lines. Those pages look like scanned images: VERIFICATION-LIMIT, not a negative finding.
(2) GMRC-06 (FY 2023-24) does have a readable cash-flow statement around page 96. But it covers FY 2023-24 and FY 2022-23, not the latest completed year.
(3) GMRC-03 (RTI s.4(1)(b) disclosure) gives Rs 8,751.76 crore spent on Surat Phase-I up to 31.03.2026, marked provisional and unaudited. That is a running total since the project began, not one year's spending.
(4) GMRC-08 (DPR, Dec 2018) gives Surat's Census 2011 population as 45,91,246. That is enough for the population side, but there is no spending figure to divide by it.
The Step 2 answer is consistent with these sources.
The team needs to decide:
(a) the jurisdiction. GMRC's accounts cover the whole company (Ahmedabad Phase-I and II, Gandhinagar and Surat). The Surat Phase-I share would have to be separated out, or the team must confirm using company-wide spending over the population of all cities served.
(b) whether a metro that is still being built (Surat Phase-I is under implementation) should be ranked against operating transport corporations.
(c) the peer ranking itself.
For the reviewer: read pages 95-96 of the GMRC-05 PDF by hand to get the FY 2024-25 investing cash outflow (purchase of PPE/CWIP), or file an RTI asking for Surat Phase-I capital spending in FY 2024-25.</t>
  </si>
  <si>
    <t xml:space="preserve">SC3</t>
  </si>
  <si>
    <t xml:space="preserve">ANSWER: No score. The Citation Sheet has BWSSB budget figures and account figures for the same year only for FY 2016-17. The method needs at least 2 years and asks about current practice. As an illustration only, FY 2016-17 actual spending was about 34.56% below the original budget across revenue and capital combined (above the 15% threshold), but this cannot be scored. | EVIDENCE: (1) BWSSB-29, Annual Report 2016-17, Board meeting of 10-03-2017, Subject No. 12, pp. 32-33 / 89 (Rs lakh). FY 2016-17 Budget Estimate: revenue expenditure 182,839.67; capital payments 169,581.10. Revised Estimate: revenue 160,824.35; capital 78,407.44. FY 2015-16 actuals are shown, but the 2015-16 budget is not, so 2015-16 cannot be compared. (2) BWSSB-29, Accounts for 2016-17 signed by the Assistant Controller (Accounts) and FA &amp; CAO, pp. 54-56 / 110-112 (Rs lakh). Revenue Accounts 2016-17 total expenditure 146,365.27, including depreciation of 21,222.04 and provisions of 7,398.60. Capital Accounts 2016-17 'Application of Funds' total 84,263.00. Illustrative FY 2016-17 variance, original budget vs accounts: revenue |146,365.27 - 182,839.67| / 182,839.67 = 19.95%; capital |84,263.00 - 169,581.10| / 169,581.10 = 50.31%; combined |230,628.27 - 352,420.77| / 352,420.77 = 34.56%. (3) BWSSB-02, BWSSB Act 1964, s.17: each February the Board must submit to the State Government a statement of estimated capital and revenue receipts and expenditure, which is laid before both Houses. This shows where budget </t>
  </si>
  <si>
    <t xml:space="preserve">The Overall position of the Board for the FY 2016-17 (Revised Estimates) and FY 2017-18 (Budget Estimates) is as follows: (Rs. In Lakhs)</t>
  </si>
  <si>
    <t xml:space="preserve">The score is left blank because there is not enough evidence. This is a 'not found' result, not a 0.
I checked the Step 2 answer against the source and it holds. BWSSB-29 is the BWSSB Annual Report for 2016-17, laid in the Karnataka Legislative Council. It is the only source in the Citation Sheet that has both a BWSSB budget estimate and account figures for the same year, and it covers only FY 2016-17. I searched the whole sheet again ('budget estimates actuals annual financial statement') and found no other budget or actuals data for BWSSB. BWSSB-02 (BWSSB Act 1964) only sets the duty to prepare the annual financial statement. BWSSB-33 is about the Ground Water Authority, a different body.
FY 2016-17 Budget Estimate, Rs lakh: revenue expenditure 182,839.67; capital payments 169,581.10.
FY 2016-17 accounts, Rs lakh: revenue expenditure 146,365.27 (this includes depreciation of 21,222.04 and provisions of 7,398.60). Capital 'Application of Funds' total is 84,263.00, as reported by Step 2. I could not see that total in the shown excerpt, which is cut off.
For illustration only, the gap between budget and accounts is:
- revenue about 19.95%
- capital about 50.31%
- combined about 34.56%
All three are above the 15% threshold. The FY 2015-16 actuals are shown, but the FY 2015-16 budget estimate is not, so a second year cannot be compared.
Reasons the score is blank:
1. The method needs at least 2 financial years. Only 1 can be compared.
2. The evidence is from FY 2016-17, so it does not show current practice.
3. The budget and the accounts use different bases. The accounts are accrual-based and include depreciation and provisions. The budget's capital 'payments' heads do not map clearly to the accounts' 'Application of Funds' heads. The budget's '2015-16 actuals' revenue figure (130,882.47) does not match the 2015-16 Revenue Accounts (132,746.25).
4. The report does not say whether the accounts are audited.
For the team to confirm:
- How variance should be measured: original Budget Estimate vs Revised Estimate, total vs revenue only, and whether accrual accounts can be compared with the budget.
- The band rule (within 15% gives 10, over 15% gives 0).
RTI target: ask the BWSSB PIO (Finance Adviser &amp; Chief Accounts Officer) for the Annual Financial Statements (budget and revised estimates) and the audited accounts with audit reports for FY 2020-21 to FY 2024-25.</t>
  </si>
  <si>
    <t xml:space="preserve">Step 2 found no evidence: a source needs to be found and added. Step 2 found no evidence (Insufficient Evidence). Source needed: What would answer this: BMTC's approved budgets (budget estimates of total expenditure) and its audited annual accounts or annual reports for the same 2-5 completed FYs (ideally the latest 3, e.g. FY2021-22 to FY2023-24). Total budgeted and actual expenditure in each FY must be laid side by side. Possible sources: BMTC annual reports or accounts laid before the Karnataka Legislature, CAG audit reports on BMTC accounts, or the Transport Department's budget documents showing BMTC's approved budget.</t>
  </si>
  <si>
    <t xml:space="preserve">Step 2 found no evidence: a source needs to be found and added. Step 2 found no evidence (Insufficient Evidence). Source needed: For at least 2 and preferably the latest 3 completed FYs: BDA's sanctioned budget estimates (total expenditure, from the s.42-44 estimate as sanctioned by the Government), and BDA's audited annual accounts for the same years (s.47) showing actual total expenditure. These could come from the audited accounts and auditor's reports tabled in the Karnataka Legislature, BDA's annual report (s.47A), or a CAG/State Accounts audit report, compared side by side.</t>
  </si>
  <si>
    <t xml:space="preserve">Step 2 found no evidence: a source needs to be found and added. Step 2 found no evidence (Insufficient Evidence). Source needed: For at least 2 (ideally 3) recent completed FYs: BMRCL's Board-approved budget estimates (project capex plus O&amp;M), and the matching audited annual accounts or annual reports, compared side by side. Possible sources: BMRCL annual reports with a budget-vs-actual statement; Board budget papers; the Karnataka state budget documents or Urban Development Department papers showing BMRCL allocations and actual spending.</t>
  </si>
  <si>
    <t xml:space="preserve">Step 2 found no evidence: a source needs to be found and added. Step 2 found no evidence (Insufficient Evidence). Source needed: For at least 2 (ideally 3) recent financial years, BMRDA's approved budget estimates (and revised estimates, if any) and its audited annual accounts for the same years, side by side. Likely places: the 'Budget' page on BMRDA's official website, BMRDA annual reports tabled in the legislature (2023-24 and later) with audited statements, or the Controller of State Accounts audit reports on BMRDA.</t>
  </si>
  <si>
    <t xml:space="preserve">Step 2 found no evidence: a source needs to be found and added. Step 2 found no evidence (Insufficient Evidence). Source needed: SUDA's annual financial statements (Form N, budget and revised estimates) and its audited annual accounts or balance sheet (Form Q), or its annual reports under r.49, for at least 2 and preferably 3 recent completed FYs (e.g. FY2021-22 to FY2023-24). Budget and actual spending for the same FY need to be set side by side. Possible official sources: the Urban Development and Urban Housing Department, Government of Gujarat; SUDA's own website; or audit reports on SUDA's accounts.</t>
  </si>
  <si>
    <t xml:space="preserve">Step 2 found no evidence: a source needs to be found and added. Step 2 found no evidence (Insufficient Evidence). Source needed: GMRC's Board-approved annual budget (budget estimates and, if any, revised estimates of expenditure) for at least 2 of FY2022-23 to FY2024-25, to compare with the audited statements of profit and loss / cash flow and capital expenditure in the annual reports for the same years. Alternatively, a GoG Urban Development Department budget document showing GMRC's budgeted outlay, or a budget-vs-actual statement in a GMRC Board or CAG report.</t>
  </si>
  <si>
    <t xml:space="preserve">SC4a</t>
  </si>
  <si>
    <t xml:space="preserve">ANSWER: In the parts of the BWSSB Act I could read, I found no requirement for a medium-term (3-5 year) or long-term (more than 5 year) fiscal plan. Every financial-planning duty I found covers one year only: an annual financial statement under s.17 and an annual report under s.86(2). I could not confirm that the requirement is absent from the whole legal stack, so I have not proposed a score of 0. | EVIDENCE: (1) Parastatal enabling Act, BWSSB-02 (Bangalore Water Supply and Sewerage Act, 1964, PRS copy). Chapter III (Finance, Accounts and Audit, ss.16-25) was read. s.16(1): the Board 'shall levy rates...to provide sufficient revenue' for operating costs, loan repayment and 'year to year improvement'. This is a revenue-sufficiency rule, not a plan. s.17(1): 'In February of each year the Board shall submit to the State Government a statement...of the estimated capital and revenue receipts and expenditure for the ensuing year'. That is one year only. s.17(5): an optional supplementary statement. s.18: limits on spending not in the budget. ss.19-22: grants, loans, borrowing with prior State approval, capped at Rs 10 crore unless notified. s.24/24A: depreciation and improvement reserves. s.25: accounts and audit. None of these mentions a multi-year fiscal plan. s.86(2): an annual report that also covers activities 'likely to be undertaken...in the next financial year', so again one year. s.87(2) (rule-making list, read in part): (c) form of the annual financial statement; (d) bor</t>
  </si>
  <si>
    <t xml:space="preserve">17. Annual financial statement. —(1) In February of each year the Board shall submit to the State Government a statement in the form prescribed by 1[regulations]1 of the estimated capital and revenue receipts and expenditure for the ensuing year.</t>
  </si>
  <si>
    <t xml:space="preserve">Score left blank. Nothing found in the Act, but absence across all legal layers is not proven. The question asks about a legal requirement for a medium-term (3-5 year) or long-term (more than 5 year) fiscal plan. This is a likely 0, but not confirmed.
What I checked in BWSSB-02 (BWSSB Act, 1964, PRS copy with amendments appended up to Act 29 of 2021):
- I re-read the source and agree with the Step 2 answer. Every financial-planning duty covers one year only:
  - s.16(1): revenue must be sufficient, including for 'year to year improvement'. This is a revenue rule, not a plan.
  - s.17(1): an annual financial statement 'for the ensuing year'.
  - s.17(5): a supplementary statement, which is optional ('may').
  - s.18: limits on spending not in the budget.
  - ss.19-22: grants, loans, borrowing and guarantees.
  - ss.24-24C: reserves and write-offs.
  - s.25: accounts and audit.
  - s.86(2): an annual report covering past activities and 'the next financial year' only.
- I also read the two sections Step 2 could not finish:
  - s.15(2)(b)-(c) is a duty to prepare and carry out water and sewerage 'schemes'. It sets no time period and is not a fiscal plan. The s.15(2) proviso requires State approval for schemes over Rs 1 crore.
  - s.88(1)(a)-(f) lists what Board regulations may cover: administration of funds and accounts, meetings, staff, fines, tenders, and other matters. It says nothing about a multi-year fiscal plan.
- s.87(2)(c)-(g) (rule-making powers) covers only the form of the annual statement, borrowing, stock, publishing accounts and the annual report.
- s.89A lets the State give funding directions for individual projects. That is project funding, not a fiscal plan.
- No section of the Act requires a fiscal plan of fixed length beyond one year.
Why I did not score 0:
- The Rules made under s.87 and the Board Regulations made under s.88 (for example, the regulations on the form of the financial statement under ss.17 and 25) are not in the Citation Sheet.
- BWSSB-38 shows that BWSSB Regulations exist and have been amended (amendments to Regs 2, 5, 7, 28 and 36; new Regs 4A and 55A). Their full text is not in the sheet, so I could not read them. Absence in the Act alone is not affirmative absence across the whole legal stack.
- The Act text is a secondary PRS copy.
- I was not given the question's detailed methodology or rubric bands, so I cannot confirm which band a 'no requirement' finding maps to.
BWSSB-04 (GBA Act 2024, s.187 and s.2(42)): the medium-term fiscal plan there binds the City Corporations, not BWSSB. It must not be credited to this agency.
For the team:
(1) Get and read the Rules under s.87 and the Board Regulations under s.88, especially on finance and accounts.
(2) Decide whether the question bank lets a 0 rest on the enabling Act alone. If it does, the Act evidence above supports 'no requirement'.</t>
  </si>
  <si>
    <t xml:space="preserve">ANSWER: No. BMTC's enabling Act, the Road Transport Corporations Act, 1950, does not require a medium-term (3-5 year) or long-term (&gt;5 year) fiscal plan. Its only financial-planning duty is a budget for one year at a time (s.32(1)). Two layers of the law are missing from the Citation Sheet: the Karnataka Rules made under the Act and BMTC's own Regulations. So the absence cannot be confirmed across the whole legal framework yet, and no score is proposed. | EVIDENCE: (1) RTC Act, 1950 (BMTC-02). s.32(1): every Corporation 'shall ... prepare and submit to the State Government for approval a budget for the next financial year showing the estimated receipts and expenditure during that financial year'. s.32(2)-(4) deal only with spending within the approved current budget, moving money between budget heads, and spending beyond it. s.44(2)(i): Rules may set only 'the date by which, and the form in which, the budget shall be prepared and submitted in each year under sub-section (1) of section 32'. s.35(2): an annual report 'on its policy and programme', which is not a fiscal plan. s.30: profits 'may be utilised for financing the expansion programmes', which is discretionary and has no time horizon. s.17(2)(f): a subsidiary corporation must submit its capital budget, revenue budget and 'annual development plans' to the parent Corporation. These are yearly, not multi-year. A search of this source for 'medium term', 'five year' and 'plan' found no multi-year fiscal-plan duty. (2) Other </t>
  </si>
  <si>
    <t xml:space="preserve">I left the Score blank because the evidence does not yet support either band. The Step 2 answer matches the source. In the Road Transport Corporations Act, 1950 (BMTC-02) as amended, including Acts 28 of 1959, 63 of 1982 and 4 of 2005, the only financial-planning duty is a budget for one year at a time under s.32(1) ('shall ... a budget for the next financial year'). s.32(2)-(4) cover spending within that budget, moving money between budget heads, and spending beyond it. s.44(2)(i) lets Rules set only 'the date by which, and the form in which, the budget shall be prepared and submitted in each year'. The other provisions do not create a multi-year fiscal plan either. s.35(2) is a yearly report on 'policy and programme'. s.30 says profits 'may' be used for 'expansion programmes', which is optional and has no time span. s.17(2)(f) covers the yearly capital budget, revenue budget and 'annual development plans' of subsidiary corporations. None of this is a required plan of 3-5 years or more than 5 years, so the 5 band is not met in the Act. A 0 needs AFFIRMATIVE ABSENCE across the whole set of instruments (rule 5), and that check cannot be completed. BMTC-20, BMTC's 'Rules And Regulations' page, lists 'KSRTC Rules, 1961' and several KSRTC Regulations. Only the link titles are in the Citation Sheet, not their text, so the Rules made under s.44 cannot be checked. s.44(2)(n) ('any other matter') means the Rules could say more than the date and form of the budget. Also missing: BMTC's own Regulations under s.45, BMTC's constitution notification, and any state government order requiring a multi-year corporate or fiscal plan. What I checked: BMTC-02 (ss.17, 30-35, 44, 45, read with targeted queries); BMTC-20 (list of links only); BMTC-04 (the Greater Bengaluru Governance Act: the medium-term fiscal plan in ss.2(42), 187 and 189 applies to the City Corporation only); BMTC-06 (BMLTA Act ss.24-25: the investment program is 'short to medium term' with no number of years, and it is not BMTC's enabling Act); and searches of the whole Citation Sheet for 'medium term', 'five year' and 'corporate plan'. If the team decides that the enabling Act alone settles this question (Step 2 says the evidence requirement is 'Enabling act'), the matching band would be 0. Under v2 rules that needs the team's confirmation after the KSRTC Rules, 1961 and BMTC's Regulations have been read. One more point for the team: the copy of the RTC Act is hosted on the Telangana Transport Department site and does not say when it was consolidated.</t>
  </si>
  <si>
    <t xml:space="preserve">ANSWER: The BDA Act, 1976 (PRS text, with amendments appended up to Act 42 of 2026) does not require a medium-term (3-5 year) or long-term (more than 5 year) fiscal plan. Its only budget instrument is a yearly estimate of income and expenditure for the coming financial year (ss.42-46). The Act layer therefore shows affirmative absence. I cannot say whether the BDA Rules or Regulations require a multi-year plan, because they are not in the Citation Sheet. | EVIDENCE: (1) BDA Act, 1976 (BDA-02), Chapter V 'Property and Finance', ss.37-48, read in full. s.39: borrowing needs Government sanction. ss.40-41: Bangalore Development Fund. s.42(1): the Commissioner 'shall... in each year, lay before the Authority an estimate of the income and of the expenditure of the Authority for the year commencing on the first day of April then next ensuing'. s.43: the Authority approves the estimate. s.44: the Government sanctions it. s.45: supplementary estimates. s.46: no spending outside a sanctioned estimate. s.47: annual accounts and audit. s.47A: reports 'as may be prescribed'. None of these sets a multi-year horizon. (2) s.69, rule-making list (a)-(j): no multi-year fiscal plan item. Clause (j) covers 'any other matter... prescribed'. (3) s.70, Regulations: covers meetings, contracts, service conditions and procedure, but not fiscal planning. (4) Arrangement of sections: no section on a fiscal plan. s.27 ('execute the scheme within five years') is a deadline for carrying out development sch</t>
  </si>
  <si>
    <t xml:space="preserve">The 1[Commissioner]1 shall, at a special meeting to be held not later than the first day of February in each year, lay before the Authority an estimate of the income and  of the expenditure of the Authority for the year commencing on the first  day of April then next ensuing</t>
  </si>
  <si>
    <t xml:space="preserve">Score left blank. Under the v2 rules, a 0 needs affirmative absence in every layer of the law, and the Rules layer is missing.
What I checked in BDA-02 (PRS copy of the BDA Act 1976, with amendments appended up to Karnataka Act 42 of 2026, published 07.09.2026):
- Chapter V 'Property and Finance', ss.37-48.
- The only budget instrument is a yearly estimate. s.42(1): the Commissioner 'shall… in each year' lay an estimate 'for the year commencing on the first day of April then next ensuing'. ss.43-44: the Authority approves it and the Government sanctions it. s.45: supplementary estimates. s.46: no spending outside a sanctioned estimate. s.47: annual accounts and audit. s.47A: reports 'as may be prescribed'.
- s.39 is about borrowing, not planning.
- s.27 is a 5-year deadline for carrying out schemes. It is not a fiscal plan.
- The arrangement of sections lists no multi-year fiscal plan.
- s.69(2)(a)-(j), the rule-making list, does not mention fiscal planning. Clause (j) is a catch-all.
- s.70, the regulation-making power, does not mention fiscal planning.
- Amending Act 42 of 2026 changes only s.10 and s.38D.
- So the Act layer has no medium-term (3-5 year) or long-term (more than 5 year) fiscal plan requirement.
Why I did not score 0:
- No BDA Rules or Regulations made under ss.69-70 are in the Citation Sheet. My search of the sheet for BDA Rules or a fiscal plan found none.
- Rules could hold budget or planning provisions, including through s.47A reports 'as may be prescribed'.
- Amending Act 27 of 2020 is appended mainly in Kannada and could not be fully read.
- BDA-30 is an older PRS copy of the same Act.
- Other sources, for contrast only: BDA-06 (KTCP Act s.68B) requires a yearly Planning Authority budget, which is also single-year. BDA-03 (GBA Act ss.187 and 189) sets a medium-term fiscal plan for City Corporations only, and must not be credited to BDA.
For the reviewer:
- Confirm whether the Detailed Methodology limits this question to the 'enabling act'. If it does, the evidence supports 0 (ss.42-46 give a yearly estimate only).
- Otherwise, get the BDA Rules and Regulations (Karnataka gazette or the Urban Development Department) and check them for a multi-year fiscal plan.
- The source is a secondary PRS compilation. Amendments are appended, not consolidated into the text.</t>
  </si>
  <si>
    <t xml:space="preserve">Step 2 found no evidence: a source needs to be found and added. Step 2 found no evidence (Insufficient Evidence). Source needed: Needed: BMRCL's Memorandum and Articles of Association (its founding instrument as a company) and any GoI/GoK order or MoU requiring a corporate or medium-term financial plan. Also needed: the BMLTA Rules and Regulations, and the notification bringing the BMLTA Act into force. Together these would show whether any binding instrument requires BMRCL to prepare a fiscal plan with a defined 3–5 year or longer horizon.</t>
  </si>
  <si>
    <t xml:space="preserve">Step 2 found no evidence: a source needs to be found and added. Step 2 found no evidence (Insufficient Evidence). Source needed: The full text of the Bangalore Metropolitan Region Development Authority Act, 1985 (Karnataka Act 39 of 1985), current amended version, especially its finance, budget, accounts and borrowing sections. Also any Rules made under it, and the BMRDA Regulations of 1996, 1999 and 2000 (amendment). All should come from the Karnataka legislation portal, the eGazette, or BMRDA's 'Acts and Rules' page.</t>
  </si>
  <si>
    <t xml:space="preserve">ANSWER: I could not determine this. The readable layer of the sources, the Gujarat Town Planning and Urban Development (GTPUD) Rules, 1979, requires SUDA to prepare only an annual budget and an annual programme of work, each covering just the next financial year. Nothing found in the Rules requires a 3-5 year or longer fiscal plan. However, the enabling Act's own budget section (s.94 of the GTPUD Act, 1976, referred to in the heading of rule 47) could not be read, so I cannot confirm that the Act has no such requirement. | EVIDENCE: (1) GTPUD Act 1976 (SUDA-01, PRS copy with amendments up to Act 14 of 2019): pages 2-86, which hold the principal Act, are scanned images with no extractable text. Only the amending Acts (pages 87 onwards) are readable, and none of them touches the budget or financial planning. SUDA is constituted under this Act (SUDA-13, p.2: 'Constituted under the Gujarat Town Planning and Urban Development Act, 1976 on 31.01.1978'). (2) GTPUD Rules 1979 (SUDA-03): rule 47 is headed 'Budget and Programme of work under section 94'. Rule 47(1) requires the authority to submit to the State Government 'before 1 st day of February of each year the annual Financial Statement and programme of work ... for the succeeding financial year'. Rule 47(2) sets Form N (annual financial statement) and Form O (annual programme of work). Form N looks backwards, showing actuals for the previous three years, current-year budget and revised estimates, and the next year's estimates; i</t>
  </si>
  <si>
    <t xml:space="preserve">The appropriate authority shall submit to the State Government for approval before 1 st day of  February of each year the annual Financial Statement and programme of work, in triplicate for the succeeding financial year.</t>
  </si>
  <si>
    <t xml:space="preserve">I left the score blank because the evidence can't decide it. I agree with the Step 2 answer, and the source supports it.
What the sources show:
(1) GTPUD Rules 1979 (SUDA-03), rule 47(1): SUDA 'shall submit' an annual Financial Statement and programme of work 'for the succeeding financial year'. That covers one year only.
(2) Form N (annual financial statement) shows actuals for the previous three years, the current-year budget and revised estimates, and estimates for the next year only. It has no forward projections over several years.
(3) Form O (annual programme of work) and rule 47(4) (a note on progress and the financial implications of each work) are also tied to one year.
(4) Rule 49 (annual report and half-yearly progress report) looks backwards.
(5) Rule 21 asks for cost estimates and completion dates for single town planning schemes. That is not a fiscal plan for the authority as a whole.
On the Rules alone, nothing requires a fiscal plan of 3-5 years or longer, so the top band is not met on what can be read.
Why I did not give 0: a 0 needs proof that the requirement is absent from every layer, and that proof is missing. Rule 47 is made under section 94 of the GTPUD Act 1976, but the principal Act in SUDA-01 (PRS copy, pages 2-86) is scanned images with no readable text. I re-checked SUDA-01 with searches for 'section 94 budget' and 'estimate of receipts and expenditure'. They returned only the readable amending Acts (2017, 2019), and none of those touches budgeting or financial planning. So sections 94 and 95 of the Act could not be checked.
Other sources: SUDA-14 (DP 2035, s.20.5, 'long term fiscal planning') is a policy statement in SUDA's development plan, not a legal requirement, so I gave it no credit. SUDA-04 is the city corporation's law, not SUDA's enabling Act, so it doesn't apply. SUDA-05, 13, 21, 23 and 24 are not fiscal-planning law.
Checked: SUDA-03 rules 21, 45-49 and Forms N, O and P; SUDA-01 readable amending Acts; SUDA-14 s.20.5; a search across the whole sheet.
For the team:
- Get a text-searchable official copy of the GTPUD Act 1976 (sections 94-95) from Gujarat's Urban Development Department or Legislative Department, or the gazette.
- Confirm whether the Rules copy includes amendments after 1987.
- If section 94 also turns out to require only an annual budget, the evidence would support 0. Confirm that band and the 0-5 scale against the Detailed Methodology, which was not shown to me in full.</t>
  </si>
  <si>
    <t xml:space="preserve">Step 2 found no evidence: a source needs to be found and added. Step 2 found no evidence (Insufficient Evidence). Source needed: GMRC's Memorandum and Articles of Association (current amended version), plus any shareholders'/JV agreement between GoI and GoG on GMRC's finances, to see whether they require a corporate or financial plan of 3-5 years or longer. Also the full text of the Metro Railways (Operation and Maintenance) Act 2002 and Metro Railways (Construction of Works) Act 1978 with their Rules, and the Metro Rail Policy 2017, to check for any binding multi-year fiscal-plan requirement for metro SPVs.</t>
  </si>
  <si>
    <t xml:space="preserve">SC4b</t>
  </si>
  <si>
    <t xml:space="preserve">Step 2 found no evidence: a source needs to be found and added. Step 2 found no evidence (Insufficient Evidence). Source needed: Someone needs to review BWSSB's own website directly: the 'Budget' page, the 'Accounts' page and the Documents section. They should check whether a multi-year fiscal or financial plan (3-5 year medium-term or &gt;5 year long-term projections of revenue and expenditure), or a published Vision 2050 / strategic master plan with financial projections, is posted, and record its date and the years it covers.</t>
  </si>
  <si>
    <t xml:space="preserve">Step 2 found no evidence: a source needs to be found and added. Step 2 found no evidence (Insufficient Evidence). Source needed: What would answer it: a full check of BMTC's official website (sitemap, Annual Administrative Report, Presentations, 'More about BMTC' and any finance or reports section) for a published corporate plan, multi-year business or financial plan, or medium-term fiscal framework with 3-5 year receipt and expenditure projections. A score of 0 needs that whole check to be done and recorded. Failing that, a BMTC or Transport Department document confirming whether such a plan exists.</t>
  </si>
  <si>
    <t xml:space="preserve">Step 2 found no evidence: a source needs to be found and added. Step 2 found no evidence (Insufficient Evidence). Source needed: A dated capture of BDA's official website (budget, finance, accounts or publications section) showing whether a medium- or long-term fiscal plan or multi-year financial projection is posted, or confirming that none is. Also needed: proof that the website is BDA's official domain, through a link from a Karnataka government (.gov.in or .nic.in) page. A medium-term plan adopted by the BDA board or sanctioned by the Government would help identify the document, but credit depends on it being published on BDA's website.</t>
  </si>
  <si>
    <t xml:space="preserve">Step 2 found no evidence: a source needs to be found and added. Step 2 found no evidence (Insufficient Evidence). Source needed: BMRCL's own website, captured with a date, showing whether a medium- or long-term fiscal plan is published. Examples: a corporate plan, a multi-year financial plan or projections, or a business plan with receipts and expenditure projections, found in a finance, disclosures or reports section. Also the latest BMRCL annual reports (FY2022-23 to FY2024-25), and any BMRCL Sectoral Mobility Investment Program or Annual Implementation Plan submitted under BMLTA Act s.24-25, if published on BMRCL's site.</t>
  </si>
  <si>
    <t xml:space="preserve">Step 2 found no evidence: a source needs to be found and added. Step 2 found no evidence (Insufficient Evidence). Source needed: Someone needs to open BMRDA's 'Budget' and 'Budget and Annual Reports' pages, and the documents they link to, and check whether a multi-year (3-5 year) fiscal plan or medium-term financial projection is published. If the website has none, a statement from BMRDA's Accounts section on whether it prepares a medium-term fiscal plan would settle it.</t>
  </si>
  <si>
    <t xml:space="preserve">ANSWER: Not settled. SUDA's own website has a long-range planning document, the Development Plan 2035 (2017). Its Chapter 20 gives 20-year infrastructure cost estimates (total Rs 30,293 crore), two-phase capital costs for some sectors (2016-2025 and 2026-2035) and a written section on finance and resource mobilisation. It is not a fiscal plan for SUDA as an organisation. It has no year-by-year or multi-year revenue and expenditure projections, no funding plan matched against those costs, and no medium-term (3-5 year) framework. The plan itself says that carrying it out 'calls for long term fiscal planning', so it describes a need rather than presenting that planning. No other document on the Citation Sheet is a medium- or long-term fiscal plan. Whether a development plan's cost-estimate chapter counts as a 'fiscal plan' is a question for the methodology team. | EVIDENCE: SUDA-14 (DP 2035, PDF on sudaonline.org): (1) p.231 (plan page 214), Table 152 'Total cost estimates': infrastructure Rs 23,723 cr, road development Rs 1,470 cr, land acquisition of reservation land Rs 5,100 cr, total Rs 30,293 cr. (2) §20.4 Phasing: 'spread over 20 years'. (3) §20.5 Finance &amp; Resource Mobilisation: lists funding sources in words only (contributions from local authorities under s.24, development charges under ss.99-100, fees and user charges under s.23, Town Planning scheme land, paid FSI, government grants and loans, a revolving fund). The only figure is a rough paid-FSI calculation (about 1</t>
  </si>
  <si>
    <t xml:space="preserve">The implementation of the development plan calls for long term fiscal planning.</t>
  </si>
  <si>
    <t xml:space="preserve">Score left blank because the evidence does not clearly fit either band and a 0 is not supported.
What SUDA-14 (Development Plan 2035, report dated February 2017, era=n/a) actually contains, checked against the source:
- Chapter 20 gives 20-year capital cost estimates for the plan area. These are water supply (Table 140: Rs 2,748.5 cr for 2016-2025 and Rs 4,251.9 cr for 2026-2035), sewerage (Tables 144-145, investment by year: 2016, 2019, 2022, 2026, 2029, 2032), solid waste (Table 147), roads (Table 151) and land acquisition. The total is Rs 30,293 cr (Table 152).
- §20.4 says phasing will be 'spread over 20 years'. It gives no year-by-year schedule for the authority.
- §20.5 lists funding sources in words only: contributions from local authorities (s.24), development charges (ss.99-100), fees and user charges (s.23), land from Town Planning schemes, paid FSI, government grants and loans, and a revolving fund. The only figure is a rough paid-FSI estimate (about 16 sq.km x Jantri rate).
- §2.2 says the plan was meant to include an 'Investment plan' and 'Estimates of revenue and resources with respect to implementation of different stages'. The passages I read contain no such revenue projections.
- §20.5 itself says implementation 'calls for long term fiscal planning'. That states a need; it does not present the planning.
In short, this is a cost-estimate and funding-sources chapter of a spatial development plan. It is not an organisational medium- or long-term fiscal plan for SUDA with revenue and expenditure projections.
Why no score:
- RUBRIC-GAP: the question's Detailed Methodology and bands were not given to me. Whether a development plan's cost chapter counts as a 'fiscal plan' (top band) needs the methodology team to confirm.
- A 0 is not supported because absence is not established. The Citation Sheet does not cover SUDA's budgets, annual reports or a full review of its website. I searched the sheet for medium-term fiscal plans and revenue/expenditure projections and found nothing beyond SUDA-14. Other sources I checked, none of which is a fiscal plan:
  - SUDA-03: Rules 1979, Form N annual financial statement format.
  - SUDA-13: 2013 note starting the DP revision.
  - SUDA-23: rental housing tender.
  - SUDA-24: ease-of-doing-business sheet.
  - SUDA-05: GDCR.
  - SUDA-01: Act text, mostly scanned pages with no readable text.
  - SUDA-04: GPMC Act, which governs the city corporation, not SUDA.
  - SUDA-21: notification map.
For the reviewer to confirm:
(1) Whether DP cost estimates plus funding sources in words count as a medium/long-term fiscal plan for SC-4b.
(2) Proof that sudaonline.org is SUDA's official domain. No gov.in or nic.in link to it is in the sheet.
(3) Whether DP 2035 as published is the sanctioned, current version. This 2017 document is not evidence of the current fiscal-planning arrangement.
(4) A dated screenshot, as the question bank requires.</t>
  </si>
  <si>
    <t xml:space="preserve">ANSWER: Not determined. GMRC's website publishes no corporate medium-term (3-5 year) or long-term (&gt;5 year) fiscal plan for the company. The only forward-looking financial document found on the site is the Surat Metro Phase-1 Detailed Project Report (DPR). Its Chapter 20 projects year-by-year costs, revenue, loan repayment and cash for one project from 2019-20 to 2048-49. Whether a project's financial-viability chapter counts as GMRC's 'fiscal plan' is a methodology question for the team, so no score is proposed. | EVIDENCE: (1) GMRC-01, GMRC's official Reports &amp; Downloads page (gujaratmetrorail.com/reports/). It lists Annual Reports for 2014-15 to 2024-25, the MoA and AoA, ESIA/EIA/SIA reports, the Stakeholder Engagement Plan (SEP), the Environment and Social Management Plan (ESMP), the Gender Action Plan (GAP), DPRs for Ahmedabad Phases 1, 2, 2A and 2B and Surat Phase-1, alignment maps, sanction letters, the CSR Policy, a pension circular and an electrical standardisation report. None is titled or described as a fiscal, financial, corporate or business plan. (2) GMRC-08, the Surat Metro Rail DPR dated December 2018, prepared by DMRC and hosted on GMRC's site at Surat-DPR-2020_opt.pdf. Chapter 20, 'Financing Options, Fare Structure and Financial Viability', s.20.4.1 says: 'FIRR obtained for 30 years life cycle business model including construction period...'. Tables 20.9.1 and 20.14 give yearly outflows, inflows, loan repayment, interest and cumulative cash for 2019-20 to 20</t>
  </si>
  <si>
    <t xml:space="preserve">The Financial Internal Rate of Return (FIRR) obtained for 30 years life cycle business model including construction period without additional PD and TOD &amp; VCF Income is 6.90% and with additional PD and TOD &amp; VCF Income is 7.38%.</t>
  </si>
  <si>
    <t xml:space="preserve">I left the score blank. Two things are unresolved.
(1) RUBRIC-GAP/methodology question. The bands are 5 if a fiscal plan is published on the parastatal's website and 0 if it is not. The only forward-looking financial document in the Citation Sheet is the Surat Metro Phase-1 DPR (GMRC-08). It is dated December 2018 and was prepared by DMRC before the project was sanctioned. Chapter 20 projects yearly outflows and inflows for a 30-year life cycle, 2019-20 to 2048-49, plus the funding pattern and cash flows by financing option. I checked these against the source and they match. But it is a project appraisal for one project, not a GMRC-wide plan covering Ahmedabad and Surat, and it is not updated each year. Whether a project DPR's financial-viability chapter counts as the agency's medium or long-term 'fiscal plan' is a methodology call for the team. If the team says yes, the score would be 5. I did not want to read the term broadly without confirmation.
(2) A 0 is not available because absence is not confirmed:
- GMRC-03 (RTI s.4(1)(b) disclosure), Chapter 11 'Budget Allocation &amp; Expenditure', links a separate 'Budget-Allocation-Expenditure.pdf'. That file is not in the Citation Sheet, so it could not be read. The chapter's visible text shows only sanctioned project costs, the funding pattern by project and spending to date. That is backward-looking, not a multi-year plan.
- GMRC-03 Chapter 6 lists an 'Annual Finance Budget' among documents GMRC holds. It does not say this is published, and it would be annual, not medium or long-term.
What I checked:
- GMRC-01 (Reports &amp; Downloads list): no document called a fiscal, financial, business or corporate plan.
- GMRC-03 (Chapters 6 and 11 read).
- A search of GMRC-05, GMRC-06 and GMRC-25 (Annual Reports 2022-23 to 2024-25): only CSR 'long term' wording turned up.
- GMRC-07 (MoHUA sanction letter): mentions corporate debt bonds and plan-budget sanction, but not a GMRC fiscal plan.
The annual reports were searched, not read cover to cover.
For a human to do:
- Confirm whether a project DPR counts.
- Open the linked Budget-Allocation-Expenditure.pdf from GMRC-03. This is a VERIFICATION-LIMIT for the automated check.
- Check the full annual reports for any board-approved multi-year financial or corporate plan.</t>
  </si>
  <si>
    <t xml:space="preserve">SC5</t>
  </si>
  <si>
    <t xml:space="preserve">ANSWER: Not determined. The BWSSB Act, 1964 sets no minimum tenure for any office. Section 4 leaves the Chairman's and members' term of office to the Rules, and the Rules made under section 87 are not in the Citation Sheet. So it cannot be said whether the law fixes a term, let alone a minimum tenure. It is also not settled which post is BWSSB's 'executive authority'. The Act creates no MD/CEO post. The 2016-17 Annual Report describes a whole-time IAS Chairman, assisted by the Engineer-in-Chief and others in day-to-day administration, which suggests the Chairman is the executive head. That needs team confirmation. | EVIDENCE: BWSSB-02 (BWSSB Act, 1964, PRS copy) covers: s.3(2) the Board has 3 to 9 members appointed by the State Government; s.3(4) the State Government appoints one member as Chairman; s.4 'The Chairman and other members of the Board shall hold office for such period ... as may be prescribed by the rules'; s.87(2)(a) Rules 'may provide for ... the powers of the Chairman and the term of office of the Chairman and other members'. On removal: s.6(1) lets the State Government remove a member on listed grounds: unsound mind, insolvency, disqualification under s.5(1), seeking legislative or local office, conviction for an offence involving moral turpitude, and, 'in the opinion of the State Government', refusal to act, incapacity, abuse of position, or being 'otherwise unfit'. s.6(3) requires that the member first be given a chance to explain. s.6(5) also lets the Stat</t>
  </si>
  <si>
    <t xml:space="preserve">4. Term of office and conditions for re-appointment of members of Board. —The Chairman and other members of the Board shall hold office for such period, and shall be eligible for re-appointment under such conditions, as may be prescribed by the rules.</t>
  </si>
  <si>
    <t xml:space="preserve">Score left blank. The question cannot be decided from the Citation Sheet.
What the Act says: The BWSSB Act, 1964 (BWSSB-02, PRS consolidated copy, as amended up to Act 5 of 2011) fixes no term or minimum tenure for the Chairman or the members. Section 4 leaves the term of office to 'the rules'. Section 87(2)(a) says those rules 'may provide for' the Chairman's powers and the term of office.
What is missing: The Rules made under s.87 are not in the Citation Sheet. I searched for 'term of office of the Chairman rules tenure' and 'Chairman appointed IAS whole-time tenure years'. Only s.4 and s.87 of the Act came back, plus unrelated tenure provisions for GBA councillors in BWSSB-04 and BWSSB-28. No appointment order or service-conditions instrument for the Chairman is present either.
Why not 0: A 0 needs affirmative absence across both the Act and the Rules. The Rules were not available, so this is 'not found', not 'absent'.
Removal provisions: s.6(1) allows removal on listed grounds. Some depend only on the State Government's opinion, including (e)(iv) 'otherwise unfit to continue as a member'. s.6(3) requires a chance to explain first. s.6(5) allows the whole Board, Chairman included, to be removed if it fails to carry out its functions or to follow s.89 directions. Even if the Rules fix a term, this discretionary 'otherwise unfit' ground may mean removal is not on 'defined grounds only'. Under the SC-5 anomaly rule, a fixed term without removal protection may fit neither band (RUBRIC-GAP risk).
Open question on the executive post: The Act creates no MD/CEO post. Under s.12, the Chief Administrative Officer-cum-Secretary and the Engineer-in-Chief are staff appointed by the Board, and no tenure is given for them. The 2016-17 Annual Report (BWSSB-29) suggests the IAS Chairman is the executive head. This is historical practice only.
For the team:
(a) Get the BWSSB Rules made under s.87, current amended text, from an official Karnataka source.
(b) Confirm which post counts as BWSSB's executive authority for SC-5.
(c) Then apply the 10/5/0 bands.</t>
  </si>
  <si>
    <t xml:space="preserve">ANSWER: Not found. The executive head of BMTC is the Managing Director (MD). The Road Transport Corporations Act, 1950 sets no tenure for the MD and leaves the MD's conditions of appointment and service to Rules. Those Rules are not in the Citation Sheet, so it cannot be determined whether a minimum tenure or limits on removal exist. | EVIDENCE: (1) Road Transport Corporations Act, 1950 (BMTC-02). s.15(1) makes the MD the executive head: 'The Managing Director shall be the executive head of the Corporation and all other officers and employees of the Corporation shall be subordinate to him.' s.14(1): 'Every Corporation shall have a Managing Director, a Chief Accounts Officer and a Financial Adviser, appointed by the State Government.' s.14(3)(a): for the MD, the conditions of appointment and service and the scales of pay are to 'be such, as may be prescribed'. s.44(2)(e) lets the State's rules cover 'the conditions of appointment and service and the scales of pay of the Managing Director'. s.45(2)(c) keeps the MD out of the Corporation's own regulations. No section of the Act fixes the MD's term or limits how the MD can be removed. (2) Board-member provisions in the same Act, which apply only if the MD sits on the Board as a Director: s.5(5) says the term of office of Directors is 'such as may be prescribed'. s.8(1) lets the State Government remove a Director for the disqualifications in s.6 or for missing more than four meetings in a row. s.8(2) says 'The State Government may</t>
  </si>
  <si>
    <t xml:space="preserve">Every Corporation shall have a Managing Director, a Chief Accounts Officer and a Financial Adviser, appointed by the State Government:</t>
  </si>
  <si>
    <t xml:space="preserve">I left the score blank because the Citation Sheet does not contain the rules that would settle it. Not found is not the same as absent.
What the sources show:
(1) BMTC-02 (Road Transport Corporations Act, 1950, text as amended by Act 63 of 1982) makes the Managing Director the executive head (s.15(1)). The State Government appoints the MD (s.14(1)). The Act sets no term for the MD and no limits on removal. The MD's conditions of appointment and service are left to State rules: s.14(3)(a) says 'as may be prescribed', and s.44(2)(e) lets the rules cover them. s.45(2)(c) keeps them out of the Corporation's own regulations. So the Act alone does not prove there is no minimum tenure.
(2) BMTC-20 (BMTC's Rules and Regulations page) only links to 'KSRTC Rules, 1961' and to several KSRTC regulations. Their text is not in the Citation Sheet. A search of the whole sheet for MD term, tenure or removal found nothing beyond the Act.
(3) I re-checked Step 2's reading against the sources:
- s.8(2) lets the State Government end any Director's appointment after notice of at least one month. BMTC-09 lists the MD as 'DIRECTOR (Official)'.
- If the team decides s.8(2) covers the MD, removal is at the government's discretion, not on defined grounds.
- Under the SC-5 anomaly rule, a fixed term with discretionary removal fits neither the 10 nor the 5 band, so that would also be RUBRIC-GAP / CONFIRM rather than a score.
(4) BMTC-04 (GBA Act), BMTC-06 (BMLTA Act) and BMTC-07 (KTCP Act) were checked by Step 2 and have nothing on the BMTC MD's tenure.
I agree with Step 2's 'Partially Answered / not found'.
For a person to check:
(a) Read the text of the KSRTC Rules, 1961 (linked from BMTC-20), or any Karnataka rules for BMTC, on the MD's term and removal.
(b) Find the MD's appointment orders or GOs.
(c) Decide whether s.5(5) and s.8(2) apply to the MD as an official Director.
(d) Check whether the Act has been amended after 1982.</t>
  </si>
  <si>
    <t xml:space="preserve">ANSWER: The BDA Act sets no minimum tenure for the BDA Commissioner, who is the executive authority. It also sets no protection against removal. The Act does not mention his term at all. I cannot yet say that no minimum tenure exists anywhere in law, because two other layers are not in the Citation Sheet: the Rules made under the Act, and any service-tenure rules that apply to the officer posted as Commissioner. So this is 'not found', not an affirmative 0. | EVIDENCE: (1) BDA Act 1976, s.13(1), substituted by Act 18 of 1981: 'The Commissioner shall be the Chief Executive and Administrative Officer of the Authority.' This makes the Commissioner the executive authority by function. The whole-time Chairman (s.3(5)) is the political or board head, and the 1981 amendment's Statement of Objects separates the Chairman's policy role from the Commissioner's administration. (2) s.12, substituted 1981: the State Government 'shall appoint an officer, not below the rank of Divisional Commissioner' as Commissioner (s.12(1)). Salary and allowances are as the Government determines (s.12(2)). The Government may grant leave (s.12(3)). There is no term of office, no minimum tenure and no removal clause. (3) ss.5-6, the members' term and removal: the Chairman and members 'hold office for a period of three years', but 'Subject to the pleasure of the Government' (s.5(1)). Section 6 lists grounds on which the Government shall remove a member. The Commissioner sits on the Authority only ex officio </t>
  </si>
  <si>
    <t xml:space="preserve">The State  Government shall appoint an officer, not  below the rank of Divisional Commissioner, to be the Commissioner  for  the Authority.</t>
  </si>
  <si>
    <t xml:space="preserve">I left the score blank because the result is 'not found', not an affirmative absence.
What the Act says:
- I checked the Step 2 answer against BDA-02 (PRS copy, as amended up to Act 42 of 2026). The source supports it.
- s.13(1): the Commissioner is the 'Chief Executive and Administrative Officer of the Authority', so he is the executive authority.
- s.12(1)-(3), as substituted in 1981: the State Government appoints him. The rank must be at least Divisional Commissioner. Salary and leave are as the Government decides. There is no term of office, no minimum tenure and no protection against removal.
- The Commissioner sits on the Authority only ex officio (s.3(3)(m)).
- s.5 gives the Chairman and members a three-year term, but 'Subject to the pleasure of the Government'. Even if it reached the Commissioner, a term held at the Government's pleasure is not a protected minimum tenure.
- So the parent Act alone fits a 0 band.
Why I could not score 0:
- s.69(2)(c) lets the Government make Rules on 'the conditions of service of the Chairman and other members of the Authority'. The ex-officio Commissioner may fall under this.
- s.70(1)(f) leaves government officers lent to the Authority out of BDA's own service regulations. Their tenure therefore comes from their parent service rules, for example any minimum-tenure or civil services board rules for All-India-service or Karnataka cadre officers.
- None of these Rules or service-tenure rules is in the Citation Sheet. So affirmative absence across the whole instrument stack cannot be shown.
What I checked:
- BDA-02 and BDA-30, the BDA Act (ss.3, 5, 6, 12, 12A, 13, 50, 69, 70).
- BDA-03, the GBG Act 2024; BDA-04 and BDA-13, the GBG amendment Bills. These only make the BDA Commissioner an ex-officio member of the GBA; none sets a tenure.
- BDA-05, the KTCP Amendment Bill 2025. Its new s.78-A covers UDAs under the KUDA Act and the Mysuru DA, not the BDA.
- BDA-06, the KTCP Act.
- A search across the whole Citation Sheet for 'minimum tenure' found nothing about the Commissioner.
For a person to check:
- Obtain any Rules under s.69 of the BDA Act.
- Obtain any service-tenure or civil services board rules that cover the officer posted as BDA Commissioner. RTI target: the PIO of the Urban Development Department and the PIO of BDA.
- If none exist, a 0 would be supportable.
Caveats:
- The question's own rubric was not given to me beyond the 0-10 scale, so no band mapping beyond the Act-level finding is possible.
- All Act text is from PRS republications, not an official gazette copy.</t>
  </si>
  <si>
    <t xml:space="preserve">ANSWER: The sources I have do not show any minimum tenure for BMRCL's executive authority, the full-time Managing Director &amp; Chief Executive Officer. The one law in the Citation Sheet that sets a term for a managing director is the Companies Act, 2013. Section 196(2) sets a maximum ('a term exceeding five years at a time'), not a minimum. Section 169(1) lets the company remove a director 'by ordinary resolution' before the term ends, after a hearing, without listing grounds. But BMRCL's Articles of Association and the Government of Karnataka orders on the MD's terms are not in the Citation Sheet. So I cannot confirm that the law is silent, and I cannot score this question. | EVIDENCE: (1) Who the executive authority is: the BMRCL Annual Report for FY2020-21 (BMRCL-09, Board's Report, 'Organizational set-up' and Corporate Governance Report, pp. 38-47) says the MD 'is the nominee of Government of Karnataka with prior concurrence of Government of India and appointed by the Board of Directors. The Managing Director is the Chief Executive Officer'. It also says GoI appoints a 'part-time non-Executive Chairman' (Secretary, MoHUA). The Chairman is therefore the excluded political/part-time head, and the MD is the post assessed. BMRCL is 'a Government Company within the meaning of Section 2(45) of the Companies Act, 2013', a 50:50 GoI–GoK joint venture. The board's size comes from the Articles of Association, but the report quotes no tenure clause from them. (2) Parent law, Companies</t>
  </si>
  <si>
    <t xml:space="preserve">THE COMPANIES ACT, 2013 (NO. 18 OF 2013) [BMRCL-06]</t>
  </si>
  <si>
    <t xml:space="preserve">https://prsindia.org/files/bills_acts/acts_parliament/2013/companies-act,-2013.pdf</t>
  </si>
  <si>
    <t xml:space="preserve">No company shall appoint or re-appoint any person as its managing director, whole-time director or manager for a term exceeding five years at a time</t>
  </si>
  <si>
    <t xml:space="preserve">Score left blank because the evidence does not fit any band yet. I agree with the Step 2 answer.
(1) Who the executive is. BMRCL-09 (Annual Report FY2020-21, pp.38-47) says GoK 'has the right to appoint the full-time Managing Director &amp; Chief Executive Officer'. The part-time non-executive Chairman is the Secretary, MoHUA (Government of India), so the MD/CEO is the post assessed.
(2) Companies Act, 2013 (BMRCL-06, PRS-hosted Gazette text, as enacted; later amendments not checked):
- s.196(2) sets only a maximum term ('a term exceeding five years at a time'), not a minimum.
- s.169(1) lets the company remove a director 'by ordinary resolution ... before the expiry of the period of his office' after a hearing. It lists no grounds.
So nothing here meets the 10 band.
(3) Why I can't score 0. A 0 needs proof that every layer of the law is silent, and two layers are missing from the Citation Sheet:
- BMRCL's Memorandum and Articles of Association. BMRCL-09 says the Board's strength comes from the Articles and that BMRCL is guided by them, but it quotes no MD tenure clause.
- GoK orders nominating the MD and setting the terms of appointment.
The Companies (Appointment and Remuneration of Managerial Personnel) Rules, 2014 and any service rules for officers on deputation are also missing.
(4) Practice, recorded but not scored. BMRCL-09 shows the MD changed three times in 2021: Shri Ajay Seth left for a central posting; Shri Rakesh Singh took 'concurrent charge' from 9 Apr 2021; Shri Anjum Parwez took over from 15 Jul 2021. This suggests the MD serves at the government's pleasure, but it does not prove what the law says.
(5) Other sources checked, with nothing found on the MD's tenure:
- BMRCL-04, Metro Railways (O&amp;M) Act 2002: ss.50-51 set tenure only for the Claims Commissioner.
- BMRCL-02, GBA Act 2024: s.13(1)(j) makes the MD an Executive Committee member, with no tenure.
- BMRCL-08, BMLTA Act 2022.
- BMRCL-37, Metro Railways (Amendment) Bill 2009.
- A search across the sheet for MD tenure or term of office.
(6) Team to confirm: whether BMRCL, a Government Company under s.2(45) of the Companies Act, is eligible as a parastatal.
(7) RTI requests:
- PIO, BMRCL: the current Memorandum and Articles of Association, and the current MD's appointment order and terms.
- PIO, Urban Development Department, GoK: orders nominating the BMRCL MD over the last 5 years.</t>
  </si>
  <si>
    <t xml:space="preserve">Step 2 found no evidence: a source needs to be found and added. Step 2 found no evidence (Insufficient Evidence). Source needed: Needed: the full current text of the Bangalore Metropolitan Region Development Authority Act, 1985 (Karnataka Act 39 of 1985), with amendments, especially the sections on constituting the Authority and on appointing the Metropolitan Commissioner and his term and removal. Also needed: any Rules under the Act on the Metropolitan Commissioner's appointment or tenure, the BMRDA Cadre and Recruitment Rules, 2008, and the BMRDA Regulations of 1996 and 1999 and their 2000 amendment. Possibly also any state rule or Government Order fixing minimum tenure for IAS officers posted as head of such authorities.</t>
  </si>
  <si>
    <t xml:space="preserve">Step 2 found no evidence: a source needs to be found and added. Step 2 found no evidence (Insufficient Evidence). Source needed: We need a readable official copy of the GTPUD Act, 1976, current consolidated text, especially s. 22 and any section on the appointment, term and removal of the Member-Secretary / Chief Executive Authority. We also need the SUDA constitution notification of 30.01.1978 and later notifications that reconstitute SUDA or appoint its CEA, any Gujarat Government Resolution (GR) or regulations on the CEA's service conditions, and the current GTPUD Rules with amendments. These could come from the Gujarat Legislative and Parliamentary Affairs Department, the Urban Development and Urban Housing Department (UD&amp;UHD) or the Gujarat Government Gazette.</t>
  </si>
  <si>
    <t xml:space="preserve">Step 2 found no evidence: a source needs to be found and added. Step 2 found no evidence (Insufficient Evidence). Source needed: GMRC's Memorandum and Articles of Association (the clauses on appointing, the term of and removing the Managing Director); the relevant Companies Act, 2013 provisions on managing directors' terms, plus any exemption notifications for government companies; the Government of Gujarat or Board order appointing the current MD, setting out the tenure and termination terms; any GoI/GoG policy or rules on appointing and tenure of MDs of 50:50 metro SPVs.</t>
  </si>
  <si>
    <t xml:space="preserve">SC6</t>
  </si>
  <si>
    <t xml:space="preserve">Step 2 found no evidence: a source needs to be found and added. Step 2 found no evidence (Insufficient Evidence). Source needed: Karnataka DPAR or Urban Development Department government orders or gazette notifications appointing or transferring the BWSSB Chairman (and any orders giving additional or concurrent charge) for about 2021-2026. Alternatively, the latest BWSSB annual reports tabled in the Legislature, which list Chairmen with dates, or an official BWSSB page listing former Chairmen with their tenures.</t>
  </si>
  <si>
    <t xml:space="preserve">ANSWER: The Citation Sheet cannot fully answer this. BMTC's executive authority is the Managing Director (MD), and official BMTC sources show at least two different people holding that post in the five-year window. That rules out the 10-point band (only one chief executive). They do not give the full list of holders, so I cannot tell whether the count is 2-3 (5 points) or more than 3 (0 points). For the same reason the average tenure cannot be calculated. | EVIDENCE: (1) Which post: Road Transport Corporations Act, 1950, s.15(1) (BMTC-02): 'The Managing Director shall be the executive head of the Corporation and all other officers and employees of the Corporation shall be subordinate to him.' So the executive authority is the MD, not the Chairman (Sri V.S. Aaradhya, listed in BMTC-09). (2) BMTC Press Releases page (BMTC-28), item dated 20/04/2022: 'Smt. G. Sathyavathi, IAS assumed the charges as Managing Director of BMTC on 20.04.2022.' This is the title of a listed press release; the linked PDF (in Kannada) was not in the sheet. (3) BMTC Directors List (BMTC-09) and BMTC homepage (BMTC-01), both last updated 30-09-2026: 'SRI. Raghunandan Murthy - IAS, Managing Director, BMTC'. These give two distinct MDs in the window (from Oct 2021). Because Smt. Sathyavathi took charge on 20.04.2022, someone else held or looked after the post before her for part of the window. That person is not named, and it is not shown whether the charge was full (substantive) or additional. No source g</t>
  </si>
  <si>
    <t xml:space="preserve">Press Releases - Bengaluru Metropolitan Transport Corporation [BMTC-28]</t>
  </si>
  <si>
    <t xml:space="preserve">https://mybmtc.karnataka.gov.in/info-4/Press+Releases/en</t>
  </si>
  <si>
    <t xml:space="preserve">Smt. G. Sathyavathi, IAS assumed the charges as Managing Director of BMTC on 20.04.2022-20/04/2022April-2022</t>
  </si>
  <si>
    <t xml:space="preserve">SCORE LEFT BLANK. The Citation Sheet does not decide between the 5 band and the 0 band. RUBRIC-GAP / missing evidence: I am reading the bands from the Step 2 answer (10 = one chief executive in the window, 5 = 2-3, 0 = more than 3). The question text and full Detailed Methodology were not in the task input, so the bands and the window start date need confirming.
What the sheet shows:
(1) The post is the Managing Director. BMTC-02, the Road Transport Corporations Act 1950, s.15(1): 'The Managing Director shall be the executive head of the Corporation'.
(2) BMTC-28 (Press Releases page) lists 'Smt. G. Sathyavathi, IAS assumed the charges as Managing Director of BMTC on 20.04.2022'. This is only the title of the list entry. The linked PDF is in Kannada and is not in the sheet.
(3) Step 2 cites BMTC-09 and BMTC-01 (pages last updated 30-09-2026) as naming 'SRI. Raghunandan Murthy - IAS, Managing Director, BMTC'. My searches of BMTC-09 and BMTC-01 brought back other passages, and I did not see that text myself. A person should check it.
If both names hold, there were at least 2 MDs in the window (about Oct 2021 to Sep 2026). Someone else must also have held the post before 20.04.2022, but that person is not named. This rules out the 10 band.
What is missing:
- the full list of MDs and their dates in office;
- whether each held full charge or only additional/acting charge;
- the start date of the current MD.
Without these, I cannot tell 2-3 MDs (5) from more than 3 (0), and the average tenure cannot be calculated.
What I checked:
- BMTC-28 press-release list. The excerpts cover Oct 2021 to Mar 2023 plus older items. They show only one MD-assumption entry (20.04.2022) and the Vice-Chairman (Nov 2022) entry. Later years were not shown in the excerpts, so this is not affirmative absence.
- Sheet-wide searches for 'assumed charges Managing Director' and 'Managing Director additional charge IAS transferred' found nothing more.
The sheet has no DPAR transfer or posting orders and no Gazette notifications. To score this, a person needs the Karnataka DPAR (DPAR-AIS) posting orders for MD, BMTC from Oct 2021 to Sep 2026.</t>
  </si>
  <si>
    <t xml:space="preserve">Step 2 found no evidence: a source needs to be found and added. Step 2 found no evidence (Insufficient Evidence). Source needed: Official Karnataka Government orders (DPAR / Urban Development Department notifications or Karnataka Gazette entries) appointing or transferring each BDA Commissioner from about 2021 to now, with each order's date. Also needed: any orders giving an officer additional or concurrent charge of the post, and the BDA official website's list of former Commissioners with dates in office.</t>
  </si>
  <si>
    <t xml:space="preserve">ANSWER: This can't be determined from the Citation Sheet. The only record covers the Managing Director post up to about August–October 2021. It shows three people: Shri Ajay Seth as MD until 09.04.2021; Shri Rakesh Singh on concurrent charge from 09.04.2021 to 15.07.2021; and Shri Anjum Parwez as the substantive MD from 15.07.2021. Nothing in the sheet covers appointments or transfers after late 2021, so the number of substantive chief executives in the last five years cannot be counted. | EVIDENCE: BMRCL-09 (BMRCL Annual Report FY2020-21, Board's Report), General Information, Organizational set-up (p.36-37): 'The Managing Director is the Chief Executive Officer of the Company'. The Chairman is the Secretary, MoHUA, appointed as 'non-executive Chairman', so the executive authority is the MD, not the Chairman. Under 'Appointment of Managing Director and Director after the end of the Financial year 31.03.2021' (p.37): Rakesh Singh (ACS, UDD, GoK) was nominated MD 'on concurrent charge with effect from 9th April 2021 in place of Shri Ajay Seth proceeded on Central posting'. Anjum Parwez was nominated MD 'with effect from 15th July 2021 in place of Shri Rakesh Singh'. The Board of Directors page (p.4) lists 'Shri Anjum Parwez Managing Director, BMRCL (w.ef. 15.07.2021) Shri Ajay Seth Managing Director, BMRCL (upto 09.04.2021)'. The financial statements are signed by Anjum Parwez as MD on 24-08-2021, and the C&amp;AG letter of 22 October 2021 is addressed to the MD. The report does no</t>
  </si>
  <si>
    <t xml:space="preserve">Shri Rakesh Singh, Additional Chie f Secretary, Urban Development Department, Government of Karnataka was nominated as Managing Director of the Company by Government of Karnataka on concurrent charge with effect from 9th April 2021 in place of Shri Aja y Seth proceeded on Central posting.</t>
  </si>
  <si>
    <t xml:space="preserve">The score is left blank because the Citation Sheet only records who held the MD post up to about Aug–Oct 2021. The question needs a count of chief executives over roughly the last five years (about Sept 2021 to Sept 2026). I checked the Step 2 answer against BMRCL-09 and the source supports it. It shows: (1) Ajay Seth was substantive MD until 09.04.2021, and his start date is not given; (2) Rakesh Singh held concurrent charge from 09.04.2021 to 15.07.2021, which is acting charge and not counted; (3) Anjum Parwez was nominated MD from 15.07.2021, and the report does not give an end date. The report also says the MD is the CEO and the Chairman is non-executive, so the MD is the right post to count. I searched the rest of the sheet for later MD appointments ('Managing Director BMRCL appointed', 'Managing Director' in BMRCL-32 and BMRCL-33). Nothing named any MD or tenure after 2021. BMRCL-32 (2025 Parking Policy) and BMRCL-33 (2025 eProcurement tender) name no MD. BMRCL-02 (GBA Act) names the MD post only as an ex-officio member. BMRCL-06 (Companies Act) covers only appointment rules. BMRCL-03, -04, -08, -37 and -38 are laws and bills, not tenure records. I can't pick a band (1 substantive holder = 10, 2–3 = 5, more than 3 = 0) because nobody in the sheet is shown holding the post after Oct 2021. A score of 0 would also need proof that nothing exists, and we don't have that. Still missing: BMRCL annual reports for FY2021-22 to FY2025-26, and GoK UDD/DPAR orders appointing or transferring the MD for Sept 2021 to Sept 2026. The team also needs to confirm when the five-year window starts, because that decides whether Ajay Seth counts. BMRCL's eligibility as a parastatal (it is a company) is still pending team confirmation. RTI target: PIO, BMRCL, or PIO, UDD, GoK, for a list of every MD with order numbers and dates, Sept 2021 to Sept 2026.</t>
  </si>
  <si>
    <t xml:space="preserve">ANSWER: The Citation Sheet does not support a count of how many chief executives BMRDA has had over the last five years, so the band cannot be set. The post that does the executive work is the Metropolitan Commissioner. The Chairman is the Chief Minister, a political head, and is excluded. The sheet shows at least two different holders of the post, each at one point in time: (1) Girish C. Hosur, IFS, Metropolitan Commissioner from 18.01.2022, still in post as of 31.03.2023 (BMRDA Annual Report 2022-23, Annexure-1); (2) Sri. Rajendra P Cholan, Metropolitan Commissioner on the current Contact Us page, which carries no date. Who held the post before 18.01.2022, when Hosur left, and whether anyone served between Hosur and Cholan cannot be found in the sheet. The true count could therefore be 2-3 (score 5) or more than 3 (score 0). | EVIDENCE: (a) BMRDA-03, Annual Report 2022-23, p.10: 'The Metropolitan Commissioner is the ex-officio Member Secretary of the Authority.' The same page says the Chairman is the Chief Minister and that the Metropolitan Commissioner is Vice Chairman of the Executive Committee. (b) BMRDA-03, p.16, Annexure-1 (staff serving 01-04-2022 to 31-03-2023). The text is Kannada in a legacy font that the extraction garbled. My reading: row 1 = Girish C. Hosur, IFS, Mahanagara Ayuktaru (Metropolitan Commissioner), from 18.01.2022, 'ivarege' (to date), parent department DPAR. The table is marked with in-charge flags elsewhere, e.g. row 4, Dr N. Shrimadhavi, Addition</t>
  </si>
  <si>
    <t xml:space="preserve">The Metropolitan Commissioner is the ex-officio Member Secretary of the Authority.</t>
  </si>
  <si>
    <t xml:space="preserve">SCORE LEFT BLANK. The sheet does not show how many substantive holders the post had in the five-year window, so no band can be set. (1) The chief executive post: I take it to be the Metropolitan Commissioner. BMRDA-03 p.10 says the Chief Minister chairs the Authority, the Metropolitan Commissioner is its ex-officio Member Secretary and also Vice Chairman of the Executive Committee. The BMRDA Act, 1985 and its Rules are not in the sheet, so this rests on the annual report's description only. CONFIRM. (2) Holders found: (a) BMRDA-03 p.16, Annexure-1, row 1. The Kannada is in a legacy Nudi font and the extraction garbled it. I read it the same way as Step 2: Girish C. Hosur, IFS, Metropolitan Commissioner, from 18.01.2022, still in post as of 31.03.2023 ('ivarege'), parent department DPAR. Row 4 carries an in-charge flag '(pra)'; row 1 has none, so Hosur looks like a substantive holder. A reviewer should check this against the original PDF. (b) BMRDA-06, the Contact Us page, names Sri. Rajendra P Cholan as Metropolitan Commissioner. It gives no date and does not say whether the charge is substantive. (3) Why no band: at least 2 different holders fall in the window. Someone held the post before 18.01.2022, which is probably also inside the window, but the sheet does not name them. Hosur's end date, Cholan's start date and any holder in between are also unknown. The true count could be 2-3 (score 5) or more than 3 (score 0). Picking one would be a guess. RUBRIC-GAP: the evidence fits no single band. A score of 0 cannot be justified on affirmative absence either. (4) What I checked: BMRDA-03 (pp.10, 14-16), BMRDA-06, BMRDA-13 (only website boilerplate came back), and a sheet-wide search for 'Metropolitan Commissioner former list of commissioners', which found only BMRDA-10, BMRDA-03 and BMRDA-05 with no appointment records. Step 2 also checked BMRDA-08, BMRDA-10 and BMRDA-11: none has a BMRDA appointment or transfer record. (5) Missing evidence: DPAR (Services) appointment and transfer notifications or Gazette entries for the Metropolitan Commissioner, BMRDA, 2021-2026, with joining and relieving dates and whether each charge was substantive or additional. RTI target: the PIO at DPAR and the PIO at BMRDA. Agrees with Step 2's 'Partially Answered / band undetermined'.</t>
  </si>
  <si>
    <t xml:space="preserve">Step 2 found no evidence: a source needs to be found and added. Step 2 found no evidence (Insufficient Evidence). Source needed: What would answer this: official Government of Gujarat orders (from the General Administration Department or the Urban Development &amp; Urban Housing Department) appointing or transferring the Chief Executive Authority of SUDA from about 2021 to now, gazette notices of those postings, or a dated SUDA web page listing past CEAs with their dates of charge. These should show which holders were substantive and which held additional or acting charge.</t>
  </si>
  <si>
    <t xml:space="preserve">ANSWER: GMRC's official records show one substantive Managing Director, Shri S. S. Rathore, from at least 1 April 2022 to October 2026. That covers about 4.5 of the last five years. The records do not cover roughly October 2021 to March 2022, and they do not give the date he was appointed. If he was also MD for that gap, the count is 1 (score 10). If someone else was, the count is 2 or more (score 5, or 0 if more than 3). The count, and so the score, cannot be settled from these sources. No acting or additional-charge MD appears anywhere in them. The Joint MD, Sanjay Gupta (from 21-12-2024), works under the MD and is not the chief executive. | EVIDENCE: (1) Who the chief executive is, by function. GMRC-25, FY2022-23 Annual Report, Board's Report XII, p.45: the MD is the Government of Gujarat's nominee, approved in advance by the Government of India and appointed by the Board; 'The general powers of Management are vested in the Managing Director'. The Chairman is the Secretary of the Ministry of Housing and Urban Affairs, ex officio and part-time, so he is not the executive head. GMRC-03, the RTI disclosure under s.4(1)(b): 'The day-to-day management of the company in entrusted to the Managing Director'. (2) FY2022-23 (GMRC-25, XIII, pp.45-47): the list of director changes for 1 Apr 2022 to 31 Mar 2023 includes no change of MD, and the key managerial personnel list shows 'MANAGING DIRECTOR - Shri S. S. Rathore'. The FY2023-24 changes up to the AGM show no MD change either. (3)</t>
  </si>
  <si>
    <t xml:space="preserve">Gujarat Metro Rail Corporation (GMRC) Limited – 13th Annual Report F.Y 2022-23 [GMRC-25]</t>
  </si>
  <si>
    <t xml:space="preserve">https://www.gujaratmetrorail.com/wp-content/uploads/Reports/13TH-ANNUAL-REPORT-FY-22-23.pdf</t>
  </si>
  <si>
    <t xml:space="preserve">Pursuant to the provisions of section 203 of the Act, the Key Managerial Personnel of the Company are – MANAGING DIRECTOR - Shri S. S. Rathore</t>
  </si>
  <si>
    <t xml:space="preserve">SCORE LEFT BLANK. I can't settle how many Managing Directors GMRC had across the whole five-year window from the Citation Sheet alone.
What the sources support (I checked the Step 2 answer against them and it holds):
(1) The MD is the chief executive. GMRC-25 p.45 says: 'The general powers of Management are vested in the Managing Director'. The Chairman is the MoHUA Secretary, ex officio, so he is not the chief executive.
(2) S. S. Rathore was the only MD across FY2022-23:
- GMRC-25 pp.45-47: no MD appears among the director changes for 1-Apr-2022 to 31-Mar-2023, and he is the MD in the s.203 KMP list.
- GMRC-25 p.75, MGT-9 VI.A: the remuneration table puts no 'w.e.f.' or 'upto' date against Rathore. Other directors have those dates, which suggests he held the post for the full year.
- GMRC-25: the changes for FY2023-24 up to the AGM include no MD change.
(3) GMRC-06 (FY2023-24) and GMRC-05 (FY2024-25) both show Rathore as MD. GMRC-05 records a Joint MD, Sanjay Gupta, from 21-12-2024. He is a functional director who signs alongside the MD, so I did not count him.
(4) GMRC-04, the website page last updated 12-Oct-2026, still lists 'Shri S. S. Rathore Managing Director'.
What is missing: no source gives the date Rathore was appointed, and none covers about Oct 2021 to Mar 2022. I checked:
- GMRC-25: Board's Report, KMP list, MGT-9 remuneration table and AOC-2; Note-25 (related party disclosures) is only referred to and its text is not in the extract.
- GMRC-03: the RTI s.4(1)(b) disclosure, which names no MD and gives no dates.
- GMRC-04: the board page.
- Searches across all sources for appointment, tenure and additional-charge wording.
There is no FY2021-22 annual report and no MD appointment order. The score would be 10 if Rathore was MD for the whole window and 5 if there were 2-3 MDs. I can't tell which, so I left it blank rather than guess.
For a person to check:
(a) Get Rathore's appointment date, and any acting or additional-charge MD between Oct 2021 and Mar 2022, from the FY2021-22 Annual Report or an RTI to the GMRC PIO.
(b) Confirm the end date of the five-year window.
(c) Confirm that the Joint MD is not treated as a chief executive.
(d) Confirm that GMRC is in scope for Surat while Surat Phase-1 is still being built.
Minor point: in the GMRC-25 remuneration table Prashant Rao is marked 'Upto 21.02.2022', but the Board's Report gives 21-Feb-2023. This looks like a typo and doesn't affect the MD count.</t>
  </si>
  <si>
    <t xml:space="preserve">SC7a</t>
  </si>
  <si>
    <t xml:space="preserve">Step 2 found no evidence: a source needs to be found and added. Step 2 found no evidence (Insufficient Evidence). Source needed: A current, dated official record that gives BWSSB's sanctioned and working (filled) strength by cadre, including contractual staff that are part of the approved structure. Possible sources: (a) the Board's latest annual report laid in the Karnataka Legislature; (b) the Section 4(1)(b) disclosure on the number of employees and posts; (c) the 2026 re-organisation documents (Re-Organisation Chart 2026 and the deployment office memorandum with Annexures 1-2), if they give sanctioned and deployed post counts; (d) a reply to an RTI request or formal data request.</t>
  </si>
  <si>
    <t xml:space="preserve">Step 2 found no evidence: a source needs to be found and added. Step 2 found no evidence (Insufficient Evidence). Source needed: Any of the following would answer the question: (a) BMTC's latest annual report (for example the copy laid before the Karnataka Legislature under s.35 of the RTC Act 1950) giving sanctioned and working strength by cadre; (b) BMTC's RTI s.4(1)(b) disclosure listing sanctioned posts and incumbents; (c) a formal data request or RTI reply from BMTC's Chief Personnel Manager giving sanctioned and filled posts, including approved contractual posts, as of a recent date.</t>
  </si>
  <si>
    <t xml:space="preserve">Step 2 found no evidence: a source needs to be found and added. Step 2 found no evidence (Insufficient Evidence). Source needed: A dated official record of BDA's sanctioned and working (filled) strength, broken down by cadre, saying whether contract or outsourced posts are part of the sanctioned schedule. Possible sources: BDA's annual report under s.47A tabled in the Karnataka Legislature; its RTI s.4(1)(b) proactive disclosure; the government order sanctioning the staff schedule under s.49 together with a current vacancy statement; the staff statement in BDA's budget estimates; or the reply to a formal data request or RTI application.</t>
  </si>
  <si>
    <t xml:space="preserve">Step 2 found no evidence: a source needs to be found and added. Step 2 found no evidence (Insufficient Evidence). Source needed: One of: a recent BMRCL annual report or HR statement listing sanctioned and working strength by wing (Project and O&amp;M) and by category (regular, contract, deputation); a Board or Government of Karnataka order sanctioning BMRCL's post structure, including Phase-2 posts; or an RTI reply from BMRCL giving sanctioned and filled posts for the latest completed financial year.</t>
  </si>
  <si>
    <t xml:space="preserve">ANSWER: The most recent official staffing record we have puts BMRDA's sanctioned strength at 56 posts on 31.03.2023. Of these, 27 were filled and 29 were vacant. That is a fill rate of 27 / 56 x 100 = 48.21%, which falls in the 40%–59% band (Score 2). This is a three-year-old snapshot (FY 2022-23). The question asks about current staffing (rules version September 2026), and no later figure is in the Citation Sheet. So no score is proposed. | EVIDENCE: BMRDA-03, Annual Report of BMRDA for 2022-23 (01-04-2022 to 31-03-2023), a Legislature Paper, para 11 'Staff position', page 15: 'The sanctioned staff strength for the Authority as on the 31.03.2023 is 56, out of this, only 27 posts have been filled up and the remaining 29 posts are vacant.' The same paragraph says post-by-post details are in Annexure-1 (page 16). Calculation: filled 27 / sanctioned 56 = 0.4821, so 48.21%. Other sources checked with no staffing figures: the BMRDA website pages BMRDA-05 (Home), BMRDA-06 (Contact Us), BMRDA-07 (Local Planning Areas) and BMRDA-12 (official site). Also checked: the KTCP Act 1961 (BMRDA-08), the GBG Act 2024 (BMRDA-10) and the BMLTA Act 2022 (BMRDA-11). The two Acts and BMRDA-11 are legal texts and hold no BMRDA staffing data. | CAVEATS: (1) Annexure-1 is in Kannada in a legacy-font encoding that does not extract cleanly. We could not check it line by line to confirm whether the 27 filled posts include people on deputation, in-charge or temporary arrangements, or contract staff. Seve</t>
  </si>
  <si>
    <t xml:space="preserve">The sanctioned staff strength for the Authority as on the 31.03.2023 is 56, out of this, only 27   posts have been filled up and the remaining 29 posts are vacant.</t>
  </si>
  <si>
    <r>
      <rPr>
        <sz val="11"/>
        <color theme="1"/>
        <rFont val="Calibri"/>
        <family val="2"/>
        <charset val="1"/>
      </rPr>
      <t xml:space="preserve">I left the score blank. I checked the Step 2 answer against the source and it holds up. BMRDA-03, page 15, para 11 says that on 31.03.2023 BMRDA had 56 sanctioned posts, 27 filled and 29 vacant. That is 27/56 = 48.21% filled. On the band Step 2 reports (40%–59%), that would be Score 2. The score is blank for three reasons. (1) The figure is a single snapshot from the FY 2022-23 Annual Report, three years before this September 2026 assessment. The v2 rules say an old document is at most partial evidence of the current position. I searched the Citation Sheet for a later staffing figure (searches: 'sanctioned posts filled vacant staff strength' and 'staff position 2024 2025 working strength vacancies BMRDA') and found none. The only hits were BMRDA-03 and unrelated passages in the GBG Act (BMRDA-10) about city corporation cadres. (2) The full SC7a rubric text was not given to me in this task. I could not check the 40%–59% → 2 band myself; it comes only from the Step 2 answer. (3) Annexure-1 (page 16) is in Kannada legacy-font encoding. I could not reliably confirm what counts as 'filled'. Several entries seem to be temporary or in-charge postings ('</t>
    </r>
    <r>
      <rPr>
        <sz val="11"/>
        <color theme="1"/>
        <rFont val="Noto Sans"/>
        <family val="2"/>
      </rPr>
      <t xml:space="preserve">ತಾತ್ಕಾಲಿಕ ಹುದ್ದೆ</t>
    </r>
    <r>
      <rPr>
        <sz val="11"/>
        <color theme="1"/>
        <rFont val="Calibri"/>
        <family val="2"/>
        <charset val="1"/>
      </rPr>
      <t xml:space="preserve">' / in-charge) or deputations from DPAR, the Town Planning Department and the State Accounts Department. I also could not tell whether any contract or outsourced staff sit outside the 56 sanctioned posts. FOR THE TEAM TO CONFIRM: (a) Can the 31.03.2023 figure stand as the current position? If yes and the rubric band is confirmed, the score is 2. (b) Check SC7a's rubric bands against the Max Score of 5. (c) Get a later figure: the FY 2023-24 or FY 2024-25 BMRDA Annual Report (Legislature Paper), or file an RTI with the PIO, Administration &amp; Revenue Section, BMRDA (Assistant Metropolitan Commissioner). Ask for sanctioned posts, filled posts (split into regular, deputation and contract) and vacancies on the latest date. Sources checked: BMRDA-03 (staffing figure found), BMRDA-05, -06, -07, -12 and the other website pages (no staffing data), and BMRDA-08, -10, -11 (legal texts with no BMRDA staffing data). This is not a zero: the evidence is there but out of date.</t>
    </r>
  </si>
  <si>
    <t xml:space="preserve">Step 2 found no evidence: a source needs to be found and added. Step 2 found no evidence (Insufficient Evidence). Source needed: A current, dated SUDA record of sanctioned versus filled posts (permanent and contractual within the approved structure). Possible sources: SUDA's latest Annual Report to the State Government under Rule 49; its annual financial statement with the Form P salary statement under Rule 47(3); a staffing or organisation page on SUDA's website, or its RTI section 4(1)(b) disclosure; or an RTI or formal data-request reply from SUDA.</t>
  </si>
  <si>
    <t xml:space="preserve">Step 2 found no evidence: a source needs to be found and added. Step 2 found no evidence (Insufficient Evidence). Source needed: A GMRC record of sanctioned and working strength for the latest year, broken down by grade or cadre, with permanent, deputation and contractual staff in the approved structure shown separately (and ideally the Surat project/O&amp;M on its own). This could be an HR annexure to the annual report, a Board-approved manpower plan, the UD&amp;UHD sanction of posts, or an RTI reply from GMRC's PIO.</t>
  </si>
  <si>
    <t xml:space="preserve">SC7b</t>
  </si>
  <si>
    <t xml:space="preserve">Step 2 found no evidence: a source needs to be found and added. Step 2 found no evidence (Insufficient Evidence). Source needed: Current staffing data from BWSSB that counts women employees against total filled posts. This could be a recent BWSSB annual report with gender-split staff tables, an RTI reply, or a formal data request to BWSSB's administration wing. Ideally it would also split senior/decision-making posts (Group A / Chief Engineer and above) and technical/professional cadres by gender.</t>
  </si>
  <si>
    <t xml:space="preserve">Step 2 found no evidence: a source needs to be found and added. Step 2 found no evidence (Insufficient Evidence). Source needed: A dated, gender-disaggregated BMTC staffing record. This could be the latest BMTC Annual Report (laid before the Karnataka Legislature under the RTC Act, 1950), an HR/establishment statement from the Administrative Department (Chief Personnel Manager) giving total filled posts and the number of women employees, or an RTI 4(1)(b) disclosure. Ideally it would be broken down by cadre: officers/senior management, technical/engineering, drivers, conductors, mechanics and ministerial staff.</t>
  </si>
  <si>
    <t xml:space="preserve">Step 2 found no evidence: a source needs to be found and added. Step 2 found no evidence (Insufficient Evidence). Source needed: Any dated official BDA staffing record that splits filled posts by gender and, ideally, by cadre or grade. Examples: BDA's latest annual report (s.4H of the Town and Country Planning Act refers to annual reports of Planning Authorities); BDA's RTI s.4(1)(b) staff directory or establishment list for the current year; a sanctioned-versus-working strength table from the Urban Development Department; or BDA's reply to an RTI or formal data request.</t>
  </si>
  <si>
    <t xml:space="preserve">Step 2 found no evidence: a source needs to be found and added. Step 2 found no evidence (Insufficient Evidence). Source needed: Recent staffing data from BMRCL that splits filled posts by gender, for both the Project and O&amp;M wings, ideally also by cadre (executives/senior management, engineers/technical). Possible sources: the latest Annual Report or Board's Report, an HR statement on the website, an RTI reply or a formal data request.</t>
  </si>
  <si>
    <t xml:space="preserve">ANSWER: The share of women in BMRDA's workforce cannot be worked out from the Citation Sheet. The total number of filled posts is known: 27 of 56 sanctioned posts were filled as on 31.03.2023. No source gives the number of women employees. The percentage, (women ÷ filled posts) × 100, is therefore undetermined. | EVIDENCE: (1) BMRDA-03, Annual Report 2022-23 (Legislature Paper), English section, para 11 'Staff position', p.15: 'The sanctioned staff strength for the Authority as on the 31.03.2023 is 56, out of this, only 27 posts have been filled up and the remaining 29 posts are vacant.' (2) BMRDA-03, Annexure-1, p.16 onward: a Kannada list of officers and staff who served from 01-04-2022 to 31-03-2023. It shows name, designation, period of service and parent department. The column header says '(Sri/Smt)', but the names extracted from the file carry no honorific. There is no gender column and no count of women. The list covers everyone who served during the year, including people who left before 31.03.2023, so it does not match the 27 posts filled at year-end. The extracted text is in a legacy Kannada font encoding and is cut off after item 21. Working out gender from personal names would be a guess, so it was not done. (3) BMRDA-06, official website Contact Us page (undated; site footer © 2026): a partial list of officers only. One senior officer carries a women's honorific: 'Smt. Suma J, Metropolitan Planner and Director'. Other listed officers have no honorific. This is no</t>
  </si>
  <si>
    <t xml:space="preserve">SCORE LEFT BLANK. The question's rubric bands were not supplied with this task. Even with them, the Citation Sheet does not give the number of women employees, so the share of women cannot be calculated. I checked the Step 2 answer against the sources and it holds. (1) BMRDA-03 para 11 (FY 2022-23, as on 31.03.2023) gives only the totals: 56 sanctioned posts, 27 filled. It gives no gender breakdown. (2) BMRDA-03 Annexure-1 lists everyone who served at any point from 01.04.2022 to 31.03.2023, including people who left during the year, so it does not match the 27 posts filled at year-end. Its column header says '(Sri/Smt)', but the extracted entries carry no honorifics. It has no gender column and no count of women, and the extracted text is in a legacy Kannada font encoding and is cut off at item 21. Some names in it read as typically female, but guessing gender from personal names is not allowed, so I did not count women that way. (3) BMRDA-06, the Contact Us page (undated; footer © 2026), lists only a partial set of senior posts. One officer carries a women's honorific: 'Smt. Suma J, Metropolitan Planner and Director'. Two other names on the page, Shakuntala Kuravatti (Assistant Director) and Anusha Y K (Accounts Officer), have no honorific. This page is not a workforce total, so it cannot give a denominator. (4) search_citation_sheet for 'women employees female staff gender' found no gender-wise staffing data in BMRDA-08 (Karnataka Town and Country Planning Act), BMRDA-11 (Bengaluru Metropolitan Land Transport Authority Act) or the other website pages. A score of 0 is not justified: women are not shown to be absent, and the data are simply not in the sheet ('not found', not 'absent'). FOR A HUMAN REVIEWER: (a) open the original BMRDA-03 PDF and check whether Annexure-1 prints Sri/Smt against each name for staff still in post on 31.03.2023. Only use it if the honorifics are actually printed. (b) Or check the RTI 4(1)(b) staff directory on the BMRDA website; it is not in the Citation Sheet. (c) Or file an RTI request with the Public Information Officer (Assistant Metropolitan Commissioner, Administration &amp; Revenue section) for the number of women and men in filled posts by cadre, as of the latest date. RUBRIC-GAP/INFO: the rubric bands were not provided; confirm them before scoring.</t>
  </si>
  <si>
    <t xml:space="preserve">Step 2 found no evidence: a source needs to be found and added. Step 2 found no evidence (Insufficient Evidence). Source needed: Any one of these would answer it: SUDA's latest annual report; its establishment schedule or staff list showing sanctioned and filled posts by sex and by cadre (senior, technical, administrative); its RTI disclosure listing officers and employees (under section 4(1)(b) of the RTI Act); or a dated reply from SUDA or the Gujarat Urban Development and Urban Housing Department to a formal data request.</t>
  </si>
  <si>
    <t xml:space="preserve">Step 2 found no evidence: a source needs to be found and added. Step 2 found no evidence (Insufficient Evidence). Source needed: Current staffing records for GMRC as a whole, such as an annual report or HR disclosure table, a staffing statement on its website, or an RTI reply. These should give the total filled posts and the number of women employees as of a stated date, ideally split by grade (senior and decision-making) and by technical or professional cadre.</t>
  </si>
  <si>
    <t xml:space="preserve">DRAFT PARASTATAL scoring workbook - generated from the methodology sheet</t>
  </si>
  <si>
    <t xml:space="preserve">This draft follows the same layout as the UPD scoring workbook, so the app can fill, merge and read it. The scoring experts should:</t>
  </si>
  <si>
    <t xml:space="preserve">  1. Replace each question sheet's simple inputs (yellow) and Points formula with the real ones, keeping the row-11 instructions (e.g. SELECT YES / NO) and the column names 'Points (Auto-generate)' and 'SCORER COMMENTS'.</t>
  </si>
  <si>
    <t xml:space="preserve">  2. Check 'Applies?' (filled in from each agency's type and the question's Applicability). To change it, fix the agency in the city register or Sources workbook and generate again.</t>
  </si>
  <si>
    <t xml:space="preserve">  3. Fix the points below in the methodology sheet and generate again.</t>
  </si>
  <si>
    <t xml:space="preserve">Points to check:</t>
  </si>
  <si>
    <t xml:space="preserve">  • Section 'Decentralised Participatory Governance' has no (CODE); using DPG</t>
  </si>
  <si>
    <t xml:space="preserve">  • Question Bank row 35: the ID "DPG d" has no number. We treated it as part of DPG 5. Please correct the ID in the question bank.</t>
  </si>
  <si>
    <t xml:space="preserve">  • Question Bank row 36: the ID "DPG f" has no number. We treated it as part of DPG 5. Please correct the ID in the question bank.</t>
  </si>
  <si>
    <t xml:space="preserve">  • Question Bank row 38: the ID "DPG h" has no number. We treated it as part of DPG 5. Please correct the ID in the question bank.</t>
  </si>
  <si>
    <t xml:space="preserve">  • Section 'State Capacities' has no (CODE); using SC</t>
  </si>
  <si>
    <t xml:space="preserve">  • UPD 1a: the methodology gives scores up to 10, but the Max Score is 5. Say how the score should be scaled.</t>
  </si>
  <si>
    <t xml:space="preserve">ASICS 2027_Report_Q No</t>
  </si>
  <si>
    <t xml:space="preserve">Group</t>
  </si>
  <si>
    <t xml:space="preserve">MQ_SQ</t>
  </si>
  <si>
    <t xml:space="preserve">Assessment level</t>
  </si>
  <si>
    <t xml:space="preserve">Max Score</t>
  </si>
  <si>
    <t xml:space="preserve">ENTER</t>
  </si>
  <si>
    <t xml:space="preserve">Derived</t>
  </si>
  <si>
    <t xml:space="preserve">UPD1</t>
  </si>
  <si>
    <t xml:space="preserve">UPD2</t>
  </si>
  <si>
    <t xml:space="preserve">UPD3</t>
  </si>
  <si>
    <t xml:space="preserve">UPD4</t>
  </si>
  <si>
    <t xml:space="preserve">UPD5</t>
  </si>
  <si>
    <t xml:space="preserve">UPD6</t>
  </si>
  <si>
    <t xml:space="preserve">DPG1</t>
  </si>
  <si>
    <t xml:space="preserve">DPG2</t>
  </si>
  <si>
    <t xml:space="preserve">DPG5</t>
  </si>
  <si>
    <t xml:space="preserve">DPG6</t>
  </si>
  <si>
    <t xml:space="preserve">DPG7</t>
  </si>
  <si>
    <t xml:space="preserve">SC4</t>
  </si>
  <si>
    <t xml:space="preserve">SC7</t>
  </si>
  <si>
    <t xml:space="preserve">PARASTATAL_Scores</t>
  </si>
  <si>
    <t xml:space="preserve">PARASTATAL_OVERALL_SCORE</t>
  </si>
  <si>
    <t xml:space="preserve">No. of MQs not yet scored ("?") - overall score is provisional while &gt; 0</t>
  </si>
  <si>
    <t xml:space="preserve">No. of MQs marked NA (excluded from overall score)</t>
  </si>
  <si>
    <t xml:space="preserve">City</t>
  </si>
  <si>
    <t xml:space="preserve">Agencies</t>
  </si>
  <si>
    <t xml:space="preserve">PARASTATAL score</t>
  </si>
  <si>
    <t xml:space="preserve">Agencies with a score</t>
  </si>
  <si>
    <t xml:space="preserve">Bengaluru</t>
  </si>
  <si>
    <t xml:space="preserve">BWSSB, BMTC, BDA, BMRCL, BMRDA</t>
  </si>
  <si>
    <t xml:space="preserve">Surat</t>
  </si>
  <si>
    <t xml:space="preserve">SUDA, GMRC</t>
  </si>
  <si>
    <t xml:space="preserve">A city's score is the average of its agencies' overall scores. Agencies with no applicable questions (NA) are left out.</t>
  </si>
  <si>
    <t xml:space="preserve">Q No</t>
  </si>
  <si>
    <t xml:space="preserve">Original ID</t>
  </si>
  <si>
    <t xml:space="preserve">Applicability</t>
  </si>
  <si>
    <t xml:space="preserve">Detailed Methodology</t>
  </si>
  <si>
    <t xml:space="preserve">Notes for scorers</t>
  </si>
  <si>
    <t xml:space="preserve">UPD 1</t>
  </si>
  <si>
    <t xml:space="preserve">Urban Planning &amp; Design (UPD)</t>
  </si>
  <si>
    <t xml:space="preserve">MQ</t>
  </si>
  <si>
    <t xml:space="preserve">Does the parastatal coordinate with the ULG(s) in preparing its spatial and/or sectoral plans?</t>
  </si>
  <si>
    <t xml:space="preserve">Common — all parastatal types.</t>
  </si>
  <si>
    <t xml:space="preserve">Sum total of the sub-indicators below -</t>
  </si>
  <si>
    <t xml:space="preserve">See sub-indicators</t>
  </si>
  <si>
    <t xml:space="preserve">UPD 1a</t>
  </si>
  <si>
    <t xml:space="preserve">SQ</t>
  </si>
  <si>
    <t xml:space="preserve">Is the parastatal mandated to prepare its spatial and/or sectoral plans in coordination with the ULG(s) within its jurisdiction?</t>
  </si>
  <si>
    <t xml:space="preserve">Law/Policy</t>
  </si>
  <si>
    <t xml:space="preserve">Review the relevant Parastatal Act and the State Town and Country Planning (T&amp;CP) Act.
10 — ULG approval/concurrence or joint preparation is required. 
7.5 — formal consultation is mandatory, and ULG response must be considered/responded to. 
5 — consultation is mandatory, but there is no obligation to incorporate/respond. 
2.5 — consultation is discretionary (“may”). 
0 — no formal role.</t>
  </si>
  <si>
    <t xml:space="preserve">Relevant Parastatal Act; applicable Town and Country Planning (T&amp;CP) Act.</t>
  </si>
  <si>
    <t xml:space="preserve">UPD 1b</t>
  </si>
  <si>
    <t xml:space="preserve">Has the ULG participated in the parastatal’s plan-making process?</t>
  </si>
  <si>
    <t xml:space="preserve">Implementation</t>
  </si>
  <si>
    <t xml:space="preserve">Review the latest available plan-making cycle for evidence of ULG participation in the parastatal’s plan-making process, irrespective of whether such participation is legally mandated.
Score 10 where there is evidence of substantive ULG participation, such as joint preparation, concurrence/approval, or documented consideration of and response to ULG inputs.
Score 5 where the ULG was formally consulted or invited to provide inputs, but there is no evidence of how these inputs were considered.
Score 2.5 where there is evidence of limited or informal engagement with the ULG.
Score 0 where there is no evidence of ULG participation.
Evidence may include plan documents, consultation records, meeting minutes, ULG resolutions/comments, responses to ULG inputs, or information published on the parastatal/ULG website.</t>
  </si>
  <si>
    <t xml:space="preserve">Evidence may include plan documents, consultation records, meeting minutes, ULG resolutions/comments, responses to ULG inputs, or information published on the parastatal website.</t>
  </si>
  <si>
    <t xml:space="preserve">UPD 2</t>
  </si>
  <si>
    <t xml:space="preserve">Where multiple statutory or sectoral plans apply to the same territory, does the water supply board and transport corporation ensure consistency with the applicable metropolitan/regional or city master plan/strategic plan for the city?</t>
  </si>
  <si>
    <t xml:space="preserve">All parastatals excluding Development Authorities</t>
  </si>
  <si>
    <t xml:space="preserve">Sum of the sub-questions below -</t>
  </si>
  <si>
    <t xml:space="preserve">UPD 2a</t>
  </si>
  <si>
    <t xml:space="preserve">Where multiple statutory or sectoral plans apply to the same territory, is the water board mandated to ensure consistency with the applicable metropolitan/regional or city master plan/strategic plan for the city?</t>
  </si>
  <si>
    <t xml:space="preserve">Water supply board</t>
  </si>
  <si>
    <t xml:space="preserve">Review the relevant Parastatal Act and Town and Country Planning Act.
Score 2.50 if the parastatal shall/is required to ensure that its spatial/sectoral plan is consistent with the applicable city, metropolitan or regional statutory plan.
Score 1.25 if the law provides that the parastatal may ensure/seek such consistency or otherwise makes alignment discretionary.
Score 0 if no such provision exists.
For example, a provision stating that a water supply plan shall conform to the applicable Master Plan or Metropolitan Plan would score 2.5, while a provision stating that the authority may have regard to such a plan would score 1.25.</t>
  </si>
  <si>
    <t xml:space="preserve">UPD 2b</t>
  </si>
  <si>
    <t xml:space="preserve">Where multiple statutory or sectoral plans apply to the same territory, does the water supply board ensure consistency with the applicable metropolitan/regional or city master plan/strategic plan for the city?</t>
  </si>
  <si>
    <t xml:space="preserve">Review the Board’s current water supply/sewerage master plan, or equivalent sectoral planning document, together with the applicable Master Plan/Development Plan/Metropolitan or Regional Plan.
Score 2.5 if the water plan demonstrates substantive spatial alignment with the city’s master plan: It explicitly draws reference to the city master plan, uses the master plan’s growth/service areas and/or land-use framework to determine network expansion and major infrastructure siting, and also refers to the master plan or its projections as an input.
Score 1.25 if there is partial alignment: the water plan refers to the master plan and/or uses its population, density or land-use projections, but does not clearly demonstrate that these inputs determine the spatial location of network expansion, service areas or major infrastructure.
Score 0 if there is no identifiable evidence that the Master Plan or its spatial/population framework informs water planning.
The score sheet should record components for scores, the plan/document relied upon, year, applicable statutory master plan and the specific reference demonstrating alignment.
Additional quality check, and not for scoring:
Where readily available, record whether major treatment plants, trunk infrastructure or other significant facilities have required subsequent land-use conversion/regularisation because they were located on land not originally designated for that use. Treat this as contextual evidence of planning misalignment; it should not require a project-by-project review across the entire city.</t>
  </si>
  <si>
    <t xml:space="preserve">Water Supply Board's current water supply/sewerage master plan or equivalent sectoral planning document; applicable Master Plan/Development Plan/Metropolitan or Regional Plan; land-use conversion/regularisation records for major treatment plants or trunk infrastructure, where available.</t>
  </si>
  <si>
    <t xml:space="preserve">UPD 2c</t>
  </si>
  <si>
    <t xml:space="preserve">Where multiple statutory or sectoral plans apply to the same territory, is the transport corporation mandated to ensure consistency with the applicable metropolitan/regional or city master plan/strategic plan for the city?</t>
  </si>
  <si>
    <t xml:space="preserve">Transport Corporation</t>
  </si>
  <si>
    <t xml:space="preserve">Review the relevant Parastatal Act and Town and Country Planning Act.
Score 2.5 if the parastatal shall/is required to ensure that its spatial/sectoral plan is consistent with the applicable city, metropolitan or regional statutory plan.
Score 1.25 if the law provides that the parastatal may ensure/seek such consistency or otherwise makes alignment discretionary.
Score 0 if no such provision exists.
For example, a provision stating that a transport plan shall conform to the applicable Master Plan or Metropolitan Plan would score 2.5, while a provision stating that the authority may have regard to such a plan would score 1.25.</t>
  </si>
  <si>
    <t xml:space="preserve">UPD 2d</t>
  </si>
  <si>
    <t xml:space="preserve">Where multiple statutory or sectoral plans apply to the same territory, does the transport corporation ensure consistency with the applicable metropolitan/regional or city master plan/strategic plan for the city?</t>
  </si>
  <si>
    <t xml:space="preserve">Review the transport corporation's current transport/mobility master plan, network expansion plan, or equivalent sectoral planning document, together with the applicable Master Plan/Development Plan/Metropolitan or Regional Plan.
Score 2.5 if the transport plan demonstrates substantive spatial alignment with the city's master plan: it explicitly draws reference to the city master plan, uses the master plan's growth corridors, land-use framework and/or density projections to determine route planning, station/depot siting or network expansion, and refers to the master plan or its projections as an input.
Score 1.25 if there is partial alignment: the transport plan refers to the master plan and/or uses its population, density or land-use projections, but does not clearly demonstrate that these inputs determine the spatial location of routes, stations or major infrastructure.
Score 0 if there is no identifiable evidence that the Master Plan or its spatial/population framework informs transport planning.
The score sheet should record components for scores, the plan/document relied upon, year, applicable statutory master plan, and the specific reference demonstrating alignment.
Additional quality check, not for scoring: where readily available, record whether major depots, terminals or transit infrastructure required subsequent land-use conversion/regularisation because they were sited on land not originally designated for that use. Treat this as contextual evidence of planning misalignment; it should not require a project-by-project review across the entire city.</t>
  </si>
  <si>
    <t xml:space="preserve">Transport corporation's current mobility/network plan; applicable Master Plan/Development Plan/Metropolitan or Regional Plan; land-use conversion/regularisation records for major transport infrastructure, where available.</t>
  </si>
  <si>
    <t xml:space="preserve">UPD 3</t>
  </si>
  <si>
    <t xml:space="preserve">Are the needs of women, the urban poor, and other vulnerable groups explicitly considered in the water board’s planning, service delivery or major investment decisions?</t>
  </si>
  <si>
    <t xml:space="preserve">Review the relevant Act of the parastatal and applicable sectoral legislation, rules, regulations and other binding policy instruments. Do not award credit solely for broad references such as “public interest”, “public welfare” or “welfare of inhabitants”; there must be an identifiable requirement relating to women, the urban poor, EWS/slum residents, persons with disabilities, informal workers, disadvantaged/vulnerable groups, affordability, equitable/universal access, safety, or rehabilitation/resettlement protections.</t>
  </si>
  <si>
    <t xml:space="preserve">Relevant Act of the parastatal and applicable sectoral legislation, rules, regulations and other binding policy instruments</t>
  </si>
  <si>
    <t xml:space="preserve">UPD 3a</t>
  </si>
  <si>
    <t xml:space="preserve">Is the water supply board mandated to consider the needs of women, the urban poor and other vulnerable groups in decisions relating to access, affordability and delivery of water and sanitation services?</t>
  </si>
  <si>
    <t xml:space="preserve">Review the Water Supply Board/utility Act, water and sanitation legislation, tariff regulations, service rules, State policies and other applicable binding instruments. Look for explicit requirements relating to universal/equitable access, service to slums or informal settlements, low-income/EWS households, affordability or concessional tariffs, minimum/lifeline supply, tenure-neutral access, women’s needs, persons with disabilities or other identified vulnerable groups.
Score 5 if equity requirements apply across core service-access and delivery decisions
Score 2.5 if limited to particular groups, services or schemes
Score 0 if no explicit requirement is found.</t>
  </si>
  <si>
    <t xml:space="preserve">Water Supply Board/utility Act, water and sanitation legislation, tariff regulations, service rules, State policies and other applicable binding instruments</t>
  </si>
  <si>
    <t xml:space="preserve">UPD 3b</t>
  </si>
  <si>
    <t xml:space="preserve">Does the water supply board actually consider the needs of women, the urban poor and other vulnerable groups in decisions relating to access, affordability and delivery of water and sanitation services?</t>
  </si>
  <si>
    <t xml:space="preserve">Review the Board’s current water supply plan. Assess whether the Board’s it contains identifiable equity and inclusion measures for groups such as EWS/BPL households, slum/informal-settlement residents, women, persons with disabilities, elderly persons or other specifically identified vulnerable/disadvantaged groups.
Do not award credit for generic language such as “public interest”, “all consumers”, “universal service” or “inclusive development” unless this is translated into a specific planning, service, tariff, connection or design provision.
Component 1 – Affordability and inclusion in service coverage: 2.5 marks
Look for identifiable provisions such as:
concessional/lifeline tariff, connection fee concession, deposit concession or other affordability measure for EWS/BPL/slum/low-income households
a named scheme or coverage commitment for slums/informal settlements
inclusion of slums/informal settlements within the water-supply master plan’s demand assessment, network design or service area, including where relevant irrespective of land tenure or notified status
priority/admissible category for network extension to low-income or underserved settlements
decentralised/service alternatives such as community stand posts, water ATMs or mini-networks where individual household connections are not feasible.
Scoring
Score 2.5 if there is evidence of both (i) an affordability/access measure and (ii) an explicit service-planning/coverage measure for an identified vulnerable group.
Score 1.25 if only one of the above is present.
Score 0 if neither is present.
Component 2 – Gender, and accessible design: 2.5 marks
Look for identifiable planning or design measures such as:
GESI/gender/social inclusion screening or analysis within water-supply planning or DPR preparation
explicit design consideration for women, PwDs, elderly persons, children or other identified vulnerable users
siting of shared water infrastructure to reduce time, distance or physical burden
safe and accessible approaches to community water points
barrier-free/universal-access design standards for public-facing water infrastructure, including ramps, step-free access, appropriate tap heights or other accessible design features
other specific design or service measures intended to address identified access barriers.
Scoring
Score 2.5 if the Board’s current planning/design framework contains specific operational or design measures addressing the needs of identified vulnerable groups.
Score 1.25 if vulnerable groups are specifically identified and considered, but the provision does not translate into a clear operational/design requirement.
Score 0 if there is no identifiable equity/accessibility consideration.</t>
  </si>
  <si>
    <t xml:space="preserve">Water Supply Board's current water supply/sanitation plan; scheme/coverage documents; tariff or connection-concession orders; design/service standards.</t>
  </si>
  <si>
    <t xml:space="preserve">UPD 4</t>
  </si>
  <si>
    <t xml:space="preserve">Are the needs of women, the urban poor, and other vulnerable groups explicitly considered in the transport Corporation’s planning, service delivery or major investment decisions?</t>
  </si>
  <si>
    <t xml:space="preserve">UPD 4a</t>
  </si>
  <si>
    <t xml:space="preserve">Is the transport corporation mandated to consider the mobility needs of women, the urban poor and other vulnerable groups in planning and delivering public transport services?</t>
  </si>
  <si>
    <t xml:space="preserve">Review the transport authority/corporation Act, applicable transport legislation, rules, service regulations, fare policies and other binding policy instruments. Look for requirements relating to women’s safety and mobility, affordability/concessional fares, service coverage for low-income or peripheral areas, universal accessibility, persons with disabilities, last-mile access or other identified vulnerable users.
Score 5 if such considerations are explicitly embedded across core service-planning and delivery functions
Score 2.5 if limited to specific groups, services or schemes
Score 0 if no explicit requirement is found.</t>
  </si>
  <si>
    <t xml:space="preserve">Transport authority/corporation Act, applicable transport legislation, rules, service regulations, fare policies and other binding policy instruments</t>
  </si>
  <si>
    <t xml:space="preserve">UPD 4b</t>
  </si>
  <si>
    <t xml:space="preserve">Does the Transport Corporation actually consider the needs of women, the urban poor and other vulnerable groups in decisions relating to access, affordability and delivery of public transport services?</t>
  </si>
  <si>
    <t xml:space="preserve">Review the Corporation's current transport/mobility plan or service-delivery framework. Assess whether it contains identifiable equity and inclusion measures for groups such as EWS/BPL households, informal-settlement residents, women, persons with disabilities, elderly persons or other specifically identified vulnerable/disadvantaged groups.
Do not award credit for generic language such as "public interest," "all commuters," "universal service" or "inclusive development" unless this is translated into a specific route, fare, service or design provision.
Component 1 – Affordability and inclusion in service coverage: 2.5 marks. Look for: concessional/subsidised fares for EWS/BPL, students, elderly persons, persons with disabilities or women; a named coverage commitment for low-income/peripheral areas; inclusion of informal settlements within route planning; last-mile connectivity measures for underserved settlements.
Score 2.5 if there is evidence of both (i) an affordability/fare-concession measure and (ii) an explicit route/coverage measure for an identified vulnerable group. Score 1.25 if only one is present. Score 0 if neither is present.
Component 2 – Gender, safety and accessible design: 2.5 marks. Look for: women's safety features (CCTV, panic buttons, adequate lighting); GESI/gender screening in transport planning; accessible design for persons with disabilities and elderly users (low-floor buses, ramps, priority seating, step-free access).
Score 2.5 if the Corporation's current planning/design framework contains specific operational or design measures. Score 1.25 if vulnerable groups are identified but this doesn't translate into an operational/design requirement. Score 0 if no identifiable consideration.</t>
  </si>
  <si>
    <t xml:space="preserve">Transport Corporation's current transport/mobility plan; fare policy/concession orders; service design standards or specifications; annual report.</t>
  </si>
  <si>
    <t xml:space="preserve">UPD 5</t>
  </si>
  <si>
    <t xml:space="preserve">Are environmental considerations explicitly required to be integrated into the water supply board’s planning, service-delivery or major investment decisions?</t>
  </si>
  <si>
    <t xml:space="preserve">Assess through the relevant parastatal-specific question below. Review the enabling Act of the parastatal, applicable sectoral legislation, T&amp;CP/planning legislation where relevant, environmental rules/regulations, and other binding policy instruments governing the parastatal’s functions. Do not award credit solely for general references to “environment”, “public interest” or compliance with project-level environmental clearances. The legal/policy framework should require environmental considerations to inform the parastatal’s own planning, investment or service-delivery decisions.</t>
  </si>
  <si>
    <t xml:space="preserve">Enabling Act of the parastatal, applicable sectoral legislation, T&amp;CP/planning legislation, relevant environmental rules/regulations, and other binding policy instruments</t>
  </si>
  <si>
    <t xml:space="preserve">UPD 5a</t>
  </si>
  <si>
    <t xml:space="preserve">Is the water supply board mandated to consider environmental sustainability in planning and delivering water and sanitation services?</t>
  </si>
  <si>
    <t xml:space="preserve">Review the Water Supply Board/utility Act, water and sanitation legislation, service rules, State water policies, groundwater/source-protection provisions and other binding instruments. Look for explicit requirements relating to sustainable water sources, source protection, demand management or conservation, reduction of water losses, wastewater treatment/reuse, protection from pollution, environmental flows where applicable, climate resilience or environmentally sustainable service delivery. 
Score 5 if environmental sustainability requirements apply across core water/sanitation planning and service-delivery functions; 
Score 2.5 if limited to particular functions, schemes or environmental concerns; 
Score 0 if no explicit requirement is found.</t>
  </si>
  <si>
    <t xml:space="preserve">Water Supply Board/utility Act, water and sanitation legislation, service rules, State water policies, groundwater/source-protection provisions and other binding instruments</t>
  </si>
  <si>
    <t xml:space="preserve">UPD 5b</t>
  </si>
  <si>
    <t xml:space="preserve">Does the water supply board actually consider environmental sustainability in planning and delivering water and sanitation services?</t>
  </si>
  <si>
    <t xml:space="preserve">Review the Board's latest water supply plan. Assess whether it contains identifiable environmental sustainability measures relating to source management, conservation, wastewater management, or climate resilience.
Do not award credit for generic language such as "sustainable development," "efficient service," "environment friendly" or "public interest" unless this is translated into a specific planning, operational, or design provision.
Component 1 – Sustainable source management, conservation and loss reduction: 2.5 marks
Look for identifiable provisions such as:
sustainable or diversified water source development, or measures to reduce over-extraction/dependence on a stressed source
groundwater recharge, rainwater harvesting, or source-protection measures within the Board's own infrastructure planning
a non-revenue water (NRW)/water-loss reduction target or programme
demand management or water conservation measures (e.g., universal metering, leak detection and repair programme, conservation-oriented design standards)
measures to protect water sources from pollution or encroachment (buffer/catchment protection, control of upstream effluent discharge)
any other specific measure on sustainable source management, and/or conservation and loss reduction
Scoring:
Score 2.5 if there is evidence of both (i) a sustainable source/protection measure and (ii) an explicit loss-reduction or demand-management target/programme.
Score 1.25 if only one of the above is present. Score 0 if neither is present.
Component 2 – Wastewater management, reuse and climate resilience: 2.5 marks
Look for identifiable planning or operational measures such as:
wastewater treatment capacity or quality targets aligned with service expansion
a treated-wastewater reuse/recycling target or scheme (industrial, horticultural, non-potable reuse, etc.)
climate resilience or adaptation measures for water sources or infrastructure (drought contingency planning, flood-proofing of treatment/pumping assets)
energy efficiency measures in water/wastewater operations (energy audits, renewable energy use in pumping/treatment)
environmental flow or ecological considerations where surface water sources are used
other specific measures addressing the environmental impact of water or wastewater operations
Scoring:
Score 2.5 if the Board's current planning framework contains specific operational measures addressing wastewater management, climate resilience or energy use.
Score 1.25 if such considerations are mentioned or identified but do not translate into a clear operational or target-based requirement.
Score 0 if there is no identifiable environmental sustainability consideration.</t>
  </si>
  <si>
    <t xml:space="preserve">Water Supply Board's current water supply/sanitation plan; source-protection or conservation programme documents; wastewater treatment/reuse scheme documents; annual report.</t>
  </si>
  <si>
    <t xml:space="preserve">UPD 6</t>
  </si>
  <si>
    <t xml:space="preserve">Are environmental considerations explicitly required to be integrated into the transport corporation’s planning, service-delivery or major investment decisions?</t>
  </si>
  <si>
    <t xml:space="preserve">UPD 6a</t>
  </si>
  <si>
    <t xml:space="preserve">Is the transport corporation mandated to consider environmental sustainability in planning and delivering urban transport services and investments?</t>
  </si>
  <si>
    <t xml:space="preserve">Review the transport authority/corporation Act, applicable transport legislation, rules, mobility/transport policies and other binding instruments. Look for explicit requirements relating to public and non-motorised transport prioritisation, emissions reduction, cleaner vehicle/fuel transition, energy efficiency, integration of land use and transport, reduction of congestion or vehicle dependence, climate resilience, or environmental impacts of major transport investments.
Score 5 if environmental considerations are explicitly embedded across core transport planning/investment/service-delivery functions
Score 2.5 if limited to specific modes, projects or environmental objectives
Score 0 if no explicit requirement is found.</t>
  </si>
  <si>
    <t xml:space="preserve">Transport authority/corporation Act, applicable transport legislation, rules, mobility/transport policies and other binding instruments</t>
  </si>
  <si>
    <t xml:space="preserve">UPD 6b</t>
  </si>
  <si>
    <t xml:space="preserve">Does the transport corporation actually considers environmental sustainability in planning and delivering urban transport services and investments?</t>
  </si>
  <si>
    <t xml:space="preserve">Review the Corporation's current fleet plan, network/route plan or environmental/sustainability policy. Assess whether it contains identifiable environmental sustainability measures relating to fleet composition, emissions, energy use or modal integration.
Do not award credit for generic language such as "sustainable development," "green transport" or "environment friendly" unless translated into a specific fleet, operational or design provision.
Component 1 – Cleaner fleet and emissions reduction: 2.5 marks. Look for: an electric/CNG/hybrid fleet-transition target; an emissions or fuel-efficiency target; a retirement/phase-out schedule for high-emission vehicles.
Score 2.5 if evidence of both (i) a cleaner-fuel/fleet-transition measure and (ii) an explicit emissions/efficiency target. Score 1.25 if only one is present. Score 0 if neither.
Component 2 – Modal integration and demand-side measures: 2.5 marks. Look for: route planning informed by land-use/density to reduce vehicle-km travelled; NMT integration at stops/stations; multimodal integration (common ticketing, interchange with metro/rail); energy efficiency in depots/operations.
Score 2.5 if the Corporation's planning framework contains specific operational measures. Score 1.25 if mentioned but not operationalised/targeted. Score 0 if no identifiable consideration.</t>
  </si>
  <si>
    <t xml:space="preserve">Transport Corporation's fleet plan; route/network plan; environmental/sustainability policy; annual report.</t>
  </si>
  <si>
    <t xml:space="preserve">DPG 1</t>
  </si>
  <si>
    <t xml:space="preserve">Decentralised Participatory Governance</t>
  </si>
  <si>
    <t xml:space="preserve">Are the functions and geographical jurisdiction of the parastatal clearly defined vis-à-vis the ULG and other relevant agencies?</t>
  </si>
  <si>
    <t xml:space="preserve">Institutional Design</t>
  </si>
  <si>
    <t xml:space="preserve">Parastatal, 12th Schedule mapping exercise</t>
  </si>
  <si>
    <t xml:space="preserve">DPG 1a</t>
  </si>
  <si>
    <t xml:space="preserve">Does the legal framework clearly demarcate the functions/responsibilities of the parastatal vis-à-vis the ULG?</t>
  </si>
  <si>
    <t xml:space="preserve">Step 1 — Check devolution status under the Municipal Act.
Review the Municipal Act to determine whether the specific function/service is:
A — Not devolved: the function is not assigned to the ULG at all.
B — Fully devolved: the function is assigned to the ULG in full, and the parastatal also delivers it (i.e. a potential overlap exists).
C — Partially devolved: only specific sub-functions are assigned to the ULG (e.g. domestic water supply to the ULG, bulk supply/production to the parastatal).
Step 2 — Score based on which scenario applies.
If A (not devolved): Score 5. There is no ULG claim to the function, so there is nothing to demarcate against — the parastatal Act's assignment stands on its own.
If B (fully devolved, both deliver it): Check whether the Parastatal Act explicitly carves out or distinguishes the parastatal's role from the ULG's (e.g. the parastatal Act specifies it handles a particular aspect, area, or scale of the function, rather than simply repeating the ULG's full assignment).
Score 5 if such a distinction is explicit in the Parastatal Act.
Score 0 if both Acts assign the same function with no distinction between them.
If C (partially devolved): Check whether the aspect assigned to the parastatal is explicit and does not overlap with the aspect assigned to the ULG (e.g. Municipal Act assigns domestic water supply to the ULG; Parastatal Act assigns bulk supply/production to the parastatal — no overlap).
Score 5 if the two Acts' assignments are explicit and non-overlapping.
Score 0 if the assigned aspects overlap, or if the parastatal's aspect is not clearly specified in its Act.
Record the devolution scenario (A/B/C) and the specific provisions relied upon in the evidence column.</t>
  </si>
  <si>
    <t xml:space="preserve">Relevant Parastatal Act; State Municipal Act — record the specific provisions establishing devolution status and (where applicable) the functional carve-out.</t>
  </si>
  <si>
    <t xml:space="preserve">DPG 1b</t>
  </si>
  <si>
    <t xml:space="preserve">Is the parastatal's territorial/geographic jurisdiction clearly and specifically defined in its enabling legal framework?</t>
  </si>
  <si>
    <t xml:space="preserve">Review the relevant Parastatal Act and Municipal Act as the primary source. Since jurisdiction may be amended or updated after the parent Act through subsequent notifications, gazette orders, or administrative boundary changes not yet reflected in the Act, also cross-check the parastatal's official website and any government notifications/gazette publications for the current jurisdictional boundary. 
Score 5 if jurisdiction is defined with a specific boundary description, schedule, or map reference in the enabling Act. Review the relevant Parastatal Act and Municipal Act. 
Score 2.5 if defined only in general terms (e.g. "notified area" with no schedule). Score 0 if jurisdiction is not defined.</t>
  </si>
  <si>
    <t xml:space="preserve">Enabling Act, 12th Schedule mapping exercise</t>
  </si>
  <si>
    <t xml:space="preserve">DPG 2</t>
  </si>
  <si>
    <t xml:space="preserve">Is the parastatal accountable to the ULG?</t>
  </si>
  <si>
    <t xml:space="preserve">DPG 2a</t>
  </si>
  <si>
    <t xml:space="preserve">Does the ULG have representation on the parastatal's governing board?</t>
  </si>
  <si>
    <t xml:space="preserve">Review the relevant Parastatal Act and Municipal Act for composition.
Score 5 if ULG-elected representatives sit on the board with voting rights. 
Score 2.5 if represented without voting rights or only as invitees. 
Score 0 if no representation.</t>
  </si>
  <si>
    <t xml:space="preserve">Composition clause of enabling Act; current board member list</t>
  </si>
  <si>
    <t xml:space="preserve">DPG-2b</t>
  </si>
  <si>
    <t xml:space="preserve">Is the parastatal mandated to submit its plans, budgets or reports to the ULG/council?</t>
  </si>
  <si>
    <t xml:space="preserve">Review the relevant Parastatal Act and Municipal Act for provisions requiring the parastatal to submit or table its plans, budgets and reports before the ULG/council. The requirement may be provided through a general provision covering these documents or through specific provisions for each.
Award 1.67 points each where:
1. plans are required to be submitted/tabled;
2. budgets are required to be submitted/tabled; and
3. annual/performance reports are required to be submitted/tabled.
Score 0 for each component where no such requirement exists. 
Where all three are provided for, award the full score of 5.
Record the relevant provision and the documents covered in the evidence column. Submission only to the State Government or another authority should not be counted as submission to the ULG/council.</t>
  </si>
  <si>
    <t xml:space="preserve">Plan/Budget preparation/Annual report preparation clause of the enabling Act of the relevant parastatal</t>
  </si>
  <si>
    <t xml:space="preserve">DPG 4</t>
  </si>
  <si>
    <t xml:space="preserve">Does the parastatal maintain an active and functional website?</t>
  </si>
  <si>
    <t xml:space="preserve">Common.</t>
  </si>
  <si>
    <t xml:space="preserve">Check the official website of the relevant parastatal.
Score 10 if an official website of the relevant parastatal exists, opens without error, and shows content updated within the last 12 months (verifiable "last updated" date or dated content such as a recent notice/circular). 
Score 0 if no official website is found. This is a point-in-time check — record the date of verification and an archived screenshot/link as evidence, since website status can change.</t>
  </si>
  <si>
    <t xml:space="preserve">Live URL, screenshot/web-archive capture, date of check of the website of the relevant parastatal</t>
  </si>
  <si>
    <t xml:space="preserve">DPG 5</t>
  </si>
  <si>
    <t xml:space="preserve">Are the parastatal's key financial, governance, and operational documents available on the website and published in accessible, open-data formats?</t>
  </si>
  <si>
    <t xml:space="preserve">Sum of sub-questions below - 
Assess each of the ten components below independently. Each component carries 1 point: 0.5 for online availability and 0.5 for publication in an open, machine-readable/reusable format, as appropriate to the information type. 
For online availability, score 0.5 if the document/information is publicly available online and current, relating to the current financial year or at least the immediately preceding financial year, as applicable; 
score 0 if it is unavailable or outdated. 
Aggregate the scores across all ten components to arrive at the total score out of 10.</t>
  </si>
  <si>
    <t xml:space="preserve">Website screenshots/archived URLs with date of access, for each document type</t>
  </si>
  <si>
    <t xml:space="preserve">Annual budget</t>
  </si>
  <si>
    <t xml:space="preserve">Availability and currency — 0.5
0.5: Budget for the current FY or immediately preceding FY is publicly available online
0: Budget cannot be found/accessed online or is older than the permitted period.
Record the FY/year/date of the latest information found in a separate evidence field even where the score is 0.
Minimum format/accessibility — 0.5
0.5: Budget data available in a structured, machine-readable/reusable format (XLS/XLSX, CSV, ODS, structured HTML table, downloadable structured dataset)
0: Budget data is available but does not meet that standard (Scanned PDF/image; PDF containing only tables that cannot be readily extracted/reused)</t>
  </si>
  <si>
    <t xml:space="preserve">DPG 5b</t>
  </si>
  <si>
    <t xml:space="preserve">Audited annual accounts</t>
  </si>
  <si>
    <t xml:space="preserve">Availability and currency — 0.5
Score 0.5: Audited accounts for the immediately preceding FY, or the latest FY for which audited accounts are due, are publicly available online. Allow a one-FY lag where audit timelines make preceding-year accounts not yet due.
Score 0: Audited accounts cannot be found/accessed online or is older than the permitted period.
Record the FY/year/date of the latest information found in a separate evidence field even where the score is 0.
Minimum format/accessibility — 0.5
Score 0.5: Financial statements available in a structured, machine-readable/reusable format (XLS/XLSX, CSV, ODS, structured HTML table, downloadable structured dataset)
Score 0: Financial statements is available but does not meet that standard (Scanned PDF/image; PDF containing only tables that cannot be readily extracted/reused)</t>
  </si>
  <si>
    <t xml:space="preserve">DPG 5c</t>
  </si>
  <si>
    <t xml:space="preserve">Annual report</t>
  </si>
  <si>
    <t xml:space="preserve">Availability and currency — 0.5
Score 0.5: Annual report for the immediately preceding FY, or latest report due, is publicly available online.
Score 0: Annual report cannot be found/accessed online or is older than the permitted period.
Record the FY/year/date of the latest information found in a separate evidence field even where the score is 0.
Minimum format/accessibility — 0.5
Score 0.5: Annual report available in a searchable/text-readable and downloadable document (Searchable PDF/PDF-A, HTML, DOC/DOCX, accessible e-publication)
Score 0: Annual report is available but does not meet that standard (Scanned/image-only PDF; images of report pages)</t>
  </si>
  <si>
    <t xml:space="preserve">DPG d</t>
  </si>
  <si>
    <t xml:space="preserve">Meeting minutes of governing board</t>
  </si>
  <si>
    <t xml:space="preserve">Availability and currency — 0.5
Score 0.5: At least one set of minutes from the current FY or immediately preceding FY is publicly available online
Score 0: Meeting Minutes cannot be found/accessed online or is older than the permitted period.
Record the FY/year/date of the latest information found in a separate evidence field even where the score is 0.
Minimum format/accessibility — 0.5
Score 0.5: Meeting Minutes available in a searchable/text-readable and downloadable document (Searchable PDF, HTML, DOC/DOCX)
Score 0: Meeting Minutes is available but does not meet that standard (Scanned/image-only minutes; image gallery)</t>
  </si>
  <si>
    <t xml:space="preserve">DPG f</t>
  </si>
  <si>
    <t xml:space="preserve">Organisation and staffing information</t>
  </si>
  <si>
    <t xml:space="preserve">Availability and currency — 0.5
Score 0.5: Information reflects the current organisational structure, or has evidence of being updated in the current or immediately preceding FY
Score 0: Current organisational structure cannot be found/accessed online or is older than the permitted period.
Record the FY/year/date of the latest information found in a separate evidence field even where the score is 0.
Minimum format/accessibility — 0.5
Score 0.5: Current organisational structure available in as searchable webpage or searchable/downloadable document with identifiable posts/officials/structure (HTML organisation/staff directory; searchable PDF organisation chart; XLS/CSV staff-position information)
Score 0: Current organisational structure is available but does not meet that standard (Image-only organisation chart; scanned list)</t>
  </si>
  <si>
    <t xml:space="preserve">Major plans / projects</t>
  </si>
  <si>
    <t xml:space="preserve">Availability and currency — 0.5
Score 0.5: Major plans and/or information on ongoing projects is available and relates to the current FY or immediately preceding FY, as applicable
Score 0: Major plans and/or information on ongoing projects cannot be found/accessed online or is older than the permitted period.
Record the FY/year/date of the latest information found in a separate evidence field even where the score is 0.
Minimum format/accessibility — 0.5
Score 0.5: Major plans and/or information on ongoing projects available in the following manner
- Plans: searchable/text-readable downloadable document. 
- Project information: searchable webpage/table or structured downloadable data (Searchable plan PDF; HTML project dashboard; XLS/CSV project list)
Score 0: Major plans and/or information on ongoing projects is available but does not meet that standard (Scanned plan only; project information presented only as images)</t>
  </si>
  <si>
    <t xml:space="preserve">DPG h</t>
  </si>
  <si>
    <t xml:space="preserve">Service-level benchmarks and performance reports</t>
  </si>
  <si>
    <t xml:space="preserve">Availability and currency — 0.5
Score 0.5: Performance information for the current FY or immediately preceding FY is publicly available online
Score 0: Performance information cannot be found/accessed online or is older than the permitted period.
Record the FY/year/date of the latest information found in a separate evidence field even where the score is 0.
Minimum format/accessibility — 0.5
Score 0.5: Performance information available in a structured, machine-readable/reusable format (CSV, XLS/XLSX, ODS, structured HTML table/dashboard with downloadable data)
Score 0: Performance information is available but does not meet that standard (Scanned performance report; image/chart with no underlying readable/reusable values)</t>
  </si>
  <si>
    <t xml:space="preserve">Citizen / Service Charter</t>
  </si>
  <si>
    <t xml:space="preserve">Availability and currency — 0.5
Score 0.5: A currently applicable Charter is publicly available. No annual publication requirement; do not treat it as outdated solely because it predates the preceding FY if it remains in force.
Score 0: Charter cannot be found/accessed online or is older than the permitted period.
Record the FY/year/date of the latest information found in a separate evidence field even where the score is 0.
Minimum format/accessibility — 0.5
Score 0.5: Charter available in a searchable/text-readable webpage or downloadable document (HTML, searchable PDF/PDF-A, DOC/DOCX)
Score 0: Charter is available but does not meet that standard (Scanned/image-only Charter)</t>
  </si>
  <si>
    <t xml:space="preserve">RTI details and designated Public Information Officer contact/procedure</t>
  </si>
  <si>
    <t xml:space="preserve">Availability and currency — 0.5
Score 0.5: Current PIO/APIO details and RTI procedure are publicly available; information should be treated as current where the named office-holder/contact details remain valid
Score 0: Information cannot be found/accessed online or ithe named office-holder/contact details are invalid.
Record the FY/year/date of the latest information found in a separate evidence field even where the score is 0.
Minimum format/accessibility — 0.5
Score 0.5: Information available in a searchable webpage or searchable/downloadable document (HTML RTI page; searchable PDF/DOC containing PIO/contact details)
Score 0: Information is available but does not meet that standard (Image-only notice; scanned PDF)</t>
  </si>
  <si>
    <t xml:space="preserve">Procurement / tender notices and awarded-contract details</t>
  </si>
  <si>
    <t xml:space="preserve">Availability and currency — 0.5
Score 0.5: Procurement information includes tenders/awards from the current FY or immediately preceding FY
Score 0: Information cannot be found/accessed online or is older than the permitted period.
Record the FY/year/date of the latest information found in a separate evidence field even where the score is 0.
Minimum format/accessibility — 0.5
Score 0.5: Tender/award information available as a searchable structured webpage/table or machine-readable/reusable dataset (Searchable e-procurement table, HTML contract register, CSV/XLS/XLSX/ODS download)
Score 0: Information is available but does not meet that standard (Scanned tender lists; image-only notices; individual PDFs with no searchable/indexed tender/award register)</t>
  </si>
  <si>
    <t xml:space="preserve">DPG 6</t>
  </si>
  <si>
    <t xml:space="preserve">Does the parastatal provide for and maintain an accessible grievance-redressal mechanism?</t>
  </si>
  <si>
    <t xml:space="preserve">Composite of the legal-mandate and implementation sub-indicators below.</t>
  </si>
  <si>
    <t xml:space="preserve">DPG 6a</t>
  </si>
  <si>
    <t xml:space="preserve">Is the parastatal mandated to provide a grievance-redressal mechanism?</t>
  </si>
  <si>
    <t xml:space="preserve">Score 5 if  the Parastatal Act/ corresponding subordinate legislation/ citizen or service charter requires a grievance-redressal mechanism (any channel); 0 if not.</t>
  </si>
  <si>
    <t xml:space="preserve">Parastatal Act/ corresponding subordinate legislation/ citizen or service charter</t>
  </si>
  <si>
    <t xml:space="preserve">DPG 6b</t>
  </si>
  <si>
    <t xml:space="preserve">Are accessible grievance-redressal channels available and functional in practice?</t>
  </si>
  <si>
    <t xml:space="preserve">Score out of 5 based on the following components - 
Score 1.00 if a Web-based grievance channel exists
Qualification - An official website/portal provides a functioning mechanism through which a grievance can be lodged online. A dedicated grievance form, integrated government grievance portal or equivalent qualifies.
Evidence - Live URL + dated screenshot showing grievance-submission functionality. Where the parastatal redirects users to a State/common grievance portal, capture both the parastatal link/reference and the relevant portal page.
Score 1.00 if a Mobile / electronic grievance channel exists
Qualification - A currently operational mobile app, designated grievance email, WhatsApp or other officially notified electronic channel is provided for lodging grievances
Evidence - Official website listing the channel; official app listing or screenshot 
Score 1.00  if a telephone grievance channel exists
Qualification - A dedicated or clearly designated helpline/call centre/telephone number is provided for complaints or grievances. A generic office switchboard does not qualify unless it is explicitly identified as accepting grievances.
Evidence - Official website showing the grievance/helpline number.
Score 1.00 if an in-person grievance channel exists
Qualification - Citizens can lodge grievances through an identified helpdesk, grievance counter, designated office/officer or other physical mechanism.
Evidence - Citizen/Service Charter, official website, office notice/order or other official document identifying where/how an in-person grievance can be lodged.
Score 1.00 if an in-person grievance channel
Qualification - The mechanism provides evidence that a registered grievance can be acknowledged and subsequently tracked, through a complaint/reference number, status-tracking facility or equivalent process.
Evidence - Portal screenshot showing acknowledgement/tracking functionality; 
Where all five are provided for, award the full score of 5.</t>
  </si>
  <si>
    <t xml:space="preserve">Relevant parastatal's official website 
Detailed evidence information provided in the methodology column (I 33)</t>
  </si>
  <si>
    <t xml:space="preserve">DPG 7</t>
  </si>
  <si>
    <t xml:space="preserve">Does the law mandate citizen participation in the preparation of plans for which the parastatal is responsible, and does the parastatal provide for such participation in practice?</t>
  </si>
  <si>
    <t xml:space="preserve">Sum of sub-questions below -</t>
  </si>
  <si>
    <t xml:space="preserve">Provisions on plan approval procedure in enabling act of the relevant parastatal/T&amp;CP Act</t>
  </si>
  <si>
    <t xml:space="preserve">DPG 7a</t>
  </si>
  <si>
    <t xml:space="preserve">Is citizen participation in the preparation of the parastatal's plans mandated?</t>
  </si>
  <si>
    <t xml:space="preserve">Review the parastatal Act and rules first. Also review the applicable T&amp;CP/planning Act, Municipal Act  to identify whether a citizen-participation requirement applies to the parastatal directly or to all authorities preparing the relevant category of plan. 
Score 5 if the applicable law/rules mandate a defined citizen-participation process before finalisation/approval of the plan, including publication of a draft plan and invitation of objections/suggestions, public hearing, consultation or equivalent. 
Score 2.5 if participation is provided for but is discretionary, or applies only to specified plan types/stages. 
Score 0 if no applicable requirement is found. Record the legal provision, plan type, form of participation prescribed, and whether the provision uses mandatory or discretionary language.</t>
  </si>
  <si>
    <t xml:space="preserve">Parastatal Act and rules; applicable T&amp;CP Act; State Municipal Act.</t>
  </si>
  <si>
    <t xml:space="preserve">DPG 7b</t>
  </si>
  <si>
    <t xml:space="preserve">Are citizens consulted in practice in the preparation of plans by the parastatal?</t>
  </si>
  <si>
    <t xml:space="preserve">Review the parastatal’s official website and the latest applicable plan/planning exercise. Check the plan document, consultation reports, public notices, minutes/proceedings of consultations or public hearings, and other relevant records available on the website. 
Score 5 if there is publicly verifiable evidence that citizens were provided an opportunity to participate through objections/suggestions, public hearings, consultations or an equivalent process before the plan was finalised. 
Score 2.5 if there is credible evidence that consultation took place, but the process cannot be fully verified from official records—for example, where only a consultation notice, minutes/proceedings, a reference in the final plan, media reports, or other partial documentation is available.</t>
  </si>
  <si>
    <t xml:space="preserve">Plan document; consultation reports; public notices; minutes/proceedings of consultations or hearings on the parastatal's official website; media reports.</t>
  </si>
  <si>
    <t xml:space="preserve">SC-1</t>
  </si>
  <si>
    <t xml:space="preserve">State Capacities</t>
  </si>
  <si>
    <t xml:space="preserve">What proportion of the parastatal's total expenditure is financed through its own revenues?</t>
  </si>
  <si>
    <t xml:space="preserve">Implementation (Numeric)</t>
  </si>
  <si>
    <t xml:space="preserve">Revenue-raising parastatals only</t>
  </si>
  <si>
    <t xml:space="preserve">Compute Own Revenue (Tax and Non-Tax revenue excluding any government grants) and use 3 years average wherever available (at least 2 years but not more than 5 years). Score is own revenue percentage as a proportion of 10 marks i.e. 50% gets 5 out of 10.</t>
  </si>
  <si>
    <t xml:space="preserve">Annual budget of the last three financial years of the relevant parastatal.</t>
  </si>
  <si>
    <t xml:space="preserve">SC-2</t>
  </si>
  <si>
    <t xml:space="preserve">What is the parastatal's per-capita capital expenditure?</t>
  </si>
  <si>
    <t xml:space="preserve">Parastatals with an infrastructure-delivery/capital-expenditure mandate.</t>
  </si>
  <si>
    <t xml:space="preserve">Per-capita capital expenditure = capital expenditure (latest completed FY) ÷ population of the jurisdiction served (latest Census or most recent official projection, source cited). Report the absolute figure; for a composite score convert to a percentile/decile rank against other assessed parastatals of the same type only. Do not pool figures across dissimilar parastatal types (e.g. a transport corporation vs. a development authority) — the comparison is not meaningful.</t>
  </si>
  <si>
    <t xml:space="preserve">Latest annual budget and capital-expenditure accounts of the relevant parastatal; population figure with source.</t>
  </si>
  <si>
    <t xml:space="preserve">SC-3</t>
  </si>
  <si>
    <t xml:space="preserve">How realistic is the parastatal's annual budget?</t>
  </si>
  <si>
    <t xml:space="preserve">Common — all parastatal types with an annual budget.</t>
  </si>
  <si>
    <t xml:space="preserve">3 year average of budget variance wherever available (at least 2 years but not more than 5 years); If variance is within 15%, the score will be 10 but anything over 15% will score 0 out of 10</t>
  </si>
  <si>
    <t xml:space="preserve">Budget documents and audited accounts for the same financial year, compared side by side</t>
  </si>
  <si>
    <t xml:space="preserve">SC-4</t>
  </si>
  <si>
    <t xml:space="preserve">Is the parastatal mandated to prepare a medium-term and/or long-term fiscal plan, and has it prepared a current plan in accordance with that mandate?</t>
  </si>
  <si>
    <t xml:space="preserve">Sum of the legal-mandate and public availability sub-indicators below.</t>
  </si>
  <si>
    <t xml:space="preserve">SC-4a</t>
  </si>
  <si>
    <t xml:space="preserve">Is a medium-term (3-5 year) and/or long-term (&gt;5 year) fiscal plan legally mandated?</t>
  </si>
  <si>
    <t xml:space="preserve">Score 5 if enabling act of the relevant parastatal require a fiscal plan of defined horizon (Medium term at 3-5 years and long term at &gt;5 years). Score 0 if no such requirement.</t>
  </si>
  <si>
    <t xml:space="preserve">Enabling act of the relevant parastatal</t>
  </si>
  <si>
    <t xml:space="preserve">SC-4b</t>
  </si>
  <si>
    <t xml:space="preserve">Is the medium/long-term fiscal plan publicly available?</t>
  </si>
  <si>
    <t xml:space="preserve">Score 5 if the fiscal plan is published online on the relevant parastatal's website. Score 0 if not available.</t>
  </si>
  <si>
    <t xml:space="preserve">Website of the relevant parastatal</t>
  </si>
  <si>
    <t xml:space="preserve">SC-5</t>
  </si>
  <si>
    <t xml:space="preserve">Does the law mandate a minimum tenure for the executive authority of the parastatal?</t>
  </si>
  <si>
    <t xml:space="preserve">Review the relevant Parastatal Act and rules governing the appointment of the chief executive/executive authority.
Score 10 — the law mandates a minimum tenure of two years (or more) for the executive authority, with removal permitted only on defined grounds (e.g. misconduct, incapacity) rather than at unrestricted discretion.
Score 5 — the law mandates a minimum tenure of less than two years.
Score 0 — no minimum tenure is prescribed in law.
This refers to the bureaucratic/administrative head of the parastatal — for example, the Managing Director, Commissioner, Chief Executive Officer or equivalent executive authority — and not to the Chairperson or political head.</t>
  </si>
  <si>
    <t xml:space="preserve">Relevant Parastatal Act; rules governing appointment, tenure and removal of the executive authority/chief executive.</t>
  </si>
  <si>
    <t xml:space="preserve">SC-6</t>
  </si>
  <si>
    <t xml:space="preserve">What is the average tenure of the chief executive/executive authority of the parastatal?</t>
  </si>
  <si>
    <t xml:space="preserve">Common — all parastatal types with a designated chief executive/executive authority post.</t>
  </si>
  <si>
    <t xml:space="preserve">Review appointments/transfers of the chief executive or executive authority over the last five years. 
Score 10 if one chief executive has served during the period
Score 5 if 2–3 chief executives have served
Score 0 if more than 3 chief executives have served. 
Where an officer has held only additional/acting charge, record this separately.</t>
  </si>
  <si>
    <t xml:space="preserve">Newspaper reports, Gazette notifications of appointment/transfer and website of relevant parastatal</t>
  </si>
  <si>
    <t xml:space="preserve">SC-7</t>
  </si>
  <si>
    <t xml:space="preserve">Does the parastatal have adequate and representative staffing capacity to discharge its mandate?</t>
  </si>
  <si>
    <t xml:space="preserve">Sum of the sub-indicators below.</t>
  </si>
  <si>
    <t xml:space="preserve">RTI / Formal data request with the parastatal and Website of the relevant parastatal</t>
  </si>
  <si>
    <t xml:space="preserve">SC-7a</t>
  </si>
  <si>
    <t xml:space="preserve">Does the parastatal have adequate staffing capacity to discharge its mandate?</t>
  </si>
  <si>
    <t xml:space="preserve">Collect the parastatal’s sanctioned and filled positions, including permanent and contractual staff where they form part of the approved staffing structure. Calculate the proportion of sanctioned positions that are filled.
Score 5 – 90% or more of sanctioned positions filled
Score 4 – 75%–89%
Score 3 – 60%–74%
Score 2 – 40%–59%
Score 1 – below 40%
Score 0 – no staffing data available / no evidence of sanctioned staffing structure</t>
  </si>
  <si>
    <t xml:space="preserve">Staffing records on the website/ RTI  and/or formal data request with the parastatal/ annual report</t>
  </si>
  <si>
    <t xml:space="preserve">SC-7b</t>
  </si>
  <si>
    <t xml:space="preserve">What proportion of the parastatal's workforce is women?</t>
  </si>
  <si>
    <t xml:space="preserve">Compute women employees as a proportion of total filled posts using the latest available staffing data. 
% women in workforce = (Number of women employees ÷ Total filled posts) × 100, using the latest available staffing data.
Scoring bands:
Score 5 — women constitute ≥33% of the workforce
Score 2.5 — women constitute 15–32% of the workforce
Score 0 — women constitute &lt;15% of the workforce
Also record, wherever available, the proportion of women in senior/decision-making positions and technical/professional cadres.</t>
  </si>
  <si>
    <t xml:space="preserve">Question Code</t>
  </si>
  <si>
    <t xml:space="preserve">&lt;Sheet name and this code must match&gt;</t>
  </si>
  <si>
    <t xml:space="preserve">← Back to Scores (start here)</t>
  </si>
  <si>
    <t xml:space="preserve">PRE-FILLED - DO NOT ALTER</t>
  </si>
  <si>
    <t xml:space="preserve">ENTER A NUMBER 0 TO 5</t>
  </si>
  <si>
    <t xml:space="preserve">DO NOT ALTER FORMULA</t>
  </si>
  <si>
    <t xml:space="preserve">AUTO - DO NOT ENTER</t>
  </si>
  <si>
    <t xml:space="preserve">Applies?</t>
  </si>
  <si>
    <t xml:space="preserve">Act Name/Web name/Doc name</t>
  </si>
  <si>
    <t xml:space="preserve">Chapter</t>
  </si>
  <si>
    <t xml:space="preserve">Provision</t>
  </si>
  <si>
    <t xml:space="preserve">Clause</t>
  </si>
  <si>
    <t xml:space="preserve">Page Number</t>
  </si>
  <si>
    <t xml:space="preserve">Score</t>
  </si>
  <si>
    <t xml:space="preserve">Points (Auto-generate)</t>
  </si>
  <si>
    <t xml:space="preserve">SCORER COMMENTS</t>
  </si>
  <si>
    <t xml:space="preserve">AI points</t>
  </si>
  <si>
    <t xml:space="preserve">YES</t>
  </si>
  <si>
    <t xml:space="preserve">Chapter on the Board and its duties (BWSSB Act 1964)</t>
  </si>
  <si>
    <t xml:space="preserve">Section 14(4)(i) (Consultative Committee), read with Section 15(2)(b)-(c) and the proviso to Section 15(2)</t>
  </si>
  <si>
    <t xml:space="preserve">s.14(1), s.14(4)(i); s.15(2) proviso</t>
  </si>
  <si>
    <t xml:space="preserve">16</t>
  </si>
  <si>
    <t xml:space="preserve">AI (low confidence), from Step 2 answer (Partially Answered) and BWSSB-02: I left the Score blank for three reasons.
(1) SCALE-MISMATCH. The Step 2 notes say the rubric bands run from 0 to 10, but the Max Score is 5. The detailed methodology and band wording were not in my task input, so I could not check the bands or match the evidence to one. A person needs to confirm the scale.
(2) The evidence fits no band without a team decision (RUBRIC-GAP). The two possible bands are 2.5 and 0.
- BWSSB Act 1964 (BWSSB-02, PRS consolidated copy, amended up to Act 29 of 2021). Under s.15(2)(b)-(c) the Board prepares its own water supply and sewerage schemes. Under the s.15(2) proviso, schemes costing more than Rs 1 crore need approval from the State Government, not the city government.
- The only link to the city government is s.14. The State 'shall constitute' a Consultative Committee, and it consults bodies representing the city corporation (still named as the Bruhat Bangalore Mahanagara Palike) only 'as the State Government thinks fit'. The committee's role is to 'advise the Board on major questions of policy and major schemes'. That is advice, not approval, and nothing requires the Board to follow it.
- On the city government's side, the Greater Bengaluru Governance Act (BWSSB-04, Act 36 of 2025, as enacted, GBA era) gives the Greater Bengaluru Authority (GBA) several powers:
  - s.14(4): 'Integrating and supervising the activities of public authorities like ... the Bengaluru Water Supply and Sewerage Board ... issuing directions for the same which shall be binding'.
  - s.14(3)(b): coordinating the execution of schemes that implement plans prepared by GBA.
  - s.15(1): GBA makes the master plan and mobility plans.
  These are general powers to supervise and direct. None of them makes city government consultation or approval a required step when BWSSB prepares its own plans. The team must decide whether these powers count as 'coordination' for UPD1a.
(3) I cannot show affirmative absence, so a 0 is not supported. The Karnataka Town and Country Planning Act 1961 is not in the Citation Sheet; I searched and found nothing. No BWSSB Rules (s.87), Regulations (s.88) or s.14(4)(iv) Rules are in the sheet either.
I checked BWSSB-02 ss.12-15, BWSSB-04 ss.14-15 and the definition of 'public authority' in s.2(54), and the Step 2 review of BWSSB-23 and BWSSB-28 (these are bills, not enacted law).
Also flagged: the BWSSB Act still names BBMP. No source in the sheet shows GBA or the City Corporations substituted for it.
Quote: "(i) to advise the Board on major questions of policy and major schemes;"
"Score" left blank: the Citation Sheet doesn't decide it.</t>
  </si>
  <si>
    <t xml:space="preserve">Chapter III – Greater Bengaluru Authority</t>
  </si>
  <si>
    <t xml:space="preserve">Section 14 (Functions of the Greater Bengaluru Authority)</t>
  </si>
  <si>
    <t xml:space="preserve">s.14(4) Co-ordination and Supervision of Public Authorities</t>
  </si>
  <si>
    <t xml:space="preserve">15</t>
  </si>
  <si>
    <t xml:space="preserve">AI (low confidence), from Step 2 answer (Partially Answered) and BMTC-04: Score left blank for three reasons.
(1) SCALE-MISMATCH. Step 2 reports that the UPD1a rubric bands run 0-10, but this input allows only 0-5. The highest band is neither the Max Score nor a sum of components, so I have not scaled a band down. The team should confirm the scale.
(2) RUBRIC-GAP / band undetermined. I checked the Step 2 answer against the source and it is accurate. The Greater Bengaluru Governance Act, 2024 (BMTC-04) gives the GBA (the city government) a general, binding power to integrate, supervise and direct BMTC's 'activities' (s.14(4)). BMTC must obey those directions and must add the GBA's coordinating role to its Memorandum of Association. But no provision requires BMTC to prepare its own spatial or sectoral plans in consultation with, or with the approval of, the GBA or the City Corporations. Other provisions read:
- s.15(1): the GBA makes the master plan and mobility plans itself.
- s.15(5): the GBA 'may' assign the planning of major infrastructure projects to public authorities. This is a discretionary power, not a duty on BMTC.
- s.14(3)(b): covers schemes for plans prepared by the GBA, not BMTC's own plans.
- BMLTA Act s.24(b) (BMTC-06): requires consultation with the BMLTA, a state authority, not the city government.
Whether a general power to direct counts as 'approval/concurrence' is a judgement for the team. I have not interpolated a band.
(3) No affirmative absence, so 0 cannot be scored. Not in the Citation Sheet:
- BMTC's Memorandum and Articles of Association
- Rules or Regulations under the Road Transport Corporations Act, 1950 or the BMLTA Act
- GBA regulations or directions under s.14(4)
Checked:
- BMTC-04: s.8, s.9, s.13, s.14(2)-(4), s.15
- BMTC-05: the GBA amendment bill. Its amendments to s.8(2) and s.14(1) clarify the GBA's functions. They do not touch s.14(4) or add any duty on BMTC's plans.
- BMTC-02, BMTC-06, BMTC-07, BMTC-22, BMTC-24: as reported in Step 2.
- Sheet-wide search for BMTC plans with GBA approval or consultation: found nothing new.
For the team to check:
- BMTC's legal form. The GBA Act calls it 'Bangalore Metropolitan Transport Corporation Limited', which conflicts with the Road Transport Corporations Act, 1950 being listed as its enabling Act.
- Whether the BMLTA amendment (BMTC-24 bill; Act 10 of 2026) is in force.
The UPD1a Detailed Methodology text was not supplied in this task, which also prevents scoring.
Quote: "Integrating and supervising the activities of public authorities like the Bangalore Development Authority, the Bengaluru Water Supply and Sewerage Board, Bangalore Metropolitan Transport Corporation, Bengaluru Solid Waste Management Corporation, Bengaluru Metro Rail Corporation Limited, the Bangalore Electricity Supply Company and such other bodies connected with municipal activities in the Greater Bengaluru Area in such a manner that all functions are streamlined and implemented in a citizen-friendly manner and issuing directions for the same which shall be binding;"
"Score" left blank: the Citation Sheet doesn't decide it.</t>
  </si>
  <si>
    <t xml:space="preserve">Development schemes (BDA Act 1976)</t>
  </si>
  <si>
    <t xml:space="preserve">Section 17(2), read with s.17(4), s.18(1), s.25(1) proviso and s.32(1) provisos</t>
  </si>
  <si>
    <t xml:space="preserve">s.17(2): copy of the scheme notification sent to the Corporation, which has 30 days to make representations; s.17(4): concurrence deemed given if it says nothing</t>
  </si>
  <si>
    <t xml:space="preserve">26</t>
  </si>
  <si>
    <t xml:space="preserve">AI (low confidence), from Step 2 answer (Partially Answered) and BDA-02: I have left the Score blank for three reasons.
(1) SCALE-MISMATCH. The rubric bands described for UPD1a run from 0 to 10, but the Score column allows only 0 to 5. The Detailed Methodology text was not given to me in this task. Without it I cannot confirm how a band converts to the 0-5 input, so I have not scored. Possible raw band values, recorded only so a person can check them: 7.5 or 10 for development schemes, 5 for s.25 works, 10 for s.32 layouts.
(2) Plan-scope question for the team. I checked Step 2's evidence against BDA-02 (PRS copy, amended up to Act 42 of 2026), and it is accurate. The wording supports these readings:
- s.17(2): the Corporation must be sent the scheme notification and may make representations within 30 days. Its representations go to the Government through BDA.
- s.17(4): if the Corporation sends nothing, its concurrence is 'deemed to have been given'.
- s.18(1): BDA 'shall submit' the scheme to the Government 'after consideration of representations, if any', with any changes it 'may think fit'. So BDA must consider the representations but need not accept them. This is not a veto.
- s.25(1) proviso: for works inside City limits, the Corporation 'shall be consulted'. This is consultation only.
- s.32(1) provisos: BDA needs the Corporation's concurrence to sanction private layouts, but these are not plans BDA prepares itself.
- s.26: schemes made 'on the recommendation of the Corporation' are optional.
For the master plan under the KTCP Act (BDA-06), the sections Step 2 read show only public notice and comments. The KTCP Rules and the BDA Rules are not in the Citation Sheet, so I cannot claim affirmative absence of a ULG role at master-plan level. The team needs to decide whether scheme-level and layout-level mechanisms count as 'spatial/sectoral plans' for this question.
(3) Jurisdiction and successor-body question. BDA-03 (GBGA 2024, Act 36 of 2025):
- s.14(2)(a): 'Notwithstanding anything contained in any other law', GBA is the KTCP 'Planning Authority' for the Greater Bengaluru Area.
- s.14(4): GBA integrates and supervises 'the Bangalore Development Authority', and its directions are binding.
- s.15(1): GBA makes the master plan and mobility plans.
BDA-05 (KTCP Amendment Bill 2025, as passed by the Assembly only) would limit BDA to the Bengaluru Metropolitan Area 'excluding the Greater Bengaluru Area'. Its s.1(2) says it comes into force on a date the State notifies, and no commencement notification is in the Citation Sheet. The BDA Act still says 'Corporation of the City of Bangalore' (s.2(i)). No source shows GBA or the City Corporations formally substituted.
For a person to check: (a) the UPD1a methodology and how its bands convert to the 0-5 Score; (b) whether scheme or layout mechanisms count as plans; (c) whether BDA still plans any area inside a ULG; (d) whether the KTCP Amendment 2025 has commenced; (e) the KTCP and BDA Rules, which are needed before anyone can claim affirmative absence at master-plan level. Only PRS copies of the Acts were available.
Quote: "(2) A copy of the said notification shall be sent to the Corporation which shall, within thirty days from the date of  receipt thereof, forward to the Authority for transmission to the Government as hereinafter  provided, any representation which the Corporation may think fit to  make with regard to the scheme."
"Score" left blank: the Citation Sheet doesn't decide it.</t>
  </si>
  <si>
    <t xml:space="preserve">Section 15(5); also s.14(4), s.15(1), s.2(54), s.13(1)(j)</t>
  </si>
  <si>
    <t xml:space="preserve">s.15(5); s.14(4) Co-ordination and Supervision of Public Authorities</t>
  </si>
  <si>
    <t xml:space="preserve">AI (low confidence), from Step 2 answer (Partially Answered) and BMRCL-02: I left the Score blank for four reasons.
(1) SCALE-MISMATCH. The Step 2 record says the UPD1a rubric bands run 0-10 but the Max Score is 5. The input asks for a number from 0 to 5. The full rubric text and Detailed Methodology were not in the task material, so I cannot choose a band or convert one. A person needs to confirm the band and the conversion.
(2) RUBRIC-GAP / relationship judgement. I re-read BMRCL-02 (Greater Bengaluru Governance Act, Act 36 of 2025, as enacted, GBA era). It confirms these provisions:
- s.2(54) names BMRCL as a 'Public authority'.
- s.14(4): GBA integrates and supervises BMRCL's activities through directions 'which shall be binding'. Public authorities 'shall cooperate ... and obey its directions'.
- s.15(1): GBA 'shall be responsible to make master plan and mobility plans'.
- s.15(5): GBA 'may' give public authorities the job of planning major infrastructure projects. The agencies 'shall be bound to assist' when called on.
- s.13(1)(j): BMRCL's MD sits on the GBA Executive Committee.
These are ULG powers over BMRCL, plus a duty on BMRCL to assist when asked. None of them requires BMRCL to prepare its own plans in consultation with the ULG or with its concurrence. Whether they count as 'coordination with the ULG' is a methodological question for a person to decide.
On the other side, the BMLTA Act s.24(b) [BMRCL-08] makes consultation mandatory ('shall be prepared in consultation with the Authority'). But that Authority is BMLTA, a state transport authority, not the ULG. ULG Mayors and Commissioners sit on BMLTA only under the 2025 Amendment Bill [BMRCL-38], and the Sheet does not show that Bill enacted.
(3) No affirmative absence, so I cannot give 0. These instruments are missing from the Citation Sheet:
- the Metro Railways (Construction of Works) Act, 1978 (only the 2009 amending Bill, BMRCL-37, is present)
- BMRCL's Memorandum and Articles of Association
- GBA Rules and Regulations
- BMLTA Regulations
- the notification extending the Metro Railways (O&amp;M) Act to Bengaluru
- a consolidated, current KTCP Act
(4) What was checked: BMRCL-02, BMRCL-03, BMRCL-04, BMRCL-06, BMRCL-08, BMRCL-09 and BMRCL-38, as recorded in Step 2, and I re-read BMRCL-02 ss.14-15 myself. The Step 2 answer matches the source text.
A person should check:
(a) the band and the 0-10 to 5 conversion;
(b) whether ss.14(4) and 15(5) earn credit as coordination;
(c) the missing instruments listed in (3);
(d) whether the BMLTA Amendment Bill 2025 has been enacted.
Quote: "The Greater Bengaluru Authority may assign the task of planning the major infrastructural projects in the Greater Bengaluru Area to such public authorities or any other agencies, bodies carrying out civic functions in the Greater Bengaluru Area or take such assistance from these agencies as is necessary for successful execution of the projects. The agencies shall be bound to assist the Greater Bengaluru Authority when called up on to do so."
"Score" left blank: the Citation Sheet doesn't decide it.</t>
  </si>
  <si>
    <t xml:space="preserve">Annual Report 2022-23, Item 3 (Composition of the Authority and its Executive Committee)</t>
  </si>
  <si>
    <t xml:space="preserve">Paraphrases the BMRDA Act, 1985 (Karnataka Act 39 of 1985), s.9 (functions) and the composition provisions. The Act's own section numbers for composition are not given.</t>
  </si>
  <si>
    <t xml:space="preserve">p.10 of the Annual Report (English section)</t>
  </si>
  <si>
    <t xml:space="preserve">10</t>
  </si>
  <si>
    <t xml:space="preserve">AI (low confidence), from Step 2 answer (Partially Answered) and BMRDA-03: I left the score blank for two separate reasons.
(1) SCALE-MISMATCH. The Step 2 record says the rubric bands are 0/2.5/5/7.5/10, but the Max Score is 5. Under the v2 rules I can't map or interpolate a band, so the research team needs to confirm the scale before anyone scores this.
(2) The evidence is incomplete, so I can't show affirmative absence. The Citation Sheet does not contain the text of the BMRDA Act 1985 itself (its Structure Plan preparation, publication and approval sections, or its membership provisions). It also lacks the BMRDA Rules and Regulations.
Correction to Step 2: Step 2 says it found no ULG role. But the BMRDA 2022-23 Annual Report (BMRDA-03, p.10, Item 3) shows a formal ULG presence on BMRDA's governing bodies:
- The Mayor of Bangalore sits on the Executive Committee.
- The Act provides for the Government to nominate representatives of the Local Authorities from the Region to the Authority. However, the report says these nominated seats have been vacant since July 2005.
This is the Annual Report's paraphrase, not the Act's text. It also predates GBA: the Mayor post and BBMP have since been replaced by GBA and its City Corporations. Someone needs to check:
- whether the Executive Committee or the Authority approves the Structure Plan (the Revised Structure Plan-2031 was approved by Government order UDD/149/BMR/2014 dated 08/05/2017, per p.11);
- whether a GBA-era official has replaced the Mayor.
So a rubric 0 ('no formal role') is not supported. A positive band can't be set without the Act's text and the rubric definitions either.
What else I checked:
- BMRDA-02, the website functions page. It is a paraphrase of s.9. BMRDA coordinates the ULG and may entrust work to or assist local authorities. It does not mention ULG consultation or concurrence on the Structure Plan.
- BMRDA-08, KTCP Act s.81-C. Master plans of Planning Authorities in the region are sent through BMRDA. This runs the opposite way: BMRDA has a role in their plans, not the ULG in BMRDA's.
- BMRDA-10, the GBA Act (functions section, the BMPC under Art. 243ZE). BMRDA is not named in the GBA coordination list. I could not read the full BMPC clause.
- BMRDA-11, BMLTA Act s.22. This concerns BMLTA, not a ULG role in BMRDA's plans.
A person should obtain the BMRDA Act 1985 (sections on composition, the Executive Committee and the Structure Plan) and the BMRDA Rules. They should then confirm the rubric scale and score this.
Quote: "The Executive Committee is chaired by the Minister for Urban Development, while the Metropolitan Commissioner is the Vice Chairman and the Mayor of Bangalore, the Secretaries to Government and heads of several related departments/ organisations are the Members."
"Score" left blank: the Citation Sheet doesn't decide it.</t>
  </si>
  <si>
    <t xml:space="preserve">AI: left for a person. Step 2 found no evidence (Insufficient Evidence). Source needed: The full current consolidated text of the Gujarat Town Planning and Urban Development Act, 1976, specifically ss.9-17 and 19-22 on preparing, publishing, revising and sanctioning development plans and on UDA board composition, plus the town planning scheme sections, from an official Gujarat legislative or Urban Development Department source. Also the Gujarat Metropolitan Planning Committees Act, 2008, and the full GPMC Act 1949, to check for any ULG approval or consultation role in SUDA's plans.</t>
  </si>
  <si>
    <t xml:space="preserve">AI: left for a person. Step 2 found no evidence (Insufficient Evidence). Source needed: Needed: the full text of the Metro Railways (Construction of Works) Act 1978 and the Metro Railways (Operation &amp; Maintenance) Act 2002 (as amended in 2009), plus the central notification applying them to Surat, from an official Government of India source; GMRC's Memorandum and Articles of Association and the tripartite GoI–GoG–GMRC MoU; any Gujarat UMTA Act or notification; the current consolidated Gujarat Town Planning and Urban Development Act 1976 from the Gujarat Legislative Department; any Gujarat GO or Rules on metro-corridor or TOD planning that give Surat Municipal Corporation a consultation or concurrence role.</t>
  </si>
  <si>
    <t xml:space="preserve">JICA – Bengaluru Water Supply and Sewerage Project (Phase 3), Final Report (Main Report), November 2017 [BWSSB-22]</t>
  </si>
  <si>
    <t xml:space="preserve">Chapter 5 Water Demand Projection for the Three Areas by Target Year</t>
  </si>
  <si>
    <t xml:space="preserve">Section 5.1.5 Projection of Population in the BBMP for the Water Balance Study (report p. 5-7, PDF p. 227)</t>
  </si>
  <si>
    <t xml:space="preserve">Item 2) 110 Villages; also the note under Table 5.1.10: 'Growth rates were authorized by BDA, BWSSB, BBMP and DHV for 110 Villages Project, 19 August 2014'</t>
  </si>
  <si>
    <t xml:space="preserve">227</t>
  </si>
  <si>
    <t xml:space="preserve">https://openjicareport.jica.go.jp/pdf/12300356_01.pdf</t>
  </si>
  <si>
    <t xml:space="preserve">AI: left for a person. Step 2 found no evidence (Insufficient Evidence). Source needed: Any of these would answer the question: the BWSSB Vision Document / strategic Master plan 2050 itself, including its preparation, stakeholder-consultation and approval chapters; minutes of the BWSSB Board meeting and Consultative Committee (s.14) meetings that considered or approved it, with attendance and any GBA or City Corporation input; GBA or City Corporation council or Executive Committee resolutions or letters commenting on BWSSB plans; or a recent BWSSB annual report (after 2016-17) describing how the plan was prepared.</t>
  </si>
  <si>
    <t xml:space="preserve">AI: left for a person. Step 2 found no evidence (Insufficient Evidence). Source needed: BMTC's latest plan document (annual development plan, business or fleet plan, or route rationalisation plan) showing ULG inputs or concurrence. BMTC Board minutes recording GBA/City Corporation (or earlier BBMP) participation. GBA or City Corporation council or standing-committee resolutions or letters commenting on BMTC plans, and any BMTC replies. For Bengaluru bus priority lanes specifically: the joint ULB-BMTC proposal or DULT sanction record naming the ULG as co-applicant.</t>
  </si>
  <si>
    <t xml:space="preserve">AI: left for a person. Step 2 found no evidence (Insufficient Evidence). Source needed: The documents from BDA's latest plan-making cycle: the latest Revised Master Plan or draft master plan and its report, especially any chapter on stakeholder or agency consultation. Also BDA Authority meeting minutes approving the draft plan; BBMP, GBA or City Corporation council or standing-committee resolutions, or letters commenting on the BDA draft plan; and any BDA record of how it considered and answered those ULG comments. A government notification or official statement would also be needed to show which body runs the current master-plan cycle for the Greater Bengaluru Area, and whether the KTCP (Amendment) 2025 has come into force.</t>
  </si>
  <si>
    <t xml:space="preserve">AI: left for a person. Step 2 found no evidence (Insufficient Evidence). Source needed: Records from BMRCL's latest plan-making cycle showing what the ULG did: (a) the latest DPR (e.g. Phase-3 or later) with its stakeholder-consultation annex; (b) BMRCL letters asking BBMP, GBA or the City Corporations for comments, and their replies; (c) minutes of GBA authority meetings or City Corporation council or standing-committee meetings that discussed BMRCL plans (e.g. the Parking Policy or new corridors); (d) a GO or Board approval note for the Metro Parking Policy 2025 listing who was consulted; (e) a recent BMRCL annual report (FY2023-24 or later) describing coordination with the ULG.</t>
  </si>
  <si>
    <t xml:space="preserve">AI: left for a person. Step 2 found no evidence (Insufficient Evidence). Source needed: Any of these would answer it: the RSP-2031 report (draft or final), especially any chapter on stakeholder consultation; BMRDA Authority or Executive Committee minutes from the RSP-2031 preparation and approval (2014-2017) showing BBMP or Mayor inputs; BBMP council or standing committee resolutions or letters commenting on the draft Structure Plan, and BMRDA's responses; or, if a new Structure Plan cycle has started, GBA-era consultation records.</t>
  </si>
  <si>
    <t xml:space="preserve">Chapter 16 Stakeholders Consultation</t>
  </si>
  <si>
    <t xml:space="preserve">16.3.2 Secondary Stakeholders – Consultation with MPs and MLAs; Table 116</t>
  </si>
  <si>
    <t xml:space="preserve">PDF p.183-184 (document p.166-167)</t>
  </si>
  <si>
    <t xml:space="preserve">183</t>
  </si>
  <si>
    <t xml:space="preserve">AI (low confidence), from Step 2 answer (Answered — Verified Source) and SUDA-14: SCALE-MISMATCH. The Step 2 answer says the rubric runs 0-10 (top band 10 = substantive participation; band 5 = formally consulted or invited to give inputs, with no evidence of how they were considered). The Max Score is 5, and the input column also asks for 0-5. The question-bank anomaly rule says not to score a scale mismatch, so the Score is left blank. RAW BAND = 5 on the 0-10 rubric. A reviewer must decide how this maps to the 0-5 workbook scale. Do not just enter 5 or halve it to 2.5 without confirmation.
The source supports Step 2's band reading:
(1) SUDA-14 Ch.16, p.183: SMC's Mayor was invited on 22.04.2016, together with MPs, MLAs and the Zilla Panchayat President, to discuss DP 2035, and their suggestions were invited.
(2) Table 116 gives only a combined count of 136 suggestions from all elected representatives. Nothing is attributed to SMC, and there is no record of how SUDA answered them.
(3) §2.2 and Ch.16: the Core Committee and the eight sub-committees had 'internal as well as external members', but members are not named, so no SMC role is shown.
(4) The SUDA Board in the 2016 SUDA Board list (§1.4.1, Table 5 in SUDA-14) includes SMC's Standing Committee Chairman, Municipal Commissioner and City Engineer. This is institutional design only. No Board minutes approving DP 2035 are in the Sheet.
(5) The general public notice under s.13 is not ULG consultation.
Please check:
(a) how the 0-10 rubric maps to the 0-5 Max Score;
(b) whether a mixed meeting of elected representatives that included the Mayor counts as formal ULG consultation;
(c) whether SUDA Board or Core Committee minutes exist that could support a higher band.
The Sheet has no SMC resolution or comments on DP 2035 and no SUDA response to SMC inputs.
Quote: "All MP, MLA, Surat Zilla Panchayat President and Mayor (SMC) were invited on 22.04.2016  for detailed discussion on Development Plan 2035. Discussion on various issues were carried out and their suggestions on the same were invited."
"Score" left blank: the Citation Sheet doesn't decide it.</t>
  </si>
  <si>
    <t xml:space="preserve">Chapter 1 – Introduction; Executive Summary §0.2.1, §0.3, §0.19.2; Chapter 2 §2.3.1; Chapter 18; Chapter 19 §19.13</t>
  </si>
  <si>
    <t xml:space="preserve">DPR Ch.1 p.92 (corridor shortlisting on SMC &amp; CEPT suggestions before the HPC, 13.01.2017)</t>
  </si>
  <si>
    <t xml:space="preserve">Corridor shortlisting on SMC &amp; CEPT suggestions; HPC meeting of 13.01.2017; HPC minutes letter GUDC/METRO/HPC/2017/182 dated 23.01.2017</t>
  </si>
  <si>
    <t xml:space="preserve">92</t>
  </si>
  <si>
    <t xml:space="preserve">AI (low confidence), from Step 2 answer (Answered — Verified Source) and GMRC-08: I left the Score blank because of SCALE-MISMATCH. Step 2 and the question-bank anomaly note for UPD 1b both say the top rubric band is 'raw 10', while the input runs 0 to 5. The top band is not the Max Score and is not a sum of components, so I am not converting it. The team needs to confirm how the 10-point rubric maps onto the 0-5 input.
The evidence itself fits the top band ('substantive ULG participation: documented consideration of and response to ULG inputs'). I checked these points against GMRC-08 (DPR, December 2018, Phase-I):
(1) The alignment options were presented to SMC 'on various occasions'. The three corridors sent to the HPC were then shortlisted 'on the suggestions of SMC &amp; CEPT' (Ch.1 p.92).
(2) SMC commissioned the CMP 2017 and the CEPT demand study (letter CE.Spl.Cell/Out/339 dated 31.08.2016). The DPR says it was prepared 'in line with' that study (Exec Summary §0.2.1, §0.3; Ch.2 §2.3.1).
(3) The MMTH integration and tunnel-road decision came out of 'a series of meetings ... in the office of The Commissioner, Surat Municipal Corporation'. SMC supplied the cost estimate, and the executing agency is to be decided 'in consultation with SMC' (§0.19.2; Ch.19 §19.13).
(4) SMC's TOD revenue figures (letter dated 22-12-2017) were written into the DPR (Ch.18 p.692).
Points a person should check:
(a) Final corridor approval came from a state HPC, not SMC. SMC shaped the inputs and the shortlist but did not concur or approve.
(b) The DPR was prepared by DMRC at the request of GoG/MEGA. GMRC-25 says MEGA is GMRC's former name, which is what ties this plan to GMRC.
(c) I could not see Annexure-A / Table 1.7, the list of SMC presentations.
(d) The Citation Sheet has no Phase-II plan, so it is unconfirmed that this is the latest plan cycle.
(e) The task input leaves the ULG blank. Only the DPR names SMC as the city corporation.
(f) GMRC-09, -10 and -11 record consultations with communities and the public, not with the ULG.
If the team confirms the top band maps to the Max Score, the evidence would support 5, subject to points (d) and (e).
Quote: "Subsequently, on the suggestions of SMC &amp; CEPT, following three corridors were shortlisted and presented before High Powered Committee (HPC) in a meeting held on 13.01.2017 at Ahmedabad"
"Score" left blank: the Citation Sheet doesn't decide it.</t>
  </si>
  <si>
    <t xml:space="preserve">ENTER A NUMBER 0 TO 2.5</t>
  </si>
  <si>
    <t xml:space="preserve">Greater Bengaluru Authority chapter (Act 36 of 2025)</t>
  </si>
  <si>
    <t xml:space="preserve">Section 14(3)(b) and 14(4); also s.15(1), s.15(5), s.19</t>
  </si>
  <si>
    <t xml:space="preserve">s.14(4) Co-ordination and Supervision of Public Authorities (names the Bengaluru Water Supply and Sewerage Board)</t>
  </si>
  <si>
    <t xml:space="preserve">AI (low confidence), from Step 2 answer (Partially Answered) and BWSSB-04: I left the score blank. The Citation Sheet doesn't show whether there is a legal requirement for BWSSB's plans to be consistent with a city, metropolitan or regional master plan or development plan, and a 0 needs affirmative absence, which I can't show. I agree with the Step 2 answer. (1) BWSSB Act 1964 (BWSSB-02), PRS copy as amended up to 2010. I re-read s.15(1)-(7), the general duties and schemes. s.15(2)(b)-(c) say 'it shall be the duty of the Board to take steps from time to time' to prepare and carry out water supply and sewerage schemes. The proviso requires State Government approval for schemes over Rs 1 crore. s.15(3) sets what schemes must contain. None of these refers to a master plan or development plan. The Step 2 answer also reports that s.14 (advisory Consultative Committee) and s.89 (State directions) have no conformity clause. (2) Greater Bengaluru Governance Act 2024, Act 36 of 2025 (BWSSB-04), which is the city government (ULG) side, GBA era. s.14(2)(a) makes GBA the Planning Authority under the KTCP Act 1961. s.14(3)(b) gives GBA binding directions for coordinating the execution of schemes that implement GBA plans. s.14(4) names BWSSB among the public authorities GBA integrates and supervises, and those authorities 'shall cooperate... and obey its directions'. s.15(1) puts the master plan on GBA. The duty to 'incorporate the infrastructure development plan' falls on the City Corporations, not BWSSB. s.15(5) says agencies are 'bound to assist'. s.19 covers State Government directions. These are binding direction and coordination powers held by GBA and the State. None of them is an express requirement that BWSSB's own plans or schemes conform to the master plan. Whether a binding direction power counts as the middle band (alignment that is discretionary or not mandated) is a judgement for the team: CONFIRM. (3) Missing layers: the Karnataka Town and Country Planning Act 1961 isn't in the Sheet. It is the instrument most likely to make master plans or development plans binding on public authorities or their works, and the methodology says to review it. BWSSB Rules (s.87), BWSSB Regulations (s.88) and any GO on BWSSB planning are also not in the Sheet. Searches of the Sheet for 'master plan conform consistent development plan public authorities' and 'Town and Country Planning Act comprehensive development plan Board schemes' found nothing beyond the GBA Act provisions above. (4) Era: the PRS copy of the BWSSB Act still names the Bruhat Bangalore Mahanagara Palike. No source in the Sheet shows GBA or the City Corporations substituted into the BWSSB Act: CONFIRM. To score this, the team needs to add the official text of the KTCP Act 1961 (current amended version), especially the provisions on the effect of master plans on public authorities and their development, and confirm the band for the GBA direction powers.
Quote: "issuing directions for the same which shall be binding; and all the public authorities shall cooperate with the Greater Bengaluru Authority for successful coordination and obey its directions issued, in discharge of functions assigned in this Act."
"Score" left blank: the Citation Sheet doesn't decide it.</t>
  </si>
  <si>
    <t xml:space="preserve">NO</t>
  </si>
  <si>
    <t xml:space="preserve">AI: left for a person. Step 2 found no evidence (Insufficient Evidence). Source needed: (1) BWSSB's current water supply and sewerage master plan or 2050 vision and strategic master plan document, showing its population source and how it sets service areas and sites major works (treatment plants, pumping stations, reservoirs, trunk mains). (2) The applicable statutory spatial plan for the same area: the BDA Revised Master Plan in force, or any GBA- or BMRDA-era development or regional plan, with its land-use and growth framework and population projections. (3) Where readily available, land-use conversion or regularisation orders or records for major BWSSB treatment plants or trunk infrastructure.</t>
  </si>
  <si>
    <t xml:space="preserve">Chapter VI - Sectoral and City Mobility Investment Program and Annual Implementation Plan</t>
  </si>
  <si>
    <t xml:space="preserve">Section 24</t>
  </si>
  <si>
    <t xml:space="preserve">s.24(a)-(b); read with s.19(1)-(2), s.21(2) and s.25(1)(c)</t>
  </si>
  <si>
    <t xml:space="preserve">19</t>
  </si>
  <si>
    <t xml:space="preserve">AI (low confidence), from Step 2 answer (Partially Answered) and BMTC-06: Score left blank. The Citation Sheet does not support 2.5 (BMTC 'shall' make its plans consistent with the master/metropolitan plan) or 1.25 (a 'may' provision). It also does not establish affirmative absence, so 0 cannot be given. I checked the Step 2 answer against the sources and add these findings. (1) BMTC-06 s.24(a) is a binding 'shall', but it ties the Sectoral Mobility Investment Program of each Urban Transport Agency to the goals of the Comprehensive Mobility Plan (CMP), not to the master plan. Step 2 had not read s.24; this is the strongest provision found. s.25(1)(c) also requires extra Annual Implementation Plan projects to 'align with the Comprehensive Mobility Plan goals'. s.19(1) adds project approval 'from the perspective of consistency with the Comprehensive Mobility Plan'. The CMP is prepared by BMLTA 'in conjunction with ... the land use plan' (s.21(2)), so the link to the master plan is indirect and is BMLTA's duty, not BMTC's. (2) BMTC-04 (GBA Act 36 of 2025): s.14(4) names BMTC among the public authorities that GBA integrates and supervises. GBA's directions are binding, and BMTC must incorporate GBA's coordinating role in its Memorandum of Association. s.14(3)(b) makes GBA directions binding when it coordinates schemes that implement plans prepared by GBA. s.15(1) makes GBA responsible for the 'master plan and mobility plans', but only the City Corporations are told they 'shall incorporate' GBA's infrastructure development plan; BMTC is not. These are coordination and direction powers, not a mandate that BMTC's own plans be consistent with the master plan. (3) BMTC-07, Karnataka Town and Country Planning (KTCP) Act s.14(1): every development must conform to the Master Plan. This is general development control, not plan consistency, and BMLTA s.60(2) may override it. (4) BMTC-02, Road Transport Corporations Act 1950 (s.3, 5, 18, 19, 20): no mention of a master plan. Gaps: there are no Karnataka rules under the 1950 Act, no BMLTA Rules or Regulations (s.54(ix) leaves the procedure for the City Mobility Investment Program (CMIP) and Sectoral Mobility Investment Programs to regulations), and no BMTC MoA (which s.14(4) of the GBA Act requires to be amended). BMTC-20 (BMTC 'Rules And Regulations' page) was not shown to me. FOR THE TEAM: (a) Does a binding 'shall align with the CMP' duty (BMLTA s.24(a)) meet the 2.5 band, when the CMP is a metropolitan mobility plan prepared with the land use plan? If yes, 2.5 is supported by BMTC-06 s.24(a). If the question requires conformity with the statutory master, metropolitan or regional spatial plan, the result stays 'not found' until the Rules, Regulations and MoA are checked. (b) Please confirm BMTC is an 'Urban Transport Agency' under s.2(ff); BMTC is named only in the Statement of Objects. Source is the PRS text (Act 6 of 2023, with Amendment Act 10 of 2026 appended); this is a secondary source.
Quote: "(a) The Sectoral Mobility Investment Program shall be aligned with the goals of the Comprehensive Mobility Plan; (b) The Sectoral Mobility Investment Program shall be prepared in consultation with the Authority;"
"Score" left blank: the Citation Sheet doesn't decide it.</t>
  </si>
  <si>
    <t xml:space="preserve">AI: left for a person. Step 2 found no evidence (Insufficient Evidence). Source needed: Needed: (1) BMTC's current network or route-rationalisation plan, fleet and depot expansion plan, Sectoral Mobility Investment Programme or Annual Implementation Plan under the BMLTA Act ss.24-25, or the 'BMTC Vision 2025' document itself. Any of these should show whether master-plan growth corridors, land use or density projections decide where routes, depots and terminals go. (2) The applicable statutory master plan for Bengaluru: the current revised master plan, or any GBA or BMPC development plan. (3) The Bengaluru Comprehensive Mobility Plan, if BMTC's planning flows through it. (4) For the context check, which does not affect the score: land-use conversion or regularisation records, or BMTC annual report or board notes, for major depots and TTMCs.</t>
  </si>
  <si>
    <t xml:space="preserve">Chapter on water supply duties of the Board (BWSS Act 1964)</t>
  </si>
  <si>
    <t xml:space="preserve">Section 15(3)(a)-(b), read with s.15(4), s.15(5), s.38(1), s.61A(d)</t>
  </si>
  <si>
    <t xml:space="preserve">s.15(3)(a) piped supply to every part with houses, subject to reasonable cost; s.15(3)(b) non-piped public supply 'as far as possible' within a reasonable distance of every house</t>
  </si>
  <si>
    <t xml:space="preserve">17</t>
  </si>
  <si>
    <t xml:space="preserve">AI (low confidence), from Step 2 answer (Partially Answered) and BWSSB-02: SCORE LEFT BLANK. This prompt did not give me the question text, the Detailed Methodology or the rubric bands for UPD3a, so I cannot match the evidence to a band. A person must apply the rubric.
I checked the Step 2 answer against the source and it holds:
(1) BWSSB-02, s.15(3)(a)-(b): a binding 'shall' duty. Water supply schemes must provide piped water to every part of the Bangalore Metropolitan Area that has houses. Where pipes are not practicable at reasonable cost, they must provide a public supply within a reasonable distance of every house. The duty is limited by reasonable cost and practicability (s.15(4): the State Government decides those questions). It covers water supply only, not sewerage.
(2) s.38(1) (free public supply through hydrants) and s.61A(d) (bye-laws for 'equitable distribution of water supplied to occupiers') both say 'may', so they are discretionary.
(3) The Act has no provision on women, the urban poor or slums, persons with disabilities, lifeline or concessional tariffs, or access regardless of land tenure.
(4) BWSSB-13 (website 'Our Services', undated) describes services for the urban poor: lower connection charges (Rs.550 for houses up to 150 sq.ft.; Rs.800 for 151-600 sq.ft.), payment in two instalments, any proof of residence accepted, and shared connections for communities without tenure security. The page cites no regulation, Board resolution or GO for these measures. It describes a programme that dates from 2003-2006 and the JICA project. It is not a binding instrument.
I searched the Citation Sheet for tariff, lifeline, slum and concession provisions. None of the BWSS water supply/sewerage regulations (the website cites 'regulation 5.1'), tariff notifications, Board resolutions or GOs is in the sheet. This is the regulations and tariff layer.
A 0 is not supportable for two reasons: there is no affirmative absence, and the s.15(3) universal-access duty exists. The top band cannot be judged until the regulations and tariff layer is seen. Step 2 gave a provisional 2.5, which depends on two things the team must confirm: whether that band exists in the rubric (a SCALE-MISMATCH or RUBRIC-GAP check), and whether a general universal-supply duty counts as an equity requirement.
Period: the Act text is the PRS copy, as amended up to Act 15 of 2010. Later amendments were not verified. The Act still names BBMP. Whether GBA or the city corporations have been substituted is not verified and should be flagged for the team.
Quote: "A scheme under clause (b) of sub-section (2) shall inter alia make provision,— (a) for a supply of wholesome water in pipes to every part of the Bangalore Metropolitan Area in which there are houses, for the domestic purposes of the occupants thereof"
"Score" left blank: the Citation Sheet doesn't decide it.</t>
  </si>
  <si>
    <t xml:space="preserve">Our Services</t>
  </si>
  <si>
    <t xml:space="preserve">Services for Urban Poor – BWSSB's Experiments and Future Plans</t>
  </si>
  <si>
    <t xml:space="preserve">The service levels offered to the different categories of slums; Free Connections to the Urban Poor</t>
  </si>
  <si>
    <t xml:space="preserve">192</t>
  </si>
  <si>
    <t xml:space="preserve">AI (low confidence), from Step 2 answer (Partially Answered) and BWSSB-13: I left the score blank. I agree with the Step 2 answer, which matches the source. BWSSB-13 is the Board's official page on karnataka.gov.in, but it is undated and refers to the 'BBMP area' (BBMP-era wording). It describes these slum measures: lower connection charges by house size, payment in two instalments, simpler documents (hakku patras, ration card, election ID), and shared metered connections 'for... communities without security of tenure'. On their face these would meet Component 1, which Step 2 put at 2.5: one affordability measure plus one slum-coverage measure that does not depend on land tenure. But the programmes the page names are historical: the AusAID pilot (2000-02), the Package Programme (2003-06) and a JBIC/JICA slum component still described as 'currently under implementation'. Nothing dates these measures to the current plan, and this is an Implementation question about current practice. BWSSB-41 (Achievements: free meters for slum households, interest waiver on overdue bills) is also undated. I re-read BWSSB-07: its ongoing-projects item '6. Slum Developme[nt]' is cut off in the saved text and could not be read. Its Vision Document 2050 passage is generic and has no equity content. A search of the whole Citation Sheet for women, persons with disabilities, elderly people, public taps and design found nothing on BWSSB service design. The only hits were the GBG Act (BWSSB-04) Schedule I social-welfare functions, which belong to the city government, not the Board. Component 2 (gender, disability, elderly, siting or design) therefore cannot be scored 0, because absence is not affirmative. These documents are not in the Citation Sheet: the Vision Document 2050 PDF, the 2025 water tariff ready reckoner, any current slum or lifeline tariff order, current DPRs (CWSS Stage V, 110 villages), and a recent annual report (BWSSB-29 covers FY2016-17 and only contains a generic 'equitably' objective). Note: the full question text and Detailed Methodology were not in the task input. The component split (C1 up to 2.5, C2 up to 2.5) comes from the Step 2 notes and should be confirmed. Reviewer actions: (1) confirm whether the undated website text can count as the current framework; (2) add and read the Vision Document 2050, the Tariff 2025 and the full BWSSB-07 'Slum Development' item; (3) send the RTI to the BWSSB PIO on current slum, EWS and BPL concessions and any gender or disability design standards, FY2024-26.
Quote: "BWSSB has offered a rationalized reduction in the connection rates. A house with an area of 150 sq.ft. is required to pay only the meter cost of Rs.550/; between 151sq.ft. and 600 sq.ft. RS. 800/ (meter cost of Rs.550 + Rs.250 as cost of UGD connection) and a house above 600 sq. ft. has to pay the regular rates."
"Score" left blank: the Citation Sheet doesn't decide it.</t>
  </si>
  <si>
    <t xml:space="preserve">BMLTA Act, 2022 (Karnataka Act 6 of 2023): chapter on the Comprehensive Mobility Plan</t>
  </si>
  <si>
    <t xml:space="preserve">Comprehensive Mobility Plan section, which follows s.20 (text at p.17); the section number has not been confirmed</t>
  </si>
  <si>
    <t xml:space="preserve">item (h) of the list the plan 'shall include', plus the first proviso (plans by other authorities 'shall be in compliance with the Urban Mobility policies of the Authority')</t>
  </si>
  <si>
    <t xml:space="preserve">AI (low confidence), from Step 2 answer (Partially Answered) and BMTC-06: Score left blank. Neither 2.5 nor 0 can be given safely on this evidence.
**What the evidence shows**
(1) The only binding provision on a vulnerable group is in the BMLTA Act. It uses 'shall include' for accessible mobility for persons with disabilities (item (h)). That duty sits on BMLTA's own Comprehensive Mobility Plan, not on BMTC. BMTC is bound only indirectly: plans made by other authorities must comply with BMLTA's Urban Mobility policies (first proviso), and agencies are bound by BMLTA's standards (s.14(1)(e), as Step 2 reports). Whether an indirect mandate covering one group counts as BMTC being 'mandated' is a judgement call for the team. If it does, the evidence fits the 'specific groups' band (2.5).
(2) Road Transport Corporations Act, 1950 (BMTC-02):
- s.19(1)(d), on passes 'free of cost or at concessional rates', is a power ('may'), not a duty.
- The s.18 duty is generic, names no vulnerable group, and its proviso makes it unenforceable.
(3) I checked the Step 2 answer against the sources and also looked at:
- BMTC-20 (the Rules and Regulations page). It lists only KSRTC employee and service regulations plus the KSRTC Rules, 1961. Those Rules are linked but their text is not in the sheet.
- BMTC-27 (Student Pass 2026-27). It says passes are issued free 'As per the directions of the Government of Karnataka'. That points to a state direction for students, but the order itself is not in the sheet, so it cannot be cited as a binding instrument.
- BMTC-25 (DULT, the Directorate of Urban Land Transport). It has a generic line on 'equality of access ... for all economic classes'. This is a departmental webpage, not a mandate on BMTC.
(4) Not credited, because none of these is a binding instrument: BMTC-32 (mission: 'Extend travel concession to the weaker sections'), BMTC-28 (one-off free travel for women on Women's Day 2023), and BMTC-27 (website description).
**Why 0 is not available**
Affirmative absence is not established. The sheet does not contain:
- any state GO on concessions (free travel for women, students, senior citizens, persons with disabilities);
- BMTC's Memorandum of Association or regulations on service or fares;
- the KSRTC Rules, 1961 text;
- BMLTA Rules, regulations or Urban Mobility policies;
- the RPwD Act, 2016 transport accessibility standards.
**Other issues**
- The Detailed Methodology and band text were not given in this task. The 2.5 'limited to specific groups' band is taken from the Step 2 notes and should be confirmed.
- BMTC's legal form needs checking: the GBA Act s.14(4) calls it a 'Corporation Limited' with a Memorandum of Association, while BMTC-02 is the 1950 Act.
- The team should add the missing concession GOs and BMLTA policies, then re-score.
**Period covered**
BMLTA Act as enacted (2023), with amending Act 10 of 2026 appended; BMTC website pages as of 30-09-2026.
Quote: "(h) accessible mobility and transport for persons who are persons with benchmark disability and p erson with disability as defined under the Rights of persons with Disabilities Act, 2016 (Central Act 49 of 2016);"
"Score" left blank: the Citation Sheet doesn't decide it.</t>
  </si>
  <si>
    <t xml:space="preserve">Students can apply for Student Pass for the Academic year 2026-27 in BMTC website, Bangalore One Counters and Seva Sindhu portal. As per the directions of the Government of Karnataka Bangalore Metropolitan Transport Corporation is issuing student passes at a free from the date of its formation for the benefit of students community. The online applications for Degree/ professional/ technical/ medical/ evening college students can apply for student pass through online. After the approval from the BMTC student can schedule his choice of Bangalore-one centre, date &amp; time and visit the counter along with the acknowledgment copy of scheduling and his school/ college id card/ fee receipt/ Head of the institution attested copy Student passes will be issued in Bangalore-one centers from 08.00 hrs to 18.30 hrs in all working days</t>
  </si>
  <si>
    <t xml:space="preserve">Student Pass page, 'Student Pass 2026-27'</t>
  </si>
  <si>
    <t xml:space="preserve">Page last updated 30-09-2026</t>
  </si>
  <si>
    <t xml:space="preserve">AI (low confidence), from Step 2 answer (Partially Answered) and BMTC-27: I left the score blank because two of the score components can't be decided from the Citation Sheet. I don't have the Detailed Methodology text, so I relied on the band structure set out in the Step 2 notes. A reviewer should check those bands against the question bank. Component 1, part (i), fare affordability for vulnerable groups: met for students and the elderly. (a) BMTC-27 (2026-27) says BMTC issues student passes free of charge (quoted above). (b) BMTC-30 (KarnatakaOne page, reviewed 14-07-2026) lists cheaper senior-citizen passes (Black Board Rs 650 vs Rs 725; Pushpak Rs 830 vs Rs 925). That page also says rates are subject to change and gives no date for them. (c) BMTC-32, the Vision and Mission page, lists 'Extend travel concession to the weaker sections of the society' as a mission. That is a general commitment, so I gave it no separate credit. Component 1, part (ii), route or coverage measures for an identified vulnerable group: not found. My searches for route coverage, underserved areas, slums and last-mile links returned only generic text (e.g. BMTC-32: 'serving urban, sub-urban and rural areas', 'every nook and corner of the city'). The metro-feeder and new-route press releases in BMTC-28 name no vulnerable group. The Sheet has no BMTC route-planning document or mobility plan, so absence is not established and I can't score this part 0. Component 2, a planning or design framework with specific operational measures: BMTC-10 shows the Nirbhaya-scheme women's-safety app, in-bus surveillance and passenger information system tenders: implementation agency selected on 01/12/2020, functional-audit agency on 30/8/2023, and a further tender on 16/10/2023. Only the tender titles are in the Sheet. Nothing shows the system is running now, or whether this counts as a 'current framework' for the top band. My search for low-floor, wheelchair or accessible-bus measures found nothing about BMTC. The only hit was the BMLTA Act's Comprehensive Mobility Plan clause in BMTC-06, which binds the BMLTA, not BMTC, so I gave it no credit. BMTC-01 links the 'Physically Challenged Scheme' and 'Shakthi Scheme' write-ups by title only; their terms are not in the Sheet. This is a VERIFICATION-LIMIT, not a negative finding. The Step 2 answer gives a range of 2.5 to 5. Picking any single number would be a guess, so I propose none. To settle the score, a reviewer needs: (1) the Shakti and Physically Challenged scheme write-ups (PDFs linked from BMTC-01); (2) any BMTC route or service plan naming underserved or low-income areas; (3) current evidence that the Nirbhaya system is operating, plus any accessible-fleet specifications; (4) the question's Detailed Methodology text to confirm the component bands; (5) a dated screenshot, which the question bank requires.
Quote: "Bangalore Metropolitan Transport Corporation is issuing student passes at a free from the date of its formation for the benefit of students community."
"Score" left blank: the Citation Sheet doesn't decide it.</t>
  </si>
  <si>
    <t xml:space="preserve">Chapter II (Establishment of the Board)</t>
  </si>
  <si>
    <t xml:space="preserve">Section 15 (General duties of the Board)</t>
  </si>
  <si>
    <t xml:space="preserve">s.15(6), inserted by Act 15 of 2010 w.e.f. 16.04.2010; read with s.15(1)</t>
  </si>
  <si>
    <t xml:space="preserve">AI (low confidence), from Step 2 answer (Partially Answered) and BWSSB-02: I have left the score blank. The Citation Sheet does not contain all the legal layers this question needs, so the band cannot be set yet.
What I checked in the Act (BWSSB-02, PRS secondary copy, as amended up to Act 29 of 2021; era n/a):
- s.15(1) gives the Board a general duty to supply and improve water supply and to provide for sewerage and sewage disposal. It says nothing about environmental sustainability.
- s.15(6) says the Board 'shall also have power to insist' that owners adopt rainwater harvesting and waste-water recycling. This is a power aimed at consumers, not a duty on the Board to consider sustainability in its own planning.
- Narrower provisions also exist: s.72A (rainwater harvesting duty on owners), s.72 (separate drains for sewage and rainwater), s.74 proviso (treated discharge into watercourses, from a date the Board appoints and per bye-laws), and ss.49/52/60 (waste and pollution). Each covers one function or concern only.
- I agree with the Step 2 answer that the Act on its own fits the 'limited to particular functions or concerns' band (2.5), not the top band. I am relying on the band description given in the Step 2 answer, because the full Detailed Methodology text was not given to me here.
Why the score is still blank (rule 5/6, not an affirmative-absence case):
- BWSSB-38 (the Board's Notifications page) lists Board instruments whose text is not in the Citation Sheet and that I could not read:
  - 'STP Notification' (21-2-2018)
  - 'STP, School Notification Amendment of Reg. 7 and 36'
  - 'RWH Notification'
  - 'Guideline for packaged STP'
  - 'Tertiary treated water availability for non-potable purposes'
- These are the regulation and bye-law layer. They may add sewage-treatment or reuse duties, so they could change the band.
- Not in the sheet at all: any Karnataka State Water Policy or treated-wastewater reuse policy, and any Rules under the BWSSB Act.
- BWSSB-40 (Rain Water Harvesting page) is website description, not a binding instrument. It does not count as evidence for this law-level question.
- BWSSB-33 (Ground Water Act s.22(4)) gives local authorities, which by its s.2(k) definition include BWSSB, a 'may impose' power over rainwater-harvesting conditions on buildings. That is also limited to one concern.
What a reviewer should do:
- Fetch and read the notification PDFs listed on BWSSB-38 and any state water or reuse policy.
- If none of them sets a sustainability duty across the Board's core functions, score 2.5. Otherwise, re-band.
The Act text used is the PRS secondary copy only, and the Act still names Bruhat Bangalore Mahanagara Palike rather than its successor bodies.
Quote: "The Board shall also have power to insist on owner, occupier or builder to adopt water conservation methods like rain water harvesting and recycling of waste water for non potable or potable purposes."
"Score" left blank: the Citation Sheet doesn't decide it.</t>
  </si>
  <si>
    <t xml:space="preserve">About BWSSB (web page), section 'Ongoing Water Supply projects'</t>
  </si>
  <si>
    <t xml:space="preserve">Item 3 'Water supply improvement works'; see also item 4 'Exclusive leak detection works', item 7 'Sewerage Works' / Environmental Action Plans, and 'Proposed Sewerage System works'</t>
  </si>
  <si>
    <t xml:space="preserve">Also relevant on the same page: item 4 'Exclusive leak detection works'; item 7 'Sewerage Works' and the Environmental Action Plans; 'Proposed Water Supply works'; 'Proposed Sewerage System works'</t>
  </si>
  <si>
    <t xml:space="preserve">AI (low confidence), from Step 2 answer (Partially Answered) and BWSSB-07: I left the score blank. This is an Implementation question about current practice, and the only evidence is undated or old. All of it comes from before the GBA was set up, in the BBMP era. Step 2 also proposed no score, and having checked the sources myself I agree.
(1) What BWSSB-07 shows. This is the undated 'About BWSSB' page, and its content points to about FY2015-16:
- It names BBMP as the jurisdiction.
- It says sewerage works are 'planned to be completed in 2016' and that the Bellandur STP is 'proposed to be commissioned in 2016'.
- Its DPRs are priced at '2014-15 SR'.
It does describe specific sustainability measures:
- Water supply: a target to cut water losses to 16% over about 50% of the core area; JICA/MRI L-sign and helium leak detection; the CWSS Stage V source.
- Sanitation: 11 STPs treating 339 MLD; Environmental Action Plans A, B and C to stop sewage entering storm water drains; the Hebbal zero-flow scheme; 6 new STPs of 520 MLD proposed.
The page itself shows that some of these figures are out of date. For example, it gives two different versions of the same loss-reduction work: 133 sq km at Rs 655 crore, and 116 sq km at Rs 821 crore.
(2) The other sources. BWSSB-29, the Annual Report for FY2016-17, records a Board decision to reuse 15 MLD of tertiary treated water from the Jakkur STP for the Yelahanka power plant. It also records monthly NRW of about 38-48%. BWSSB-41 (Achievements, undated) lists past works: pipe restoration, 218 bulk flow meters 'for plugging water leakage', the Hebbal zero-discharge scheme, mandatory rain water harvesting (RWH) and 23,000 RWH installations. BWSSB-40 (RWH page, undated) covers the RWH mandate and outreach. BWSSB-25, the Press Release page, has dated entries up to July 2026, but they are only about shutdowns, water adalats and recruitment. None deals with sustainability planning.
(3) What is missing. The Citation Sheet has no current BWSSB water supply plan, sanitation plan, NRW programme or reuse plan, and no annual report after 2017. Under the period rule, an old document is not evidence of the current arrangement.
(4) Indicative score. If the team accepts the undated web material as the Board's current planning framework, it would support about 2.5 for water supply (a source measure plus a loss-reduction target and programme) and about 2.5 for sanitation (STP capacity, sewage diversion and reuse), for a total of 5. Treat this as indicative only and confirm it against the full Detailed Methodology. That methodology was not reproduced in this task, so I could not check the bands myself.
(5) Why not 0. A score of 0 is not justified, because measures are clearly documented. The only open question is whether they are current.
ACTION for reviewer:
- Get a current BWSSB plan, NRW programme or STP/reuse document, or an Annual Report from FY2023-24 onward.
- Take a dated screenshot of BWSSB-07 and BWSSB-40.
- Confirm the currency rule.
Quote: "For proper water accounting and loss reduction with the aims of improvement in water distribution system, reduction in unaccounted for water and leakage control three major works are taken covering about 50% of the core area (133 sqkm) wherein it is envisaged to reduce the overall water losses to 16%."
"Score" left blank: the Citation Sheet doesn't decide it.</t>
  </si>
  <si>
    <t xml:space="preserve">Chapter VI – Sectoral and City Mobility Investment Program and Annual Implementation Plan</t>
  </si>
  <si>
    <t xml:space="preserve">Section 25(1)(c); also Section 24(a), Section 2(h), Section 2(aa), Section 1(3)</t>
  </si>
  <si>
    <t xml:space="preserve">s.25(1)(c): additional projects in the Annual Implementation Plan; s.24(a): Sectoral Mobility Investment Program to be 'aligned with the goals of the Comprehensive Mobility Plan'</t>
  </si>
  <si>
    <t xml:space="preserve">AI (low confidence), from Step 2 answer (Partially Answered) and BMTC-06: I left the score blank because the Citation Sheet doesn't support a score. The full Detailed Methodology and rubric for UPD6a weren't in the task input. The 0/2.5/5 bands come only from Step 2's summary, so I couldn't check whether any band fits.
**What the sources show:**
- **BMTC's own Act (BMTC-02, Road Transport Corporations Act, 1950):** s.18 sets a general duty to provide 'an efficient, adequate, economical and properly co-ordinated system of road transport services'. It has no environmental element.
- **BMLTA Act, 2022 (BMTC-06, PRS republication with Amendment Act 10 of 2026 appended):** BMTC is covered as an Urban Transport Agency (the Schedule lists 'Bus systems'). Its environment-related duties are indirect only:
  - s.24(a): its Sectoral Mobility Investment Program 'shall be aligned with the goals of the Comprehensive Mobility Plan'.
  - s.2(h): the Comprehensive Mobility Plan is to provide 'safe, clean and efficient urban transport'.
  - s.25(1)(c): additional Annual Implementation Plan projects 'shall align with the Comprehensive Mobility Plan goals and promote sustainable urban transport'.
  - s.2(aa) defines 'sustainable urban transport' narrowly, as cutting private-vehicle use and raising public and non-motorised transport.
- **Commencement:** s.1(3) says the BMLTA Act 'shall come into force on such date as the State Government may by notification in the official Gazette, appoint'. No commencement notification and no notice setting up the Authority is in the Sheet. Whether these BMLTA duties currently bind BMTC is therefore unverified.
- **City government's law (BMTC-04, GBA Act):** s.17 creates a Climate Action Cell within the GBA. I found no provision requiring BMTC to consider emissions or sustainability.
- **BMTC website (BMTC-32):** the mission line 'Adopt environment-friendly and sustainable practices' is a statement of intent, not a mandate.
- **Other environment items:** BMTC-01 lists press releases on BS-VI buses and on monitoring electric buses. These show implementation, not a mandate.
**Why I didn't give 2.5:** it depends on two judgements a person must make. First, whether an indirect duty to align with the Authority's plan counts as BMTC being 'mandated' to consider environmental sustainability. Second, whether the Act is in force.
**Why I didn't give 0:** that needs affirmative absence, and these layers are not in the Sheet or were not read:
- KSRTC Rules, 1961 and the BMTC/KSRTC regulations listed on BMTC-20 (only the index page is in the Sheet).
- Rules and regulations under the BMLTA Act.
- The Comprehensive Mobility Plan and the Authority's policies.
- State EV, clean-fuel or transport policies and government orders binding on BMTC.
**To check:**
1. Get the UPD6a methodology and band definitions.
2. Find the BMLTA Act commencement notification and the notice constituting the Authority.
3. Read the KSRTC Rules 1961 and any state EV or clean-fleet government orders that name BMTC.
4. Decide whether the indirect alignment duty earns the partial band.
Quote: "These additional projects shall align with the Comprehensive Mobility Plan goals and promote sustainable urban transport."
"Score" left blank: the Citation Sheet doesn't decide it.</t>
  </si>
  <si>
    <t xml:space="preserve">UITP Working Paper – Fleet Wide Transition to Zero Emission Buses: A Roadmap for the City of Bengaluru (August 2023) [BMTC-39]</t>
  </si>
  <si>
    <t xml:space="preserve">Section 3, Overview of current BMTC operations; sidebar 'BMTC Electric Bus Procurement'; Section 4, BMTC 2030 fleet needs and procurement timeline</t>
  </si>
  <si>
    <t xml:space="preserve">UITP/ICCT Working Paper (August 2023), pages 4-5</t>
  </si>
  <si>
    <t xml:space="preserve">Sidebar 'BMTC Electric Bus Procurement' and the text under Table 2 (1,101 12m non-AC e-buses under FAME-II; 840 BS VI diesel buses; all 1,941 to be deployed in 2023)</t>
  </si>
  <si>
    <t xml:space="preserve">4</t>
  </si>
  <si>
    <t xml:space="preserve">https://www.uitp.org/wp-content/uploads/sites/7/2025/04/Working-Paper_Fleet-Wide-Transition.pdf</t>
  </si>
  <si>
    <t xml:space="preserve">AI: left for a person. Step 2 found no evidence (Human Verification Required). Source needed: Needed: BMTC's current fleet plan or e-bus transition plan with targets and a diesel phase-out schedule; any emissions or fuel-efficiency (KMPL/kWh per km) targets; the latest BMTC annual report (laid before the Legislature under RTC Act s.35); the route rationalisation or network plan, including the metro feeder plan and interchange or common-ticketing arrangements; the text of BMTC's environmental policy; and any depot energy-efficiency or solar measures.</t>
  </si>
  <si>
    <t xml:space="preserve">Chapter IV (Water Supply); also Chapter V and Chapter VI</t>
  </si>
  <si>
    <t xml:space="preserve">Section 26 (vesting of water works in Board); see also s.15, s.36, s.38, s.39, s.63, s.123, s.127</t>
  </si>
  <si>
    <t xml:space="preserve">s.26 (whole section); s.127(1)(c) and s.127(2)(c) (water supply and sewerage undertakings transferred from BBMP to the Board)</t>
  </si>
  <si>
    <t xml:space="preserve">21</t>
  </si>
  <si>
    <t xml:space="preserve">AI (low confidence), from Step 2 answer (Partially Answered) and BWSSB-02: I have left the score blank and not given 0. The Step 2 answer cannot be accepted as it stands. (1) The task did not include the Detailed Methodology or the score bands for DPG1a. All I have is Step 2's own wording ('Scenario B' etc.). With no rubric, I cannot place this case on the 0-5 scale. Flag as RUBRIC-GAP: a person should apply the actual DPG1a bands. (2) Step 2 says the BWSSB Act does not separate the Board's role from the city government's. That claim missed the vesting and transfer provisions, which I have now read in BWSSB-02 (PRS compilation, amended up to Act 29 of 2021). s.26 vests in the Board and places under its control all water works for the Bangalore Metropolitan Area, 'whether made at the cost of the Government, the Bruhat Bangalore Mahanagara Palike or otherwise'. s.63 vests sewers in the Board (heading seen in the table of contents only). s.123 transfers BBMP's water supply and sewerage staff to the Board. s.127(1)(c) and s.127(2)(c) vest BBMP's water supply and sewerage undertaking property in the Board. s.36 lets the Board supply water to BBMP 'on such terms ... as shall be determined by the Board'. s.38(1) has the Board provide free public supply subject to payment of charges by BBMP. The 1964 Statement of Objects records that the Act moved distribution from the Corporation to the Board. Read together, these provisions arguably allocate the whole function to the Board, away from the municipal body. That may count as an explicit distinction, or it may count only as a transfer that never defines what the city government keeps. That is a judgement call for the team. (3) The later GBA Act (BWSSB-04, Karnataka Act 36 of 2025, as enacted, GBA era) contradicts this. Sch. I(1)(v) lists 'Water supply for domestic, industrial and commercial purposes' and (vi) liquid waste management as City Corporation core functions, though s.111(1) makes them 'subject to ... the provisions of the other Acts'. Sch. I(3)(vii)(f) gives the City Corporations 'unfiltered water supply for non-domestic uses', which may be a partial split by scale or aspect. The BWSSB Act still names BBMP and the KMC Act, and no source in the Citation Sheet shows these references formally substituted by the City Corporations or GBA. So the two laws overlap or conflict rather than divide the function cleanly. (4) A 0 would need affirmative absence, and we do not have it. Neither Rules nor Regulations under the BWSSB Act, nor Rules under the GBA Act, are in the Citation Sheet. Both Act texts are PRS secondary copies. BWSSB-23 and BWSSB-28 are Bills as introduced, and the Citation Sheet does not show them enacted. Checked: BWSSB-02 (ss.14, 15, 26, 27, 31, 36, 38, 39, 123, 127, 129, and the 2010 amending Act s.31 substitution), BWSSB-04 (s.111 and Schedule I), and a search across the whole Citation Sheet. A person should apply the real DPG1a rubric to the s.26/s.127 vesting set against GBA Act Schedule I.
Quote: "26. Vesting of works in Board. —On and from the date of coming into force of this Chapter, all public reservoirs, tanks, cisterns, fountains, wells, pumps, pipes, taps, conduits and other works connected with the supply of water to the"
"Score" left blank: the Citation Sheet doesn't decide it.</t>
  </si>
  <si>
    <t xml:space="preserve">Greater Bengaluru Governance Act, 2024 (Karnataka Act 36 of 2025): chapter on taxes, fees and exemptions; also Chapter III (GBA) and Schedule I</t>
  </si>
  <si>
    <t xml:space="preserve">Section 234(2)-(3); also Section 14(4), Section 15(1), Section 112(1), Schedule I core functions (xii) and (xvii)</t>
  </si>
  <si>
    <t xml:space="preserve">s.234(2) and its proviso; s.234(3) ground rent</t>
  </si>
  <si>
    <t xml:space="preserve">91</t>
  </si>
  <si>
    <t xml:space="preserve">AI (low confidence), from Step 2 answer (Partially Answered) and BMTC-04: Score left blank. A person needs to score this.
1) The sheet cannot settle the score. The task did not give me the Detailed Methodology or the scenario bands for DPG1a. Without them I cannot map the evidence to a number from 0 to 5. Treat this as a possible RUBRIC-GAP until a scorer applies the bands.
2) BMTC's own founding instrument is missing. The order that set up BMTC under section 3 of the Road Transport Corporations (RTC) Act 1950 is not in the sheet, and neither is any Memorandum of Association. GBA Act s.14(4) calls BMTC 'Bangalore Metropolitan Transport Corporation Limited' and requires it to 'suitably incorporate in their Memorandum of Association' the GBA's coordinating role. That suggests BMTC may be a company, which conflicts with treating the RTC Act as its governing law. A 0 on 'no demarcation' needs affirmative absence across BMTC's whole legal stack, and I cannot show that.
3) What I checked:
- RTC Act 1950 (BMTC-02), ss.3, 18 and 19: a general duty to run road transport services and provide 'ancillary service'. There is no reference to municipal bodies.
- BMTC-20 (BMTC's Rules and Regulations page): only staff and service regulations inherited from KSRTC, plus the KSRTC Rules 1961. Nothing on BMTC's role relative to the city government.
- GBA Act (BMTC-04), city government side:
  - Schedule I gives the City Corporations bus stops, parking and waiting sheds as core functions.
  - s.112(1) says the City Corporation 'may' take on urban transport. This is optional.
  - s.14(4) gives the GBA binding supervision and directions over BMTC.
  - s.15(1) gives the GBA mobility plans.
  - s.234(2)-(3) lets BMTC put up bus-stop posts, shelters, ticket booths and bus stands on City Corporation land without a licence. It needs prior State sanction and pays ground rent to the City Corporation, either as agreed or as set by the Government.
- Taken together, this is a partial demarcation on bus-stop infrastructure only, and it sits in the city government's Act. Running bus services is BMTC's under the RTC Act, but the city government may take it on with State approval (s.112(1)). This fits the Step 2 answer's 'Scenario C / partly devolved' reading, but I could not check that band against the rubric.
4) Points for the scorer:
- s.234 says 'Bengaluru Metropolitan Transport City Corporation', which looks like a drafting slip for BMTC.
- The GBA Act text is the PRS republication, so whether later amendments are included is unknown.
- Whether the GBA (Amendment) Bill 2025 (BMTC-05) was enacted is unknown. It changes only s.8(2) and s.14(1).
- The BMLTA Act (BMTC-06) sets up a State-level transport authority, not the city government.
- Era: GBA era. The earlier BBMP-era arrangement was not assessed.
5) Before scoring, add BMTC's founding notification or Memorandum of Association to the sheet and apply the DPG1a scenario bands. I agree with Step 2 that the evidence leans towards no clear demarcation (overlapping bus-stop functions, binding GBA directions, and no carve-out in BMTC's own law), but that cannot be confirmed from this sheet.
Quote: "Notwithstanding anything contained in this act no licence or permission shall be necessary for the Bengaluru Metropolitan Transport City Corporation in respect of the fixation or erection of posts showing places of stoppage of buses or erection or construction of passenger-shelters, ticket booths and bus stands on any road or land vested in the City Corporation:"
"Score" left blank: the Citation Sheet doesn't decide it.</t>
  </si>
  <si>
    <t xml:space="preserve">Schedule I (see section 111)</t>
  </si>
  <si>
    <t xml:space="preserve">Schedule I, (1) Core Functions</t>
  </si>
  <si>
    <t xml:space="preserve">(i)-(ii)</t>
  </si>
  <si>
    <t xml:space="preserve">134</t>
  </si>
  <si>
    <t xml:space="preserve">AI (low confidence), from Step 2 answer (Answered — Verified Source) and BDA-03: I left the Score blank. The task gave me no question text, Detailed Methodology or scoring notes for DPG1a, so I could not check the rubric bands myself. Step 2's description ('Scenario B ... no explicit carve-out in the Parastatal Act -&gt; 0') does not tell me what the bands between 0 and 5 are, or whether a partial separation earns intermediate credit. Scoring from it would be a guess. A person holding the DPG1a rubric should set the score.
What I checked against the sources:
(1) The city government law (BDA-03, the Greater Bengaluru Governance Act 2024, Act 36 of 2025, PRS text) gives the City Corporations 'Urban planning including town planning' and land-use regulation in Schedule I (s.111). Section 223 makes Corporation land-use powers conform to the Master Plan or have the Planning Authority's concurrence. A search of the sheet also shows s.14 gives the GBA the planning, scheme-coordination and supervisory role.
(2) The parastatal law (BDA-02, BDA Act 1976, PRS copy with amendments appended up to Act 42 of 2026, gazetted 07.09.2026): I read the arrangement of sections. No section refers to the GBA or the Greater Bengaluru Area. Act 42 of 2026 amends only s.10 (estimate limits raised to five crore rupees) and s.38D (allotment rates and eviction). This confirms that the BDA Act was not amended to separate BDA's role from the GBA's or the Corporations'.
(3) The only area-based split (BDA as planning authority outside the Greater Bengaluru Area) is in BDA-05. That is the KTCP and Certain Other Laws (Amendment) Bill 2025, as passed by the Legislative Assembly. The sheet does not show that it was enacted or brought into force.
(4) The BDA Act has interface provisions with 'the Corporation': s.15(2) (schemes recommended and funded by a local authority), the s.25 proviso (the Corporation must be consulted), s.26, s.28, s.28A (streets maintained until vested in the Corporation) and s.28B. Step 2 treats these as handover provisions only, not a division of the function. A person should decide whether the rubric gives partial credit for these. They still name the pre-GBA 'Corporation', and no source in the sheet shows a successor substituted.
If the rubric really is 'no explicit separation of responsibilities in the Parastatal Act -&gt; 0', the evidence supports 0. Affirmative absence has been checked for the BDA Act layer: arrangement of sections, the amendments appended, and ss.65-70. No BDA Rules or Regulations are in the sheet.
All Act texts are PRS secondary copies or Bill papers. Era: GBA-era.
RUBRIC-GAP: no methodology was supplied to me. Please confirm the rubric and set the score.
Quote: "(i) Urban planning including town planning; (ii) Regulation of land-use including protection of public land from encroachment and construction of buildings;"
"Score" left blank: the Citation Sheet doesn't decide it.</t>
  </si>
  <si>
    <t xml:space="preserve">Chapter III (Greater Bengaluru Authority); Chapter on City Corporation functions</t>
  </si>
  <si>
    <t xml:space="preserve">Section 14(4); also s.8(3), s.13(1)(j), s.14(3)(c)-(d), s.15(1), s.111 with First Schedule, s.112(1), s.178</t>
  </si>
  <si>
    <t xml:space="preserve">s.14(4) 'Co-ordination and Supervision of Public Authorities'</t>
  </si>
  <si>
    <t xml:space="preserve">AI (low confidence), from Step 2 answer (Partially Answered) and BMRCL-02: SCORE LEFT BLANK for a person to decide.
(1) The question's Detailed Methodology and Notes for scorers were not included in this task, apart from the scenario labels (A/B/C) that Step 2 uses. I cannot check which band a 0-5 score maps to, so I have not proposed a number.
(2) I checked Step 2's reading against the source and it holds:
- GBA Act s.14(4): GBA 'integrates and supervises' the activities of the 'Bengaluru Metro Rail Corporation Limited' and issues binding directions. Public authorities 'shall cooperate' and 'obey its directions'. There is no carve-out for metro operations.
- s.15(1): GBA 'shall be responsible to make master plan and mobility plans'.
- s.13(1)(j): the MD of BMRCL sits on GBA's Executive Committee.
- s.112(1): a City Corporation 'may', with Central or State approval and funding, take on 'urban transport'. That is discretionary and conditional, not an assignment of the function.
- s.178: the Urban Transport Fund is run by the Directorate of Urban Land Transport (DULT), not by the City Corporation.
- Metro O&amp;M Act 2002 (BMRCL-04), as amended by Act 34 of 2009: ss.5-6 cover BMRCL's operation and maintenance role. s.86 lets the Central Government give policy directions to a non-Government metro railway. Nothing I read in this Act mentions the city government or GBA, or separates BMRCL's role from GBA's supervision.
- Overall, the evidence points to overlapping, undemarcated roles: GBA supervises, coordinates and plans with binding directions, while BMRCL operates.
(3) A 0 needs affirmative absence, and I cannot show it. The Citation Sheet does not contain:
- BMRCL's Memorandum and Articles of Association (my search found no MoA text);
- the notification extending the Metro O&amp;M Act 2002 / the 1978 Construction of Works Act to Bengaluru;
- the full text of the 1978 Act;
- the operative text of the BMLTA Act 2022 ss.18-19;
- any Rules or GOs on how GBA and BMRCL relate.
I therefore cannot confirm that there is no demarcating provision anywhere in BMRCL's legal stack.
(4) Points for the team to check:
- The Act names 'Bengaluru Metro Rail Corporation Limited' (ss.2(54), 13, 14(4)) but 'Bangalore Metro Rail Corporation' in s.9(3)(j). The company's own annual report (BMRCL-09) uses 'Bangalore'. Confirm the Act means this company.
- The BMRCL-02 PDF also contains the text of a GBA (Second Amendment) Act 2025 (Karnataka Act 01 of 2026). It amends ss.13, 29, 30, 33 and 241, but not s.14(4). Step 2 did not mention it.
- The GBA Act text is a PRS secondary copy, and its date of coming into force has not been verified.
- Era: GBA era.
Quote: "Integrating and supervising the activities of public authorities like the Bangalore Development Authority, the Bengaluru Water Supply and Sewerage Board, Bangalore Metropolitan Transport Corporation, Bengaluru Solid Waste Management Corporation, Bengaluru Metro Rail Corporation Limited, the Bangalore Electricity Supply Company and such other bodies connected with municipal activities in the Greater Bengaluru Area in such a manner that all functions are streamlined and implemented in a citizen-friendly manner and issuing directions for the same which shall be binding"
"Score" left blank: the Citation Sheet doesn't decide it.</t>
  </si>
  <si>
    <t xml:space="preserve">Chapter on the Greater Bengaluru Authority (functions)</t>
  </si>
  <si>
    <t xml:space="preserve">Section 14(2) Planning Functions (also s.14(3), s.14(4), s.15(1); Schedule I functions of City Corporations)</t>
  </si>
  <si>
    <t xml:space="preserve">s.14(2)(a)</t>
  </si>
  <si>
    <t xml:space="preserve">14</t>
  </si>
  <si>
    <t xml:space="preserve">AI (low confidence), from Step 2 answer (Partially Answered) and BMRDA-10: I left the score blank because the Citation Sheet does not have the text needed to decide it. The question's full Detailed Methodology was not given to me. The Step 2 answer refers to Scenarios A, B and C and an 'explicit, non-overlapping carve-out' test, so I used that.
(1) City government side. I checked this against BMRDA-10 (Greater Bengaluru Governance Act, 2024, Act 36 of 2025, PRS text, GBA era; commencement date not established from the Sheet). The Act clearly gives planning to the city government's system:
- s.14(2) starts 'Notwithstanding anything contained in any other law'. Under s.14(2)(a), GBA 'shall be' the Planning Authority under the KTCP Act for the Greater Bengaluru Area.
- Under s.14(2)(c), the state shall set up the Bengaluru Metropolitan Planning Committee (BMPC) under Art. 243ZE.
- Under s.14(3)(b), GBA issues binding directions for executing schemes.
- Under s.15(1), GBA 'shall be responsible to make master plan and mobility plans'.
- Under s.223, City Corporations must act in line with the KTCP master plan.
So Scenario A (function not devolved) does not fit. The case is Scenario B or C. The Step 2 summary of the city government side is supported by the source.
(2) BMRDA side. The BMRDA Act, 1985 is not in the Citation Sheet: not s.9 (functions), not any amendment, Rules, regulations, or GO linking BMRDA to GBA or the BMPC. The only accounts of its functions are paraphrases in BMRDA-02 (website) and BMRDA-03 (FY 2022-23 annual report, BBMP era, historical). Those paraphrases give BMRDA a structure plan for the whole region. They also give it a role coordinating BDA, BWSSB and the 'Corporation of the City of Bangalore', which is a predecessor body; no successor substitution is shown in the Sheet. That role seems to overlap GBA's binding power under s.14(4) to integrate and supervise BDA, BWSSB and 'such other bodies connected with municipal activities'. A score of 0 for overlap, or a positive score for a separation by scale (regional versus city), can only be decided from the Act's own wording. A paraphrase is not enough.
(3) Points for a person to check:
- BMRDA is not among the bodies named in s.14(4). It does sit on GBA (s.9(3)(u)) and its Executive Committee (s.13(1)(e)).
- The 'public authority' definition in s.2(54) is cut off in the saved text at 'the Bengaluru Metropolita...'. It may name BMRDA or BMLTA. Check it in the full text, because it decides whether BMRDA falls under GBA's coordination.
- Choose between B and C. Schedule I sector-wise (i)(c) requires integration with 'regional development plan[s]', which suggests a split by scale (C).
- The team notes say BMRDA's eligibility is 'needs_review' at screening.
What is missing: the primary text of the BMRDA Act, 1985 (s.9 and amendments) from an official Karnataka source, and any notification on how BMRDA relates to GBA or the BMPC.
Quote: "(a) the Greater Bengaluru Authority shall be the “Planning Authority” as defined under the Karnataka Town and Country Planning Act, 1961, for the areas comprising of the Greater Bengaluru Area;"
"Score" left blank: the Citation Sheet doesn't decide it.</t>
  </si>
  <si>
    <t xml:space="preserve">Chapter on municipal duties and functions (GPMC Act, 1949, as modified up to 30-11-2017)</t>
  </si>
  <si>
    <t xml:space="preserve">Section 66</t>
  </si>
  <si>
    <t xml:space="preserve">(8B)</t>
  </si>
  <si>
    <t xml:space="preserve">70</t>
  </si>
  <si>
    <t xml:space="preserve">AI (low confidence), from Step 2 answer (Partially Answered) and SUDA-04: Score left blank because the law that decides this question cannot be read in the Citation Sheet.
1. The ULG side is confirmed. GPMC Act s.66 says 'The Corporation may, in its discretion, provide ...' and lists in (8B) 'urban planning including town planning and regulation of land use'. This is a discretionary ('may') function, not a duty. The team should confirm whether a discretionary function counts as 'devolved'. Step 2 also points to the obligatory s.63(1)(23A) on plans for economic development and social justice.
2. SUDA's planning area includes the SMC area:
- SUDA-14 (DP 2035, 2017), ch.1.4.3: SUDA's area has included the SMC area since it was set up on 30.01.1978.
- SUDA-05 (revised draft GDCR, undated), title and cl.1.1.3: the regulations cover the SMC area.
- SUDA-14 also records that SUDA prepared 23 town planning schemes and SMC prepared 129. That is practice, not law.
Taken together, this provisionally fits Scenario B (function devolved, and the parastatal also works in the ULG area). Scenario B then needs an explicit separation of roles in the parastatal's law.
3. What the sheet shows on separation is mixed:
- GTPUD Act s.23(1), as reproduced in SUDA-14 ch.1.4.2 (a secondary reproduction, not the Act text), gives SUDA functions across the whole 'urban development area'. These include (iv) 'to guide, direct and assist the local authority or authorities ... in matters pertaining to the planning, development and use of urban land' and (v) controlling development under the development plan. This points toward overlap or coordination, not a carve-out.
- s.23(2), as substituted by Gujarat Act 22 of 2017 (SUDA-01), says the State 'may ... delegate' SUDA's powers to the local authority. No delegation notification is in the sheet.
- In the other direction, GDCR cl.2.13 defines Competent Authority as persons authorised 'by the Surat Urban Development Authority/Surat Municipal Corporation as the case may be'. The s.27 application form is addressed to the 'Chief Executive Authority/Municipal Commissioner'. Cl.28.3 sets up a joint SUDA–SMC appeal committee. All of this suggests some split between the two bodies, but it is a draft regulation and not an explicit division in the Act.
4. The provision that decides the question is GTPUD Act s.2(iii), the definition of 'appropriate authority'. It would show whether SMC is the appropriate authority for town planning schemes and development permission inside its limits. It cannot be read anywhere in the sheet: SUDA-01 contains only the amending gazettes, and SUDA-03 (Rules) uses the term without defining it. Nor can the working text of GTPUD ss.22–29, the 1978 constitution notification, or the 2015 boundary notifications be read.
Without these I cannot support a 5 (explicit carve-out) or a 0. A 0 would need affirmative absence, and the deciding instrument was not read.
Checked: SUDA-01, SUDA-03, SUDA-04 (ss.63 and 66), SUDA-05 (cl.1.1.3, 2.13, 28.3, Form C(a)), SUDA-13 and SUDA-14 (ch.1.4).
For a person to check: obtain the full GTPUD Act text (s.2(iii), s.23) from an official Gujarat source, and any s.23(2) delegation notification for Surat.
Quote: "(8B) urban planning including town planning and regulation of land use;]"
"Score" left blank: the Citation Sheet doesn't decide it.</t>
  </si>
  <si>
    <t xml:space="preserve">Chapter V (Duties and powers of the Corporation); Chapter XX (The Transport Undertaking)</t>
  </si>
  <si>
    <t xml:space="preserve">Section 66 (matters the Corporation may provide for at its discretion); ss. 341-342</t>
  </si>
  <si>
    <t xml:space="preserve">s.66(20); s.342(2)(a)</t>
  </si>
  <si>
    <t xml:space="preserve">71</t>
  </si>
  <si>
    <t xml:space="preserve">AI (low confidence), from Step 2 answer (Partially Answered) and GMRC-18: SCORE LEFT BLANK. I couldn't decide either side of the comparison from the Citation Sheet.
(1) City-government side, GMRC-18 (GPMC Act 1949, as modified up to 30-11-2017). I checked this against the source. Section 66(20) lists light railways, tramways, trackless trams and motor transport facilities 'within or without the City' as matters the Corporation may take up at its discretion. Chapter XX (ss.341-342) gives the Corporation powers 'in the event of the Corporation acquiring or establishing a Transport Undertaking'. So the city-government law assigns the transit function, but only as an option. Following the Step 2 reading, that rules out Scenario A (not devolved, score 5) and points to Scenario B. Two things a person should check: (a) whether 'light railways/tramways/mechanically propelled transport facilities' covers metro rail; (b) whether the GPMC Act governs Surat. The extract in the Sheet does not name Surat, and the task input leaves the city government's name blank.
(2) GMRC side. GMRC has no constituting Act. GMRC-03 (RTI s.4(1)(b) disclosure) says GMRC was incorporated on 4-2-2010 under the Companies Act, 1956 'to implement Metro Rail Project', and became a 50:50 GoI-GoG SPV from 20-3-2015. GMRC-07 (MoHUA sanction, 06-06-2019) is a central government order, not an Act. Para 8.3 says the Surat project 'shall be implemented by' GMRC. The central Metro Railways (Construction of Works) Act 1978, the Metro Railways (O&amp;M) Act 2002, the 2009 amendment and GMRC's Memorandum and Articles appear in GMRC-03 only as links. Their text is not in the Sheet. My searches of the Sheet for metro-Act provisions and for anything on the Surat city government's role found nothing usable.
So under Scenario B I can't apply the 5 band (a parastatal law that explicitly carves out a role distinct from the city government's), because no such text is in the Sheet. I can't apply the 0 band either (no distinction): that needs proof of absence, and the relevant instruments are not in the Sheet to read.
RUBRIC-GAP / CONFIRM: the team should decide how DPG1a applies when the parastatal is a Companies Act SPV with no constituting Act. Do the central Metro Acts or the MoHUA sanction count as the 'Parastatal Act'? If the function is held to be devolved but in practice delivered only by GMRC, check whether Scenario D applies.
Evidence reviewed: GMRC-18, GMRC-03, GMRC-07, plus a Sheet-wide search (GMRC-05, -06, -08 returned nothing relevant).
Quote: "the construction, purchase, organization, maintenance or management of light railways, tramways, trackless trams, or motor transport facilities for the conveyance of the public or goods within or without the City;"
"Score" left blank: the Citation Sheet doesn't decide it.</t>
  </si>
  <si>
    <t xml:space="preserve">Chapter I – Preliminary</t>
  </si>
  <si>
    <t xml:space="preserve">Section 2 (Definitions)</t>
  </si>
  <si>
    <t xml:space="preserve">s.2(1a), substituted by Act 15 of 2010 w.e.f. 16.04.2010; read with s.2(3)</t>
  </si>
  <si>
    <t xml:space="preserve">AI (medium confidence), from Step 2 answer (Answered — Verified Source) and BWSSB-02: Score is 2.5: the BWSSB Act defines BWSSB's area, but only in general terms. I checked this against BWSSB-02 (PRS copy, as amended up to Act 5 of 2011, with later amending Acts appended). Section 2(1a) defines the 'Bangalore Metropolitan Area' as the area in the jurisdiction of the Bruhat Bangalore Mahanagara Palike, plus any adjacent areas the State Government may notify from time to time. Section 2(3) defines 'Bruhat Bangalore Mahanagara' by the jurisdiction of the BBMP constituted under the KMC Act, 1976. So the area is set by pointing to another body's jurisdiction and to future notifications. The Act has no schedule, no description of boundaries and no map reference. Step 2 says this fits the 2.5 band ('defined only in general terms'), not the 5 band (boundary description, schedule or map in the enabling Act) and not 0 (no definition). I have not seen the rubric text myself, so this rests on Step 2's account of the bands. Step 2 left open whether Act 29 of 2021 changed s.2(1a). It did not: I read the appended text, and it only substitutes s.72A (rain water harvesting). The other appended amending Acts I read (32 of 2010 on s.89A, 5 of 2011 on s.72A, 28 of 2013 on s.109A) do not touch the area definition either. On the city-government side, BWSSB-04 (GBA Act) s.1(2) also defines the area 'as notified by the Government', which does not change the band. FOR THE TEAM TO CHECK: (1) Section 2(1a) still names the BBMP. Under GBA Act s.7(4) the BBMP ceases to exist once the City Corporations are notified. No source in the sheet shows the BWSSB Act's definition was changed to the Greater Bengaluru Area or the City Corporations, so it is unclear which boundary now applies. Either way the band stays at general terms. (2) There is no official state gazette copy in the sheet; the Act text is a PRS secondary copy. (3) No s.2(1a) notifications adding adjacent areas are in the sheet. They would sit outside the Act, so they would not by themselves earn the 5 band.
Quote: "(1a) ‘Bangalore Metropolitan Area’   means the area falling within the jurisdiction of the Bruhat Bangalore Mahanagara Palike and includes such other areas adjacent thereto as the State Government may, by notification, from time to time specify;"</t>
  </si>
  <si>
    <t xml:space="preserve">Section 3 (Establishment of Road Transport Corporations in the States); also s.2(b), s.2(c), s.18, s.19(1)(a), s.20</t>
  </si>
  <si>
    <t xml:space="preserve">s.3 closing words</t>
  </si>
  <si>
    <t xml:space="preserve">3</t>
  </si>
  <si>
    <t xml:space="preserve">AI (low confidence), from Step 2 answer (Partially Answered) and BMTC-02: I left the score blank because the document that would set BMTC's area is not in the Citation Sheet. I can't score without it, and I won't guess.
What I checked:
- I confirmed the Step 2 reading against BMTC-02, the Road Transport Corporations Act, 1950 (amended up to Act 63 of 1982). This is a central Act. The copy in the sheet is hosted on the Telangana transport portal, but for a central Act the text is the same in every state.
- Section 3 does not draw any boundary. It only lets the State Government set up a corporation 'for the whole or any part of the State' by notification in the Official Gazette. Section 2(b) defines 'Corporation' as one established under section 3. Sections 18 and 19 speak only of 'the State or part of the State for which it is established' and any 'extended area' under section 20. The Act has no schedule or map.
- So the actual area comes from the Karnataka section 3 notification that set up BMTC, plus any later notifications changing it. That notification is part of the enabling legal framework, and it is not in the Citation Sheet.
- I searched the whole sheet for an establishment notification or area description and found none. BMTC-15 (BMTC Glance) contains only website policy and help text. BMTC-20 (Rules and Regulations) lists only KSRTC employee regulations and the KSRTC Rules, 1961, with no area or establishment notification. BMTC-01 and BMTC-32 give only a general description: 'sole public bus transport provider for Bengaluru, serving urban, sub-urban and rural areas'. BMTC-04 (the city government's Act, the Greater Bengaluru Governance Act, PRS copy) s.234 covers only bus stops, shelters and bus stands on City Corporation land, and does not define BMTC's area. BMTC-06 (BMLTA Act) s.3 defines the separate authority BMLTA's mobility region, not BMTC's area.
How the bands would apply:
- On the parent Act alone, this looks like the 2.5 band ('general terms').
- Scoring 2.5 now would mean stopping at the parent Act. If the notification gives a specific boundary, the answer could be 5. That makes 2.5 unsafe.
- A score of 0 is not justified either. I can't show the area is undefined anywhere, because the deciding document was never checked.
What the team needs to do:
1. Get the Karnataka Gazette notification establishing BMTC under s.3 of the RTC Act (and any later notifications changing its area), for example by an RTI request to the Transport Department or BMTC's Public Information Officer, and add it to the Citation Sheet.
2. Rule whether a section 3 notification counts as part of the 'enabling Act' for the 5 band. The methodology says 'in the enabling Act'; the question says 'enabling legal framework'.
3. Confirm that the GBA Act's 'Bengaluru Metropolitan Transport City Corporation' (BMTC-04, s.234) means BMTC.
Quote: "may, by notification in the Official Gazette, establish a Road Transport Corporation for the whole or any part of the State under such name as may be specified in the notification."
"Score" left blank: the Citation Sheet doesn't decide it.</t>
  </si>
  <si>
    <t xml:space="preserve">Chapter I – Preliminary (read with Chapter II)</t>
  </si>
  <si>
    <t xml:space="preserve">Section 2(c), read with Section 3(1)</t>
  </si>
  <si>
    <t xml:space="preserve">s.2(c) definition of 'Bangalore Metropolitan Area'; s.3(1) 'constitute for the Bangalore Metropolitan Area an Authority'</t>
  </si>
  <si>
    <t xml:space="preserve">AI (medium confidence), from Step 2 answer (Answered — Verified Source) and BDA-02: Score 2.5: the BDA Act defines BDA's area, but only in general terms. I checked the Step 2 answer against BDA-02 (PRS copy of the BDA Act, with amending Acts up to Act 42 of 2026). (a) s.2(c) defines the Bangalore Metropolitan Area (BMA) only by reference to other laws: the City of Bangalore as defined in the 1949 Municipal Corporation Act, plus the areas covered by the 1945 Improvement Act. It then adds adjacent areas 'as the Government may from time to time by notification specify'. (b) s.3(1) sets up BDA 'for the Bangalore Metropolitan Area'. (c) The Act has no territorial schedule or map; the only schedule I saw is the one on officers and servants. (d) Act 42 of 2026 (Gazette 07.09.2026) amends only s.10 and s.38D; I re-read its text and found no change to s.2(c). (e) A search of the whole Citation Sheet for boundary, schedule, village or map wording found no boundary description of BDA's jurisdiction. BDA-06 (KTCP Act s.81-B(i)) defines BDA's planning area only by reference to the old City Planning Authority's area. BDA-03 (Greater Bengaluru Governance Act s.2(30) and s.3) defines the Greater Bengaluru Area by notification. So jurisdiction is defined, which rules out 0, but there is no specific boundary description, schedule or map, which rules out 5. That leaves 2.5. CHECKS FOR A PERSON: (1) The question's full Detailed Methodology text was not in this task message. I took the bands (5 = boundary description, schedule or map in the Act; 2.5 = defined in general terms; 0 = not defined) from the Step 2 notes. Please confirm them against the question bank. (2) Confirm that defining the area 'as defined in' the 1949 Act counts as 'general terms'. (3) Pending law: the KTCP and Certain Other Laws (Amendment) Bill 2025 (BDA-05) was passed by the Assembly, but the Sheet does not show it enacted or in force. If enacted, BDA's planning area would become the BMA minus the Greater Bengaluru Area. That is still a notification-based, general definition, so the band would stay the same. Check the official gazette. (4) Only the PRS copy is in the Sheet; there is no official gazette text. There are also no s.2(c) notifications adding adjacent areas and no GBA area declaration, so the current boundary cannot be cross-checked.
Quote: "(c) ‘Bangalore Metropolitan Area’ means the area comprising the City of Bangalore as defined in the City of Bangalore Municipal Corporation Act, 1949 (Mysore Act 69 of 1949), the areas where the City of Bangalore Improvement Act, 1945 (Mysore Act 5 of 1945) was immediately before the commencement  of this Act in force and such other areas adjacent to the aforesaid as the Government may from time to time by notification specify;"</t>
  </si>
  <si>
    <t xml:space="preserve">Section 1(2); see also Long title, s.2(1)(h), s.2(1)(ha), s.3(1), s.5</t>
  </si>
  <si>
    <t xml:space="preserve">s.1(2) extent; s.2(1)(ha) list of metropolitan cities (Bangalore not named)</t>
  </si>
  <si>
    <t xml:space="preserve">5</t>
  </si>
  <si>
    <t xml:space="preserve">AI (low confidence), from Step 2 answer (Partially Answered) and BMRCL-04: I left the score blank because the sheet cannot settle the 5-point band. The 2.5 band (general terms only) is supported, but picking 2.5 would mean the 5-point band (a specific boundary, schedule or map) is not met. The sheet does not have the documents needed to decide that.
What I checked against the source: the Step 2 summary of BMRCL-04 is correct. That is the Metro Railways (Operation and Maintenance) Act, 2002, as amended by Act 34 of 2009, in force from 7-9-2009.
- Its long title, s.3(1), s.5 and s.14 describe the area only in general terms: 'National Capital Region, metropolitan city and metropolitan area'.
- s.1(2) applies the Act beyond the National Capital Region only when the Central Government issues a notification.
- s.2(1)(ha) lists only Bombay, Calcutta, Delhi and Madras as metropolitan cities.
- On its own, this text is jurisdiction in general terms, which fits 2.5.
Why the 5-point band stays open:
- BMRCL-37 (the 2009 Amendment Bill on PRS) quotes the 1978 Construction of Works Act. Its s.2(1)(h) defines 'metro alignment' as the alignment 'specified in the Schedule under that city', and s.32 lets the Central Government add alignments to that Schedule by notification.
- So a city-specific Schedule entry for the Bengaluru metro alignment may exist. That could count as a schedule reference in the enabling law. The sheet does not have it.
My searches of the whole sheet for 'Schedule metro alignment Bangalore' and 'jurisdiction / boundary / map' found no such Schedule entry. They also found no central notification extending the 1978 or 2002 Act to Bengaluru, and no BMRCL Memorandum of Association.
- BMRCL-02 (Greater Bengaluru Governance Act, 2024; GBA era) names BMRCL as a public authority in the Greater Bengaluru Area under s.2(54) and s.14(4). That is a coordination role, not a definition of BMRCL's own territory.
- BMRCL-08 (Bengaluru Metropolitan Land Transport Authority Act, 2022) defines an Urban Mobility Region for that authority, not for BMRCL.
- BMRCL-09 (Annual Report FY 2020-21, historical, BBMP era) says only 'Metro Rail Project in the city of Bangalore', which is a description, not a legal boundary.
- BMRCL-06 (Companies Act) says nothing on territory.
Decisions the team needs to make:
1. Which documents count as the 'enabling legal framework' for a company-form parastatal: the Memorandum of Association, the Metro Railways Acts, or both.
2. Whether a Bengaluru entry in the 1978 Act Schedule counts for the 5-point band.
3. Whether BMRCL's legal form makes it eligible for this question at all.
To decide the score, a person needs to get:
- the current full text of the 1978 Act with its Schedule;
- the central notifications extending both Acts to Bengaluru;
- BMRCL's Memorandum and Articles of Association.
If none of these gives a specific boundary, schedule or map, the score would be 2.5.
Quote: "It extends in the first instance to the National Capital Region and the Central Government may, by notification, after consultation with the State Government, extend this Act to such other metropolitan area and metropolitan city, except the metropolitan city of Calcutta"
"Score" left blank: the Citation Sheet doesn't decide it.</t>
  </si>
  <si>
    <t xml:space="preserve">Local Planning Areas - Bangalore Metropolitan Region Development Authority(BMRDA) [BMRDA-07]</t>
  </si>
  <si>
    <t xml:space="preserve">Bengaluru Metropolitan Region(BMR) is a statutory authority constituted on date 01-02-1986 under the provisions of the Bengaluru Metropolitan Region Development Authority Act 1985, for planning, coordinating and supervising the proper and orderly development of the areas within BMR. BMR comprises Bengaluru Urban District, Bengaluru Rural District &amp; Ramanagaram District. The total area Bengaluru Metropolitan Region is about 8005 Sq Kms.In the BMR the following authorities constituted for the respective local planning areas :</t>
  </si>
  <si>
    <t xml:space="preserve">BMRDA website, 'Local Planning Areas' page (undated; captured 2026)</t>
  </si>
  <si>
    <t xml:space="preserve">2(c), as substituted by Karnataka Act 8 of 2005 w.e.f. 23.03.2005</t>
  </si>
  <si>
    <t xml:space="preserve">https://bmrda.karnataka.gov.in/page/Local+Planning+Areas/en</t>
  </si>
  <si>
    <t xml:space="preserve">AI: left for a person. Step 2 found no evidence (Human Verification Required). Source needed: Needed: (a) the full text of the BMRDA Act 1985 (Karnataka Act 39 of 1985), current amended version, especially the definition of 'Bangalore Metropolitan Region' and any Schedule or power to change the area by notification. Best copy is from the Karnataka legislation or eGazette portal, or a readable copy of the Act on BMRDA's own site. (b) The government notification that declares or changes the BMR boundary, plus the jurisdiction map. (c) A check of the Greater Bengaluru Governance Act for any provision on BMR's area.</t>
  </si>
  <si>
    <t xml:space="preserve">Chapter 1 (1.4 Surat Urban Development Authority); Chapter 21 (21.1 Exclusion of Villages)</t>
  </si>
  <si>
    <t xml:space="preserve">1.4.1 Constitution of SUDA; 1.4.3 Jurisdiction of SUDA; 21.1 Exclusion of Villages; Table 153</t>
  </si>
  <si>
    <t xml:space="preserve">Refers to GTPUD Act 1976 s.22(1), (2), (2A), (4)</t>
  </si>
  <si>
    <t xml:space="preserve">AI (low confidence), from Step 2 answer (Partially Answered) and SUDA-14: I left the score blank. A person needs to score this.
1) PRIMARY TEXT MISSING. SUDA-01 is the PRS compilation of the GTPUD Act 1976. I re-read it this session: pages 2-86, which hold the main Act and so section 22, have no extractable text. Only the amending Acts are readable (2017: s.23(2), s.7(2), s.76A; 2019: s.9, s.12, s.19A). None of them sets out how SUDA's area is defined or where its boundary lies. A search of the whole Citation Sheet found no readable text of s.22.
2) WHAT THE SHEET DOES SHOW. SUDA-14 (SUDA's own Draft Development Plan 2035, dated 2017) reports the following:
- SUDA's area was set by state notification under s.22(1), (2) and (4) on 30.01.1978: SMC plus 148 villages, 722 sq km.
- Delad village was then deleted, giving 715 sq km.
- Notifications of 9.12.2015 and 18.12.2015 added 100 villages, giving 1351 sq km.
- Under s.22(2A), Khajod village was removed by notification of 19.07.2016 (GH/V/144), and villages were excluded by notifications of 24.10.2016 (GH/V/199) and 03.11.2016 (GH/V/200).
- Table 153 gives a resulting area of 985.16 sq km.
SUDA-05 (GDCR cl.1.1.3, a revised draft, undated) also says the area was notified under s.22(2), citing Notification No. GHB/R1/UDA/1177/646(4)-q-2 of 31.01.1978. All of this is second-hand. None of the Gazette notifications or their village schedules is in the sheet. SUDA-21 is a map based on the 9/12/2015 notifications and is out of date after the 2016 exclusions. SUDA-03 (Rules, r.3) refers only generally to 'the area within the jurisdiction'.
3) RUBRIC-GAP / interpretation. I was not given the question's Detailed Methodology text. The Step 2 notes describe a 5-point band for a 'specific boundary description, schedule, or map reference in the enabling Act' and a 2.5-point band for a 'notified area'. Two things are unresolved:
- Whether a s.22 notification that lists villages counts as the 'enabling legal framework' for the 5 band. If it does, the score could be 5. If only text inside the Act counts, it points to 2.5.
- Whether the readable s.22 wording, which the sheet does not contain, gives only a general power to notify an area.
The evidence does not decide between 2.5 and 5. A 0 is not supported, because an area-defining mechanism clearly exists.
4) OTHER POINTS FOR THE TEAM.
- The two 1978 notifications are cited differently (GDCR: 646(4), 31.01.1978; DP 2035: 646(5), 30.01.1978). They may be separate declaration and constitution instruments.
- The DP records that SUDA treats Asnabad village as still inside its area, despite the wording of the 2016 notification.
- The DP is internally inconsistent. Section 21.1 says 54 villages were excluded on 24.10.2016 (effectively 53) and 7 more on 03.11.2016. Table 153 gives 985.16 sq km and 135 rural settlements.
- The boundary after 2017 is not confirmed.
To score this, the team needs: readable official text of GTPUD Act s.22 (a gujarat.gov.in or gazette copy), copies of the 1978, 2015 and 2016 notifications, and confirmation of how the band should be read.
Quote: "The Government of Gujarat in Panchayats, Housing and Urban Development Department constituted the Surat Urban Development Authority vide Government notification number GHB/23/ UDA/1177/646(5)-Q2 dated January 30, 1978, in exercise of the powers conferred b y sub sections (1), (2) and (4) of section 22 of the Gujarat Town Planning and Urban Development Act 1976 for the development area consisting of Surat Municipal Corporation and 148 villages admeasuring 722 sq. km."
"Score" left blank: the Citation Sheet doesn't decide it.</t>
  </si>
  <si>
    <t xml:space="preserve">AI: left for a person. Step 2 found no evidence (Insufficient Evidence). Source needed: Needed: (1) GMRC's Memorandum and Articles of Association (objects clause and any stated area of operation). (2) Official texts of the Metro Railways (Construction of Works) Act 1978 and the Metro Railways (O&amp;M) Act 2002 as amended, especially the provisions on applying them to a metropolitan area or city. (3) The Government of India gazette notification(s) extending these Acts to Surat and/or declaring the Surat metro alignment or area, with any schedule or map. (4) Any Government of Gujarat GO or notification defining GMRC's area of operation in Surat. (5) Confirmation of Surat's city government and the boundary provisions in its governing Act.</t>
  </si>
  <si>
    <t xml:space="preserve">Chapter II – Establishment of the Board</t>
  </si>
  <si>
    <t xml:space="preserve">Section 3 (Constitution and composition of the Board); also Section 6(1)(d)</t>
  </si>
  <si>
    <t xml:space="preserve">s.3(2), s.3(5) (substituted by Act 15 of 2010 w.e.f. 16.04.2010); s.6(1)(d)</t>
  </si>
  <si>
    <t xml:space="preserve">67</t>
  </si>
  <si>
    <t xml:space="preserve">AI (low confidence), from Step 2 answer (Partially Answered) and BWSSB-02: I left the score blank. The sources don't show the current Board make-up, and the way the rubric treats officials is unclear. The question details were not given to me in full, so I relied on the band structure set out in the Step 2 answer: 5 = elected city-government representatives with voting rights, 2.5 = some city-government representation, 0 = none. This needs checking against the actual rubric.
What the sources show:
(1) BWSSB Act 1964 (BWSSB-02), PRS copy with amendments up to Act 29 of 2021. s.3(2): the Board 'shall consist of not less than three and not more than nine members appointed by the State Government'. s.3(3) sets qualifications in commercial/administrative work, engineering and finance. No seat is reserved for the city government. s.3(5) disqualifies anyone who is a member of 'any local authority'. s.6(1)(d) allows removal of a member who 'becomes or seeks to become a member of ... any local authority'. I have treated these as ruling out the 5 band in law. But whether 'local authority' covers councillors of the GBA City Corporations is an interpretation and needs confirming.
(2) Annual Report 2016-17 (BWSSB-29, pp.63-66, BBMP era, historical only). I checked this against the source. The 'Commissioner, BBMP' (N. Manjunath Prasad, IAS, 25-06-2016 to 02-07-2017) is listed as a Member, and from 27-08-2016 also as a 'Special/ Permanent Invitee'. No Mayor or councillor is listed. The report doesn't say whether he could vote. This is a city official, not an elected representative, and the evidence is about nine years old.
(3) GBA Act 2024 (BWSSB-04) and Second Amendment Bill 2025 (BWSSB-28). These put the BWSSB Chairman on the GBA and its Executive Committee, which is the opposite direction. They give the GBA supervisory powers (s.14(4)). I found nothing in either that gives the GBA or the City Corporations a seat on the BWSSB Board.
Why I can't score 0: there is no current (GBA-era) Board list or Board-constitution notification in the sheet, and none of the BWSSB Rules made under s.4. So I can't show that the city has no representation at all.
Why I can't score 2.5: it depends on (a) whether a city official as member or invitee counts as city-government representation under the rubric, and (b) current evidence that such an official sits on the Board now. Neither is settled by the sheet. This is a RUBRIC-GAP / evidence gap.
For a person to check:
- Confirm the rubric's treatment of official (non-elected) members and invitees.
- Get the current BWSSB Board constitution notification and member/invitee list with voting status for FY 2025-26 (RTI to the BWSSB PIO or the Urban Development Department).
- Check whether any official instrument replaces BBMP with the GBA or City Corporations in the BWSSB Act. The PRS text still names BBMP.
Era: the BWSSB Act text is as amended to 2021; the Annual Report is from the BBMP era; the GBA Act and Bill are from the GBA era.
Quote: "(5) A person shall be disqualif ied for being appointed or being a member of the Board if he is a member of the Parliament or of any State Legislature or any local authority."
"Score" left blank: the Citation Sheet doesn't decide it.</t>
  </si>
  <si>
    <t xml:space="preserve">Road Transport Corporations Act, 1950, as amended (consolidated text in BMTC-02)</t>
  </si>
  <si>
    <t xml:space="preserve">Section 5 (Management of Corporation and Board of Directors)</t>
  </si>
  <si>
    <t xml:space="preserve">s.5(2); see also s.5(4), s.5(5), s.45(2)(a)</t>
  </si>
  <si>
    <t xml:space="preserve">AI (low confidence), from Step 2 answer (Partially Answered) and BMTC-02: I left the score blank. The evidence suggests BMTC's Board has no city-government member, but a 0 needs every relevant legal layer to have been read, and the Rules that set the Board's make-up are not in the Citation Sheet.
What I checked:
(1) BMTC-02, Road Transport Corporations Act, 1950 (compiled text; consolidation date not stated). s.5(2) leaves all Board appointments to the State Government: 'as the State Government may think fit to appoint'. s.5(3) says the State Government 'may' name a Vice-Chairman. Under s.5(4), Rules 'shall provide for the representation' only of the Central and State Governments, plus any shareholders. Nothing is said about local bodies. s.5(5) and s.45(2)(a) leave the Board's make-up, terms and related matters to Rules.
(2) BMTC-09, BMTC 'Directors List' page (undated). It shows 11 directors: the Chairman (V.S. Aaradhya) and Vice-Chairman (M. Niketh Raj), both described only by their BMTC posts; the Transport Secretary and the Finance Secretary (Expenditure); the Managing Directors of KSRTC, BMTC, KKRTC and NWKRTC; BMTC's Director (Security &amp; Vigilance) and Director (IT); and the Director (Transport) of MoRTH, Government of India. No GBA or City Corporation councillor, Mayor or Commissioner is listed. The page lists Directors only, so it cannot show whether there are special invitees.
(3) BMTC-04, GBA Act 2024 (Act 36 of 2025), as enacted, GBA era. This runs the other way. s.9(3)(i) makes BMTC's Managing Director an ex-officio member of the GBA, and s.14(4) gives the GBA coordinating and directing powers. Neither puts the city government on BMTC's Board, so neither counts as representation.
(4) BMTC-06 (BMLTA Act) and BMTC-07 (KTCP Act) are not relevant to BMTC's Board.
Missing evidence:
- The KSRTC Rules, 1961, or any BMTC-specific Rules. They are listed on BMTC-20, but their text is not in the Sheet.
- The State Government notification that set up BMTC and its Board.
- Whether the Vice-Chairman holds an elected city-government office.
- Whether any special invitees attend Board meetings (the 2.5 band).
If a person confirms that the Rules and the notification give no local-body seat or invitee, and that the Vice-Chairman is not a city representative, the score would be 0.
Also for the team: GBA Act s.14(4) calls BMTC a 'Limited' company with a 'Memorandum of Association'. That does not match BMTC being set up under the 1950 Act, so its legal form should be confirmed, because that decides which Board-composition instrument applies.
The question's full methodology text was not supplied. I assumed a 0–5 rubric with bands of 5 (city representation on the Board), 2.5 (special invitees) and 0 (none), based on the Step 2 notes.
Quote: "(2) The Board shall consist of a Chairman and such other Directors, being not less than five and not more than seventeen, as the State Government may think fit to appoint."
"Score" left blank: the Citation Sheet doesn't decide it.</t>
  </si>
  <si>
    <t xml:space="preserve">Chapter II – The Bangalore Development Authority</t>
  </si>
  <si>
    <t xml:space="preserve">Section 3(3)(l); also s.3(3)(f), s.4(1)(f), s.5(1) proviso, s.8(4), s.69(2)(b)</t>
  </si>
  <si>
    <t xml:space="preserve">s.3(3)(l) and its proviso (Administrator nominates Corporation officers during supersession)</t>
  </si>
  <si>
    <t xml:space="preserve">AI (low confidence), from Step 2 answer (Partially Answered) and BDA-02: I left the score blank. The BDA Act gives council seats in law, but the Citation Sheet does not show whether those seats belong to today's city government.
What the Act says (BDA-02, PRS copy with amendments up to Act 42 of 2026):
- s.3(3)(l) gives two seats to people elected by the councillors of the 'Bangalore City Corporation' from among themselves.
- s.3(3)(f) makes the Commissioner of the 'Corporation of the City of Bangalore' an ex-officio member.
- s.8(4) says all questions are decided 'by a majority of the votes of the members present and voting'. I found nothing that limits these members' votes, so I agree with Step 2 that they are full voting members. Step 2 had not read s.8; I have now checked it.
- s.4(1)(f) and the s.5(1) proviso tie the seat to remaining a Corporation councillor.
- Act 42 of 2026 and Act 27 of 2020 do not amend s.3.
On the law as written, this looks like the top band (elected councillors as full members).
Why I did not give 5:
(1) Successor body: the Act still names the old 'Bangalore City Corporation'. The Greater Bengaluru Governance Act (BDA-03) repeals the BBMP Act (s.361) and creates several City Corporations. My searches of BDA-03, BDA-04 and BDA-13 found no clause saying that references to the Corporation in the BDA Act now mean the GBA or a City Corporation. So the sheet does not show which council, if any, elects the two members.
(2) Supersession proviso: if the City Corporation councils are dissolved or run by Administrators (GBA Act s.130-131), the s.3(3)(l) proviso hands the seats to Corporation officers, not elected councillors. That would fit a lower band. The sheet has no evidence on whether elected councils are sitting.
(3) No current board list: there is no BDA notification under s.3(6) and no current list of members. Step 2 reports that the question bank's evidence requirement asks for one.
(4) I was not given the full DPG2a rubric text, so I could not check the bands myself. I relied on Step 2's description of them.
The GBA Executive Committee seat for the BDA Commissioner (BDA-13) is the reverse relationship and does not count here.
For a person to resolve:
- Confirm whether s.3(3)(l) counts as representation for the GBA-era City Corporations.
- Confirm whether the City Corporation councils are elected and sitting.
- Get the current BDA board list, by RTI to the BDA PIO if needed.
If the councils are elected and the seats are filled by councillors, the law supports 5. If Administrators hold them, a lower band applies.
Quote: "(l) two persons elected by the councillors of  the Bangalore  City Corporation from among themselves in the prescribed manner :"
"Score" left blank: the Citation Sheet doesn't decide it.</t>
  </si>
  <si>
    <t xml:space="preserve">Corporate Governance Report</t>
  </si>
  <si>
    <t xml:space="preserve">Board of Directors / Constitution of the Board / Composition of Board as on 31.03.2021</t>
  </si>
  <si>
    <t xml:space="preserve">Printed pp.45-46 (PDF pp.47-48)</t>
  </si>
  <si>
    <t xml:space="preserve">47</t>
  </si>
  <si>
    <t xml:space="preserve">AI (low confidence), from Step 2 answer (Partially Answered) and BMRCL-09: I left the score blank because the Citation Sheet does not prove that the city government has no seat on BMRCL's board.
What the sources show:
- BMRCL is a company. Its board seats are set by its Articles of Association, which are not in the Citation Sheet.
- The only description of the Articles is a summary in the Annual Report for FY2020-21 (BMRCL-09, printed pp.45-46). It says the board has 3 to 15 directors, who are either whole-time functional directors or part-time directors nominated by the 'Promoter Government(s)'. The Government of India (GoI) and the Government of Karnataka (GoK) each have the right to nominate five directors.
- I checked the board list as on 31.03.2021 against the source. It names 12 directors: the ex officio Chairman, the MD, 8 nominee directors and 2 functional directors.
- Where the report gives a director's post, it is a GoI or GoK office: ACS Urban Development, ACS Finance, ACS &amp; Development Commissioner, a Railway Board official and a DMRC director.
- The report does not give the posts of every nominee (for example M. Nagaraj and Jaideep). None is shown as a BBMP nominee, an elected councillor or a BBMP officer.
- This list is from the BBMP era (31.03.2021). It is not evidence of the board's make-up today, under the Greater Bengaluru Authority (GBA).
What I checked on the city government side:
- Greater Bengaluru Governance Act (BMRCL-02). It works the other way round: BMRCL's MD sits on the GBA (s.9(3)(j)) and on its Executive Committee (s.13(1)(j)), and the GBA can supervise and direct BMRCL (s.14(4)). Neither gives the city government a seat on BMRCL's board, so neither earns credit here.
- Metro Railways (O&amp;M) Act 2002 (BMRCL-04): it has no board-composition clause.
- Companies Act 2013 (BMRCL-06): general company law only.
- BMLTA Act (BMRCL-08) and its 2025 amendment bill (BMRCL-38): these are about the BMLTA's own membership (they name the BBMP Mayor and Chief Commissioner), not BMRCL's board.
Why a 0 is not justified: under the v2 rule a 0 needs proof of absence. The Articles and a current board list are missing, and some directors' posts are unknown, so this is a 'not found' result, not an absence.
What a person should check:
- Get the current Articles of Association and the current list of directors, with each director's post and which government nominated them. Ask BMRCL's Company Secretary or Public Information Officer.
- If a city government official (not an elected representative) turns up on the board, the team needs to decide how to score them, since the top band (5) names only elected representatives of the city government with voting rights.
- The team still needs to confirm whether BMRCL counts as a parastatal for this survey, given that it is a company.
Quote: "These Directors may be either whole-time functional Directors or Part-time Directors nominated by the Promoter Government(s)."
"Score" left blank: the Citation Sheet doesn't decide it.</t>
  </si>
  <si>
    <t xml:space="preserve">Annual Report 2022-23 (English part), s.3 'Composition of the Authority and its Executive Committee'</t>
  </si>
  <si>
    <t xml:space="preserve">BMRDA Act 1985 composition, as summarised by BMRDA itself (the section number is not given in the report)</t>
  </si>
  <si>
    <t xml:space="preserve">page 10</t>
  </si>
  <si>
    <t xml:space="preserve">AI (low confidence), from Step 2 answer (Partially Answered) and BMRDA-03: I left the score blank because the Citation Sheet cannot decide it. I could not see the question's own text or Detailed Methodology, so I am reading DPG2a as asking whether the city government (ULG) has a voting seat on BMRDA's governing board. (1) The only evidence on BMRDA's board make-up is BMRDA-03, the BBMP-era annual report for FY 2022-23 (1 Apr 2022 to 31 Mar 2023). It is BMRDA's own summary of the Act, not the Act. It says the Act provides for the State Government to nominate 'representatives of the Local Authorities from the Region' to the Authority. Those seats have been vacant since July 2005. Separately, it says 'the Mayor of Bangalore' sits on the Executive Committee. It says nothing about voting rights. It does not say whether the nominees must be elected ULG representatives, and they are chosen by the State, not by the ULG. It does not say whether the Executive Committee counts as the 'governing board'. (2) The BMRDA Act 1985 text and the BMRDA Regulations of 1996, 1999 and 2000 are only linked from the website pages (BMRDA-13 lists 'act 1985 ka.pdf' and the Regulations PDFs, plus a 'constitution-of-the-authority' page). None of their text is in the Citation Sheet, so I cannot check the composition clause, voting rights or any amendment. (3) BMRDA-10, the Greater Bengaluru Governance Act 2024 (Karnataka Act 36 of 2025), works in the opposite direction. Under s.9(3)(u) and s.13(1)(e), BMRDA's Metropolitan Commissioner sits on the GBA and its Executive Committee. The parts of the Act in the Citation Sheet show nothing that substitutes a GBA or City Corporation office for the 'Mayor of Bangalore' seat in BMRDA's law. (4) BMRDA-08, the KTCP Act s.4C, covers Local Planning Authorities, which are not BMRDA's board. A score of 0 is not possible: there is no affirmative absence, because the Act and Regulations were never read and the report itself says local-authority seats exist in law. A positive score is not possible either, because voting rights, whether the seat is elected and the current member list are all unverified. ERA: the annual report is BBMP-era. The ULG has since been restructured under the GBG Act 2024, so the 'Mayor of Bangalore' wording is historical. A person should: (a) get and read the BMRDA Act 1985 composition section and the 1996 Regulations from the BMRDA Acts &amp; Rules page, looking for voting rights and the Executive Committee's powers; (b) decide whether the Executive Committee or only the Authority counts as the governing board; (c) check whether any official instrument replaced the Mayor seat after the GBA came in; (d) get a current list of Authority members.
Quote: "The Act also provides for nomination by the Government of individuals representing labour, women, scheduled castes, scheduled tribes, members of the State Legislature and representatives of the Local Authorities from the Region. Such representations fell vacant since July 2005 due to removal / resignation of the nominees."
"Score" left blank: the Citation Sheet doesn't decide it.</t>
  </si>
  <si>
    <t xml:space="preserve">Chapter 1, Introduction</t>
  </si>
  <si>
    <t xml:space="preserve">s.1.4.1 Constitution of SUDA, Table 4 (first board, 1978) and Table 5 (Members of SUDA Board, 2016), pp.26-27</t>
  </si>
  <si>
    <t xml:space="preserve">Table 5, rows 2 (Chairman, Standing Committee, SMC - Member), 4 (Municipal Commissioner, SMC - Ex-Officio Member) and 9 (City Engineer, SMC - Ex-Officio Member)</t>
  </si>
  <si>
    <t xml:space="preserve">27</t>
  </si>
  <si>
    <t xml:space="preserve">AI (low confidence), from Step 2 answer (Partially Answered) and SUDA-14: Score left blank because a key fact is missing: whether the SMC members can vote. What the sources show: (1) SUDA-14 (SUDA Development Plan 2035, published 2017, era n/a) lists the 2016 SUDA board. SMC holds three seats: the Chairman of SMC's Standing Committee as 'Member', and the Municipal Commissioner and the SMC City Engineer as 'Ex-Officio Member'. The 1978 first board, appointed under GTPUD Act s.22(4), also had the Standing Committee Chairman as a Member. (2) I checked one point the Step 2 answer had left open. SUDA-04 (Gujarat Provincial Municipal Corporations Act 1949, as modified up to 30-11-2017) confirms that the Standing Committee Chairman is an elected councillor. Its s.20(1) says 'The Standing Committee shall consist of twelve councillors', and s.21(1) says the Committee members 'shall appoint one of its members to be the Chairman'. So SMC has at least one elected representative on the SUDA board (as of 2016), plus two SMC officials. The Commissioner and City Engineer are officials, not elected representatives. What is missing: (a) Voting rights. No source in the Citation Sheet says whether SMC's members vote on the SUDA board. Table 5 shows positions only. The members are listed as 'Member', not 'invitee', but that alone does not prove they vote. The GTPUD Act s.22 text in SUDA-01 is on scanned pages with no readable text. The readable amendment Acts (6 of 2017, 22 of 2017, 14 of 2019) do not touch s.22. SUDA-03 (GTPUD Rules 1979) has no rule on authority meetings or voting in the parts I read. (b) The current board. The newest list is from 2016, and there is no constitution or reconstitution notification. (c) The 1999 amendment to s.22 is known only from SUDA-14's account; I did not read it directly. The question's band wording was not supplied in full. Per the Step 2 answer, the top band (5) needs 'ULG-elected representatives ... with voting rights'. The evidence fits at least the 2.5 level, but scoring 2.5 risks under-scoring and 5 would be a guess. A zero is clearly ruled out: SMC is represented. A person should get a readable official copy of GTPUD Act s.22 as amended (or SUDA's board regulations) and a current board notification showing who votes, for example through an RTI request to SUDA's PIO (Public Information Officer). If the SMC members are full voting members, the answer points to 5. If they are non-voting, it points to 2.5.
Quote: "After the amendment in the Section 22 of the Act in 1999, the Municipal Commissioner was added as ex-officio member of the Urban Development Authority. The present board members of SUDA are shown in the Table below."
"Score" left blank: the Citation Sheet doesn't decide it.</t>
  </si>
  <si>
    <t xml:space="preserve">Chapter 8: Statement of the Board &amp; Subcommittees of the Board</t>
  </si>
  <si>
    <t xml:space="preserve">RTI Act 2005 s.4(1)(b) proactive disclosure, Chapter 8</t>
  </si>
  <si>
    <t xml:space="preserve">Board composition paragraph</t>
  </si>
  <si>
    <t xml:space="preserve">AI (low confidence), from Step 2 answer (Partially Answered) and GMRC-03: I left the score blank. All the evidence I found says GMRC's board has no city government (ULG) representative. But a 0 needs affirmative absence, which I can't establish. (a) The rule that sets the board's make-up is not in the Citation Sheet. (b) The task did not include the question's rubric (Detailed Methodology / bands), so I can't map the evidence to a 0-5 band.
WHAT THE SOURCES SHOW:
(1) GMRC-03 (RTI s.4(1)(b) disclosure, Chapter 8): the board is 13 directors. Five are Government of India (GoI) nominees, five are Government of Gujarat (GoG) nominees and three are functional directors. No municipal seat is mentioned.
(2) GMRC-04 (Present Board of Directors page, last updated 12-Oct-2026), read in full:
- GoI nominees: MoHUA Secretary (Chairman) and MoHUA JS &amp; FA.
- GoG nominees: ACS Finance, PS of the Urban Development &amp; Urban Housing Dept, MD of Gujarat Energy Ltd, and the GMRC Managing Director.
- Functional directors: Director (Project &amp; Planning) and Director (Finance).
- No Surat Municipal Corporation (SMC) councillor, Mayor, Municipal Commissioner or special invitee is listed.
(3) GMRC-05 (2024-25 Annual Report):
- s.XII says GMRC is a 50:50 GoI/GoG SPV, and each government appoints five directors.
- s.XIII says the board had 11 directors 'out of maximum fifteen (15) as provided in the Articles of Association' (as on 31-03-2025).
- The board committees are made up only of GoI and GoG nominees.
- SMC appears only in the acknowledgements.
(4) The PS (UD&amp;UHD) is a state government official, not an SMC representative.
CHECKED: GMRC-03, GMRC-04 and GMRC-05 (read). I also searched the whole sheet for 'Municipal Commissioner Surat director board GMRC'. The only hits were the acknowledgement in GMRC-05, a line in the Gender Action Plan (GMRC-10) saying there are 12 board members, and unrelated EIA rows.
WHAT'S MISSING:
(i) GMRC's Memorandum &amp; Articles of Association. The annual report names these as the rule that sets board size and nominations. No GoI-GoG agreement or nomination clause from the sanction order is in the sheet either.
(ii) The ULG side: the GPMC Act, 1949 (GMRC-18) has not been read in full for any provision giving the corporation a seat on a metro company board.
(iii) The rubric itself.
FOR THE TEAM:
- If the team accepts the current board list plus the annual report as enough, the evidence points to the lowest band ('no ULG representation'). A person should confirm this against the rubric and the Articles.
- Confirm that SMC is the ULG; the ULG name was blank upstream.
- The sources disagree on board size: 13 in GMRC-03, 11 of a maximum 15 in GMRC-05, 8 listed in GMRC-04, and 12 in GMRC-10.
- RTI target: GMRC's Public Information Officer, for the current Articles of Association and the director-nomination clauses.
Quote: "The board of directors of GMRCL consists of 13 directors, which include five nominees from the Government of India, five nominees from the Government of Gujarat Three functional directors."
"Score" left blank: the Citation Sheet doesn't decide it.</t>
  </si>
  <si>
    <t xml:space="preserve">Chapter VI – Miscellaneous (also Chapter III – Finance, Accounts and Audit)</t>
  </si>
  <si>
    <t xml:space="preserve">Section 86(1)-(3); also ss.14(5), 17(1)-(5), 25(4)-(5)</t>
  </si>
  <si>
    <t xml:space="preserve">s.86(1) annual report goes to the State Government and is published in the Gazette; s.86(2) yearly activity report, including next year's planned activities, goes to the State Government and is laid before the State Legislature</t>
  </si>
  <si>
    <t xml:space="preserve">44</t>
  </si>
  <si>
    <t xml:space="preserve">AI (low confidence), from Step 2 answer (Partially Answered) and BWSSB-02: Score left blank. The sources point to no requirement for BWSSB to submit its plans, budgets or reports to the city government, but a 0 needs proof that nothing exists in every layer of the law, and two layers are missing. I checked the sources against the Step 2 answer and they support it. What I read: (1) BWSSB Act 1964 (BWSSB-02, PRS consolidated copy, secondary text, era n/a). s.17(1) sends the annual budget statement to the State Government, and s.17(3) has it laid before the State Legislature. s.86(1) sends the annual report to the State Government and has it published in the Gazette. s.86(2) sends the yearly activity report, which also covers activities planned for the next year, to the State Government and the State Legislature. s.86(3) gives the State Government statistics and scheme details on demand. s.25(4)-(5) sends the audited accounts to the State Government and the State Legislature. s.14(5) has the Board place its budget statement before the Consultative Committee. That Committee is set up by the State Government and is advisory (s.14(4)). Its members are State appointees chosen 'after consultation with' bodies including the BBMP, so it is not the city government or its council. s.14(1) still names the BBMP, the predecessor body. No official source shows the Greater Bengaluru Authority (GBA) or the City Corporations substituted. (2) Greater Bengaluru Governance Act 2024, Act 36 of 2025 (BWSSB-04, GBA era), searched again. s.14(4) gives the GBA power to supervise public authorities, naming BWSSB, and to issue binding directions; that is a power to direct, not a duty on BWSSB to submit documents. s.19(1) lets 'The Government', not the GBA or the Corporations, call for periodic reports. s.21-22 cover only the GBA's own budget and annual report (s.22(2) sends copies to the City Corporations). No provision requires BWSSB to submit plans, budgets or reports to the GBA or a City Corporation. (3) Amendment Bill 81 of 2025 (BWSSB-28) has no relevant provision in the parts in the sheet. Missing: the BWSSB Rules made under s.87, which set the form and date of the annual report and budget statement; the BWSSB Regulations; and a consolidated GBA Act after amendment. None of these is in the Citation Sheet. So the result is 'not found', not an affirmative 0. If the team confirms the Rules and Regulations add no submission to the GBA or City Corporations, the evidence supports 0/5. A person should also check whether the reference to the BBMP in s.14 has been replaced by the GBA or City Corporations.
Quote: "The Board shall, before such date and in such form as may be prescribed by rules, submit to the State Government an annual report upon such matters as may be prescribed by rules, and the State Government shall cause such report to be published in the official Gazette."
"Score" left blank: the Citation Sheet doesn't decide it.</t>
  </si>
  <si>
    <t xml:space="preserve">Chapter on Finance, Accounts and Audit (ss.32-35)</t>
  </si>
  <si>
    <t xml:space="preserve">Road Transport Corporations Act, 1950, s.32(1); also s.33(4), s.35(1)-(2), s.44(2)(i),(l)</t>
  </si>
  <si>
    <t xml:space="preserve">s.32(1) budget goes to the State Government; s.35(2) annual report goes to the Central and State Governments</t>
  </si>
  <si>
    <t xml:space="preserve">22</t>
  </si>
  <si>
    <t xml:space="preserve">AI (low confidence), from Step 2 answer (Partially Answered) and BMTC-02: Score left blank: the Citation Sheet does not show the absence needed for a 0. What I checked: (1) BMTC-02, the RTC Act 1950 as amended up to Act 63 of 1982. s.32(1) sends the budget to the State Government for approval. s.33 sends CAG-audited accounts to the State Government, to be laid before the State Legislature. s.35(1) sends returns and accounts to the State Government. s.35(2) sends the annual report on performance, policy and programme 'to the Central and the State Governments'. s.17A(2)(f) applies only to a subsidiary, whose plans go to its parent corporation. No provision sends BMTC plans, budgets or reports to a city government. (2) BMTC-04, the GBA Act 2024 (Act 36 of 2025), GBA era. s.14(4) lets the GBA integrate and supervise public authorities, including BMTC, and issue binding directions. Authorities 'shall cooperate' and obey. But this is a power to direct, not a duty to submit plans, budgets or reports. s.19(1) gives the power to call for periodic reports to 'The Government' (the State), not the GBA or the corporations. ss.21-22 cover the GBA's own budget and report: s.22(2) is the GBA sending its documents to the City Corporations, not BMTC sending its own. (3) BMTC-06: under the BMLTA Act ss.21-26, plans feed into BMLTA, a state authority, not the ULG. (4) BMTC-07: the KTCP Act provisions concern the planning authority, not BMTC. (5) BMTC-20, BMTC's 'Rules And Regulations' page, only lists links. They include 'KSRTC Rules, 1961', which may be the Karnataka rules under RTC Act s.44 that set the budget and report form and dates, and several KSRTC staff regulations. The texts of those Rules are not in the Citation Sheet, so I could not read them. Also missing: BMTC's s.45 Regulations on administration, the s.3 notification establishing BMTC, and the Memorandum of Association. The Memorandum matters because GBA Act s.14(4) calls the body 'Bangalore Metropolitan Transport Corporation Limited' and requires the GBA's coordinating role to be written into its Memorandum. That could include reporting to the GBA. On the two Acts read, the plans, budgets and reports components all look like 0, so 0/5 is the likely score. A person should: (a) read the KSRTC Rules 1961 (linked from BMTC-20) and BMTC's Memorandum and Articles; (b) confirm BMTC's legal form, statutory corporation or company; (c) confirm whether 0 can be given on the parent Acts alone. I have checked the Step 2 answer against BMTC-02 and BMTC-04, and the sources support it.
Quote: "32. Budget.—(1) Every Corporation shall, by such date in each year as may be prescribed, prepare and submit to the State Government for approval a budget for the next financial year showing the estimated receipts and expenditure during that financial year in such form as may be prescribed."
"Score" left blank: the Citation Sheet doesn't decide it.</t>
  </si>
  <si>
    <t xml:space="preserve">Chapter III (Development Schemes); Chapter V (Finance, Accounts and Audit)</t>
  </si>
  <si>
    <t xml:space="preserve">Section 17(2)-(4); Sections 42-45; Sections 47(5) and 47A; Section 2 (definition of 'Corporation')</t>
  </si>
  <si>
    <t xml:space="preserve">s.17(2): the development-scheme notification is sent to the Corporation; s.17(4): the Corporation's concurrence is deemed if it does not reply; s.44: the budget estimate is submitted to the Government</t>
  </si>
  <si>
    <t xml:space="preserve">AI (low confidence), from Step 2 answer (Partially Answered) and BDA-02: I left the Score blank. Neither the plans component nor the budget and report components can be scored from the Citation Sheet.
**What I confirmed in BDA-02** (BDA Act 1976, PRS copy, amended up to Act 42 of 2026, gazetted 7 Sept 2026):
- **Plans:** under s.17(2), BDA 'shall' send a copy of each development-scheme notification to 'the Corporation'. The Corporation can make representations within 30 days. If it does not reply, its concurrence is deemed given (s.17(4)). The scheme then goes to the Government for sanction (s.18).
- **Budget:** under ss.42-45, the budget estimate is laid before the Authority, approved by it and 'submitted to the Government'. Supplementary estimates also go to the Government. The city government is not mentioned.
- **Accounts and reports:** under ss.47(5) and 47A, the audited accounts, the auditor's report and the annual reports go to the State Government and are laid before the Legislature. The city government is not mentioned.
- **Act 42 of 2026:** it only changes s.10 (money limits) and s.38D (allotment of BDA land). It adds nothing about submissions to the city government.
The Step 2 summary of these provisions matches the source.
**Why the plans component is unscored:**
1. 'Corporation' in the BDA Act refers to the old Corporation of the City of Bangalore. In the GBA Act (BDA-03), s.360 (Transitory Provisions) and s.361 (Repeal and Savings) carry over earlier rules and orders and repeal the BBMP Act 2020. Neither provision says that a reference to 'the Corporation' in another law now means the GBA or the City Corporations. So the successor body is not verified.
2. Under the KTCP and Certain Other Laws (Amendment) Bill 2025 (BDA-05), BDA may no longer be the planning authority for the Greater Bengaluru Area. The Bill exists only as passed by the Assembly; its enactment is not confirmed in the sheet.
3. A team decision is needed on whether a scheme notification sent to the Corporation for representations, with deemed concurrence, counts as 'submitting plans' to the city government.
**Why I did not score the budget and report components 0:**
- The BDA Rules and Regulations (made under ss.69 and 70) are not in the Citation Sheet. Section 47A reports are due 'before such date and in such form' as is prescribed, so the Rules could name other recipients.
- Under GBA Act s.14(4), GBA can supervise BDA and issue it directions. The GBA Act does not place a duty on BDA to send its budget or reports to GBA or to the City Corporations, but I could not read the whole Act (BDA-03).
On the Act and GBA Act text alone, budget and reports look absent. Without the Rules, this is 'not found', not proven absence.
**Checked:**
- BDA-02: ss.2, 17, 18, 29, 30, 42-47A, 69, 70, and the amendments of 2002, 2005, 2020 and 2026.
- BDA-03: ss.14, 19, 21, 22, 360 and 361.
- Step 2's review of BDA-06 (KTCP ss.68B and 68D: the budget and annual reports go to the State Government and the Board only) and of BDA-05.
**The likely outcome depends on the team's ruling:**
- If s.17(2) counts as plans and the City Corporations or GBA are the successor, and the Rules confirm budget and reports are absent: about 1.67.
- Otherwise: 0.
METHODOLOGY GAP: the Detailed Methodology text for DPG2b was not given to me. I have not checked the component weighting (about 1.67 each for plans, budgets and reports out of 5) against the rubric, so a person should confirm it.
Quote: "A copy of the said notification shall be sent to the Corporation which"
"Score" left blank: the Citation Sheet doesn't decide it.</t>
  </si>
  <si>
    <t xml:space="preserve">Section 19 (Power of supervision and to issue directions to authorities); read with ss.13(1)(j), 14(4), 15(5), 22(2)</t>
  </si>
  <si>
    <t xml:space="preserve">s.19(1)</t>
  </si>
  <si>
    <t xml:space="preserve">AI (low confidence), from Step 2 answer (Partially Answered) and BMRCL-02: Score left blank: I found no requirement for BMRCL to submit its plans, budgets or reports to the city government, but I could not confirm it is absent, so I cannot give a 0.
What I checked:
(1) BMRCL-02, the Greater Bengaluru Governance Act 2024 (Act 36 of 2025; PRS copy, a secondary source):
- s.19(1): the State Government, not the Greater Bengaluru Authority (GBA) or the City Corporations, 'shall be entitled to call for periodic reports' from public authorities. This is a power to ask for reports. It is not a duty on BMRCL to submit them to the city government.
- s.14(4): GBA can issue binding directions, which is also an oversight power.
- s.15(5): GBA may assign planning work to agencies, and the agencies must help. Again, nothing requires BMRCL to submit its own plans.
- s.13(1)(j): BMRCL's Managing Director sits on GBA's committee. That is a seat, not a submission duty.
- s.22(2): GBA itself must send its own Annual Report and Budget to the City Corporations. Nothing similar applies to BMRCL.
The Step 2 answer reads these sections correctly.
(2) BMRCL-03, the GBA Amendment Bill 2025: it changes only s.8(2) and s.14(1). Nothing about parastatals reporting.
(3) Companies Act s.394 (BMRCL-06): annual reports are laid before Parliament and the State Legislature, not the city government.
(4) Metro Railways (O&amp;M) Act 2002 (BMRCL-04): s.46 returns of accidents go to the Central Government.
(5) BMLTA Act 2022 (BMRCL-08): approvals and reporting go to BMLTA, which is a state authority, not the city government.
(6) BMRCL Annual Report FY2020-21 (BMRCL-09): the report is placed before shareholders.
None of these counts as submitting or tabling to the city government or its council.
Why no 0: a 0 needs proof of absence across the whole legal stack. The Citation Sheet does not contain:
- BMRCL's Memorandum and Articles of Association, which are its constitution as a Government Company;
- Rules under the GBA Act, the Metro Railways (O&amp;M) Act or the BMLTA Act;
- any GO or agreement setting BMRCL's reporting lines;
- the Metro Railways (Construction of Works) Act 1978.
BMRCL-38 (BMLTA Amendment Bill 2025) was not read in full.
For the team:
- Get BMRCL's MoA/AoA and the GBA Rules. If neither requires submission to GBA, the Corporations or their councils, a 0 is likely.
- Check the rubric bands against the 0–5 maximum when scoring.
- Confirm the GBA Act's effective date and that the GBA-era structure is in force.
Quote: "The Government shall be entitled to call for periodic reports from such Public Authorities, agencies and departments of the Government discharging municipal functions in the Greater Bengaluru Area, and shall be further entitled to issue instructions and recommendations to those regarding the performance of any of their functions contained in the provisions of their constituent statutes."
"Score" left blank: the Citation Sheet doesn't decide it.</t>
  </si>
  <si>
    <t xml:space="preserve">The Bangalore Metropolitan Region Development Authority Act, 1985 (Karnataka Act 39 of 1985), full text with amendments (PDF hosted by India Water Portal) [BMRDA-08]</t>
  </si>
  <si>
    <t xml:space="preserve">Chapter III (Powers and Functions); Chapter IV (Finance, Accounts and Audit); Chapter V (Miscellaneous)</t>
  </si>
  <si>
    <t xml:space="preserve">Sections 9(1)(ii), 12, 13, 16(3), 19 and 31 (inserting Section 81-C into the Karnataka Town and Country Planning Act, 1961), BMRDA Act, 1985</t>
  </si>
  <si>
    <t xml:space="preserve">Section 12 (Budget); Section 13 (Annual report)</t>
  </si>
  <si>
    <t xml:space="preserve">12</t>
  </si>
  <si>
    <t xml:space="preserve">https://prod-qt-images.s3.amazonaws.com/indiawaterportal/import/sites/default/files/iwp2/Bangalore_Metropolitan_Region_Development_Authority_Act_Bangalore_Metropolitan_Region_Development_Authority_1985.pdf</t>
  </si>
  <si>
    <t xml:space="preserve">AI: left for a person. Step 2 found no evidence (Insufficient Evidence). Source needed: Needed: the full official text of the BMRDA Act, 1985 (Karnataka Act 39 of 1985), current amended version, especially its structure plan, budget, accounts/audit and annual report sections. Also any Rules under that Act, the BMRDA Regulations (1996, 1999, 2000 amendment), and any GO or notification requiring BMRDA to send plans, budgets or reports to the Greater Bengaluru Authority, the City Corporations or their councils.</t>
  </si>
  <si>
    <t xml:space="preserve">Chapter VI (Finance, Accounts and Audit), GTPUD Rules 1979</t>
  </si>
  <si>
    <t xml:space="preserve">Rule 49 (Annual Report and Other returns); also Rule 47 (Budget and Programme of work under section 94)</t>
  </si>
  <si>
    <t xml:space="preserve">r.49(1), r.49(3); r.47(1), r.47(4)</t>
  </si>
  <si>
    <t xml:space="preserve">20</t>
  </si>
  <si>
    <t xml:space="preserve">AI (low confidence), from Step 2 answer (Partially Answered) and SUDA-03: I left the Score blank. A 0 needs affirmative absence, and the Citation Sheet doesn't let me show it.
What the sources show (SUDA's own legal stack):
(1) Budget: GTPUD Rules 1979 r.47(1) says the appropriate authority 'shall submit to the State Government for approval' its Annual Financial Statement and programme of work. Under r.47(4) the programme-of-work note also goes to the State Government.
(2) Annual report: r.49(1) sends it to the State Government. r.49(3) sends the six-monthly progress report to the State Government.
(3) Plans: Rules Form A/Form B, SUDA-13 (2013) and SUDA-14 (2017) show the draft plan going to the State Government under ss.9/16 and being sanctioned under s.17. The only other step is public objections. A public notice is not submission to the ULG.
The methodology (as Step 2 reports it) says submission only to the State Government does not count. So every component points toward 0. I checked the Step 2 reading against SUDA-03 and the quotes are accurate.
Why I did not score 0:
(a) SUDA-01 (PRS copy of the GTPUD Act 1976) only returns the appended amending Acts (2017, 2019). I ran read_citation twice, looking for ss.9-17 (development plans) and s.94 onward (budget, accounts, audit, annual report). The principal text never came back. So I can't confirm the Act has no clause sending documents to, or laying them before, the local authority.
(b) I read SUDA-04 (GPMC Act 1949, as modified up to 30-11-2017) only in fragments: the table of contents, the Corporation's own budget and administration report, and the Transport budget. None of what I saw requires an urban development authority to table documents before the Corporation. But I could not read the whole body of the Act.
(c) The 2019 amendment (inside SUDA-01) sends MPC/DPC plans to the State Government. The Gujarat MPC Act 2008 itself is not in the Citation Sheet.
Not credited: SMC officials sit on SUDA's board (Standing Committee Chairman, Municipal Commissioner and City Engineer, per SUDA-14). Board membership is not submission or tabling before the ULG or council.
For the reviewer: get the full principal text of the GTPUD Act 1976 (especially ss.9, 16, 17 and 94-97) and confirm the GPMC Act has no such clause. If both are confirmed, the score would be 0 (plans 0 + budget 0 + annual report 0). The task input does not name the ULG; the sources name Surat Municipal Corporation. Era: n/a.
Periods: Rules as in SUDA's PDF copy (amendments to 1987). Act in the PRS copy, amended up to Act 14 of 2019. GPMC Act as modified up to 30-11-2017.
Quote: "The appropriate authority shall within three months of the date of closing of each year submit Annual Report to the State Government."
"Score" left blank: the Citation Sheet doesn't decide it.</t>
  </si>
  <si>
    <t xml:space="preserve">AI: left for a person. Step 2 found no evidence (Insufficient Evidence). Source needed: GMRC's Memorandum and Articles of Association (current version); the three-way MoU between the Government of India, Government of Gujarat and GMRC for Surat Metro; the official texts of the Metro Railways (Construction of Works) Act 1978 and Metro Railways (Operation &amp; Maintenance) Act 2002, with any Rules; any Gujarat government order or notification on the Surat Metro set-up or a Surat transport authority (UMTA); and the current consolidated Gujarat Provincial Municipal Corporations Act (after Nov 2017). Any of these would show whether GMRC must submit plans, budgets or reports to the city government or council.</t>
  </si>
  <si>
    <t xml:space="preserve">ENTER A NUMBER 0 TO 10</t>
  </si>
  <si>
    <t xml:space="preserve">Press Release page, section 'Water Related Press Release'</t>
  </si>
  <si>
    <t xml:space="preserve">Row Sl.No 1</t>
  </si>
  <si>
    <t xml:space="preserve">Press release dated 27.07.2026, with a linked PDF download</t>
  </si>
  <si>
    <r>
      <rPr>
        <sz val="11"/>
        <color theme="1"/>
        <rFont val="Calibri"/>
        <family val="2"/>
        <charset val="1"/>
      </rPr>
      <t xml:space="preserve">AI (medium confidence), from Step 2 answer (Answered — Verified Source) and BWSSB-25: I score 10. The sources show that BWSSB has an official website that exists, opens, is current and works.
(1) Existence and ownership. The site runs on the Karnataka government domain bwssb.karnataka.gov.in. The footer on BWSSB-25, BWSSB-01 and BWSSB-36 reads: 'Content Owned and maintained by: Bengaluru Water Supply and Sewerage Board, </t>
    </r>
    <r>
      <rPr>
        <sz val="11"/>
        <color theme="1"/>
        <rFont val="Noto Sans"/>
        <family val="2"/>
      </rPr>
      <t xml:space="preserve">ಕರ್ನಾಟಕ ಸರ್ಕಾರ</t>
    </r>
    <r>
      <rPr>
        <sz val="11"/>
        <color theme="1"/>
        <rFont val="Calibri"/>
        <family val="2"/>
        <charset val="1"/>
      </rPr>
      <t xml:space="preserve">'. It also says the site is 'Designed, Developed &amp; Hosted by: Centre for e-governance - Webportal karnataka government © 2026'.
(2) Accessibility. The saved home page (BWSSB-01) and inner pages (BWSSB-07, -13, -25, -30, -36) loaded with full readable content, not error pages or empty shells.
(3) Currency. On BWSSB-25, the first water-related press release is 'Water Shutdown on 31-07-2026.' dated 27.07.2026, and the second is dated 20.07.2026. On BWSSB-01, the Latest News list has recent items: 'Water Shutdown on 22-07-2026.' (2 hours ago), Direct Recruitment-2025 document-verification lists (4 days ago), and 'Deployment of Officers/Employees after Re-Organisation 2026' (2 weeks ago). This is well within a 12-month window of the September 2026 rules version.
(4) Functionality. Navigation, linked PDFs and service portal links (Jalamithra, Kaveri on Wheels, Antharjala, RTI) are present. I did not test the linked portals.
I checked the Step 2 answer against BWSSB-25 and BWSSB-01, and the sources support it.
For reviewers to check:
(a) The Detailed Methodology text for DPG4 was not included in this task message. I applied the 10-point band as Step 2 describes it: existence, accessibility, updated within 12 months, functionality. Please confirm this against the question bank.
(b) The footer's 'Last Updated:' field is blank, so currency rests on dated content, not a site-level update date.
(c) The Citation Sheet does not record the date of the check, and there is no archived screenshot. The question bank asks for both. Record the date of verification and capture a dated screenshot. If the check date is after 27.07.2027, re-test currency.
(d) Older press-release sections (Water Adalath, Other) stop in 2021–2023. That does not matter here, because current dated items exist.
Quote: "Water Shutdown on 31-07-2026."</t>
    </r>
  </si>
  <si>
    <t xml:space="preserve">BMTC website, Tenders page (https://mybmtc.karnataka.gov.in/info-4/BMTC+Tenders/en)</t>
  </si>
  <si>
    <t xml:space="preserve">Tender list (newest entry) and page footer</t>
  </si>
  <si>
    <t xml:space="preserve">Newest tender entry dated 23/09/2026; footer reads 'Last Updated: 30-09-2026' and 'Content Owned and maintained by: Bengaluru Metropolitan Transport Corporation, Government of Karnataka'</t>
  </si>
  <si>
    <t xml:space="preserve">AI (medium confidence), from Step 2 answer (Answered — Verified Source) and BMTC-10: I checked BMTC-10 against the Step 2 answer, and it supports a score of 10. (1) The website exists and is official: the page is on mybmtc.karnataka.gov.in, which is an allowed .gov.in domain. The footer names BMTC as content owner and says the Centre for e-Governance, Government of Karnataka designed and hosts the site. (2) The page is accessible: the captured body has full navigation, the tender list and the footer, so it is not an error page or empty shell. (3) The content is current: there are dated tender notices in an unbroken run through 2026 (23/09/2026, 17/09/2026, 09/09/2026, 04/09/2026, August, July, June, May and April 2026), all within 12 months of the September 2026 cycle. The 'Last Updated: 30-09-2026' footer is the same on every captured page, so it may come from the site template. I relied on the dated tender notices, not the footer. CAVEATS FOR THE REVIEWER: (a) The Detailed Methodology and rubric text for DPG4 were not in my task input. I scored against the Score-10 band as Step 2 described it: the website exists, opens without error, and has dated content from within the last 12 months. Please confirm this band against the question bank. (b) This is a point-in-time check. The Citation Sheet does not record the exact capture date, which must have been on or after 30-09-2026. There is also no archived screenshot or web-archive link, which the question's evidence requirement reportedly asks for. Please record the verification date and save a dated capture. (c) Linked PDFs and sub-portals were not opened one by one. (d) The Press Releases page (BMTC-28) appears stale, with items only up to Nov-2022. That does not affect the existence or currency test here, but it matters for related DPG questions. (e) The KarnatakaOne page (BMTC-30) points to www.mybmtc.com, which was not captured and was not used.
Quote: "TENDER NOTIFICATION NO: 24/2026-27 (e-Procurement Platform): 23/09/2026"</t>
  </si>
  <si>
    <t xml:space="preserve">AI: left for a person. Step 2 found no evidence (Insufficient Evidence). Source needed: A saved copy of BDA's official website home page and its notices/circulars page, fetched on a recorded date. It should show that the site opens without error and has content dated within the last 12 months (e.g. a recent notice, circular or tender). It also needs proof that the site is official: a link to it from a Karnataka government .gov.in or .nic.in page, or an official instrument naming it. A dated screenshot or web-archive capture is also needed.</t>
  </si>
  <si>
    <t xml:space="preserve">Board's Report, FY2020-21 (15th AGM), Registered Office block</t>
  </si>
  <si>
    <t xml:space="preserve">Annual Report p. 54 (PDF page 56); see also p. 38 (PDF page 40), newsletter and whistle-blower policy</t>
  </si>
  <si>
    <t xml:space="preserve">PDF pp.40, 42, 55-56 (printed pp.38, 40, 53-54)</t>
  </si>
  <si>
    <t xml:space="preserve">56</t>
  </si>
  <si>
    <t xml:space="preserve">AI (low confidence), from Step 2 answer (Partially Answered) and BMRCL-09: I left the score blank. This is a VERIFICATION-LIMIT, not a negative finding. A score of 10 needs three things: an official BMRCL website exists, it opens without error, and it has content dated within the last 12 months. The Citation Sheet has no saved copy, screenshot or dated check of the live site, so the second and third conditions cannot be confirmed.
What I checked:
(1) BMRCL-09, the FY2020-21 Annual Report dated 09-11-2021. It names www.bmrc.co.in as the company website and says the site is 'continuously updated'. This is the company describing itself in 2021. It shows the site existed then, not that it works or is current in 2026. I checked the Step 2 quote and it is in the source.
(2) BMRCL-32, the Metro Parking Policy (Government of Karnataka, 2025). Its saved source URL is https://www.bmrc.co.in/pd/FinalMetroParkingPolicy02-04-2026.pdf. That URL sits on the BMRCL domain and was fetched during research. This strongly suggests the domain is up and hosts recent material: the document is dated 2025 and the filename appears to read 02-04-2026. But that is only a PDF. It does not show that the homepage opens without error, and the 'date' is a filename reading, not a dated publication record.
(3) BMRCL-33, a tender on etenders.gov.in published 04-Jan-2025. It is a central government portal, not BMRCL's own website, so it does not count.
(4) BMRCL-02, -03, -04, -06, -08, -37 and -38 are Acts and Bills. None of them records a check of the website.
A score of 0 is ruled out because the website is named in an official source and a file was retrieved from that domain. A score of 10 is not confirmed because nobody has checked the homepage or a dated update.
For a reviewer: open www.bmrc.co.in, record the date of the check, and take a dated screenshot showing the site opens and has content (a notice, tender or news item) from within the last 12 months. If it does, score 10. The BMRCL-32 PDF is a strong lead that this will pass. The team also still needs to confirm that BMRCL qualifies as a parastatal; I have not decided that here.
Quote: "Website : www.bmrc.co.in"
"Score" left blank: the Citation Sheet doesn't decide it.</t>
  </si>
  <si>
    <t xml:space="preserve">Homepage, 'Department Documents' block</t>
  </si>
  <si>
    <t xml:space="preserve">Acts and Rules list; Notifications &gt; CA Site Paper Notifications; Proposed Draft Mobility Plan</t>
  </si>
  <si>
    <t xml:space="preserve">Homepage footer: 'Content Owned and maintained by:' / 'Designed , Developed &amp; Hosted by: Centre for e-governance - Webportal karnataka government © 2026'</t>
  </si>
  <si>
    <t xml:space="preserve">AI (medium confidence), from Step 2 answer (Answered — Verified Source) and BMRDA-05: Score is 10. Under the four criteria Step 2 lists, BMRDA's website gets full marks.
Check the rubric first. The question text and Detailed Methodology for DPG4 were not in my task input. I used the band set out in the Step 2 notes: 10 = Existence + Accessibility + Currency + Functionality. If DPG4's real rubric has different bands or content requirements, a reviewer must re-check the score.
What I checked in BMRDA-05 (https://bmrda.karnataka.gov.in/english):
(1) Existence: the site is on the Government of Karnataka domain (karnataka.gov.in). The homepage says it was 'Designed, Developed &amp; Hosted by: Centre for e-governance - Webportal karnataka government © 2026'. A 'Content Owned and maintained by:' line is there, but the owner's name is cut off in the excerpts I could read. Step 2 quotes it in full ('…BMRDA, Government of Karnataka') and the visible text fits that, but a reviewer should confirm the full line.
(2) Accessibility: the saved homepage text is complete and readable. It has the introduction (set up under the BMRDA Act, 1985), services, Acts and Rules, RTI pages, notifications and the gallery.
(3) Currency: there is dated content from the last 12 months:
  - the 'Rules, 2026' listed under Department Documents;
  - CA-site newspaper notices whose file names include 29-07-2026 and 30-07-2026 (e.g. 'NIE Bengaluru 29-07-2026', 'EPaper-Bangalore_30-07-2026');
  - 'CA Site Paper Notification' marked '2 months ago';
  - Draft Mobility Plan files for nine planning authorities.
  The upload file names also carry numbers that look like Unix timestamps (≈1.787–1.791e9, i.e. about Aug–Sep 2026). That is my own reading of the file names, not a stated date.
(4) Functionality: the homepage links to working internal pages. Step 2 also reports that saved copies of BMRDA-07, -16, -17 and -18 opened.
Caveats:
- The site's own 'Last Updated:' field is blank, so currency rests on dated content, not a stated update date.
- Some menu items are old: Citizen Charter 2020-21, RTI 4(1)(b) 2019-20, and the '2020 to 2023' planning-authority pages.
- A featured-content block just reads 'test'.
- Online forms and services were not tested.
- The capture date is not recorded in the Citation Sheet, and there is no dated screenshot or archive copy on file.
For the reviewer:
- Record the date you verify the site.
- Confirm the 2026 Rules and the July 2026 notices are still live on that date.
- Capture a dated screenshot, as the evidence requirement asks.
Quote: "The Karnataka Planning Authorities (Allotment of Civic Amenity Sites within the Bengaluru Metropolitan Region) Rules, 2026."</t>
  </si>
  <si>
    <t xml:space="preserve">Last page of the SUDA ease-of-doing-business document (information-related-to-ease-of-doing-bussiness.pdf)</t>
  </si>
  <si>
    <t xml:space="preserve">page 6</t>
  </si>
  <si>
    <t xml:space="preserve">6</t>
  </si>
  <si>
    <t xml:space="preserve">AI (low confidence), from Step 2 answer (Partially Answered) and SUDA-24: The score is left blank: VERIFICATION-LIMIT and possible RUBRIC-GAP. (1) Does SUDA have a website? Yes. SUDA's own document (SUDA-24) names 'http://www.sudaonline.org/' as the SUDA website for Zonal Plan, and several Citation Sheet files were saved from that domain: SUDA-03 and SUDA-05 (2013/08 upload folder), SUDA-13 (presentation dated 03-08-2013), SUDA-14 (DP 2035 report dated 22.02.2017) and SUDA-24 (2015/06 upload folder). Because a website exists, a score of 0 is not justified. (2) Is it active and working, with content updated in the last 12 months? This cannot be decided from the Citation Sheet. There is no saved copy of the homepage or of any notices, tenders or news page, no 'last updated' date, and no dated screenshot. The newest dated item on the domain is from 22.02.2017. SUDA-23 is a SUDA tender notice for FY 2021-22, but it is hosted on arhc.mohua.gov.in, not on sudaonline.org. It gives the email sudaonline1978@gmail.com and says corrigenda 'shall be uploaded on website only'. Even so, it does not show the site's current state and falls outside the 12-month window. I searched the sheet for 2025/2026 content and for notices or tenders and found nothing recent. Not finding recent content in the sheet does not prove the site is stale. Live-site evidence that could not be checked is a verification limit, not a negative finding. (3) Possible RUBRIC-GAP: the Step 2 notes describe only two bands, 10 (site works and content updated in the last 12 months) and 0 (no website). If a live check shows the site opens but has nothing dated in the last 12 months, no band fits, and the team must decide. (4) Proof that sudaonline.org is SUDA's official domain comes only from SUDA's own document (SUDA-24). No gov.in/nic.in link or Act/GO in the sheet names it. Reviewer action: open https://www.sudaonline.org/ as of September 2026, take a dated screenshot, and check for content dated within the last 12 months. Score 10 if both checks pass. Refer it to the team if the site works but is stale.
Quote: "SUDA website for Zonal Plan:  http://www.sudaonline.org/"
"Score" left blank: the Citation Sheet doesn't decide it.</t>
  </si>
  <si>
    <t xml:space="preserve">Quick Link</t>
  </si>
  <si>
    <t xml:space="preserve">GMRC official website home page (https://www.gujaratmetrorail.com/): 'Important Information' notices, footer ownership statement and 'Last Updated' stamp</t>
  </si>
  <si>
    <t xml:space="preserve">Home page notice board: Public Caution Notice 02.07.2026, Press Note 16.05.2026, timetable from 18.05.2026</t>
  </si>
  <si>
    <t xml:space="preserve">AI (medium confidence), from Step 2 answer (Answered — Verified Source) and GMRC-02: I checked the Step 2 answer against the saved pages, and they support it. (1) The site exists and opens with readable text. GMRC-02 (home page) has a full menu: About Us, Project, Reports &amp; Downloads, Tenders, Careers, RTI, Feedback / Grievance and Contact Us. Its footer says the website belongs to Gujarat Metro Rail Corporation (GMRC) Limited. (2) The site is current. The home page carries a Public Caution Notice dated 02.07.2026, a Press Note dated 16.05.2026 and a timetable effective 18 May 2026. GMRC-12 (Tenders) lists live notices dated 07/10/2026 to 12/10/2026, with upload paths under wp-content/uploads/2026/10. (3) The site covers Surat. GMRC-26 has a Surat Metro Project Overview: 38 stations, 40.35 km, civil works under progress. GMRC-12 also lists Surat-specific 2026 tenders, for example GMRC/MMI-2/SURAT/PH-1/2026 (15/05/2026, with addenda up to 30/07/2026) and GMRC/S&amp;T/IBS/SURAT/PH-1/2026 (11/02/2026). (4) The domain is shown to be GMRC's own by the site's ownership statement and by GMRC's 14th Annual Report (GMRC-06, p.68), which names this website as its own. Score 10 follows the band Step 2 described: an official site that exists, opens with readable content and has dated content from the last 12 months. Points to check: (a) The full Detailed Methodology / rubric text for DPG4 was not in my task input. I took the 10-point band from the Step 2 notes, so a reviewer should confirm 10 is the right band and that the highest band equals the Max Score of 10. (b) The domain is not on gov.in or nic.in. Its official status rests on GMRC's own annual report and the site's own statement, not on a link from a gov.in or nic.in page. (c) The Citation Sheet does not record the exact date the pages were checked, and has no dated screenshot or archive copy. The latest content seen is from 12-Oct-2026. The question bank asks for a screenshot and a verification date, so a reviewer should capture both. (d) Whether GMRC passes parastatal screening for Surat has not yet been confirmed by the research team. (e) The footer 'Last Updated' stamps differ by page (6:05 PM vs 6:16 PM) and may be generated automatically. The currency finding rests on the dated notices and tenders, not on the footer.
Quote: "Timetable for Ahmedabad-Gandhinagar Metro Services, w.e.f 18 May 2026"</t>
  </si>
  <si>
    <t xml:space="preserve">ENTER A NUMBER 0 TO 1</t>
  </si>
  <si>
    <t xml:space="preserve">AI: left for a person. Step 2 found no evidence (Insufficient Evidence). Source needed: A dated, saved copy of the BWSSB website's 'Budget' page under Documents &gt; Accounts, plus any budget files linked from it. These would show whether the Annual Financial Statement (Budget) for FY 2025-26 or FY 2026-27 is published and in what format (XLS/CSV/structured HTML, text PDF or scanned PDF). Other possible sources: the BWSSB budget or annual financial statement for FY 2025-26/2026-27 as laid before the Karnataka Legislature, or a recent BWSSB annual report under s.86 that includes the budget estimates.</t>
  </si>
  <si>
    <t xml:space="preserve">AI: left for a person. Step 2 found no evidence (Insufficient Evidence). Source needed: Needed: a dated capture of a BMTC budget document (budget estimates / revised estimates) for FY 2026-27 or FY 2025-26, published on BMTC's official website (mybmtc.karnataka.gov.in) or on a Karnataka government portal (e.g. a Transport Department or Finance Department budget volume listing BMTC's budget), with its file type recorded (XLS/CSV/structured HTML vs text PDF vs scanned PDF). A reviewer should also open and save BMTC's 'Annual Administrative Report' page and any finance or downloads pages to check for a budget. If none is published, the BMTC Public Information Officer (the Chief Law Officer, per the department list in BMTC-18) could be asked for the approved budget for FY 2025-26 / FY 2026-27.</t>
  </si>
  <si>
    <t xml:space="preserve">AI: left for a person. Step 2 found no evidence (Insufficient Evidence). Source needed: Two things are needed: (1) BDA's budget estimates for FY 2026-27 or FY 2025-26, or the Board resolution approving them, as published on BDA's official website (with proof that the domain is official from a .gov.in page) or on a Karnataka government portal; and (2) the file format of that document (XLS/CSV/structured HTML, text PDF or scanned PDF). For each, a dated screenshot or archived URL with the access date is needed.</t>
  </si>
  <si>
    <t xml:space="preserve">AI: left for a person. Step 2 found no evidence (Insufficient Evidence). Source needed: Needed: a dated copy (or archived URL with access date) of a BMRCL annual budget (budget estimates, or revised and budget estimates) for FY 2025-26 or FY 2026-27, from BMRCL's official website or a Government of Karnataka .gov.in source (e.g. UDD or Finance Department budget papers that give BMRCL's budget), with its file type recorded (XLSX/CSV/structured HTML vs text PDF vs scanned PDF). Failing that, BMRCL's RTI s.4(1)(b) proactive-disclosure page showing the budget allocated to the agency.</t>
  </si>
  <si>
    <t xml:space="preserve">AI: left for a person. Step 2 found no evidence (Insufficient Evidence). Source needed: A saved copy of the BMRDA website's 'Budget' page and of the budget documents it links to (budget estimates for FY 2026-27 or FY 2025-26), recording the year covered, the file type (XLS/XLSX/CSV/structured HTML vs text PDF vs scanned PDF) and the date accessed. A copy of the budget BMRDA approved and sent to the State Government for FY 2025-26 or 2026-27, if it is published elsewhere on an official Karnataka (.gov.in) site, would also answer the question.</t>
  </si>
  <si>
    <t xml:space="preserve">AI: left for a person. Step 2 found no evidence (Insufficient Evidence). Source needed: Need a dated copy of SUDA's adopted annual budget (budget estimates in Form N or equivalent) for FY 2026-27 or FY 2025-26. It could be on SUDA's official website (its finance/budget or RTI proactive-disclosure section) or on a Gujarat government (gov.in) page hosting it, such as the Urban Development &amp; Urban Housing Department. The URL, access date and file type (XLS/CSV/HTML table vs text PDF vs scanned PDF) must be recorded. If the website has no budget, a saved copy of the relevant website sections showing that, read in full, would be needed before a 0 could be given.</t>
  </si>
  <si>
    <t xml:space="preserve">AI: left for a person. Step 2 found no evidence (Insufficient Evidence). Source needed: GMRC's annual budget (budget estimates, or revised and budget estimates) for FY 2026-27 or FY 2025-26, published on its official website or a Government of India / Government of Gujarat portal. Also needed: a saved copy of the 'Budget Allocation &amp; Expenditure' PDF linked from RTI Ch.11, to check what it covers and its file format (XLSX/CSV/HTML vs text PDF vs scanned PDF).</t>
  </si>
  <si>
    <t xml:space="preserve">AI: left for a person. Step 2 found no evidence (Insufficient Evidence). Source needed: A dated, saved copy of BWSSB's 'Accounts' web page and of the most recent audited annual statement of accounts (income and expenditure account, balance sheet and auditor's report) for the preceding FY, or one year earlier where audit timelines allow. The file type needs to be recorded (XLSX/CSV/HTML vs text PDF vs scanned PDF). Other possible sources are the Karnataka Legislature papers-laid records under s.25(5)(a), or a State Audit or CAG report that includes BWSSB's certified accounts.</t>
  </si>
  <si>
    <t xml:space="preserve">Homepage (English), 'Recent Updates' block</t>
  </si>
  <si>
    <t xml:space="preserve">Link: storage/pdf-files/bs-eng.pdf</t>
  </si>
  <si>
    <t xml:space="preserve">Footer: 'Last Updated: 30-09-2026'</t>
  </si>
  <si>
    <t xml:space="preserve">AI (low confidence), from Step 2 answer (Partially Answered) and BMTC-01: Score left blank. Not found is not the same as absent, and part of this is a VERIFICATION-LIMIT. (1) What the sheet shows: the BMTC homepage (BMTC-01, karnataka.gov.in domain, last updated 30-09-2026) links to only one set of financial statements, 'Balance Sheet and Profit and Loss Account for the Year ended 31st March 2020' (FY 2019-20). The Kannada homepage (BMTC-12) has the same item. FY 2019-20 is outside the window, which allows FY 2025-26, or FY 2024-25 with the one-year lag. So this document earns no credit. (2) Why I did not give a 0: the methodology needs affirmative absence, and the sheet does not have it. Three things are missing from the Citation Sheet: (a) the 'Annual Administrative Report' page (/80/annual-administrative-report/en), (b) the 'More about BMTC' page (/72/more-about-bmtc/en), and (c) the bs-eng.pdf file itself. Any of these could hold newer audited accounts, so a human must check them. BMTC-14 (Performance Indicator page) links a 'Financial Performance' / Performance Indicators PDF. Its text is not in the sheet, and nothing shows it is a set of audited financial statements. (3) Format half: without the PDF I cannot tell whether it is text, scanned or extractable. No XLS/CSV/HTML version was seen. (4) Background only: RTC Act 1950 s.33 (BMTC-02) says the accounts 'shall' be prepared and audited by the CAG and laid before the Legislature. It does not require online publication, and a legal duty is not evidence of practice. (5) What I checked: BMTC-01, BMTC-12, BMTC-14, BMTC-15, BMTC-02, and a sheet-wide search for 'audited accounts balance sheet 2024-25 annual report', which found no BMTC accounts newer than FY 2019-20. (6) Missing context: the full question text and Detailed Methodology for DPG5b were not given to me. I relied on the Step 2 summary of the band structure (an availability/currency part and a format part, max 1). A person should confirm the rubric. (7) Next steps for the reviewer: open the Annual Administrative Report page, the More-about-BMTC page and the Performance Indicators PDF. Look for audited accounts for FY 2024-25 or FY 2025-26, and record the file format. If none are there, the availability/currency part is 0 and the latest FY found is 2019-20. Capture a dated screenshot.
Quote: "Balance Sheet and Profit and Loss Account for the Year ended 31st March 2020"
"Score" left blank: the Citation Sheet doesn't decide it.</t>
  </si>
  <si>
    <t xml:space="preserve">AI: left for a person. Step 2 found no evidence (Insufficient Evidence). Source needed: Any of these would answer it: a saved, dated copy of the BDA official website's accounts, annual report or RTI s.4(1)(b) disclosure page, showing the latest audited annual accounts with their financial year and file type (PDF text or scanned, or XLS/CSV/HTML); a Karnataka Legislature papers-laid record of BDA's audited accounts and auditor's report for FY 2024-25 (or FY 2023-24 if the one-year lag applies); or a State Audit and Accounts Department or CAG publication of BDA's audited accounts. Also the Rules made under the BDA Act that set the 'prescribed manner' of publication, for context.</t>
  </si>
  <si>
    <t xml:space="preserve">Financial Statements (Annual Report, 15th AGM)</t>
  </si>
  <si>
    <t xml:space="preserve">Balance Sheet as at 31st March 2021 (printed p.81, PDF p.83); Cash Flow Statement (printed p.86-87); Independent Auditor's Report dated 24-08-2021; C&amp;AG comments (printed p.76)</t>
  </si>
  <si>
    <t xml:space="preserve">83</t>
  </si>
  <si>
    <t xml:space="preserve">AI (low confidence), from Step 2 answer (Partially Answered) and BMRCL-09: I left the score blank because the Citation Sheet doesn't show whether BMRCL's audited accounts are currently published, or in what format.
**What the Citation Sheet shows:**
- The newest audited accounts are for FY 2020-21: the Balance Sheet as at 31 March 2021, the auditor's report dated 24-08-2021 and the C&amp;AG comments. They are in BMRCL-09, a PDF on the Karnataka Legislative Council papers-laid page (kla.kar.nic.in).
- That is far older than the window expected for an assessment as of September 2026, which is FY 2024-25 or FY 2025-26.
- The document is a PDF with extractable text. It is not XLS/CSV or a structured HTML table.
**Why this can't be a 0:**
- The Citation Sheet has no capture of BMRCL's own website, its financials or investor pages, its stock-exchange (SEBI LODR) disclosures, or any Annual Report after FY 2020-21.
- I searched the whole sheet for later financial statements (FY 2024-25 and machine-readable versions). Only BMRCL-09 came up. The other hits (BMRCL-02, the Greater Bengaluru Governance Act accounts sections, and BMRCL-06, the Companies Act) describe legal duties, not practice.
- Without those pages there is no proof of absence, so the result is 'not found', not 0.
- Pages that couldn't be checked are a VERIFICATION-LIMIT, not a negative finding.
**Other gaps:**
- The question text and detailed methodology for DPG5b were not in the task input. I relied on the Step 2 framing: availability and currency of audited accounts, plus machine-readable format.
- I could not check how the 0-1 scale maps to those components.
**What the reviewer should do:**
1. Check BMRCL's official site and stock-exchange filings for audited accounts for FY 2021-22 to FY 2025-26, and note their file format.
2. Capture a dated screenshot.
3. Score as follows:
   - If current accounts are found only as PDF, the format component is likely 0.
   - If no accounts newer than FY 2020-21 exist after a full check, the question likely scores 0.
The Step 2 answer matches the source: FY 2020-21 accounts in PDF on a state legislature domain.
Quote: "Balance Sheet As at 31st March 2021"
"Score" left blank: the Citation Sheet doesn't decide it.</t>
  </si>
  <si>
    <t xml:space="preserve">AI: left for a person. Step 2 found no evidence (Insufficient Evidence). Source needed: Two things would answer this. First, BMRDA's audited annual accounts (balance sheet, income and expenditure, and the audit report/certificate of the State Audit &amp; Accounts Department / Controller of State Accounts) for FY 2025-26, or FY 2024-25 under the one-year lag, as published on BMRDA's 'Budget and Annual Reports' page or among the Karnataka Legislature's papers laid. Second, the content and file format of the 2023-24 Annual Report linked from the BMRDA website. The BMRDA Act 1985 accounts and audit section would also show whether audited accounts are legally due and on what timeline.</t>
  </si>
  <si>
    <t xml:space="preserve">AI: left for a person. Step 2 found no evidence (Insufficient Evidence). Source needed: The page on SUDA's own website (or a Gujarat UDD/State page) that hosts SUDA's audited annual accounts or Annual Report for FY 2024-25 (or FY 2023-24 under the one-FY lag), opened and saved with the access date, and its file type recorded (XLSX/CSV/HTML table vs text PDF vs scanned PDF). Failing that, SUDA's RTI s.4(1)(b) proactive-disclosure page or a CAG/Local Fund audit report on SUDA, to show whether the accounts are published at all.</t>
  </si>
  <si>
    <t xml:space="preserve">Board's Report for the Financial Year 2024-25 (15th Annual Report 2024-25)</t>
  </si>
  <si>
    <t xml:space="preserve">Opening paragraph of the Board's Report (report page 8, PDF page 10). Financial statements are listed in the contents at report pp. 92-152.</t>
  </si>
  <si>
    <t xml:space="preserve">Contents items 12-16: Balance Sheet (p.92), Statement of Profit and Loss (p.93), Statement of Changes in Equity (p.94), Cash Flow Statement (pp.95-96), Notes (pp.97-152)</t>
  </si>
  <si>
    <t xml:space="preserve">AI (low confidence), from Step 2 answer (Partially Answered) and GMRC-05: Proposed score 0.5 = 0.5 for being available and current + 0 for format.
(1) Availability and currency, 0.5. GMRC-05 is the 15th Annual Report for FY 2024-25. It contains the audited financial statements for the year ended 31-03-2025, the Independent Auditor's Report, and C&amp;AG comments at pp.45-49. The AGM notice (dated 22/12/2025) says the 15th AGM on 24-Dec-2025 will adopt these audited financial statements. GMRC-01 is GMRC's own Reports &amp; Downloads page (footer: 'Last Updated on: 12-Oct-2026'). It links this report as '15TH Annual Report 2024-25' (upload path 2026/05). No FY 2025-26 accounts appear in the Citation Sheet. The FY 2024-25 accounts earn the 0.5 only under the one-FY lag allowance that Step 2 describes.
(2) Format, 0. Every annual report on GMRC-01, from the 5th (2014-15) to the 15th (2024-25), is a .pdf link. The RTI Section 4(1)(b) disclosure page (GMRC-03), Chapter 11 'Budget Allocation &amp; Expenditure', only points back to the Reports page and to a PDF. I found no XLS/XLSX/CSV/ODS file, structured HTML table or dataset for the accounts on either page. A search of the whole Citation Sheet for xlsx/csv/excel found nothing. This absence rests on GMRC-01 and GMRC-03, which are GMRC's two disclosure pages in the sheet.
PLEASE CHECK:
(a) The question's Detailed Methodology and Notes for scorers were not included in this task input. The band split I used (0.5 availability/currency within a one-FY lag, plus 0.5 for structured formats) comes from Step 2's description, not from rubric text I could read. A person must confirm the rubric.
(b) Assessment reference date. The rules version is Sept 2026 and the Reports page was updated 12-Oct-2026. By then FY 2025-26 had ended (31-03-2026). If the methodology demands the most recently completed FY with no lag, or if FY 2025-26 accounts were already due and published by the reference date, the availability part would be 0 and the total 0. Note that GMRC adopted its FY 2024-25 accounts only in Dec 2025.
(c) Step 2 says the statement pages (pp.92-96) gave no extractable text and may be scanned images. This was not checked visually, and it does not change the format score, because PDF is not a credited format either way.
(d) The accounts cover the whole company (Ahmedabad-Gandhinagar and Surat projects), not Surat alone.
(e) A reviewer should capture a dated screenshot of GMRC-01.
Confidence is low because the rubric text was not available to me and currency depends on an unconfirmed reference date.
Quote: "Your Directors take pleasure in presenting the 15th Annual Report on performance of Gujarat Metro Rail Corporation (GMRC) Limited (50:50 SPV of Government of India and Government of Gujarat) along with the audited Financial Statement, Independent Auditors Reports for the financial year ended 31st March 2025."</t>
  </si>
  <si>
    <t xml:space="preserve">Introduction</t>
  </si>
  <si>
    <t xml:space="preserve">Annual Report 2016-17, prepared under s.86(2), BWSS Act 1964</t>
  </si>
  <si>
    <t xml:space="preserve">page 61 (title page of the English section); page 59 (Chairman's foreword citing Section 86(2))</t>
  </si>
  <si>
    <t xml:space="preserve">61</t>
  </si>
  <si>
    <t xml:space="preserve">AI (low confidence), from Step 2 answer (Partially Answered) and BWSSB-29: I've left the score blank. The newest annual report I could confirm is too old, but the Citation Sheet doesn't show that nothing newer exists, so the case for a 0 isn't met. (1) What's confirmed: BWSSB-29 is the Board's annual report for FY 2016-17 (1 Apr 2016 to 31 Mar 2017). It was laid in the Karnataka Legislative Council and is hosted on kla.kar.nic.in. Board decisions in it run to 31-03-2017. It has a text layer: the English pages can be searched, but the Kannada pages use a legacy non-Unicode font and come out garbled. The English foreword wrongly calls it 'The Annual report of 2017-18'; the title and contents are 2016-17. As of September 2026 the report should cover FY 2025-26, or at least 2024-25. A 2016-17 report is far older than that and can't earn credit on currency. (2) A 0 needs affirmative absence, and that isn't met. BWSSB-12, the RTI page on BWSSB's official site, has an 'Annual report' table with three entries: '2022-23' (https://bwssb.karnataka.gov.in/storage/pdf-files/rti-YearlyReport-PROSec.pdf), '2019' and '2017'. None of these files was opened, so their contents and format are unknown. From its name, the 2022-23 file may be the PRO section's RTI yearly report rather than the Board's s.86(2) report. Even if it is the Board's report, it would still predate FY 2024-25/2025-26. The sheet also has no Karnataka Legislature papers-laid listings after 2016-17, and only parts of the BWSSB website. A search of the sheet for '2024-25' annual report material found nothing relevant, just Act text from BWSSB-02 and BWSSB-04. Checked: BWSSB-29, BWSSB-12, BWSSB-01, BWSSB-02 (s.86(2): the Board 'shall' prepare and submit an annual report; this is a duty to prepare one, not evidence that one was published), BWSSB-04, and a sheet-wide search. (3) The detailed methodology and rubric for DPG5c weren't given in the task, so I couldn't check the band definitions against the Max Score of 1. For a reviewer to confirm: (a) open rti-YearlyReport-PROSec.pdf and the '2019'/'2017' pages and record what they contain; (b) look for any FY 2024-25 or 2025-26 BWSSB annual report on bwssb.karnataka.gov.in or in Karnataka Legislature papers laid; (c) decide whether a report hosted on the legislature site counts as 'publicly available online'; (d) decide whether legacy-font Kannada pages meet the searchability standard. If a full check finds no current report, a 0 would be justified. RTI target: PIO, BWSSB, for its s.86(2) annual reports for FY 2022-23 to 2025-26.
Quote: "ANNUAL REPORT FOR THE YEAR 2016-17"
"Score" left blank: the Citation Sheet doesn't decide it.</t>
  </si>
  <si>
    <t xml:space="preserve">AI: left for a person. Step 2 found no evidence (Insufficient Evidence). Source needed: A saved, dated copy of BMTC's Annual Administrative Report page, listing which years are posted. Also the latest report itself (preferably for the immediately preceding FY), to check its FY and whether it is a text-searchable PDF/HTML or a scanned image. A secondary source would be the Karnataka Legislature papers-laid record of BMTC's annual report under RTC Act s.35(3).</t>
  </si>
  <si>
    <t xml:space="preserve">AI: left for a person. Step 2 found no evidence (Insufficient Evidence). Source needed: Three kinds of source would answer this: (1) BDA's own official website page listing annual reports, with the latest report (ideally FY 2025-26 or FY 2024-25) saved as a copy so the FY and whether the PDF is searchable or scanned can be checked; (2) Karnataka Legislature papers-laid records showing a BDA annual report under s.47A, with a link to the document; (3) the Rules made under the BDA Act that set the report form and due date, to decide which report counts as 'latest report due'.</t>
  </si>
  <si>
    <t xml:space="preserve">Index (p.3) / Board's Report, Corporate Governance Report item 7 'Company's Website' (printed p.53)</t>
  </si>
  <si>
    <t xml:space="preserve">Annual Report FY 2020-21 (15th AGM), Board's Report and Financial Statements</t>
  </si>
  <si>
    <t xml:space="preserve">para 4 (printed page 76 / PDF page 78)</t>
  </si>
  <si>
    <t xml:space="preserve">AI (low confidence), from Step 2 answer (Partially Answered) and BMRCL-09: I left Score blank because the Citation Sheet cannot settle the availability and currency part of the score, so it is not found rather than absent. What I checked: BMRCL-09 is a text-searchable, downloadable PDF of BMRCL's Annual Report for FY 2020-21, the year ended 31.03.2021. The statutory auditor signed on 24-08-2021, the C&amp;AG comments letter is dated 22 October 2021, and the Board's Report is dated 09-11-2021. It is hosted on the Karnataka Legislature papers-laid site (kla.kar.nic.in). This agrees with the Step 2 answer. For an assessment as of September 2026, the report would need to be for FY 2025-26 or the latest one due (probably FY 2024-25). FY 2020-21 is well outside that period. I searched the whole Sheet for later annual reports (FY 2021-22 to 2025-26) and found none. The other BMRCL citations are not annual reports: BMRCL-02, -03, -04, -06, -08, -37 and -38 are Acts or Bills, BMRCL-32 is a parking policy and BMRCL-33 is a tender. The FY 2020-21 report itself says BMRCL's official website is www.bmrc.co.in and that financial results and the annual return are placed there. No page from that website is in the Sheet, so a newer report may well be published online. Scoring availability as 0 would need affirmative absence, which the Sheet does not provide. Scoring it as positive would rely on a report that is about five years out of date. Format: the FY 2020-21 PDF has a text layer from p.3 onward (the cover pages do not), so it would meet a searchable or downloadable test. I did not award format-only partial credit on its own. Doing so would quietly treat availability as 0, and the format would have to be checked again on any newer report that is found. For the reviewer: (1) check www.bmrc.co.in (annual reports or investor pages) and later Karnataka Legislature papers-laid listings for annual reports for FY 2021-22 to FY 2025-26, with a dated screenshot. If none exists after a full check, score availability 0 and apply the format component as the rubric directs. (2) Confirm whether a report hosted only on a legislature site counts as 'publicly available online'. (3) Confirm that BMRCL is eligible as a parastatal, since it is a company. VERIFICATION-LIMIT: the agency's own website was not fetched into the Sheet. RTI-TARGET: the PIO at BMRCL, for annual reports for FY 2021-22 to FY 2025-26 and where each is published online.
Quote: "Statement of Profit and Loss for the year ended 31st March, 2021"
"Score" left blank: the Citation Sheet doesn't decide it.</t>
  </si>
  <si>
    <t xml:space="preserve">BMRDA official homepage, 'Department Documents' menu</t>
  </si>
  <si>
    <t xml:space="preserve">Budget and Annual Reports &gt; Annual Report (link to file named '2023-24 Anual Report.pdf')</t>
  </si>
  <si>
    <t xml:space="preserve">AI (low confidence), from Step 2 answer (Partially Answered) and BMRDA-05: SCORE LEFT BLANK. A person needs to score this.
What the Citation Sheet shows:
(1) BMRDA-05 is BMRDA's official homepage, fetched in 2026 ('© 2026'; it carries uploads dated July 2026). Under 'Department Documents' it links only one annual report, a file named '2023-24 Anual Report.pdf'. That PDF is not in the Citation Sheet, so its content and format (scanned or text) cannot be checked. VERIFICATION-LIMIT. The 'Budget and Annual Reports' page it points to (/40/budget-and-annual-reports/en) is not in the Citation Sheet either, so it may list later reports I cannot see.
(2) BMRDA-03 is the FY 2022-23 annual report (1 Apr 2022 to 31 Mar 2023), from the Karnataka Legislature's papers-laid list. I read it again. The English part (p.10 onward) is selectable text that extracts cleanly. The Kannada part (pp.1-9) is in a legacy font encoding: the text extracts but comes out garbled, so it is not image-only. As a format example it would meet a text-readable, downloadable standard.
(3) BMRDA-08 is KTCP Act s.68D: every Planning Authority 'shall prepare for every year a report... on or before such date as may be prescribed'. The due date is not in the Citation Sheet. That makes it impossible to say which year is the 'latest report due' as of September 2026, either FY 2024-25 or FY 2025-26.
(4) I searched the Citation Sheet for 'Annual Report 2024-25'. It turned up no report for FY 2024-25 or FY 2025-26.
Why no score:
- Availability: the newest report found (FY 2023-24) is older than the year probably due. That points to a low or zero score, but scoring it 0 needs affirmative absence. Two places were never read: the 'Budget and Annual Reports' page and the Legislature papers laid after FY 2022-23.
- Format: the FY 2023-24 file was not opened, so its format is unknown.
- Rubric: the detailed methodology for DPG5c, including how the 0-1 score splits between availability and format, was not given to me. I cannot apply bands I cannot see.
I checked the Step 2 answer against the sources and they support it.
To do:
(a) Open https://bmrda.karnataka.gov.in/40/budget-and-annual-reports/en and the 2023-24 PDF, and take a dated screenshot.
(b) Check the Karnataka Legislature (kla.kar.nic.in) papers laid for 2024-26 for any BMRDA annual report for FY 2023-24, 2024-25 or 2025-26.
(c) Confirm the prescribed due date for the annual report under KTCP Act s.68D, or under the BMRDA Act or Regulations.
(d) Possible RTI request to the PIO (Assistant Metropolitan Commissioner, Administration), BMRDA.
Quote: "[https://bmrda.karnataka.gov.in/40/budget-and-annual-reports/en] Budget and Annual Reports [https://bmrda.karnataka.gov.in/storage/pdf-files/2023-24 Anual Report.pdf] Annual Report"
"Score" left blank: the Citation Sheet doesn't decide it.</t>
  </si>
  <si>
    <t xml:space="preserve">AI: left for a person. Step 2 found no evidence (Insufficient Evidence). Source needed: Either a SUDA annual report for the last full financial year (or the latest report due), or the SUDA website (or a Gujarat government gov.in page) where annual reports are listed or proactively disclosed. It should be fetched and saved with the access date and the file type recorded: searchable/text PDF, HTML or DOC versus scanned/image PDF.</t>
  </si>
  <si>
    <t xml:space="preserve">Reports &amp; Downloads page – 'Annual Reports' list</t>
  </si>
  <si>
    <t xml:space="preserve">Link to /wp-content/uploads/2026/05/Annual-Report-for-FY-2024-2025.pdf</t>
  </si>
  <si>
    <t xml:space="preserve">Page footer: 'Last Updated on : 12-Oct-2026'</t>
  </si>
  <si>
    <t xml:space="preserve">AI (low confidence), from Step 2 answer (Partially Answered) and GMRC-01: I left the score blank because the currency part can't be decided from the Citation Sheet. The format part can.
FORMAT (0.5), supported:
- GMRC-01 (the GMRC Reports &amp; Downloads page) links the '15TH Annual Report 2024-25' as a downloadable PDF.
- GMRC-05 is that PDF, opened at the same URL. It is 152 pages and the text can be read: Board's Report, C&amp;AG comments, and audited statements for the year ended 31-Mar-2025.
- Only a few pages are image-only: the cover and the Secretarial Audit pages.
- Earlier reports for FY14-15 to FY23-24 are also listed. GMRC-06 (FY23-24) and GMRC-25 (FY22-23) are readable.
CURRENCY (0.5 or 0), undecided:
- The GMRC-01 page footer is dated 12-Oct-2026, so the immediately preceding FY is 2025-26. No FY 2025-26 report is listed or in the Citation Sheet.
- The FY 2024-25 report was adopted at the 15th AGM. GMRC-05 gives the meeting date as 24-Dec-2025, with the notice dated 22/12/2025.
- GMRC-06 shows the FY 2023-24 report was adopted at an AGM on 21-Dec-2024. So GMRC usually adopts its report in December after C&amp;AG comments, and the FY 2025-26 report may not yet have been adopted by Oct 2026.
- I searched the Citation Sheet, and read GMRC-03 (RTI proactive disclosure), GMRC-05 and GMRC-06. None gives a due date for the FY 2025-26 report, or a Companies Act deadline, so I can't tell whether FY 2024-25 counts as the 'latest report due'.
- The '2026/05' upload folder hints at an upload around May 2026. That comes from the URL only and is not confirmed.
OUTCOME:
- If the team accepts FY 2024-25 as the latest report due at the assessment date, the score is 1 (0.5 + 0.5).
- If not, the score is 0.5 (format only).
- I did not enter 0.5 as a floor, because that would be a guess about the currency part.
OTHER CHECKS:
- The question bank asks for a dated screenshot. There is no archive record, and the date we have is the site's own 'Last Updated' footer. A reviewer should capture a dated screenshot. This is a verification limit.
- Scope: GMRC is a single company for Ahmedabad, Gandhinagar and Surat, and the Surat metro is not yet running. The team needs to confirm GMRC is counted as a parastatal for Surat (PRE-OPERATIONAL flag).
- The Step 2 answer matches the sources.
Quote: "15TH Annual Report 2024-25"
"Score" left blank: the Citation Sheet doesn't decide it.</t>
  </si>
  <si>
    <t xml:space="preserve">AI: left for a person. Step 2 found no evidence (Insufficient Evidence). Source needed: Needed: a dated capture of the BWSSB official website section (or RTI s.4(1)(b) proactive-disclosure page) that lists Board meeting proceedings or minutes, showing at least one set from FY 2025-26 or FY 2026-27 and its file type (searchable PDF, HTML, DOC or scanned). Alternatively, a documented full check of the BWSSB website and Karnataka legislature papers-laid pages confirming that no minutes are published, with access dates. A recent BWSSB annual report (FY 2024-25 or later) would at most show recent board decisions, not minutes.</t>
  </si>
  <si>
    <t xml:space="preserve">AI: left for a person. Step 2 found no evidence (Insufficient Evidence). Source needed: A saved, dated copy of the BMTC website page that publishes Board of Directors meeting minutes, such as the RTI Section 4(1)(b) proactive-disclosure page, a Board Secretariat or 'Board meetings' page, or minutes/resolutions posted under the RTI menu. It should show at least one set of minutes dated FY 2025-26 or FY 2026-27, the date of the latest minutes, and the file type (searchable PDF/HTML/DOC versus scanned image). If the website does not publish them, the absence needs to be confirmed by reviewing every disclosure page.</t>
  </si>
  <si>
    <t xml:space="preserve">AI: left for a person. Step 2 found no evidence (Insufficient Evidence). Source needed: Any of these would answer it: BDA's official website page (its domain shown to be official through a link from a .gov.in page or a statutory instrument) listing minutes or proceedings of Authority (board) meetings, with dated documents from FY 2025-26 or FY 2026-27; BDA's RTI section 4(1)(b) proactive-disclosure page if it carries board proceedings; or an official Karnataka government page (e.g. Urban Development Department) hosting BDA Authority meeting proceedings. Each needs a saved, dated copy showing the meeting date and whether the file is a searchable/text PDF, HTML or DOC versus a scanned image.</t>
  </si>
  <si>
    <t xml:space="preserve">AI: left for a person. Step 2 found no evidence (Insufficient Evidence). Source needed: A dated copy of BMRCL's official website page, captured in this session, that publishes board minutes or decisions for FY 2025-26 or FY 2026-27 (or a confirmed absence on its disclosures or board-meetings pages), plus the downloaded minutes file to check whether it is searchable PDF/HTML/DOC or a scan. Failing that, a recent BMRCL annual report or a state-portal disclosure saying whether minutes are published.</t>
  </si>
  <si>
    <t xml:space="preserve">AI: left for a person. Step 2 found no evidence (Insufficient Evidence). Source needed: Needed: a full, dated capture of the BMRDA official website (sitemap plus any 'Proceedings', 'Minutes' or 'Authority/Executive Committee meetings' section), showing whether minutes of an Authority or Executive Committee meeting from FY 2025-26 or 2026-27 are posted, and in what file format (searchable PDF, HTML or DOC, versus scanned). Also useful: BMRDA's latest RTI s.4(1)(b) disclosure and a recent annual report (FY 2024-25 or 2025-26) listing board meetings held. If nothing is published, the Member Secretary (Metropolitan Commissioner) holds the minutes.</t>
  </si>
  <si>
    <t xml:space="preserve">AI: left for a person. Step 2 found no evidence (Insufficient Evidence). Source needed: A dated, saved copy of the SUDA official website section that lists Authority or governing-board meeting minutes or resolutions (for example a 'Board meetings', 'Resolutions' or RTI Section 4(1)(b) proactive-disclosure page). It should include at least one set of minutes from the current FY or the immediately preceding FY, the meeting date, and the file type (searchable PDF, HTML or DOC versus scanned image). If no such page exists, a full read of the SUDA website's disclosure sections would be needed to establish affirmative absence.</t>
  </si>
  <si>
    <t xml:space="preserve">AI: left for a person. Step 2 found no evidence (Insufficient Evidence). Source needed: A complete check of the GMRC website (the 'Present Board of Directors' and 'Board Level Committees' pages, the sitemap and a site search) showing whether any Board minutes from FY 2025-26 or FY 2026-27 are published, and in what file format. If none are published, the Board minutes held by the Company Secretary under the Companies Act (an RTI request).</t>
  </si>
  <si>
    <t xml:space="preserve">Organization Chart page (official BWSSB website, bwssb.karnataka.gov.in)</t>
  </si>
  <si>
    <t xml:space="preserve">Document table, item 2: 'Re-Organisation Chart 2026' (Download link to uploads/1_1775286932.pdf)</t>
  </si>
  <si>
    <t xml:space="preserve">Organization Chart page (bwssb.karnataka.gov.in), table row 2 'Re-Organisation Chart 2026', Download (PDF)</t>
  </si>
  <si>
    <t xml:space="preserve">AI (low confidence), from Step 2 answer (Partially Answered) and BWSSB-11: VERIFICATION-LIMIT. Score left blank; it is not a 0. I could not see the question's own rubric text, so I scored against Step 2's two-half reading: currency 0.5 and format 0.5. A reviewer should confirm that split. What the sheet supports: (1) BWSSB-11, the official Organization Chart page on a gov.in domain, lists 'Re-Organisation Chart 2026' (PDF) and 'OM-Deployment of Officers/Employees after Re-Organisation 2026' with Annexures 1 and 2. It also lists an HTML 'Re-organization of BWSSB FA section 2026' page and older charts from 2020 and 2016. (2) BWSSB-16 and BWSSB-01 show the news item 'Deployment of Officers/Employees after Re-Organisation 2026' marked '2 weeks ago', next to a 'Water Shutdown on 22-07-2026' item marked '2 hours ago'. So a 2026 structure document appears to have been posted in FY 2026-27. Even so, the currency half rests on document titles and news timing, not on the chart's content. (3) BWSSB-12, the RTI page, links a 4(1)(b)(i) 'Administrative Organization Chart' as a .jpg image, which is undated and likely old. It also links RTI 4(1)(a) pages for 2025-26 by zone or office, but these are file indexes, not the structure. What is missing: the text of the 2026 chart PDF, the deployment OM and its annexures, the FA-section HTML page and the Senior Management page are not in the Citation Sheet. So I can't tell whether the chart is a searchable text PDF or a scanned image, or whether it names posts or officials. That means the format half can't be decided, and the currency half can't be confirmed from the document itself. Older material is historical only: BWSSB-42 (delegation of powers, 2016-2019), BWSSB-43 (seniority list 2023), BWSSB-29 (Annual Report 2016-17 chart). Action for the reviewer: open the 'Re-Organisation Chart 2026' PDF linked on BWSSB-11. Check whether it is a text or image file and whether it names posts or officials. Check its date. Take a dated screenshot. Then assign the score, possibly 0.5 for currency plus 0.5 or 0 for format, if the rubric splits that way.
Quote: "Re-Organisation Chart 2026"
"Score" left blank: the Citation Sheet doesn't decide it.</t>
  </si>
  <si>
    <t xml:space="preserve">BMTC official website (mybmtc.karnataka.gov.in), About Us menu</t>
  </si>
  <si>
    <t xml:space="preserve">Officers List page (info-1/Officers+List/en)</t>
  </si>
  <si>
    <t xml:space="preserve">Table 'BMTC Officers Details', rows 01-03 (List of Management; List of Officers Working in BMTC; List of Depot Managers Working in BMTC), each linked to a PDF</t>
  </si>
  <si>
    <t xml:space="preserve">AI (low confidence), from Step 2 answer (Partially Answered) and BMTC-11: Score left blank. The sheet shows that BMTC publishes organisation and staff information, but not whether it is current or what format the key documents are in. This is a verification limit, not a negative finding, so nothing is scored 0. The full rubric text for DPG5f was not in the task input. I relied on the currency and format tests described in the Step 2 notes, and a reviewer should check them against the question bank.
The Step 2 answer matches the sources.
(1) BMTC-11, the Officers List page, links to three PDFs: the management list, the officers list and the depot managers list. Their file names contain 'working list updated eng 3107'. The PDFs themselves are not in the Citation Sheet, so their content, date and type (searchable or scanned) cannot be confirmed. One lead for the reviewer: the numbers at the end of the file names (e.g. 1785482902, 1785482793) look like upload times. Read as Unix timestamps, they fall on about 31 July 2026, which matches '3107' and would be FY 2026-27. This is my inference from file names, not verified evidence of currency, so I did not score on it.
(2) BMTC-18, the Departments page, is HTML text listing 16 departments. Each has the post that heads it (e.g. 'Chief Security and Vigilance Officer', 'Board Secretary', 'Controller of Stores and Purchases') and a description. It is searchable and the posts can be identified, but the content has no date. The footer 'Last Updated: 30-09-2026' is a site-wide stamp and does not date this page's content.
(3) BMTC-09, the Directors List, names the Chairman and Vice-Chairman (e.g. 'SRI. V.S.Aaradhya, Chairman'). It is board composition, not the organisational structure, and it is also undated.
(4) The 'Organization Structure' page (link 31/organization-structure, seen in BMTC-12 and BMTC-01) is not in the Citation Sheet, so I cannot tell whether it is a searchable chart or an image.
Reviewer actions:
- Open the three officer-list PDFs and record their dates and whether they are searchable or scanned.
- Open the Organization Structure page and record its format and date.
- Confirm whether '3107' means 31 July 2026.
- Capture dated screenshots.
If the current structure is confirmed as a searchable webpage or PDF with identifiable posts dated FY 2025-26 or 2026-27, the evidence would likely support the full score of 1, depending on the rubric.
Checked: BMTC-11, BMTC-18, BMTC-09, BMTC-01, BMTC-12, and a search of the whole sheet for 'Organization Structure organisation chart'. The legal sources (BMTC-02, -04, -06, -07) do not bear on this Implementation question.
Quote: "List of Officers Working in BMTC"
"Score" left blank: the Citation Sheet doesn't decide it.</t>
  </si>
  <si>
    <t xml:space="preserve">AI: left for a person. Step 2 found no evidence (Insufficient Evidence). Source needed: Copies of BDA's own official website pages, saved with the date accessed: an 'Organisation chart' or 'Officers / Who's who / Contact us' directory listing current posts and officials, or BDA's RTI s.4(1)(b) proactive disclosure (organisation, functions and duties; directory of officers; staff and pay). Each item needs its date or FY and its file type (HTML, searchable PDF, XLS/CSV, or image/scanned). Also needed: proof that the website is BDA's official domain, e.g. a link to it from a Karnataka .gov.in page. BDA's latest annual report showing sanctioned and working posts would also help.</t>
  </si>
  <si>
    <t xml:space="preserve">AI: left for a person. Step 2 found no evidence (Insufficient Evidence). Source needed: Any of these would answer it: a dated copy of BMRCL's official-website page with its current organisation chart, officer or staff directory, or RTI Section 4(1)(b) proactive disclosure (directory of officers and employees, sanctioned and working posts), accessed in 2026, with the file format recorded; or a BMRCL annual report for FY 2024-25 or FY 2025-26 (for example, one laid in the Karnataka Legislature) describing the current organisational set-up.</t>
  </si>
  <si>
    <t xml:space="preserve">BMRDA official website (bmrda.karnataka.gov.in): Contact Us page</t>
  </si>
  <si>
    <t xml:space="preserve">Contact Us page, Name / Designation / Office Number table</t>
  </si>
  <si>
    <t xml:space="preserve">Footer: 'Last Updated:' is blank; '© 2026'</t>
  </si>
  <si>
    <t xml:space="preserve">AI (low confidence), from Step 2 answer (Partially Answered) and BMRDA-06: I left the score blank because the Citation Sheet doesn't show whether BMRDA's organisation chart or staff directory is current. I checked Step 2's evidence against the sources.
What the sources show:
(1) BMRDA-06, the Contact Us page on BMRDA's official site, is a searchable web page (not a scan). Its table lists 17 posts by Name, Designation and Office Number, filled posts by name (e.g. 'Sri. Rajendra P Cholan, Metropolitan Commissioner') and 12 posts marked 'Vacant'. That supports Step 2's view that the format part is met (0.5).
(2) The page has no date. The footer reads 'Last Updated:' with nothing after it, then '© 2026'. The © 2026 is a site-wide footer, so it does not date this page.
(3) BMRDA-05, the Home page, names the same Metropolitan Commissioner and is clearly being kept up: the site shows items dated July 2026 and a Rules notice dated 2026. That is a sign the whole site is maintained, not a date for the Contact Us page.
(4) BMRDA-03, the Annual Report for FY 2022-23 (Annexure-1, staff as on 31.03.2023), names a different Commissioner. So the page changed after March 2023, but this does not show it reflects the current or the previous financial year.
Under the rules, undated content means currency can't be decided. It is not evidence that the page is out of date, so currency can't be scored 0 either. The total therefore can't be set at 0.5 or 1.
What a reviewer needs to do:
(a) Confirm which financial year is being assessed and the question's full scoring method. Its text was not included in this task; I relied on Step 2's description of two components, currency and format (0.5).
(b) Open the 'Organisation chart' PDF (ORGNenglish.pdf) linked from BMRDA-05. Record its date and whether it is searchable text or a scanned image. It is not in the Citation Sheet.
(c) Check the 2023-24 Annual Report linked from BMRDA-05. It may list staff as on 31.03.2024. It is not in the Citation Sheet.
(d) Save a dated screenshot of the Contact Us page.
The page also lists officer-level posts only, not the full sanctioned staff of 56 or the reporting lines.
Quote: "Sri. Rajendra P Cholan
Metropolitan Commissioner
080-22255493"
"Score" left blank: the Citation Sheet doesn't decide it.</t>
  </si>
  <si>
    <t xml:space="preserve">AI: left for a person. Step 2 found no evidence (Insufficient Evidence). Source needed: A dated capture of SUDA's own official website section showing its current organisation or staff, e.g. an organisation chart, a who's-who or officer directory with designations, or a post-wise sanctioned/working staff list. Alternatively, SUDA's RTI section 4(1)(b) proactive-disclosure manuals (organisation, functions and duties; directory of officers and employees) for FY 2025-26 or 2026-27. The capture should record the file type: HTML, searchable PDF, XLS/CSV, or image/scanned.</t>
  </si>
  <si>
    <t xml:space="preserve">RTI s.4(1)(b) proactive disclosure, Chapter 9 (Directory of Officers and Employees); see also Ch.2, Ch.3, Ch.8 and Ch.10</t>
  </si>
  <si>
    <t xml:space="preserve">Ch.9 Directory of Officers and Employees</t>
  </si>
  <si>
    <t xml:space="preserve">AI (low confidence), from Step 2 answer (Partially Answered) and GMRC-03: SCORE LEFT BLANK. Reasons: (1) RUBRIC-GAP. The task gives no Detailed Methodology or Notes for scorers for DPG5f, only the 0-1 'Score' column. The Step 2 notes mention two parts ('Availability &amp; currency' and 'Format'), but without the actual rubric I cannot tell whether 1 needs an organisation chart, a staff directory or just identifiable posts. I also cannot tell whether partial scores are allowed. (2) What the Citation Sheet shows: GMRC-03 (RTI 4(1)(b) webpage, searchable HTML) has department duties (Ch.2), a top-level decision chain Board -&gt; MD -&gt; Functional Heads (Ch.3) and the Board's make-up (Ch.8). Ch.8 says the Board has 13 directors (5 from Government of India, 5 from Government of Gujarat, 3 functional), which looks out of date. Ch.10 has a table of grades and designations. Ch.9 (Directory of Officers and Employees) publishes no directory; it only says to contact the PIO. CORRECTION TO STEP 2: Step 2 said the 'Present Board of Directors' page was not in the Citation Sheet. It is, as GMRC-04. It names 8 directors: 2 nominated by Government of India, including Chairman Satendra Singh; 4 nominated by Government of Gujarat, including MD S. S. Rathore; and 2 functional directors, Director (Project &amp; Planning) and Director (Finance). This conflicts with Ch.8 of GMRC-03 (13 directors) and with GMRC-05 (11 directors as on 31.03.2025). GMRC-04's footer reads 'Last Updated on : 12-Oct-2026'. The identical footer, with the same visit count, also appears on GMRC-14, so it is probably a site-wide timestamp, not proof that the Board page itself is current. GMRC-14 names 4 RTI officers with their designations (I/c CAO; JGM-Operations; Sr. DGM Civil/Safety as PIO for Surat; DGM-Administration). GMRC-05 (Annual Report 2024-25, p.30, s.XII) describes the set-up in words and lists Directors and KMP, with changes up to 10.08.2025. (3) What is missing: I searched the sheet ('organisation chart organogram') and found no organisation chart, organogram or staff directory. The site's other pages (Contact Us, Board Level Committees, Careers) are not in the sheet, so this is not affirmative absence, and a 0 is not justified. (4) Surat: nothing describes a set-up specific to Surat beyond a PIO for Surat (GMRC-14). For the human scorer: apply the DPG5f rubric. If credit needs an organisation chart or officer directory, nothing in the sheet supports it. If identifiable posts and officials are enough, GMRC-04, GMRC-14, GMRC-05 and GMRC-03 Ch.10 together may earn partial credit, but whether they are current remains in doubt because the Board counts conflict. Capture a dated screenshot as the question bank requires.
Quote: "CHAPTER 9 :DIRECTORY OF OFFICERS AND EMPLOYEES
Kindly contact Public Information Officer (PIO) for information"
"Score" left blank: the Citation Sheet doesn't decide it.</t>
  </si>
  <si>
    <t xml:space="preserve">About BWSSB (web page, undated)</t>
  </si>
  <si>
    <t xml:space="preserve">Section 'Ongoing Water Supply projects'</t>
  </si>
  <si>
    <t xml:space="preserve">Item 7, Sewerage Works</t>
  </si>
  <si>
    <t xml:space="preserve">AI: left for a person. Step 2 found no evidence (Insufficient Evidence). Source needed: One of these, from BWSSB's official website or another official source, dated FY2025-26 or FY2026-27: a current list of ongoing projects or a project dashboard (e.g. CWSS Stage V, 110-villages water and underground drainage, STP and used-water projects) showing status, cost and dates; or a searchable plan document (Vision 2050 / master plan, an annual action plan, or a budget with a capital works programme). Each needs a dated saved copy or screenshot and the date of access, so that both currency and format can be checked.</t>
  </si>
  <si>
    <t xml:space="preserve">AI: left for a person. Step 2 found no evidence (Insufficient Evidence). Source needed: Dated website copies of BMTC's own plans and project information, for the current or immediately preceding FY: e.g. a BMTC annual development or implementation plan (including any Annual Implementation Plan under BMLTA Act s.25), the latest BMTC annual report or budget that names major projects, or a projects page, dashboard or XLS/CSV list of ongoing projects (e-bus induction, depots, TTMCs, bus priority lanes) with status. Also needed: the full Press Releases and News pages, to confirm the newest item and whether it is text or an image.</t>
  </si>
  <si>
    <t xml:space="preserve">AI: left for a person. Step 2 found no evidence (Insufficient Evidence). Source needed: A dated copy of BDA's official website showing: (1) its current major plan (e.g. the Master Plan or Revised Master Plan for its current planning area, or development scheme documents) as a downloadable document, with a note on whether the text is searchable or scanned; and (2) information on ongoing projects (layouts, flyovers, housing, PRR etc.) as a searchable web page/table or XLS/CSV list, dated within FY 2025-26 or FY 2026-27. The date of the latest item found should also be recorded. Also needed: official confirmation of whether the KTCP Amendment Bill 2025 (LA Bill 55 of 2025) was enacted and has commenced, which settles whether BDA or GBA owns the Greater Bengaluru master plan.</t>
  </si>
  <si>
    <t xml:space="preserve">1. Background</t>
  </si>
  <si>
    <t xml:space="preserve">Background paragraph on metro phases (p.5 of PDF, pg. 3)</t>
  </si>
  <si>
    <t xml:space="preserve">Background paragraph on sanctioned network and corridors under construction</t>
  </si>
  <si>
    <t xml:space="preserve">AI (low confidence), from Step 2 answer (Partially Answered) and BMRCL-32: I left the Score blank. The Citation Sheet does not settle either part of the rubric (availability and currency 0.5, format 0.5). I checked the Step 2 answer against the sources and it holds up.
What each source shows:
(1) BMRCL-32, the Metro Parking Policy (cover says 2025; the file name contains 02-04-2026). This is a parking policy. Only one background paragraph gives the status of the metro phases: Phase-1 and part of Phase-2 operating (96.1 km, 83 stations); the remaining 21.26 km of Phase-2, Phase-2A (19.75 km), Phase-2B (38.44 km) and Phase-3 (44.65 km) under construction. It is not a major plan and not a source of information on ongoing projects. It has no progress, cost, timeline or completion data for those projects. Whether this paragraph earns any credit is for the team to decide.
(2) BMRCL-09, the Annual Report for FY 2020-21. It has detailed Phase-2 progress (contracts and land acquisition, pp.26, 33, 37), but it is outside the current/previous-FY window (FY 2026-27 / 2025-26).
(3) BMRCL-33, a CPPP eTender listing (etenders.gov.in) for the AFC system for Phase-2A/2B, published January 2025. It is a procurement notice on a central portal, not project information published by BMRCL.
(4) BMRCL-02, -03, -04, -06, -08, -37 and -38 are legal texts. BMRCL-08 s.25 requires an Annual Implementation Plan. That is a legal requirement, not evidence that the plan is published.
Why not 0: a 0 would need proof of absence. The Citation Sheet has no saved copy or dated screenshot of BMRCL's projects or progress webpages, so the website was never checked. That is a VERIFICATION-LIMIT, not a negative finding.
For a person to collect and check:
- dated screenshots of the BMRCL projects / Phase-2/2A/2B/3 progress pages on bmrc.co.in, so their format can be judged (webpage, table, structured data or PDF);
- a current annual report (FY 2024-25 or 2025-26) or an Annual Implementation Plan;
- the actual publication date of the parking policy;
- proof that bmrc.co.in is BMRCL's official domain (a link to it from a gov.in or nic.in page).
Quote: "The total sanctioned network of BMRCL of Phase -1, Phase -2, Phase -2A, Phase -2B and  Phase-3 is about 220.20 Km."
"Score" left blank: the Citation Sheet doesn't decide it.</t>
  </si>
  <si>
    <t xml:space="preserve">Home - Bangalore Metropolitan Region Development Authority (BMRDA) (English home page) [BMRDA-02]</t>
  </si>
  <si>
    <t xml:space="preserve">Official BMRDA English homepage, 'Department Documents' section</t>
  </si>
  <si>
    <t xml:space="preserve">Notifications &gt; Proposed Draft Mobility Plan (links for 9 Local Planning Authorities); also 'GBIT BROCHURE', 'Structure Plan', 'Reports'</t>
  </si>
  <si>
    <t xml:space="preserve">AI: left for a person. Step 2 found no evidence (Insufficient Evidence). Source needed: Each of these needs a saved, dated copy with the date of access, opened from BMRDA's official website (bmrda.karnataka.gov.in) or an official .gov.in page: (a) the Structure Plan report PDF, to confirm whether its text can be searched or it is scanned; (b) the GBIT brochure and any page listing ongoing projects or their status, dated FY 2025-26 or 2026-27, with its format recorded (HTML table, XLS/CSV, text PDF or images); (c) BMRDA's latest Annual Report (2023-24 or later) or its FY 2025-26/2026-27 budget documents listing ongoing projects.</t>
  </si>
  <si>
    <t xml:space="preserve">Chapter 2 Methodology</t>
  </si>
  <si>
    <t xml:space="preserve">2.1 Introduction</t>
  </si>
  <si>
    <t xml:space="preserve">PDF page 31 (report page 14)</t>
  </si>
  <si>
    <t xml:space="preserve">31</t>
  </si>
  <si>
    <t xml:space="preserve">AI (low confidence), from Step 2 answer (Partially Answered) and SUDA-14: Score left blank. The Citation Sheet cannot settle the currency part of the question, so I did not score it. I checked the Step 2 answer against the sources and agree with it.
What the sheet shows:
(1) SUDA-14 is the Development Plan 2035 report. It is a text-readable PDF hosted on sudaonline.org and dated 2017. In places it calls itself a 'Draft' Development Plan, for example in §2.1 and in Chapter 4, which talks about 'framing the proposals of the Draft Development Plan of SUDA 2035'. The sheet does not show whether this online file is the sanctioned final plan.
(2) SUDA-13 is a presentation from 03-8-2013, which is historical.
(3) SUDA-23 is an ARHC tender from FY 2021-22. It is hosted on arhc.mohua.gov.in, not on SUDA's own site, and it falls outside a current or previous FY window of 2025-26 / 2026-27.
(4) SUDA-24 is an ease-of-doing-business note. It only says that zonal plans are on sudaonline.org and has no project information.
(5) SUDA-01, 03, 04 and 05 are the Act, the Rules and the GDCR. They say nothing about what is published on SUDA's website.
I also searched the whole sheet for 'SUDA ongoing projects website 2025-26'. Only historical DP-2004 and DP-2035 material came back.
Why I did not score 0: there is no saved copy of SUDA's current website project pages, so I cannot show that the information is absent. That is a verification limit, not a negative finding (VERIFICATION-LIMIT).
Why I did not give partial credit: the format part (text-readable PDF) holds for the 2017 plan. But the availability/currency part depends on whether a plan published in 2017 that runs to 2035 'relates to the current or preceding FY, as applicable'. That is a methodology call for a person to make. I was also not given the question's full rubric text, so I could not check its band structure.
What a person should check:
(a) Capture a dated copy of SUDA's website showing its plans and ongoing projects for FY 2025-26 or 2026-27, and their format.
(b) Confirm whether DP 2035 as published online is the sanctioned version.
(c) Confirm that sudaonline.org is SUDA's official site through a gov.in/nic.in link or a GO. The only reference to it in the sheet is on the site itself.
(d) Decide whether a long-horizon plan counts as current.
Quote: "The Draft Development Plan 2035 is prepared with the objective to formulate a meaningful physical development plan to regulate and guide the urban growth in the development authority area in a planned and healthy manner"
"Score" left blank: the Citation Sheet doesn't decide it.</t>
  </si>
  <si>
    <t xml:space="preserve">Project Overview page, Surat Metro tab</t>
  </si>
  <si>
    <t xml:space="preserve">Surat Phase-1 project overview (anchor #posrt)</t>
  </si>
  <si>
    <t xml:space="preserve">Project Overview paragraph and network details table</t>
  </si>
  <si>
    <t xml:space="preserve">AI (low confidence), from Step 2 answer (Partially Answered) and GMRC-26: Score left blank. I did not propose one. Format: met. GMRC's Surat project information is on a searchable HTML page with a structured table (GMRC-26). The Reports &amp; Downloads page (GMRC-01) links the Surat DPR, EIA, SEP, ESMP, Gender Action Plan, alignment map and the 6 June 2019 sanction letter. The DPR (GMRC-08), EIA (GMRC-11) and ESMP (GMRC-24) are text-readable PDFs. So the format half (0.5, per the Step 2 band reading) is supported. Availability and currency: cannot be decided. (1) The Surat section of GMRC-26 has no date. It only says 'The civil construction work is under progress.' The 2026-dated items on the same page (Ahmedabad Phase-II final section inaugurated 11 January 2026; Phase-2A/2B) are about other projects. The footer 'Last Updated on: 12-Oct-2026' is site-wide: it is identical on GMRC-01, with the same visit count of 221953. So it does not date the Surat content. (2) The newest dated Surat material is the 15th Annual Report 2024-25 (GMRC-05). Its Section D 'Surat Metro Rail Project, Phase-I' describes only 'ongoing construction efforts'. The auditor's report is dated 11/08/2025, and the GMRC-01 link sits in a /2026/05/ upload path. With an access date of October 2026, the current FY is 2026-27 and the preceding FY is 2025-26, so FY 2024-25 is outside that window. GMRC-01 lists no 2025-26 annual report. (3) The Surat plans are dated: DPR December 2018 (the GMRC-01 file is named Surat-DPR-2020), EIA December 2020, ESMP January 2021. All are older than the window. (4) The only items on GMRC-01 dated 2026 (DPRs for Phase-2A/2B, sanction letters of 17.03.2026 and 07.07.2026) are Ahmedabad items. They are not evidence for Surat. I could not give a 0 for currency because the content is undated, not shown to be absent or stale. That leaves 'undetermined', not affirmative absence. A person must decide three things: (a) whether currency is judged on Surat-specific content or on the agency's website as a whole; (b) whether the FY 2024-25 annual report, apparently uploaded in May 2026, counts as 'immediately preceding FY, as applicable'; (c) whether a dated screenshot of the Surat section, or a Surat entry on the Milestones page, can establish the date. The Milestones page is not in the Citation Sheet. The full Detailed Methodology text for DPG5g was not given in this task, so I could not check the band values independently. The 0.5 format value comes from the Step 2 reading and should be confirmed. Reviewer should capture a dated screenshot. Checked: GMRC-26, GMRC-01, GMRC-05; search_citation_sheet for Surat progress in 2025-26 found nothing newer.
Quote: "Surat Metro Project comprises of two corridors : Corridor-1 -Sarthana to Dream city and Corridor 2- Bhesan to Saroli having 38 stations with a total length of 40.35 km of which 6.47 km is underground. The two (02) depots are located at Dream City and Bhesan. The civil construction work is under progress."
"Score" left blank: the Citation Sheet doesn't decide it.</t>
  </si>
  <si>
    <t xml:space="preserve">AI: left for a person. Step 2 found no evidence (Insufficient Evidence). Source needed: Needed: BWSSB performance information for FY 2025-26 or 2026-27, with its file format recorded. This could be a recent BWSSB annual report (from the BWSSB website or Karnataka Legislature papers-laid pages), the WQMS water-quality dashboard and any downloadable data behind it, the website's Accounts/Budget/Technical pages, or a service-level benchmark dataset for BWSSB on an official portal. Each needs a dated capture showing whether the data is CSV/XLSX/structured HTML or a PDF/image.</t>
  </si>
  <si>
    <t xml:space="preserve">BMTC official website (mybmtc.karnataka.gov.in), 'BMTC Glance' page</t>
  </si>
  <si>
    <t xml:space="preserve">'BMTC at a glance' operating statistics (schedules, vehicles, daily service km, trips, daily traffic revenue, depots, staff, bus-staff ratio)</t>
  </si>
  <si>
    <t xml:space="preserve">Page footer 'Last Updated: 30-09-2026'; related BMTC-14 'Performance Indicators from 2018-19 to 2025-26( Estimated)'</t>
  </si>
  <si>
    <t xml:space="preserve">AI (low confidence), from Step 2 answer (Partially Answered) and BMTC-15: Score left blank. The score has two parts, and the Citation Sheet settles only the first. Availability and currency (0.5): BMTC-15 shows current-FY figures 'As on 25 September, 2026' (FY 2026-27) on BMTC's own karnataka.gov.in site, including 'Daily Service kms.(Lakhs) 12.39', 'No. of Trips 61740', 'Everyday Traffic Revenue(Rs.Crores) 7.28' and 'Bus Staff Ratio 4.54'. BMTC-14 adds a 'Performance Indicators from 2018-19 to 2025-26( Estimated)' page that links to a 'Physical performance' PDF and lists a 'Financial Performance' entry. Format (the other 0.5) cannot be decided. (a) The glance figures are a short list on the web page, and the saved copy shows no download option, so it is unclear whether this counts as a 'structured HTML table/dashboard with downloadable data'. (b) The PDF in BMTC-14 was not saved, so we cannot tell whether it is text-based or scanned. Its contents are not in the Citation Sheet. (c) No CSV/XLS/ODS or data.gov.in dataset is in the Citation Sheet. Entering 0.5 would amount to scoring the format part 0. That needs affirmative absence, and we don't have it, because the PDF was never read. So the result is 'not found', not 0. Note that the full question rubric text was not in my inputs. I checked the component split against the Step 2 note only (availability 0.5 + format 0.5). For a person to check: (1) Open the Physical/Financial Performance PDFs linked from BMTC-14 and record whether they are machine-readable, and their period. (2) Decide whether the glance list counts as structured HTML without a download. (3) Decide whether an operating-statistics snapshot counts as 'performance information' when the question title refers to service-level benchmarks. The 2025-26 indicator figures are labelled 'Estimated'. (4) Take a dated screenshot, as the question bank requires. I agree with the Step 2 answer's 'Partially Answered' status. The source supports the availability finding; the format part stays undetermined. Era: current (2026).
Quote: "As on 25 September, 2026"
"Score" left blank: the Citation Sheet doesn't decide it.</t>
  </si>
  <si>
    <t xml:space="preserve">AI: left for a person. Step 2 found no evidence (Insufficient Evidence). Source needed: Each of these needs a dated access record (screenshot or archived URL): BDA's official website pages showing performance information, such as service-level benchmarks, an annual or activity report, or a dashboard, for FY 2025-26 or FY 2026-27, together with the file format of each (CSV/XLS/ODS/structured HTML with downloadable data, versus text or scanned PDF). Also useful: BDA's annual report under s.47A of the BDA Act or s.68D of the Town and Country Planning Act as tabled in the Karnataka Legislature, and Sakala portal service-delivery statistics for BDA services.</t>
  </si>
  <si>
    <t xml:space="preserve">AI: left for a person. Step 2 found no evidence (Insufficient Evidence). Source needed: BMRCL's own official website pages that publish operational performance: daily or monthly ridership, punctuality/on-time performance, train availability, service-level benchmarks. Also BMRCL annual reports for FY 2024-25 or FY 2025-26, and any dashboard or open-data release (e.g. on a government open-data portal) with downloadable CSV/XLS. Each needs a dated, saved copy or screenshot so currency and format can be checked.</t>
  </si>
  <si>
    <t xml:space="preserve">BMRDA homepage, 'Department Documents' menu</t>
  </si>
  <si>
    <t xml:space="preserve">'Budget and Annual Reports' link, 'Annual Report' link (file name '2023-24 Anual Report.pdf') and 'Budget' link</t>
  </si>
  <si>
    <t xml:space="preserve">Annual Report link (file name '2023-24 Anual Report.pdf')</t>
  </si>
  <si>
    <t xml:space="preserve">AI: left for a person. Step 2 found no evidence (Insufficient Evidence). Source needed: Needed: (a) a saved copy of BMRDA's 'Budget and Annual Reports' page and every report listed there, to see whether a FY 2025-26 or FY 2026-27 annual or performance report exists, and its file type (text or scanned PDF versus XLS/CSV/structured HTML); (b) the 2023-24 annual report PDF, to confirm its period and format; (c) any BMRDA dashboard or published service-level benchmarks (e.g. turnaround times for change of land use and layout approvals, or Sakala service statistics) in reusable form; (d) Karnataka Legislature papers-laid listings for BMRDA annual reports after FY 2022-23.</t>
  </si>
  <si>
    <t xml:space="preserve">AI: left for a person. Step 2 found no evidence (Insufficient Evidence). Source needed: Needed: a dated capture of SUDA's official website showing performance information for FY 2025-26 or 2026-27. This could be its Rule 49 Annual Report or half-yearly progress report, development-permission statistics (applications received, disposed of within the 72-hour or other timeline, pending), or a service-level dashboard. The capture must record the file format (CSV/XLSX/structured HTML vs text or scanned PDF). If nothing is published, the Urban Development and Urban Housing Department's or SUDA's annual report as submitted under Rule 49 would show what exists.</t>
  </si>
  <si>
    <t xml:space="preserve">AI: left for a person. Step 2 found no evidence (Insufficient Evidence). Source needed: Any of these, with dated saved copies: (1) a GMRC performance report or service-level benchmark statement for Surat Metro covering FY 2025-26 or 2026-27, once services start; (2) GMRC's Surat project page or an open-data/ridership dashboard, ideally with downloadable CSV/XLSX; (3) GMRC's FY 2025-26 annual report. Before any of this is collected, the research team must decide whether this question applies to an agency that is not yet operating in Surat.</t>
  </si>
  <si>
    <t xml:space="preserve">BWSSB website, Right to Information Act page</t>
  </si>
  <si>
    <t xml:space="preserve">'Civil Charter' section</t>
  </si>
  <si>
    <t xml:space="preserve">Sl. No. 1 'Civil Charter' (download link)</t>
  </si>
  <si>
    <t xml:space="preserve">AI (low confidence), from Step 2 answer (Partially Answered) and BWSSB-12: I left the Score blank because of a VERIFICATION-LIMIT. It is not a 0. The Step 2 answer is supported. Two searches of the Citation Sheet ('citizen charter'; Sakala services and time limits) found no charter text. The only evidence is BWSSB-12, BWSSB's RTI page on its official website. It has a 'Civil Charter' heading and a download link to 'Citizen charter.pdf'. That shows the agency lists a charter online, but the PDF is not in the Citation Sheet. So I cannot check either 0.5-point component: (1) Availability and currency: the charter's date, version and whether it is still in force are unknown. (2) Format: I cannot tell whether the PDF is searchable text or a scanned image. Other sources I checked: BWSSB-01, BWSSB-36 and BWSSB-16 only link to a 'Sakala Services' page, whose text was not saved. BWSSB-13 (Our Services) describes connection procedures but is not a charter. BWSSB-34 (Sakala Act page) does not reproduce a BWSSB charter. BWSSB-02 and BWSSB-04 are Acts, not charters. Because the charter link exists, a 0 cannot be justified. Website evidence that could not be opened is never scored 0. Other files on the same RTI page are dated up to FY 2022-23 and 2025-26, but those dates say nothing about the charter's own date. For the reviewer: (a) open the Citizen charter.pdf link and record its date or version and whether it is still in force (0.5); (b) check whether the PDF has a text layer or is a scanned image (0.5); (c) decide whether the BWSSB Sakala Services page should count as a service charter; (d) capture a dated screenshot.
Quote: "[https://bwssb.karnataka.gov.in/storage/pdf-files/RTI ACT/Citizen charter.pdf]"
"Score" left blank: the Citation Sheet doesn't decide it.</t>
  </si>
  <si>
    <t xml:space="preserve">AI: left for a person. Step 2 found no evidence (Insufficient Evidence). Source needed: Any of these would answer it: (a) a BMTC Citizen's/Service Charter (web page or PDF) on BMTC's official site, saved with its date and file type (HTML, searchable PDF or scanned) so both currency and format can be judged; (b) BMTC's RTI section 4(1)(b) proactive-disclosure pages, especially the item on norms for discharging functions, where charters are often posted; (c) the Karnataka Sakala service schedule entry for BMTC services. If none of these exists after a full site check, a reviewer can record an affirmative absence with a dated screenshot of the full site menu and site map.</t>
  </si>
  <si>
    <t xml:space="preserve">AI: left for a person. Step 2 found no evidence (Insufficient Evidence). Source needed: The BDA's current Citizen/Service Charter, saved with its date and URL. It would most likely be on BDA's official website, which needs proof it is official through a link from a .gov.in page, or published by the Karnataka Urban Development Department. Record when it was issued or last revised, and whether it is HTML, a searchable PDF or DOC, or a scanned image. Also useful: the Sakala portal's list of BDA services with time limits, and BDA's section 4(1)(b) RTI disclosure if it reproduces the charter.</t>
  </si>
  <si>
    <t xml:space="preserve">AI: left for a person. Step 2 found no evidence (Insufficient Evidence). Source needed: A saved, dated copy of BMRCL's Citizen Charter / Service Charter page or document from BMRCL's official website. This needs proof that the domain is official, the date or version of the Charter, and its file type (HTML, searchable PDF or scanned PDF). Alternatively, an official Karnataka service-guarantee (Sakala) schedule entry or GO that sets out a Charter for BMRCL services. Each needs a date-of-access screenshot or archived URL.</t>
  </si>
  <si>
    <t xml:space="preserve">BMRDA official website, English home page, 'INTRODUCTION' menu</t>
  </si>
  <si>
    <t xml:space="preserve">Link labelled 'Citizen Charter' next to 'Organisation chart'</t>
  </si>
  <si>
    <r>
      <rPr>
        <sz val="11"/>
        <color theme="1"/>
        <rFont val="Calibri"/>
        <family val="2"/>
        <charset val="1"/>
      </rPr>
      <t xml:space="preserve">Link labelled '</t>
    </r>
    <r>
      <rPr>
        <sz val="11"/>
        <color theme="1"/>
        <rFont val="Noto Sans"/>
        <family val="2"/>
      </rPr>
      <t xml:space="preserve">ನಾಗರಿಕ ಸನ್ನದ್ದು</t>
    </r>
    <r>
      <rPr>
        <sz val="11"/>
        <color theme="1"/>
        <rFont val="Calibri"/>
        <family val="2"/>
        <charset val="1"/>
      </rPr>
      <t xml:space="preserve">' (Citizen Charter), next to </t>
    </r>
    <r>
      <rPr>
        <sz val="11"/>
        <color theme="1"/>
        <rFont val="Noto Sans"/>
        <family val="2"/>
      </rPr>
      <t xml:space="preserve">ಪರಿಚಯ </t>
    </r>
    <r>
      <rPr>
        <sz val="11"/>
        <color theme="1"/>
        <rFont val="Calibri"/>
        <family val="2"/>
        <charset val="1"/>
      </rPr>
      <t xml:space="preserve">/ </t>
    </r>
    <r>
      <rPr>
        <sz val="11"/>
        <color theme="1"/>
        <rFont val="Noto Sans"/>
        <family val="2"/>
      </rPr>
      <t xml:space="preserve">ಕಾರ್ಯಗಳು </t>
    </r>
    <r>
      <rPr>
        <sz val="11"/>
        <color theme="1"/>
        <rFont val="Calibri"/>
        <family val="2"/>
        <charset val="1"/>
      </rPr>
      <t xml:space="preserve">/ </t>
    </r>
    <r>
      <rPr>
        <sz val="11"/>
        <color theme="1"/>
        <rFont val="Noto Sans"/>
        <family val="2"/>
      </rPr>
      <t xml:space="preserve">ಸಂಸ್ಥೆಯ ರಚನೆ</t>
    </r>
  </si>
  <si>
    <t xml:space="preserve">AI (low confidence), from Step 2 answer (Partially Answered) and BMRDA-05: I left the score blank because of a VERIFICATION-LIMIT. The evidence does not show that the score is 0.
What the evidence shows: BMRDA-05 (the BMRDA English home page) has a link labelled 'Citizen Charter' to storage/pdf-files/CITIZEN CHARTER-2020-21 eng.pdf. BMRDA-13 (the Kannada Introduction page) has a matching link to 'CITIZEN CHARTER-2020-21 ka.pdf'. A link existing only proves the link is there. It does not show:
(a) that the file opens and contains a charter;
(b) whether that charter is still in force or has been replaced (the file name suggests FY 2020-21);
(c) whether the PDF has searchable text or is a scanned image.
The rubric needs all three to be judged, and the Citation Sheet holds no evidence on any of them.
What I checked:
- search_citation_sheet for 'citizen charter services time limit': no charter text anywhere.
- BMRDA-13: only the link.
- BMRDA-03 (Annual Report 2022-23): its list of website contents (Section 10) does not mention a citizen charter. This does not count as affirmative absence, because the site has changed since then.
- BMRDA-08, BMRDA-10 and BMRDA-11 (the Acts): none of them contains a BMRDA charter.
The charter PDF itself is not in the Citation Sheet, so a 0 cannot be given.
The Step 2 answer ('Partially Answered', score left blank) matches the sources.
For a person to do:
1. Open both charter PDFs.
2. Confirm what they contain and their effective date or validity.
3. Confirm whether a newer charter has replaced them.
4. Test whether the text can be selected and searched, or is image-only.
5. Capture a dated screenshot, as the question bank requires.
6. Confirm BMRDA is still in scope: the team screening notes mark eligibility E1/E6 as needs_review.
Quote: "[https://bmrda.karnataka.gov.in/storage/pdf-files/CITIZEN CHARTER-2020-21 eng.pdf] Citizen Charter"
"Score" left blank: the Citation Sheet doesn't decide it.</t>
  </si>
  <si>
    <t xml:space="preserve">AI: left for a person. Step 2 found no evidence (Insufficient Evidence). Source needed: A Citizen or Service Charter published by SUDA on its official website or a Government of Gujarat portal, with a date or a statement that it is in force. Alternatively, a dated capture of SUDA's website citizen-services and RTI pages showing that no charter exists. Also needed: a Gujarat service-guarantee or citizen-charter instrument listing SUDA's services, if one exists.</t>
  </si>
  <si>
    <t xml:space="preserve">AI: left for a person. Step 2 found no evidence (Insufficient Evidence). Source needed: A dated saved copy of GMRC's Citizen's Charter or Passenger/Service Charter page or document, if one exists, showing the file type. Alternatively, saved copies of the GMRC website's Sitemap, 'For Passengers' and Ahmedabad Metro pages, and Help and Feedback/Grievance pages. These would show the charter, or establish affirmatively that none is published. A check of any Gujarat government charter listing for GMRC would also help.</t>
  </si>
  <si>
    <t xml:space="preserve">BWSSB 'Right to information Act' page — 'List of files under Section 4(1)(b)'</t>
  </si>
  <si>
    <t xml:space="preserve">Item 15: 4(1)(b)(xvi) List of First Appeal Authority / PIOs (KANNADA(1).pdf); Item 17: List of Public Information Officers (KM_226_03719.pdf); Item 18: PIO for stores (20190701_123241.jpg)</t>
  </si>
  <si>
    <t xml:space="preserve">Item 15 (4(1)(b) xvi list of PIOs and first appellate authorities, KANNADA(1).pdf); item 17 (List of Public Information Officers, KM_226_03719.pdf); item 18 (PIO for stores, 20190701_123241.jpg)</t>
  </si>
  <si>
    <t xml:space="preserve">AI (low confidence), from Step 2 answer (Partially Answered) and BWSSB-12: SCORE BLANK because of a VERIFICATION-LIMIT. This is not a finding that the details are missing. I agree with the Step 2 answer (Partially Answered). BWSSB-12 is BWSSB's own RTI page on bwssb.karnataka.gov.in, a Karnataka government domain. It lists three downloads that should hold the PIO and appellate officer details: (15) '4 (1) (b) xvi List of First Appeal, Authority, Public Information Officers' (KANNADA(1).pdf); (17) 'List of Public Information Officers' (KM_226_03719.pdf); and (18) 'PIO for stores' (20190701_123241.jpg). None of these files is in the Citation Sheet. So their content, date, whether the office-holders are still in post, and whether the text is searchable or a scan are all unknown. Neither half of the score can be set: availability and currency (0.5) or format (0.5). There is no affirmative absence, so no 0 can be given either. What I checked: BWSSB-12 (the RTI page; no PIO name, phone or email in its text, and no fee or how-to-file steps); BWSSB-16 (Contact Info page; only menus and links, including 'RTI', 'RTI Online' to rtionline.gov.in and, in the footer, 'Online RTI' to rtionline.karnataka.gov.in; no PIO details); BWSSB-42 (staff duties and delegation of powers page; no PIO details); BWSSB-11 (organisation chart page). A search of the whole sheet for PIO name, phone or email found nothing else. Point for reviewers: BWSSB-11 lists a 'Re-Organisation Chart 2026' and an 'OM-Deployment of Officers/Employees after Re-Organisation 2026'. If the linked PIO lists are older than this 2026 reorganisation, the named office-holders may be out of date. The 'PIO for stores' file is an image (JPG), and its file name suggests 2019. KM_226_03719.pdf looks like scanner output. Both are inferences from file names only and have not been verified. FOR REVIEWER: (i) open KANNADA(1).pdf and KM_226_03719.pdf from the BWSSB RTI page and record the date of each list, whether the named PIOs and First Appellate Authorities and their contacts are still valid after the 2026 reorganisation, and whether the text is searchable or a scan or image; (ii) check whether the RTI pages at /255/rti/en or /255/rti-4(1)(b)/en show PIO details as plain text on the page; (iii) take a dated screenshot as the question bank requires.
Quote: "4 (1) (b) xvi List of First Appeal, Authority, Public Information Officers"
"Score" left blank: the Citation Sheet doesn't decide it.</t>
  </si>
  <si>
    <t xml:space="preserve">BMTC website, Departments page (menu block and departments table)</t>
  </si>
  <si>
    <t xml:space="preserve">BMTC website homepage, RTI menu</t>
  </si>
  <si>
    <t xml:space="preserve">Links: RTI; Online RTI; RTI 4(1)A; RTI 4(1) B; List of PIO-APIO-AA</t>
  </si>
  <si>
    <t xml:space="preserve">AI (low confidence), from Step 2 answer (Partially Answered) and BMTC-01: The Score is left blank because of a VERIFICATION-LIMIT. It is not a 0.
What the sources show:
- BMTC-01 (English homepage) has links to: an RTI page, the Karnataka Online RTI portal, the RTI 4(1)A and 4(1) B pages, and a 'List of PIO-APIO-AA' PDF (RTIPIOENGupdated04-6-24.pdf).
- BMTC-12 (Kannada homepage) has the same set of links, plus a Kannada version of the list (RTIPIOKANNADAupdated04-6-24.pdf).
- BMTC-18 (Departments page) names the 'Dy CAO/ IA' as 'nodalofficer for RTI'. It gives the designation only: no name, address, phone or email.
Why no score can be given:
- The Citation Sheet does not contain the RTI page, the 4(1)(a)/4(1)(b) pages, or either PIO-APIO-AA PDF.
- So the Sheet cannot show whether current PIO/APIO/Appellate Authority names and contact details are published (availability and currency component).
- It also cannot show whether the RTI procedure is described, or whether the PDF is searchable or scanned (format component).
- A link existing is not evidence of what it contains. The date 04-06-2024 is read from the file name only and has not been checked against the document.
- Without the linked content, neither component can be scored. Not being able to see a page is not proof that the content is missing, so a 0 cannot be justified.
What I checked:
- I searched the whole Citation Sheet for 'Public Information Officer PIO APIO Appellate Authority'. It returned only unrelated passages from the Acts (BMTC-04, BMTC-07, BMTC-02).
- I read BMTC-11 (Officers List) and BMTC-16 (Contact Us) for RTI and PIO details. Only the site menu and website policies came back.
- I read BMTC-12 (Kannada homepage). It has only the menu links.
- The Step 2 answer also checked BMTC-18, BMTC-09 and BMTC-10, with no PIO list text found.
For the reviewer:
- Open https://mybmtc.karnataka.gov.in/3/rti/en and the 'List of PIO-APIO-AA' PDF linked from BMTC-01. Record whether the named office-holders are current, whether contact details and the RTI procedure are given, and whether the PDF is searchable or a scanned image.
- Confirm the date of the list.
- Take a dated screenshot.
I agree with the Step 2 answer: the source supports the existence of the links and nothing more.
Quote: "[https://mybmtc.karnataka.gov.in/storage/pdf-files/RTIPIOENGupdated04-6-24.pdf] List of PIO-APIO-AA"
"Score" left blank: the Citation Sheet doesn't decide it.</t>
  </si>
  <si>
    <t xml:space="preserve">AI: left for a person. Step 2 found no evidence (Insufficient Evidence). Source needed: Any of these would answer it: (1) BDA's official RTI or Section 4(1)(b) webpage or document, saved with access date, naming the current PIOs/APIOs and First Appellate Authority, their contact details and the application procedure (fee, form, address), plus a record of its file format (HTML, searchable PDF or scanned PDF); (2) the saved RTI Online Karnataka PIO/First Appellate Officer list or department list showing BDA's entries; (3) proof that BDA's website is official, via a link from a gov.in page or a named GO.</t>
  </si>
  <si>
    <t xml:space="preserve">AI: left for a person. Step 2 found no evidence (Insufficient Evidence). Source needed: A dated saved copy of BMRCL's official RTI page or its RTI Act Section 4(1)(b) proactive-disclosure page. It should list the current PIOs/APIOs and the First Appellate Authority with names, designations, addresses, phone numbers and email, plus the procedure for filing an application (fee, mode of payment, form, timelines). The file format also needs recording (HTML, searchable PDF or scanned). The site must be shown to be BMRCL's official domain, either by a link from a .gov.in/.nic.in page or by the instrument naming it.</t>
  </si>
  <si>
    <t xml:space="preserve">RTI Act - Status and Report</t>
  </si>
  <si>
    <t xml:space="preserve">Annual Report 2022-23, pp.14-15</t>
  </si>
  <si>
    <t xml:space="preserve">Table of PIOs (u/s 5(1)), APIOs (u/s 5(2)) and Appellate Authorities (u/s 19(1)), listed by post only; p.15 'Website' item 6 'Details of Public Information officers.'</t>
  </si>
  <si>
    <t xml:space="preserve">AI (low confidence), from Step 2 answer (Partially Answered) and BMRDA-03: I left Score blank because of a VERIFICATION-LIMIT. This is not a negative finding. The Step 2 answer matches the sources.
What I checked:
(1) BMRDA-05 (home page) and BMRDA-06 (Contact Us). Both show menu links to the BMRDA 'Right To Information' page (/12/right-to-information/en), the 'RTI ONLINE SERVICES ARE AVAILABLE FOR BMRDA' page, the RTI 4(1)(a) parts I-IV, 'RTI 2019-20 4(1)(B).pdf' and RTI 26(3)(B). The text of none of these pages or PDFs is in the Citation Sheet. So I cannot tell whether current PIO/APIO names, contact details and the RTI procedure are published online, or in what format.
(2) BMRDA-06 body. It gives current names and office phone numbers. But it assigns no PIO, APIO or Appellate Authority role to anyone. Several posts named as PIO/APIO/Appellate Authority in 2022-23 are shown as Vacant: the Deputy Metropolitan Commissioner, Deputy Directors, several Assistant Directors, and the Account Superintendent.
(3) BMRDA-03, Annual Report FY 2022-23 (01-04-2022 to 31-03-2023). It lists PIOs, APIOs and Appellate Authorities by post only, with no names or contacts. It is a report, not a current web listing. It says the website then held 'Details of Public Information officers'. That is a past self-description, not evidence of what the site shows now.
(4) BMRDA-21, the Karnataka RTI Online portal. It offers online filing and first appeal for Govt of Karnataka public authorities, with a link to 'Public information officers and First appellate authority details'. The portal says filing works only for public authorities listed in its public-authority menu. The fetched page does not show whether BMRDA is listed or who its PIO is.
Why no score: under the detailed methodology neither availability/currency nor format can be scored from the sheet. Giving 0 would need affirmative absence, and the decisive RTI page is not in the sheet. Giving partial credit would be a guess, because the only PIO listing is from FY 2022-23, gives posts without names or contacts, and comes from an annual report.
For the reviewer: open https://bmrda.karnataka.gov.in/12/right-to-information/en and the 4(1)(b) PDF. Record whether they give named, current PIO/APIO/Appellate Authority details with contacts and the RTI procedure, and whether each is HTML, a searchable PDF or a scanned PDF. Check whether BMRDA appears in the public-authority and PIO lists on rtionline.karnataka.gov.in. Capture a dated screenshot.
Quote: "The following officers have been designated as Public Information officers, Assistant Public Information officer and Appellate Authorities and accordingly they are performing their duties. The Additional Metropolitan Commissioner has been nominated as Nodal Officer for all matters relating Right to Information Act for this Authority."
"Score" left blank: the Citation Sheet doesn't decide it.</t>
  </si>
  <si>
    <t xml:space="preserve">AI: left for a person. Step 2 found no evidence (Insufficient Evidence). Source needed: Two kinds of saved copy would answer this. First, a dated copy of SUDA's own RTI page or its RTI Act Section 4(1)(b) proactive-disclosure manual on its official website, naming the current PIO, APIO and appellate authority with their contact details, fees and filing procedure. Second, a Gujarat government RTI portal page (gov.in or nic.in) listing SUDA's designated PIO. Either should come with its date and file type (HTML, searchable PDF or scanned PDF) recorded.</t>
  </si>
  <si>
    <t xml:space="preserve">RTI &gt; Details of Public Information Officer and Appellate Authority (HTML page)</t>
  </si>
  <si>
    <t xml:space="preserve">List of officers appointed under the RTI Act 2005, entries 1 to 4</t>
  </si>
  <si>
    <t xml:space="preserve">Entry 3 (PIO, Surat). Also entry 1 (Central First Appellate Authority) and entry 4 (PIO covering 'all Surat')</t>
  </si>
  <si>
    <t xml:space="preserve">AI (medium confidence), from Step 2 answer (Answered — Verified Source) and GMRC-14: Proposed score: 1 out of 1, made of two parts of 0.5 each. (a) RTI officer details are published and current: 0.5. (b) They are in an accessible, non-scanned format: 0.5. IMPORTANT: this task did not include the Detailed Methodology text for DPG5j. I took the rubric (two 0.5 parts, 'PIO/APIO' naming, details treated as current unless shown invalid) from the Step 2 notes. A reviewer should check this split against the question bank before accepting the score. Checked against the source: GMRC-14, GMRC's own RTI page (HTML), says the 'Competent Authority has appointed the following officers... under the Right to Information Act-2005'. It names a Central First Appellate Authority (Shri Dhaval R Jani, with email and phone extension) and four PIOs with designations and official emails. Shri Deepak Mahana is the 'Public Information Officer(Surat)'. Ms. Bhoomi Shah is a PIO for 'all Surat' and has a phone extension. GMRC-03 is the Section 4(1)(b) disclosure, also HTML. It sets out the procedure. Ch.15: write to the PIO; the application must carry the prescribed fee; registered office address given. Ch.16: links to the PIO page. Ch.17: fee table (Rs.20; NIL for people below the poverty line) and time limits. It also has expenditure figures 'till 31-03-2026', which shows the page is kept up to date. Both pages are searchable text, not scans, so part (b) is met. On currency: GMRC-14's footer says 'Last Updated on : 12-Oct-2026'. This is a site-wide footer, so it may not refer to this page. Nothing in the Citation Sheet shows the named officers or contacts are invalid. Caveats for the reviewer: (1) No Assistant PIO (APIO) is named, even though the Ch.16 link text says 'assistant-pio'. (2) Two PIOs seem to cover Surat (Mahana for 'Surat', Shah for 'all Surat'). (3) The name is spelt 'Mahana' but the email reads 'mahna'. The Surat PIO has no phone number. (4) GMRC-03 has outdated or wrong text ('per floppy'; 'Within 48 days' where the Act says 48 hours). VERIFICATION-LIMIT: the emails and phone extensions were not tested, and there is no dated screenshot in the Citation Sheet. If the field check finds the contacts invalid, the currency part falls to 0 and the score becomes 0.5.
Quote: "3.Shri Deepak Mahana, Senior Deputy General Manager (Sr. DGM) – Civil/SafetyPublic Information Officer(Surat)Email: deepak.mahna@gujaratmetrorail.com"</t>
  </si>
  <si>
    <t xml:space="preserve">BWSSB homepage, 'News and Events' / 'Latest News' list, item 9; Services menu heading 'Tender'</t>
  </si>
  <si>
    <t xml:space="preserve">BWSSB homepage, 'News and Events' / 'Latest News' list, item 9 (4 weeks ago); 'Tender' heading in the menu</t>
  </si>
  <si>
    <t xml:space="preserve">AI: left for a person. Step 2 found no evidence (Insufficient Evidence). Source needed: A dated, saved copy of BWSSB's own Tender/Tenders page and the 'RFP for bank selection' page, and/or a Karnataka e-Procurement (KPPP) portal search filtered to BWSSB showing tender notices and awarded contracts from FY 2025-26 or FY 2026-27, with the format recorded (searchable HTML table or e-procurement listing vs individual or scanned PDFs). Also any BWSSB contract register or award list published online.</t>
  </si>
  <si>
    <t xml:space="preserve">BMTC Tenders page (mybmtc.karnataka.gov.in, 'BMTC Tenders' section)</t>
  </si>
  <si>
    <t xml:space="preserve">Dated list of tender notices, latest entry 23/09/2026 (FY 2026-27)</t>
  </si>
  <si>
    <t xml:space="preserve">Chronological tender list, latest entry dated 23/09/2026</t>
  </si>
  <si>
    <t xml:space="preserve">AI (low confidence), from Step 2 answer (Partially Answered) and BMTC-10: I left the Score blank because only half of the rubric can be settled from the Citation Sheet.
(1) AVAILABILITY/CURRENCY HALF (0.5): this half looks met. BMTC-10, BMTC's official Tenders page on a karnataka.gov.in address, lists FY 2026-27 tender notices. The latest is 'TENDER NOTIFICATION NO: 24/2026-27 (e-Procurement Platform): 23/09/2026'. Notices run back through April 2026, e.g. 'Short Term TENDER NOTIFICATION NO: 02/2026-27 ... 17/04/2026'. The source supports the Step 2 finding here.
(2) FORMAT/ACCESSIBILITY HALF: not decided.
- What BMTC's own page shows: a dated HTML list grouped by month. Each entry gives the notice number, title and date, and links to a separate PDF (or .docx for EOI formats). The list has no table, filter or search of its own, and there is no award or contract register.
- Why this may score 0: that layout resembles the rubric's 0 example ('individual PDFs with no searchable/indexed tender/award register').
- Why I did not score it 0: the notice number, title and date for each entry could arguably be read as an index. Also, many notices say the tender runs 'through Kpp Portal' (the Karnataka state e-procurement portal). BMTC-01 only links to that portal ('e-Procurement'); BMTC's listings there are not in the Citation Sheet. A 0 for this half would need AFFIRMATIVE ABSENCE, and the KPP portal and the linked PDFs have not been read.
- BMTC-01's help text mentions a site-wide 'search here' box. That is a general website search, not a tender or award register, so I gave it no credit.
Because a 0.5 total would amount to scoring the format half 0 without affirmative absence, and 1.0 is not supported either, the Score stays blank.
OTHER CHECKS:
- I searched the whole Citation Sheet for KPP/e-procurement, award, contract register and work order. I found no BMTC award or contract details.
- BMTC-04 (GBA Act) ss.143-144 cover only City Corporations, not BMTC. Context only.
- Some links on BMTC-10 have a doubled path ('mybmtc.karnataka.gov.in/mybmtc.karnataka.gov.in/uploads/...'). They may be broken; this has not been checked (VERIFICATION-LIMIT).
- Whether the linked PDFs are text or scanned is unknown.
FOR THE REVIEWER:
(a) Decide whether BMTC's dated HTML list counts as an 'indexed register'.
(b) Decide whether BMTC's listings on the KPP portal count toward the format half. If they do, add them to the Citation Sheet.
(c) Capture a dated screenshot of the Tenders page, as the question bank requires.
If the reviewer decides the format half is 0 after checking the KPP portal, the Score would be 0.5. If the KPP portal provides a searchable register of BMTC tenders and awards, the Score would be 1.
Quote: "TENDER NOTIFICATION NO: 24/2026-27 (e-Procurement Platform): 23/09/2026"
"Score" left blank: the Citation Sheet doesn't decide it.</t>
  </si>
  <si>
    <t xml:space="preserve">AI: left for a person. Step 2 found no evidence (Insufficient Evidence). Source needed: Two things are needed. (1) A dated, saved copy of BDA's official website tender/notifications page, or of the Karnataka state public-procurement portal filtered to BDA as the procuring entity. It should show tender notices and awarded-contract (award/work-order) details with dates in FY 2026-27 or FY 2025-26. (2) Evidence of format: whether the information is a searchable structured table, HTML contract register, or CSV/XLS download, or only individual or scanned PDFs. Each needs a dated screenshot or archived URL.</t>
  </si>
  <si>
    <t xml:space="preserve">Government eProcurement System (etenders.gov.in) – Tender Details page</t>
  </si>
  <si>
    <t xml:space="preserve">Government eProcurement System (etenders.gov.in), Tender Details page, Tender ID 2025_BMRCL_222481_1</t>
  </si>
  <si>
    <t xml:space="preserve">Basic Details; Critical Dates (Published 04-Jan-2025; Bid Opening 28-May-2025); Latest Corrigendum List</t>
  </si>
  <si>
    <t xml:space="preserve">AI (low confidence), from Step 2 answer (Partially Answered) and BMRCL-33: No score given. The Citation Sheet has too little evidence to place BMRCL in any band. I checked the Step 2 answer against BMRCL-33 and it is correct. BMRCL-33 is one BMRCL tender-detail page on the Government of India eProcurement portal, accessed 13-Oct-2026. It covers Tender ID 2025_BMRCL_222481_1, an Automatic Fare Collection (AFC) tender for Phase-2A/2B. It was published 04-Jan-2025 (FY 2024-25), with bid submission 17-27 May 2025 and bid opening 28-May-2025 (FY 2025-26). Addendum 5 is dated 17-04-2025. 'Tender Value in ₹ NA'.
Why the score is blank:
(1) No details of awarded contracts. The question covers both tender notices and awarded contracts, but no BMRCL award information is in the sheet. The portal menu lists 'Results of Tenders' and 'Awards', but neither page for BMRCL was saved. A search of the sheet for 'tender award contract awarded' found only BMRCL-09 (Annual Report FY 2020-21). It has narrative mentions such as a tender 'awarded during April 2017', which is out of period and not an award register.
(2) Currency is unclear. The access date falls in FY 2026-27. The one tender was published in FY 2024-25 but was still live and opened in FY 2025-26. Team to confirm which FY it counts in.
(3) Source type. The page is on a third-party Government of India portal, not BMRCL's own website. The DPG 5 parent question says 'website', while DPG5k says 'online'. Team to decide whether this portal counts.
(4) Format. A searchable BMRCL tender or award table was not shown working; only one detail page was saved.
The score cannot be 0 either, because there is no affirmative absence. BMRCL's own tenders and awards pages and the portal's organisation and award listings are not in the sheet, so this is a VERIFICATION-LIMIT, not a negative finding.
Also checked: BMRCL-02 ss.143-144 (contract register) apply to the City Corporations, not BMRCL. BMRCL-04, BMRCL-06, BMRCL-07, BMRCL-08 and BMRCL-32 have nothing on BMRCL procurement disclosure. The full band wording of the detailed methodology was not given, so a person should score this using it.
To fill the gap: capture dated screenshots of BMRCL's tender and award pages and of the etenders.gov.in 'Tenders by Organisation' and 'Awards' listings for BMRCL in FY 2025-26 and FY 2026-27. BMRCL's eligibility as a parastatal also still needs team confirmation.
Quote: "Organisation Chain
 Bangalore Metro Rail Corporation Limited||Projects Division - AFC-BMRCL"
"Score" left blank: the Citation Sheet doesn't decide it.</t>
  </si>
  <si>
    <t xml:space="preserve">AI: left for a person. Step 2 found no evidence (Insufficient Evidence). Source needed: A capture of the Karnataka e-Procurement portal's tender search and awarded-contract (AOC) listing filtered to BMRDA, showing tenders or awards dated FY 2025-26 or FY 2026-27 and the format (searchable HTML table or downloadable CSV/XLS). Or a tenders/procurement page on BMRDA's own site, if one exists outside the captured menu. The 2023-24 Annual Report could also give dated procurement or work-order information.</t>
  </si>
  <si>
    <t xml:space="preserve">AI: left for a person. Step 2 found no evidence (Insufficient Evidence). Source needed: Two things are needed: (1) a saved, dated copy of SUDA's e-tender portal listing or of the tenders section of SUDA's own website, showing the latest tender notices and awarded contracts with their dates; (2) evidence of the format: whether it is a searchable e-procurement table, an HTML contract register or a CSV/XLS download, or only individual or scanned PDFs. An award or contract register, or award notices for FY 2025-26 or 2026-27, would also be needed for the awarded-contract part.</t>
  </si>
  <si>
    <t xml:space="preserve">GMRC website – Awarded Tenders page</t>
  </si>
  <si>
    <t xml:space="preserve">Awarded Tenders register (HTML table: Tender No. / Work Details / Metro Rail Project / Awarded To / Work Order Date)</t>
  </si>
  <si>
    <t xml:space="preserve">Row GMRC/ROAD RESURFACE/SURAT/PH-1/2026 (work order date 15/05/2026); latest row GEM/2026/B/7773143 (19/08/2026)</t>
  </si>
  <si>
    <t xml:space="preserve">AI (medium confidence), from Step 2 answer (Answered — Verified Source) and GMRC-13: Proposed score: 1 (0.5 for availability and currency, plus 0.5 for format), based on the band structure described in the Step 2 answer. The full Detailed Methodology text was not in this task's input, so a reviewer should check the band wording against the question bank.
(1) Availability and currency. I re-read GMRC-13, the Awarded Tenders page. It is an HTML register with columns Tender No. / Work Details / Metro Rail Project / Awarded To / Work Order Date. The latest award is dated 19/08/2026. It also has Surat-specific awards in FY 2026-27: road resurfacing in the Surat Metro Phase-1 corridors (15/05/2026) and horticulture maintenance at Dream City Depot, Surat (18/04/2026). This corrects Step 2's caveat (a), which said the latest Surat award it saw was older.
I also re-read GMRC-12, the Tenders page. It is an HTML register with columns Tender No. / Work Details &amp; Document / Metro Rail Project / Document Sale Date / Submission Date / Opening Date. Each row links to its NIT, bid or addendum PDF. The latest entry is GEM/2026/B/8141296 (sale from 12/10/2026). It includes Surat tenders: GMRC/CONS/VDCT+STNS/SURAT/PH-1 EXT./2026 (23/09/2026 to 07/11/2026) and GMRC/S&amp;T/IBS/SURAT/PH-1/2026 (11/02/2026 to 13/03/2026). Both registers are therefore current to FY 2026-27.
(2) Format. Both registers are indexed HTML tables with one row per tender or award, and the tender PDFs sit inside that register. This matches the 'HTML contract register' example. The 'individual PDFs with no indexed register' zero band does not apply.
Points for a person to check:
(a) The saved text does not show whether the page has a search or filter box. If the team requires one for format credit, re-check the live page (VERIFICATION-LIMIT for the interactive features).
(b) No dated screenshot or access date is recorded. The QB evidence requirement asks for one.
(c) GMRC's eligibility as a Surat parastatal (a state-wide body) and the PRE-OPERATIONAL flag for Surat Phase-1 are team scope decisions. They are not settled here.
Quote: "GMRC/ROAD RESURFACE/SURAT/PH-1/2026Resurfacing and Repair of Roads along with Ancillary Works in Corridor-I &amp; II alignment of Surat Metro Rail Project, Phase-1Surat Metro Rail Project Phase – 1M/s. Sunil A. Domadia15/05/2026"</t>
  </si>
  <si>
    <t xml:space="preserve">Miscellaneous (ss.118-122); Chapter IV Water Supply (s.59), applied to sewerage by s.82(2)</t>
  </si>
  <si>
    <t xml:space="preserve">Section 120 (Appeals); see also Section 121 (Revision)</t>
  </si>
  <si>
    <t xml:space="preserve">PRS copy pp.53-54 (printed), as amended up to Act 29 of 2021</t>
  </si>
  <si>
    <t xml:space="preserve">54</t>
  </si>
  <si>
    <t xml:space="preserve">AI (low confidence), from Step 2 answer (Partially Answered) and BWSSB-02: I left the score blank. The team needs to make one call, and that is the only thing stopping a score.
What Step 2 got right and what I can now add: Step 2 could only read a cut-off snippet of the appeal provision. I read it in full in BWSSB-02. It is Section 120, 'Appeals'. Any person aggrieved by a decision or order of the Water Supply Engineer, the Sanitary Engineer or another officer under the Act, Rules or Regulations 'may' appeal within sixty days. The appeal goes to the authority prescribed by regulations, the Board can revise the outcome, and the appellate order 'shall be final'. Section 121 lets the Board call for and revise any subordinate officer's proceedings. So the Act itself creates a channel for aggrieved persons to seek redress. The 'may' gives the aggrieved person a right to appeal; the channel itself is created by the Act, not left to the Board's choice.
Why I did not score it 5: my copy of the question details and rubric is incomplete. I only have Step 2's summary ('5 = Act/subordinate legislation/charter requires a grievance channel'; 'grievance-redressal mechanism (any channel)'). Whether an appeal against officers' decisions or orders counts as a 'grievance-redressal mechanism' under DPG6a, or whether the question means a general channel for service complaints, is a judgement on what the rubric means. I won't guess it.
- If the team says a statutory appeal counts, a 5 is supported by s.120. Confidence would be medium, because the only text is the PRS copy, which is secondary. An official gazette or Law Department copy would be better.
- If the team says it does not count, the score stays blank, not 0, because the evidence below is missing.
Why a 0 is not possible: there is no affirmative absence.
- VERIFICATION-LIMIT: the BWSSB 'Civil Charter / Citizen charter.pdf' is linked on BWSSB-12, but its text is not in the Citation Sheet.
- BWSSB-34, the Sakala 'About Act' page, has Appeal-I and Appeal-II links but no schedule of services, so it does not show that BWSSB services are notified.
- None of these are in the sheet: Rules under s.87, Regulations under s.88 (including the one naming the s.120 appellate authority), or any Sakala schedule or notification listing BWSSB services.
What else I checked:
- BWSSB-02: ss.14, 15, 87, 88, 111, 118-122.
- BWSSB-04: GBA Act s.96(c). This grievance function belongs to a city-government committee, not to BWSSB, so I did not credit it.
- BWSSB-29: Annual Report 2016-17. It shows complaint handling, Appeal Committee meetings and Water Adalaths, but that is old practice evidence, not a mandate.
- BWSSB-01, -12, -13, -16, -36: no other grievance mandate found.
The Act still names 'Bruhat Bangalore Mahanagara Palike'. The sheet has no official source showing a successor body was substituted.
Quote: "120. Appeals.—Any person aggrieved by any decision or order of the Water Supply Engineer or the Sanitary Engineer or other officer under this Act or any rule or regulation made thereunder may within a period of sixty days from the date of such decision or order appeal to the authority prescribed by the regulations and subject to revision by the Board, the orders of the appellate authority on such appeal shall be final."
"Score" left blank: the Citation Sheet doesn't decide it.</t>
  </si>
  <si>
    <t xml:space="preserve">AI: left for a person. Step 2 found no evidence (Insufficient Evidence). Source needed: BMTC's citizen or service charter (if any); the text of the rules and regulations that apply to BMTC (KSRTC Rules, 1961 as applied, and any BMTC regulations under s.45 of the RTC Act) checked for passenger complaint or grievance provisions; the Karnataka Sakala service-guarantee schedule entries, if any, naming BMTC services; any State Government order directing BMTC to keep a public grievance cell or complaint system.</t>
  </si>
  <si>
    <t xml:space="preserve">Miscellaneous (Chapter heading not shown in the excerpt)</t>
  </si>
  <si>
    <t xml:space="preserve">Section 62A (Appeal against assessment etc.), inserted by Act 6 of 1993 w.e.f. 10-2-1993</t>
  </si>
  <si>
    <t xml:space="preserve">s.62A(1); see also s.62A(3)</t>
  </si>
  <si>
    <t xml:space="preserve">50</t>
  </si>
  <si>
    <t xml:space="preserve">AI (low confidence), from Step 2 answer (Partially Answered) and BDA-02: I have left the score blank. The sources we have can't support either 5 or 0.
1) Checked against the source. I read BDA-02, the BDA Act as amended up to Act 42 of 2026 (PRS copy, so secondary). The Act's only redress channel is s.62A. A person aggrieved by tax under s.28B 'may' appeal to an Appellate Authority that the Government notifies. Under s.62A(3) that Authority 'shall' give both parties a hearing, and its decision is final. This is a quasi-judicial appeal limited to one tax. It is not a general complaint channel for BDA's citizen services such as site allotment, layouts or approvals.
2) Other sections that don't count. s.63 (Revision) is the Government's and the Authority's own power to call for records; the Act gives citizens no way to start it. s.64 only requires notice before a suit. s.21(2) is a hearing on betterment-tax assessment, followed by reference to the District Court.
3) City-government law. GBG Act s.96(c) (BDA-03) says the constituency committee 'shall' 'Receive any grievances from the general public relating to the functioning of any authority empowered under this Act'. This is the city government's law. Nothing shown makes BDA an 'authority empowered under this Act', so it is not BDA's own framework.
4) Why I can't score 0. Scoring 0 requires confirming every relevant source is silent. Several layers where a grievance duty usually sits are not in the Citation Sheet: the BDA Rules and Regulations (made under s.69 and s.70), any BDA citizen charter, and the schedule of the Karnataka Sakala Services Act. My searches for 'grievance redressal', 'Sakala citizen charter guarantee of services' and related terms found nothing beyond BDA-02 and BDA-03. Not found is not absent.
5) Why I can't score 5. Whether a tax-only statutory appeal (s.62A) counts as a 'grievance-redressal mechanism (any channel)' is a methodology question for the team. If they say yes, s.62A could support a 5. In my view it is too narrow to credit without confirmation.
For the team: (a) rule on whether s.62A qualifies; (b) add the BDA Rules and Regulations, the BDA citizen charter and the Sakala schedule entries for BDA; (c) the government notification naming the s.62A Appellate Authority is also missing; (d) RTI target: PIO, Bangalore Development Authority.
Sources checked: BDA-02, BDA-30 (older PRS copy, same sections), BDA-03, BDA-04, BDA-05, BDA-06, BDA-13, BDA-27.
Quote: "Any person aggrieved by the assessment, levy  or imposition of any tax  under section  28B may, within a period  of one month  next after service of notice of demand, appeal to such authority  as the Government may, by notification, specify (hereinafter referred to as the  Appellate Authority) ;"
"Score" left blank: the Citation Sheet doesn't decide it.</t>
  </si>
  <si>
    <t xml:space="preserve">Objective 5 (Parking charges and Enforcement/Monitoring)</t>
  </si>
  <si>
    <t xml:space="preserve">Objective 5, item 7</t>
  </si>
  <si>
    <t xml:space="preserve">page 17 of the PDF (printed pg. 15)</t>
  </si>
  <si>
    <t xml:space="preserve">AI: left for a person. Step 2 found no evidence (Insufficient Evidence). Source needed: Any of these would answer it: BMRCL's citizen, passenger or service charter; the Karnataka Sakala service-guarantee schedule, if it lists BMRCL services; rules made under s.100 or BMRCL regulations under s.101 of the Metro Railways (O&amp;M) Act that cover passenger complaints; BMRCL's Memorandum and Articles of Association; or a Government of Karnataka or MoHUA order requiring BMRCL to run a public grievance cell. The Central Government's notification extending the O&amp;M Act to Bengaluru is also needed.</t>
  </si>
  <si>
    <t xml:space="preserve">Chapter III (powers and functions of the Authority; s.10 is just before Chapter IV, Finance, Accounts and Audit)</t>
  </si>
  <si>
    <t xml:space="preserve">Section 10(5); see also Section 26(3)</t>
  </si>
  <si>
    <t xml:space="preserve">s.10(5): appeal to the State Government against BMRDA's decision on development permission under s.10(4)</t>
  </si>
  <si>
    <t xml:space="preserve">11</t>
  </si>
  <si>
    <t xml:space="preserve">AI: left for a person. Step 2 found no evidence (Insufficient Evidence). Source needed: Needed: (a) the full current text of the BMRDA Act, 1985 (Karnataka Act 39 of 1985) and any Rules or Regulations made under it, from the state legislation portal or eGazette; (b) the text of BMRDA's Citizen Charter (the website links a 2020-21 version), checked for a required complaint or grievance channel and timelines; (c) the Karnataka service-guarantee (Sakala) Act schedule, if it lists BMRDA services; (d) for completeness, the full KTCP Act text, checked for any grievance provision for planning authorities.</t>
  </si>
  <si>
    <t xml:space="preserve">Revised draft GDCR of SUDA (including SMC area)</t>
  </si>
  <si>
    <t xml:space="preserve">Regulation 28.3 APPEAL COMMITTEE</t>
  </si>
  <si>
    <t xml:space="preserve">Page 108 of the PDF. The committee hears only disputes over how the Development Control Regulations are interpreted. An appeal fee equal to the scrutiny fee is payable. The committee's decision is final.</t>
  </si>
  <si>
    <t xml:space="preserve">108</t>
  </si>
  <si>
    <t xml:space="preserve">AI (low confidence), from Step 2 answer (Partially Answered) and SUDA-05: I left the score blank. This needs a person to decide.
1. The parent Act cannot be read. In the PRS copy of the GTPUD Act, 1976 (SUDA-01), the principal Act has no extractable text. Only the amendment Acts can be read: 6 of 2017, 22 of 2017 and 14 of 2019. My re-read with a query on grievance, complaint and appeal (s.30) returned only amendment text. So I cannot tell whether the Act requires an appeal or complaint mechanism. That rules out affirmative absence, so a 0 cannot be given.
2. The 1979 Rules (SUDA-03) only point to other bodies. Forms I and K (rule 26(9)) mention an appeal under s.54 of the Act to the Board of Appeal (the Principal Judge or District Judge) against decisions by the Town Planning Officer on town planning schemes. That is a statutory appeal against a scheme officer's decisions. It is not a grievance-redressal channel that SUDA itself must run for citizens. I found no complaint or grievance provision in the parts of the Rules I could retrieve, but the tool showed only the most relevant passages, so I have not confirmed the Rules are free of one.
3. The only SUDA-specific candidate is in a draft. GDCR Reg. 28.3 (SUDA-05) says SUDA 'shall form an appeal committee'. But it is: (a) in a REVISED DRAFT GDCR, with no proof in the Citation Sheet that it was sanctioned or is in force; (b) limited to 'any dispute arising for interpretation of the Development Control Regulation'; and (c) a fee-based forum that decides appeals, not a general citizen grievance channel.
4. Other sources don't answer the question:
- SUDA-23 (ARHC tender, 2021-22): the grievance mechanism there is the concessionaire's duty, not SUDA's.
- SUDA-24 (Ease of Doing Business sheet): gives a timeline but no complaint channel.
- SUDA-04 (GPMC Act): its appeal and complaint sections (s.406 onwards, s.431) cover the municipal corporation and magistrates, not SUDA.
- The Citation Sheet has no citizen charter, no Gujarat service-guarantee law and no grievance law.
I do not have the question's full Detailed Methodology or rubric bands, so I cannot map Reg. 28.3 to a band on 0-5 without guessing (RUBRIC-GAP).
The team should:
(a) find a readable official copy of the principal GTPUD Act and check it for appeal or complaint provisions;
(b) confirm whether the GDCR containing Reg. 28.3 was sanctioned and is in force;
(c) decide whether a committee limited to interpreting the DCR counts as a grievance-redressal mechanism under this question's rubric;
(d) look for a SUDA citizen charter or a Gujarat service-guarantee or grievance instrument that covers SUDA's services.
Quote: "The authority shall form an appeal committee consisting of"
"Score" left blank: the Citation Sheet doesn't decide it.</t>
  </si>
  <si>
    <t xml:space="preserve">Stakeholder Engagement Plan for SURAT Metro Rail Project (Phase-I) [GMRC-09]</t>
  </si>
  <si>
    <t xml:space="preserve">Section 5 (Social Management Unit / ESMU roles) and Section 7 'Grievance Redressal Mechanism'</t>
  </si>
  <si>
    <t xml:space="preserve">Duties of the Sr. Social Development Officer (p. 31); GRM (pp. 27-30)</t>
  </si>
  <si>
    <t xml:space="preserve">https://www.gujaratmetrorail.com/wp-content/uploads/Reports/SEP-Surat-Metro-Final.pdf</t>
  </si>
  <si>
    <t xml:space="preserve">AI: left for a person. Step 2 found no evidence (Insufficient Evidence). Source needed: The full official text of the Metro Railways (Operation and Maintenance) Act, 2002 as amended, and of the Metro Railways General Rules, 2020 and the other Metro Railway Rules, to check for any provision on passenger complaints or grievances. Also GMRC's Memorandum and Articles of Association, and any citizen or passenger charter GMRC has published for its metro services (Surat or company-wide). Also any Gujarat GO or state service-guarantee schedule that lists GMRC services.</t>
  </si>
  <si>
    <t xml:space="preserve">BWSSB official website homepage (bwssb.karnataka.gov.in), saved 2026</t>
  </si>
  <si>
    <t xml:space="preserve">Homepage 'Helpline numbers' banner; Services menu 'Lodge Complaint' link; Staff login 'Complaint Management System (CMS)'; news item 'Revised Water Adalath Schedule'</t>
  </si>
  <si>
    <t xml:space="preserve">Helpline numbers block; services menu item 'Lodge Complaint'; news list item 'Revised Water Adalath Schedule'</t>
  </si>
  <si>
    <t xml:space="preserve">AI (low confidence), from Step 2 answer (Partially Answered) and BWSSB-01: I left the score blank. Two of the five components cannot be decided from the Citation Sheet, so I cannot add up the components. Absence has not been shown for them, so a 0 is not allowed for either.
What each component looks like:
(1) TELEPHONE: likely met. BWSSB-01 and BWSSB-36 (the current homepage, © 2026) list 'Helpline numbers: Call center-1916, Safa Mitra -14420'. The 2016-17 Annual Report (BWSSB-29, p.101) adds that a '24x7 Call Centre for receiving water supply and sanitary complaints from citizens of Bangalore has been established.' That report is old, so it only partly supports the current position, but it backs up Step 2's point that the call centre takes complaints.
(2) WEB: probably met. The current homepage Services menu links 'Lodge Complaint' to the Board's CMS new-complaint page, and the Staff login menu lists a 'Complaint Management System (CMS)'. The CMS form itself is not in the sheet, so we cannot show that it works. VERIFICATION-LIMIT.
(3) MOBILE APP, EMAIL OR WHATSAPP: not found. Searches of BWSSB-01, -16, -36, -41 and the whole sheet found no grievance app, email address or WhatsApp number. The only apps found are HRMS apps for staff. The Contact Us page and app-store pages are not in the sheet, so absence is not established. VERIFICATION-LIMIT.
(4) IN-PERSON: probably met, and this goes further than Step 2. BWSSB-29 (Annual Report 2016-17, p.101) says: 'To solve the water bill disputes and public grievances, Water Adalats under the Chairmanship of Executive Engineers are being held once in a month in each sub-[division]'. The current homepage (BWSSB-36) shows a 'Revised Water Adalath Schedule' posted '2 weeks ago', which suggests the Adalaths still run. The schedule's content was not saved, so a dated current record is missing.
(5) TRACKING: not found. No saved page shows acknowledgement or status tracking of a complaint. The CMS tracking page is not in the sheet. The 2016-17 report mentions that complainants are told the outcome (the text is partly garbled), but that is old and is not tracking. I agree with Step 2 that Sakala tracking (BWSSB-34) covers service applications, not grievances. VERIFICATION-LIMIT.
What I checked: BWSSB-01, BWSSB-36, BWSSB-16, BWSSB-13, BWSSB-41 and BWSSB-29, plus a search of the whole sheet for complaint, WhatsApp, app, email and grievance.
On the evidence so far the total looks like 3 out of 5 (telephone, web and in-person) if a reviewer confirms those three, with mobile and tracking still open. That is only an indication, not a score.
For a person to check:
- Open cms.bwssb.gov.in to test the complaint form and status tracking.
- Open the Water Adalath schedule and the 1916 helpline detail page.
- Look for a BWSSB complaint app, WhatsApp number or grievance email.
- Take dated screenshots.
- Confirm whether the 5th component is in-person or tracking. Step 2 found that its label and its Qualification don't match.
I did not see the question text or the Detailed Methodology in this task; the component list is taken from Step 2's reading of the rubric.
Quote: "Helpline numbers: Call center-1916, Safa Mitra -14420"
"Score" left blank: the Citation Sheet doesn't decide it.</t>
  </si>
  <si>
    <t xml:space="preserve">BMTC official website: Contact Us page</t>
  </si>
  <si>
    <t xml:space="preserve">Contact Us body (head office address and helpline)</t>
  </si>
  <si>
    <t xml:space="preserve">Page body: address block and helpline</t>
  </si>
  <si>
    <t xml:space="preserve">AI (low confidence), from Step 2 answer (Partially Answered) and BMTC-16: I left the score blank because of a VERIFICATION-LIMIT and missing evidence. I did not record a 0. The question text and Detailed Methodology for DPG6b were not in my task input. Step 2 treats it as five grievance components (web, mobile/electronic, telephone, in-person, acknowledgement/tracking), and I scored against that frame. A person should confirm the rubric.
Checking Step 2 against the sources: Step 2 said the Contact Us body was not visible. I read more of BMTC-16 and found the body. It gives the head office address ('K H Road, Shanthinagar, Bangalore - 560027') and 'Helpline Number: 080 22483777' (page last updated 30-09-2026). So a current helpline is published on the Contact Us page, not only in a 6-year-old 'What's New' item. Neither page calls it a complaints line. Whether it counts as a designated grievance channel is a reviewer decision.
Component by component:
(1) Web: the menu on BMTC-01, 09, 10, 16 and 18 links to 'Complaints', 'New Complaint' (http://crm.mybmtc.com) and the 'Public Grievance Dashboard'. No source is a saved copy of the portal, so I can't tell whether it works. VERIFICATION-LIMIT.
(2) Mobile/electronic: not found. A BMTC app appears only in tenders (BMTC-10) and a pass press release (BMTC-28). I found no complaint email or WhatsApp channel. BMTC-16 also has a 'Feedback' link, but it was not saved.
(3) Telephone: the helpline is published (BMTC-16, BMTC-01), but it is not stated to be for grievances.
(4) In-person: the head office address is published, and BMTC-18 says the Traffic department handles 'public complaints, suggestions and redressal'. Neither names a place to lodge grievances in person. The KarnatakaOne centres (BMTC-30) only issue monthly passes. The KIA Terminal 2 helpdesk (BMTC-01, about 3 years old) is not described as a grievance desk.
(5) Acknowledgement/tracking: the dashboard link exists, but whether it works is not shown. VERIFICATION-LIMIT.
I can't show affirmative absence for any component, because the CRM portal, dashboard, Complaints page and Feedback page are not in the Citation Sheet. So I can't give a partial number, which would amount to scoring the missing components 0.
A reviewer should:
- open and screenshot (dated) http://crm.mybmtc.com and /All_module
- open the Complaints and Feedback pages
- check for a BMTC app complaint feature
- confirm the DPG6b rubric and whether the Contact Us helpline counts.
Quote: "Helpline Number: 080 22483777"
"Score" left blank: the Citation Sheet doesn't decide it.</t>
  </si>
  <si>
    <t xml:space="preserve">AI: left for a person. Step 2 found no evidence (Insufficient Evidence). Source needed: BDA's official website pages, live and dated, showing: (a) an online grievance form or a redirect to a state grievance portal, with that portal's page; (b) a designated grievance email, app or WhatsApp channel; (c) a designated grievance helpline number; (d) an identified grievance counter, officer or office, e.g. in a BDA Citizen's Charter or office order; (e) a complaint or reference number or status-tracking feature, shown in a screenshot. An official state service-guarantee or grievance portal listing BDA would also help.</t>
  </si>
  <si>
    <t xml:space="preserve">AI: left for a person. Step 2 found no evidence (Insufficient Evidence). Source needed: Saved, dated copies of these BMRCL pages: (a) the grievance or complaint form on its website, or a link to a state/central grievance portal; (b) the designated grievance email, WhatsApp number, or the app listing showing a complaint feature; (c) the helpline number explicitly labelled for complaints; (d) a citizen charter, office order or station notice naming where to lodge a grievance in person (helpdesk, customer care centre or grievance officer); (e) a portal screenshot showing a complaint reference number or status tracking. A recent BMRCL annual report describing its commuter grievance system would also help.</t>
  </si>
  <si>
    <t xml:space="preserve">Annual Report 2022-23</t>
  </si>
  <si>
    <t xml:space="preserve">Section 10 'Website', p.15 (English); Kannada equivalent Section 11, pp.8-9</t>
  </si>
  <si>
    <t xml:space="preserve">AI: left for a person. Step 2 found no evidence (Human Verification Required). Source needed: Needed: (a) a capture of BMRDA's Feedback page showing whether it accepts grievances and gives a reference number; (b) BMRDA's current Citizen Charter, which may name a grievance officer, counter, helpline and timelines; (c) an IPGRS or e-Spandana page showing BMRDA (or the Urban Development Department for BMRDA) as a listed department, with acknowledgement and tracking; (d) any BMRDA office order or notice designating a public grievance officer or helpdesk; (e) dated screenshots of each channel.</t>
  </si>
  <si>
    <t xml:space="preserve">AI: left for a person. Step 2 found no evidence (Insufficient Evidence). Source needed: Dated captures of: (1) the SUDA official website's grievance, complaint, contact or 'Citizen Charter' pages, showing any online grievance form or a link to a Gujarat state or common grievance portal, with an acknowledgement or tracking feature; (2) any official grievance email, mobile app or WhatsApp channel listed by SUDA; (3) a helpline number that is explicitly for grievances; (4) a Citizen Charter or office order naming SUDA's grievance officer, helpdesk or counter; (5) the matching portal page showing complaint reference numbers or status tracking.</t>
  </si>
  <si>
    <t xml:space="preserve">GMRC official website: Help/Feedback menu</t>
  </si>
  <si>
    <t xml:space="preserve">Feedback / Grievance page (https://www.gujaratmetrorail.com/feedback/)</t>
  </si>
  <si>
    <t xml:space="preserve">Online form with First Name, Last Name, Email, Message / Feedback / Grievance Details and a Submit button; footer says 'Last Updated on : 12-Oct-2026'</t>
  </si>
  <si>
    <t xml:space="preserve">AI (low confidence), from Step 2 answer (Partially Answered) and GMRC-15: I left the score blank. One channel is confirmed, three more are mentioned but not shown on GMRC's website or not shown for Surat, and nothing shows absence. A number would mean marking unchecked channels as 0.
(1) Web: GMRC-15 shows an online form on GMRC's own website. It has a grievance field and a Submit button. The source checks out: the form exists, but there is no record that a submission went through or was acknowledged. VERIFICATION-LIMIT.
(2) Mobile/electronic: GMRC-15 and GMRC-02 link to Play Store and App Store apps. GMRC-05 (Annual Report 2024-25, p.12) describes the Ahmedabad Metro app only as a ticketing app. Nothing in the sheet shows either app taking grievances. GMRC-05 p.15 says complaints can be made by e-mail, but no grievance e-mail address appears in any citation. GMRC-05 p.18 says social media is used to 'gather passenger feedback'. That is feedback, not a grievance channel.
(3) Telephone and (4) in-person: GMRC-05 pp.13-15 says 'Passengers can lodge their grievance through multiple channels such as Telephone, E-Mail and Station Walk-in.' It also reports about 14,000 queries/complaints/suggestions in FY 2024-25. This describes the operating Ahmedabad Metro. It gives no number, address or helpdesk, and Surat Phase-1 is listed as 'Under Implementation'. For Surat, the only mechanism is in GMRC-09 (Stakeholder Engagement Plan, Dec 2020). It is a plan for project-affected persons only. It names an officer at SUDA Bhawan, Surat, but the phone number is blank, and it is written in 'would/will' terms. It is not evidence that the mechanism operates today. The registered-office phone number in GMRC-05/06 is a general switchboard, not a grievance line.
(5) Acknowledgement/tracking: none shown. The form's success message gives no reference number. GMRC-09's '24 hours acknowledgement' and 'centralised GRM system' are only proposals. A search of the sheet for tracking, acknowledgement and helpline terms found nothing more. The Contact Us and Help pages are not in the Citation Sheet, so the absence of channels 2-5 is not established. I could not see the question bank's full Detailed Methodology text, only the five components listed in the Step 2 answer.
For the reviewer: (i) Decide whether GMRC's company-wide passenger channels, which serve Ahmedabad, count for pre-operational Surat. (ii) Add the Contact Us and Help pages and an app screenshot to the sheet. (iii) Capture a dated screenshot of a form submission showing any acknowledgement or reference number. (iv) If only the confirmed web form is credited, the provisional value is at least 1/5, but that should not be entered until channels 2-5 have been checked.
Quote: "Message / Feedback / Grievance Details"
"Score" left blank: the Citation Sheet doesn't decide it.</t>
  </si>
  <si>
    <t xml:space="preserve">Chapter II (Constitution of the Board)</t>
  </si>
  <si>
    <t xml:space="preserve">Section 14 (Consultative Committee)</t>
  </si>
  <si>
    <t xml:space="preserve">s.14(1), s.14(4)(i)</t>
  </si>
  <si>
    <t xml:space="preserve">AI (low confidence), from Step 2 answer (Partially Answered) and BWSSB-02: Score left blank. I could not show that BWSSB must involve citizens before finalising its plans, and I also could not confirm that no such requirement exists. I checked the Step 2 answer against BWSSB-02 (the BWSSB Act 1964, PRS copy, amended up to Act 29 of 2021) and it holds up.
(1) Consultative Committee, s.14. The Act says the State Government 'shall constitute' this Committee. It is made up of Board members plus 3 to 9 people the State Government appoints 'after consultation with such representatives or bodies representative of... consumers of water' (and of BBMP and the City Improvement Trust Board) 'as the State Government thinks fit'. Under s.14(4)(i) it 'advises' the Board on major policy and major schemes. It is an advisory body of government nominees. It is not a public process with draft publication, objections or hearings, so it does not meet the 5 band (a mandatory, defined public process before finalisation). Whether a nominated advisory body like this counts as 'citizen participation' for the 2.5 band is a methodology call. A reviewer must CONFIRM this; I did not award 2.5.
(2) Schemes, s.15(2)(b)-(c). The Board has a duty to prepare and carry out water and sewerage schemes. Any scheme costing more than Rs 1 crore needs State Government approval. I found no requirement to publish a draft scheme or invite objections. A search of BWSSB-02 for scheme publication, notice, objections or public inspection found only notice provisions aimed at owners and occupiers (e.g. ss.39, 66, 67). These are not plan consultation.
(3) GBA Act, BWSSB-04. Public objections are required only for: area notifications (pp.8-9), the heritage list (s.297(2)), and Ward Sabha inputs into the city government's own Annual Ward Development Plan (s.103(1)(c)). None of these is a BWSSB plan.
Why I could not score 0: that needs proof of absence across every relevant law, and several are missing or unread. The BWSSB Rules and Regulations are not in the Citation Sheet. Neither is the Karnataka Town and Country Planning Act 1961, which may govern master-plan objections that cover water and sewerage. The GBA Act's Metropolitan Planning Committee (BMPC) and master-plan procedure was only partly read.
Also flagged: the full question text and rubric bands were not given to me beyond the Step 2 band notes (5 / 2.5 / 0). A reviewer should check them against the question bank.
Quote: "(4) The functions of the Consultative Committee shall be as follows:— (i) to advise the Board on major questions of policy and major schemes;"
"Score" left blank: the Citation Sheet doesn't decide it.</t>
  </si>
  <si>
    <t xml:space="preserve">Chapter VI (Comprehensive Mobility Plan / City Mobility Investment Program)</t>
  </si>
  <si>
    <t xml:space="preserve">Section 21(3), read with s.21(2)(l), s.23, s.24, s.25</t>
  </si>
  <si>
    <t xml:space="preserve">s.21(3) draft plan published and objections and suggestions invited (maximum two months); s.23 applies s.21 to the five-yearly revision</t>
  </si>
  <si>
    <t xml:space="preserve">AI (low confidence), from Step 2 answer (Partially Answered) and BMTC-06: SCORE LEFT BLANK. The most likely score is 2.5, but a person must confirm it.
(1) What the source supports. In the BMLTA Act 2022 (BMTC-06), s.21(3) says the Authority 'shall' publish a draft plan and invite objections and suggestions from any person before finalising 'any plan as under this Act'. Under s.21(2)(l), the Comprehensive Mobility Plan includes the City Mobility Investment Program, and that program is made up of the Sectoral Mobility Investment Programs submitted by the Urban Transport Agencies. BMTC is one of those agencies. s.23 applies the same process to the five-yearly revision of the Comprehensive Mobility Plan. So the law does require citizen participation at one stage: the Comprehensive Mobility Plan stage, which contains BMTC's investment program. Nothing in the parts read requires public participation when BMTC prepares its own plans. That covers the Sectoral Mobility Investment Program (s.24, where consultation is with the Authority only), the Annual Implementation Plan (s.25, reviewed and approved by the Authority), the budget (RTC Act s.32) and the annual report (s.35). The Step 2 reading checks out against the source.
(2) Why I have not entered 2.5.
(a) Relationship judgement: the duty in s.21(3) binds the BMLTA, not BMTC. The team must decide whether participation in a BMLTA plan that contains BMTC's investment program counts as participation in 'the parastatal's plans' (2.5 band, 'specified plan types/stages').
(b) The Sheet does not show that the BMLTA Act has been brought into force (s.1(3)) or that the Authority has been set up (s.4).
(c) Not every layer has been read. BMTC-20 (BMTC's Rules and Regulations page) links to 'KSRTC Rules, 1961' and several KSRTC staff regulations. Their text is not in the Sheet, so I cannot tell whether they apply to BMTC or contain any planning-participation provision. BMLTA regulations under s.54(1)(viii) are also not in the Sheet.
(3) Why 0 is not supportable: there is no affirmative absence, because the Rules and Regulations layers are missing and s.21(3) is a positive provision. Why 5 is not supported: nothing shows a participation requirement covering BMTC's own plans generally.
(4) Other layers checked:
- RTC Act 1950 (BMTC-02): s.17 Advisory Council is discretionary ('may') and advises the Corporation; it is not a citizen-participation process for plans. s.44(2) rule-making matters and s.45 contain no public-consultation item.
- GBA Act 2024 (BMTC-04): s.15(1) 'mobility plans', with no participation requirement in the excerpts read.
- KTCP Act (BMTC-07): s.10 public suggestions apply to master plans by the Planning Authority, not to BMTC.
(5) Period: BMLTA Act 2022 (Act 6 of 2023, with the amendment Act 10 of 2026 appended; PRS text, a secondary source); RTC Act as amended up to 1982. Era: GBA era.
The question's Detailed Methodology text was not supplied with this task. The band wording used here comes from the Step 2 notes; please confirm it against the question bank.
Quote: "(3) Before finalizing any plan as under this Act, the Authority shall cause to pu blish a draft plan by making a copy thereof available for inspection and publis"
"Score" left blank: the Citation Sheet doesn't decide it.</t>
  </si>
  <si>
    <t xml:space="preserve">Chapter V (Comprehensive Mobility Plan) and Chapter VI (Sectoral and City Mobility Investment Program)</t>
  </si>
  <si>
    <t xml:space="preserve">Section 21(3); also s.2(ff), s.2(v), s.21(2)(l), s.23, s.24(a)-(e), s.54(1)(viii), Schedule item (1)(iv)</t>
  </si>
  <si>
    <t xml:space="preserve">s.21(3) draft plan published for objections and suggestions from any person (maximum two months); s.24(e) the City Mobility Investment Program 'shall be part of the Comprehensive Mobility Plan'</t>
  </si>
  <si>
    <t xml:space="preserve">AI (low confidence), from Step 2 answer (Partially Answered) and BMRCL-08: Score left blank. The task input did not include the rubric bands for DPG7a, so I am working from the Step 2 summary of them ('specified plan types/stages only' = 2.5). A person should confirm the bands against the question bank.
What the sheet shows (BMLTA Act 2022, PRS text, BMRCL-08):
(1) One gap in Step 2 is now closed. Section 2(ff) defines 'Urban Transport Agency' as 'both the private and public agencies engaged in providing of Urban Mobility in Urban Mobility Region'. The Schedule lists 'Metro Railway' under Public Transportation, item (1)(iv). Read together, these bring BMRCL within the definition.
(2) Under s.2(v) and s.24(a)-(c), BMRCL as an Urban Transport Agency prepares a Sectoral Mobility Investment Program (SMIP). It must be prepared 'in consultation with the Authority' and is incorporated 'with or without modification' into the City Mobility Investment Program (CMIP). Under s.24(e) and s.21(2)(l), the CMIP 'shall be part of the Comprehensive Mobility Plan'.
(3) Under s.21(3), before finalising 'any plan as under this Act', the Authority (BMLTA) 'shall' publish a draft plan and invite objections and suggestions from any person. Under s.23 this applies again at each five-yearly revision of the CMP.
(4) Under s.25, BMRCL's Annual Implementation Plan needs only BMLTA review and approval; no public step is stated.
Why no score:
(a) The mandatory 'shall' duty sits with BMLTA, not BMRCL. Public input reaches BMRCL's SMIP only indirectly, at the CMP draft stage after BMLTA has folded it in. Whether that earns the 2.5 band ('specified plan types/stages only') or counts only for BMLTA's plans is a methodology call. It has to be confirmed, not guessed.
(b) It is also unclear whether s.21(3) covers the yearly CMIP revisions under s.26. Section 26 states no public step.
(c) A score of 0 is not available because affirmative absence is not met. These layers are not in the Citation Sheet: the Metro Railways (Construction of Works) Act 1978; Rules under the metro Acts; BMLTA Regulations (s.54(1)(viii) sets the form of draft-plan publication); BMRCL's Memorandum and Articles of Association; and the GBA Act Master Plan and Bengaluru Metropolitan Planning Committee procedure in full.
Also checked, with no participation duty found on BMRCL: BMRCL-04 (Metro O&amp;M Act 2002, sections read only), BMRCL-06 (Companies Act 2013), BMRCL-09 (Annual Report FY2020-21: BMRCL is a government company), BMRCL-07 (KTCP Act ss.10 and 13: the duty is on the Planning Authority), BMRCL-02 (GBA Act: participation provisions are for the City Corporation and heritage lists), BMRCL-32 (Metro Parking Policy 2025), BMRCL-38 (BMLTA Amendment Bill 2025).
Period: BMLTA Act as enacted (Act 6 of 2023), PRS republished text. PRS notes Amendment Act 10 of 2026 is appended, but its text was not seen. No gazette copy was verified.
For the team to confirm: whether participation in BMLTA's CMP draft, which contains BMRCL's SMIP through the CMIP, counts toward BMRCL for DPG7a. If it does, 2.5 looks supportable on this evidence; if not, the missing layers above must be read before any 0.
Quote: "Before finalizing any plan as under this Act, the Authority shall cause to pu blish a draft plan by making a copy thereof available for inspection and publis"
"Score" left blank: the Citation Sheet doesn't decide it.</t>
  </si>
  <si>
    <t xml:space="preserve">AI: left for a person. Step 2 found no evidence (Insufficient Evidence). Source needed: The official full text of: (a) the Metro Railways (Construction of Works) Act 1978 as amended by the Metro Railways (Amendment) Act 2009, and the notification applying it to Surat; (b) the Metro Railways (Operation and Maintenance) Act 2002 and the Metro Railways General Rules 2020; (c) the consolidated Gujarat Town Planning and Urban Development Act 1976, especially the sections on publishing draft development plans and inviting objections and whether they cover transport infrastructure plans; (d) GMRC's Memorandum and Articles of Association; (e) any Gujarat government order requiring public consultation on metro alignment or DPR plans.</t>
  </si>
  <si>
    <t xml:space="preserve">JICA – Bengaluru Water Supply and Sewerage Project (Phase 3) Final Report (sewerage / O&amp;M volume) [BWSSB-23]</t>
  </si>
  <si>
    <t xml:space="preserve">Chapter 14 Environmental and Social Considerations</t>
  </si>
  <si>
    <t xml:space="preserve">Section 14.12 Stakeholders' Meeting</t>
  </si>
  <si>
    <t xml:space="preserve">p. 14-100 / PDF page ~135 of the JICA Phase 3 Final Report (NJS Consultants, November 2017)</t>
  </si>
  <si>
    <t xml:space="preserve">135</t>
  </si>
  <si>
    <t xml:space="preserve">https://openjicareport.jica.go.jp/pdf/12300364_04.pdf</t>
  </si>
  <si>
    <t xml:space="preserve">AI: left for a person. Step 2 found no evidence (Insufficient Evidence). Source needed: Sources that would answer this: (1) the BWSSB Vision Document 2050 / Master Plan itself, or the latest capital plan or DPR (e.g. CWSS Stage V), especially any chapter on stakeholder or public consultation; (2) public notices inviting objections or suggestions on a draft plan; (3) minutes or proceedings of public hearings or consultations, e.g. those held for an externally funded project's environmental and social assessment; (4) recent minutes of the s.14 Consultative Committee showing consumer representatives reviewing major schemes; (5) annual reports for recent years (after 2016-17) describing consultation on plans.</t>
  </si>
  <si>
    <t xml:space="preserve">AI: left for a person. Step 2 found no evidence (Insufficient Evidence). Source needed: BMTC's latest plan or planning exercise (e.g. route rationalisation or network plan, fleet or depot plan, Annual Implementation Plan or Sectoral Mobility Investment Program under BMLTA Act ss.24-25), plus any official BMTC record of citizen participation before it was finalised: a public notice inviting objections or suggestions, a consultation or hearing report, minutes, or a section of the final plan describing consultation. Also needed: the text of the 11 July 2024 press release, to check whether it involved citizens and was tied to a plan.</t>
  </si>
  <si>
    <t xml:space="preserve">Environmental Impact Assessment – Gottigere–Nagavara Corridor (Line 6), Bangalore Metro Rail Project Phase II (EIB register) [BMRCL-21]</t>
  </si>
  <si>
    <t xml:space="preserve">G. Consultations, Participation and Information Disclosure</t>
  </si>
  <si>
    <t xml:space="preserve">1.2 Public Consultation, para 223 (with Table 28, paras 224-225 and Appendix 4)</t>
  </si>
  <si>
    <t xml:space="preserve">para 223</t>
  </si>
  <si>
    <t xml:space="preserve">66</t>
  </si>
  <si>
    <t xml:space="preserve">https://www.eib.org/attachments/registers/143756287.pdf</t>
  </si>
  <si>
    <t xml:space="preserve">AI: left for a person. Step 2 found no evidence (Insufficient Evidence). Source needed: Any of these would answer the question: BMRCL's own public notices inviting objections or suggestions on a draft plan or policy (e.g. the draft Metro Parking Policy, or the DPR or alignment for a metro phase); consultation reports or minutes of public hearings or stakeholder meetings on BMRCL's website; a passage in a final BMRCL plan or DPR describing the public consultation held; or a BMLTA record showing that the BMRCL parking policy was placed in the public domain for feedback under BMLTA Act s.20.</t>
  </si>
  <si>
    <t xml:space="preserve">Chapter 8: Public Consultations (EIA and SIA Study for Surat Metro Rail Project Phase-I, Final Report December 2020)</t>
  </si>
  <si>
    <t xml:space="preserve">s.8.3 Public Consultation at Project Level; Table 8.1 Minutes of Public Consultations (pp. 229-231)</t>
  </si>
  <si>
    <t xml:space="preserve">s.8.2 Methods &amp; Approach; s.8.3; Table 8.1; also Executive Summary s.0.8 (p. 11)</t>
  </si>
  <si>
    <t xml:space="preserve">242</t>
  </si>
  <si>
    <t xml:space="preserve">AI (low confidence), from Step 2 answer (Partially Answered) and GMRC-11: Proposed score: 2.5 (partial band). I checked the Step 2 answer against the sources and they support it. (1) GMRC-11, the EIA final report of Dec 2020, s.8.3: consultations were held on 8-9 Nov 2019 at 10 places on both corridors. They were 'informal unstructured interviews' run by the EIA consultant (RITES), not GMRC. Table 8.1 gives dated minutes for each venue, with the number of participants, issues raised and suggestions made. (2) GMRC-09, the Stakeholder Engagement Plan (SEP) of Dec 2020, s.2.3.3 (pp. 7-8): consultations were held in 'August and November 2019', and 'These stakeholder consultations and inputs have been incorporated in the project identification and design'. Appendix-1, Table 8 (p. 33 onward) holds the minutes with a 'GMRC Reply' column, for example on afforestation, protecting the Baobab trees and parking. (3) GMRC-08, the DPR of Dec 2018, Ch. 14 pp. 45-46: only 'preliminary consultations were conducted at the early stage of EIA preparation'. It says further consultations 'will be made' and 'shall be conducted by the SMC after the finalization of this report'. It also says 'public hearing is not required, as railway projects do not attract EIA Notification 2006'. So this is credible evidence of consultation: minutes, documented replies, and a reference in the final safeguard plans. But the Citation Sheet has no public notice, no invitation of objections or suggestions on a draft plan, and no public hearing. The DPR, the core plan, predates the documented sessions. That fits the partial band, not the full band. CHECK FOR REVIEWER: (a) The full Detailed Methodology text for DPG7b was not in my prompt. I took the band wording ('minutes/proceedings, a reference in the final plan' = 2.5; a fully verifiable process = 5) from the Step 2 answer. Please confirm this against the question bank, and confirm 2.5 is a valid band for a Max Score of 5. (b) Decide whether the dated, venue-level minutes with GMRC replies, published in the final SEP/EIA, are enough for the top band. They were not credited here because the sessions were informal, run by a consultant and had no prior notice. (c) Confirm the 'latest applicable plan': the Phase-I DPR, or the EIA/SEP/ESMP. The Citation Sheet has nothing on any later phase. (d) DPG7b is labelled Law/Policy but asks about practice; it was assessed as practice. The evidence covers Phase-I only (DPR Dec 2018; consultations Aug and Nov 2019; EIA and SEP Dec 2020).
Quote: "The consultations were conducted from November 8 to November 9, 2019 during the field visit and based on informal unstructured interviews and  stakeholder consultation."</t>
  </si>
  <si>
    <t xml:space="preserve">Annual Report 2016-17, FA-CAO section</t>
  </si>
  <si>
    <t xml:space="preserve">Revenue Accounts for 2016-17 (p.110, repeated p.54); Capital Accounts for 2016-17 (pp.111-112)</t>
  </si>
  <si>
    <t xml:space="preserve">Income a-b; Expenditure a-h; Application of Funds a-j</t>
  </si>
  <si>
    <t xml:space="preserve">AI (low confidence), from Step 2 answer (Partially Answered) and BWSSB-29: I left the score blank. Under the rules this is 'not found', not a 0. The only financial data in the Citation Sheet is the BWSSB Annual Report 2016-17 (BWSSB-29). It covers only FY2015-16 and FY2016-17. I searched the Citation Sheet for recent budgets or actuals and found none for BWSSB after FY2016-17. The full Detailed Methodology for SC1 was not given to me, so I could not check the exact ratio or band rule. Step 2's reading of the source is correct. Revenue Accounts income totals (Rs lakh): 128,089.61 for 2015-16 and 142,618.71 for 2016-17. Revenue expenditure totals: 132,746.25 and 146,365.27. These include depreciation of 19,123.94 / 21,222.04 and provisions of 118.32 / 7,398.60. Capital Application of Funds totals: 79,615.98 and 84,263.00. Reasons I did not score: (1) The data is about 9 years old. This is an Implementation-type financial ratio, so it is not evidence of the current period (roughly FY2022-23 to FY2024-25). (2) The ratio depends on which denominator is used. Revenue plus capital spending gives an average of about 61.1% (a score of about 6.1). Revenue spending only gives about 97.0% (about 9.7). There are also open questions about whether non-cash depreciation and provisions count as expenditure. (3) It is unclear whether 'Prorata Capitalised' counts as own revenue: 73,521.68 / 29,631.76, booked in the capital account. (4) 'Other Income' (19,421.01 / 23,059.09) is not broken down, so I cannot confirm it contains no grants. (5) The budget table on p.89 shows 2015-16 revenue receipts of 112,476.34, which does not match the 128,089.61 in the accounts. For a person to score this, they need BWSSB's audited accounts or its Annual Financial Statement (s.17, BWSS Act 1964) for the latest completed financial years, plus the SC1 methodology's definitions of own revenue and total expenditure.
Quote: "a Water Revenue including Meter Hire 108668.60 119559.61 b Other Income 19421.01 23059.09 TOTAL 128089.61 142618.71"
"Score" left blank: the Citation Sheet doesn't decide it.</t>
  </si>
  <si>
    <t xml:space="preserve">AI: left for a person. Step 2 found no evidence (Insufficient Evidence). Source needed: Any one of these, for at least 2 and ideally the latest 3 completed financial years: BMTC's audited annual accounts or annual reports (as tabled in the Karnataka Legislature under RTC Act s.33(4)), or BMTC's annual budget documents. Each needs (a) traffic revenue, (b) non-traffic or commercial revenue, (c) government grants, subsidies and reimbursements shown separately so they can be left out, and (d) total revenue and capital expenditure. A CAG audit report on Karnataka state PSUs or corporations that covers BMTC would also work.</t>
  </si>
  <si>
    <t xml:space="preserve">AI: left for a person. Step 2 found no evidence (Insufficient Evidence). Source needed: BDA's audited annual statements of accounts, or its approved budgets showing actual figures (income and expenditure statements), for at least 2 and ideally the latest 3 completed financial years. These need to show receipts by source (site sales, rents, property tax under s.28B, betterment tax, fees, interest) separately from Government grants (s.40(2)(b)), contributions from the Corporation or local authorities (s.40(2)(c)) and borrowings (s.39), plus total expenditure. Possible sources: the audited accounts laid before the Karnataka Legislature under s.47(5) (legislature papers-laid pages), BDA's own published accounts, or the BDA reports to Government under s.47A.</t>
  </si>
  <si>
    <t xml:space="preserve">Capital Accounts for 2016-17 (FA &amp; CAO section)</t>
  </si>
  <si>
    <t xml:space="preserve">Capital Accounts for 2016-17 – Application of Funds</t>
  </si>
  <si>
    <t xml:space="preserve">Total, application of funds (lines a-j), 2015-16 and 2016-17 columns; pp. 111-112 English part (pp. 55-56 Kannada part)</t>
  </si>
  <si>
    <t xml:space="preserve">AI (low confidence), from Step 2 answer (Partially Answered) and BWSSB-29: Score left blank. Five reasons follow. (1) Wrong period. SC2 asks for per-capita capital expenditure in the latest completed financial year (FY 2025-26, or at least FY 2024-25, as of September 2026). The only BWSSB capital-expenditure figures in the Citation Sheet are from the Annual Report 2016-17 (BWSSB-29). That report shows total Application of Funds of 84,263.00 for 2016-17, from the BBMP era. A search of the whole Citation Sheet for capex or budget figures from 2024-25 or 2025-26 found nothing. The two GBA amendment bills (BWSSB-23, BWSSB-28) contain only 'no extra expenditure' financial memoranda. The website pages (BWSSB-01 and others) link to Schedule of Rates (SR) documents, not accounts. A figure nearly ten years old cannot stand in for current capital expenditure. (2) Units. The Capital Account page does not print its units. Step 2 reads them as Rs lakh from the budget table in the same report, which is plausible, but a person should confirm. (3) Definition. The 84,263.00 total includes deposit works paid for by grants from BBMP, BDA and other bodies (lines f, g, h, totalling 6,096.55). A person needs to decide whether these count as BWSSB's own capital expenditure. (4) Population. The sources give three different population figures: 96 lakh (2011 Census, as quoted in BWSSB-29), 8.499 million (the BWSSB-07 projection table) and 12.9 million 'served' (undated). None is a dated official figure for the current service area after the restructuring under the Greater Bengaluru Governance (GBA) Act (BWSSB-04). (5) Peer rank. Step 2 says SC2 is scored by percentile rank against other assessed water-supply boards, and no peer data is in the Citation Sheet. This is a RUBRIC-GAP and needs confirmation. I checked Step 2's arithmetic against the source: the line items and total 84,263.00 match pp. 111-112, and Rs 842.63 crore over 96 lakh people gives about Rs 877.74 per person for FY 2016-17 only. That figure is for information and is not scored. Missing evidence: audited accounts or budget of BWSSB for FY 2024-25 or 2025-26, a dated population for the service area, and peer per-capita figures. Since the evidence is missing rather than shown to be absent, no 0 is given.
Quote: "TOTAL 79615.98 84263.00"
"Score" left blank: the Citation Sheet doesn't decide it.</t>
  </si>
  <si>
    <t xml:space="preserve">AI: left for a person. Step 2 found no evidence (Insufficient Evidence). Source needed: Needed: (a) BMTC's audited annual accounts, annual administrative report or capital budget for the latest completed FY, showing capital expenditure (capex or additions to fixed assets) in rupees; (b) the latest Census figure, or an official population projection, for the area BMTC serves, plus the notification that defines that area (for example, the one establishing BMTC under s.3 of the Road Transport Corporations Act, 1950).</t>
  </si>
  <si>
    <t xml:space="preserve">AI: left for a person. Step 2 found no evidence (Insufficient Evidence). Source needed: Three things are needed: (1) BDA's audited annual accounts or annual report for the latest completed FY (published under s.47(5) or laid under s.47A), showing capital expenditure separately from revenue expenditure, or BDA's budget showing actual capital expenditure for that FY; (2) a Census 2011 population figure, or a recent official projection, for the area BDA serves (the Bangalore Metropolitan Area as defined under the BDA Act, or the area left after the Greater Bengaluru Area is carved out), with its source named; (3) an official notification confirming BDA's current jurisdiction, i.e. whether the 2025 amendment to the Town and Country Planning Act has been enacted and brought into force.</t>
  </si>
  <si>
    <t xml:space="preserve">Financial Statements for the year ended 31st March 2021: Statement of Cash Flows</t>
  </si>
  <si>
    <t xml:space="preserve">Cash flows from Investing Activities: Purchase of fixed assets, including CWIP and capital advances (Net)</t>
  </si>
  <si>
    <t xml:space="preserve">Printed page 87 (PDF page 89); amounts in Rs lakh; FY 2020-21 and FY 2019-20</t>
  </si>
  <si>
    <t xml:space="preserve">89</t>
  </si>
  <si>
    <t xml:space="preserve">AI: left for a person. Step 2 found no evidence (Insufficient Evidence). Source needed: Three things are needed. (1) BMRCL's audited annual report or financial statements for the latest completed FY (FY 2025-26, or FY 2024-25 if FY 2025-26 accounts are not yet adopted), giving capital expenditure (cash-flow purchase of PPE/CWIP, or additions to PPE plus the change in CWIP), ideally with the capital budget. (2) An official population figure for BMRCL's service area: Census 2011 for the relevant area, or a state or Government of India official projection, with the source named. (3) A team decision on which jurisdiction counts as 'served' by the metro, plus SC-2 figures for other assessed metro or transport-corporation parastatals so a peer rank can be worked out.</t>
  </si>
  <si>
    <t xml:space="preserve">Board's Report - Additional Financial Information (Rs in Lakhs)</t>
  </si>
  <si>
    <t xml:space="preserve">Page 8 of 152, 15th Annual Report 2024-25</t>
  </si>
  <si>
    <t xml:space="preserve">Capital Work in Progress / Fixed Asset (Net Block) / Intangible Assets (Net Block), as per Ind AS</t>
  </si>
  <si>
    <t xml:space="preserve">AI (low confidence), from Step 2 answer (Partially Answered) and GMRC-05: I left the score blank. The Citation Sheet does not give a capital spending figure for GMRC for FY 2024-25, so per-capita capital expenditure cannot be worked out. A score also needs a rank against peer agencies, which is not in the sheet.
What I checked:
(1) GMRC-05 (15th Annual Report, FY 2024-25, audited, era n/a). The only financial figures are year-end balances for the whole company, in Rs lakh: capital work in progress 7,93,092.02 (FY 2024-25) against 6,67,043.72 (FY 2023-24); net block 13,53,861.95 against 11,10,236.44. These are balances, not spending in the year. The change in them cannot be read as spending without the PPE/CWIP additions, the transfers out of CWIP and depreciation. My own searches for the Cash Flow Statement (pages 95-96) returned no readable investing-activity lines. Those pages look like scanned images: VERIFICATION-LIMIT, not a negative finding.
(2) GMRC-06 (FY 2023-24) does have a readable cash-flow statement around page 96. But it covers FY 2023-24 and FY 2022-23, not the latest completed year.
(3) GMRC-03 (RTI s.4(1)(b) disclosure) gives Rs 8,751.76 crore spent on Surat Phase-I up to 31.03.2026, marked provisional and unaudited. That is a running total since the project began, not one year's spending.
(4) GMRC-08 (DPR, Dec 2018) gives Surat's Census 2011 population as 45,91,246. That is enough for the population side, but there is no spending figure to divide by it.
The Step 2 answer is consistent with these sources.
The team needs to decide:
(a) the jurisdiction. GMRC's accounts cover the whole company (Ahmedabad Phase-I and II, Gandhinagar and Surat). The Surat Phase-I share would have to be separated out, or the team must confirm using company-wide spending over the population of all cities served.
(b) whether a metro that is still being built (Surat Phase-I is under implementation) should be ranked against operating transport corporations.
(c) the peer ranking itself.
For the reviewer: read pages 95-96 of the GMRC-05 PDF by hand to get the FY 2024-25 investing cash outflow (purchase of PPE/CWIP), or file an RTI asking for Surat Phase-I capital spending in FY 2024-25.
Quote: "Capital Work in Progress 7,93,092.02 6,67,043.72 3,28,119.57"
"Score" left blank: the Citation Sheet doesn't decide it.</t>
  </si>
  <si>
    <t xml:space="preserve">Board meeting proceedings, meeting of 10-03-2017, Subject No. 12 (Annual Financial Statement (Budget) 2017-18 and Revised Estimates 2016-17); FA-CAO Revenue and Capital Accounts for 2016-17</t>
  </si>
  <si>
    <t xml:space="preserve">Budget table, pp. 32-33 and 89; Revenue Accounts 2016-17, p. 110; Capital Accounts 2016-17, p. 111</t>
  </si>
  <si>
    <t xml:space="preserve">II Revenue Account B Expenditure; I Capital Account B Payments</t>
  </si>
  <si>
    <t xml:space="preserve">32</t>
  </si>
  <si>
    <t xml:space="preserve">AI (low confidence), from Step 2 answer (Partially Answered) and BWSSB-29: The score is left blank because there is not enough evidence. This is a 'not found' result, not a 0.
I checked the Step 2 answer against the source and it holds. BWSSB-29 is the BWSSB Annual Report for 2016-17, laid in the Karnataka Legislative Council. It is the only source in the Citation Sheet that has both a BWSSB budget estimate and account figures for the same year, and it covers only FY 2016-17. I searched the whole sheet again ('budget estimates actuals annual financial statement') and found no other budget or actuals data for BWSSB. BWSSB-02 (BWSSB Act 1964) only sets the duty to prepare the annual financial statement. BWSSB-33 is about the Ground Water Authority, a different body.
FY 2016-17 Budget Estimate, Rs lakh: revenue expenditure 182,839.67; capital payments 169,581.10.
FY 2016-17 accounts, Rs lakh: revenue expenditure 146,365.27 (this includes depreciation of 21,222.04 and provisions of 7,398.60). Capital 'Application of Funds' total is 84,263.00, as reported by Step 2. I could not see that total in the shown excerpt, which is cut off.
For illustration only, the gap between budget and accounts is:
- revenue about 19.95%
- capital about 50.31%
- combined about 34.56%
All three are above the 15% threshold. The FY 2015-16 actuals are shown, but the FY 2015-16 budget estimate is not, so a second year cannot be compared.
Reasons the score is blank:
1. The method needs at least 2 financial years. Only 1 can be compared.
2. The evidence is from FY 2016-17, so it does not show current practice.
3. The budget and the accounts use different bases. The accounts are accrual-based and include depreciation and provisions. The budget's capital 'payments' heads do not map clearly to the accounts' 'Application of Funds' heads. The budget's '2015-16 actuals' revenue figure (130,882.47) does not match the 2015-16 Revenue Accounts (132,746.25).
4. The report does not say whether the accounts are audited.
For the team to confirm:
- How variance should be measured: original Budget Estimate vs Revised Estimate, total vs revenue only, and whether accrual accounts can be compared with the budget.
- The band rule (within 15% gives 10, over 15% gives 0).
RTI target: ask the BWSSB PIO (Finance Adviser &amp; Chief Accounts Officer) for the Annual Financial Statements (budget and revised estimates) and the audited accounts with audit reports for FY 2020-21 to FY 2024-25.
Quote: "The Overall position of the Board for the FY 2016-17 (Revised Estimates) and FY 2017-18 (Budget Estimates) is as follows: (Rs. In Lakhs)"
"Score" left blank: the Citation Sheet doesn't decide it.</t>
  </si>
  <si>
    <t xml:space="preserve">AI: left for a person. Step 2 found no evidence (Insufficient Evidence). Source needed: What would answer this: BMTC's approved budgets (budget estimates of total expenditure) and its audited annual accounts or annual reports for the same 2-5 completed FYs (ideally the latest 3, e.g. FY2021-22 to FY2023-24). Total budgeted and actual expenditure in each FY must be laid side by side. Possible sources: BMTC annual reports or accounts laid before the Karnataka Legislature, CAG audit reports on BMTC accounts, or the Transport Department's budget documents showing BMTC's approved budget.</t>
  </si>
  <si>
    <t xml:space="preserve">AI: left for a person. Step 2 found no evidence (Insufficient Evidence). Source needed: For at least 2 and preferably the latest 3 completed FYs: BDA's sanctioned budget estimates (total expenditure, from the s.42-44 estimate as sanctioned by the Government), and BDA's audited annual accounts for the same years (s.47) showing actual total expenditure. These could come from the audited accounts and auditor's reports tabled in the Karnataka Legislature, BDA's annual report (s.47A), or a CAG/State Accounts audit report, compared side by side.</t>
  </si>
  <si>
    <t xml:space="preserve">AI: left for a person. Step 2 found no evidence (Insufficient Evidence). Source needed: For at least 2 (ideally 3) recent completed FYs: BMRCL's Board-approved budget estimates (project capex plus O&amp;M), and the matching audited annual accounts or annual reports, compared side by side. Possible sources: BMRCL annual reports with a budget-vs-actual statement; Board budget papers; the Karnataka state budget documents or Urban Development Department papers showing BMRCL allocations and actual spending.</t>
  </si>
  <si>
    <t xml:space="preserve">AI: left for a person. Step 2 found no evidence (Insufficient Evidence). Source needed: For at least 2 (ideally 3) recent financial years, BMRDA's approved budget estimates (and revised estimates, if any) and its audited annual accounts for the same years, side by side. Likely places: the 'Budget' page on BMRDA's official website, BMRDA annual reports tabled in the legislature (2023-24 and later) with audited statements, or the Controller of State Accounts audit reports on BMRDA.</t>
  </si>
  <si>
    <t xml:space="preserve">AI: left for a person. Step 2 found no evidence (Insufficient Evidence). Source needed: SUDA's annual financial statements (Form N, budget and revised estimates) and its audited annual accounts or balance sheet (Form Q), or its annual reports under r.49, for at least 2 and preferably 3 recent completed FYs (e.g. FY2021-22 to FY2023-24). Budget and actual spending for the same FY need to be set side by side. Possible official sources: the Urban Development and Urban Housing Department, Government of Gujarat; SUDA's own website; or audit reports on SUDA's accounts.</t>
  </si>
  <si>
    <t xml:space="preserve">AI: left for a person. Step 2 found no evidence (Insufficient Evidence). Source needed: GMRC's Board-approved annual budget (budget estimates and, if any, revised estimates of expenditure) for at least 2 of FY2022-23 to FY2024-25, to compare with the audited statements of profit and loss / cash flow and capital expenditure in the annual reports for the same years. Alternatively, a GoG Urban Development Department budget document showing GMRC's budgeted outlay, or a budget-vs-actual statement in a GMRC Board or CAG report.</t>
  </si>
  <si>
    <t xml:space="preserve">Chapter III – The Board's Finance, Accounts and Audit</t>
  </si>
  <si>
    <t xml:space="preserve">Section 17</t>
  </si>
  <si>
    <t xml:space="preserve">17(1)</t>
  </si>
  <si>
    <t xml:space="preserve">18</t>
  </si>
  <si>
    <t xml:space="preserve">AI (low confidence), from Step 2 answer (Partially Answered) and BWSSB-02: Score left blank. Nothing found in the Act, but absence across all legal layers is not proven. The question asks about a legal requirement for a medium-term (3-5 year) or long-term (more than 5 year) fiscal plan. This is a likely 0, but not confirmed.
What I checked in BWSSB-02 (BWSSB Act, 1964, PRS copy with amendments appended up to Act 29 of 2021):
- I re-read the source and agree with the Step 2 answer. Every financial-planning duty covers one year only:
  - s.16(1): revenue must be sufficient, including for 'year to year improvement'. This is a revenue rule, not a plan.
  - s.17(1): an annual financial statement 'for the ensuing year'.
  - s.17(5): a supplementary statement, which is optional ('may').
  - s.18: limits on spending not in the budget.
  - ss.19-22: grants, loans, borrowing and guarantees.
  - ss.24-24C: reserves and write-offs.
  - s.25: accounts and audit.
  - s.86(2): an annual report covering past activities and 'the next financial year' only.
- I also read the two sections Step 2 could not finish:
  - s.15(2)(b)-(c) is a duty to prepare and carry out water and sewerage 'schemes'. It sets no time period and is not a fiscal plan. The s.15(2) proviso requires State approval for schemes over Rs 1 crore.
  - s.88(1)(a)-(f) lists what Board regulations may cover: administration of funds and accounts, meetings, staff, fines, tenders, and other matters. It says nothing about a multi-year fiscal plan.
- s.87(2)(c)-(g) (rule-making powers) covers only the form of the annual statement, borrowing, stock, publishing accounts and the annual report.
- s.89A lets the State give funding directions for individual projects. That is project funding, not a fiscal plan.
- No section of the Act requires a fiscal plan of fixed length beyond one year.
Why I did not score 0:
- The Rules made under s.87 and the Board Regulations made under s.88 (for example, the regulations on the form of the financial statement under ss.17 and 25) are not in the Citation Sheet.
- BWSSB-38 shows that BWSSB Regulations exist and have been amended (amendments to Regs 2, 5, 7, 28 and 36; new Regs 4A and 55A). Their full text is not in the sheet, so I could not read them. Absence in the Act alone is not affirmative absence across the whole legal stack.
- The Act text is a secondary PRS copy.
- I was not given the question's detailed methodology or rubric bands, so I cannot confirm which band a 'no requirement' finding maps to.
BWSSB-04 (GBA Act 2024, s.187 and s.2(42)): the medium-term fiscal plan there binds the City Corporations, not BWSSB. It must not be credited to this agency.
For the team:
(1) Get and read the Rules under s.87 and the Board Regulations under s.88, especially on finance and accounts.
(2) Decide whether the question bank lets a 0 rest on the enabling Act alone. If it does, the Act evidence above supports 'no requirement'.
Quote: "17. Annual financial statement. —(1) In February of each year the Board shall submit to the State Government a statement in the form prescribed by 1[regulations]1 of the estimated capital and revenue receipts and expenditure for the ensuing year."
"Score" left blank: the Citation Sheet doesn't decide it.</t>
  </si>
  <si>
    <t xml:space="preserve">Chapter IV – Finance, Accounts and Audit (RTC Act, 1950)</t>
  </si>
  <si>
    <t xml:space="preserve">Section 32(1); also s.44(2)(i), s.35(2), s.30, s.17(2)(f)</t>
  </si>
  <si>
    <t xml:space="preserve">s.32(1)</t>
  </si>
  <si>
    <t xml:space="preserve">AI (low confidence), from Step 2 answer (Partially Answered) and BMTC-02: I left the Score blank because the evidence does not yet support either band. The Step 2 answer matches the source. In the Road Transport Corporations Act, 1950 (BMTC-02) as amended, including Acts 28 of 1959, 63 of 1982 and 4 of 2005, the only financial-planning duty is a budget for one year at a time under s.32(1) ('shall ... a budget for the next financial year'). s.32(2)-(4) cover spending within that budget, moving money between budget heads, and spending beyond it. s.44(2)(i) lets Rules set only 'the date by which, and the form in which, the budget shall be prepared and submitted in each year'. The other provisions do not create a multi-year fiscal plan either. s.35(2) is a yearly report on 'policy and programme'. s.30 says profits 'may' be used for 'expansion programmes', which is optional and has no time span. s.17(2)(f) covers the yearly capital budget, revenue budget and 'annual development plans' of subsidiary corporations. None of this is a required plan of 3-5 years or more than 5 years, so the 5 band is not met in the Act. A 0 needs AFFIRMATIVE ABSENCE across the whole set of instruments (rule 5), and that check cannot be completed. BMTC-20, BMTC's 'Rules And Regulations' page, lists 'KSRTC Rules, 1961' and several KSRTC Regulations. Only the link titles are in the Citation Sheet, not their text, so the Rules made under s.44 cannot be checked. s.44(2)(n) ('any other matter') means the Rules could say more than the date and form of the budget. Also missing: BMTC's own Regulations under s.45, BMTC's constitution notification, and any state government order requiring a multi-year corporate or fiscal plan. What I checked: BMTC-02 (ss.17, 30-35, 44, 45, read with targeted queries); BMTC-20 (list of links only); BMTC-04 (the Greater Bengaluru Governance Act: the medium-term fiscal plan in ss.2(42), 187 and 189 applies to the City Corporation only); BMTC-06 (BMLTA Act ss.24-25: the investment program is 'short to medium term' with no number of years, and it is not BMTC's enabling Act); and searches of the whole Citation Sheet for 'medium term', 'five year' and 'corporate plan'. If the team decides that the enabling Act alone settles this question (Step 2 says the evidence requirement is 'Enabling act'), the matching band would be 0. Under v2 rules that needs the team's confirmation after the KSRTC Rules, 1961 and BMTC's Regulations have been read. One more point for the team: the copy of the RTC Act is hosted on the Telangana Transport Department site and does not say when it was consolidated.
Quote: "32. Budget.—(1) Every Corporation shall, by such date in each year as may be prescribed, prepare and submit to the State Government for approval a budget for the next financial year showing the estimated receipts and expenditure during that financial year in such form as may be prescribed."
"Score" left blank: the Citation Sheet doesn't decide it.</t>
  </si>
  <si>
    <t xml:space="preserve">Chapter V – Property and Finance</t>
  </si>
  <si>
    <t xml:space="preserve">Sections 42-46 (annual estimate of income and expenditure); s.69 (power to make rules); s.70 (power to make regulations)</t>
  </si>
  <si>
    <t xml:space="preserve">s.42(1)</t>
  </si>
  <si>
    <t xml:space="preserve">43</t>
  </si>
  <si>
    <t xml:space="preserve">AI (low confidence), from Step 2 answer (Partially Answered) and BDA-02: Score left blank. Under the v2 rules, a 0 needs affirmative absence in every layer of the law, and the Rules layer is missing.
What I checked in BDA-02 (PRS copy of the BDA Act 1976, with amendments appended up to Karnataka Act 42 of 2026, published 07.09.2026):
- Chapter V 'Property and Finance', ss.37-48.
- The only budget instrument is a yearly estimate. s.42(1): the Commissioner 'shall… in each year' lay an estimate 'for the year commencing on the first day of April then next ensuing'. ss.43-44: the Authority approves it and the Government sanctions it. s.45: supplementary estimates. s.46: no spending outside a sanctioned estimate. s.47: annual accounts and audit. s.47A: reports 'as may be prescribed'.
- s.39 is about borrowing, not planning.
- s.27 is a 5-year deadline for carrying out schemes. It is not a fiscal plan.
- The arrangement of sections lists no multi-year fiscal plan.
- s.69(2)(a)-(j), the rule-making list, does not mention fiscal planning. Clause (j) is a catch-all.
- s.70, the regulation-making power, does not mention fiscal planning.
- Amending Act 42 of 2026 changes only s.10 and s.38D.
- So the Act layer has no medium-term (3-5 year) or long-term (more than 5 year) fiscal plan requirement.
Why I did not score 0:
- No BDA Rules or Regulations made under ss.69-70 are in the Citation Sheet. My search of the sheet for BDA Rules or a fiscal plan found none.
- Rules could hold budget or planning provisions, including through s.47A reports 'as may be prescribed'.
- Amending Act 27 of 2020 is appended mainly in Kannada and could not be fully read.
- BDA-30 is an older PRS copy of the same Act.
- Other sources, for contrast only: BDA-06 (KTCP Act s.68B) requires a yearly Planning Authority budget, which is also single-year. BDA-03 (GBA Act ss.187 and 189) sets a medium-term fiscal plan for City Corporations only, and must not be credited to BDA.
For the reviewer:
- Confirm whether the Detailed Methodology limits this question to the 'enabling act'. If it does, the evidence supports 0 (ss.42-46 give a yearly estimate only).
- Otherwise, get the BDA Rules and Regulations (Karnataka gazette or the Urban Development Department) and check them for a multi-year fiscal plan.
- The source is a secondary PRS compilation. Amendments are appended, not consolidated into the text.
Quote: "The 1[Commissioner]1 shall, at a special meeting to be held not later than the first day of February in each year, lay before the Authority an estimate of the income and  of the expenditure of the Authority for the year commencing on the first  day of April then next ensuing"
"Score" left blank: the Citation Sheet doesn't decide it.</t>
  </si>
  <si>
    <t xml:space="preserve">Chapter IX – Accounts of Companies</t>
  </si>
  <si>
    <t xml:space="preserve">Section 129(1) (read with ss.128, 129(2), 131, 143)</t>
  </si>
  <si>
    <t xml:space="preserve">s. 2(g), s. 2(o), s. 24(d), s. 25(1)(b)</t>
  </si>
  <si>
    <t xml:space="preserve">74</t>
  </si>
  <si>
    <t xml:space="preserve">AI: left for a person. Step 2 found no evidence (Insufficient Evidence). Source needed: Needed: BMRCL's Memorandum and Articles of Association (its founding instrument as a company) and any GoI/GoK order or MoU requiring a corporate or medium-term financial plan. Also needed: the BMLTA Rules and Regulations, and the notification bringing the BMLTA Act into force. Together these would show whether any binding instrument requires BMRCL to prepare a fiscal plan with a defined 3–5 year or longer horizon.</t>
  </si>
  <si>
    <t xml:space="preserve">Chapter IV (Finance)</t>
  </si>
  <si>
    <t xml:space="preserve">Section 12 (Budget); also Sections 11, 13-16 and Section 9(1)(ii),(vi)</t>
  </si>
  <si>
    <t xml:space="preserve">AI: left for a person. Step 2 found no evidence (Insufficient Evidence). Source needed: The full text of the Bangalore Metropolitan Region Development Authority Act, 1985 (Karnataka Act 39 of 1985), current amended version, especially its finance, budget, accounts and borrowing sections. Also any Rules made under it, and the BMRDA Regulations of 1996, 1999 and 2000 (amendment). All should come from the Karnataka legislation portal, the eGazette, or BMRDA's 'Acts and Rules' page.</t>
  </si>
  <si>
    <t xml:space="preserve">Chapter VI (Finance, Accounts and Audit)</t>
  </si>
  <si>
    <t xml:space="preserve">Rule 47 (Budget and Programme of work under section 94)</t>
  </si>
  <si>
    <t xml:space="preserve">Rule 47(1)-(4); Forms N and O</t>
  </si>
  <si>
    <t xml:space="preserve">AI (low confidence), from Step 2 answer (Partially Answered) and SUDA-03: I left the score blank because the evidence can't decide it. I agree with the Step 2 answer, and the source supports it.
What the sources show:
(1) GTPUD Rules 1979 (SUDA-03), rule 47(1): SUDA 'shall submit' an annual Financial Statement and programme of work 'for the succeeding financial year'. That covers one year only.
(2) Form N (annual financial statement) shows actuals for the previous three years, the current-year budget and revised estimates, and estimates for the next year only. It has no forward projections over several years.
(3) Form O (annual programme of work) and rule 47(4) (a note on progress and the financial implications of each work) are also tied to one year.
(4) Rule 49 (annual report and half-yearly progress report) looks backwards.
(5) Rule 21 asks for cost estimates and completion dates for single town planning schemes. That is not a fiscal plan for the authority as a whole.
On the Rules alone, nothing requires a fiscal plan of 3-5 years or longer, so the top band is not met on what can be read.
Why I did not give 0: a 0 needs proof that the requirement is absent from every layer, and that proof is missing. Rule 47 is made under section 94 of the GTPUD Act 1976, but the principal Act in SUDA-01 (PRS copy, pages 2-86) is scanned images with no readable text. I re-checked SUDA-01 with searches for 'section 94 budget' and 'estimate of receipts and expenditure'. They returned only the readable amending Acts (2017, 2019), and none of those touches budgeting or financial planning. So sections 94 and 95 of the Act could not be checked.
Other sources: SUDA-14 (DP 2035, s.20.5, 'long term fiscal planning') is a policy statement in SUDA's development plan, not a legal requirement, so I gave it no credit. SUDA-04 is the city corporation's law, not SUDA's enabling Act, so it doesn't apply. SUDA-05, 13, 21, 23 and 24 are not fiscal-planning law.
Checked: SUDA-03 rules 21, 45-49 and Forms N, O and P; SUDA-01 readable amending Acts; SUDA-14 s.20.5; a search across the whole sheet.
For the team:
- Get a text-searchable official copy of the GTPUD Act 1976 (sections 94-95) from Gujarat's Urban Development Department or Legislative Department, or the gazette.
- Confirm whether the Rules copy includes amendments after 1987.
- If section 94 also turns out to require only an annual budget, the evidence would support 0. Confirm that band and the 0-5 scale against the Detailed Methodology, which was not shown to me in full.
Quote: "The appropriate authority shall submit to the State Government for approval before 1 st day of  February of each year the annual Financial Statement and programme of work, in triplicate for the succeeding financial year."
"Score" left blank: the Citation Sheet doesn't decide it.</t>
  </si>
  <si>
    <t xml:space="preserve">AI: left for a person. Step 2 found no evidence (Insufficient Evidence). Source needed: GMRC's Memorandum and Articles of Association (current amended version), plus any shareholders'/JV agreement between GoI and GoG on GMRC's finances, to see whether they require a corporate or financial plan of 3-5 years or longer. Also the full text of the Metro Railways (Operation and Maintenance) Act 2002 and Metro Railways (Construction of Works) Act 1978 with their Rules, and the Metro Rail Policy 2017, to check for any binding multi-year fiscal-plan requirement for metro SPVs.</t>
  </si>
  <si>
    <t xml:space="preserve">AI: left for a person. Step 2 found no evidence (Insufficient Evidence). Source needed: Someone needs to review BWSSB's own website directly: the 'Budget' page, the 'Accounts' page and the Documents section. They should check whether a multi-year fiscal or financial plan (3-5 year medium-term or &gt;5 year long-term projections of revenue and expenditure), or a published Vision 2050 / strategic master plan with financial projections, is posted, and record its date and the years it covers.</t>
  </si>
  <si>
    <t xml:space="preserve">AI: left for a person. Step 2 found no evidence (Insufficient Evidence). Source needed: What would answer it: a full check of BMTC's official website (sitemap, Annual Administrative Report, Presentations, 'More about BMTC' and any finance or reports section) for a published corporate plan, multi-year business or financial plan, or medium-term fiscal framework with 3-5 year receipt and expenditure projections. A score of 0 needs that whole check to be done and recorded. Failing that, a BMTC or Transport Department document confirming whether such a plan exists.</t>
  </si>
  <si>
    <t xml:space="preserve">AI: left for a person. Step 2 found no evidence (Insufficient Evidence). Source needed: A dated capture of BDA's official website (budget, finance, accounts or publications section) showing whether a medium- or long-term fiscal plan or multi-year financial projection is posted, or confirming that none is. Also needed: proof that the website is BDA's official domain, through a link from a Karnataka government (.gov.in or .nic.in) page. A medium-term plan adopted by the BDA board or sanctioned by the Government would help identify the document, but credit depends on it being published on BDA's website.</t>
  </si>
  <si>
    <t xml:space="preserve">AI: left for a person. Step 2 found no evidence (Insufficient Evidence). Source needed: BMRCL's own website, captured with a date, showing whether a medium- or long-term fiscal plan is published. Examples: a corporate plan, a multi-year financial plan or projections, or a business plan with receipts and expenditure projections, found in a finance, disclosures or reports section. Also the latest BMRCL annual reports (FY2022-23 to FY2024-25), and any BMRCL Sectoral Mobility Investment Program or Annual Implementation Plan submitted under BMLTA Act s.24-25, if published on BMRCL's site.</t>
  </si>
  <si>
    <t xml:space="preserve">BMRDA official website, English home page, 'Department Documents' menu</t>
  </si>
  <si>
    <t xml:space="preserve">Menu items 'Budget and Annual Reports' and 'Budget' (https://bmrda.karnataka.gov.in/44/budget/en)</t>
  </si>
  <si>
    <t xml:space="preserve">AI: left for a person. Step 2 found no evidence (Insufficient Evidence). Source needed: Someone needs to open BMRDA's 'Budget' and 'Budget and Annual Reports' pages, and the documents they link to, and check whether a multi-year (3-5 year) fiscal plan or medium-term financial projection is published. If the website has none, a statement from BMRDA's Accounts section on whether it prepares a medium-term fiscal plan would settle it.</t>
  </si>
  <si>
    <t xml:space="preserve">Chapter 20 Cost Estimates (DP 2035 report, Feb 2017)</t>
  </si>
  <si>
    <t xml:space="preserve">§20.1-20.3 (Tables 139-152 cost estimates); §20.4 Phasing; §20.5 Finance &amp; Resource Mobilisation</t>
  </si>
  <si>
    <t xml:space="preserve">PDF pp. 226-232 (plan pages 209-215)</t>
  </si>
  <si>
    <t xml:space="preserve">231</t>
  </si>
  <si>
    <t xml:space="preserve">AI (low confidence), from Step 2 answer (Partially Answered) and SUDA-14: Score left blank because the evidence does not clearly fit either band and a 0 is not supported.
What SUDA-14 (Development Plan 2035, report dated February 2017, era=n/a) actually contains, checked against the source:
- Chapter 20 gives 20-year capital cost estimates for the plan area. These are water supply (Table 140: Rs 2,748.5 cr for 2016-2025 and Rs 4,251.9 cr for 2026-2035), sewerage (Tables 144-145, investment by year: 2016, 2019, 2022, 2026, 2029, 2032), solid waste (Table 147), roads (Table 151) and land acquisition. The total is Rs 30,293 cr (Table 152).
- §20.4 says phasing will be 'spread over 20 years'. It gives no year-by-year schedule for the authority.
- §20.5 lists funding sources in words only: contributions from local authorities (s.24), development charges (ss.99-100), fees and user charges (s.23), land from Town Planning schemes, paid FSI, government grants and loans, and a revolving fund. The only figure is a rough paid-FSI estimate (about 16 sq.km x Jantri rate).
- §2.2 says the plan was meant to include an 'Investment plan' and 'Estimates of revenue and resources with respect to implementation of different stages'. The passages I read contain no such revenue projections.
- §20.5 itself says implementation 'calls for long term fiscal planning'. That states a need; it does not present the planning.
In short, this is a cost-estimate and funding-sources chapter of a spatial development plan. It is not an organisational medium- or long-term fiscal plan for SUDA with revenue and expenditure projections.
Why no score:
- RUBRIC-GAP: the question's Detailed Methodology and bands were not given to me. Whether a development plan's cost chapter counts as a 'fiscal plan' (top band) needs the methodology team to confirm.
- A 0 is not supported because absence is not established. The Citation Sheet does not cover SUDA's budgets, annual reports or a full review of its website. I searched the sheet for medium-term fiscal plans and revenue/expenditure projections and found nothing beyond SUDA-14. Other sources I checked, none of which is a fiscal plan:
  - SUDA-03: Rules 1979, Form N annual financial statement format.
  - SUDA-13: 2013 note starting the DP revision.
  - SUDA-23: rental housing tender.
  - SUDA-24: ease-of-doing-business sheet.
  - SUDA-05: GDCR.
  - SUDA-01: Act text, mostly scanned pages with no readable text.
  - SUDA-04: GPMC Act, which governs the city corporation, not SUDA.
  - SUDA-21: notification map.
For the reviewer to confirm:
(1) Whether DP cost estimates plus funding sources in words count as a medium/long-term fiscal plan for SC-4b.
(2) Proof that sudaonline.org is SUDA's official domain. No gov.in or nic.in link to it is in the sheet.
(3) Whether DP 2035 as published is the sanctioned, current version. This 2017 document is not evidence of the current fiscal-planning arrangement.
(4) A dated screenshot, as the question bank requires.
Quote: "The implementation of the development plan calls for long term fiscal planning."
"Score" left blank: the Citation Sheet doesn't decide it.</t>
  </si>
  <si>
    <t xml:space="preserve">Chapter 20 – Financing Options, Fare Structure and Financial Viability</t>
  </si>
  <si>
    <t xml:space="preserve">Para 20.4.1; Tables 20.9.1/20.9.2 (yearly cash flows 2019-20 to 2048-49); Tables 20.11, 20.14–20.17 (funding pattern and cash-flow statements)</t>
  </si>
  <si>
    <t xml:space="preserve">DPR pp. 726 and 734-736 (December 2018)</t>
  </si>
  <si>
    <t xml:space="preserve">75</t>
  </si>
  <si>
    <t xml:space="preserve">AI (low confidence), from Step 2 answer (Partially Answered) and GMRC-08: I left the score blank. Two things are unresolved.
(1) RUBRIC-GAP/methodology question. The bands are 5 if a fiscal plan is published on the parastatal's website and 0 if it is not. The only forward-looking financial document in the Citation Sheet is the Surat Metro Phase-1 DPR (GMRC-08). It is dated December 2018 and was prepared by DMRC before the project was sanctioned. Chapter 20 projects yearly outflows and inflows for a 30-year life cycle, 2019-20 to 2048-49, plus the funding pattern and cash flows by financing option. I checked these against the source and they match. But it is a project appraisal for one project, not a GMRC-wide plan covering Ahmedabad and Surat, and it is not updated each year. Whether a project DPR's financial-viability chapter counts as the agency's medium or long-term 'fiscal plan' is a methodology call for the team. If the team says yes, the score would be 5. I did not want to read the term broadly without confirmation.
(2) A 0 is not available because absence is not confirmed:
- GMRC-03 (RTI s.4(1)(b) disclosure), Chapter 11 'Budget Allocation &amp; Expenditure', links a separate 'Budget-Allocation-Expenditure.pdf'. That file is not in the Citation Sheet, so it could not be read. The chapter's visible text shows only sanctioned project costs, the funding pattern by project and spending to date. That is backward-looking, not a multi-year plan.
- GMRC-03 Chapter 6 lists an 'Annual Finance Budget' among documents GMRC holds. It does not say this is published, and it would be annual, not medium or long-term.
What I checked:
- GMRC-01 (Reports &amp; Downloads list): no document called a fiscal, financial, business or corporate plan.
- GMRC-03 (Chapters 6 and 11 read).
- A search of GMRC-05, GMRC-06 and GMRC-25 (Annual Reports 2022-23 to 2024-25): only CSR 'long term' wording turned up.
- GMRC-07 (MoHUA sanction letter): mentions corporate debt bonds and plan-budget sanction, but not a GMRC fiscal plan.
The annual reports were searched, not read cover to cover.
For a human to do:
- Confirm whether a project DPR counts.
- Open the linked Budget-Allocation-Expenditure.pdf from GMRC-03. This is a VERIFICATION-LIMIT for the automated check.
- Check the full annual reports for any board-approved multi-year financial or corporate plan.
Quote: "The Financial Internal Rate of Return (FIRR) obtained for 30 years life cycle business model including construction period without additional PD and TOD &amp; VCF Income is 6.90% and with additional PD and TOD &amp; VCF Income is 7.38%."
"Score" left blank: the Citation Sheet doesn't decide it.</t>
  </si>
  <si>
    <t xml:space="preserve">Section 4; also s.6 (removal or suspension of members), s.87(2)(a) (power to make rules)</t>
  </si>
  <si>
    <t xml:space="preserve">s.4; s.6(1)(a)-(f), s.6(3), s.6(5); s.87(2)(a)</t>
  </si>
  <si>
    <t xml:space="preserve">AI (low confidence), from Step 2 answer (Partially Answered) and BWSSB-02: Score left blank. The question cannot be decided from the Citation Sheet.
What the Act says: The BWSSB Act, 1964 (BWSSB-02, PRS consolidated copy, as amended up to Act 5 of 2011) fixes no term or minimum tenure for the Chairman or the members. Section 4 leaves the term of office to 'the rules'. Section 87(2)(a) says those rules 'may provide for' the Chairman's powers and the term of office.
What is missing: The Rules made under s.87 are not in the Citation Sheet. I searched for 'term of office of the Chairman rules tenure' and 'Chairman appointed IAS whole-time tenure years'. Only s.4 and s.87 of the Act came back, plus unrelated tenure provisions for GBA councillors in BWSSB-04 and BWSSB-28. No appointment order or service-conditions instrument for the Chairman is present either.
Why not 0: A 0 needs affirmative absence across both the Act and the Rules. The Rules were not available, so this is 'not found', not 'absent'.
Removal provisions: s.6(1) allows removal on listed grounds. Some depend only on the State Government's opinion, including (e)(iv) 'otherwise unfit to continue as a member'. s.6(3) requires a chance to explain first. s.6(5) allows the whole Board, Chairman included, to be removed if it fails to carry out its functions or to follow s.89 directions. Even if the Rules fix a term, this discretionary 'otherwise unfit' ground may mean removal is not on 'defined grounds only'. Under the SC-5 anomaly rule, a fixed term without removal protection may fit neither band (RUBRIC-GAP risk).
Open question on the executive post: The Act creates no MD/CEO post. Under s.12, the Chief Administrative Officer-cum-Secretary and the Engineer-in-Chief are staff appointed by the Board, and no tenure is given for them. The 2016-17 Annual Report (BWSSB-29) suggests the IAS Chairman is the executive head. This is historical practice only.
For the team:
(a) Get the BWSSB Rules made under s.87, current amended text, from an official Karnataka source.
(b) Confirm which post counts as BWSSB's executive authority for SC-5.
(c) Then apply the 10/5/0 bands.
Quote: "4. Term of office and conditions for re-appointment of members of Board. —The Chairman and other members of the Board shall hold office for such period, and shall be eligible for re-appointment under such conditions, as may be prescribed by the rules."
"Score" left blank: the Citation Sheet doesn't decide it.</t>
  </si>
  <si>
    <t xml:space="preserve">Road Transport Corporations Act, 1950 (as amended by Act 63 of 1982, w.e.f. 13-11-1982)</t>
  </si>
  <si>
    <t xml:space="preserve">s.14(1), s.14(3)(a), s.15(1), s.44(2)(e); also s.5(5), s.8(1)-(2)</t>
  </si>
  <si>
    <t xml:space="preserve">s.14(3)(a): the Managing Director's conditions of appointment and service 'be such, as may be prescribed'</t>
  </si>
  <si>
    <t xml:space="preserve">9</t>
  </si>
  <si>
    <t xml:space="preserve">AI (low confidence), from Step 2 answer (Partially Answered) and BMTC-02: I left the score blank because the Citation Sheet does not contain the rules that would settle it. Not found is not the same as absent.
What the sources show:
(1) BMTC-02 (Road Transport Corporations Act, 1950, text as amended by Act 63 of 1982) makes the Managing Director the executive head (s.15(1)). The State Government appoints the MD (s.14(1)). The Act sets no term for the MD and no limits on removal. The MD's conditions of appointment and service are left to State rules: s.14(3)(a) says 'as may be prescribed', and s.44(2)(e) lets the rules cover them. s.45(2)(c) keeps them out of the Corporation's own regulations. So the Act alone does not prove there is no minimum tenure.
(2) BMTC-20 (BMTC's Rules and Regulations page) only links to 'KSRTC Rules, 1961' and to several KSRTC regulations. Their text is not in the Citation Sheet. A search of the whole sheet for MD term, tenure or removal found nothing beyond the Act.
(3) I re-checked Step 2's reading against the sources:
- s.8(2) lets the State Government end any Director's appointment after notice of at least one month. BMTC-09 lists the MD as 'DIRECTOR (Official)'.
- If the team decides s.8(2) covers the MD, removal is at the government's discretion, not on defined grounds.
- Under the SC-5 anomaly rule, a fixed term with discretionary removal fits neither the 10 nor the 5 band, so that would also be RUBRIC-GAP / CONFIRM rather than a score.
(4) BMTC-04 (GBA Act), BMTC-06 (BMLTA Act) and BMTC-07 (KTCP Act) were checked by Step 2 and have nothing on the BMTC MD's tenure.
I agree with Step 2's 'Partially Answered / not found'.
For a person to check:
(a) Read the text of the KSRTC Rules, 1961 (linked from BMTC-20), or any Karnataka rules for BMTC, on the MD's term and removal.
(b) Find the MD's appointment orders or GOs.
(c) Decide whether s.5(5) and s.8(2) apply to the MD as an official Director.
(d) Check whether the Act has been amended after 1982.
Quote: "Every Corporation shall have a Managing Director, a Chief Accounts Officer and a Financial Adviser, appointed by the State Government:"
"Score" left blank: the Citation Sheet doesn't decide it.</t>
  </si>
  <si>
    <t xml:space="preserve">Chapter II (Constitution of the Authority) and Chapter X (Miscellaneous)</t>
  </si>
  <si>
    <t xml:space="preserve">Section 12 (Appointment of Commissioner), substituted by Act 18 of 1981 w.e.f. 30-12-1980; read with s.13(1), s.3(3)(m), s.5, s.69(2)(c), s.70(1)(f)</t>
  </si>
  <si>
    <t xml:space="preserve">s.12(1)-(3)</t>
  </si>
  <si>
    <t xml:space="preserve">23</t>
  </si>
  <si>
    <t xml:space="preserve">AI (low confidence), from Step 2 answer (Partially Answered) and BDA-02: I left the score blank because the result is 'not found', not an affirmative absence.
What the Act says:
- I checked the Step 2 answer against BDA-02 (PRS copy, as amended up to Act 42 of 2026). The source supports it.
- s.13(1): the Commissioner is the 'Chief Executive and Administrative Officer of the Authority', so he is the executive authority.
- s.12(1)-(3), as substituted in 1981: the State Government appoints him. The rank must be at least Divisional Commissioner. Salary and leave are as the Government decides. There is no term of office, no minimum tenure and no protection against removal.
- The Commissioner sits on the Authority only ex officio (s.3(3)(m)).
- s.5 gives the Chairman and members a three-year term, but 'Subject to the pleasure of the Government'. Even if it reached the Commissioner, a term held at the Government's pleasure is not a protected minimum tenure.
- So the parent Act alone fits a 0 band.
Why I could not score 0:
- s.69(2)(c) lets the Government make Rules on 'the conditions of service of the Chairman and other members of the Authority'. The ex-officio Commissioner may fall under this.
- s.70(1)(f) leaves government officers lent to the Authority out of BDA's own service regulations. Their tenure therefore comes from their parent service rules, for example any minimum-tenure or civil services board rules for All-India-service or Karnataka cadre officers.
- None of these Rules or service-tenure rules is in the Citation Sheet. So affirmative absence across the whole instrument stack cannot be shown.
What I checked:
- BDA-02 and BDA-30, the BDA Act (ss.3, 5, 6, 12, 12A, 13, 50, 69, 70).
- BDA-03, the GBG Act 2024; BDA-04 and BDA-13, the GBG amendment Bills. These only make the BDA Commissioner an ex-officio member of the GBA; none sets a tenure.
- BDA-05, the KTCP Amendment Bill 2025. Its new s.78-A covers UDAs under the KUDA Act and the Mysuru DA, not the BDA.
- BDA-06, the KTCP Act.
- A search across the whole Citation Sheet for 'minimum tenure' found nothing about the Commissioner.
For a person to check:
- Obtain any Rules under s.69 of the BDA Act.
- Obtain any service-tenure or civil services board rules that cover the officer posted as BDA Commissioner. RTI target: the PIO of the Urban Development Department and the PIO of BDA.
- If none exist, a 0 would be supportable.
Caveats:
- The question's own rubric was not given to me beyond the 0-10 scale, so no band mapping beyond the Act-level finding is possible.
- All Act text is from PRS republications, not an official gazette copy.
Quote: "The State  Government shall appoint an officer, not  below the rank of Divisional Commissioner, to be the Commissioner  for  the Authority."
"Score" left blank: the Citation Sheet doesn't decide it.</t>
  </si>
  <si>
    <t xml:space="preserve">Chapter XIII – Appointment and Remuneration of Managerial Personnel</t>
  </si>
  <si>
    <t xml:space="preserve">Section 196(2); also read with s.169(1) (removal of directors) and s.203(2) (KMP appointment)</t>
  </si>
  <si>
    <t xml:space="preserve">s.196(2) and proviso</t>
  </si>
  <si>
    <t xml:space="preserve">119</t>
  </si>
  <si>
    <t xml:space="preserve">AI (low confidence), from Step 2 answer (Partially Answered) and BMRCL-06: Score left blank because the evidence does not fit any band yet. I agree with the Step 2 answer.
(1) Who the executive is. BMRCL-09 (Annual Report FY2020-21, pp.38-47) says GoK 'has the right to appoint the full-time Managing Director &amp; Chief Executive Officer'. The part-time non-executive Chairman is the Secretary, MoHUA (Government of India), so the MD/CEO is the post assessed.
(2) Companies Act, 2013 (BMRCL-06, PRS-hosted Gazette text, as enacted; later amendments not checked):
- s.196(2) sets only a maximum term ('a term exceeding five years at a time'), not a minimum.
- s.169(1) lets the company remove a director 'by ordinary resolution ... before the expiry of the period of his office' after a hearing. It lists no grounds.
So nothing here meets the 10 band.
(3) Why I can't score 0. A 0 needs proof that every layer of the law is silent, and two layers are missing from the Citation Sheet:
- BMRCL's Memorandum and Articles of Association. BMRCL-09 says the Board's strength comes from the Articles and that BMRCL is guided by them, but it quotes no MD tenure clause.
- GoK orders nominating the MD and setting the terms of appointment.
The Companies (Appointment and Remuneration of Managerial Personnel) Rules, 2014 and any service rules for officers on deputation are also missing.
(4) Practice, recorded but not scored. BMRCL-09 shows the MD changed three times in 2021: Shri Ajay Seth left for a central posting; Shri Rakesh Singh took 'concurrent charge' from 9 Apr 2021; Shri Anjum Parwez took over from 15 Jul 2021. This suggests the MD serves at the government's pleasure, but it does not prove what the law says.
(5) Other sources checked, with nothing found on the MD's tenure:
- BMRCL-04, Metro Railways (O&amp;M) Act 2002: ss.50-51 set tenure only for the Claims Commissioner.
- BMRCL-02, GBA Act 2024: s.13(1)(j) makes the MD an Executive Committee member, with no tenure.
- BMRCL-08, BMLTA Act 2022.
- BMRCL-37, Metro Railways (Amendment) Bill 2009.
- A search across the sheet for MD tenure or term of office.
(6) Team to confirm: whether BMRCL, a Government Company under s.2(45) of the Companies Act, is eligible as a parastatal.
(7) RTI requests:
- PIO, BMRCL: the current Memorandum and Articles of Association, and the current MD's appointment order and terms.
- PIO, Urban Development Department, GoK: orders nominating the BMRCL MD over the last 5 years.
Quote: "No company shall appoint or re-appoint any person as its managing director, whole-time director or manager for a term exceeding five years at a time"
"Score" left blank: the Citation Sheet doesn't decide it.</t>
  </si>
  <si>
    <t xml:space="preserve">AI: left for a person. Step 2 found no evidence (Insufficient Evidence). Source needed: Needed: the full current text of the Bangalore Metropolitan Region Development Authority Act, 1985 (Karnataka Act 39 of 1985), with amendments, especially the sections on constituting the Authority and on appointing the Metropolitan Commissioner and his term and removal. Also needed: any Rules under the Act on the Metropolitan Commissioner's appointment or tenure, the BMRDA Cadre and Recruitment Rules, 2008, and the BMRDA Regulations of 1996 and 1999 and their 2000 amendment. Possibly also any state rule or Government Order fixing minimum tenure for IAS officers posted as head of such authorities.</t>
  </si>
  <si>
    <t xml:space="preserve">AI: left for a person. Step 2 found no evidence (Insufficient Evidence). Source needed: We need a readable official copy of the GTPUD Act, 1976, current consolidated text, especially s. 22 and any section on the appointment, term and removal of the Member-Secretary / Chief Executive Authority. We also need the SUDA constitution notification of 30.01.1978 and later notifications that reconstitute SUDA or appoint its CEA, any Gujarat Government Resolution (GR) or regulations on the CEA's service conditions, and the current GTPUD Rules with amendments. These could come from the Gujarat Legislative and Parliamentary Affairs Department, the Urban Development and Urban Housing Department (UD&amp;UHD) or the Gujarat Government Gazette.</t>
  </si>
  <si>
    <t xml:space="preserve">AI: left for a person. Step 2 found no evidence (Insufficient Evidence). Source needed: GMRC's Memorandum and Articles of Association (the clauses on appointing, the term of and removing the Managing Director); the relevant Companies Act, 2013 provisions on managing directors' terms, plus any exemption notifications for government companies; the Government of Gujarat or Board order appointing the current MD, setting out the tenure and termination terms; any GoI/GoG policy or rules on appointing and tenure of MDs of 50:50 metro SPVs.</t>
  </si>
  <si>
    <t xml:space="preserve">AI: left for a person. Step 2 found no evidence (Insufficient Evidence). Source needed: Karnataka DPAR or Urban Development Department government orders or gazette notifications appointing or transferring the BWSSB Chairman (and any orders giving additional or concurrent charge) for about 2021-2026. Alternatively, the latest BWSSB annual reports tabled in the Legislature, which list Chairmen with dates, or an official BWSSB page listing former Chairmen with their tenures.</t>
  </si>
  <si>
    <t xml:space="preserve">2021-22</t>
  </si>
  <si>
    <t xml:space="preserve">Press Releases list, April-2022 entry (title of the linked Kannada PDF 'MD BMTC - Kan.pdf')</t>
  </si>
  <si>
    <t xml:space="preserve">AI (low confidence), from Step 2 answer (Partially Answered) and BMTC-28: SCORE LEFT BLANK. The Citation Sheet does not decide between the 5 band and the 0 band. RUBRIC-GAP / missing evidence: I am reading the bands from the Step 2 answer (10 = one chief executive in the window, 5 = 2-3, 0 = more than 3). The question text and full Detailed Methodology were not in the task input, so the bands and the window start date need confirming.
What the sheet shows:
(1) The post is the Managing Director. BMTC-02, the Road Transport Corporations Act 1950, s.15(1): 'The Managing Director shall be the executive head of the Corporation'.
(2) BMTC-28 (Press Releases page) lists 'Smt. G. Sathyavathi, IAS assumed the charges as Managing Director of BMTC on 20.04.2022'. This is only the title of the list entry. The linked PDF is in Kannada and is not in the sheet.
(3) Step 2 cites BMTC-09 and BMTC-01 (pages last updated 30-09-2026) as naming 'SRI. Raghunandan Murthy - IAS, Managing Director, BMTC'. My searches of BMTC-09 and BMTC-01 brought back other passages, and I did not see that text myself. A person should check it.
If both names hold, there were at least 2 MDs in the window (about Oct 2021 to Sep 2026). Someone else must also have held the post before 20.04.2022, but that person is not named. This rules out the 10 band.
What is missing:
- the full list of MDs and their dates in office;
- whether each held full charge or only additional/acting charge;
- the start date of the current MD.
Without these, I cannot tell 2-3 MDs (5) from more than 3 (0), and the average tenure cannot be calculated.
What I checked:
- BMTC-28 press-release list. The excerpts cover Oct 2021 to Mar 2023 plus older items. They show only one MD-assumption entry (20.04.2022) and the Vice-Chairman (Nov 2022) entry. Later years were not shown in the excerpts, so this is not affirmative absence.
- Sheet-wide searches for 'assumed charges Managing Director' and 'Managing Director additional charge IAS transferred' found nothing more.
The sheet has no DPAR transfer or posting orders and no Gazette notifications. To score this, a person needs the Karnataka DPAR (DPAR-AIS) posting orders for MD, BMTC from Oct 2021 to Sep 2026.
Quote: "Smt. G. Sathyavathi, IAS assumed the charges as Managing Director of BMTC on 20.04.2022-20/04/2022April-2022"
"Score" left blank: the Citation Sheet doesn't decide it.</t>
  </si>
  <si>
    <t xml:space="preserve">AI: left for a person. Step 2 found no evidence (Insufficient Evidence). Source needed: Official Karnataka Government orders (DPAR / Urban Development Department notifications or Karnataka Gazette entries) appointing or transferring each BDA Commissioner from about 2021 to now, with each order's date. Also needed: any orders giving an officer additional or concurrent charge of the post, and the BDA official website's list of former Commissioners with dates in office.</t>
  </si>
  <si>
    <t xml:space="preserve">Board's Report – General Information / Directors</t>
  </si>
  <si>
    <t xml:space="preserve">Appointment of Managing Director and Director after the end of the Financial year 31.03.2021</t>
  </si>
  <si>
    <t xml:space="preserve">p.37 of report (PDF p.39); Board of Directors list p.2 (PDF p.4)</t>
  </si>
  <si>
    <t xml:space="preserve">39</t>
  </si>
  <si>
    <t xml:space="preserve">AI (low confidence), from Step 2 answer (Partially Answered) and BMRCL-09: The score is left blank because the Citation Sheet only records who held the MD post up to about Aug–Oct 2021. The question needs a count of chief executives over roughly the last five years (about Sept 2021 to Sept 2026). I checked the Step 2 answer against BMRCL-09 and the source supports it. It shows: (1) Ajay Seth was substantive MD until 09.04.2021, and his start date is not given; (2) Rakesh Singh held concurrent charge from 09.04.2021 to 15.07.2021, which is acting charge and not counted; (3) Anjum Parwez was nominated MD from 15.07.2021, and the report does not give an end date. The report also says the MD is the CEO and the Chairman is non-executive, so the MD is the right post to count. I searched the rest of the sheet for later MD appointments ('Managing Director BMRCL appointed', 'Managing Director' in BMRCL-32 and BMRCL-33). Nothing named any MD or tenure after 2021. BMRCL-32 (2025 Parking Policy) and BMRCL-33 (2025 eProcurement tender) name no MD. BMRCL-02 (GBA Act) names the MD post only as an ex-officio member. BMRCL-06 (Companies Act) covers only appointment rules. BMRCL-03, -04, -08, -37 and -38 are laws and bills, not tenure records. I can't pick a band (1 substantive holder = 10, 2–3 = 5, more than 3 = 0) because nobody in the sheet is shown holding the post after Oct 2021. A score of 0 would also need proof that nothing exists, and we don't have that. Still missing: BMRCL annual reports for FY2021-22 to FY2025-26, and GoK UDD/DPAR orders appointing or transferring the MD for Sept 2021 to Sept 2026. The team also needs to confirm when the five-year window starts, because that decides whether Ajay Seth counts. BMRCL's eligibility as a parastatal (it is a company) is still pending team confirmation. RTI target: PIO, BMRCL, or PIO, UDD, GoK, for a list of every MD with order numbers and dates, Sept 2021 to Sept 2026.
Quote: "Shri Rakesh Singh, Additional Chie f Secretary, Urban Development Department, Government of Karnataka was nominated as Managing Director of the Company by Government of Karnataka on concurrent charge with effect from 9th April 2021 in place of Shri Aja y Seth proceeded on Central posting."
"Score" left blank: the Citation Sheet doesn't decide it.</t>
  </si>
  <si>
    <t xml:space="preserve">Annual Report 2022-23, Section 3 (Composition of the Authority and its Executive Committee); Annexure-1 (staff serving 01-04-2022 to 31-03-2023)</t>
  </si>
  <si>
    <t xml:space="preserve">p.10, Section 3; p.16, Annexure-1, row 1</t>
  </si>
  <si>
    <t xml:space="preserve">Annexure-1 row 1: Metropolitan Commissioner (Mahanagara Ayuktaru), from 18.01.2022, still in post</t>
  </si>
  <si>
    <t xml:space="preserve">AI (low confidence), from Step 2 answer (Partially Answered) and BMRDA-03: SCORE LEFT BLANK. The sheet does not show how many substantive holders the post had in the five-year window, so no band can be set. (1) The chief executive post: I take it to be the Metropolitan Commissioner. BMRDA-03 p.10 says the Chief Minister chairs the Authority, the Metropolitan Commissioner is its ex-officio Member Secretary and also Vice Chairman of the Executive Committee. The BMRDA Act, 1985 and its Rules are not in the sheet, so this rests on the annual report's description only. CONFIRM. (2) Holders found: (a) BMRDA-03 p.16, Annexure-1, row 1. The Kannada is in a legacy Nudi font and the extraction garbled it. I read it the same way as Step 2: Girish C. Hosur, IFS, Metropolitan Commissioner, from 18.01.2022, still in post as of 31.03.2023 ('ivarege'), parent department DPAR. Row 4 carries an in-charge flag '(pra)'; row 1 has none, so Hosur looks like a substantive holder. A reviewer should check this against the original PDF. (b) BMRDA-06, the Contact Us page, names Sri. Rajendra P Cholan as Metropolitan Commissioner. It gives no date and does not say whether the charge is substantive. (3) Why no band: at least 2 different holders fall in the window. Someone held the post before 18.01.2022, which is probably also inside the window, but the sheet does not name them. Hosur's end date, Cholan's start date and any holder in between are also unknown. The true count could be 2-3 (score 5) or more than 3 (score 0). Picking one would be a guess. RUBRIC-GAP: the evidence fits no single band. A score of 0 cannot be justified on affirmative absence either. (4) What I checked: BMRDA-03 (pp.10, 14-16), BMRDA-06, BMRDA-13 (only website boilerplate came back), and a sheet-wide search for 'Metropolitan Commissioner former list of commissioners', which found only BMRDA-10, BMRDA-03 and BMRDA-05 with no appointment records. Step 2 also checked BMRDA-08, BMRDA-10 and BMRDA-11: none has a BMRDA appointment or transfer record. (5) Missing evidence: DPAR (Services) appointment and transfer notifications or Gazette entries for the Metropolitan Commissioner, BMRDA, 2021-2026, with joining and relieving dates and whether each charge was substantive or additional. RTI target: the PIO at DPAR and the PIO at BMRDA. Agrees with Step 2's 'Partially Answered / band undetermined'.
Quote: "The Metropolitan Commissioner is the ex-officio Member Secretary of the Authority."
"Score" left blank: the Citation Sheet doesn't decide it.</t>
  </si>
  <si>
    <t xml:space="preserve">AI: left for a person. Step 2 found no evidence (Insufficient Evidence). Source needed: What would answer this: official Government of Gujarat orders (from the General Administration Department or the Urban Development &amp; Urban Housing Department) appointing or transferring the Chief Executive Authority of SUDA from about 2021 to now, gazette notices of those postings, or a dated SUDA web page listing past CEAs with their dates of charge. These should show which holders were substantive and which held additional or acting charge.</t>
  </si>
  <si>
    <t xml:space="preserve">Board's Report, XIII. Details of Directors &amp; Key Managerial Personnel (KMP)</t>
  </si>
  <si>
    <t xml:space="preserve">Annual Report FY2022-23, pp.45-47; Form MGT-9 Annexure-4, VI.A (p.75)</t>
  </si>
  <si>
    <t xml:space="preserve">List of director changes during FY2022-23; KMP list under s.203 of the Companies Act, 2013; MD remuneration table</t>
  </si>
  <si>
    <t xml:space="preserve">AI (low confidence), from Step 2 answer (Partially Answered) and GMRC-25: SCORE LEFT BLANK. I can't settle how many Managing Directors GMRC had across the whole five-year window from the Citation Sheet alone.
What the sources support (I checked the Step 2 answer against them and it holds):
(1) The MD is the chief executive. GMRC-25 p.45 says: 'The general powers of Management are vested in the Managing Director'. The Chairman is the MoHUA Secretary, ex officio, so he is not the chief executive.
(2) S. S. Rathore was the only MD across FY2022-23:
- GMRC-25 pp.45-47: no MD appears among the director changes for 1-Apr-2022 to 31-Mar-2023, and he is the MD in the s.203 KMP list.
- GMRC-25 p.75, MGT-9 VI.A: the remuneration table puts no 'w.e.f.' or 'upto' date against Rathore. Other directors have those dates, which suggests he held the post for the full year.
- GMRC-25: the changes for FY2023-24 up to the AGM include no MD change.
(3) GMRC-06 (FY2023-24) and GMRC-05 (FY2024-25) both show Rathore as MD. GMRC-05 records a Joint MD, Sanjay Gupta, from 21-12-2024. He is a functional director who signs alongside the MD, so I did not count him.
(4) GMRC-04, the website page last updated 12-Oct-2026, still lists 'Shri S. S. Rathore Managing Director'.
What is missing: no source gives the date Rathore was appointed, and none covers about Oct 2021 to Mar 2022. I checked:
- GMRC-25: Board's Report, KMP list, MGT-9 remuneration table and AOC-2; Note-25 (related party disclosures) is only referred to and its text is not in the extract.
- GMRC-03: the RTI s.4(1)(b) disclosure, which names no MD and gives no dates.
- GMRC-04: the board page.
- Searches across all sources for appointment, tenure and additional-charge wording.
There is no FY2021-22 annual report and no MD appointment order. The score would be 10 if Rathore was MD for the whole window and 5 if there were 2-3 MDs. I can't tell which, so I left it blank rather than guess.
For a person to check:
(a) Get Rathore's appointment date, and any acting or additional-charge MD between Oct 2021 and Mar 2022, from the FY2021-22 Annual Report or an RTI to the GMRC PIO.
(b) Confirm the end date of the five-year window.
(c) Confirm that the Joint MD is not treated as a chief executive.
(d) Confirm that GMRC is in scope for Surat while Surat Phase-1 is still being built.
Minor point: in the GMRC-25 remuneration table Prashant Rao is marked 'Upto 21.02.2022', but the Board's Report gives 21-Feb-2023. This looks like a typo and doesn't affect the MD count.
Quote: "Pursuant to the provisions of section 203 of the Act, the Key Managerial Personnel of the Company are – MANAGING DIRECTOR - Shri S. S. Rathore"
"Score" left blank: the Citation Sheet doesn't decide it.</t>
  </si>
  <si>
    <t xml:space="preserve">Chapter 2, Section 2.2.3 Relevant Organizations to the Sectors, (3) BWSSB (page 2-38, PDF page 116)</t>
  </si>
  <si>
    <t xml:space="preserve">Table 2.2.11 Present Number of BWSSB Permanent Staff (Source: BWSSB as of August, 2017)</t>
  </si>
  <si>
    <t xml:space="preserve">Total row: Sanctioned 3,501 / Actual working 2,157 / Vacancy 1,344</t>
  </si>
  <si>
    <t xml:space="preserve">116</t>
  </si>
  <si>
    <t xml:space="preserve">AI: left for a person. Step 2 found no evidence (Insufficient Evidence). Source needed: A current, dated official record that gives BWSSB's sanctioned and working (filled) strength by cadre, including contractual staff that are part of the approved structure. Possible sources: (a) the Board's latest annual report laid in the Karnataka Legislature; (b) the Section 4(1)(b) disclosure on the number of employees and posts; (c) the 2026 re-organisation documents (Re-Organisation Chart 2026 and the deployment office memorandum with Annexures 1-2), if they give sanctioned and deployed post counts; (d) a reply to an RTI request or formal data request.</t>
  </si>
  <si>
    <t xml:space="preserve">AI: left for a person. Step 2 found no evidence (Insufficient Evidence). Source needed: Any of the following would answer the question: (a) BMTC's latest annual report (for example the copy laid before the Karnataka Legislature under s.35 of the RTC Act 1950) giving sanctioned and working strength by cadre; (b) BMTC's RTI s.4(1)(b) disclosure listing sanctioned posts and incumbents; (c) a formal data request or RTI reply from BMTC's Chief Personnel Manager giving sanctioned and filled posts, including approved contractual posts, as of a recent date.</t>
  </si>
  <si>
    <t xml:space="preserve">AI: left for a person. Step 2 found no evidence (Insufficient Evidence). Source needed: A dated official record of BDA's sanctioned and working (filled) strength, broken down by cadre, saying whether contract or outsourced posts are part of the sanctioned schedule. Possible sources: BDA's annual report under s.47A tabled in the Karnataka Legislature; its RTI s.4(1)(b) proactive disclosure; the government order sanctioning the staff schedule under s.49 together with a current vacancy statement; the staff statement in BDA's budget estimates; or the reply to a formal data request or RTI application.</t>
  </si>
  <si>
    <t xml:space="preserve">AI: left for a person. Step 2 found no evidence (Insufficient Evidence). Source needed: One of: a recent BMRCL annual report or HR statement listing sanctioned and working strength by wing (Project and O&amp;M) and by category (regular, contract, deputation); a Board or Government of Karnataka order sanctioning BMRCL's post structure, including Phase-2 posts; or an RTI reply from BMRCL giving sanctioned and filled posts for the latest completed financial year.</t>
  </si>
  <si>
    <t xml:space="preserve">Annual Report of BMRDA for 2022-23 (01-04-2022 to 31-03-2023), English section</t>
  </si>
  <si>
    <t xml:space="preserve">Para 11 'Staff position', page 15</t>
  </si>
  <si>
    <t xml:space="preserve">Post-by-post details are in Annexure-1, page 16 (Kannada legacy-font text)</t>
  </si>
  <si>
    <r>
      <rPr>
        <sz val="11"/>
        <color theme="1"/>
        <rFont val="Calibri"/>
        <family val="2"/>
        <charset val="1"/>
      </rPr>
      <t xml:space="preserve">AI (low confidence), from Step 2 answer (Partially Answered) and BMRDA-03: I left the score blank. I checked the Step 2 answer against the source and it holds up. BMRDA-03, page 15, para 11 says that on 31.03.2023 BMRDA had 56 sanctioned posts, 27 filled and 29 vacant. That is 27/56 = 48.21% filled. On the band Step 2 reports (40%–59%), that would be Score 2. The score is blank for three reasons. (1) The figure is a single snapshot from the FY 2022-23 Annual Report, three years before this September 2026 assessment. The v2 rules say an old document is at most partial evidence of the current position. I searched the Citation Sheet for a later staffing figure (searches: 'sanctioned posts filled vacant staff strength' and 'staff position 2024 2025 working strength vacancies BMRDA') and found none. The only hits were BMRDA-03 and unrelated passages in the GBG Act (BMRDA-10) about city corporation cadres. (2) The full SC7a rubric text was not given to me in this task. I could not check the 40%–59% → 2 band myself; it comes only from the Step 2 answer. (3) Annexure-1 (page 16) is in Kannada legacy-font encoding. I could not reliably confirm what counts as 'filled'. Several entries seem to be temporary or in-charge postings ('</t>
    </r>
    <r>
      <rPr>
        <sz val="11"/>
        <color theme="1"/>
        <rFont val="Noto Sans"/>
        <family val="2"/>
      </rPr>
      <t xml:space="preserve">ತಾತ್ಕಾಲಿಕ ಹುದ್ದೆ</t>
    </r>
    <r>
      <rPr>
        <sz val="11"/>
        <color theme="1"/>
        <rFont val="Calibri"/>
        <family val="2"/>
        <charset val="1"/>
      </rPr>
      <t xml:space="preserve">' / in-charge) or deputations from DPAR, the Town Planning Department and the State Accounts Department. I also could not tell whether any contract or outsourced staff sit outside the 56 sanctioned posts. FOR THE TEAM TO CONFIRM: (a) Can the 31.03.2023 figure stand as the current position? If yes and the rubric band is confirmed, the score is 2. (b) Check SC7a's rubric bands against the Max Score of 5. (c) Get a later figure: the FY 2023-24 or FY 2024-25 BMRDA Annual Report (Legislature Paper), or file an RTI with the PIO, Administration &amp; Revenue Section, BMRDA (Assistant Metropolitan Commissioner). Ask for sanctioned posts, filled posts (split into regular, deputation and contract) and vacancies on the latest date. Sources checked: BMRDA-03 (staffing figure found), BMRDA-05, -06, -07, -12 and the other website pages (no staffing data), and BMRDA-08, -10, -11 (legal texts with no BMRDA staffing data). This is not a zero: the evidence is there but out of date.
Quote: "The sanctioned staff strength for the Authority as on the 31.03.2023 is 56, out of this, only 27   posts have been filled up and the remaining 29 posts are vacant."
"Score" left blank: the Citation Sheet doesn't decide it.</t>
    </r>
  </si>
  <si>
    <t xml:space="preserve">AI: left for a person. Step 2 found no evidence (Insufficient Evidence). Source needed: A current, dated SUDA record of sanctioned versus filled posts (permanent and contractual within the approved structure). Possible sources: SUDA's latest Annual Report to the State Government under Rule 49; its annual financial statement with the Form P salary statement under Rule 47(3); a staffing or organisation page on SUDA's website, or its RTI section 4(1)(b) disclosure; or an RTI or formal data-request reply from SUDA.</t>
  </si>
  <si>
    <t xml:space="preserve">AI: left for a person. Step 2 found no evidence (Insufficient Evidence). Source needed: A GMRC record of sanctioned and working strength for the latest year, broken down by grade or cadre, with permanent, deputation and contractual staff in the approved structure shown separately (and ideally the Surat project/O&amp;M on its own). This could be an HR annexure to the annual report, a Board-approved manpower plan, the UD&amp;UHD sanction of posts, or an RTI reply from GMRC's PIO.</t>
  </si>
  <si>
    <t xml:space="preserve">AI: left for a person. Step 2 found no evidence (Insufficient Evidence). Source needed: Current staffing data from BWSSB that counts women employees against total filled posts. This could be a recent BWSSB annual report with gender-split staff tables, an RTI reply, or a formal data request to BWSSB's administration wing. Ideally it would also split senior/decision-making posts (Group A / Chief Engineer and above) and technical/professional cadres by gender.</t>
  </si>
  <si>
    <t xml:space="preserve">AI: left for a person. Step 2 found no evidence (Insufficient Evidence). Source needed: A dated, gender-disaggregated BMTC staffing record. This could be the latest BMTC Annual Report (laid before the Karnataka Legislature under the RTC Act, 1950), an HR/establishment statement from the Administrative Department (Chief Personnel Manager) giving total filled posts and the number of women employees, or an RTI 4(1)(b) disclosure. Ideally it would be broken down by cadre: officers/senior management, technical/engineering, drivers, conductors, mechanics and ministerial staff.</t>
  </si>
  <si>
    <t xml:space="preserve">AI: left for a person. Step 2 found no evidence (Insufficient Evidence). Source needed: Any dated official BDA staffing record that splits filled posts by gender and, ideally, by cadre or grade. Examples: BDA's latest annual report (s.4H of the Town and Country Planning Act refers to annual reports of Planning Authorities); BDA's RTI s.4(1)(b) staff directory or establishment list for the current year; a sanctioned-versus-working strength table from the Urban Development Department; or BDA's reply to an RTI or formal data request.</t>
  </si>
  <si>
    <t xml:space="preserve">AI: left for a person. Step 2 found no evidence (Insufficient Evidence). Source needed: Recent staffing data from BMRCL that splits filled posts by gender, for both the Project and O&amp;M wings, ideally also by cadre (executives/senior management, engineers/technical). Possible sources: the latest Annual Report or Board's Report, an HR statement on the website, an RTI reply or a formal data request.</t>
  </si>
  <si>
    <t xml:space="preserve">English section of the Annual Report 2022-23</t>
  </si>
  <si>
    <t xml:space="preserve">Para 11 'Staff position', p.15; Annexure-1 (staff list in Kannada), p.16 onward</t>
  </si>
  <si>
    <t xml:space="preserve">AI (low confidence), from Step 2 answer (Partially Answered) and BMRDA-03: SCORE LEFT BLANK. The question's rubric bands were not supplied with this task. Even with them, the Citation Sheet does not give the number of women employees, so the share of women cannot be calculated. I checked the Step 2 answer against the sources and it holds. (1) BMRDA-03 para 11 (FY 2022-23, as on 31.03.2023) gives only the totals: 56 sanctioned posts, 27 filled. It gives no gender breakdown. (2) BMRDA-03 Annexure-1 lists everyone who served at any point from 01.04.2022 to 31.03.2023, including people who left during the year, so it does not match the 27 posts filled at year-end. Its column header says '(Sri/Smt)', but the extracted entries carry no honorifics. It has no gender column and no count of women, and the extracted text is in a legacy Kannada font encoding and is cut off at item 21. Some names in it read as typically female, but guessing gender from personal names is not allowed, so I did not count women that way. (3) BMRDA-06, the Contact Us page (undated; footer © 2026), lists only a partial set of senior posts. One officer carries a women's honorific: 'Smt. Suma J, Metropolitan Planner and Director'. Two other names on the page, Shakuntala Kuravatti (Assistant Director) and Anusha Y K (Accounts Officer), have no honorific. This page is not a workforce total, so it cannot give a denominator. (4) search_citation_sheet for 'women employees female staff gender' found no gender-wise staffing data in BMRDA-08 (Karnataka Town and Country Planning Act), BMRDA-11 (Bengaluru Metropolitan Land Transport Authority Act) or the other website pages. A score of 0 is not justified: women are not shown to be absent, and the data are simply not in the sheet ('not found', not 'absent'). FOR A HUMAN REVIEWER: (a) open the original BMRDA-03 PDF and check whether Annexure-1 prints Sri/Smt against each name for staff still in post on 31.03.2023. Only use it if the honorifics are actually printed. (b) Or check the RTI 4(1)(b) staff directory on the BMRDA website; it is not in the Citation Sheet. (c) Or file an RTI request with the Public Information Officer (Assistant Metropolitan Commissioner, Administration &amp; Revenue section) for the number of women and men in filled posts by cadre, as of the latest date. RUBRIC-GAP/INFO: the rubric bands were not provided; confirm them before scoring.
Quote: "The sanctioned staff strength for the Authority as on the 31.03.2023 is 56, out of this, only 27   posts have been filled up and the remaining 29 posts are vacant."
"Score" left blank: the Citation Sheet doesn't decide it.</t>
  </si>
  <si>
    <t xml:space="preserve">AI: left for a person. Step 2 found no evidence (Insufficient Evidence). Source needed: Any one of these would answer it: SUDA's latest annual report; its establishment schedule or staff list showing sanctioned and filled posts by sex and by cadre (senior, technical, administrative); its RTI disclosure listing officers and employees (under section 4(1)(b) of the RTI Act); or a dated reply from SUDA or the Gujarat Urban Development and Urban Housing Department to a formal data request.</t>
  </si>
  <si>
    <t xml:space="preserve">AI: left for a person. Step 2 found no evidence (Insufficient Evidence). Source needed: Current staffing records for GMRC as a whole, such as an annual report or HR disclosure table, a staffing statement on its website, or an RTI reply. These should give the total filled posts and the number of women employees as of a stated date, ideally split by grade (senior and decision-making) and by technical or professional cadre.</t>
  </si>
</sst>
</file>

<file path=xl/styles.xml><?xml version="1.0" encoding="utf-8"?>
<styleSheet xmlns="http://schemas.openxmlformats.org/spreadsheetml/2006/main">
  <numFmts count="1">
    <numFmt numFmtId="164" formatCode="General"/>
  </numFmts>
  <fonts count="11">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u val="single"/>
      <sz val="11"/>
      <color rgb="FF1F4E9C"/>
      <name val="Cambria"/>
      <family val="0"/>
      <charset val="1"/>
    </font>
    <font>
      <sz val="11"/>
      <color theme="1"/>
      <name val="Noto Sans"/>
      <family val="2"/>
    </font>
    <font>
      <b val="true"/>
      <sz val="14"/>
      <name val="Cambria"/>
      <family val="0"/>
      <charset val="1"/>
    </font>
    <font>
      <i val="true"/>
      <sz val="11"/>
      <name val="Cambria"/>
      <family val="0"/>
      <charset val="1"/>
    </font>
    <font>
      <b val="true"/>
      <u val="single"/>
      <sz val="11"/>
      <color rgb="FF1F4E9C"/>
      <name val="Cambria"/>
      <family val="0"/>
      <charset val="1"/>
    </font>
    <font>
      <b val="true"/>
      <sz val="9"/>
      <name val="Cambria"/>
      <family val="0"/>
      <charset val="1"/>
    </font>
  </fonts>
  <fills count="7">
    <fill>
      <patternFill patternType="none"/>
    </fill>
    <fill>
      <patternFill patternType="gray125"/>
    </fill>
    <fill>
      <patternFill patternType="solid">
        <fgColor rgb="FFDDE7F0"/>
        <bgColor rgb="FFE7E6E6"/>
      </patternFill>
    </fill>
    <fill>
      <patternFill patternType="solid">
        <fgColor rgb="FFF2C200"/>
        <bgColor rgb="FFFF9900"/>
      </patternFill>
    </fill>
    <fill>
      <patternFill patternType="solid">
        <fgColor rgb="FFFFF2B3"/>
        <bgColor rgb="FFFFF6D5"/>
      </patternFill>
    </fill>
    <fill>
      <patternFill patternType="solid">
        <fgColor rgb="FFFFF6D5"/>
        <bgColor rgb="FFFFF2B3"/>
      </patternFill>
    </fill>
    <fill>
      <patternFill patternType="solid">
        <fgColor rgb="FFE7E6E6"/>
        <bgColor rgb="FFDDE7F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4" fillId="3"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0" fillId="4" borderId="0" xfId="0" applyFont="fals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0" fillId="5" borderId="0" xfId="0" applyFont="false" applyBorder="false" applyAlignment="true" applyProtection="false">
      <alignment horizontal="general" vertical="bottom" textRotation="0" wrapText="false" indent="0" shrinkToFit="false"/>
      <protection locked="true" hidden="false"/>
    </xf>
    <xf numFmtId="164" fontId="0" fillId="6" borderId="0" xfId="0" applyFont="true" applyBorder="false" applyAlignment="true" applyProtection="false">
      <alignment horizontal="general" vertical="bottom" textRotation="0" wrapText="false" indent="0" shrinkToFit="false"/>
      <protection locked="true" hidden="false"/>
    </xf>
    <xf numFmtId="164" fontId="0" fillId="6" borderId="0" xfId="0" applyFont="fals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DDE7F0"/>
          <bgColor rgb="FF000000"/>
        </patternFill>
      </fill>
    </dxf>
    <dxf>
      <fill>
        <patternFill patternType="solid">
          <bgColor rgb="FF000000"/>
        </patternFill>
      </fill>
    </dxf>
    <dxf>
      <fill>
        <patternFill patternType="solid">
          <fgColor rgb="FF1F4E9C"/>
          <bgColor rgb="FF000000"/>
        </patternFill>
      </fill>
    </dxf>
    <dxf>
      <fill>
        <patternFill patternType="solid">
          <fgColor rgb="FF000000"/>
          <bgColor rgb="FF000000"/>
        </patternFill>
      </fill>
    </dxf>
    <dxf>
      <fill>
        <patternFill patternType="solid">
          <fgColor rgb="FFF2C200"/>
          <bgColor rgb="FF000000"/>
        </patternFill>
      </fill>
    </dxf>
    <dxf>
      <fill>
        <patternFill patternType="solid">
          <fgColor rgb="FFFFF2B3"/>
          <bgColor rgb="FF000000"/>
        </patternFill>
      </fill>
    </dxf>
    <dxf>
      <fill>
        <patternFill patternType="solid">
          <fgColor rgb="FFFBD5B5"/>
          <bgColor rgb="FF000000"/>
        </patternFill>
      </fill>
    </dxf>
    <dxf>
      <fill>
        <patternFill>
          <bgColor rgb="FFC6E7C1"/>
        </patternFill>
      </fill>
    </dxf>
    <dxf>
      <fill>
        <patternFill>
          <bgColor rgb="FFFBD5B5"/>
        </patternFill>
      </fill>
    </dxf>
    <dxf>
      <fill>
        <patternFill>
          <bgColor rgb="FFF4B6B6"/>
        </patternFill>
      </fill>
    </dxf>
  </dxfs>
  <colors>
    <indexedColors>
      <rgbColor rgb="FF000000"/>
      <rgbColor rgb="FFE7E6E6"/>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6D5"/>
      <rgbColor rgb="FFDDE7F0"/>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7C1"/>
      <rgbColor rgb="FFFFF2B3"/>
      <rgbColor rgb="FF99CCFF"/>
      <rgbColor rgb="FFF4B6B6"/>
      <rgbColor rgb="FFCC99FF"/>
      <rgbColor rgb="FFFBD5B5"/>
      <rgbColor rgb="FF3366FF"/>
      <rgbColor rgb="FF33CCCC"/>
      <rgbColor rgb="FF99CC00"/>
      <rgbColor rgb="FFF2C200"/>
      <rgbColor rgb="FFFF9900"/>
      <rgbColor rgb="FFFF6600"/>
      <rgbColor rgb="FF666699"/>
      <rgbColor rgb="FF969696"/>
      <rgbColor rgb="FF003366"/>
      <rgbColor rgb="FF2E9C5A"/>
      <rgbColor rgb="FF003300"/>
      <rgbColor rgb="FF333300"/>
      <rgbColor rgb="FF993300"/>
      <rgbColor rgb="FF993366"/>
      <rgbColor rgb="FF1F4E9C"/>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worksheet" Target="worksheets/sheet41.xml"/><Relationship Id="rId44" Type="http://schemas.openxmlformats.org/officeDocument/2006/relationships/worksheet" Target="worksheets/sheet42.xml"/><Relationship Id="rId45" Type="http://schemas.openxmlformats.org/officeDocument/2006/relationships/worksheet" Target="worksheets/sheet43.xml"/><Relationship Id="rId46" Type="http://schemas.openxmlformats.org/officeDocument/2006/relationships/worksheet" Target="worksheets/sheet44.xml"/><Relationship Id="rId47" Type="http://schemas.openxmlformats.org/officeDocument/2006/relationships/worksheet" Target="worksheets/sheet45.xml"/><Relationship Id="rId48" Type="http://schemas.openxmlformats.org/officeDocument/2006/relationships/worksheet" Target="worksheets/sheet46.xml"/><Relationship Id="rId49" Type="http://schemas.openxmlformats.org/officeDocument/2006/relationships/worksheet" Target="worksheets/sheet47.xml"/><Relationship Id="rId5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9C5A"/>
    <pageSetUpPr fitToPage="false"/>
  </sheetPr>
  <dimension ref="A1:R21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9"/>
    <col collapsed="false" customWidth="true" hidden="false" outlineLevel="0" max="2" min="2" style="0" width="24"/>
    <col collapsed="false" customWidth="true" hidden="false" outlineLevel="0" max="3" min="3" style="0" width="50"/>
    <col collapsed="false" customWidth="true" hidden="false" outlineLevel="0" max="4" min="4" style="0" width="9"/>
    <col collapsed="false" customWidth="true" hidden="false" outlineLevel="0" max="5" min="5" style="0" width="8"/>
    <col collapsed="false" customWidth="true" hidden="false" outlineLevel="0" max="6" min="6" style="0" width="12"/>
    <col collapsed="false" customWidth="true" hidden="false" outlineLevel="0" max="7" min="7" style="0" width="30"/>
    <col collapsed="false" customWidth="true" hidden="false" outlineLevel="0" max="8" min="8" style="0" width="10"/>
    <col collapsed="false" customWidth="true" hidden="false" outlineLevel="0" max="9" min="9" style="0" width="9"/>
    <col collapsed="false" customWidth="true" hidden="false" outlineLevel="0" max="10" min="10" style="0" width="14"/>
    <col collapsed="false" customWidth="true" hidden="false" outlineLevel="0" max="11" min="11" style="0" width="16"/>
    <col collapsed="false" customWidth="true" hidden="false" outlineLevel="0" max="12" min="12" style="0" width="20"/>
    <col collapsed="false" customWidth="true" hidden="false" outlineLevel="0" max="13" min="13" style="0" width="60"/>
    <col collapsed="false" customWidth="true" hidden="false" outlineLevel="0" max="14" min="14" style="0" width="36"/>
    <col collapsed="false" customWidth="true" hidden="false" outlineLevel="0" max="15" min="15" style="0" width="30"/>
    <col collapsed="false" customWidth="true" hidden="false" outlineLevel="0" max="16" min="16" style="0" width="50"/>
    <col collapsed="false" customWidth="true" hidden="false" outlineLevel="0" max="17" min="17" style="0" width="70"/>
    <col collapsed="false" customWidth="true" hidden="false" outlineLevel="0" max="18" min="18" style="0" width="50"/>
  </cols>
  <sheetData>
    <row r="1" customFormat="false" ht="31.5" hidden="false" customHeight="true" outlineLevel="0" collapsed="false">
      <c r="A1" s="1" t="s">
        <v>0</v>
      </c>
      <c r="B1" s="1" t="s">
        <v>1</v>
      </c>
      <c r="C1" s="1" t="s">
        <v>2</v>
      </c>
      <c r="D1" s="1" t="s">
        <v>3</v>
      </c>
      <c r="E1" s="1" t="s">
        <v>4</v>
      </c>
      <c r="F1" s="2" t="s">
        <v>5</v>
      </c>
      <c r="G1" s="2" t="s">
        <v>6</v>
      </c>
      <c r="H1" s="1" t="s">
        <v>7</v>
      </c>
      <c r="I1" s="1" t="s">
        <v>8</v>
      </c>
      <c r="J1" s="1" t="s">
        <v>9</v>
      </c>
      <c r="K1" s="1" t="s">
        <v>10</v>
      </c>
      <c r="L1" s="1" t="s">
        <v>11</v>
      </c>
      <c r="M1" s="1" t="s">
        <v>12</v>
      </c>
      <c r="N1" s="1" t="s">
        <v>13</v>
      </c>
      <c r="O1" s="1" t="s">
        <v>14</v>
      </c>
      <c r="P1" s="1" t="s">
        <v>15</v>
      </c>
      <c r="Q1" s="1" t="s">
        <v>16</v>
      </c>
      <c r="R1" s="1" t="s">
        <v>17</v>
      </c>
    </row>
    <row r="2" customFormat="false" ht="93" hidden="false" customHeight="true" outlineLevel="0" collapsed="false">
      <c r="A2" s="3" t="s">
        <v>18</v>
      </c>
      <c r="B2" s="4" t="s">
        <v>19</v>
      </c>
      <c r="C2" s="4"/>
      <c r="D2" s="4" t="n">
        <f aca="false">IFERROR(UPD1a!L13,"")</f>
        <v>1.25</v>
      </c>
      <c r="E2" s="4"/>
      <c r="F2" s="5"/>
      <c r="G2" s="5"/>
      <c r="H2" s="6" t="str">
        <f aca="false">IF(OR(F2="",NOT(ISNUMBER(D2))),"",IF(ABS(F2-D2)&lt;0.001,"Yes","No"))</f>
        <v/>
      </c>
      <c r="I2" s="7" t="n">
        <f aca="false">IF(ISNUMBER(F2),F2,D2)</f>
        <v>1.25</v>
      </c>
      <c r="J2" s="6" t="str">
        <f aca="false">IF(ISNUMBER(F2),"Expert (overrides AI)",IF(ISNUMBER(D2),"AI","Not scored yet"))</f>
        <v>AI</v>
      </c>
      <c r="K2" s="4" t="s">
        <v>20</v>
      </c>
      <c r="L2" s="4" t="s">
        <v>21</v>
      </c>
      <c r="M2" s="4" t="s">
        <v>22</v>
      </c>
      <c r="N2" s="4" t="s">
        <v>23</v>
      </c>
      <c r="O2" s="4" t="s">
        <v>24</v>
      </c>
      <c r="P2" s="4" t="s">
        <v>25</v>
      </c>
      <c r="Q2" s="4" t="s">
        <v>26</v>
      </c>
      <c r="R2" s="4" t="s">
        <v>27</v>
      </c>
    </row>
    <row r="3" customFormat="false" ht="93" hidden="false" customHeight="true" outlineLevel="0" collapsed="false">
      <c r="A3" s="3" t="s">
        <v>18</v>
      </c>
      <c r="B3" s="4" t="s">
        <v>28</v>
      </c>
      <c r="C3" s="4"/>
      <c r="D3" s="4" t="str">
        <f aca="false">IFERROR(UPD1a!L14,"")</f>
        <v/>
      </c>
      <c r="E3" s="4"/>
      <c r="F3" s="5"/>
      <c r="G3" s="5"/>
      <c r="H3" s="6" t="str">
        <f aca="false">IF(OR(F3="",NOT(ISNUMBER(D3))),"",IF(ABS(F3-D3)&lt;0.001,"Yes","No"))</f>
        <v/>
      </c>
      <c r="I3" s="7" t="str">
        <f aca="false">IF(ISNUMBER(F3),F3,D3)</f>
        <v/>
      </c>
      <c r="J3" s="6" t="str">
        <f aca="false">IF(ISNUMBER(F3),"Expert (overrides AI)",IF(ISNUMBER(D3),"AI","Not scored yet"))</f>
        <v>Not scored yet</v>
      </c>
      <c r="K3" s="4" t="s">
        <v>20</v>
      </c>
      <c r="L3" s="4" t="s">
        <v>21</v>
      </c>
      <c r="M3" s="4" t="s">
        <v>29</v>
      </c>
      <c r="N3" s="4" t="s">
        <v>30</v>
      </c>
      <c r="O3" s="4" t="s">
        <v>31</v>
      </c>
      <c r="P3" s="4" t="s">
        <v>32</v>
      </c>
      <c r="Q3" s="4" t="s">
        <v>33</v>
      </c>
      <c r="R3" s="4" t="s">
        <v>27</v>
      </c>
    </row>
    <row r="4" customFormat="false" ht="93" hidden="false" customHeight="true" outlineLevel="0" collapsed="false">
      <c r="A4" s="3" t="s">
        <v>18</v>
      </c>
      <c r="B4" s="4" t="s">
        <v>34</v>
      </c>
      <c r="C4" s="4"/>
      <c r="D4" s="4" t="n">
        <f aca="false">IFERROR(UPD1a!L15,"")</f>
        <v>3.75</v>
      </c>
      <c r="E4" s="4"/>
      <c r="F4" s="5"/>
      <c r="G4" s="5"/>
      <c r="H4" s="6" t="str">
        <f aca="false">IF(OR(F4="",NOT(ISNUMBER(D4))),"",IF(ABS(F4-D4)&lt;0.001,"Yes","No"))</f>
        <v/>
      </c>
      <c r="I4" s="7" t="n">
        <f aca="false">IF(ISNUMBER(F4),F4,D4)</f>
        <v>3.75</v>
      </c>
      <c r="J4" s="6" t="str">
        <f aca="false">IF(ISNUMBER(F4),"Expert (overrides AI)",IF(ISNUMBER(D4),"AI","Not scored yet"))</f>
        <v>AI</v>
      </c>
      <c r="K4" s="4" t="s">
        <v>20</v>
      </c>
      <c r="L4" s="4" t="s">
        <v>21</v>
      </c>
      <c r="M4" s="4" t="s">
        <v>35</v>
      </c>
      <c r="N4" s="4" t="s">
        <v>36</v>
      </c>
      <c r="O4" s="4" t="s">
        <v>37</v>
      </c>
      <c r="P4" s="4" t="s">
        <v>38</v>
      </c>
      <c r="Q4" s="4" t="s">
        <v>39</v>
      </c>
      <c r="R4" s="4" t="s">
        <v>27</v>
      </c>
    </row>
    <row r="5" customFormat="false" ht="93" hidden="false" customHeight="true" outlineLevel="0" collapsed="false">
      <c r="A5" s="3" t="s">
        <v>18</v>
      </c>
      <c r="B5" s="4" t="s">
        <v>40</v>
      </c>
      <c r="C5" s="4"/>
      <c r="D5" s="4" t="n">
        <f aca="false">IFERROR(UPD1a!L16,"")</f>
        <v>0</v>
      </c>
      <c r="E5" s="4"/>
      <c r="F5" s="5"/>
      <c r="G5" s="5"/>
      <c r="H5" s="6" t="str">
        <f aca="false">IF(OR(F5="",NOT(ISNUMBER(D5))),"",IF(ABS(F5-D5)&lt;0.001,"Yes","No"))</f>
        <v/>
      </c>
      <c r="I5" s="7" t="n">
        <f aca="false">IF(ISNUMBER(F5),F5,D5)</f>
        <v>0</v>
      </c>
      <c r="J5" s="6" t="str">
        <f aca="false">IF(ISNUMBER(F5),"Expert (overrides AI)",IF(ISNUMBER(D5),"AI","Not scored yet"))</f>
        <v>AI</v>
      </c>
      <c r="K5" s="4" t="s">
        <v>20</v>
      </c>
      <c r="L5" s="4" t="s">
        <v>21</v>
      </c>
      <c r="M5" s="4" t="s">
        <v>41</v>
      </c>
      <c r="N5" s="4" t="s">
        <v>42</v>
      </c>
      <c r="O5" s="4" t="s">
        <v>31</v>
      </c>
      <c r="P5" s="4" t="s">
        <v>43</v>
      </c>
      <c r="Q5" s="4" t="s">
        <v>44</v>
      </c>
      <c r="R5" s="4" t="s">
        <v>27</v>
      </c>
    </row>
    <row r="6" customFormat="false" ht="93" hidden="false" customHeight="true" outlineLevel="0" collapsed="false">
      <c r="A6" s="3" t="s">
        <v>18</v>
      </c>
      <c r="B6" s="4" t="s">
        <v>45</v>
      </c>
      <c r="C6" s="4"/>
      <c r="D6" s="4" t="n">
        <f aca="false">IFERROR(UPD1a!L17,"")</f>
        <v>0</v>
      </c>
      <c r="E6" s="4"/>
      <c r="F6" s="5"/>
      <c r="G6" s="5"/>
      <c r="H6" s="6" t="str">
        <f aca="false">IF(OR(F6="",NOT(ISNUMBER(D6))),"",IF(ABS(F6-D6)&lt;0.001,"Yes","No"))</f>
        <v/>
      </c>
      <c r="I6" s="7" t="n">
        <f aca="false">IF(ISNUMBER(F6),F6,D6)</f>
        <v>0</v>
      </c>
      <c r="J6" s="6" t="str">
        <f aca="false">IF(ISNUMBER(F6),"Expert (overrides AI)",IF(ISNUMBER(D6),"AI","Not scored yet"))</f>
        <v>AI</v>
      </c>
      <c r="K6" s="4" t="s">
        <v>20</v>
      </c>
      <c r="L6" s="4" t="s">
        <v>21</v>
      </c>
      <c r="M6" s="4" t="s">
        <v>46</v>
      </c>
      <c r="N6" s="4" t="s">
        <v>47</v>
      </c>
      <c r="O6" s="4" t="s">
        <v>48</v>
      </c>
      <c r="P6" s="4" t="s">
        <v>49</v>
      </c>
      <c r="Q6" s="4" t="s">
        <v>50</v>
      </c>
      <c r="R6" s="4" t="s">
        <v>27</v>
      </c>
    </row>
    <row r="7" customFormat="false" ht="93" hidden="false" customHeight="true" outlineLevel="0" collapsed="false">
      <c r="A7" s="3" t="s">
        <v>18</v>
      </c>
      <c r="B7" s="4" t="s">
        <v>51</v>
      </c>
      <c r="C7" s="4"/>
      <c r="D7" s="4" t="str">
        <f aca="false">IFERROR(UPD1a!L18,"")</f>
        <v/>
      </c>
      <c r="E7" s="4"/>
      <c r="F7" s="5"/>
      <c r="G7" s="5"/>
      <c r="H7" s="6" t="str">
        <f aca="false">IF(OR(F7="",NOT(ISNUMBER(D7))),"",IF(ABS(F7-D7)&lt;0.001,"Yes","No"))</f>
        <v/>
      </c>
      <c r="I7" s="7" t="str">
        <f aca="false">IF(ISNUMBER(F7),F7,D7)</f>
        <v/>
      </c>
      <c r="J7" s="6" t="str">
        <f aca="false">IF(ISNUMBER(F7),"Expert (overrides AI)",IF(ISNUMBER(D7),"AI","Not scored yet"))</f>
        <v>Not scored yet</v>
      </c>
      <c r="K7" s="4" t="s">
        <v>20</v>
      </c>
      <c r="L7" s="4" t="s">
        <v>52</v>
      </c>
      <c r="M7" s="4"/>
      <c r="N7" s="4"/>
      <c r="O7" s="4"/>
      <c r="P7" s="4"/>
      <c r="Q7" s="4"/>
      <c r="R7" s="4" t="s">
        <v>53</v>
      </c>
    </row>
    <row r="8" customFormat="false" ht="93" hidden="false" customHeight="true" outlineLevel="0" collapsed="false">
      <c r="A8" s="3" t="s">
        <v>18</v>
      </c>
      <c r="B8" s="4" t="s">
        <v>54</v>
      </c>
      <c r="C8" s="4"/>
      <c r="D8" s="4" t="str">
        <f aca="false">IFERROR(UPD1a!L19,"")</f>
        <v/>
      </c>
      <c r="E8" s="4"/>
      <c r="F8" s="5"/>
      <c r="G8" s="5"/>
      <c r="H8" s="6" t="str">
        <f aca="false">IF(OR(F8="",NOT(ISNUMBER(D8))),"",IF(ABS(F8-D8)&lt;0.001,"Yes","No"))</f>
        <v/>
      </c>
      <c r="I8" s="7" t="str">
        <f aca="false">IF(ISNUMBER(F8),F8,D8)</f>
        <v/>
      </c>
      <c r="J8" s="6" t="str">
        <f aca="false">IF(ISNUMBER(F8),"Expert (overrides AI)",IF(ISNUMBER(D8),"AI","Not scored yet"))</f>
        <v>Not scored yet</v>
      </c>
      <c r="K8" s="4" t="s">
        <v>20</v>
      </c>
      <c r="L8" s="4" t="s">
        <v>52</v>
      </c>
      <c r="M8" s="4"/>
      <c r="N8" s="4"/>
      <c r="O8" s="4"/>
      <c r="P8" s="4"/>
      <c r="Q8" s="4"/>
      <c r="R8" s="4" t="s">
        <v>55</v>
      </c>
    </row>
    <row r="9" customFormat="false" ht="93" hidden="false" customHeight="true" outlineLevel="0" collapsed="false">
      <c r="A9" s="3" t="s">
        <v>56</v>
      </c>
      <c r="B9" s="4" t="s">
        <v>19</v>
      </c>
      <c r="C9" s="4"/>
      <c r="D9" s="4" t="n">
        <f aca="false">IFERROR(UPD1b!L13,"")</f>
        <v>5</v>
      </c>
      <c r="E9" s="4"/>
      <c r="F9" s="5"/>
      <c r="G9" s="5"/>
      <c r="H9" s="6" t="str">
        <f aca="false">IF(OR(F9="",NOT(ISNUMBER(D9))),"",IF(ABS(F9-D9)&lt;0.001,"Yes","No"))</f>
        <v/>
      </c>
      <c r="I9" s="7" t="n">
        <f aca="false">IF(ISNUMBER(F9),F9,D9)</f>
        <v>5</v>
      </c>
      <c r="J9" s="6" t="str">
        <f aca="false">IF(ISNUMBER(F9),"Expert (overrides AI)",IF(ISNUMBER(D9),"AI","Not scored yet"))</f>
        <v>AI</v>
      </c>
      <c r="K9" s="4" t="s">
        <v>20</v>
      </c>
      <c r="L9" s="4" t="s">
        <v>52</v>
      </c>
      <c r="M9" s="4"/>
      <c r="N9" s="4"/>
      <c r="O9" s="4"/>
      <c r="P9" s="4"/>
      <c r="Q9" s="4"/>
      <c r="R9" s="4" t="s">
        <v>57</v>
      </c>
    </row>
    <row r="10" customFormat="false" ht="93" hidden="false" customHeight="true" outlineLevel="0" collapsed="false">
      <c r="A10" s="3" t="s">
        <v>56</v>
      </c>
      <c r="B10" s="4" t="s">
        <v>28</v>
      </c>
      <c r="C10" s="4"/>
      <c r="D10" s="4" t="str">
        <f aca="false">IFERROR(UPD1b!L14,"")</f>
        <v/>
      </c>
      <c r="E10" s="4"/>
      <c r="F10" s="5"/>
      <c r="G10" s="5"/>
      <c r="H10" s="6" t="str">
        <f aca="false">IF(OR(F10="",NOT(ISNUMBER(D10))),"",IF(ABS(F10-D10)&lt;0.001,"Yes","No"))</f>
        <v/>
      </c>
      <c r="I10" s="7" t="str">
        <f aca="false">IF(ISNUMBER(F10),F10,D10)</f>
        <v/>
      </c>
      <c r="J10" s="6" t="str">
        <f aca="false">IF(ISNUMBER(F10),"Expert (overrides AI)",IF(ISNUMBER(D10),"AI","Not scored yet"))</f>
        <v>Not scored yet</v>
      </c>
      <c r="K10" s="4" t="s">
        <v>20</v>
      </c>
      <c r="L10" s="4" t="s">
        <v>52</v>
      </c>
      <c r="M10" s="4"/>
      <c r="N10" s="4"/>
      <c r="O10" s="4"/>
      <c r="P10" s="4"/>
      <c r="Q10" s="4"/>
      <c r="R10" s="4" t="s">
        <v>58</v>
      </c>
    </row>
    <row r="11" customFormat="false" ht="93" hidden="false" customHeight="true" outlineLevel="0" collapsed="false">
      <c r="A11" s="3" t="s">
        <v>56</v>
      </c>
      <c r="B11" s="4" t="s">
        <v>34</v>
      </c>
      <c r="C11" s="4"/>
      <c r="D11" s="4" t="str">
        <f aca="false">IFERROR(UPD1b!L15,"")</f>
        <v/>
      </c>
      <c r="E11" s="4"/>
      <c r="F11" s="5"/>
      <c r="G11" s="5"/>
      <c r="H11" s="6" t="str">
        <f aca="false">IF(OR(F11="",NOT(ISNUMBER(D11))),"",IF(ABS(F11-D11)&lt;0.001,"Yes","No"))</f>
        <v/>
      </c>
      <c r="I11" s="7" t="str">
        <f aca="false">IF(ISNUMBER(F11),F11,D11)</f>
        <v/>
      </c>
      <c r="J11" s="6" t="str">
        <f aca="false">IF(ISNUMBER(F11),"Expert (overrides AI)",IF(ISNUMBER(D11),"AI","Not scored yet"))</f>
        <v>Not scored yet</v>
      </c>
      <c r="K11" s="4" t="s">
        <v>20</v>
      </c>
      <c r="L11" s="4" t="s">
        <v>52</v>
      </c>
      <c r="M11" s="4"/>
      <c r="N11" s="4"/>
      <c r="O11" s="4"/>
      <c r="P11" s="4"/>
      <c r="Q11" s="4"/>
      <c r="R11" s="4" t="s">
        <v>59</v>
      </c>
    </row>
    <row r="12" customFormat="false" ht="93" hidden="false" customHeight="true" outlineLevel="0" collapsed="false">
      <c r="A12" s="3" t="s">
        <v>56</v>
      </c>
      <c r="B12" s="4" t="s">
        <v>40</v>
      </c>
      <c r="C12" s="4"/>
      <c r="D12" s="4" t="str">
        <f aca="false">IFERROR(UPD1b!L16,"")</f>
        <v/>
      </c>
      <c r="E12" s="4"/>
      <c r="F12" s="5"/>
      <c r="G12" s="5"/>
      <c r="H12" s="6" t="str">
        <f aca="false">IF(OR(F12="",NOT(ISNUMBER(D12))),"",IF(ABS(F12-D12)&lt;0.001,"Yes","No"))</f>
        <v/>
      </c>
      <c r="I12" s="7" t="str">
        <f aca="false">IF(ISNUMBER(F12),F12,D12)</f>
        <v/>
      </c>
      <c r="J12" s="6" t="str">
        <f aca="false">IF(ISNUMBER(F12),"Expert (overrides AI)",IF(ISNUMBER(D12),"AI","Not scored yet"))</f>
        <v>Not scored yet</v>
      </c>
      <c r="K12" s="4" t="s">
        <v>20</v>
      </c>
      <c r="L12" s="4" t="s">
        <v>52</v>
      </c>
      <c r="M12" s="4"/>
      <c r="N12" s="4"/>
      <c r="O12" s="4"/>
      <c r="P12" s="4"/>
      <c r="Q12" s="4"/>
      <c r="R12" s="4" t="s">
        <v>60</v>
      </c>
    </row>
    <row r="13" customFormat="false" ht="93" hidden="false" customHeight="true" outlineLevel="0" collapsed="false">
      <c r="A13" s="3" t="s">
        <v>56</v>
      </c>
      <c r="B13" s="4" t="s">
        <v>45</v>
      </c>
      <c r="C13" s="4"/>
      <c r="D13" s="4" t="str">
        <f aca="false">IFERROR(UPD1b!L17,"")</f>
        <v/>
      </c>
      <c r="E13" s="4"/>
      <c r="F13" s="5"/>
      <c r="G13" s="5"/>
      <c r="H13" s="6" t="str">
        <f aca="false">IF(OR(F13="",NOT(ISNUMBER(D13))),"",IF(ABS(F13-D13)&lt;0.001,"Yes","No"))</f>
        <v/>
      </c>
      <c r="I13" s="7" t="str">
        <f aca="false">IF(ISNUMBER(F13),F13,D13)</f>
        <v/>
      </c>
      <c r="J13" s="6" t="str">
        <f aca="false">IF(ISNUMBER(F13),"Expert (overrides AI)",IF(ISNUMBER(D13),"AI","Not scored yet"))</f>
        <v>Not scored yet</v>
      </c>
      <c r="K13" s="4" t="s">
        <v>20</v>
      </c>
      <c r="L13" s="4" t="s">
        <v>52</v>
      </c>
      <c r="M13" s="4"/>
      <c r="N13" s="4"/>
      <c r="O13" s="4"/>
      <c r="P13" s="4"/>
      <c r="Q13" s="4"/>
      <c r="R13" s="4" t="s">
        <v>61</v>
      </c>
    </row>
    <row r="14" customFormat="false" ht="93" hidden="false" customHeight="true" outlineLevel="0" collapsed="false">
      <c r="A14" s="3" t="s">
        <v>56</v>
      </c>
      <c r="B14" s="4" t="s">
        <v>51</v>
      </c>
      <c r="C14" s="4"/>
      <c r="D14" s="4" t="str">
        <f aca="false">IFERROR(UPD1b!L18,"")</f>
        <v/>
      </c>
      <c r="E14" s="4"/>
      <c r="F14" s="5"/>
      <c r="G14" s="5"/>
      <c r="H14" s="6" t="str">
        <f aca="false">IF(OR(F14="",NOT(ISNUMBER(D14))),"",IF(ABS(F14-D14)&lt;0.001,"Yes","No"))</f>
        <v/>
      </c>
      <c r="I14" s="7" t="str">
        <f aca="false">IF(ISNUMBER(F14),F14,D14)</f>
        <v/>
      </c>
      <c r="J14" s="6" t="str">
        <f aca="false">IF(ISNUMBER(F14),"Expert (overrides AI)",IF(ISNUMBER(D14),"AI","Not scored yet"))</f>
        <v>Not scored yet</v>
      </c>
      <c r="K14" s="4" t="s">
        <v>20</v>
      </c>
      <c r="L14" s="4" t="s">
        <v>62</v>
      </c>
      <c r="M14" s="4" t="s">
        <v>63</v>
      </c>
      <c r="N14" s="4" t="s">
        <v>64</v>
      </c>
      <c r="O14" s="4" t="s">
        <v>65</v>
      </c>
      <c r="P14" s="4" t="s">
        <v>66</v>
      </c>
      <c r="Q14" s="4" t="s">
        <v>67</v>
      </c>
      <c r="R14" s="4" t="s">
        <v>27</v>
      </c>
    </row>
    <row r="15" customFormat="false" ht="93" hidden="false" customHeight="true" outlineLevel="0" collapsed="false">
      <c r="A15" s="3" t="s">
        <v>56</v>
      </c>
      <c r="B15" s="4" t="s">
        <v>54</v>
      </c>
      <c r="C15" s="4"/>
      <c r="D15" s="4" t="str">
        <f aca="false">IFERROR(UPD1b!L19,"")</f>
        <v/>
      </c>
      <c r="E15" s="4"/>
      <c r="F15" s="5"/>
      <c r="G15" s="5"/>
      <c r="H15" s="6" t="str">
        <f aca="false">IF(OR(F15="",NOT(ISNUMBER(D15))),"",IF(ABS(F15-D15)&lt;0.001,"Yes","No"))</f>
        <v/>
      </c>
      <c r="I15" s="7" t="str">
        <f aca="false">IF(ISNUMBER(F15),F15,D15)</f>
        <v/>
      </c>
      <c r="J15" s="6" t="str">
        <f aca="false">IF(ISNUMBER(F15),"Expert (overrides AI)",IF(ISNUMBER(D15),"AI","Not scored yet"))</f>
        <v>Not scored yet</v>
      </c>
      <c r="K15" s="4" t="s">
        <v>20</v>
      </c>
      <c r="L15" s="4" t="s">
        <v>62</v>
      </c>
      <c r="M15" s="4" t="s">
        <v>68</v>
      </c>
      <c r="N15" s="4" t="s">
        <v>69</v>
      </c>
      <c r="O15" s="4" t="s">
        <v>70</v>
      </c>
      <c r="P15" s="4" t="s">
        <v>71</v>
      </c>
      <c r="Q15" s="4" t="s">
        <v>72</v>
      </c>
      <c r="R15" s="4" t="s">
        <v>27</v>
      </c>
    </row>
    <row r="16" customFormat="false" ht="93" hidden="false" customHeight="true" outlineLevel="0" collapsed="false">
      <c r="A16" s="3" t="s">
        <v>73</v>
      </c>
      <c r="B16" s="4" t="s">
        <v>19</v>
      </c>
      <c r="C16" s="4"/>
      <c r="D16" s="4" t="n">
        <f aca="false">IFERROR(UPD2a!L13,"")</f>
        <v>0</v>
      </c>
      <c r="E16" s="4"/>
      <c r="F16" s="5"/>
      <c r="G16" s="5"/>
      <c r="H16" s="6" t="str">
        <f aca="false">IF(OR(F16="",NOT(ISNUMBER(D16))),"",IF(ABS(F16-D16)&lt;0.001,"Yes","No"))</f>
        <v/>
      </c>
      <c r="I16" s="7" t="n">
        <f aca="false">IF(ISNUMBER(F16),F16,D16)</f>
        <v>0</v>
      </c>
      <c r="J16" s="6" t="str">
        <f aca="false">IF(ISNUMBER(F16),"Expert (overrides AI)",IF(ISNUMBER(D16),"AI","Not scored yet"))</f>
        <v>AI</v>
      </c>
      <c r="K16" s="4" t="s">
        <v>20</v>
      </c>
      <c r="L16" s="4" t="s">
        <v>21</v>
      </c>
      <c r="M16" s="4" t="s">
        <v>74</v>
      </c>
      <c r="N16" s="4" t="s">
        <v>75</v>
      </c>
      <c r="O16" s="4" t="s">
        <v>31</v>
      </c>
      <c r="P16" s="4" t="s">
        <v>76</v>
      </c>
      <c r="Q16" s="4" t="s">
        <v>77</v>
      </c>
      <c r="R16" s="4" t="s">
        <v>27</v>
      </c>
    </row>
    <row r="17" customFormat="false" ht="93" hidden="false" customHeight="true" outlineLevel="0" collapsed="false">
      <c r="A17" s="3" t="s">
        <v>78</v>
      </c>
      <c r="B17" s="4" t="s">
        <v>19</v>
      </c>
      <c r="C17" s="4"/>
      <c r="D17" s="4" t="str">
        <f aca="false">IFERROR(UPD2b!L13,"")</f>
        <v/>
      </c>
      <c r="E17" s="4"/>
      <c r="F17" s="5"/>
      <c r="G17" s="5"/>
      <c r="H17" s="6" t="str">
        <f aca="false">IF(OR(F17="",NOT(ISNUMBER(D17))),"",IF(ABS(F17-D17)&lt;0.001,"Yes","No"))</f>
        <v/>
      </c>
      <c r="I17" s="7" t="str">
        <f aca="false">IF(ISNUMBER(F17),F17,D17)</f>
        <v/>
      </c>
      <c r="J17" s="6" t="str">
        <f aca="false">IF(ISNUMBER(F17),"Expert (overrides AI)",IF(ISNUMBER(D17),"AI","Not scored yet"))</f>
        <v>Not scored yet</v>
      </c>
      <c r="K17" s="4" t="s">
        <v>20</v>
      </c>
      <c r="L17" s="4" t="s">
        <v>52</v>
      </c>
      <c r="M17" s="4"/>
      <c r="N17" s="4"/>
      <c r="O17" s="4"/>
      <c r="P17" s="4"/>
      <c r="Q17" s="4"/>
      <c r="R17" s="4" t="s">
        <v>79</v>
      </c>
    </row>
    <row r="18" customFormat="false" ht="93" hidden="false" customHeight="true" outlineLevel="0" collapsed="false">
      <c r="A18" s="3" t="s">
        <v>80</v>
      </c>
      <c r="B18" s="4" t="s">
        <v>28</v>
      </c>
      <c r="C18" s="4"/>
      <c r="D18" s="4" t="n">
        <f aca="false">IFERROR(UPD2c!L14,"")</f>
        <v>2.5</v>
      </c>
      <c r="E18" s="4"/>
      <c r="F18" s="5"/>
      <c r="G18" s="5"/>
      <c r="H18" s="6" t="str">
        <f aca="false">IF(OR(F18="",NOT(ISNUMBER(D18))),"",IF(ABS(F18-D18)&lt;0.001,"Yes","No"))</f>
        <v/>
      </c>
      <c r="I18" s="7" t="n">
        <f aca="false">IF(ISNUMBER(F18),F18,D18)</f>
        <v>2.5</v>
      </c>
      <c r="J18" s="6" t="str">
        <f aca="false">IF(ISNUMBER(F18),"Expert (overrides AI)",IF(ISNUMBER(D18),"AI","Not scored yet"))</f>
        <v>AI</v>
      </c>
      <c r="K18" s="4" t="s">
        <v>20</v>
      </c>
      <c r="L18" s="4" t="s">
        <v>21</v>
      </c>
      <c r="M18" s="4" t="s">
        <v>81</v>
      </c>
      <c r="N18" s="4" t="s">
        <v>82</v>
      </c>
      <c r="O18" s="4" t="s">
        <v>83</v>
      </c>
      <c r="P18" s="4" t="s">
        <v>84</v>
      </c>
      <c r="Q18" s="4" t="s">
        <v>85</v>
      </c>
      <c r="R18" s="4" t="s">
        <v>27</v>
      </c>
    </row>
    <row r="19" customFormat="false" ht="93" hidden="false" customHeight="true" outlineLevel="0" collapsed="false">
      <c r="A19" s="3" t="s">
        <v>86</v>
      </c>
      <c r="B19" s="4" t="s">
        <v>28</v>
      </c>
      <c r="C19" s="4"/>
      <c r="D19" s="4" t="str">
        <f aca="false">IFERROR(UPD2d!L14,"")</f>
        <v/>
      </c>
      <c r="E19" s="4"/>
      <c r="F19" s="5"/>
      <c r="G19" s="5"/>
      <c r="H19" s="6" t="str">
        <f aca="false">IF(OR(F19="",NOT(ISNUMBER(D19))),"",IF(ABS(F19-D19)&lt;0.001,"Yes","No"))</f>
        <v/>
      </c>
      <c r="I19" s="7" t="str">
        <f aca="false">IF(ISNUMBER(F19),F19,D19)</f>
        <v/>
      </c>
      <c r="J19" s="6" t="str">
        <f aca="false">IF(ISNUMBER(F19),"Expert (overrides AI)",IF(ISNUMBER(D19),"AI","Not scored yet"))</f>
        <v>Not scored yet</v>
      </c>
      <c r="K19" s="4" t="s">
        <v>20</v>
      </c>
      <c r="L19" s="4" t="s">
        <v>52</v>
      </c>
      <c r="M19" s="4"/>
      <c r="N19" s="4"/>
      <c r="O19" s="4"/>
      <c r="P19" s="4"/>
      <c r="Q19" s="4"/>
      <c r="R19" s="4" t="s">
        <v>87</v>
      </c>
    </row>
    <row r="20" customFormat="false" ht="93" hidden="false" customHeight="true" outlineLevel="0" collapsed="false">
      <c r="A20" s="3" t="s">
        <v>88</v>
      </c>
      <c r="B20" s="4" t="s">
        <v>19</v>
      </c>
      <c r="C20" s="4"/>
      <c r="D20" s="4" t="n">
        <f aca="false">IFERROR(UPD3a!L13,"")</f>
        <v>2.5</v>
      </c>
      <c r="E20" s="4"/>
      <c r="F20" s="5"/>
      <c r="G20" s="5"/>
      <c r="H20" s="6" t="str">
        <f aca="false">IF(OR(F20="",NOT(ISNUMBER(D20))),"",IF(ABS(F20-D20)&lt;0.001,"Yes","No"))</f>
        <v/>
      </c>
      <c r="I20" s="7" t="n">
        <f aca="false">IF(ISNUMBER(F20),F20,D20)</f>
        <v>2.5</v>
      </c>
      <c r="J20" s="6" t="str">
        <f aca="false">IF(ISNUMBER(F20),"Expert (overrides AI)",IF(ISNUMBER(D20),"AI","Not scored yet"))</f>
        <v>AI</v>
      </c>
      <c r="K20" s="4" t="s">
        <v>20</v>
      </c>
      <c r="L20" s="4" t="s">
        <v>21</v>
      </c>
      <c r="M20" s="4" t="s">
        <v>89</v>
      </c>
      <c r="N20" s="4" t="s">
        <v>23</v>
      </c>
      <c r="O20" s="4" t="s">
        <v>24</v>
      </c>
      <c r="P20" s="4" t="s">
        <v>90</v>
      </c>
      <c r="Q20" s="4" t="s">
        <v>91</v>
      </c>
      <c r="R20" s="4" t="s">
        <v>27</v>
      </c>
    </row>
    <row r="21" customFormat="false" ht="93" hidden="false" customHeight="true" outlineLevel="0" collapsed="false">
      <c r="A21" s="3" t="s">
        <v>92</v>
      </c>
      <c r="B21" s="4" t="s">
        <v>19</v>
      </c>
      <c r="C21" s="4"/>
      <c r="D21" s="4" t="n">
        <f aca="false">IFERROR(UPD3b!L13,"")</f>
        <v>2.5</v>
      </c>
      <c r="E21" s="4"/>
      <c r="F21" s="5"/>
      <c r="G21" s="5"/>
      <c r="H21" s="6" t="str">
        <f aca="false">IF(OR(F21="",NOT(ISNUMBER(D21))),"",IF(ABS(F21-D21)&lt;0.001,"Yes","No"))</f>
        <v/>
      </c>
      <c r="I21" s="7" t="n">
        <f aca="false">IF(ISNUMBER(F21),F21,D21)</f>
        <v>2.5</v>
      </c>
      <c r="J21" s="6" t="str">
        <f aca="false">IF(ISNUMBER(F21),"Expert (overrides AI)",IF(ISNUMBER(D21),"AI","Not scored yet"))</f>
        <v>AI</v>
      </c>
      <c r="K21" s="4" t="s">
        <v>20</v>
      </c>
      <c r="L21" s="4" t="s">
        <v>21</v>
      </c>
      <c r="M21" s="4" t="s">
        <v>93</v>
      </c>
      <c r="N21" s="4" t="s">
        <v>94</v>
      </c>
      <c r="O21" s="4" t="s">
        <v>95</v>
      </c>
      <c r="P21" s="4" t="s">
        <v>96</v>
      </c>
      <c r="Q21" s="4" t="s">
        <v>97</v>
      </c>
      <c r="R21" s="4" t="s">
        <v>27</v>
      </c>
    </row>
    <row r="22" customFormat="false" ht="93" hidden="false" customHeight="true" outlineLevel="0" collapsed="false">
      <c r="A22" s="3" t="s">
        <v>98</v>
      </c>
      <c r="B22" s="4" t="s">
        <v>28</v>
      </c>
      <c r="C22" s="4"/>
      <c r="D22" s="4" t="str">
        <f aca="false">IFERROR(UPD4a!L14,"")</f>
        <v/>
      </c>
      <c r="E22" s="4"/>
      <c r="F22" s="5"/>
      <c r="G22" s="5"/>
      <c r="H22" s="6" t="str">
        <f aca="false">IF(OR(F22="",NOT(ISNUMBER(D22))),"",IF(ABS(F22-D22)&lt;0.001,"Yes","No"))</f>
        <v/>
      </c>
      <c r="I22" s="7" t="str">
        <f aca="false">IF(ISNUMBER(F22),F22,D22)</f>
        <v/>
      </c>
      <c r="J22" s="6" t="str">
        <f aca="false">IF(ISNUMBER(F22),"Expert (overrides AI)",IF(ISNUMBER(D22),"AI","Not scored yet"))</f>
        <v>Not scored yet</v>
      </c>
      <c r="K22" s="4" t="s">
        <v>20</v>
      </c>
      <c r="L22" s="4" t="s">
        <v>21</v>
      </c>
      <c r="M22" s="4" t="s">
        <v>99</v>
      </c>
      <c r="N22" s="4" t="s">
        <v>82</v>
      </c>
      <c r="O22" s="4" t="s">
        <v>83</v>
      </c>
      <c r="P22" s="4" t="s">
        <v>100</v>
      </c>
      <c r="Q22" s="4" t="s">
        <v>101</v>
      </c>
      <c r="R22" s="4" t="s">
        <v>27</v>
      </c>
    </row>
    <row r="23" customFormat="false" ht="93" hidden="false" customHeight="true" outlineLevel="0" collapsed="false">
      <c r="A23" s="3" t="s">
        <v>102</v>
      </c>
      <c r="B23" s="4" t="s">
        <v>28</v>
      </c>
      <c r="C23" s="4"/>
      <c r="D23" s="4" t="n">
        <f aca="false">IFERROR(UPD4b!L14,"")</f>
        <v>1.25</v>
      </c>
      <c r="E23" s="4"/>
      <c r="F23" s="5"/>
      <c r="G23" s="5"/>
      <c r="H23" s="6" t="str">
        <f aca="false">IF(OR(F23="",NOT(ISNUMBER(D23))),"",IF(ABS(F23-D23)&lt;0.001,"Yes","No"))</f>
        <v/>
      </c>
      <c r="I23" s="7" t="n">
        <f aca="false">IF(ISNUMBER(F23),F23,D23)</f>
        <v>1.25</v>
      </c>
      <c r="J23" s="6" t="str">
        <f aca="false">IF(ISNUMBER(F23),"Expert (overrides AI)",IF(ISNUMBER(D23),"AI","Not scored yet"))</f>
        <v>AI</v>
      </c>
      <c r="K23" s="4" t="s">
        <v>20</v>
      </c>
      <c r="L23" s="4" t="s">
        <v>21</v>
      </c>
      <c r="M23" s="4" t="s">
        <v>103</v>
      </c>
      <c r="N23" s="4" t="s">
        <v>104</v>
      </c>
      <c r="O23" s="4" t="s">
        <v>105</v>
      </c>
      <c r="P23" s="4" t="s">
        <v>106</v>
      </c>
      <c r="Q23" s="4" t="s">
        <v>107</v>
      </c>
      <c r="R23" s="4" t="s">
        <v>27</v>
      </c>
    </row>
    <row r="24" customFormat="false" ht="93" hidden="false" customHeight="true" outlineLevel="0" collapsed="false">
      <c r="A24" s="3" t="s">
        <v>108</v>
      </c>
      <c r="B24" s="4" t="s">
        <v>19</v>
      </c>
      <c r="C24" s="4"/>
      <c r="D24" s="4" t="n">
        <f aca="false">IFERROR(UPD5a!L13,"")</f>
        <v>2.5</v>
      </c>
      <c r="E24" s="4"/>
      <c r="F24" s="5"/>
      <c r="G24" s="5"/>
      <c r="H24" s="6" t="str">
        <f aca="false">IF(OR(F24="",NOT(ISNUMBER(D24))),"",IF(ABS(F24-D24)&lt;0.001,"Yes","No"))</f>
        <v/>
      </c>
      <c r="I24" s="7" t="n">
        <f aca="false">IF(ISNUMBER(F24),F24,D24)</f>
        <v>2.5</v>
      </c>
      <c r="J24" s="6" t="str">
        <f aca="false">IF(ISNUMBER(F24),"Expert (overrides AI)",IF(ISNUMBER(D24),"AI","Not scored yet"))</f>
        <v>AI</v>
      </c>
      <c r="K24" s="4" t="s">
        <v>20</v>
      </c>
      <c r="L24" s="4" t="s">
        <v>21</v>
      </c>
      <c r="M24" s="4" t="s">
        <v>109</v>
      </c>
      <c r="N24" s="4" t="s">
        <v>23</v>
      </c>
      <c r="O24" s="4" t="s">
        <v>24</v>
      </c>
      <c r="P24" s="4" t="s">
        <v>110</v>
      </c>
      <c r="Q24" s="4" t="s">
        <v>111</v>
      </c>
      <c r="R24" s="4" t="s">
        <v>27</v>
      </c>
    </row>
    <row r="25" customFormat="false" ht="93" hidden="false" customHeight="true" outlineLevel="0" collapsed="false">
      <c r="A25" s="3" t="s">
        <v>112</v>
      </c>
      <c r="B25" s="4" t="s">
        <v>19</v>
      </c>
      <c r="C25" s="4"/>
      <c r="D25" s="4" t="n">
        <f aca="false">IFERROR(UPD5b!L13,"")</f>
        <v>5</v>
      </c>
      <c r="E25" s="4"/>
      <c r="F25" s="5"/>
      <c r="G25" s="5"/>
      <c r="H25" s="6" t="str">
        <f aca="false">IF(OR(F25="",NOT(ISNUMBER(D25))),"",IF(ABS(F25-D25)&lt;0.001,"Yes","No"))</f>
        <v/>
      </c>
      <c r="I25" s="7" t="n">
        <f aca="false">IF(ISNUMBER(F25),F25,D25)</f>
        <v>5</v>
      </c>
      <c r="J25" s="6" t="str">
        <f aca="false">IF(ISNUMBER(F25),"Expert (overrides AI)",IF(ISNUMBER(D25),"AI","Not scored yet"))</f>
        <v>AI</v>
      </c>
      <c r="K25" s="4" t="s">
        <v>20</v>
      </c>
      <c r="L25" s="4" t="s">
        <v>21</v>
      </c>
      <c r="M25" s="4" t="s">
        <v>113</v>
      </c>
      <c r="N25" s="4" t="s">
        <v>114</v>
      </c>
      <c r="O25" s="4" t="s">
        <v>115</v>
      </c>
      <c r="P25" s="4" t="s">
        <v>116</v>
      </c>
      <c r="Q25" s="4" t="s">
        <v>117</v>
      </c>
      <c r="R25" s="4" t="s">
        <v>27</v>
      </c>
    </row>
    <row r="26" customFormat="false" ht="93" hidden="false" customHeight="true" outlineLevel="0" collapsed="false">
      <c r="A26" s="3" t="s">
        <v>118</v>
      </c>
      <c r="B26" s="4" t="s">
        <v>28</v>
      </c>
      <c r="C26" s="4"/>
      <c r="D26" s="4" t="n">
        <f aca="false">IFERROR(UPD6a!L14,"")</f>
        <v>2.5</v>
      </c>
      <c r="E26" s="4"/>
      <c r="F26" s="5"/>
      <c r="G26" s="5"/>
      <c r="H26" s="6" t="str">
        <f aca="false">IF(OR(F26="",NOT(ISNUMBER(D26))),"",IF(ABS(F26-D26)&lt;0.001,"Yes","No"))</f>
        <v/>
      </c>
      <c r="I26" s="7" t="n">
        <f aca="false">IF(ISNUMBER(F26),F26,D26)</f>
        <v>2.5</v>
      </c>
      <c r="J26" s="6" t="str">
        <f aca="false">IF(ISNUMBER(F26),"Expert (overrides AI)",IF(ISNUMBER(D26),"AI","Not scored yet"))</f>
        <v>AI</v>
      </c>
      <c r="K26" s="4" t="s">
        <v>20</v>
      </c>
      <c r="L26" s="4" t="s">
        <v>21</v>
      </c>
      <c r="M26" s="4" t="s">
        <v>119</v>
      </c>
      <c r="N26" s="4" t="s">
        <v>82</v>
      </c>
      <c r="O26" s="4" t="s">
        <v>83</v>
      </c>
      <c r="P26" s="4" t="s">
        <v>120</v>
      </c>
      <c r="Q26" s="4" t="s">
        <v>121</v>
      </c>
      <c r="R26" s="4" t="s">
        <v>27</v>
      </c>
    </row>
    <row r="27" customFormat="false" ht="93" hidden="false" customHeight="true" outlineLevel="0" collapsed="false">
      <c r="A27" s="3" t="s">
        <v>122</v>
      </c>
      <c r="B27" s="4" t="s">
        <v>28</v>
      </c>
      <c r="C27" s="4"/>
      <c r="D27" s="4" t="n">
        <f aca="false">IFERROR(UPD6b!L14,"")</f>
        <v>1.25</v>
      </c>
      <c r="E27" s="4"/>
      <c r="F27" s="5"/>
      <c r="G27" s="5"/>
      <c r="H27" s="6" t="str">
        <f aca="false">IF(OR(F27="",NOT(ISNUMBER(D27))),"",IF(ABS(F27-D27)&lt;0.001,"Yes","No"))</f>
        <v/>
      </c>
      <c r="I27" s="7" t="n">
        <f aca="false">IF(ISNUMBER(F27),F27,D27)</f>
        <v>1.25</v>
      </c>
      <c r="J27" s="6" t="str">
        <f aca="false">IF(ISNUMBER(F27),"Expert (overrides AI)",IF(ISNUMBER(D27),"AI","Not scored yet"))</f>
        <v>AI</v>
      </c>
      <c r="K27" s="4" t="s">
        <v>20</v>
      </c>
      <c r="L27" s="4" t="s">
        <v>123</v>
      </c>
      <c r="M27" s="4" t="s">
        <v>124</v>
      </c>
      <c r="N27" s="4"/>
      <c r="O27" s="4"/>
      <c r="P27" s="4"/>
      <c r="Q27" s="4"/>
      <c r="R27" s="4" t="s">
        <v>125</v>
      </c>
    </row>
    <row r="28" customFormat="false" ht="93" hidden="false" customHeight="true" outlineLevel="0" collapsed="false">
      <c r="A28" s="3" t="s">
        <v>126</v>
      </c>
      <c r="B28" s="4" t="s">
        <v>19</v>
      </c>
      <c r="C28" s="4"/>
      <c r="D28" s="4" t="n">
        <f aca="false">IFERROR(DPG1a!L13,"")</f>
        <v>0</v>
      </c>
      <c r="E28" s="4"/>
      <c r="F28" s="5"/>
      <c r="G28" s="5"/>
      <c r="H28" s="6" t="str">
        <f aca="false">IF(OR(F28="",NOT(ISNUMBER(D28))),"",IF(ABS(F28-D28)&lt;0.001,"Yes","No"))</f>
        <v/>
      </c>
      <c r="I28" s="7" t="n">
        <f aca="false">IF(ISNUMBER(F28),F28,D28)</f>
        <v>0</v>
      </c>
      <c r="J28" s="6" t="str">
        <f aca="false">IF(ISNUMBER(F28),"Expert (overrides AI)",IF(ISNUMBER(D28),"AI","Not scored yet"))</f>
        <v>AI</v>
      </c>
      <c r="K28" s="4" t="s">
        <v>20</v>
      </c>
      <c r="L28" s="4" t="s">
        <v>21</v>
      </c>
      <c r="M28" s="4" t="s">
        <v>127</v>
      </c>
      <c r="N28" s="4" t="s">
        <v>23</v>
      </c>
      <c r="O28" s="4" t="s">
        <v>24</v>
      </c>
      <c r="P28" s="4" t="s">
        <v>128</v>
      </c>
      <c r="Q28" s="4" t="s">
        <v>129</v>
      </c>
      <c r="R28" s="4" t="s">
        <v>27</v>
      </c>
    </row>
    <row r="29" customFormat="false" ht="93" hidden="false" customHeight="true" outlineLevel="0" collapsed="false">
      <c r="A29" s="3" t="s">
        <v>126</v>
      </c>
      <c r="B29" s="4" t="s">
        <v>28</v>
      </c>
      <c r="C29" s="4"/>
      <c r="D29" s="4" t="str">
        <f aca="false">IFERROR(DPG1a!L14,"")</f>
        <v/>
      </c>
      <c r="E29" s="4"/>
      <c r="F29" s="5"/>
      <c r="G29" s="5"/>
      <c r="H29" s="6" t="str">
        <f aca="false">IF(OR(F29="",NOT(ISNUMBER(D29))),"",IF(ABS(F29-D29)&lt;0.001,"Yes","No"))</f>
        <v/>
      </c>
      <c r="I29" s="7" t="str">
        <f aca="false">IF(ISNUMBER(F29),F29,D29)</f>
        <v/>
      </c>
      <c r="J29" s="6" t="str">
        <f aca="false">IF(ISNUMBER(F29),"Expert (overrides AI)",IF(ISNUMBER(D29),"AI","Not scored yet"))</f>
        <v>Not scored yet</v>
      </c>
      <c r="K29" s="4" t="s">
        <v>20</v>
      </c>
      <c r="L29" s="4" t="s">
        <v>21</v>
      </c>
      <c r="M29" s="4" t="s">
        <v>130</v>
      </c>
      <c r="N29" s="4" t="s">
        <v>30</v>
      </c>
      <c r="O29" s="4" t="s">
        <v>31</v>
      </c>
      <c r="P29" s="4" t="s">
        <v>131</v>
      </c>
      <c r="Q29" s="4" t="s">
        <v>132</v>
      </c>
      <c r="R29" s="4" t="s">
        <v>27</v>
      </c>
    </row>
    <row r="30" customFormat="false" ht="93" hidden="false" customHeight="true" outlineLevel="0" collapsed="false">
      <c r="A30" s="3" t="s">
        <v>126</v>
      </c>
      <c r="B30" s="4" t="s">
        <v>34</v>
      </c>
      <c r="C30" s="4"/>
      <c r="D30" s="4" t="n">
        <f aca="false">IFERROR(DPG1a!L15,"")</f>
        <v>0</v>
      </c>
      <c r="E30" s="4"/>
      <c r="F30" s="5"/>
      <c r="G30" s="5"/>
      <c r="H30" s="6" t="str">
        <f aca="false">IF(OR(F30="",NOT(ISNUMBER(D30))),"",IF(ABS(F30-D30)&lt;0.001,"Yes","No"))</f>
        <v/>
      </c>
      <c r="I30" s="7" t="n">
        <f aca="false">IF(ISNUMBER(F30),F30,D30)</f>
        <v>0</v>
      </c>
      <c r="J30" s="6" t="str">
        <f aca="false">IF(ISNUMBER(F30),"Expert (overrides AI)",IF(ISNUMBER(D30),"AI","Not scored yet"))</f>
        <v>AI</v>
      </c>
      <c r="K30" s="4" t="s">
        <v>20</v>
      </c>
      <c r="L30" s="4" t="s">
        <v>62</v>
      </c>
      <c r="M30" s="4" t="s">
        <v>133</v>
      </c>
      <c r="N30" s="4" t="s">
        <v>134</v>
      </c>
      <c r="O30" s="4" t="s">
        <v>31</v>
      </c>
      <c r="P30" s="4" t="s">
        <v>135</v>
      </c>
      <c r="Q30" s="4" t="s">
        <v>136</v>
      </c>
      <c r="R30" s="4" t="s">
        <v>27</v>
      </c>
    </row>
    <row r="31" customFormat="false" ht="93" hidden="false" customHeight="true" outlineLevel="0" collapsed="false">
      <c r="A31" s="3" t="s">
        <v>126</v>
      </c>
      <c r="B31" s="4" t="s">
        <v>40</v>
      </c>
      <c r="C31" s="4"/>
      <c r="D31" s="4" t="n">
        <f aca="false">IFERROR(DPG1a!L16,"")</f>
        <v>5</v>
      </c>
      <c r="E31" s="4"/>
      <c r="F31" s="5"/>
      <c r="G31" s="5"/>
      <c r="H31" s="6" t="str">
        <f aca="false">IF(OR(F31="",NOT(ISNUMBER(D31))),"",IF(ABS(F31-D31)&lt;0.001,"Yes","No"))</f>
        <v/>
      </c>
      <c r="I31" s="7" t="n">
        <f aca="false">IF(ISNUMBER(F31),F31,D31)</f>
        <v>5</v>
      </c>
      <c r="J31" s="6" t="str">
        <f aca="false">IF(ISNUMBER(F31),"Expert (overrides AI)",IF(ISNUMBER(D31),"AI","Not scored yet"))</f>
        <v>AI</v>
      </c>
      <c r="K31" s="4" t="s">
        <v>20</v>
      </c>
      <c r="L31" s="4" t="s">
        <v>21</v>
      </c>
      <c r="M31" s="4" t="s">
        <v>137</v>
      </c>
      <c r="N31" s="4" t="s">
        <v>42</v>
      </c>
      <c r="O31" s="4" t="s">
        <v>31</v>
      </c>
      <c r="P31" s="4" t="s">
        <v>138</v>
      </c>
      <c r="Q31" s="4" t="s">
        <v>139</v>
      </c>
      <c r="R31" s="4" t="s">
        <v>27</v>
      </c>
    </row>
    <row r="32" customFormat="false" ht="93" hidden="false" customHeight="true" outlineLevel="0" collapsed="false">
      <c r="A32" s="3" t="s">
        <v>126</v>
      </c>
      <c r="B32" s="4" t="s">
        <v>45</v>
      </c>
      <c r="C32" s="4"/>
      <c r="D32" s="4" t="str">
        <f aca="false">IFERROR(DPG1a!L17,"")</f>
        <v/>
      </c>
      <c r="E32" s="4"/>
      <c r="F32" s="5"/>
      <c r="G32" s="5"/>
      <c r="H32" s="6" t="str">
        <f aca="false">IF(OR(F32="",NOT(ISNUMBER(D32))),"",IF(ABS(F32-D32)&lt;0.001,"Yes","No"))</f>
        <v/>
      </c>
      <c r="I32" s="7" t="str">
        <f aca="false">IF(ISNUMBER(F32),F32,D32)</f>
        <v/>
      </c>
      <c r="J32" s="6" t="str">
        <f aca="false">IF(ISNUMBER(F32),"Expert (overrides AI)",IF(ISNUMBER(D32),"AI","Not scored yet"))</f>
        <v>Not scored yet</v>
      </c>
      <c r="K32" s="4" t="s">
        <v>20</v>
      </c>
      <c r="L32" s="4" t="s">
        <v>21</v>
      </c>
      <c r="M32" s="4" t="s">
        <v>140</v>
      </c>
      <c r="N32" s="4" t="s">
        <v>141</v>
      </c>
      <c r="O32" s="4" t="s">
        <v>31</v>
      </c>
      <c r="P32" s="4" t="s">
        <v>142</v>
      </c>
      <c r="Q32" s="4" t="s">
        <v>143</v>
      </c>
      <c r="R32" s="4" t="s">
        <v>27</v>
      </c>
    </row>
    <row r="33" customFormat="false" ht="93" hidden="false" customHeight="true" outlineLevel="0" collapsed="false">
      <c r="A33" s="3" t="s">
        <v>126</v>
      </c>
      <c r="B33" s="4" t="s">
        <v>51</v>
      </c>
      <c r="C33" s="4"/>
      <c r="D33" s="4" t="str">
        <f aca="false">IFERROR(DPG1a!L18,"")</f>
        <v/>
      </c>
      <c r="E33" s="4"/>
      <c r="F33" s="5"/>
      <c r="G33" s="5"/>
      <c r="H33" s="6" t="str">
        <f aca="false">IF(OR(F33="",NOT(ISNUMBER(D33))),"",IF(ABS(F33-D33)&lt;0.001,"Yes","No"))</f>
        <v/>
      </c>
      <c r="I33" s="7" t="str">
        <f aca="false">IF(ISNUMBER(F33),F33,D33)</f>
        <v/>
      </c>
      <c r="J33" s="6" t="str">
        <f aca="false">IF(ISNUMBER(F33),"Expert (overrides AI)",IF(ISNUMBER(D33),"AI","Not scored yet"))</f>
        <v>Not scored yet</v>
      </c>
      <c r="K33" s="4" t="s">
        <v>20</v>
      </c>
      <c r="L33" s="4" t="s">
        <v>21</v>
      </c>
      <c r="M33" s="4" t="s">
        <v>144</v>
      </c>
      <c r="N33" s="4" t="s">
        <v>145</v>
      </c>
      <c r="O33" s="4" t="s">
        <v>146</v>
      </c>
      <c r="P33" s="4" t="s">
        <v>147</v>
      </c>
      <c r="Q33" s="4" t="s">
        <v>148</v>
      </c>
      <c r="R33" s="4" t="s">
        <v>27</v>
      </c>
    </row>
    <row r="34" customFormat="false" ht="93" hidden="false" customHeight="true" outlineLevel="0" collapsed="false">
      <c r="A34" s="3" t="s">
        <v>126</v>
      </c>
      <c r="B34" s="4" t="s">
        <v>54</v>
      </c>
      <c r="C34" s="4"/>
      <c r="D34" s="4" t="str">
        <f aca="false">IFERROR(DPG1a!L19,"")</f>
        <v/>
      </c>
      <c r="E34" s="4"/>
      <c r="F34" s="5"/>
      <c r="G34" s="5"/>
      <c r="H34" s="6" t="str">
        <f aca="false">IF(OR(F34="",NOT(ISNUMBER(D34))),"",IF(ABS(F34-D34)&lt;0.001,"Yes","No"))</f>
        <v/>
      </c>
      <c r="I34" s="7" t="str">
        <f aca="false">IF(ISNUMBER(F34),F34,D34)</f>
        <v/>
      </c>
      <c r="J34" s="6" t="str">
        <f aca="false">IF(ISNUMBER(F34),"Expert (overrides AI)",IF(ISNUMBER(D34),"AI","Not scored yet"))</f>
        <v>Not scored yet</v>
      </c>
      <c r="K34" s="4" t="s">
        <v>20</v>
      </c>
      <c r="L34" s="4" t="s">
        <v>21</v>
      </c>
      <c r="M34" s="4" t="s">
        <v>149</v>
      </c>
      <c r="N34" s="4" t="s">
        <v>150</v>
      </c>
      <c r="O34" s="4" t="s">
        <v>146</v>
      </c>
      <c r="P34" s="4" t="s">
        <v>151</v>
      </c>
      <c r="Q34" s="4" t="s">
        <v>152</v>
      </c>
      <c r="R34" s="4" t="s">
        <v>27</v>
      </c>
    </row>
    <row r="35" customFormat="false" ht="93" hidden="false" customHeight="true" outlineLevel="0" collapsed="false">
      <c r="A35" s="3" t="s">
        <v>153</v>
      </c>
      <c r="B35" s="4" t="s">
        <v>19</v>
      </c>
      <c r="C35" s="4"/>
      <c r="D35" s="4" t="n">
        <f aca="false">IFERROR(DPG1b!L13,"")</f>
        <v>2.5</v>
      </c>
      <c r="E35" s="4"/>
      <c r="F35" s="5"/>
      <c r="G35" s="5"/>
      <c r="H35" s="6" t="str">
        <f aca="false">IF(OR(F35="",NOT(ISNUMBER(D35))),"",IF(ABS(F35-D35)&lt;0.001,"Yes","No"))</f>
        <v/>
      </c>
      <c r="I35" s="7" t="n">
        <f aca="false">IF(ISNUMBER(F35),F35,D35)</f>
        <v>2.5</v>
      </c>
      <c r="J35" s="6" t="str">
        <f aca="false">IF(ISNUMBER(F35),"Expert (overrides AI)",IF(ISNUMBER(D35),"AI","Not scored yet"))</f>
        <v>AI</v>
      </c>
      <c r="K35" s="4" t="s">
        <v>154</v>
      </c>
      <c r="L35" s="4" t="s">
        <v>62</v>
      </c>
      <c r="M35" s="4" t="s">
        <v>155</v>
      </c>
      <c r="N35" s="4" t="s">
        <v>23</v>
      </c>
      <c r="O35" s="4" t="s">
        <v>24</v>
      </c>
      <c r="P35" s="4" t="s">
        <v>156</v>
      </c>
      <c r="Q35" s="4" t="s">
        <v>157</v>
      </c>
      <c r="R35" s="4"/>
    </row>
    <row r="36" customFormat="false" ht="93" hidden="false" customHeight="true" outlineLevel="0" collapsed="false">
      <c r="A36" s="3" t="s">
        <v>153</v>
      </c>
      <c r="B36" s="4" t="s">
        <v>28</v>
      </c>
      <c r="C36" s="4"/>
      <c r="D36" s="4" t="str">
        <f aca="false">IFERROR(DPG1b!L14,"")</f>
        <v/>
      </c>
      <c r="E36" s="4"/>
      <c r="F36" s="5"/>
      <c r="G36" s="5"/>
      <c r="H36" s="6" t="str">
        <f aca="false">IF(OR(F36="",NOT(ISNUMBER(D36))),"",IF(ABS(F36-D36)&lt;0.001,"Yes","No"))</f>
        <v/>
      </c>
      <c r="I36" s="7" t="str">
        <f aca="false">IF(ISNUMBER(F36),F36,D36)</f>
        <v/>
      </c>
      <c r="J36" s="6" t="str">
        <f aca="false">IF(ISNUMBER(F36),"Expert (overrides AI)",IF(ISNUMBER(D36),"AI","Not scored yet"))</f>
        <v>Not scored yet</v>
      </c>
      <c r="K36" s="4" t="s">
        <v>20</v>
      </c>
      <c r="L36" s="4" t="s">
        <v>21</v>
      </c>
      <c r="M36" s="4" t="s">
        <v>158</v>
      </c>
      <c r="N36" s="4" t="s">
        <v>159</v>
      </c>
      <c r="O36" s="4" t="s">
        <v>160</v>
      </c>
      <c r="P36" s="4" t="s">
        <v>161</v>
      </c>
      <c r="Q36" s="4" t="s">
        <v>162</v>
      </c>
      <c r="R36" s="4" t="s">
        <v>27</v>
      </c>
    </row>
    <row r="37" customFormat="false" ht="93" hidden="false" customHeight="true" outlineLevel="0" collapsed="false">
      <c r="A37" s="3" t="s">
        <v>153</v>
      </c>
      <c r="B37" s="4" t="s">
        <v>34</v>
      </c>
      <c r="C37" s="4"/>
      <c r="D37" s="4" t="n">
        <f aca="false">IFERROR(DPG1b!L15,"")</f>
        <v>2.5</v>
      </c>
      <c r="E37" s="4"/>
      <c r="F37" s="5"/>
      <c r="G37" s="5"/>
      <c r="H37" s="6" t="str">
        <f aca="false">IF(OR(F37="",NOT(ISNUMBER(D37))),"",IF(ABS(F37-D37)&lt;0.001,"Yes","No"))</f>
        <v/>
      </c>
      <c r="I37" s="7" t="n">
        <f aca="false">IF(ISNUMBER(F37),F37,D37)</f>
        <v>2.5</v>
      </c>
      <c r="J37" s="6" t="str">
        <f aca="false">IF(ISNUMBER(F37),"Expert (overrides AI)",IF(ISNUMBER(D37),"AI","Not scored yet"))</f>
        <v>AI</v>
      </c>
      <c r="K37" s="4" t="s">
        <v>154</v>
      </c>
      <c r="L37" s="4" t="s">
        <v>62</v>
      </c>
      <c r="M37" s="4" t="s">
        <v>163</v>
      </c>
      <c r="N37" s="4" t="s">
        <v>36</v>
      </c>
      <c r="O37" s="4" t="s">
        <v>37</v>
      </c>
      <c r="P37" s="4" t="s">
        <v>164</v>
      </c>
      <c r="Q37" s="4" t="s">
        <v>165</v>
      </c>
      <c r="R37" s="4"/>
    </row>
    <row r="38" customFormat="false" ht="93" hidden="false" customHeight="true" outlineLevel="0" collapsed="false">
      <c r="A38" s="3" t="s">
        <v>153</v>
      </c>
      <c r="B38" s="4" t="s">
        <v>40</v>
      </c>
      <c r="C38" s="4"/>
      <c r="D38" s="4" t="n">
        <f aca="false">IFERROR(DPG1b!L16,"")</f>
        <v>2.5</v>
      </c>
      <c r="E38" s="4"/>
      <c r="F38" s="5"/>
      <c r="G38" s="5"/>
      <c r="H38" s="6" t="str">
        <f aca="false">IF(OR(F38="",NOT(ISNUMBER(D38))),"",IF(ABS(F38-D38)&lt;0.001,"Yes","No"))</f>
        <v/>
      </c>
      <c r="I38" s="7" t="n">
        <f aca="false">IF(ISNUMBER(F38),F38,D38)</f>
        <v>2.5</v>
      </c>
      <c r="J38" s="6" t="str">
        <f aca="false">IF(ISNUMBER(F38),"Expert (overrides AI)",IF(ISNUMBER(D38),"AI","Not scored yet"))</f>
        <v>AI</v>
      </c>
      <c r="K38" s="4" t="s">
        <v>20</v>
      </c>
      <c r="L38" s="4" t="s">
        <v>21</v>
      </c>
      <c r="M38" s="4" t="s">
        <v>166</v>
      </c>
      <c r="N38" s="4" t="s">
        <v>167</v>
      </c>
      <c r="O38" s="4" t="s">
        <v>168</v>
      </c>
      <c r="P38" s="4" t="s">
        <v>169</v>
      </c>
      <c r="Q38" s="4" t="s">
        <v>170</v>
      </c>
      <c r="R38" s="4" t="s">
        <v>27</v>
      </c>
    </row>
    <row r="39" customFormat="false" ht="93" hidden="false" customHeight="true" outlineLevel="0" collapsed="false">
      <c r="A39" s="3" t="s">
        <v>153</v>
      </c>
      <c r="B39" s="4" t="s">
        <v>45</v>
      </c>
      <c r="C39" s="4"/>
      <c r="D39" s="4" t="n">
        <f aca="false">IFERROR(DPG1b!L17,"")</f>
        <v>5</v>
      </c>
      <c r="E39" s="4"/>
      <c r="F39" s="5"/>
      <c r="G39" s="5"/>
      <c r="H39" s="6" t="str">
        <f aca="false">IF(OR(F39="",NOT(ISNUMBER(D39))),"",IF(ABS(F39-D39)&lt;0.001,"Yes","No"))</f>
        <v/>
      </c>
      <c r="I39" s="7" t="n">
        <f aca="false">IF(ISNUMBER(F39),F39,D39)</f>
        <v>5</v>
      </c>
      <c r="J39" s="6" t="str">
        <f aca="false">IF(ISNUMBER(F39),"Expert (overrides AI)",IF(ISNUMBER(D39),"AI","Not scored yet"))</f>
        <v>AI</v>
      </c>
      <c r="K39" s="4" t="s">
        <v>20</v>
      </c>
      <c r="L39" s="4" t="s">
        <v>123</v>
      </c>
      <c r="M39" s="4" t="s">
        <v>171</v>
      </c>
      <c r="N39" s="4"/>
      <c r="O39" s="4"/>
      <c r="P39" s="4"/>
      <c r="Q39" s="4"/>
      <c r="R39" s="4" t="s">
        <v>172</v>
      </c>
    </row>
    <row r="40" customFormat="false" ht="93" hidden="false" customHeight="true" outlineLevel="0" collapsed="false">
      <c r="A40" s="3" t="s">
        <v>153</v>
      </c>
      <c r="B40" s="4" t="s">
        <v>51</v>
      </c>
      <c r="C40" s="4"/>
      <c r="D40" s="4" t="str">
        <f aca="false">IFERROR(DPG1b!L18,"")</f>
        <v/>
      </c>
      <c r="E40" s="4"/>
      <c r="F40" s="5"/>
      <c r="G40" s="5"/>
      <c r="H40" s="6" t="str">
        <f aca="false">IF(OR(F40="",NOT(ISNUMBER(D40))),"",IF(ABS(F40-D40)&lt;0.001,"Yes","No"))</f>
        <v/>
      </c>
      <c r="I40" s="7" t="str">
        <f aca="false">IF(ISNUMBER(F40),F40,D40)</f>
        <v/>
      </c>
      <c r="J40" s="6" t="str">
        <f aca="false">IF(ISNUMBER(F40),"Expert (overrides AI)",IF(ISNUMBER(D40),"AI","Not scored yet"))</f>
        <v>Not scored yet</v>
      </c>
      <c r="K40" s="4" t="s">
        <v>20</v>
      </c>
      <c r="L40" s="4" t="s">
        <v>21</v>
      </c>
      <c r="M40" s="4" t="s">
        <v>173</v>
      </c>
      <c r="N40" s="4" t="s">
        <v>64</v>
      </c>
      <c r="O40" s="4" t="s">
        <v>65</v>
      </c>
      <c r="P40" s="4" t="s">
        <v>174</v>
      </c>
      <c r="Q40" s="4" t="s">
        <v>175</v>
      </c>
      <c r="R40" s="4" t="s">
        <v>27</v>
      </c>
    </row>
    <row r="41" customFormat="false" ht="93" hidden="false" customHeight="true" outlineLevel="0" collapsed="false">
      <c r="A41" s="3" t="s">
        <v>153</v>
      </c>
      <c r="B41" s="4" t="s">
        <v>54</v>
      </c>
      <c r="C41" s="4"/>
      <c r="D41" s="4" t="str">
        <f aca="false">IFERROR(DPG1b!L19,"")</f>
        <v/>
      </c>
      <c r="E41" s="4"/>
      <c r="F41" s="5"/>
      <c r="G41" s="5"/>
      <c r="H41" s="6" t="str">
        <f aca="false">IF(OR(F41="",NOT(ISNUMBER(D41))),"",IF(ABS(F41-D41)&lt;0.001,"Yes","No"))</f>
        <v/>
      </c>
      <c r="I41" s="7" t="str">
        <f aca="false">IF(ISNUMBER(F41),F41,D41)</f>
        <v/>
      </c>
      <c r="J41" s="6" t="str">
        <f aca="false">IF(ISNUMBER(F41),"Expert (overrides AI)",IF(ISNUMBER(D41),"AI","Not scored yet"))</f>
        <v>Not scored yet</v>
      </c>
      <c r="K41" s="4" t="s">
        <v>20</v>
      </c>
      <c r="L41" s="4" t="s">
        <v>52</v>
      </c>
      <c r="M41" s="4"/>
      <c r="N41" s="4"/>
      <c r="O41" s="4"/>
      <c r="P41" s="4"/>
      <c r="Q41" s="4"/>
      <c r="R41" s="4" t="s">
        <v>176</v>
      </c>
    </row>
    <row r="42" customFormat="false" ht="93" hidden="false" customHeight="true" outlineLevel="0" collapsed="false">
      <c r="A42" s="3" t="s">
        <v>177</v>
      </c>
      <c r="B42" s="4" t="s">
        <v>19</v>
      </c>
      <c r="C42" s="4"/>
      <c r="D42" s="4" t="n">
        <f aca="false">IFERROR(DPG2a!L13,"")</f>
        <v>0</v>
      </c>
      <c r="E42" s="4"/>
      <c r="F42" s="5"/>
      <c r="G42" s="5"/>
      <c r="H42" s="6" t="str">
        <f aca="false">IF(OR(F42="",NOT(ISNUMBER(D42))),"",IF(ABS(F42-D42)&lt;0.001,"Yes","No"))</f>
        <v/>
      </c>
      <c r="I42" s="7" t="n">
        <f aca="false">IF(ISNUMBER(F42),F42,D42)</f>
        <v>0</v>
      </c>
      <c r="J42" s="6" t="str">
        <f aca="false">IF(ISNUMBER(F42),"Expert (overrides AI)",IF(ISNUMBER(D42),"AI","Not scored yet"))</f>
        <v>AI</v>
      </c>
      <c r="K42" s="4" t="s">
        <v>20</v>
      </c>
      <c r="L42" s="4" t="s">
        <v>21</v>
      </c>
      <c r="M42" s="4" t="s">
        <v>178</v>
      </c>
      <c r="N42" s="4" t="s">
        <v>23</v>
      </c>
      <c r="O42" s="4" t="s">
        <v>24</v>
      </c>
      <c r="P42" s="4" t="s">
        <v>179</v>
      </c>
      <c r="Q42" s="4" t="s">
        <v>180</v>
      </c>
      <c r="R42" s="4" t="s">
        <v>27</v>
      </c>
    </row>
    <row r="43" customFormat="false" ht="93" hidden="false" customHeight="true" outlineLevel="0" collapsed="false">
      <c r="A43" s="3" t="s">
        <v>177</v>
      </c>
      <c r="B43" s="4" t="s">
        <v>28</v>
      </c>
      <c r="C43" s="4"/>
      <c r="D43" s="4" t="str">
        <f aca="false">IFERROR(DPG2a!L14,"")</f>
        <v/>
      </c>
      <c r="E43" s="4"/>
      <c r="F43" s="5"/>
      <c r="G43" s="5"/>
      <c r="H43" s="6" t="str">
        <f aca="false">IF(OR(F43="",NOT(ISNUMBER(D43))),"",IF(ABS(F43-D43)&lt;0.001,"Yes","No"))</f>
        <v/>
      </c>
      <c r="I43" s="7" t="str">
        <f aca="false">IF(ISNUMBER(F43),F43,D43)</f>
        <v/>
      </c>
      <c r="J43" s="6" t="str">
        <f aca="false">IF(ISNUMBER(F43),"Expert (overrides AI)",IF(ISNUMBER(D43),"AI","Not scored yet"))</f>
        <v>Not scored yet</v>
      </c>
      <c r="K43" s="4" t="s">
        <v>20</v>
      </c>
      <c r="L43" s="4" t="s">
        <v>21</v>
      </c>
      <c r="M43" s="4" t="s">
        <v>181</v>
      </c>
      <c r="N43" s="4" t="s">
        <v>159</v>
      </c>
      <c r="O43" s="4" t="s">
        <v>160</v>
      </c>
      <c r="P43" s="4" t="s">
        <v>182</v>
      </c>
      <c r="Q43" s="4" t="s">
        <v>183</v>
      </c>
      <c r="R43" s="4" t="s">
        <v>27</v>
      </c>
    </row>
    <row r="44" customFormat="false" ht="93" hidden="false" customHeight="true" outlineLevel="0" collapsed="false">
      <c r="A44" s="3" t="s">
        <v>177</v>
      </c>
      <c r="B44" s="4" t="s">
        <v>34</v>
      </c>
      <c r="C44" s="4"/>
      <c r="D44" s="4" t="n">
        <f aca="false">IFERROR(DPG2a!L15,"")</f>
        <v>5</v>
      </c>
      <c r="E44" s="4"/>
      <c r="F44" s="5"/>
      <c r="G44" s="5"/>
      <c r="H44" s="6" t="str">
        <f aca="false">IF(OR(F44="",NOT(ISNUMBER(D44))),"",IF(ABS(F44-D44)&lt;0.001,"Yes","No"))</f>
        <v/>
      </c>
      <c r="I44" s="7" t="n">
        <f aca="false">IF(ISNUMBER(F44),F44,D44)</f>
        <v>5</v>
      </c>
      <c r="J44" s="6" t="str">
        <f aca="false">IF(ISNUMBER(F44),"Expert (overrides AI)",IF(ISNUMBER(D44),"AI","Not scored yet"))</f>
        <v>AI</v>
      </c>
      <c r="K44" s="4" t="s">
        <v>20</v>
      </c>
      <c r="L44" s="4" t="s">
        <v>21</v>
      </c>
      <c r="M44" s="4" t="s">
        <v>184</v>
      </c>
      <c r="N44" s="4" t="s">
        <v>36</v>
      </c>
      <c r="O44" s="4" t="s">
        <v>37</v>
      </c>
      <c r="P44" s="4" t="s">
        <v>185</v>
      </c>
      <c r="Q44" s="4" t="s">
        <v>186</v>
      </c>
      <c r="R44" s="4" t="s">
        <v>27</v>
      </c>
    </row>
    <row r="45" customFormat="false" ht="93" hidden="false" customHeight="true" outlineLevel="0" collapsed="false">
      <c r="A45" s="3" t="s">
        <v>177</v>
      </c>
      <c r="B45" s="4" t="s">
        <v>40</v>
      </c>
      <c r="C45" s="4"/>
      <c r="D45" s="4" t="n">
        <f aca="false">IFERROR(DPG2a!L16,"")</f>
        <v>0</v>
      </c>
      <c r="E45" s="4"/>
      <c r="F45" s="5"/>
      <c r="G45" s="5"/>
      <c r="H45" s="6" t="str">
        <f aca="false">IF(OR(F45="",NOT(ISNUMBER(D45))),"",IF(ABS(F45-D45)&lt;0.001,"Yes","No"))</f>
        <v/>
      </c>
      <c r="I45" s="7" t="n">
        <f aca="false">IF(ISNUMBER(F45),F45,D45)</f>
        <v>0</v>
      </c>
      <c r="J45" s="6" t="str">
        <f aca="false">IF(ISNUMBER(F45),"Expert (overrides AI)",IF(ISNUMBER(D45),"AI","Not scored yet"))</f>
        <v>AI</v>
      </c>
      <c r="K45" s="4" t="s">
        <v>20</v>
      </c>
      <c r="L45" s="4" t="s">
        <v>21</v>
      </c>
      <c r="M45" s="4" t="s">
        <v>187</v>
      </c>
      <c r="N45" s="4" t="s">
        <v>188</v>
      </c>
      <c r="O45" s="4" t="s">
        <v>189</v>
      </c>
      <c r="P45" s="4" t="s">
        <v>190</v>
      </c>
      <c r="Q45" s="4" t="s">
        <v>191</v>
      </c>
      <c r="R45" s="4" t="s">
        <v>27</v>
      </c>
    </row>
    <row r="46" customFormat="false" ht="93" hidden="false" customHeight="true" outlineLevel="0" collapsed="false">
      <c r="A46" s="3" t="s">
        <v>177</v>
      </c>
      <c r="B46" s="4" t="s">
        <v>45</v>
      </c>
      <c r="C46" s="4"/>
      <c r="D46" s="4" t="n">
        <f aca="false">IFERROR(DPG2a!L17,"")</f>
        <v>5</v>
      </c>
      <c r="E46" s="4"/>
      <c r="F46" s="5"/>
      <c r="G46" s="5"/>
      <c r="H46" s="6" t="str">
        <f aca="false">IF(OR(F46="",NOT(ISNUMBER(D46))),"",IF(ABS(F46-D46)&lt;0.001,"Yes","No"))</f>
        <v/>
      </c>
      <c r="I46" s="7" t="n">
        <f aca="false">IF(ISNUMBER(F46),F46,D46)</f>
        <v>5</v>
      </c>
      <c r="J46" s="6" t="str">
        <f aca="false">IF(ISNUMBER(F46),"Expert (overrides AI)",IF(ISNUMBER(D46),"AI","Not scored yet"))</f>
        <v>AI</v>
      </c>
      <c r="K46" s="4" t="s">
        <v>20</v>
      </c>
      <c r="L46" s="4" t="s">
        <v>21</v>
      </c>
      <c r="M46" s="4" t="s">
        <v>192</v>
      </c>
      <c r="N46" s="4" t="s">
        <v>47</v>
      </c>
      <c r="O46" s="4" t="s">
        <v>48</v>
      </c>
      <c r="P46" s="4" t="s">
        <v>193</v>
      </c>
      <c r="Q46" s="4" t="s">
        <v>194</v>
      </c>
      <c r="R46" s="4" t="s">
        <v>27</v>
      </c>
    </row>
    <row r="47" customFormat="false" ht="93" hidden="false" customHeight="true" outlineLevel="0" collapsed="false">
      <c r="A47" s="3" t="s">
        <v>177</v>
      </c>
      <c r="B47" s="4" t="s">
        <v>51</v>
      </c>
      <c r="C47" s="4"/>
      <c r="D47" s="4" t="str">
        <f aca="false">IFERROR(DPG2a!L18,"")</f>
        <v/>
      </c>
      <c r="E47" s="4"/>
      <c r="F47" s="5"/>
      <c r="G47" s="5"/>
      <c r="H47" s="6" t="str">
        <f aca="false">IF(OR(F47="",NOT(ISNUMBER(D47))),"",IF(ABS(F47-D47)&lt;0.001,"Yes","No"))</f>
        <v/>
      </c>
      <c r="I47" s="7" t="str">
        <f aca="false">IF(ISNUMBER(F47),F47,D47)</f>
        <v/>
      </c>
      <c r="J47" s="6" t="str">
        <f aca="false">IF(ISNUMBER(F47),"Expert (overrides AI)",IF(ISNUMBER(D47),"AI","Not scored yet"))</f>
        <v>Not scored yet</v>
      </c>
      <c r="K47" s="4" t="s">
        <v>20</v>
      </c>
      <c r="L47" s="4" t="s">
        <v>21</v>
      </c>
      <c r="M47" s="4" t="s">
        <v>195</v>
      </c>
      <c r="N47" s="4" t="s">
        <v>64</v>
      </c>
      <c r="O47" s="4" t="s">
        <v>65</v>
      </c>
      <c r="P47" s="4" t="s">
        <v>196</v>
      </c>
      <c r="Q47" s="4" t="s">
        <v>197</v>
      </c>
      <c r="R47" s="4" t="s">
        <v>27</v>
      </c>
    </row>
    <row r="48" customFormat="false" ht="93" hidden="false" customHeight="true" outlineLevel="0" collapsed="false">
      <c r="A48" s="3" t="s">
        <v>177</v>
      </c>
      <c r="B48" s="4" t="s">
        <v>54</v>
      </c>
      <c r="C48" s="4"/>
      <c r="D48" s="4" t="str">
        <f aca="false">IFERROR(DPG2a!L19,"")</f>
        <v/>
      </c>
      <c r="E48" s="4"/>
      <c r="F48" s="5"/>
      <c r="G48" s="5"/>
      <c r="H48" s="6" t="str">
        <f aca="false">IF(OR(F48="",NOT(ISNUMBER(D48))),"",IF(ABS(F48-D48)&lt;0.001,"Yes","No"))</f>
        <v/>
      </c>
      <c r="I48" s="7" t="str">
        <f aca="false">IF(ISNUMBER(F48),F48,D48)</f>
        <v/>
      </c>
      <c r="J48" s="6" t="str">
        <f aca="false">IF(ISNUMBER(F48),"Expert (overrides AI)",IF(ISNUMBER(D48),"AI","Not scored yet"))</f>
        <v>Not scored yet</v>
      </c>
      <c r="K48" s="4" t="s">
        <v>20</v>
      </c>
      <c r="L48" s="4" t="s">
        <v>21</v>
      </c>
      <c r="M48" s="4" t="s">
        <v>198</v>
      </c>
      <c r="N48" s="4" t="s">
        <v>199</v>
      </c>
      <c r="O48" s="4" t="s">
        <v>200</v>
      </c>
      <c r="P48" s="4" t="s">
        <v>201</v>
      </c>
      <c r="Q48" s="4" t="s">
        <v>202</v>
      </c>
      <c r="R48" s="4" t="s">
        <v>27</v>
      </c>
    </row>
    <row r="49" customFormat="false" ht="93" hidden="false" customHeight="true" outlineLevel="0" collapsed="false">
      <c r="A49" s="3" t="s">
        <v>203</v>
      </c>
      <c r="B49" s="4" t="s">
        <v>19</v>
      </c>
      <c r="C49" s="4"/>
      <c r="D49" s="4" t="n">
        <f aca="false">IFERROR(DPG2b!L13,"")</f>
        <v>0</v>
      </c>
      <c r="E49" s="4"/>
      <c r="F49" s="5"/>
      <c r="G49" s="5"/>
      <c r="H49" s="6" t="str">
        <f aca="false">IF(OR(F49="",NOT(ISNUMBER(D49))),"",IF(ABS(F49-D49)&lt;0.001,"Yes","No"))</f>
        <v/>
      </c>
      <c r="I49" s="7" t="n">
        <f aca="false">IF(ISNUMBER(F49),F49,D49)</f>
        <v>0</v>
      </c>
      <c r="J49" s="6" t="str">
        <f aca="false">IF(ISNUMBER(F49),"Expert (overrides AI)",IF(ISNUMBER(D49),"AI","Not scored yet"))</f>
        <v>AI</v>
      </c>
      <c r="K49" s="4" t="s">
        <v>20</v>
      </c>
      <c r="L49" s="4" t="s">
        <v>21</v>
      </c>
      <c r="M49" s="4" t="s">
        <v>204</v>
      </c>
      <c r="N49" s="4" t="s">
        <v>23</v>
      </c>
      <c r="O49" s="4" t="s">
        <v>24</v>
      </c>
      <c r="P49" s="4" t="s">
        <v>205</v>
      </c>
      <c r="Q49" s="4" t="s">
        <v>206</v>
      </c>
      <c r="R49" s="4" t="s">
        <v>27</v>
      </c>
    </row>
    <row r="50" customFormat="false" ht="93" hidden="false" customHeight="true" outlineLevel="0" collapsed="false">
      <c r="A50" s="3" t="s">
        <v>203</v>
      </c>
      <c r="B50" s="4" t="s">
        <v>28</v>
      </c>
      <c r="C50" s="4"/>
      <c r="D50" s="4" t="str">
        <f aca="false">IFERROR(DPG2b!L14,"")</f>
        <v/>
      </c>
      <c r="E50" s="4"/>
      <c r="F50" s="5"/>
      <c r="G50" s="5"/>
      <c r="H50" s="6" t="str">
        <f aca="false">IF(OR(F50="",NOT(ISNUMBER(D50))),"",IF(ABS(F50-D50)&lt;0.001,"Yes","No"))</f>
        <v/>
      </c>
      <c r="I50" s="7" t="str">
        <f aca="false">IF(ISNUMBER(F50),F50,D50)</f>
        <v/>
      </c>
      <c r="J50" s="6" t="str">
        <f aca="false">IF(ISNUMBER(F50),"Expert (overrides AI)",IF(ISNUMBER(D50),"AI","Not scored yet"))</f>
        <v>Not scored yet</v>
      </c>
      <c r="K50" s="4" t="s">
        <v>20</v>
      </c>
      <c r="L50" s="4" t="s">
        <v>21</v>
      </c>
      <c r="M50" s="4" t="s">
        <v>207</v>
      </c>
      <c r="N50" s="4" t="s">
        <v>159</v>
      </c>
      <c r="O50" s="4" t="s">
        <v>160</v>
      </c>
      <c r="P50" s="4" t="s">
        <v>208</v>
      </c>
      <c r="Q50" s="4" t="s">
        <v>209</v>
      </c>
      <c r="R50" s="4" t="s">
        <v>27</v>
      </c>
    </row>
    <row r="51" customFormat="false" ht="93" hidden="false" customHeight="true" outlineLevel="0" collapsed="false">
      <c r="A51" s="3" t="s">
        <v>203</v>
      </c>
      <c r="B51" s="4" t="s">
        <v>34</v>
      </c>
      <c r="C51" s="4"/>
      <c r="D51" s="4" t="n">
        <f aca="false">IFERROR(DPG2b!L15,"")</f>
        <v>0</v>
      </c>
      <c r="E51" s="4"/>
      <c r="F51" s="5"/>
      <c r="G51" s="5"/>
      <c r="H51" s="6" t="str">
        <f aca="false">IF(OR(F51="",NOT(ISNUMBER(D51))),"",IF(ABS(F51-D51)&lt;0.001,"Yes","No"))</f>
        <v/>
      </c>
      <c r="I51" s="7" t="n">
        <f aca="false">IF(ISNUMBER(F51),F51,D51)</f>
        <v>0</v>
      </c>
      <c r="J51" s="6" t="str">
        <f aca="false">IF(ISNUMBER(F51),"Expert (overrides AI)",IF(ISNUMBER(D51),"AI","Not scored yet"))</f>
        <v>AI</v>
      </c>
      <c r="K51" s="4" t="s">
        <v>20</v>
      </c>
      <c r="L51" s="4" t="s">
        <v>21</v>
      </c>
      <c r="M51" s="4" t="s">
        <v>210</v>
      </c>
      <c r="N51" s="4" t="s">
        <v>36</v>
      </c>
      <c r="O51" s="4" t="s">
        <v>37</v>
      </c>
      <c r="P51" s="4" t="s">
        <v>211</v>
      </c>
      <c r="Q51" s="4" t="s">
        <v>212</v>
      </c>
      <c r="R51" s="4" t="s">
        <v>27</v>
      </c>
    </row>
    <row r="52" customFormat="false" ht="93" hidden="false" customHeight="true" outlineLevel="0" collapsed="false">
      <c r="A52" s="3" t="s">
        <v>203</v>
      </c>
      <c r="B52" s="4" t="s">
        <v>40</v>
      </c>
      <c r="C52" s="4"/>
      <c r="D52" s="4" t="n">
        <f aca="false">IFERROR(DPG2b!L16,"")</f>
        <v>0</v>
      </c>
      <c r="E52" s="4"/>
      <c r="F52" s="5"/>
      <c r="G52" s="5"/>
      <c r="H52" s="6" t="str">
        <f aca="false">IF(OR(F52="",NOT(ISNUMBER(D52))),"",IF(ABS(F52-D52)&lt;0.001,"Yes","No"))</f>
        <v/>
      </c>
      <c r="I52" s="7" t="n">
        <f aca="false">IF(ISNUMBER(F52),F52,D52)</f>
        <v>0</v>
      </c>
      <c r="J52" s="6" t="str">
        <f aca="false">IF(ISNUMBER(F52),"Expert (overrides AI)",IF(ISNUMBER(D52),"AI","Not scored yet"))</f>
        <v>AI</v>
      </c>
      <c r="K52" s="4" t="s">
        <v>20</v>
      </c>
      <c r="L52" s="4" t="s">
        <v>21</v>
      </c>
      <c r="M52" s="4" t="s">
        <v>213</v>
      </c>
      <c r="N52" s="4" t="s">
        <v>42</v>
      </c>
      <c r="O52" s="4" t="s">
        <v>31</v>
      </c>
      <c r="P52" s="4" t="s">
        <v>214</v>
      </c>
      <c r="Q52" s="4" t="s">
        <v>215</v>
      </c>
      <c r="R52" s="4" t="s">
        <v>27</v>
      </c>
    </row>
    <row r="53" customFormat="false" ht="93" hidden="false" customHeight="true" outlineLevel="0" collapsed="false">
      <c r="A53" s="3" t="s">
        <v>203</v>
      </c>
      <c r="B53" s="4" t="s">
        <v>45</v>
      </c>
      <c r="C53" s="4"/>
      <c r="D53" s="4" t="n">
        <f aca="false">IFERROR(DPG2b!L17,"")</f>
        <v>0</v>
      </c>
      <c r="E53" s="4"/>
      <c r="F53" s="5"/>
      <c r="G53" s="5"/>
      <c r="H53" s="6" t="str">
        <f aca="false">IF(OR(F53="",NOT(ISNUMBER(D53))),"",IF(ABS(F53-D53)&lt;0.001,"Yes","No"))</f>
        <v/>
      </c>
      <c r="I53" s="7" t="n">
        <f aca="false">IF(ISNUMBER(F53),F53,D53)</f>
        <v>0</v>
      </c>
      <c r="J53" s="6" t="str">
        <f aca="false">IF(ISNUMBER(F53),"Expert (overrides AI)",IF(ISNUMBER(D53),"AI","Not scored yet"))</f>
        <v>AI</v>
      </c>
      <c r="K53" s="4" t="s">
        <v>20</v>
      </c>
      <c r="L53" s="4" t="s">
        <v>52</v>
      </c>
      <c r="M53" s="4"/>
      <c r="N53" s="4"/>
      <c r="O53" s="4"/>
      <c r="P53" s="4"/>
      <c r="Q53" s="4"/>
      <c r="R53" s="4" t="s">
        <v>216</v>
      </c>
    </row>
    <row r="54" customFormat="false" ht="93" hidden="false" customHeight="true" outlineLevel="0" collapsed="false">
      <c r="A54" s="3" t="s">
        <v>203</v>
      </c>
      <c r="B54" s="4" t="s">
        <v>51</v>
      </c>
      <c r="C54" s="4"/>
      <c r="D54" s="4" t="str">
        <f aca="false">IFERROR(DPG2b!L18,"")</f>
        <v/>
      </c>
      <c r="E54" s="4"/>
      <c r="F54" s="5"/>
      <c r="G54" s="5"/>
      <c r="H54" s="6" t="str">
        <f aca="false">IF(OR(F54="",NOT(ISNUMBER(D54))),"",IF(ABS(F54-D54)&lt;0.001,"Yes","No"))</f>
        <v/>
      </c>
      <c r="I54" s="7" t="str">
        <f aca="false">IF(ISNUMBER(F54),F54,D54)</f>
        <v/>
      </c>
      <c r="J54" s="6" t="str">
        <f aca="false">IF(ISNUMBER(F54),"Expert (overrides AI)",IF(ISNUMBER(D54),"AI","Not scored yet"))</f>
        <v>Not scored yet</v>
      </c>
      <c r="K54" s="4" t="s">
        <v>20</v>
      </c>
      <c r="L54" s="4" t="s">
        <v>21</v>
      </c>
      <c r="M54" s="4" t="s">
        <v>217</v>
      </c>
      <c r="N54" s="4" t="s">
        <v>218</v>
      </c>
      <c r="O54" s="4" t="s">
        <v>219</v>
      </c>
      <c r="P54" s="4" t="s">
        <v>220</v>
      </c>
      <c r="Q54" s="4" t="s">
        <v>221</v>
      </c>
      <c r="R54" s="4" t="s">
        <v>27</v>
      </c>
    </row>
    <row r="55" customFormat="false" ht="93" hidden="false" customHeight="true" outlineLevel="0" collapsed="false">
      <c r="A55" s="3" t="s">
        <v>203</v>
      </c>
      <c r="B55" s="4" t="s">
        <v>54</v>
      </c>
      <c r="C55" s="4"/>
      <c r="D55" s="4" t="str">
        <f aca="false">IFERROR(DPG2b!L19,"")</f>
        <v/>
      </c>
      <c r="E55" s="4"/>
      <c r="F55" s="5"/>
      <c r="G55" s="5"/>
      <c r="H55" s="6" t="str">
        <f aca="false">IF(OR(F55="",NOT(ISNUMBER(D55))),"",IF(ABS(F55-D55)&lt;0.001,"Yes","No"))</f>
        <v/>
      </c>
      <c r="I55" s="7" t="str">
        <f aca="false">IF(ISNUMBER(F55),F55,D55)</f>
        <v/>
      </c>
      <c r="J55" s="6" t="str">
        <f aca="false">IF(ISNUMBER(F55),"Expert (overrides AI)",IF(ISNUMBER(D55),"AI","Not scored yet"))</f>
        <v>Not scored yet</v>
      </c>
      <c r="K55" s="4" t="s">
        <v>20</v>
      </c>
      <c r="L55" s="4" t="s">
        <v>52</v>
      </c>
      <c r="M55" s="4"/>
      <c r="N55" s="4"/>
      <c r="O55" s="4"/>
      <c r="P55" s="4"/>
      <c r="Q55" s="4"/>
      <c r="R55" s="4" t="s">
        <v>222</v>
      </c>
    </row>
    <row r="56" customFormat="false" ht="93" hidden="false" customHeight="true" outlineLevel="0" collapsed="false">
      <c r="A56" s="3" t="s">
        <v>223</v>
      </c>
      <c r="B56" s="4" t="s">
        <v>19</v>
      </c>
      <c r="C56" s="4"/>
      <c r="D56" s="4" t="n">
        <f aca="false">IFERROR('DPG4'!L13,"")</f>
        <v>10</v>
      </c>
      <c r="E56" s="4"/>
      <c r="F56" s="5"/>
      <c r="G56" s="5"/>
      <c r="H56" s="6" t="str">
        <f aca="false">IF(OR(F56="",NOT(ISNUMBER(D56))),"",IF(ABS(F56-D56)&lt;0.001,"Yes","No"))</f>
        <v/>
      </c>
      <c r="I56" s="7" t="n">
        <f aca="false">IF(ISNUMBER(F56),F56,D56)</f>
        <v>10</v>
      </c>
      <c r="J56" s="6" t="str">
        <f aca="false">IF(ISNUMBER(F56),"Expert (overrides AI)",IF(ISNUMBER(D56),"AI","Not scored yet"))</f>
        <v>AI</v>
      </c>
      <c r="K56" s="4" t="s">
        <v>154</v>
      </c>
      <c r="L56" s="4" t="s">
        <v>62</v>
      </c>
      <c r="M56" s="4" t="s">
        <v>224</v>
      </c>
      <c r="N56" s="4" t="s">
        <v>225</v>
      </c>
      <c r="O56" s="4" t="s">
        <v>226</v>
      </c>
      <c r="P56" s="4" t="s">
        <v>227</v>
      </c>
      <c r="Q56" s="4" t="s">
        <v>228</v>
      </c>
      <c r="R56" s="4"/>
    </row>
    <row r="57" customFormat="false" ht="93" hidden="false" customHeight="true" outlineLevel="0" collapsed="false">
      <c r="A57" s="3" t="s">
        <v>223</v>
      </c>
      <c r="B57" s="4" t="s">
        <v>28</v>
      </c>
      <c r="C57" s="4"/>
      <c r="D57" s="4" t="n">
        <f aca="false">IFERROR('DPG4'!L14,"")</f>
        <v>10</v>
      </c>
      <c r="E57" s="4"/>
      <c r="F57" s="5"/>
      <c r="G57" s="5"/>
      <c r="H57" s="6" t="str">
        <f aca="false">IF(OR(F57="",NOT(ISNUMBER(D57))),"",IF(ABS(F57-D57)&lt;0.001,"Yes","No"))</f>
        <v/>
      </c>
      <c r="I57" s="7" t="n">
        <f aca="false">IF(ISNUMBER(F57),F57,D57)</f>
        <v>10</v>
      </c>
      <c r="J57" s="6" t="str">
        <f aca="false">IF(ISNUMBER(F57),"Expert (overrides AI)",IF(ISNUMBER(D57),"AI","Not scored yet"))</f>
        <v>AI</v>
      </c>
      <c r="K57" s="4" t="s">
        <v>154</v>
      </c>
      <c r="L57" s="4" t="s">
        <v>62</v>
      </c>
      <c r="M57" s="4" t="s">
        <v>229</v>
      </c>
      <c r="N57" s="4" t="s">
        <v>230</v>
      </c>
      <c r="O57" s="4" t="s">
        <v>231</v>
      </c>
      <c r="P57" s="4" t="s">
        <v>232</v>
      </c>
      <c r="Q57" s="4" t="s">
        <v>233</v>
      </c>
      <c r="R57" s="4"/>
    </row>
    <row r="58" customFormat="false" ht="93" hidden="false" customHeight="true" outlineLevel="0" collapsed="false">
      <c r="A58" s="3" t="s">
        <v>223</v>
      </c>
      <c r="B58" s="4" t="s">
        <v>34</v>
      </c>
      <c r="C58" s="4"/>
      <c r="D58" s="4" t="str">
        <f aca="false">IFERROR('DPG4'!L15,"")</f>
        <v/>
      </c>
      <c r="E58" s="4"/>
      <c r="F58" s="5"/>
      <c r="G58" s="5"/>
      <c r="H58" s="6" t="str">
        <f aca="false">IF(OR(F58="",NOT(ISNUMBER(D58))),"",IF(ABS(F58-D58)&lt;0.001,"Yes","No"))</f>
        <v/>
      </c>
      <c r="I58" s="7" t="str">
        <f aca="false">IF(ISNUMBER(F58),F58,D58)</f>
        <v/>
      </c>
      <c r="J58" s="6" t="str">
        <f aca="false">IF(ISNUMBER(F58),"Expert (overrides AI)",IF(ISNUMBER(D58),"AI","Not scored yet"))</f>
        <v>Not scored yet</v>
      </c>
      <c r="K58" s="4" t="s">
        <v>20</v>
      </c>
      <c r="L58" s="4" t="s">
        <v>52</v>
      </c>
      <c r="M58" s="4"/>
      <c r="N58" s="4"/>
      <c r="O58" s="4"/>
      <c r="P58" s="4"/>
      <c r="Q58" s="4"/>
      <c r="R58" s="4" t="s">
        <v>234</v>
      </c>
    </row>
    <row r="59" customFormat="false" ht="93" hidden="false" customHeight="true" outlineLevel="0" collapsed="false">
      <c r="A59" s="3" t="s">
        <v>223</v>
      </c>
      <c r="B59" s="4" t="s">
        <v>40</v>
      </c>
      <c r="C59" s="4"/>
      <c r="D59" s="4" t="str">
        <f aca="false">IFERROR('DPG4'!L16,"")</f>
        <v/>
      </c>
      <c r="E59" s="4"/>
      <c r="F59" s="5"/>
      <c r="G59" s="5"/>
      <c r="H59" s="6" t="str">
        <f aca="false">IF(OR(F59="",NOT(ISNUMBER(D59))),"",IF(ABS(F59-D59)&lt;0.001,"Yes","No"))</f>
        <v/>
      </c>
      <c r="I59" s="7" t="str">
        <f aca="false">IF(ISNUMBER(F59),F59,D59)</f>
        <v/>
      </c>
      <c r="J59" s="6" t="str">
        <f aca="false">IF(ISNUMBER(F59),"Expert (overrides AI)",IF(ISNUMBER(D59),"AI","Not scored yet"))</f>
        <v>Not scored yet</v>
      </c>
      <c r="K59" s="4" t="s">
        <v>20</v>
      </c>
      <c r="L59" s="4" t="s">
        <v>21</v>
      </c>
      <c r="M59" s="4" t="s">
        <v>235</v>
      </c>
      <c r="N59" s="4" t="s">
        <v>188</v>
      </c>
      <c r="O59" s="4" t="s">
        <v>189</v>
      </c>
      <c r="P59" s="4" t="s">
        <v>236</v>
      </c>
      <c r="Q59" s="4" t="s">
        <v>237</v>
      </c>
      <c r="R59" s="4" t="s">
        <v>27</v>
      </c>
    </row>
    <row r="60" customFormat="false" ht="93" hidden="false" customHeight="true" outlineLevel="0" collapsed="false">
      <c r="A60" s="3" t="s">
        <v>223</v>
      </c>
      <c r="B60" s="4" t="s">
        <v>45</v>
      </c>
      <c r="C60" s="4"/>
      <c r="D60" s="4" t="n">
        <f aca="false">IFERROR('DPG4'!L17,"")</f>
        <v>10</v>
      </c>
      <c r="E60" s="4"/>
      <c r="F60" s="5"/>
      <c r="G60" s="5"/>
      <c r="H60" s="6" t="str">
        <f aca="false">IF(OR(F60="",NOT(ISNUMBER(D60))),"",IF(ABS(F60-D60)&lt;0.001,"Yes","No"))</f>
        <v/>
      </c>
      <c r="I60" s="7" t="n">
        <f aca="false">IF(ISNUMBER(F60),F60,D60)</f>
        <v>10</v>
      </c>
      <c r="J60" s="6" t="str">
        <f aca="false">IF(ISNUMBER(F60),"Expert (overrides AI)",IF(ISNUMBER(D60),"AI","Not scored yet"))</f>
        <v>AI</v>
      </c>
      <c r="K60" s="4" t="s">
        <v>154</v>
      </c>
      <c r="L60" s="4" t="s">
        <v>62</v>
      </c>
      <c r="M60" s="4" t="s">
        <v>238</v>
      </c>
      <c r="N60" s="4" t="s">
        <v>239</v>
      </c>
      <c r="O60" s="4" t="s">
        <v>240</v>
      </c>
      <c r="P60" s="4" t="s">
        <v>241</v>
      </c>
      <c r="Q60" s="4" t="s">
        <v>242</v>
      </c>
      <c r="R60" s="4"/>
    </row>
    <row r="61" customFormat="false" ht="93" hidden="false" customHeight="true" outlineLevel="0" collapsed="false">
      <c r="A61" s="3" t="s">
        <v>223</v>
      </c>
      <c r="B61" s="4" t="s">
        <v>51</v>
      </c>
      <c r="C61" s="4"/>
      <c r="D61" s="4" t="str">
        <f aca="false">IFERROR('DPG4'!L18,"")</f>
        <v/>
      </c>
      <c r="E61" s="4"/>
      <c r="F61" s="5"/>
      <c r="G61" s="5"/>
      <c r="H61" s="6" t="str">
        <f aca="false">IF(OR(F61="",NOT(ISNUMBER(D61))),"",IF(ABS(F61-D61)&lt;0.001,"Yes","No"))</f>
        <v/>
      </c>
      <c r="I61" s="7" t="str">
        <f aca="false">IF(ISNUMBER(F61),F61,D61)</f>
        <v/>
      </c>
      <c r="J61" s="6" t="str">
        <f aca="false">IF(ISNUMBER(F61),"Expert (overrides AI)",IF(ISNUMBER(D61),"AI","Not scored yet"))</f>
        <v>Not scored yet</v>
      </c>
      <c r="K61" s="4" t="s">
        <v>20</v>
      </c>
      <c r="L61" s="4" t="s">
        <v>21</v>
      </c>
      <c r="M61" s="4" t="s">
        <v>243</v>
      </c>
      <c r="N61" s="4" t="s">
        <v>244</v>
      </c>
      <c r="O61" s="4" t="s">
        <v>245</v>
      </c>
      <c r="P61" s="4" t="s">
        <v>246</v>
      </c>
      <c r="Q61" s="4" t="s">
        <v>247</v>
      </c>
      <c r="R61" s="4" t="s">
        <v>27</v>
      </c>
    </row>
    <row r="62" customFormat="false" ht="93" hidden="false" customHeight="true" outlineLevel="0" collapsed="false">
      <c r="A62" s="3" t="s">
        <v>223</v>
      </c>
      <c r="B62" s="4" t="s">
        <v>54</v>
      </c>
      <c r="C62" s="4"/>
      <c r="D62" s="4" t="n">
        <f aca="false">IFERROR('DPG4'!L19,"")</f>
        <v>10</v>
      </c>
      <c r="E62" s="4"/>
      <c r="F62" s="5"/>
      <c r="G62" s="5"/>
      <c r="H62" s="6" t="str">
        <f aca="false">IF(OR(F62="",NOT(ISNUMBER(D62))),"",IF(ABS(F62-D62)&lt;0.001,"Yes","No"))</f>
        <v/>
      </c>
      <c r="I62" s="7" t="n">
        <f aca="false">IF(ISNUMBER(F62),F62,D62)</f>
        <v>10</v>
      </c>
      <c r="J62" s="6" t="str">
        <f aca="false">IF(ISNUMBER(F62),"Expert (overrides AI)",IF(ISNUMBER(D62),"AI","Not scored yet"))</f>
        <v>AI</v>
      </c>
      <c r="K62" s="4" t="s">
        <v>154</v>
      </c>
      <c r="L62" s="4" t="s">
        <v>62</v>
      </c>
      <c r="M62" s="4" t="s">
        <v>248</v>
      </c>
      <c r="N62" s="4" t="s">
        <v>249</v>
      </c>
      <c r="O62" s="4" t="s">
        <v>250</v>
      </c>
      <c r="P62" s="4" t="s">
        <v>251</v>
      </c>
      <c r="Q62" s="4" t="s">
        <v>252</v>
      </c>
      <c r="R62" s="4"/>
    </row>
    <row r="63" customFormat="false" ht="93" hidden="false" customHeight="true" outlineLevel="0" collapsed="false">
      <c r="A63" s="3" t="s">
        <v>253</v>
      </c>
      <c r="B63" s="4" t="s">
        <v>19</v>
      </c>
      <c r="C63" s="4"/>
      <c r="D63" s="4" t="str">
        <f aca="false">IFERROR(DPG5a!L13,"")</f>
        <v/>
      </c>
      <c r="E63" s="4"/>
      <c r="F63" s="5"/>
      <c r="G63" s="5"/>
      <c r="H63" s="6" t="str">
        <f aca="false">IF(OR(F63="",NOT(ISNUMBER(D63))),"",IF(ABS(F63-D63)&lt;0.001,"Yes","No"))</f>
        <v/>
      </c>
      <c r="I63" s="7" t="str">
        <f aca="false">IF(ISNUMBER(F63),F63,D63)</f>
        <v/>
      </c>
      <c r="J63" s="6" t="str">
        <f aca="false">IF(ISNUMBER(F63),"Expert (overrides AI)",IF(ISNUMBER(D63),"AI","Not scored yet"))</f>
        <v>Not scored yet</v>
      </c>
      <c r="K63" s="4" t="s">
        <v>20</v>
      </c>
      <c r="L63" s="4" t="s">
        <v>52</v>
      </c>
      <c r="M63" s="4"/>
      <c r="N63" s="4"/>
      <c r="O63" s="4"/>
      <c r="P63" s="4"/>
      <c r="Q63" s="4"/>
      <c r="R63" s="4" t="s">
        <v>254</v>
      </c>
    </row>
    <row r="64" customFormat="false" ht="93" hidden="false" customHeight="true" outlineLevel="0" collapsed="false">
      <c r="A64" s="3" t="s">
        <v>253</v>
      </c>
      <c r="B64" s="4" t="s">
        <v>28</v>
      </c>
      <c r="C64" s="4"/>
      <c r="D64" s="4" t="str">
        <f aca="false">IFERROR(DPG5a!L14,"")</f>
        <v/>
      </c>
      <c r="E64" s="4"/>
      <c r="F64" s="5"/>
      <c r="G64" s="5"/>
      <c r="H64" s="6" t="str">
        <f aca="false">IF(OR(F64="",NOT(ISNUMBER(D64))),"",IF(ABS(F64-D64)&lt;0.001,"Yes","No"))</f>
        <v/>
      </c>
      <c r="I64" s="7" t="str">
        <f aca="false">IF(ISNUMBER(F64),F64,D64)</f>
        <v/>
      </c>
      <c r="J64" s="6" t="str">
        <f aca="false">IF(ISNUMBER(F64),"Expert (overrides AI)",IF(ISNUMBER(D64),"AI","Not scored yet"))</f>
        <v>Not scored yet</v>
      </c>
      <c r="K64" s="4" t="s">
        <v>20</v>
      </c>
      <c r="L64" s="4" t="s">
        <v>52</v>
      </c>
      <c r="M64" s="4"/>
      <c r="N64" s="4"/>
      <c r="O64" s="4"/>
      <c r="P64" s="4"/>
      <c r="Q64" s="4"/>
      <c r="R64" s="4" t="s">
        <v>255</v>
      </c>
    </row>
    <row r="65" customFormat="false" ht="93" hidden="false" customHeight="true" outlineLevel="0" collapsed="false">
      <c r="A65" s="3" t="s">
        <v>253</v>
      </c>
      <c r="B65" s="4" t="s">
        <v>34</v>
      </c>
      <c r="C65" s="4"/>
      <c r="D65" s="4" t="str">
        <f aca="false">IFERROR(DPG5a!L15,"")</f>
        <v/>
      </c>
      <c r="E65" s="4"/>
      <c r="F65" s="5"/>
      <c r="G65" s="5"/>
      <c r="H65" s="6" t="str">
        <f aca="false">IF(OR(F65="",NOT(ISNUMBER(D65))),"",IF(ABS(F65-D65)&lt;0.001,"Yes","No"))</f>
        <v/>
      </c>
      <c r="I65" s="7" t="str">
        <f aca="false">IF(ISNUMBER(F65),F65,D65)</f>
        <v/>
      </c>
      <c r="J65" s="6" t="str">
        <f aca="false">IF(ISNUMBER(F65),"Expert (overrides AI)",IF(ISNUMBER(D65),"AI","Not scored yet"))</f>
        <v>Not scored yet</v>
      </c>
      <c r="K65" s="4" t="s">
        <v>20</v>
      </c>
      <c r="L65" s="4" t="s">
        <v>52</v>
      </c>
      <c r="M65" s="4"/>
      <c r="N65" s="4"/>
      <c r="O65" s="4"/>
      <c r="P65" s="4"/>
      <c r="Q65" s="4"/>
      <c r="R65" s="4" t="s">
        <v>256</v>
      </c>
    </row>
    <row r="66" customFormat="false" ht="93" hidden="false" customHeight="true" outlineLevel="0" collapsed="false">
      <c r="A66" s="3" t="s">
        <v>253</v>
      </c>
      <c r="B66" s="4" t="s">
        <v>40</v>
      </c>
      <c r="C66" s="4"/>
      <c r="D66" s="4" t="str">
        <f aca="false">IFERROR(DPG5a!L16,"")</f>
        <v/>
      </c>
      <c r="E66" s="4"/>
      <c r="F66" s="5"/>
      <c r="G66" s="5"/>
      <c r="H66" s="6" t="str">
        <f aca="false">IF(OR(F66="",NOT(ISNUMBER(D66))),"",IF(ABS(F66-D66)&lt;0.001,"Yes","No"))</f>
        <v/>
      </c>
      <c r="I66" s="7" t="str">
        <f aca="false">IF(ISNUMBER(F66),F66,D66)</f>
        <v/>
      </c>
      <c r="J66" s="6" t="str">
        <f aca="false">IF(ISNUMBER(F66),"Expert (overrides AI)",IF(ISNUMBER(D66),"AI","Not scored yet"))</f>
        <v>Not scored yet</v>
      </c>
      <c r="K66" s="4" t="s">
        <v>20</v>
      </c>
      <c r="L66" s="4" t="s">
        <v>52</v>
      </c>
      <c r="M66" s="4"/>
      <c r="N66" s="4"/>
      <c r="O66" s="4"/>
      <c r="P66" s="4"/>
      <c r="Q66" s="4"/>
      <c r="R66" s="4" t="s">
        <v>257</v>
      </c>
    </row>
    <row r="67" customFormat="false" ht="93" hidden="false" customHeight="true" outlineLevel="0" collapsed="false">
      <c r="A67" s="3" t="s">
        <v>253</v>
      </c>
      <c r="B67" s="4" t="s">
        <v>45</v>
      </c>
      <c r="C67" s="4"/>
      <c r="D67" s="4" t="str">
        <f aca="false">IFERROR(DPG5a!L17,"")</f>
        <v/>
      </c>
      <c r="E67" s="4"/>
      <c r="F67" s="5"/>
      <c r="G67" s="5"/>
      <c r="H67" s="6" t="str">
        <f aca="false">IF(OR(F67="",NOT(ISNUMBER(D67))),"",IF(ABS(F67-D67)&lt;0.001,"Yes","No"))</f>
        <v/>
      </c>
      <c r="I67" s="7" t="str">
        <f aca="false">IF(ISNUMBER(F67),F67,D67)</f>
        <v/>
      </c>
      <c r="J67" s="6" t="str">
        <f aca="false">IF(ISNUMBER(F67),"Expert (overrides AI)",IF(ISNUMBER(D67),"AI","Not scored yet"))</f>
        <v>Not scored yet</v>
      </c>
      <c r="K67" s="4" t="s">
        <v>20</v>
      </c>
      <c r="L67" s="4" t="s">
        <v>52</v>
      </c>
      <c r="M67" s="4"/>
      <c r="N67" s="4"/>
      <c r="O67" s="4"/>
      <c r="P67" s="4"/>
      <c r="Q67" s="4"/>
      <c r="R67" s="4" t="s">
        <v>258</v>
      </c>
    </row>
    <row r="68" customFormat="false" ht="93" hidden="false" customHeight="true" outlineLevel="0" collapsed="false">
      <c r="A68" s="3" t="s">
        <v>253</v>
      </c>
      <c r="B68" s="4" t="s">
        <v>51</v>
      </c>
      <c r="C68" s="4"/>
      <c r="D68" s="4" t="str">
        <f aca="false">IFERROR(DPG5a!L18,"")</f>
        <v/>
      </c>
      <c r="E68" s="4"/>
      <c r="F68" s="5"/>
      <c r="G68" s="5"/>
      <c r="H68" s="6" t="str">
        <f aca="false">IF(OR(F68="",NOT(ISNUMBER(D68))),"",IF(ABS(F68-D68)&lt;0.001,"Yes","No"))</f>
        <v/>
      </c>
      <c r="I68" s="7" t="str">
        <f aca="false">IF(ISNUMBER(F68),F68,D68)</f>
        <v/>
      </c>
      <c r="J68" s="6" t="str">
        <f aca="false">IF(ISNUMBER(F68),"Expert (overrides AI)",IF(ISNUMBER(D68),"AI","Not scored yet"))</f>
        <v>Not scored yet</v>
      </c>
      <c r="K68" s="4" t="s">
        <v>20</v>
      </c>
      <c r="L68" s="4" t="s">
        <v>52</v>
      </c>
      <c r="M68" s="4"/>
      <c r="N68" s="4"/>
      <c r="O68" s="4"/>
      <c r="P68" s="4"/>
      <c r="Q68" s="4"/>
      <c r="R68" s="4" t="s">
        <v>259</v>
      </c>
    </row>
    <row r="69" customFormat="false" ht="93" hidden="false" customHeight="true" outlineLevel="0" collapsed="false">
      <c r="A69" s="3" t="s">
        <v>253</v>
      </c>
      <c r="B69" s="4" t="s">
        <v>54</v>
      </c>
      <c r="C69" s="4"/>
      <c r="D69" s="4" t="str">
        <f aca="false">IFERROR(DPG5a!L19,"")</f>
        <v/>
      </c>
      <c r="E69" s="4"/>
      <c r="F69" s="5"/>
      <c r="G69" s="5"/>
      <c r="H69" s="6" t="str">
        <f aca="false">IF(OR(F69="",NOT(ISNUMBER(D69))),"",IF(ABS(F69-D69)&lt;0.001,"Yes","No"))</f>
        <v/>
      </c>
      <c r="I69" s="7" t="str">
        <f aca="false">IF(ISNUMBER(F69),F69,D69)</f>
        <v/>
      </c>
      <c r="J69" s="6" t="str">
        <f aca="false">IF(ISNUMBER(F69),"Expert (overrides AI)",IF(ISNUMBER(D69),"AI","Not scored yet"))</f>
        <v>Not scored yet</v>
      </c>
      <c r="K69" s="4" t="s">
        <v>20</v>
      </c>
      <c r="L69" s="4" t="s">
        <v>52</v>
      </c>
      <c r="M69" s="4"/>
      <c r="N69" s="4"/>
      <c r="O69" s="4"/>
      <c r="P69" s="4"/>
      <c r="Q69" s="4"/>
      <c r="R69" s="4" t="s">
        <v>260</v>
      </c>
    </row>
    <row r="70" customFormat="false" ht="93" hidden="false" customHeight="true" outlineLevel="0" collapsed="false">
      <c r="A70" s="3" t="s">
        <v>261</v>
      </c>
      <c r="B70" s="4" t="s">
        <v>19</v>
      </c>
      <c r="C70" s="4"/>
      <c r="D70" s="4" t="str">
        <f aca="false">IFERROR(DPG5b!L13,"")</f>
        <v/>
      </c>
      <c r="E70" s="4"/>
      <c r="F70" s="5"/>
      <c r="G70" s="5"/>
      <c r="H70" s="6" t="str">
        <f aca="false">IF(OR(F70="",NOT(ISNUMBER(D70))),"",IF(ABS(F70-D70)&lt;0.001,"Yes","No"))</f>
        <v/>
      </c>
      <c r="I70" s="7" t="str">
        <f aca="false">IF(ISNUMBER(F70),F70,D70)</f>
        <v/>
      </c>
      <c r="J70" s="6" t="str">
        <f aca="false">IF(ISNUMBER(F70),"Expert (overrides AI)",IF(ISNUMBER(D70),"AI","Not scored yet"))</f>
        <v>Not scored yet</v>
      </c>
      <c r="K70" s="4" t="s">
        <v>20</v>
      </c>
      <c r="L70" s="4" t="s">
        <v>52</v>
      </c>
      <c r="M70" s="4"/>
      <c r="N70" s="4"/>
      <c r="O70" s="4"/>
      <c r="P70" s="4"/>
      <c r="Q70" s="4"/>
      <c r="R70" s="4" t="s">
        <v>262</v>
      </c>
    </row>
    <row r="71" customFormat="false" ht="93" hidden="false" customHeight="true" outlineLevel="0" collapsed="false">
      <c r="A71" s="3" t="s">
        <v>261</v>
      </c>
      <c r="B71" s="4" t="s">
        <v>28</v>
      </c>
      <c r="C71" s="4"/>
      <c r="D71" s="4" t="str">
        <f aca="false">IFERROR(DPG5b!L14,"")</f>
        <v/>
      </c>
      <c r="E71" s="4"/>
      <c r="F71" s="5"/>
      <c r="G71" s="5"/>
      <c r="H71" s="6" t="str">
        <f aca="false">IF(OR(F71="",NOT(ISNUMBER(D71))),"",IF(ABS(F71-D71)&lt;0.001,"Yes","No"))</f>
        <v/>
      </c>
      <c r="I71" s="7" t="str">
        <f aca="false">IF(ISNUMBER(F71),F71,D71)</f>
        <v/>
      </c>
      <c r="J71" s="6" t="str">
        <f aca="false">IF(ISNUMBER(F71),"Expert (overrides AI)",IF(ISNUMBER(D71),"AI","Not scored yet"))</f>
        <v>Not scored yet</v>
      </c>
      <c r="K71" s="4" t="s">
        <v>20</v>
      </c>
      <c r="L71" s="4" t="s">
        <v>21</v>
      </c>
      <c r="M71" s="4" t="s">
        <v>263</v>
      </c>
      <c r="N71" s="4" t="s">
        <v>264</v>
      </c>
      <c r="O71" s="4" t="s">
        <v>265</v>
      </c>
      <c r="P71" s="4" t="s">
        <v>266</v>
      </c>
      <c r="Q71" s="4" t="s">
        <v>267</v>
      </c>
      <c r="R71" s="4" t="s">
        <v>27</v>
      </c>
    </row>
    <row r="72" customFormat="false" ht="93" hidden="false" customHeight="true" outlineLevel="0" collapsed="false">
      <c r="A72" s="3" t="s">
        <v>261</v>
      </c>
      <c r="B72" s="4" t="s">
        <v>34</v>
      </c>
      <c r="C72" s="4"/>
      <c r="D72" s="4" t="str">
        <f aca="false">IFERROR(DPG5b!L15,"")</f>
        <v/>
      </c>
      <c r="E72" s="4"/>
      <c r="F72" s="5"/>
      <c r="G72" s="5"/>
      <c r="H72" s="6" t="str">
        <f aca="false">IF(OR(F72="",NOT(ISNUMBER(D72))),"",IF(ABS(F72-D72)&lt;0.001,"Yes","No"))</f>
        <v/>
      </c>
      <c r="I72" s="7" t="str">
        <f aca="false">IF(ISNUMBER(F72),F72,D72)</f>
        <v/>
      </c>
      <c r="J72" s="6" t="str">
        <f aca="false">IF(ISNUMBER(F72),"Expert (overrides AI)",IF(ISNUMBER(D72),"AI","Not scored yet"))</f>
        <v>Not scored yet</v>
      </c>
      <c r="K72" s="4" t="s">
        <v>20</v>
      </c>
      <c r="L72" s="4" t="s">
        <v>52</v>
      </c>
      <c r="M72" s="4"/>
      <c r="N72" s="4"/>
      <c r="O72" s="4"/>
      <c r="P72" s="4"/>
      <c r="Q72" s="4"/>
      <c r="R72" s="4" t="s">
        <v>268</v>
      </c>
    </row>
    <row r="73" customFormat="false" ht="93" hidden="false" customHeight="true" outlineLevel="0" collapsed="false">
      <c r="A73" s="3" t="s">
        <v>261</v>
      </c>
      <c r="B73" s="4" t="s">
        <v>40</v>
      </c>
      <c r="C73" s="4"/>
      <c r="D73" s="4" t="n">
        <f aca="false">IFERROR(DPG5b!L16,"")</f>
        <v>0</v>
      </c>
      <c r="E73" s="4"/>
      <c r="F73" s="5"/>
      <c r="G73" s="5"/>
      <c r="H73" s="6" t="str">
        <f aca="false">IF(OR(F73="",NOT(ISNUMBER(D73))),"",IF(ABS(F73-D73)&lt;0.001,"Yes","No"))</f>
        <v/>
      </c>
      <c r="I73" s="7" t="n">
        <f aca="false">IF(ISNUMBER(F73),F73,D73)</f>
        <v>0</v>
      </c>
      <c r="J73" s="6" t="str">
        <f aca="false">IF(ISNUMBER(F73),"Expert (overrides AI)",IF(ISNUMBER(D73),"AI","Not scored yet"))</f>
        <v>AI</v>
      </c>
      <c r="K73" s="4" t="s">
        <v>20</v>
      </c>
      <c r="L73" s="4" t="s">
        <v>21</v>
      </c>
      <c r="M73" s="4" t="s">
        <v>269</v>
      </c>
      <c r="N73" s="4" t="s">
        <v>188</v>
      </c>
      <c r="O73" s="4" t="s">
        <v>189</v>
      </c>
      <c r="P73" s="4" t="s">
        <v>270</v>
      </c>
      <c r="Q73" s="4" t="s">
        <v>271</v>
      </c>
      <c r="R73" s="4" t="s">
        <v>27</v>
      </c>
    </row>
    <row r="74" customFormat="false" ht="93" hidden="false" customHeight="true" outlineLevel="0" collapsed="false">
      <c r="A74" s="3" t="s">
        <v>261</v>
      </c>
      <c r="B74" s="4" t="s">
        <v>45</v>
      </c>
      <c r="C74" s="4"/>
      <c r="D74" s="4" t="str">
        <f aca="false">IFERROR(DPG5b!L17,"")</f>
        <v/>
      </c>
      <c r="E74" s="4"/>
      <c r="F74" s="5"/>
      <c r="G74" s="5"/>
      <c r="H74" s="6" t="str">
        <f aca="false">IF(OR(F74="",NOT(ISNUMBER(D74))),"",IF(ABS(F74-D74)&lt;0.001,"Yes","No"))</f>
        <v/>
      </c>
      <c r="I74" s="7" t="str">
        <f aca="false">IF(ISNUMBER(F74),F74,D74)</f>
        <v/>
      </c>
      <c r="J74" s="6" t="str">
        <f aca="false">IF(ISNUMBER(F74),"Expert (overrides AI)",IF(ISNUMBER(D74),"AI","Not scored yet"))</f>
        <v>Not scored yet</v>
      </c>
      <c r="K74" s="4" t="s">
        <v>20</v>
      </c>
      <c r="L74" s="4" t="s">
        <v>52</v>
      </c>
      <c r="M74" s="4"/>
      <c r="N74" s="4"/>
      <c r="O74" s="4"/>
      <c r="P74" s="4"/>
      <c r="Q74" s="4"/>
      <c r="R74" s="4" t="s">
        <v>272</v>
      </c>
    </row>
    <row r="75" customFormat="false" ht="93" hidden="false" customHeight="true" outlineLevel="0" collapsed="false">
      <c r="A75" s="3" t="s">
        <v>261</v>
      </c>
      <c r="B75" s="4" t="s">
        <v>51</v>
      </c>
      <c r="C75" s="4"/>
      <c r="D75" s="4" t="str">
        <f aca="false">IFERROR(DPG5b!L18,"")</f>
        <v/>
      </c>
      <c r="E75" s="4"/>
      <c r="F75" s="5"/>
      <c r="G75" s="5"/>
      <c r="H75" s="6" t="str">
        <f aca="false">IF(OR(F75="",NOT(ISNUMBER(D75))),"",IF(ABS(F75-D75)&lt;0.001,"Yes","No"))</f>
        <v/>
      </c>
      <c r="I75" s="7" t="str">
        <f aca="false">IF(ISNUMBER(F75),F75,D75)</f>
        <v/>
      </c>
      <c r="J75" s="6" t="str">
        <f aca="false">IF(ISNUMBER(F75),"Expert (overrides AI)",IF(ISNUMBER(D75),"AI","Not scored yet"))</f>
        <v>Not scored yet</v>
      </c>
      <c r="K75" s="4" t="s">
        <v>20</v>
      </c>
      <c r="L75" s="4" t="s">
        <v>52</v>
      </c>
      <c r="M75" s="4"/>
      <c r="N75" s="4"/>
      <c r="O75" s="4"/>
      <c r="P75" s="4"/>
      <c r="Q75" s="4"/>
      <c r="R75" s="4" t="s">
        <v>273</v>
      </c>
    </row>
    <row r="76" customFormat="false" ht="93" hidden="false" customHeight="true" outlineLevel="0" collapsed="false">
      <c r="A76" s="3" t="s">
        <v>261</v>
      </c>
      <c r="B76" s="4" t="s">
        <v>54</v>
      </c>
      <c r="C76" s="4"/>
      <c r="D76" s="4" t="n">
        <f aca="false">IFERROR(DPG5b!L19,"")</f>
        <v>0.5</v>
      </c>
      <c r="E76" s="4"/>
      <c r="F76" s="5"/>
      <c r="G76" s="5"/>
      <c r="H76" s="6" t="str">
        <f aca="false">IF(OR(F76="",NOT(ISNUMBER(D76))),"",IF(ABS(F76-D76)&lt;0.001,"Yes","No"))</f>
        <v/>
      </c>
      <c r="I76" s="7" t="n">
        <f aca="false">IF(ISNUMBER(F76),F76,D76)</f>
        <v>0.5</v>
      </c>
      <c r="J76" s="6" t="str">
        <f aca="false">IF(ISNUMBER(F76),"Expert (overrides AI)",IF(ISNUMBER(D76),"AI","Not scored yet"))</f>
        <v>AI</v>
      </c>
      <c r="K76" s="4" t="s">
        <v>154</v>
      </c>
      <c r="L76" s="4" t="s">
        <v>21</v>
      </c>
      <c r="M76" s="4" t="s">
        <v>274</v>
      </c>
      <c r="N76" s="4" t="s">
        <v>275</v>
      </c>
      <c r="O76" s="4" t="s">
        <v>276</v>
      </c>
      <c r="P76" s="4" t="s">
        <v>277</v>
      </c>
      <c r="Q76" s="4" t="s">
        <v>278</v>
      </c>
      <c r="R76" s="4"/>
    </row>
    <row r="77" customFormat="false" ht="93" hidden="false" customHeight="true" outlineLevel="0" collapsed="false">
      <c r="A77" s="3" t="s">
        <v>279</v>
      </c>
      <c r="B77" s="4" t="s">
        <v>19</v>
      </c>
      <c r="C77" s="4"/>
      <c r="D77" s="4" t="str">
        <f aca="false">IFERROR(DPG5c!L13,"")</f>
        <v/>
      </c>
      <c r="E77" s="4"/>
      <c r="F77" s="5"/>
      <c r="G77" s="5"/>
      <c r="H77" s="6" t="str">
        <f aca="false">IF(OR(F77="",NOT(ISNUMBER(D77))),"",IF(ABS(F77-D77)&lt;0.001,"Yes","No"))</f>
        <v/>
      </c>
      <c r="I77" s="7" t="str">
        <f aca="false">IF(ISNUMBER(F77),F77,D77)</f>
        <v/>
      </c>
      <c r="J77" s="6" t="str">
        <f aca="false">IF(ISNUMBER(F77),"Expert (overrides AI)",IF(ISNUMBER(D77),"AI","Not scored yet"))</f>
        <v>Not scored yet</v>
      </c>
      <c r="K77" s="4" t="s">
        <v>20</v>
      </c>
      <c r="L77" s="4" t="s">
        <v>21</v>
      </c>
      <c r="M77" s="4" t="s">
        <v>280</v>
      </c>
      <c r="N77" s="4" t="s">
        <v>281</v>
      </c>
      <c r="O77" s="4" t="s">
        <v>282</v>
      </c>
      <c r="P77" s="4" t="s">
        <v>283</v>
      </c>
      <c r="Q77" s="4" t="s">
        <v>284</v>
      </c>
      <c r="R77" s="4" t="s">
        <v>27</v>
      </c>
    </row>
    <row r="78" customFormat="false" ht="93" hidden="false" customHeight="true" outlineLevel="0" collapsed="false">
      <c r="A78" s="3" t="s">
        <v>279</v>
      </c>
      <c r="B78" s="4" t="s">
        <v>28</v>
      </c>
      <c r="C78" s="4"/>
      <c r="D78" s="4" t="str">
        <f aca="false">IFERROR(DPG5c!L14,"")</f>
        <v/>
      </c>
      <c r="E78" s="4"/>
      <c r="F78" s="5"/>
      <c r="G78" s="5"/>
      <c r="H78" s="6" t="str">
        <f aca="false">IF(OR(F78="",NOT(ISNUMBER(D78))),"",IF(ABS(F78-D78)&lt;0.001,"Yes","No"))</f>
        <v/>
      </c>
      <c r="I78" s="7" t="str">
        <f aca="false">IF(ISNUMBER(F78),F78,D78)</f>
        <v/>
      </c>
      <c r="J78" s="6" t="str">
        <f aca="false">IF(ISNUMBER(F78),"Expert (overrides AI)",IF(ISNUMBER(D78),"AI","Not scored yet"))</f>
        <v>Not scored yet</v>
      </c>
      <c r="K78" s="4" t="s">
        <v>20</v>
      </c>
      <c r="L78" s="4" t="s">
        <v>52</v>
      </c>
      <c r="M78" s="4"/>
      <c r="N78" s="4"/>
      <c r="O78" s="4"/>
      <c r="P78" s="4"/>
      <c r="Q78" s="4"/>
      <c r="R78" s="4" t="s">
        <v>285</v>
      </c>
    </row>
    <row r="79" customFormat="false" ht="93" hidden="false" customHeight="true" outlineLevel="0" collapsed="false">
      <c r="A79" s="3" t="s">
        <v>279</v>
      </c>
      <c r="B79" s="4" t="s">
        <v>34</v>
      </c>
      <c r="C79" s="4"/>
      <c r="D79" s="4" t="str">
        <f aca="false">IFERROR(DPG5c!L15,"")</f>
        <v/>
      </c>
      <c r="E79" s="4"/>
      <c r="F79" s="5"/>
      <c r="G79" s="5"/>
      <c r="H79" s="6" t="str">
        <f aca="false">IF(OR(F79="",NOT(ISNUMBER(D79))),"",IF(ABS(F79-D79)&lt;0.001,"Yes","No"))</f>
        <v/>
      </c>
      <c r="I79" s="7" t="str">
        <f aca="false">IF(ISNUMBER(F79),F79,D79)</f>
        <v/>
      </c>
      <c r="J79" s="6" t="str">
        <f aca="false">IF(ISNUMBER(F79),"Expert (overrides AI)",IF(ISNUMBER(D79),"AI","Not scored yet"))</f>
        <v>Not scored yet</v>
      </c>
      <c r="K79" s="4" t="s">
        <v>20</v>
      </c>
      <c r="L79" s="4" t="s">
        <v>52</v>
      </c>
      <c r="M79" s="4"/>
      <c r="N79" s="4"/>
      <c r="O79" s="4"/>
      <c r="P79" s="4"/>
      <c r="Q79" s="4"/>
      <c r="R79" s="4" t="s">
        <v>286</v>
      </c>
    </row>
    <row r="80" customFormat="false" ht="93" hidden="false" customHeight="true" outlineLevel="0" collapsed="false">
      <c r="A80" s="3" t="s">
        <v>279</v>
      </c>
      <c r="B80" s="4" t="s">
        <v>40</v>
      </c>
      <c r="C80" s="4"/>
      <c r="D80" s="4" t="str">
        <f aca="false">IFERROR(DPG5c!L16,"")</f>
        <v/>
      </c>
      <c r="E80" s="4"/>
      <c r="F80" s="5"/>
      <c r="G80" s="5"/>
      <c r="H80" s="6" t="str">
        <f aca="false">IF(OR(F80="",NOT(ISNUMBER(D80))),"",IF(ABS(F80-D80)&lt;0.001,"Yes","No"))</f>
        <v/>
      </c>
      <c r="I80" s="7" t="str">
        <f aca="false">IF(ISNUMBER(F80),F80,D80)</f>
        <v/>
      </c>
      <c r="J80" s="6" t="str">
        <f aca="false">IF(ISNUMBER(F80),"Expert (overrides AI)",IF(ISNUMBER(D80),"AI","Not scored yet"))</f>
        <v>Not scored yet</v>
      </c>
      <c r="K80" s="4" t="s">
        <v>20</v>
      </c>
      <c r="L80" s="4" t="s">
        <v>21</v>
      </c>
      <c r="M80" s="4" t="s">
        <v>287</v>
      </c>
      <c r="N80" s="4" t="s">
        <v>188</v>
      </c>
      <c r="O80" s="4" t="s">
        <v>189</v>
      </c>
      <c r="P80" s="4" t="s">
        <v>288</v>
      </c>
      <c r="Q80" s="4" t="s">
        <v>289</v>
      </c>
      <c r="R80" s="4" t="s">
        <v>27</v>
      </c>
    </row>
    <row r="81" customFormat="false" ht="93" hidden="false" customHeight="true" outlineLevel="0" collapsed="false">
      <c r="A81" s="3" t="s">
        <v>279</v>
      </c>
      <c r="B81" s="4" t="s">
        <v>45</v>
      </c>
      <c r="C81" s="4"/>
      <c r="D81" s="4" t="str">
        <f aca="false">IFERROR(DPG5c!L17,"")</f>
        <v/>
      </c>
      <c r="E81" s="4"/>
      <c r="F81" s="5"/>
      <c r="G81" s="5"/>
      <c r="H81" s="6" t="str">
        <f aca="false">IF(OR(F81="",NOT(ISNUMBER(D81))),"",IF(ABS(F81-D81)&lt;0.001,"Yes","No"))</f>
        <v/>
      </c>
      <c r="I81" s="7" t="str">
        <f aca="false">IF(ISNUMBER(F81),F81,D81)</f>
        <v/>
      </c>
      <c r="J81" s="6" t="str">
        <f aca="false">IF(ISNUMBER(F81),"Expert (overrides AI)",IF(ISNUMBER(D81),"AI","Not scored yet"))</f>
        <v>Not scored yet</v>
      </c>
      <c r="K81" s="4" t="s">
        <v>20</v>
      </c>
      <c r="L81" s="4" t="s">
        <v>21</v>
      </c>
      <c r="M81" s="4" t="s">
        <v>290</v>
      </c>
      <c r="N81" s="4" t="s">
        <v>239</v>
      </c>
      <c r="O81" s="4" t="s">
        <v>240</v>
      </c>
      <c r="P81" s="4" t="s">
        <v>291</v>
      </c>
      <c r="Q81" s="4" t="s">
        <v>292</v>
      </c>
      <c r="R81" s="4" t="s">
        <v>27</v>
      </c>
    </row>
    <row r="82" customFormat="false" ht="93" hidden="false" customHeight="true" outlineLevel="0" collapsed="false">
      <c r="A82" s="3" t="s">
        <v>279</v>
      </c>
      <c r="B82" s="4" t="s">
        <v>51</v>
      </c>
      <c r="C82" s="4"/>
      <c r="D82" s="4" t="str">
        <f aca="false">IFERROR(DPG5c!L18,"")</f>
        <v/>
      </c>
      <c r="E82" s="4"/>
      <c r="F82" s="5"/>
      <c r="G82" s="5"/>
      <c r="H82" s="6" t="str">
        <f aca="false">IF(OR(F82="",NOT(ISNUMBER(D82))),"",IF(ABS(F82-D82)&lt;0.001,"Yes","No"))</f>
        <v/>
      </c>
      <c r="I82" s="7" t="str">
        <f aca="false">IF(ISNUMBER(F82),F82,D82)</f>
        <v/>
      </c>
      <c r="J82" s="6" t="str">
        <f aca="false">IF(ISNUMBER(F82),"Expert (overrides AI)",IF(ISNUMBER(D82),"AI","Not scored yet"))</f>
        <v>Not scored yet</v>
      </c>
      <c r="K82" s="4" t="s">
        <v>20</v>
      </c>
      <c r="L82" s="4" t="s">
        <v>52</v>
      </c>
      <c r="M82" s="4"/>
      <c r="N82" s="4"/>
      <c r="O82" s="4"/>
      <c r="P82" s="4"/>
      <c r="Q82" s="4"/>
      <c r="R82" s="4" t="s">
        <v>293</v>
      </c>
    </row>
    <row r="83" customFormat="false" ht="93" hidden="false" customHeight="true" outlineLevel="0" collapsed="false">
      <c r="A83" s="3" t="s">
        <v>279</v>
      </c>
      <c r="B83" s="4" t="s">
        <v>54</v>
      </c>
      <c r="C83" s="4"/>
      <c r="D83" s="4" t="str">
        <f aca="false">IFERROR(DPG5c!L19,"")</f>
        <v/>
      </c>
      <c r="E83" s="4"/>
      <c r="F83" s="5"/>
      <c r="G83" s="5"/>
      <c r="H83" s="6" t="str">
        <f aca="false">IF(OR(F83="",NOT(ISNUMBER(D83))),"",IF(ABS(F83-D83)&lt;0.001,"Yes","No"))</f>
        <v/>
      </c>
      <c r="I83" s="7" t="str">
        <f aca="false">IF(ISNUMBER(F83),F83,D83)</f>
        <v/>
      </c>
      <c r="J83" s="6" t="str">
        <f aca="false">IF(ISNUMBER(F83),"Expert (overrides AI)",IF(ISNUMBER(D83),"AI","Not scored yet"))</f>
        <v>Not scored yet</v>
      </c>
      <c r="K83" s="4" t="s">
        <v>20</v>
      </c>
      <c r="L83" s="4" t="s">
        <v>21</v>
      </c>
      <c r="M83" s="4" t="s">
        <v>294</v>
      </c>
      <c r="N83" s="4" t="s">
        <v>295</v>
      </c>
      <c r="O83" s="4" t="s">
        <v>296</v>
      </c>
      <c r="P83" s="4" t="s">
        <v>297</v>
      </c>
      <c r="Q83" s="4" t="s">
        <v>298</v>
      </c>
      <c r="R83" s="4" t="s">
        <v>27</v>
      </c>
    </row>
    <row r="84" customFormat="false" ht="93" hidden="false" customHeight="true" outlineLevel="0" collapsed="false">
      <c r="A84" s="3" t="s">
        <v>299</v>
      </c>
      <c r="B84" s="4" t="s">
        <v>19</v>
      </c>
      <c r="C84" s="4"/>
      <c r="D84" s="4" t="str">
        <f aca="false">IFERROR(DPG5d!L13,"")</f>
        <v/>
      </c>
      <c r="E84" s="4"/>
      <c r="F84" s="5"/>
      <c r="G84" s="5"/>
      <c r="H84" s="6" t="str">
        <f aca="false">IF(OR(F84="",NOT(ISNUMBER(D84))),"",IF(ABS(F84-D84)&lt;0.001,"Yes","No"))</f>
        <v/>
      </c>
      <c r="I84" s="7" t="str">
        <f aca="false">IF(ISNUMBER(F84),F84,D84)</f>
        <v/>
      </c>
      <c r="J84" s="6" t="str">
        <f aca="false">IF(ISNUMBER(F84),"Expert (overrides AI)",IF(ISNUMBER(D84),"AI","Not scored yet"))</f>
        <v>Not scored yet</v>
      </c>
      <c r="K84" s="4" t="s">
        <v>20</v>
      </c>
      <c r="L84" s="4" t="s">
        <v>52</v>
      </c>
      <c r="M84" s="4"/>
      <c r="N84" s="4"/>
      <c r="O84" s="4"/>
      <c r="P84" s="4"/>
      <c r="Q84" s="4"/>
      <c r="R84" s="4" t="s">
        <v>300</v>
      </c>
    </row>
    <row r="85" customFormat="false" ht="93" hidden="false" customHeight="true" outlineLevel="0" collapsed="false">
      <c r="A85" s="3" t="s">
        <v>299</v>
      </c>
      <c r="B85" s="4" t="s">
        <v>28</v>
      </c>
      <c r="C85" s="4"/>
      <c r="D85" s="4" t="str">
        <f aca="false">IFERROR(DPG5d!L14,"")</f>
        <v/>
      </c>
      <c r="E85" s="4"/>
      <c r="F85" s="5"/>
      <c r="G85" s="5"/>
      <c r="H85" s="6" t="str">
        <f aca="false">IF(OR(F85="",NOT(ISNUMBER(D85))),"",IF(ABS(F85-D85)&lt;0.001,"Yes","No"))</f>
        <v/>
      </c>
      <c r="I85" s="7" t="str">
        <f aca="false">IF(ISNUMBER(F85),F85,D85)</f>
        <v/>
      </c>
      <c r="J85" s="6" t="str">
        <f aca="false">IF(ISNUMBER(F85),"Expert (overrides AI)",IF(ISNUMBER(D85),"AI","Not scored yet"))</f>
        <v>Not scored yet</v>
      </c>
      <c r="K85" s="4" t="s">
        <v>20</v>
      </c>
      <c r="L85" s="4" t="s">
        <v>52</v>
      </c>
      <c r="M85" s="4"/>
      <c r="N85" s="4"/>
      <c r="O85" s="4"/>
      <c r="P85" s="4"/>
      <c r="Q85" s="4"/>
      <c r="R85" s="4" t="s">
        <v>301</v>
      </c>
    </row>
    <row r="86" customFormat="false" ht="93" hidden="false" customHeight="true" outlineLevel="0" collapsed="false">
      <c r="A86" s="3" t="s">
        <v>299</v>
      </c>
      <c r="B86" s="4" t="s">
        <v>34</v>
      </c>
      <c r="C86" s="4"/>
      <c r="D86" s="4" t="str">
        <f aca="false">IFERROR(DPG5d!L15,"")</f>
        <v/>
      </c>
      <c r="E86" s="4"/>
      <c r="F86" s="5"/>
      <c r="G86" s="5"/>
      <c r="H86" s="6" t="str">
        <f aca="false">IF(OR(F86="",NOT(ISNUMBER(D86))),"",IF(ABS(F86-D86)&lt;0.001,"Yes","No"))</f>
        <v/>
      </c>
      <c r="I86" s="7" t="str">
        <f aca="false">IF(ISNUMBER(F86),F86,D86)</f>
        <v/>
      </c>
      <c r="J86" s="6" t="str">
        <f aca="false">IF(ISNUMBER(F86),"Expert (overrides AI)",IF(ISNUMBER(D86),"AI","Not scored yet"))</f>
        <v>Not scored yet</v>
      </c>
      <c r="K86" s="4" t="s">
        <v>20</v>
      </c>
      <c r="L86" s="4" t="s">
        <v>52</v>
      </c>
      <c r="M86" s="4"/>
      <c r="N86" s="4"/>
      <c r="O86" s="4"/>
      <c r="P86" s="4"/>
      <c r="Q86" s="4"/>
      <c r="R86" s="4" t="s">
        <v>302</v>
      </c>
    </row>
    <row r="87" customFormat="false" ht="93" hidden="false" customHeight="true" outlineLevel="0" collapsed="false">
      <c r="A87" s="3" t="s">
        <v>299</v>
      </c>
      <c r="B87" s="4" t="s">
        <v>40</v>
      </c>
      <c r="C87" s="4"/>
      <c r="D87" s="4" t="str">
        <f aca="false">IFERROR(DPG5d!L16,"")</f>
        <v/>
      </c>
      <c r="E87" s="4"/>
      <c r="F87" s="5"/>
      <c r="G87" s="5"/>
      <c r="H87" s="6" t="str">
        <f aca="false">IF(OR(F87="",NOT(ISNUMBER(D87))),"",IF(ABS(F87-D87)&lt;0.001,"Yes","No"))</f>
        <v/>
      </c>
      <c r="I87" s="7" t="str">
        <f aca="false">IF(ISNUMBER(F87),F87,D87)</f>
        <v/>
      </c>
      <c r="J87" s="6" t="str">
        <f aca="false">IF(ISNUMBER(F87),"Expert (overrides AI)",IF(ISNUMBER(D87),"AI","Not scored yet"))</f>
        <v>Not scored yet</v>
      </c>
      <c r="K87" s="4" t="s">
        <v>20</v>
      </c>
      <c r="L87" s="4" t="s">
        <v>52</v>
      </c>
      <c r="M87" s="4"/>
      <c r="N87" s="4"/>
      <c r="O87" s="4"/>
      <c r="P87" s="4"/>
      <c r="Q87" s="4"/>
      <c r="R87" s="4" t="s">
        <v>303</v>
      </c>
    </row>
    <row r="88" customFormat="false" ht="93" hidden="false" customHeight="true" outlineLevel="0" collapsed="false">
      <c r="A88" s="3" t="s">
        <v>299</v>
      </c>
      <c r="B88" s="4" t="s">
        <v>45</v>
      </c>
      <c r="C88" s="4"/>
      <c r="D88" s="4" t="str">
        <f aca="false">IFERROR(DPG5d!L17,"")</f>
        <v/>
      </c>
      <c r="E88" s="4"/>
      <c r="F88" s="5"/>
      <c r="G88" s="5"/>
      <c r="H88" s="6" t="str">
        <f aca="false">IF(OR(F88="",NOT(ISNUMBER(D88))),"",IF(ABS(F88-D88)&lt;0.001,"Yes","No"))</f>
        <v/>
      </c>
      <c r="I88" s="7" t="str">
        <f aca="false">IF(ISNUMBER(F88),F88,D88)</f>
        <v/>
      </c>
      <c r="J88" s="6" t="str">
        <f aca="false">IF(ISNUMBER(F88),"Expert (overrides AI)",IF(ISNUMBER(D88),"AI","Not scored yet"))</f>
        <v>Not scored yet</v>
      </c>
      <c r="K88" s="4" t="s">
        <v>20</v>
      </c>
      <c r="L88" s="4" t="s">
        <v>52</v>
      </c>
      <c r="M88" s="4"/>
      <c r="N88" s="4"/>
      <c r="O88" s="4"/>
      <c r="P88" s="4"/>
      <c r="Q88" s="4"/>
      <c r="R88" s="4" t="s">
        <v>304</v>
      </c>
    </row>
    <row r="89" customFormat="false" ht="93" hidden="false" customHeight="true" outlineLevel="0" collapsed="false">
      <c r="A89" s="3" t="s">
        <v>299</v>
      </c>
      <c r="B89" s="4" t="s">
        <v>51</v>
      </c>
      <c r="C89" s="4"/>
      <c r="D89" s="4" t="str">
        <f aca="false">IFERROR(DPG5d!L18,"")</f>
        <v/>
      </c>
      <c r="E89" s="4"/>
      <c r="F89" s="5"/>
      <c r="G89" s="5"/>
      <c r="H89" s="6" t="str">
        <f aca="false">IF(OR(F89="",NOT(ISNUMBER(D89))),"",IF(ABS(F89-D89)&lt;0.001,"Yes","No"))</f>
        <v/>
      </c>
      <c r="I89" s="7" t="str">
        <f aca="false">IF(ISNUMBER(F89),F89,D89)</f>
        <v/>
      </c>
      <c r="J89" s="6" t="str">
        <f aca="false">IF(ISNUMBER(F89),"Expert (overrides AI)",IF(ISNUMBER(D89),"AI","Not scored yet"))</f>
        <v>Not scored yet</v>
      </c>
      <c r="K89" s="4" t="s">
        <v>20</v>
      </c>
      <c r="L89" s="4" t="s">
        <v>52</v>
      </c>
      <c r="M89" s="4"/>
      <c r="N89" s="4"/>
      <c r="O89" s="4"/>
      <c r="P89" s="4"/>
      <c r="Q89" s="4"/>
      <c r="R89" s="4" t="s">
        <v>305</v>
      </c>
    </row>
    <row r="90" customFormat="false" ht="93" hidden="false" customHeight="true" outlineLevel="0" collapsed="false">
      <c r="A90" s="3" t="s">
        <v>299</v>
      </c>
      <c r="B90" s="4" t="s">
        <v>54</v>
      </c>
      <c r="C90" s="4"/>
      <c r="D90" s="4" t="str">
        <f aca="false">IFERROR(DPG5d!L19,"")</f>
        <v/>
      </c>
      <c r="E90" s="4"/>
      <c r="F90" s="5"/>
      <c r="G90" s="5"/>
      <c r="H90" s="6" t="str">
        <f aca="false">IF(OR(F90="",NOT(ISNUMBER(D90))),"",IF(ABS(F90-D90)&lt;0.001,"Yes","No"))</f>
        <v/>
      </c>
      <c r="I90" s="7" t="str">
        <f aca="false">IF(ISNUMBER(F90),F90,D90)</f>
        <v/>
      </c>
      <c r="J90" s="6" t="str">
        <f aca="false">IF(ISNUMBER(F90),"Expert (overrides AI)",IF(ISNUMBER(D90),"AI","Not scored yet"))</f>
        <v>Not scored yet</v>
      </c>
      <c r="K90" s="4" t="s">
        <v>20</v>
      </c>
      <c r="L90" s="4" t="s">
        <v>52</v>
      </c>
      <c r="M90" s="4"/>
      <c r="N90" s="4"/>
      <c r="O90" s="4"/>
      <c r="P90" s="4"/>
      <c r="Q90" s="4"/>
      <c r="R90" s="4" t="s">
        <v>306</v>
      </c>
    </row>
    <row r="91" customFormat="false" ht="93" hidden="false" customHeight="true" outlineLevel="0" collapsed="false">
      <c r="A91" s="3" t="s">
        <v>307</v>
      </c>
      <c r="B91" s="4" t="s">
        <v>19</v>
      </c>
      <c r="C91" s="4"/>
      <c r="D91" s="4" t="str">
        <f aca="false">IFERROR(DPG5f!L13,"")</f>
        <v/>
      </c>
      <c r="E91" s="4"/>
      <c r="F91" s="5"/>
      <c r="G91" s="5"/>
      <c r="H91" s="6" t="str">
        <f aca="false">IF(OR(F91="",NOT(ISNUMBER(D91))),"",IF(ABS(F91-D91)&lt;0.001,"Yes","No"))</f>
        <v/>
      </c>
      <c r="I91" s="7" t="str">
        <f aca="false">IF(ISNUMBER(F91),F91,D91)</f>
        <v/>
      </c>
      <c r="J91" s="6" t="str">
        <f aca="false">IF(ISNUMBER(F91),"Expert (overrides AI)",IF(ISNUMBER(D91),"AI","Not scored yet"))</f>
        <v>Not scored yet</v>
      </c>
      <c r="K91" s="4" t="s">
        <v>20</v>
      </c>
      <c r="L91" s="4" t="s">
        <v>21</v>
      </c>
      <c r="M91" s="4" t="s">
        <v>308</v>
      </c>
      <c r="N91" s="4" t="s">
        <v>309</v>
      </c>
      <c r="O91" s="4" t="s">
        <v>310</v>
      </c>
      <c r="P91" s="4" t="s">
        <v>311</v>
      </c>
      <c r="Q91" s="4" t="s">
        <v>312</v>
      </c>
      <c r="R91" s="4" t="s">
        <v>27</v>
      </c>
    </row>
    <row r="92" customFormat="false" ht="93" hidden="false" customHeight="true" outlineLevel="0" collapsed="false">
      <c r="A92" s="3" t="s">
        <v>307</v>
      </c>
      <c r="B92" s="4" t="s">
        <v>28</v>
      </c>
      <c r="C92" s="4"/>
      <c r="D92" s="4" t="str">
        <f aca="false">IFERROR(DPG5f!L14,"")</f>
        <v/>
      </c>
      <c r="E92" s="4"/>
      <c r="F92" s="5"/>
      <c r="G92" s="5"/>
      <c r="H92" s="6" t="str">
        <f aca="false">IF(OR(F92="",NOT(ISNUMBER(D92))),"",IF(ABS(F92-D92)&lt;0.001,"Yes","No"))</f>
        <v/>
      </c>
      <c r="I92" s="7" t="str">
        <f aca="false">IF(ISNUMBER(F92),F92,D92)</f>
        <v/>
      </c>
      <c r="J92" s="6" t="str">
        <f aca="false">IF(ISNUMBER(F92),"Expert (overrides AI)",IF(ISNUMBER(D92),"AI","Not scored yet"))</f>
        <v>Not scored yet</v>
      </c>
      <c r="K92" s="4" t="s">
        <v>20</v>
      </c>
      <c r="L92" s="4" t="s">
        <v>21</v>
      </c>
      <c r="M92" s="4" t="s">
        <v>313</v>
      </c>
      <c r="N92" s="4" t="s">
        <v>314</v>
      </c>
      <c r="O92" s="4" t="s">
        <v>315</v>
      </c>
      <c r="P92" s="4" t="s">
        <v>316</v>
      </c>
      <c r="Q92" s="4" t="s">
        <v>317</v>
      </c>
      <c r="R92" s="4" t="s">
        <v>27</v>
      </c>
    </row>
    <row r="93" customFormat="false" ht="93" hidden="false" customHeight="true" outlineLevel="0" collapsed="false">
      <c r="A93" s="3" t="s">
        <v>307</v>
      </c>
      <c r="B93" s="4" t="s">
        <v>34</v>
      </c>
      <c r="C93" s="4"/>
      <c r="D93" s="4" t="str">
        <f aca="false">IFERROR(DPG5f!L15,"")</f>
        <v/>
      </c>
      <c r="E93" s="4"/>
      <c r="F93" s="5"/>
      <c r="G93" s="5"/>
      <c r="H93" s="6" t="str">
        <f aca="false">IF(OR(F93="",NOT(ISNUMBER(D93))),"",IF(ABS(F93-D93)&lt;0.001,"Yes","No"))</f>
        <v/>
      </c>
      <c r="I93" s="7" t="str">
        <f aca="false">IF(ISNUMBER(F93),F93,D93)</f>
        <v/>
      </c>
      <c r="J93" s="6" t="str">
        <f aca="false">IF(ISNUMBER(F93),"Expert (overrides AI)",IF(ISNUMBER(D93),"AI","Not scored yet"))</f>
        <v>Not scored yet</v>
      </c>
      <c r="K93" s="4" t="s">
        <v>20</v>
      </c>
      <c r="L93" s="4" t="s">
        <v>52</v>
      </c>
      <c r="M93" s="4"/>
      <c r="N93" s="4"/>
      <c r="O93" s="4"/>
      <c r="P93" s="4"/>
      <c r="Q93" s="4"/>
      <c r="R93" s="4" t="s">
        <v>318</v>
      </c>
    </row>
    <row r="94" customFormat="false" ht="93" hidden="false" customHeight="true" outlineLevel="0" collapsed="false">
      <c r="A94" s="3" t="s">
        <v>307</v>
      </c>
      <c r="B94" s="4" t="s">
        <v>40</v>
      </c>
      <c r="C94" s="4"/>
      <c r="D94" s="4" t="str">
        <f aca="false">IFERROR(DPG5f!L16,"")</f>
        <v/>
      </c>
      <c r="E94" s="4"/>
      <c r="F94" s="5"/>
      <c r="G94" s="5"/>
      <c r="H94" s="6" t="str">
        <f aca="false">IF(OR(F94="",NOT(ISNUMBER(D94))),"",IF(ABS(F94-D94)&lt;0.001,"Yes","No"))</f>
        <v/>
      </c>
      <c r="I94" s="7" t="str">
        <f aca="false">IF(ISNUMBER(F94),F94,D94)</f>
        <v/>
      </c>
      <c r="J94" s="6" t="str">
        <f aca="false">IF(ISNUMBER(F94),"Expert (overrides AI)",IF(ISNUMBER(D94),"AI","Not scored yet"))</f>
        <v>Not scored yet</v>
      </c>
      <c r="K94" s="4" t="s">
        <v>20</v>
      </c>
      <c r="L94" s="4" t="s">
        <v>52</v>
      </c>
      <c r="M94" s="4"/>
      <c r="N94" s="4"/>
      <c r="O94" s="4"/>
      <c r="P94" s="4"/>
      <c r="Q94" s="4"/>
      <c r="R94" s="4" t="s">
        <v>319</v>
      </c>
    </row>
    <row r="95" customFormat="false" ht="93" hidden="false" customHeight="true" outlineLevel="0" collapsed="false">
      <c r="A95" s="3" t="s">
        <v>307</v>
      </c>
      <c r="B95" s="4" t="s">
        <v>45</v>
      </c>
      <c r="C95" s="4"/>
      <c r="D95" s="4" t="n">
        <f aca="false">IFERROR(DPG5f!L17,"")</f>
        <v>1</v>
      </c>
      <c r="E95" s="4"/>
      <c r="F95" s="5"/>
      <c r="G95" s="5"/>
      <c r="H95" s="6" t="str">
        <f aca="false">IF(OR(F95="",NOT(ISNUMBER(D95))),"",IF(ABS(F95-D95)&lt;0.001,"Yes","No"))</f>
        <v/>
      </c>
      <c r="I95" s="7" t="n">
        <f aca="false">IF(ISNUMBER(F95),F95,D95)</f>
        <v>1</v>
      </c>
      <c r="J95" s="6" t="str">
        <f aca="false">IF(ISNUMBER(F95),"Expert (overrides AI)",IF(ISNUMBER(D95),"AI","Not scored yet"))</f>
        <v>AI</v>
      </c>
      <c r="K95" s="4" t="s">
        <v>20</v>
      </c>
      <c r="L95" s="4" t="s">
        <v>21</v>
      </c>
      <c r="M95" s="4" t="s">
        <v>320</v>
      </c>
      <c r="N95" s="4" t="s">
        <v>321</v>
      </c>
      <c r="O95" s="4" t="s">
        <v>322</v>
      </c>
      <c r="P95" s="4" t="s">
        <v>323</v>
      </c>
      <c r="Q95" s="4" t="s">
        <v>324</v>
      </c>
      <c r="R95" s="4" t="s">
        <v>27</v>
      </c>
    </row>
    <row r="96" customFormat="false" ht="93" hidden="false" customHeight="true" outlineLevel="0" collapsed="false">
      <c r="A96" s="3" t="s">
        <v>307</v>
      </c>
      <c r="B96" s="4" t="s">
        <v>51</v>
      </c>
      <c r="C96" s="4"/>
      <c r="D96" s="4" t="str">
        <f aca="false">IFERROR(DPG5f!L18,"")</f>
        <v/>
      </c>
      <c r="E96" s="4"/>
      <c r="F96" s="5"/>
      <c r="G96" s="5"/>
      <c r="H96" s="6" t="str">
        <f aca="false">IF(OR(F96="",NOT(ISNUMBER(D96))),"",IF(ABS(F96-D96)&lt;0.001,"Yes","No"))</f>
        <v/>
      </c>
      <c r="I96" s="7" t="str">
        <f aca="false">IF(ISNUMBER(F96),F96,D96)</f>
        <v/>
      </c>
      <c r="J96" s="6" t="str">
        <f aca="false">IF(ISNUMBER(F96),"Expert (overrides AI)",IF(ISNUMBER(D96),"AI","Not scored yet"))</f>
        <v>Not scored yet</v>
      </c>
      <c r="K96" s="4" t="s">
        <v>20</v>
      </c>
      <c r="L96" s="4" t="s">
        <v>52</v>
      </c>
      <c r="M96" s="4"/>
      <c r="N96" s="4"/>
      <c r="O96" s="4"/>
      <c r="P96" s="4"/>
      <c r="Q96" s="4"/>
      <c r="R96" s="4" t="s">
        <v>325</v>
      </c>
    </row>
    <row r="97" customFormat="false" ht="93" hidden="false" customHeight="true" outlineLevel="0" collapsed="false">
      <c r="A97" s="3" t="s">
        <v>307</v>
      </c>
      <c r="B97" s="4" t="s">
        <v>54</v>
      </c>
      <c r="C97" s="4"/>
      <c r="D97" s="4" t="str">
        <f aca="false">IFERROR(DPG5f!L19,"")</f>
        <v/>
      </c>
      <c r="E97" s="4"/>
      <c r="F97" s="5"/>
      <c r="G97" s="5"/>
      <c r="H97" s="6" t="str">
        <f aca="false">IF(OR(F97="",NOT(ISNUMBER(D97))),"",IF(ABS(F97-D97)&lt;0.001,"Yes","No"))</f>
        <v/>
      </c>
      <c r="I97" s="7" t="str">
        <f aca="false">IF(ISNUMBER(F97),F97,D97)</f>
        <v/>
      </c>
      <c r="J97" s="6" t="str">
        <f aca="false">IF(ISNUMBER(F97),"Expert (overrides AI)",IF(ISNUMBER(D97),"AI","Not scored yet"))</f>
        <v>Not scored yet</v>
      </c>
      <c r="K97" s="4" t="s">
        <v>20</v>
      </c>
      <c r="L97" s="4" t="s">
        <v>21</v>
      </c>
      <c r="M97" s="4" t="s">
        <v>326</v>
      </c>
      <c r="N97" s="4" t="s">
        <v>199</v>
      </c>
      <c r="O97" s="4" t="s">
        <v>200</v>
      </c>
      <c r="P97" s="4" t="s">
        <v>327</v>
      </c>
      <c r="Q97" s="4" t="s">
        <v>328</v>
      </c>
      <c r="R97" s="4" t="s">
        <v>27</v>
      </c>
    </row>
    <row r="98" customFormat="false" ht="93" hidden="false" customHeight="true" outlineLevel="0" collapsed="false">
      <c r="A98" s="3" t="s">
        <v>329</v>
      </c>
      <c r="B98" s="4" t="s">
        <v>19</v>
      </c>
      <c r="C98" s="4"/>
      <c r="D98" s="4" t="str">
        <f aca="false">IFERROR(DPG5g!L13,"")</f>
        <v/>
      </c>
      <c r="E98" s="4"/>
      <c r="F98" s="5"/>
      <c r="G98" s="5"/>
      <c r="H98" s="6" t="str">
        <f aca="false">IF(OR(F98="",NOT(ISNUMBER(D98))),"",IF(ABS(F98-D98)&lt;0.001,"Yes","No"))</f>
        <v/>
      </c>
      <c r="I98" s="7" t="str">
        <f aca="false">IF(ISNUMBER(F98),F98,D98)</f>
        <v/>
      </c>
      <c r="J98" s="6" t="str">
        <f aca="false">IF(ISNUMBER(F98),"Expert (overrides AI)",IF(ISNUMBER(D98),"AI","Not scored yet"))</f>
        <v>Not scored yet</v>
      </c>
      <c r="K98" s="4" t="s">
        <v>20</v>
      </c>
      <c r="L98" s="4" t="s">
        <v>52</v>
      </c>
      <c r="M98" s="4"/>
      <c r="N98" s="4"/>
      <c r="O98" s="4"/>
      <c r="P98" s="4"/>
      <c r="Q98" s="4"/>
      <c r="R98" s="4" t="s">
        <v>330</v>
      </c>
    </row>
    <row r="99" customFormat="false" ht="93" hidden="false" customHeight="true" outlineLevel="0" collapsed="false">
      <c r="A99" s="3" t="s">
        <v>329</v>
      </c>
      <c r="B99" s="4" t="s">
        <v>28</v>
      </c>
      <c r="C99" s="4"/>
      <c r="D99" s="4" t="str">
        <f aca="false">IFERROR(DPG5g!L14,"")</f>
        <v/>
      </c>
      <c r="E99" s="4"/>
      <c r="F99" s="5"/>
      <c r="G99" s="5"/>
      <c r="H99" s="6" t="str">
        <f aca="false">IF(OR(F99="",NOT(ISNUMBER(D99))),"",IF(ABS(F99-D99)&lt;0.001,"Yes","No"))</f>
        <v/>
      </c>
      <c r="I99" s="7" t="str">
        <f aca="false">IF(ISNUMBER(F99),F99,D99)</f>
        <v/>
      </c>
      <c r="J99" s="6" t="str">
        <f aca="false">IF(ISNUMBER(F99),"Expert (overrides AI)",IF(ISNUMBER(D99),"AI","Not scored yet"))</f>
        <v>Not scored yet</v>
      </c>
      <c r="K99" s="4" t="s">
        <v>20</v>
      </c>
      <c r="L99" s="4" t="s">
        <v>52</v>
      </c>
      <c r="M99" s="4"/>
      <c r="N99" s="4"/>
      <c r="O99" s="4"/>
      <c r="P99" s="4"/>
      <c r="Q99" s="4"/>
      <c r="R99" s="4" t="s">
        <v>331</v>
      </c>
    </row>
    <row r="100" customFormat="false" ht="93" hidden="false" customHeight="true" outlineLevel="0" collapsed="false">
      <c r="A100" s="3" t="s">
        <v>329</v>
      </c>
      <c r="B100" s="4" t="s">
        <v>34</v>
      </c>
      <c r="C100" s="4"/>
      <c r="D100" s="4" t="str">
        <f aca="false">IFERROR(DPG5g!L15,"")</f>
        <v/>
      </c>
      <c r="E100" s="4"/>
      <c r="F100" s="5"/>
      <c r="G100" s="5"/>
      <c r="H100" s="6" t="str">
        <f aca="false">IF(OR(F100="",NOT(ISNUMBER(D100))),"",IF(ABS(F100-D100)&lt;0.001,"Yes","No"))</f>
        <v/>
      </c>
      <c r="I100" s="7" t="str">
        <f aca="false">IF(ISNUMBER(F100),F100,D100)</f>
        <v/>
      </c>
      <c r="J100" s="6" t="str">
        <f aca="false">IF(ISNUMBER(F100),"Expert (overrides AI)",IF(ISNUMBER(D100),"AI","Not scored yet"))</f>
        <v>Not scored yet</v>
      </c>
      <c r="K100" s="4" t="s">
        <v>20</v>
      </c>
      <c r="L100" s="4" t="s">
        <v>52</v>
      </c>
      <c r="M100" s="4"/>
      <c r="N100" s="4"/>
      <c r="O100" s="4"/>
      <c r="P100" s="4"/>
      <c r="Q100" s="4"/>
      <c r="R100" s="4" t="s">
        <v>332</v>
      </c>
    </row>
    <row r="101" customFormat="false" ht="93" hidden="false" customHeight="true" outlineLevel="0" collapsed="false">
      <c r="A101" s="3" t="s">
        <v>329</v>
      </c>
      <c r="B101" s="4" t="s">
        <v>40</v>
      </c>
      <c r="C101" s="4"/>
      <c r="D101" s="4" t="str">
        <f aca="false">IFERROR(DPG5g!L16,"")</f>
        <v/>
      </c>
      <c r="E101" s="4"/>
      <c r="F101" s="5"/>
      <c r="G101" s="5"/>
      <c r="H101" s="6" t="str">
        <f aca="false">IF(OR(F101="",NOT(ISNUMBER(D101))),"",IF(ABS(F101-D101)&lt;0.001,"Yes","No"))</f>
        <v/>
      </c>
      <c r="I101" s="7" t="str">
        <f aca="false">IF(ISNUMBER(F101),F101,D101)</f>
        <v/>
      </c>
      <c r="J101" s="6" t="str">
        <f aca="false">IF(ISNUMBER(F101),"Expert (overrides AI)",IF(ISNUMBER(D101),"AI","Not scored yet"))</f>
        <v>Not scored yet</v>
      </c>
      <c r="K101" s="4" t="s">
        <v>20</v>
      </c>
      <c r="L101" s="4" t="s">
        <v>21</v>
      </c>
      <c r="M101" s="4" t="s">
        <v>333</v>
      </c>
      <c r="N101" s="4" t="s">
        <v>334</v>
      </c>
      <c r="O101" s="4" t="s">
        <v>335</v>
      </c>
      <c r="P101" s="4" t="s">
        <v>336</v>
      </c>
      <c r="Q101" s="4" t="s">
        <v>337</v>
      </c>
      <c r="R101" s="4" t="s">
        <v>27</v>
      </c>
    </row>
    <row r="102" customFormat="false" ht="93" hidden="false" customHeight="true" outlineLevel="0" collapsed="false">
      <c r="A102" s="3" t="s">
        <v>329</v>
      </c>
      <c r="B102" s="4" t="s">
        <v>45</v>
      </c>
      <c r="C102" s="4"/>
      <c r="D102" s="4" t="str">
        <f aca="false">IFERROR(DPG5g!L17,"")</f>
        <v/>
      </c>
      <c r="E102" s="4"/>
      <c r="F102" s="5"/>
      <c r="G102" s="5"/>
      <c r="H102" s="6" t="str">
        <f aca="false">IF(OR(F102="",NOT(ISNUMBER(D102))),"",IF(ABS(F102-D102)&lt;0.001,"Yes","No"))</f>
        <v/>
      </c>
      <c r="I102" s="7" t="str">
        <f aca="false">IF(ISNUMBER(F102),F102,D102)</f>
        <v/>
      </c>
      <c r="J102" s="6" t="str">
        <f aca="false">IF(ISNUMBER(F102),"Expert (overrides AI)",IF(ISNUMBER(D102),"AI","Not scored yet"))</f>
        <v>Not scored yet</v>
      </c>
      <c r="K102" s="4" t="s">
        <v>20</v>
      </c>
      <c r="L102" s="4" t="s">
        <v>52</v>
      </c>
      <c r="M102" s="4"/>
      <c r="N102" s="4"/>
      <c r="O102" s="4"/>
      <c r="P102" s="4"/>
      <c r="Q102" s="4"/>
      <c r="R102" s="4" t="s">
        <v>338</v>
      </c>
    </row>
    <row r="103" customFormat="false" ht="93" hidden="false" customHeight="true" outlineLevel="0" collapsed="false">
      <c r="A103" s="3" t="s">
        <v>329</v>
      </c>
      <c r="B103" s="4" t="s">
        <v>51</v>
      </c>
      <c r="C103" s="4"/>
      <c r="D103" s="4" t="str">
        <f aca="false">IFERROR(DPG5g!L18,"")</f>
        <v/>
      </c>
      <c r="E103" s="4"/>
      <c r="F103" s="5"/>
      <c r="G103" s="5"/>
      <c r="H103" s="6" t="str">
        <f aca="false">IF(OR(F103="",NOT(ISNUMBER(D103))),"",IF(ABS(F103-D103)&lt;0.001,"Yes","No"))</f>
        <v/>
      </c>
      <c r="I103" s="7" t="str">
        <f aca="false">IF(ISNUMBER(F103),F103,D103)</f>
        <v/>
      </c>
      <c r="J103" s="6" t="str">
        <f aca="false">IF(ISNUMBER(F103),"Expert (overrides AI)",IF(ISNUMBER(D103),"AI","Not scored yet"))</f>
        <v>Not scored yet</v>
      </c>
      <c r="K103" s="4" t="s">
        <v>20</v>
      </c>
      <c r="L103" s="4" t="s">
        <v>21</v>
      </c>
      <c r="M103" s="4" t="s">
        <v>339</v>
      </c>
      <c r="N103" s="4" t="s">
        <v>64</v>
      </c>
      <c r="O103" s="4" t="s">
        <v>65</v>
      </c>
      <c r="P103" s="4" t="s">
        <v>340</v>
      </c>
      <c r="Q103" s="4" t="s">
        <v>341</v>
      </c>
      <c r="R103" s="4" t="s">
        <v>27</v>
      </c>
    </row>
    <row r="104" customFormat="false" ht="93" hidden="false" customHeight="true" outlineLevel="0" collapsed="false">
      <c r="A104" s="3" t="s">
        <v>329</v>
      </c>
      <c r="B104" s="4" t="s">
        <v>54</v>
      </c>
      <c r="C104" s="4"/>
      <c r="D104" s="4" t="n">
        <f aca="false">IFERROR(DPG5g!L19,"")</f>
        <v>1</v>
      </c>
      <c r="E104" s="4"/>
      <c r="F104" s="5"/>
      <c r="G104" s="5"/>
      <c r="H104" s="6" t="str">
        <f aca="false">IF(OR(F104="",NOT(ISNUMBER(D104))),"",IF(ABS(F104-D104)&lt;0.001,"Yes","No"))</f>
        <v/>
      </c>
      <c r="I104" s="7" t="n">
        <f aca="false">IF(ISNUMBER(F104),F104,D104)</f>
        <v>1</v>
      </c>
      <c r="J104" s="6" t="str">
        <f aca="false">IF(ISNUMBER(F104),"Expert (overrides AI)",IF(ISNUMBER(D104),"AI","Not scored yet"))</f>
        <v>AI</v>
      </c>
      <c r="K104" s="4" t="s">
        <v>20</v>
      </c>
      <c r="L104" s="4" t="s">
        <v>21</v>
      </c>
      <c r="M104" s="4" t="s">
        <v>342</v>
      </c>
      <c r="N104" s="4" t="s">
        <v>343</v>
      </c>
      <c r="O104" s="4" t="s">
        <v>344</v>
      </c>
      <c r="P104" s="4" t="s">
        <v>345</v>
      </c>
      <c r="Q104" s="4" t="s">
        <v>346</v>
      </c>
      <c r="R104" s="4" t="s">
        <v>27</v>
      </c>
    </row>
    <row r="105" customFormat="false" ht="93" hidden="false" customHeight="true" outlineLevel="0" collapsed="false">
      <c r="A105" s="3" t="s">
        <v>347</v>
      </c>
      <c r="B105" s="4" t="s">
        <v>19</v>
      </c>
      <c r="C105" s="4"/>
      <c r="D105" s="4" t="str">
        <f aca="false">IFERROR(DPG5h!L13,"")</f>
        <v/>
      </c>
      <c r="E105" s="4"/>
      <c r="F105" s="5"/>
      <c r="G105" s="5"/>
      <c r="H105" s="6" t="str">
        <f aca="false">IF(OR(F105="",NOT(ISNUMBER(D105))),"",IF(ABS(F105-D105)&lt;0.001,"Yes","No"))</f>
        <v/>
      </c>
      <c r="I105" s="7" t="str">
        <f aca="false">IF(ISNUMBER(F105),F105,D105)</f>
        <v/>
      </c>
      <c r="J105" s="6" t="str">
        <f aca="false">IF(ISNUMBER(F105),"Expert (overrides AI)",IF(ISNUMBER(D105),"AI","Not scored yet"))</f>
        <v>Not scored yet</v>
      </c>
      <c r="K105" s="4" t="s">
        <v>20</v>
      </c>
      <c r="L105" s="4" t="s">
        <v>52</v>
      </c>
      <c r="M105" s="4"/>
      <c r="N105" s="4"/>
      <c r="O105" s="4"/>
      <c r="P105" s="4"/>
      <c r="Q105" s="4"/>
      <c r="R105" s="4" t="s">
        <v>348</v>
      </c>
    </row>
    <row r="106" customFormat="false" ht="93" hidden="false" customHeight="true" outlineLevel="0" collapsed="false">
      <c r="A106" s="3" t="s">
        <v>347</v>
      </c>
      <c r="B106" s="4" t="s">
        <v>28</v>
      </c>
      <c r="C106" s="4"/>
      <c r="D106" s="4" t="str">
        <f aca="false">IFERROR(DPG5h!L14,"")</f>
        <v/>
      </c>
      <c r="E106" s="4"/>
      <c r="F106" s="5"/>
      <c r="G106" s="5"/>
      <c r="H106" s="6" t="str">
        <f aca="false">IF(OR(F106="",NOT(ISNUMBER(D106))),"",IF(ABS(F106-D106)&lt;0.001,"Yes","No"))</f>
        <v/>
      </c>
      <c r="I106" s="7" t="str">
        <f aca="false">IF(ISNUMBER(F106),F106,D106)</f>
        <v/>
      </c>
      <c r="J106" s="6" t="str">
        <f aca="false">IF(ISNUMBER(F106),"Expert (overrides AI)",IF(ISNUMBER(D106),"AI","Not scored yet"))</f>
        <v>Not scored yet</v>
      </c>
      <c r="K106" s="4" t="s">
        <v>20</v>
      </c>
      <c r="L106" s="4" t="s">
        <v>21</v>
      </c>
      <c r="M106" s="4" t="s">
        <v>349</v>
      </c>
      <c r="N106" s="4" t="s">
        <v>350</v>
      </c>
      <c r="O106" s="4" t="s">
        <v>351</v>
      </c>
      <c r="P106" s="4" t="s">
        <v>352</v>
      </c>
      <c r="Q106" s="4" t="s">
        <v>353</v>
      </c>
      <c r="R106" s="4" t="s">
        <v>27</v>
      </c>
    </row>
    <row r="107" customFormat="false" ht="93" hidden="false" customHeight="true" outlineLevel="0" collapsed="false">
      <c r="A107" s="3" t="s">
        <v>347</v>
      </c>
      <c r="B107" s="4" t="s">
        <v>34</v>
      </c>
      <c r="C107" s="4"/>
      <c r="D107" s="4" t="str">
        <f aca="false">IFERROR(DPG5h!L15,"")</f>
        <v/>
      </c>
      <c r="E107" s="4"/>
      <c r="F107" s="5"/>
      <c r="G107" s="5"/>
      <c r="H107" s="6" t="str">
        <f aca="false">IF(OR(F107="",NOT(ISNUMBER(D107))),"",IF(ABS(F107-D107)&lt;0.001,"Yes","No"))</f>
        <v/>
      </c>
      <c r="I107" s="7" t="str">
        <f aca="false">IF(ISNUMBER(F107),F107,D107)</f>
        <v/>
      </c>
      <c r="J107" s="6" t="str">
        <f aca="false">IF(ISNUMBER(F107),"Expert (overrides AI)",IF(ISNUMBER(D107),"AI","Not scored yet"))</f>
        <v>Not scored yet</v>
      </c>
      <c r="K107" s="4" t="s">
        <v>20</v>
      </c>
      <c r="L107" s="4" t="s">
        <v>52</v>
      </c>
      <c r="M107" s="4"/>
      <c r="N107" s="4"/>
      <c r="O107" s="4"/>
      <c r="P107" s="4"/>
      <c r="Q107" s="4"/>
      <c r="R107" s="4" t="s">
        <v>354</v>
      </c>
    </row>
    <row r="108" customFormat="false" ht="93" hidden="false" customHeight="true" outlineLevel="0" collapsed="false">
      <c r="A108" s="3" t="s">
        <v>347</v>
      </c>
      <c r="B108" s="4" t="s">
        <v>40</v>
      </c>
      <c r="C108" s="4"/>
      <c r="D108" s="4" t="str">
        <f aca="false">IFERROR(DPG5h!L16,"")</f>
        <v/>
      </c>
      <c r="E108" s="4"/>
      <c r="F108" s="5"/>
      <c r="G108" s="5"/>
      <c r="H108" s="6" t="str">
        <f aca="false">IF(OR(F108="",NOT(ISNUMBER(D108))),"",IF(ABS(F108-D108)&lt;0.001,"Yes","No"))</f>
        <v/>
      </c>
      <c r="I108" s="7" t="str">
        <f aca="false">IF(ISNUMBER(F108),F108,D108)</f>
        <v/>
      </c>
      <c r="J108" s="6" t="str">
        <f aca="false">IF(ISNUMBER(F108),"Expert (overrides AI)",IF(ISNUMBER(D108),"AI","Not scored yet"))</f>
        <v>Not scored yet</v>
      </c>
      <c r="K108" s="4" t="s">
        <v>20</v>
      </c>
      <c r="L108" s="4" t="s">
        <v>52</v>
      </c>
      <c r="M108" s="4"/>
      <c r="N108" s="4"/>
      <c r="O108" s="4"/>
      <c r="P108" s="4"/>
      <c r="Q108" s="4"/>
      <c r="R108" s="4" t="s">
        <v>355</v>
      </c>
    </row>
    <row r="109" customFormat="false" ht="93" hidden="false" customHeight="true" outlineLevel="0" collapsed="false">
      <c r="A109" s="3" t="s">
        <v>347</v>
      </c>
      <c r="B109" s="4" t="s">
        <v>45</v>
      </c>
      <c r="C109" s="4"/>
      <c r="D109" s="4" t="n">
        <f aca="false">IFERROR(DPG5h!L17,"")</f>
        <v>0</v>
      </c>
      <c r="E109" s="4"/>
      <c r="F109" s="5"/>
      <c r="G109" s="5"/>
      <c r="H109" s="6" t="str">
        <f aca="false">IF(OR(F109="",NOT(ISNUMBER(D109))),"",IF(ABS(F109-D109)&lt;0.001,"Yes","No"))</f>
        <v/>
      </c>
      <c r="I109" s="7" t="n">
        <f aca="false">IF(ISNUMBER(F109),F109,D109)</f>
        <v>0</v>
      </c>
      <c r="J109" s="6" t="str">
        <f aca="false">IF(ISNUMBER(F109),"Expert (overrides AI)",IF(ISNUMBER(D109),"AI","Not scored yet"))</f>
        <v>AI</v>
      </c>
      <c r="K109" s="4" t="s">
        <v>20</v>
      </c>
      <c r="L109" s="4" t="s">
        <v>52</v>
      </c>
      <c r="M109" s="4"/>
      <c r="N109" s="4"/>
      <c r="O109" s="4"/>
      <c r="P109" s="4"/>
      <c r="Q109" s="4"/>
      <c r="R109" s="4" t="s">
        <v>356</v>
      </c>
    </row>
    <row r="110" customFormat="false" ht="93" hidden="false" customHeight="true" outlineLevel="0" collapsed="false">
      <c r="A110" s="3" t="s">
        <v>347</v>
      </c>
      <c r="B110" s="4" t="s">
        <v>51</v>
      </c>
      <c r="C110" s="4"/>
      <c r="D110" s="4" t="str">
        <f aca="false">IFERROR(DPG5h!L18,"")</f>
        <v/>
      </c>
      <c r="E110" s="4"/>
      <c r="F110" s="5"/>
      <c r="G110" s="5"/>
      <c r="H110" s="6" t="str">
        <f aca="false">IF(OR(F110="",NOT(ISNUMBER(D110))),"",IF(ABS(F110-D110)&lt;0.001,"Yes","No"))</f>
        <v/>
      </c>
      <c r="I110" s="7" t="str">
        <f aca="false">IF(ISNUMBER(F110),F110,D110)</f>
        <v/>
      </c>
      <c r="J110" s="6" t="str">
        <f aca="false">IF(ISNUMBER(F110),"Expert (overrides AI)",IF(ISNUMBER(D110),"AI","Not scored yet"))</f>
        <v>Not scored yet</v>
      </c>
      <c r="K110" s="4" t="s">
        <v>20</v>
      </c>
      <c r="L110" s="4" t="s">
        <v>52</v>
      </c>
      <c r="M110" s="4"/>
      <c r="N110" s="4"/>
      <c r="O110" s="4"/>
      <c r="P110" s="4"/>
      <c r="Q110" s="4"/>
      <c r="R110" s="4" t="s">
        <v>357</v>
      </c>
    </row>
    <row r="111" customFormat="false" ht="93" hidden="false" customHeight="true" outlineLevel="0" collapsed="false">
      <c r="A111" s="3" t="s">
        <v>347</v>
      </c>
      <c r="B111" s="4" t="s">
        <v>54</v>
      </c>
      <c r="C111" s="4"/>
      <c r="D111" s="4" t="str">
        <f aca="false">IFERROR(DPG5h!L19,"")</f>
        <v/>
      </c>
      <c r="E111" s="4"/>
      <c r="F111" s="5"/>
      <c r="G111" s="5"/>
      <c r="H111" s="6" t="str">
        <f aca="false">IF(OR(F111="",NOT(ISNUMBER(D111))),"",IF(ABS(F111-D111)&lt;0.001,"Yes","No"))</f>
        <v/>
      </c>
      <c r="I111" s="7" t="str">
        <f aca="false">IF(ISNUMBER(F111),F111,D111)</f>
        <v/>
      </c>
      <c r="J111" s="6" t="str">
        <f aca="false">IF(ISNUMBER(F111),"Expert (overrides AI)",IF(ISNUMBER(D111),"AI","Not scored yet"))</f>
        <v>Not scored yet</v>
      </c>
      <c r="K111" s="4" t="s">
        <v>20</v>
      </c>
      <c r="L111" s="4" t="s">
        <v>52</v>
      </c>
      <c r="M111" s="4"/>
      <c r="N111" s="4"/>
      <c r="O111" s="4"/>
      <c r="P111" s="4"/>
      <c r="Q111" s="4"/>
      <c r="R111" s="4" t="s">
        <v>358</v>
      </c>
    </row>
    <row r="112" customFormat="false" ht="93" hidden="false" customHeight="true" outlineLevel="0" collapsed="false">
      <c r="A112" s="3" t="s">
        <v>359</v>
      </c>
      <c r="B112" s="4" t="s">
        <v>19</v>
      </c>
      <c r="C112" s="4"/>
      <c r="D112" s="4" t="str">
        <f aca="false">IFERROR(DPG5i!L13,"")</f>
        <v/>
      </c>
      <c r="E112" s="4"/>
      <c r="F112" s="5"/>
      <c r="G112" s="5"/>
      <c r="H112" s="6" t="str">
        <f aca="false">IF(OR(F112="",NOT(ISNUMBER(D112))),"",IF(ABS(F112-D112)&lt;0.001,"Yes","No"))</f>
        <v/>
      </c>
      <c r="I112" s="7" t="str">
        <f aca="false">IF(ISNUMBER(F112),F112,D112)</f>
        <v/>
      </c>
      <c r="J112" s="6" t="str">
        <f aca="false">IF(ISNUMBER(F112),"Expert (overrides AI)",IF(ISNUMBER(D112),"AI","Not scored yet"))</f>
        <v>Not scored yet</v>
      </c>
      <c r="K112" s="4" t="s">
        <v>20</v>
      </c>
      <c r="L112" s="4" t="s">
        <v>21</v>
      </c>
      <c r="M112" s="4" t="s">
        <v>360</v>
      </c>
      <c r="N112" s="4" t="s">
        <v>361</v>
      </c>
      <c r="O112" s="4" t="s">
        <v>362</v>
      </c>
      <c r="P112" s="4" t="s">
        <v>363</v>
      </c>
      <c r="Q112" s="4" t="s">
        <v>364</v>
      </c>
      <c r="R112" s="4" t="s">
        <v>27</v>
      </c>
    </row>
    <row r="113" customFormat="false" ht="93" hidden="false" customHeight="true" outlineLevel="0" collapsed="false">
      <c r="A113" s="3" t="s">
        <v>359</v>
      </c>
      <c r="B113" s="4" t="s">
        <v>28</v>
      </c>
      <c r="C113" s="4"/>
      <c r="D113" s="4" t="str">
        <f aca="false">IFERROR(DPG5i!L14,"")</f>
        <v/>
      </c>
      <c r="E113" s="4"/>
      <c r="F113" s="5"/>
      <c r="G113" s="5"/>
      <c r="H113" s="6" t="str">
        <f aca="false">IF(OR(F113="",NOT(ISNUMBER(D113))),"",IF(ABS(F113-D113)&lt;0.001,"Yes","No"))</f>
        <v/>
      </c>
      <c r="I113" s="7" t="str">
        <f aca="false">IF(ISNUMBER(F113),F113,D113)</f>
        <v/>
      </c>
      <c r="J113" s="6" t="str">
        <f aca="false">IF(ISNUMBER(F113),"Expert (overrides AI)",IF(ISNUMBER(D113),"AI","Not scored yet"))</f>
        <v>Not scored yet</v>
      </c>
      <c r="K113" s="4" t="s">
        <v>20</v>
      </c>
      <c r="L113" s="4" t="s">
        <v>52</v>
      </c>
      <c r="M113" s="4"/>
      <c r="N113" s="4"/>
      <c r="O113" s="4"/>
      <c r="P113" s="4"/>
      <c r="Q113" s="4"/>
      <c r="R113" s="4" t="s">
        <v>365</v>
      </c>
    </row>
    <row r="114" customFormat="false" ht="93" hidden="false" customHeight="true" outlineLevel="0" collapsed="false">
      <c r="A114" s="3" t="s">
        <v>359</v>
      </c>
      <c r="B114" s="4" t="s">
        <v>34</v>
      </c>
      <c r="C114" s="4"/>
      <c r="D114" s="4" t="str">
        <f aca="false">IFERROR(DPG5i!L15,"")</f>
        <v/>
      </c>
      <c r="E114" s="4"/>
      <c r="F114" s="5"/>
      <c r="G114" s="5"/>
      <c r="H114" s="6" t="str">
        <f aca="false">IF(OR(F114="",NOT(ISNUMBER(D114))),"",IF(ABS(F114-D114)&lt;0.001,"Yes","No"))</f>
        <v/>
      </c>
      <c r="I114" s="7" t="str">
        <f aca="false">IF(ISNUMBER(F114),F114,D114)</f>
        <v/>
      </c>
      <c r="J114" s="6" t="str">
        <f aca="false">IF(ISNUMBER(F114),"Expert (overrides AI)",IF(ISNUMBER(D114),"AI","Not scored yet"))</f>
        <v>Not scored yet</v>
      </c>
      <c r="K114" s="4" t="s">
        <v>20</v>
      </c>
      <c r="L114" s="4" t="s">
        <v>52</v>
      </c>
      <c r="M114" s="4"/>
      <c r="N114" s="4"/>
      <c r="O114" s="4"/>
      <c r="P114" s="4"/>
      <c r="Q114" s="4"/>
      <c r="R114" s="4" t="s">
        <v>366</v>
      </c>
    </row>
    <row r="115" customFormat="false" ht="93" hidden="false" customHeight="true" outlineLevel="0" collapsed="false">
      <c r="A115" s="3" t="s">
        <v>359</v>
      </c>
      <c r="B115" s="4" t="s">
        <v>40</v>
      </c>
      <c r="C115" s="4"/>
      <c r="D115" s="4" t="str">
        <f aca="false">IFERROR(DPG5i!L16,"")</f>
        <v/>
      </c>
      <c r="E115" s="4"/>
      <c r="F115" s="5"/>
      <c r="G115" s="5"/>
      <c r="H115" s="6" t="str">
        <f aca="false">IF(OR(F115="",NOT(ISNUMBER(D115))),"",IF(ABS(F115-D115)&lt;0.001,"Yes","No"))</f>
        <v/>
      </c>
      <c r="I115" s="7" t="str">
        <f aca="false">IF(ISNUMBER(F115),F115,D115)</f>
        <v/>
      </c>
      <c r="J115" s="6" t="str">
        <f aca="false">IF(ISNUMBER(F115),"Expert (overrides AI)",IF(ISNUMBER(D115),"AI","Not scored yet"))</f>
        <v>Not scored yet</v>
      </c>
      <c r="K115" s="4" t="s">
        <v>20</v>
      </c>
      <c r="L115" s="4" t="s">
        <v>52</v>
      </c>
      <c r="M115" s="4"/>
      <c r="N115" s="4"/>
      <c r="O115" s="4"/>
      <c r="P115" s="4"/>
      <c r="Q115" s="4"/>
      <c r="R115" s="4" t="s">
        <v>367</v>
      </c>
    </row>
    <row r="116" customFormat="false" ht="93" hidden="false" customHeight="true" outlineLevel="0" collapsed="false">
      <c r="A116" s="3" t="s">
        <v>359</v>
      </c>
      <c r="B116" s="4" t="s">
        <v>45</v>
      </c>
      <c r="C116" s="4"/>
      <c r="D116" s="4" t="str">
        <f aca="false">IFERROR(DPG5i!L17,"")</f>
        <v/>
      </c>
      <c r="E116" s="4"/>
      <c r="F116" s="5"/>
      <c r="G116" s="5"/>
      <c r="H116" s="6" t="str">
        <f aca="false">IF(OR(F116="",NOT(ISNUMBER(D116))),"",IF(ABS(F116-D116)&lt;0.001,"Yes","No"))</f>
        <v/>
      </c>
      <c r="I116" s="7" t="str">
        <f aca="false">IF(ISNUMBER(F116),F116,D116)</f>
        <v/>
      </c>
      <c r="J116" s="6" t="str">
        <f aca="false">IF(ISNUMBER(F116),"Expert (overrides AI)",IF(ISNUMBER(D116),"AI","Not scored yet"))</f>
        <v>Not scored yet</v>
      </c>
      <c r="K116" s="4" t="s">
        <v>20</v>
      </c>
      <c r="L116" s="4" t="s">
        <v>21</v>
      </c>
      <c r="M116" s="4" t="s">
        <v>368</v>
      </c>
      <c r="N116" s="4" t="s">
        <v>239</v>
      </c>
      <c r="O116" s="4" t="s">
        <v>240</v>
      </c>
      <c r="P116" s="4" t="s">
        <v>369</v>
      </c>
      <c r="Q116" s="4" t="s">
        <v>370</v>
      </c>
      <c r="R116" s="4" t="s">
        <v>27</v>
      </c>
    </row>
    <row r="117" customFormat="false" ht="93" hidden="false" customHeight="true" outlineLevel="0" collapsed="false">
      <c r="A117" s="3" t="s">
        <v>359</v>
      </c>
      <c r="B117" s="4" t="s">
        <v>51</v>
      </c>
      <c r="C117" s="4"/>
      <c r="D117" s="4" t="str">
        <f aca="false">IFERROR(DPG5i!L18,"")</f>
        <v/>
      </c>
      <c r="E117" s="4"/>
      <c r="F117" s="5"/>
      <c r="G117" s="5"/>
      <c r="H117" s="6" t="str">
        <f aca="false">IF(OR(F117="",NOT(ISNUMBER(D117))),"",IF(ABS(F117-D117)&lt;0.001,"Yes","No"))</f>
        <v/>
      </c>
      <c r="I117" s="7" t="str">
        <f aca="false">IF(ISNUMBER(F117),F117,D117)</f>
        <v/>
      </c>
      <c r="J117" s="6" t="str">
        <f aca="false">IF(ISNUMBER(F117),"Expert (overrides AI)",IF(ISNUMBER(D117),"AI","Not scored yet"))</f>
        <v>Not scored yet</v>
      </c>
      <c r="K117" s="4" t="s">
        <v>20</v>
      </c>
      <c r="L117" s="4" t="s">
        <v>52</v>
      </c>
      <c r="M117" s="4"/>
      <c r="N117" s="4"/>
      <c r="O117" s="4"/>
      <c r="P117" s="4"/>
      <c r="Q117" s="4"/>
      <c r="R117" s="4" t="s">
        <v>371</v>
      </c>
    </row>
    <row r="118" customFormat="false" ht="93" hidden="false" customHeight="true" outlineLevel="0" collapsed="false">
      <c r="A118" s="3" t="s">
        <v>359</v>
      </c>
      <c r="B118" s="4" t="s">
        <v>54</v>
      </c>
      <c r="C118" s="4"/>
      <c r="D118" s="4" t="str">
        <f aca="false">IFERROR(DPG5i!L19,"")</f>
        <v/>
      </c>
      <c r="E118" s="4"/>
      <c r="F118" s="5"/>
      <c r="G118" s="5"/>
      <c r="H118" s="6" t="str">
        <f aca="false">IF(OR(F118="",NOT(ISNUMBER(D118))),"",IF(ABS(F118-D118)&lt;0.001,"Yes","No"))</f>
        <v/>
      </c>
      <c r="I118" s="7" t="str">
        <f aca="false">IF(ISNUMBER(F118),F118,D118)</f>
        <v/>
      </c>
      <c r="J118" s="6" t="str">
        <f aca="false">IF(ISNUMBER(F118),"Expert (overrides AI)",IF(ISNUMBER(D118),"AI","Not scored yet"))</f>
        <v>Not scored yet</v>
      </c>
      <c r="K118" s="4" t="s">
        <v>20</v>
      </c>
      <c r="L118" s="4" t="s">
        <v>52</v>
      </c>
      <c r="M118" s="4"/>
      <c r="N118" s="4"/>
      <c r="O118" s="4"/>
      <c r="P118" s="4"/>
      <c r="Q118" s="4"/>
      <c r="R118" s="4" t="s">
        <v>372</v>
      </c>
    </row>
    <row r="119" customFormat="false" ht="93" hidden="false" customHeight="true" outlineLevel="0" collapsed="false">
      <c r="A119" s="3" t="s">
        <v>373</v>
      </c>
      <c r="B119" s="4" t="s">
        <v>19</v>
      </c>
      <c r="C119" s="4"/>
      <c r="D119" s="4" t="str">
        <f aca="false">IFERROR(DPG5j!L13,"")</f>
        <v/>
      </c>
      <c r="E119" s="4"/>
      <c r="F119" s="5"/>
      <c r="G119" s="5"/>
      <c r="H119" s="6" t="str">
        <f aca="false">IF(OR(F119="",NOT(ISNUMBER(D119))),"",IF(ABS(F119-D119)&lt;0.001,"Yes","No"))</f>
        <v/>
      </c>
      <c r="I119" s="7" t="str">
        <f aca="false">IF(ISNUMBER(F119),F119,D119)</f>
        <v/>
      </c>
      <c r="J119" s="6" t="str">
        <f aca="false">IF(ISNUMBER(F119),"Expert (overrides AI)",IF(ISNUMBER(D119),"AI","Not scored yet"))</f>
        <v>Not scored yet</v>
      </c>
      <c r="K119" s="4" t="s">
        <v>20</v>
      </c>
      <c r="L119" s="4" t="s">
        <v>21</v>
      </c>
      <c r="M119" s="4" t="s">
        <v>374</v>
      </c>
      <c r="N119" s="4" t="s">
        <v>361</v>
      </c>
      <c r="O119" s="4" t="s">
        <v>362</v>
      </c>
      <c r="P119" s="4" t="s">
        <v>375</v>
      </c>
      <c r="Q119" s="4" t="s">
        <v>376</v>
      </c>
      <c r="R119" s="4" t="s">
        <v>27</v>
      </c>
    </row>
    <row r="120" customFormat="false" ht="93" hidden="false" customHeight="true" outlineLevel="0" collapsed="false">
      <c r="A120" s="3" t="s">
        <v>373</v>
      </c>
      <c r="B120" s="4" t="s">
        <v>28</v>
      </c>
      <c r="C120" s="4"/>
      <c r="D120" s="4" t="str">
        <f aca="false">IFERROR(DPG5j!L14,"")</f>
        <v/>
      </c>
      <c r="E120" s="4"/>
      <c r="F120" s="5"/>
      <c r="G120" s="5"/>
      <c r="H120" s="6" t="str">
        <f aca="false">IF(OR(F120="",NOT(ISNUMBER(D120))),"",IF(ABS(F120-D120)&lt;0.001,"Yes","No"))</f>
        <v/>
      </c>
      <c r="I120" s="7" t="str">
        <f aca="false">IF(ISNUMBER(F120),F120,D120)</f>
        <v/>
      </c>
      <c r="J120" s="6" t="str">
        <f aca="false">IF(ISNUMBER(F120),"Expert (overrides AI)",IF(ISNUMBER(D120),"AI","Not scored yet"))</f>
        <v>Not scored yet</v>
      </c>
      <c r="K120" s="4" t="s">
        <v>20</v>
      </c>
      <c r="L120" s="4" t="s">
        <v>21</v>
      </c>
      <c r="M120" s="4" t="s">
        <v>377</v>
      </c>
      <c r="N120" s="4" t="s">
        <v>264</v>
      </c>
      <c r="O120" s="4" t="s">
        <v>265</v>
      </c>
      <c r="P120" s="4" t="s">
        <v>378</v>
      </c>
      <c r="Q120" s="4" t="s">
        <v>379</v>
      </c>
      <c r="R120" s="4" t="s">
        <v>27</v>
      </c>
    </row>
    <row r="121" customFormat="false" ht="93" hidden="false" customHeight="true" outlineLevel="0" collapsed="false">
      <c r="A121" s="3" t="s">
        <v>373</v>
      </c>
      <c r="B121" s="4" t="s">
        <v>34</v>
      </c>
      <c r="C121" s="4"/>
      <c r="D121" s="4" t="str">
        <f aca="false">IFERROR(DPG5j!L15,"")</f>
        <v/>
      </c>
      <c r="E121" s="4"/>
      <c r="F121" s="5"/>
      <c r="G121" s="5"/>
      <c r="H121" s="6" t="str">
        <f aca="false">IF(OR(F121="",NOT(ISNUMBER(D121))),"",IF(ABS(F121-D121)&lt;0.001,"Yes","No"))</f>
        <v/>
      </c>
      <c r="I121" s="7" t="str">
        <f aca="false">IF(ISNUMBER(F121),F121,D121)</f>
        <v/>
      </c>
      <c r="J121" s="6" t="str">
        <f aca="false">IF(ISNUMBER(F121),"Expert (overrides AI)",IF(ISNUMBER(D121),"AI","Not scored yet"))</f>
        <v>Not scored yet</v>
      </c>
      <c r="K121" s="4" t="s">
        <v>20</v>
      </c>
      <c r="L121" s="4" t="s">
        <v>52</v>
      </c>
      <c r="M121" s="4"/>
      <c r="N121" s="4"/>
      <c r="O121" s="4"/>
      <c r="P121" s="4"/>
      <c r="Q121" s="4"/>
      <c r="R121" s="4" t="s">
        <v>380</v>
      </c>
    </row>
    <row r="122" customFormat="false" ht="93" hidden="false" customHeight="true" outlineLevel="0" collapsed="false">
      <c r="A122" s="3" t="s">
        <v>373</v>
      </c>
      <c r="B122" s="4" t="s">
        <v>40</v>
      </c>
      <c r="C122" s="4"/>
      <c r="D122" s="4" t="str">
        <f aca="false">IFERROR(DPG5j!L16,"")</f>
        <v/>
      </c>
      <c r="E122" s="4"/>
      <c r="F122" s="5"/>
      <c r="G122" s="5"/>
      <c r="H122" s="6" t="str">
        <f aca="false">IF(OR(F122="",NOT(ISNUMBER(D122))),"",IF(ABS(F122-D122)&lt;0.001,"Yes","No"))</f>
        <v/>
      </c>
      <c r="I122" s="7" t="str">
        <f aca="false">IF(ISNUMBER(F122),F122,D122)</f>
        <v/>
      </c>
      <c r="J122" s="6" t="str">
        <f aca="false">IF(ISNUMBER(F122),"Expert (overrides AI)",IF(ISNUMBER(D122),"AI","Not scored yet"))</f>
        <v>Not scored yet</v>
      </c>
      <c r="K122" s="4" t="s">
        <v>20</v>
      </c>
      <c r="L122" s="4" t="s">
        <v>52</v>
      </c>
      <c r="M122" s="4"/>
      <c r="N122" s="4"/>
      <c r="O122" s="4"/>
      <c r="P122" s="4"/>
      <c r="Q122" s="4"/>
      <c r="R122" s="4" t="s">
        <v>381</v>
      </c>
    </row>
    <row r="123" customFormat="false" ht="93" hidden="false" customHeight="true" outlineLevel="0" collapsed="false">
      <c r="A123" s="3" t="s">
        <v>373</v>
      </c>
      <c r="B123" s="4" t="s">
        <v>45</v>
      </c>
      <c r="C123" s="4"/>
      <c r="D123" s="4" t="str">
        <f aca="false">IFERROR(DPG5j!L17,"")</f>
        <v/>
      </c>
      <c r="E123" s="4"/>
      <c r="F123" s="5"/>
      <c r="G123" s="5"/>
      <c r="H123" s="6" t="str">
        <f aca="false">IF(OR(F123="",NOT(ISNUMBER(D123))),"",IF(ABS(F123-D123)&lt;0.001,"Yes","No"))</f>
        <v/>
      </c>
      <c r="I123" s="7" t="str">
        <f aca="false">IF(ISNUMBER(F123),F123,D123)</f>
        <v/>
      </c>
      <c r="J123" s="6" t="str">
        <f aca="false">IF(ISNUMBER(F123),"Expert (overrides AI)",IF(ISNUMBER(D123),"AI","Not scored yet"))</f>
        <v>Not scored yet</v>
      </c>
      <c r="K123" s="4" t="s">
        <v>20</v>
      </c>
      <c r="L123" s="4" t="s">
        <v>21</v>
      </c>
      <c r="M123" s="4" t="s">
        <v>382</v>
      </c>
      <c r="N123" s="4" t="s">
        <v>47</v>
      </c>
      <c r="O123" s="4" t="s">
        <v>48</v>
      </c>
      <c r="P123" s="4" t="s">
        <v>383</v>
      </c>
      <c r="Q123" s="4" t="s">
        <v>384</v>
      </c>
      <c r="R123" s="4" t="s">
        <v>27</v>
      </c>
    </row>
    <row r="124" customFormat="false" ht="93" hidden="false" customHeight="true" outlineLevel="0" collapsed="false">
      <c r="A124" s="3" t="s">
        <v>373</v>
      </c>
      <c r="B124" s="4" t="s">
        <v>51</v>
      </c>
      <c r="C124" s="4"/>
      <c r="D124" s="4" t="str">
        <f aca="false">IFERROR(DPG5j!L18,"")</f>
        <v/>
      </c>
      <c r="E124" s="4"/>
      <c r="F124" s="5"/>
      <c r="G124" s="5"/>
      <c r="H124" s="6" t="str">
        <f aca="false">IF(OR(F124="",NOT(ISNUMBER(D124))),"",IF(ABS(F124-D124)&lt;0.001,"Yes","No"))</f>
        <v/>
      </c>
      <c r="I124" s="7" t="str">
        <f aca="false">IF(ISNUMBER(F124),F124,D124)</f>
        <v/>
      </c>
      <c r="J124" s="6" t="str">
        <f aca="false">IF(ISNUMBER(F124),"Expert (overrides AI)",IF(ISNUMBER(D124),"AI","Not scored yet"))</f>
        <v>Not scored yet</v>
      </c>
      <c r="K124" s="4" t="s">
        <v>20</v>
      </c>
      <c r="L124" s="4" t="s">
        <v>52</v>
      </c>
      <c r="M124" s="4"/>
      <c r="N124" s="4"/>
      <c r="O124" s="4"/>
      <c r="P124" s="4"/>
      <c r="Q124" s="4"/>
      <c r="R124" s="4" t="s">
        <v>385</v>
      </c>
    </row>
    <row r="125" customFormat="false" ht="93" hidden="false" customHeight="true" outlineLevel="0" collapsed="false">
      <c r="A125" s="3" t="s">
        <v>373</v>
      </c>
      <c r="B125" s="4" t="s">
        <v>54</v>
      </c>
      <c r="C125" s="4"/>
      <c r="D125" s="4" t="n">
        <f aca="false">IFERROR(DPG5j!L19,"")</f>
        <v>1</v>
      </c>
      <c r="E125" s="4"/>
      <c r="F125" s="5"/>
      <c r="G125" s="5"/>
      <c r="H125" s="6" t="str">
        <f aca="false">IF(OR(F125="",NOT(ISNUMBER(D125))),"",IF(ABS(F125-D125)&lt;0.001,"Yes","No"))</f>
        <v/>
      </c>
      <c r="I125" s="7" t="n">
        <f aca="false">IF(ISNUMBER(F125),F125,D125)</f>
        <v>1</v>
      </c>
      <c r="J125" s="6" t="str">
        <f aca="false">IF(ISNUMBER(F125),"Expert (overrides AI)",IF(ISNUMBER(D125),"AI","Not scored yet"))</f>
        <v>AI</v>
      </c>
      <c r="K125" s="4" t="s">
        <v>154</v>
      </c>
      <c r="L125" s="4" t="s">
        <v>62</v>
      </c>
      <c r="M125" s="4" t="s">
        <v>386</v>
      </c>
      <c r="N125" s="4" t="s">
        <v>387</v>
      </c>
      <c r="O125" s="4" t="s">
        <v>388</v>
      </c>
      <c r="P125" s="4" t="s">
        <v>389</v>
      </c>
      <c r="Q125" s="4" t="s">
        <v>390</v>
      </c>
      <c r="R125" s="4"/>
    </row>
    <row r="126" customFormat="false" ht="93" hidden="false" customHeight="true" outlineLevel="0" collapsed="false">
      <c r="A126" s="3" t="s">
        <v>391</v>
      </c>
      <c r="B126" s="4" t="s">
        <v>19</v>
      </c>
      <c r="C126" s="4"/>
      <c r="D126" s="4" t="str">
        <f aca="false">IFERROR(DPG5k!L13,"")</f>
        <v/>
      </c>
      <c r="E126" s="4"/>
      <c r="F126" s="5"/>
      <c r="G126" s="5"/>
      <c r="H126" s="6" t="str">
        <f aca="false">IF(OR(F126="",NOT(ISNUMBER(D126))),"",IF(ABS(F126-D126)&lt;0.001,"Yes","No"))</f>
        <v/>
      </c>
      <c r="I126" s="7" t="str">
        <f aca="false">IF(ISNUMBER(F126),F126,D126)</f>
        <v/>
      </c>
      <c r="J126" s="6" t="str">
        <f aca="false">IF(ISNUMBER(F126),"Expert (overrides AI)",IF(ISNUMBER(D126),"AI","Not scored yet"))</f>
        <v>Not scored yet</v>
      </c>
      <c r="K126" s="4" t="s">
        <v>20</v>
      </c>
      <c r="L126" s="4" t="s">
        <v>52</v>
      </c>
      <c r="M126" s="4"/>
      <c r="N126" s="4"/>
      <c r="O126" s="4"/>
      <c r="P126" s="4"/>
      <c r="Q126" s="4"/>
      <c r="R126" s="4" t="s">
        <v>392</v>
      </c>
    </row>
    <row r="127" customFormat="false" ht="93" hidden="false" customHeight="true" outlineLevel="0" collapsed="false">
      <c r="A127" s="3" t="s">
        <v>391</v>
      </c>
      <c r="B127" s="4" t="s">
        <v>28</v>
      </c>
      <c r="C127" s="4"/>
      <c r="D127" s="4" t="str">
        <f aca="false">IFERROR(DPG5k!L14,"")</f>
        <v/>
      </c>
      <c r="E127" s="4"/>
      <c r="F127" s="5"/>
      <c r="G127" s="5"/>
      <c r="H127" s="6" t="str">
        <f aca="false">IF(OR(F127="",NOT(ISNUMBER(D127))),"",IF(ABS(F127-D127)&lt;0.001,"Yes","No"))</f>
        <v/>
      </c>
      <c r="I127" s="7" t="str">
        <f aca="false">IF(ISNUMBER(F127),F127,D127)</f>
        <v/>
      </c>
      <c r="J127" s="6" t="str">
        <f aca="false">IF(ISNUMBER(F127),"Expert (overrides AI)",IF(ISNUMBER(D127),"AI","Not scored yet"))</f>
        <v>Not scored yet</v>
      </c>
      <c r="K127" s="4" t="s">
        <v>20</v>
      </c>
      <c r="L127" s="4" t="s">
        <v>21</v>
      </c>
      <c r="M127" s="4" t="s">
        <v>393</v>
      </c>
      <c r="N127" s="4" t="s">
        <v>230</v>
      </c>
      <c r="O127" s="4" t="s">
        <v>231</v>
      </c>
      <c r="P127" s="4" t="s">
        <v>232</v>
      </c>
      <c r="Q127" s="4" t="s">
        <v>394</v>
      </c>
      <c r="R127" s="4" t="s">
        <v>27</v>
      </c>
    </row>
    <row r="128" customFormat="false" ht="93" hidden="false" customHeight="true" outlineLevel="0" collapsed="false">
      <c r="A128" s="3" t="s">
        <v>391</v>
      </c>
      <c r="B128" s="4" t="s">
        <v>34</v>
      </c>
      <c r="C128" s="4"/>
      <c r="D128" s="4" t="str">
        <f aca="false">IFERROR(DPG5k!L15,"")</f>
        <v/>
      </c>
      <c r="E128" s="4"/>
      <c r="F128" s="5"/>
      <c r="G128" s="5"/>
      <c r="H128" s="6" t="str">
        <f aca="false">IF(OR(F128="",NOT(ISNUMBER(D128))),"",IF(ABS(F128-D128)&lt;0.001,"Yes","No"))</f>
        <v/>
      </c>
      <c r="I128" s="7" t="str">
        <f aca="false">IF(ISNUMBER(F128),F128,D128)</f>
        <v/>
      </c>
      <c r="J128" s="6" t="str">
        <f aca="false">IF(ISNUMBER(F128),"Expert (overrides AI)",IF(ISNUMBER(D128),"AI","Not scored yet"))</f>
        <v>Not scored yet</v>
      </c>
      <c r="K128" s="4" t="s">
        <v>20</v>
      </c>
      <c r="L128" s="4" t="s">
        <v>52</v>
      </c>
      <c r="M128" s="4"/>
      <c r="N128" s="4"/>
      <c r="O128" s="4"/>
      <c r="P128" s="4"/>
      <c r="Q128" s="4"/>
      <c r="R128" s="4" t="s">
        <v>395</v>
      </c>
    </row>
    <row r="129" customFormat="false" ht="93" hidden="false" customHeight="true" outlineLevel="0" collapsed="false">
      <c r="A129" s="3" t="s">
        <v>391</v>
      </c>
      <c r="B129" s="4" t="s">
        <v>40</v>
      </c>
      <c r="C129" s="4"/>
      <c r="D129" s="4" t="str">
        <f aca="false">IFERROR(DPG5k!L16,"")</f>
        <v/>
      </c>
      <c r="E129" s="4"/>
      <c r="F129" s="5"/>
      <c r="G129" s="5"/>
      <c r="H129" s="6" t="str">
        <f aca="false">IF(OR(F129="",NOT(ISNUMBER(D129))),"",IF(ABS(F129-D129)&lt;0.001,"Yes","No"))</f>
        <v/>
      </c>
      <c r="I129" s="7" t="str">
        <f aca="false">IF(ISNUMBER(F129),F129,D129)</f>
        <v/>
      </c>
      <c r="J129" s="6" t="str">
        <f aca="false">IF(ISNUMBER(F129),"Expert (overrides AI)",IF(ISNUMBER(D129),"AI","Not scored yet"))</f>
        <v>Not scored yet</v>
      </c>
      <c r="K129" s="4" t="s">
        <v>20</v>
      </c>
      <c r="L129" s="4" t="s">
        <v>21</v>
      </c>
      <c r="M129" s="4" t="s">
        <v>396</v>
      </c>
      <c r="N129" s="4" t="s">
        <v>397</v>
      </c>
      <c r="O129" s="4" t="s">
        <v>398</v>
      </c>
      <c r="P129" s="4" t="s">
        <v>399</v>
      </c>
      <c r="Q129" s="4" t="s">
        <v>400</v>
      </c>
      <c r="R129" s="4" t="s">
        <v>27</v>
      </c>
    </row>
    <row r="130" customFormat="false" ht="93" hidden="false" customHeight="true" outlineLevel="0" collapsed="false">
      <c r="A130" s="3" t="s">
        <v>391</v>
      </c>
      <c r="B130" s="4" t="s">
        <v>45</v>
      </c>
      <c r="C130" s="4"/>
      <c r="D130" s="4" t="str">
        <f aca="false">IFERROR(DPG5k!L17,"")</f>
        <v/>
      </c>
      <c r="E130" s="4"/>
      <c r="F130" s="5"/>
      <c r="G130" s="5"/>
      <c r="H130" s="6" t="str">
        <f aca="false">IF(OR(F130="",NOT(ISNUMBER(D130))),"",IF(ABS(F130-D130)&lt;0.001,"Yes","No"))</f>
        <v/>
      </c>
      <c r="I130" s="7" t="str">
        <f aca="false">IF(ISNUMBER(F130),F130,D130)</f>
        <v/>
      </c>
      <c r="J130" s="6" t="str">
        <f aca="false">IF(ISNUMBER(F130),"Expert (overrides AI)",IF(ISNUMBER(D130),"AI","Not scored yet"))</f>
        <v>Not scored yet</v>
      </c>
      <c r="K130" s="4" t="s">
        <v>20</v>
      </c>
      <c r="L130" s="4" t="s">
        <v>52</v>
      </c>
      <c r="M130" s="4"/>
      <c r="N130" s="4"/>
      <c r="O130" s="4"/>
      <c r="P130" s="4"/>
      <c r="Q130" s="4"/>
      <c r="R130" s="4" t="s">
        <v>401</v>
      </c>
    </row>
    <row r="131" customFormat="false" ht="93" hidden="false" customHeight="true" outlineLevel="0" collapsed="false">
      <c r="A131" s="3" t="s">
        <v>391</v>
      </c>
      <c r="B131" s="4" t="s">
        <v>51</v>
      </c>
      <c r="C131" s="4"/>
      <c r="D131" s="4" t="str">
        <f aca="false">IFERROR(DPG5k!L18,"")</f>
        <v/>
      </c>
      <c r="E131" s="4"/>
      <c r="F131" s="5"/>
      <c r="G131" s="5"/>
      <c r="H131" s="6" t="str">
        <f aca="false">IF(OR(F131="",NOT(ISNUMBER(D131))),"",IF(ABS(F131-D131)&lt;0.001,"Yes","No"))</f>
        <v/>
      </c>
      <c r="I131" s="7" t="str">
        <f aca="false">IF(ISNUMBER(F131),F131,D131)</f>
        <v/>
      </c>
      <c r="J131" s="6" t="str">
        <f aca="false">IF(ISNUMBER(F131),"Expert (overrides AI)",IF(ISNUMBER(D131),"AI","Not scored yet"))</f>
        <v>Not scored yet</v>
      </c>
      <c r="K131" s="4" t="s">
        <v>20</v>
      </c>
      <c r="L131" s="4" t="s">
        <v>52</v>
      </c>
      <c r="M131" s="4"/>
      <c r="N131" s="4"/>
      <c r="O131" s="4"/>
      <c r="P131" s="4"/>
      <c r="Q131" s="4"/>
      <c r="R131" s="4" t="s">
        <v>402</v>
      </c>
    </row>
    <row r="132" customFormat="false" ht="93" hidden="false" customHeight="true" outlineLevel="0" collapsed="false">
      <c r="A132" s="3" t="s">
        <v>391</v>
      </c>
      <c r="B132" s="4" t="s">
        <v>54</v>
      </c>
      <c r="C132" s="4"/>
      <c r="D132" s="4" t="n">
        <f aca="false">IFERROR(DPG5k!L19,"")</f>
        <v>1</v>
      </c>
      <c r="E132" s="4"/>
      <c r="F132" s="5"/>
      <c r="G132" s="5"/>
      <c r="H132" s="6" t="str">
        <f aca="false">IF(OR(F132="",NOT(ISNUMBER(D132))),"",IF(ABS(F132-D132)&lt;0.001,"Yes","No"))</f>
        <v/>
      </c>
      <c r="I132" s="7" t="n">
        <f aca="false">IF(ISNUMBER(F132),F132,D132)</f>
        <v>1</v>
      </c>
      <c r="J132" s="6" t="str">
        <f aca="false">IF(ISNUMBER(F132),"Expert (overrides AI)",IF(ISNUMBER(D132),"AI","Not scored yet"))</f>
        <v>AI</v>
      </c>
      <c r="K132" s="4" t="s">
        <v>154</v>
      </c>
      <c r="L132" s="4" t="s">
        <v>62</v>
      </c>
      <c r="M132" s="4" t="s">
        <v>403</v>
      </c>
      <c r="N132" s="4" t="s">
        <v>404</v>
      </c>
      <c r="O132" s="4" t="s">
        <v>405</v>
      </c>
      <c r="P132" s="4" t="s">
        <v>406</v>
      </c>
      <c r="Q132" s="4" t="s">
        <v>407</v>
      </c>
      <c r="R132" s="4"/>
    </row>
    <row r="133" customFormat="false" ht="93" hidden="false" customHeight="true" outlineLevel="0" collapsed="false">
      <c r="A133" s="3" t="s">
        <v>408</v>
      </c>
      <c r="B133" s="4" t="s">
        <v>19</v>
      </c>
      <c r="C133" s="4"/>
      <c r="D133" s="4" t="n">
        <f aca="false">IFERROR(DPG6a!L13,"")</f>
        <v>5</v>
      </c>
      <c r="E133" s="4"/>
      <c r="F133" s="5"/>
      <c r="G133" s="5"/>
      <c r="H133" s="6" t="str">
        <f aca="false">IF(OR(F133="",NOT(ISNUMBER(D133))),"",IF(ABS(F133-D133)&lt;0.001,"Yes","No"))</f>
        <v/>
      </c>
      <c r="I133" s="7" t="n">
        <f aca="false">IF(ISNUMBER(F133),F133,D133)</f>
        <v>5</v>
      </c>
      <c r="J133" s="6" t="str">
        <f aca="false">IF(ISNUMBER(F133),"Expert (overrides AI)",IF(ISNUMBER(D133),"AI","Not scored yet"))</f>
        <v>AI</v>
      </c>
      <c r="K133" s="4" t="s">
        <v>20</v>
      </c>
      <c r="L133" s="4" t="s">
        <v>21</v>
      </c>
      <c r="M133" s="4" t="s">
        <v>409</v>
      </c>
      <c r="N133" s="4" t="s">
        <v>23</v>
      </c>
      <c r="O133" s="4" t="s">
        <v>24</v>
      </c>
      <c r="P133" s="4" t="s">
        <v>410</v>
      </c>
      <c r="Q133" s="4" t="s">
        <v>411</v>
      </c>
      <c r="R133" s="4" t="s">
        <v>27</v>
      </c>
    </row>
    <row r="134" customFormat="false" ht="93" hidden="false" customHeight="true" outlineLevel="0" collapsed="false">
      <c r="A134" s="3" t="s">
        <v>408</v>
      </c>
      <c r="B134" s="4" t="s">
        <v>28</v>
      </c>
      <c r="C134" s="4"/>
      <c r="D134" s="4" t="str">
        <f aca="false">IFERROR(DPG6a!L14,"")</f>
        <v/>
      </c>
      <c r="E134" s="4"/>
      <c r="F134" s="5"/>
      <c r="G134" s="5"/>
      <c r="H134" s="6" t="str">
        <f aca="false">IF(OR(F134="",NOT(ISNUMBER(D134))),"",IF(ABS(F134-D134)&lt;0.001,"Yes","No"))</f>
        <v/>
      </c>
      <c r="I134" s="7" t="str">
        <f aca="false">IF(ISNUMBER(F134),F134,D134)</f>
        <v/>
      </c>
      <c r="J134" s="6" t="str">
        <f aca="false">IF(ISNUMBER(F134),"Expert (overrides AI)",IF(ISNUMBER(D134),"AI","Not scored yet"))</f>
        <v>Not scored yet</v>
      </c>
      <c r="K134" s="4" t="s">
        <v>20</v>
      </c>
      <c r="L134" s="4" t="s">
        <v>52</v>
      </c>
      <c r="M134" s="4"/>
      <c r="N134" s="4"/>
      <c r="O134" s="4"/>
      <c r="P134" s="4"/>
      <c r="Q134" s="4"/>
      <c r="R134" s="4" t="s">
        <v>412</v>
      </c>
    </row>
    <row r="135" customFormat="false" ht="93" hidden="false" customHeight="true" outlineLevel="0" collapsed="false">
      <c r="A135" s="3" t="s">
        <v>408</v>
      </c>
      <c r="B135" s="4" t="s">
        <v>34</v>
      </c>
      <c r="C135" s="4"/>
      <c r="D135" s="4" t="n">
        <f aca="false">IFERROR(DPG6a!L15,"")</f>
        <v>0</v>
      </c>
      <c r="E135" s="4"/>
      <c r="F135" s="5"/>
      <c r="G135" s="5"/>
      <c r="H135" s="6" t="str">
        <f aca="false">IF(OR(F135="",NOT(ISNUMBER(D135))),"",IF(ABS(F135-D135)&lt;0.001,"Yes","No"))</f>
        <v/>
      </c>
      <c r="I135" s="7" t="n">
        <f aca="false">IF(ISNUMBER(F135),F135,D135)</f>
        <v>0</v>
      </c>
      <c r="J135" s="6" t="str">
        <f aca="false">IF(ISNUMBER(F135),"Expert (overrides AI)",IF(ISNUMBER(D135),"AI","Not scored yet"))</f>
        <v>AI</v>
      </c>
      <c r="K135" s="4" t="s">
        <v>20</v>
      </c>
      <c r="L135" s="4" t="s">
        <v>21</v>
      </c>
      <c r="M135" s="4" t="s">
        <v>413</v>
      </c>
      <c r="N135" s="4" t="s">
        <v>36</v>
      </c>
      <c r="O135" s="4" t="s">
        <v>37</v>
      </c>
      <c r="P135" s="4" t="s">
        <v>414</v>
      </c>
      <c r="Q135" s="4" t="s">
        <v>415</v>
      </c>
      <c r="R135" s="4" t="s">
        <v>27</v>
      </c>
    </row>
    <row r="136" customFormat="false" ht="93" hidden="false" customHeight="true" outlineLevel="0" collapsed="false">
      <c r="A136" s="3" t="s">
        <v>408</v>
      </c>
      <c r="B136" s="4" t="s">
        <v>40</v>
      </c>
      <c r="C136" s="4"/>
      <c r="D136" s="4" t="str">
        <f aca="false">IFERROR(DPG6a!L16,"")</f>
        <v/>
      </c>
      <c r="E136" s="4"/>
      <c r="F136" s="5"/>
      <c r="G136" s="5"/>
      <c r="H136" s="6" t="str">
        <f aca="false">IF(OR(F136="",NOT(ISNUMBER(D136))),"",IF(ABS(F136-D136)&lt;0.001,"Yes","No"))</f>
        <v/>
      </c>
      <c r="I136" s="7" t="str">
        <f aca="false">IF(ISNUMBER(F136),F136,D136)</f>
        <v/>
      </c>
      <c r="J136" s="6" t="str">
        <f aca="false">IF(ISNUMBER(F136),"Expert (overrides AI)",IF(ISNUMBER(D136),"AI","Not scored yet"))</f>
        <v>Not scored yet</v>
      </c>
      <c r="K136" s="4" t="s">
        <v>20</v>
      </c>
      <c r="L136" s="4" t="s">
        <v>52</v>
      </c>
      <c r="M136" s="4"/>
      <c r="N136" s="4"/>
      <c r="O136" s="4"/>
      <c r="P136" s="4"/>
      <c r="Q136" s="4"/>
      <c r="R136" s="4" t="s">
        <v>416</v>
      </c>
    </row>
    <row r="137" customFormat="false" ht="93" hidden="false" customHeight="true" outlineLevel="0" collapsed="false">
      <c r="A137" s="3" t="s">
        <v>408</v>
      </c>
      <c r="B137" s="4" t="s">
        <v>45</v>
      </c>
      <c r="C137" s="4"/>
      <c r="D137" s="4" t="str">
        <f aca="false">IFERROR(DPG6a!L17,"")</f>
        <v/>
      </c>
      <c r="E137" s="4"/>
      <c r="F137" s="5"/>
      <c r="G137" s="5"/>
      <c r="H137" s="6" t="str">
        <f aca="false">IF(OR(F137="",NOT(ISNUMBER(D137))),"",IF(ABS(F137-D137)&lt;0.001,"Yes","No"))</f>
        <v/>
      </c>
      <c r="I137" s="7" t="str">
        <f aca="false">IF(ISNUMBER(F137),F137,D137)</f>
        <v/>
      </c>
      <c r="J137" s="6" t="str">
        <f aca="false">IF(ISNUMBER(F137),"Expert (overrides AI)",IF(ISNUMBER(D137),"AI","Not scored yet"))</f>
        <v>Not scored yet</v>
      </c>
      <c r="K137" s="4" t="s">
        <v>20</v>
      </c>
      <c r="L137" s="4" t="s">
        <v>52</v>
      </c>
      <c r="M137" s="4"/>
      <c r="N137" s="4"/>
      <c r="O137" s="4"/>
      <c r="P137" s="4"/>
      <c r="Q137" s="4"/>
      <c r="R137" s="4" t="s">
        <v>417</v>
      </c>
    </row>
    <row r="138" customFormat="false" ht="93" hidden="false" customHeight="true" outlineLevel="0" collapsed="false">
      <c r="A138" s="3" t="s">
        <v>408</v>
      </c>
      <c r="B138" s="4" t="s">
        <v>51</v>
      </c>
      <c r="C138" s="4"/>
      <c r="D138" s="4" t="str">
        <f aca="false">IFERROR(DPG6a!L18,"")</f>
        <v/>
      </c>
      <c r="E138" s="4"/>
      <c r="F138" s="5"/>
      <c r="G138" s="5"/>
      <c r="H138" s="6" t="str">
        <f aca="false">IF(OR(F138="",NOT(ISNUMBER(D138))),"",IF(ABS(F138-D138)&lt;0.001,"Yes","No"))</f>
        <v/>
      </c>
      <c r="I138" s="7" t="str">
        <f aca="false">IF(ISNUMBER(F138),F138,D138)</f>
        <v/>
      </c>
      <c r="J138" s="6" t="str">
        <f aca="false">IF(ISNUMBER(F138),"Expert (overrides AI)",IF(ISNUMBER(D138),"AI","Not scored yet"))</f>
        <v>Not scored yet</v>
      </c>
      <c r="K138" s="4" t="s">
        <v>20</v>
      </c>
      <c r="L138" s="4" t="s">
        <v>21</v>
      </c>
      <c r="M138" s="4" t="s">
        <v>418</v>
      </c>
      <c r="N138" s="4" t="s">
        <v>419</v>
      </c>
      <c r="O138" s="4" t="s">
        <v>420</v>
      </c>
      <c r="P138" s="4" t="s">
        <v>421</v>
      </c>
      <c r="Q138" s="4" t="s">
        <v>422</v>
      </c>
      <c r="R138" s="4" t="s">
        <v>27</v>
      </c>
    </row>
    <row r="139" customFormat="false" ht="93" hidden="false" customHeight="true" outlineLevel="0" collapsed="false">
      <c r="A139" s="3" t="s">
        <v>408</v>
      </c>
      <c r="B139" s="4" t="s">
        <v>54</v>
      </c>
      <c r="C139" s="4"/>
      <c r="D139" s="4" t="str">
        <f aca="false">IFERROR(DPG6a!L19,"")</f>
        <v/>
      </c>
      <c r="E139" s="4"/>
      <c r="F139" s="5"/>
      <c r="G139" s="5"/>
      <c r="H139" s="6" t="str">
        <f aca="false">IF(OR(F139="",NOT(ISNUMBER(D139))),"",IF(ABS(F139-D139)&lt;0.001,"Yes","No"))</f>
        <v/>
      </c>
      <c r="I139" s="7" t="str">
        <f aca="false">IF(ISNUMBER(F139),F139,D139)</f>
        <v/>
      </c>
      <c r="J139" s="6" t="str">
        <f aca="false">IF(ISNUMBER(F139),"Expert (overrides AI)",IF(ISNUMBER(D139),"AI","Not scored yet"))</f>
        <v>Not scored yet</v>
      </c>
      <c r="K139" s="4" t="s">
        <v>20</v>
      </c>
      <c r="L139" s="4" t="s">
        <v>52</v>
      </c>
      <c r="M139" s="4"/>
      <c r="N139" s="4"/>
      <c r="O139" s="4"/>
      <c r="P139" s="4"/>
      <c r="Q139" s="4"/>
      <c r="R139" s="4" t="s">
        <v>423</v>
      </c>
    </row>
    <row r="140" customFormat="false" ht="93" hidden="false" customHeight="true" outlineLevel="0" collapsed="false">
      <c r="A140" s="3" t="s">
        <v>424</v>
      </c>
      <c r="B140" s="4" t="s">
        <v>19</v>
      </c>
      <c r="C140" s="4"/>
      <c r="D140" s="4" t="str">
        <f aca="false">IFERROR(DPG6b!L13,"")</f>
        <v/>
      </c>
      <c r="E140" s="4"/>
      <c r="F140" s="5"/>
      <c r="G140" s="5"/>
      <c r="H140" s="6" t="str">
        <f aca="false">IF(OR(F140="",NOT(ISNUMBER(D140))),"",IF(ABS(F140-D140)&lt;0.001,"Yes","No"))</f>
        <v/>
      </c>
      <c r="I140" s="7" t="str">
        <f aca="false">IF(ISNUMBER(F140),F140,D140)</f>
        <v/>
      </c>
      <c r="J140" s="6" t="str">
        <f aca="false">IF(ISNUMBER(F140),"Expert (overrides AI)",IF(ISNUMBER(D140),"AI","Not scored yet"))</f>
        <v>Not scored yet</v>
      </c>
      <c r="K140" s="4" t="s">
        <v>20</v>
      </c>
      <c r="L140" s="4" t="s">
        <v>21</v>
      </c>
      <c r="M140" s="4" t="s">
        <v>425</v>
      </c>
      <c r="N140" s="4" t="s">
        <v>426</v>
      </c>
      <c r="O140" s="4" t="s">
        <v>427</v>
      </c>
      <c r="P140" s="4" t="s">
        <v>428</v>
      </c>
      <c r="Q140" s="4" t="s">
        <v>429</v>
      </c>
      <c r="R140" s="4" t="s">
        <v>27</v>
      </c>
    </row>
    <row r="141" customFormat="false" ht="93" hidden="false" customHeight="true" outlineLevel="0" collapsed="false">
      <c r="A141" s="3" t="s">
        <v>424</v>
      </c>
      <c r="B141" s="4" t="s">
        <v>28</v>
      </c>
      <c r="C141" s="4"/>
      <c r="D141" s="4" t="str">
        <f aca="false">IFERROR(DPG6b!L14,"")</f>
        <v/>
      </c>
      <c r="E141" s="4"/>
      <c r="F141" s="5"/>
      <c r="G141" s="5"/>
      <c r="H141" s="6" t="str">
        <f aca="false">IF(OR(F141="",NOT(ISNUMBER(D141))),"",IF(ABS(F141-D141)&lt;0.001,"Yes","No"))</f>
        <v/>
      </c>
      <c r="I141" s="7" t="str">
        <f aca="false">IF(ISNUMBER(F141),F141,D141)</f>
        <v/>
      </c>
      <c r="J141" s="6" t="str">
        <f aca="false">IF(ISNUMBER(F141),"Expert (overrides AI)",IF(ISNUMBER(D141),"AI","Not scored yet"))</f>
        <v>Not scored yet</v>
      </c>
      <c r="K141" s="4" t="s">
        <v>20</v>
      </c>
      <c r="L141" s="4" t="s">
        <v>21</v>
      </c>
      <c r="M141" s="4" t="s">
        <v>430</v>
      </c>
      <c r="N141" s="4" t="s">
        <v>431</v>
      </c>
      <c r="O141" s="4" t="s">
        <v>432</v>
      </c>
      <c r="P141" s="4" t="s">
        <v>433</v>
      </c>
      <c r="Q141" s="4" t="s">
        <v>434</v>
      </c>
      <c r="R141" s="4" t="s">
        <v>27</v>
      </c>
    </row>
    <row r="142" customFormat="false" ht="93" hidden="false" customHeight="true" outlineLevel="0" collapsed="false">
      <c r="A142" s="3" t="s">
        <v>424</v>
      </c>
      <c r="B142" s="4" t="s">
        <v>34</v>
      </c>
      <c r="C142" s="4"/>
      <c r="D142" s="4" t="str">
        <f aca="false">IFERROR(DPG6b!L15,"")</f>
        <v/>
      </c>
      <c r="E142" s="4"/>
      <c r="F142" s="5"/>
      <c r="G142" s="5"/>
      <c r="H142" s="6" t="str">
        <f aca="false">IF(OR(F142="",NOT(ISNUMBER(D142))),"",IF(ABS(F142-D142)&lt;0.001,"Yes","No"))</f>
        <v/>
      </c>
      <c r="I142" s="7" t="str">
        <f aca="false">IF(ISNUMBER(F142),F142,D142)</f>
        <v/>
      </c>
      <c r="J142" s="6" t="str">
        <f aca="false">IF(ISNUMBER(F142),"Expert (overrides AI)",IF(ISNUMBER(D142),"AI","Not scored yet"))</f>
        <v>Not scored yet</v>
      </c>
      <c r="K142" s="4" t="s">
        <v>20</v>
      </c>
      <c r="L142" s="4" t="s">
        <v>52</v>
      </c>
      <c r="M142" s="4"/>
      <c r="N142" s="4"/>
      <c r="O142" s="4"/>
      <c r="P142" s="4"/>
      <c r="Q142" s="4"/>
      <c r="R142" s="4" t="s">
        <v>435</v>
      </c>
    </row>
    <row r="143" customFormat="false" ht="93" hidden="false" customHeight="true" outlineLevel="0" collapsed="false">
      <c r="A143" s="3" t="s">
        <v>424</v>
      </c>
      <c r="B143" s="4" t="s">
        <v>40</v>
      </c>
      <c r="C143" s="4"/>
      <c r="D143" s="4" t="str">
        <f aca="false">IFERROR(DPG6b!L16,"")</f>
        <v/>
      </c>
      <c r="E143" s="4"/>
      <c r="F143" s="5"/>
      <c r="G143" s="5"/>
      <c r="H143" s="6" t="str">
        <f aca="false">IF(OR(F143="",NOT(ISNUMBER(D143))),"",IF(ABS(F143-D143)&lt;0.001,"Yes","No"))</f>
        <v/>
      </c>
      <c r="I143" s="7" t="str">
        <f aca="false">IF(ISNUMBER(F143),F143,D143)</f>
        <v/>
      </c>
      <c r="J143" s="6" t="str">
        <f aca="false">IF(ISNUMBER(F143),"Expert (overrides AI)",IF(ISNUMBER(D143),"AI","Not scored yet"))</f>
        <v>Not scored yet</v>
      </c>
      <c r="K143" s="4" t="s">
        <v>20</v>
      </c>
      <c r="L143" s="4" t="s">
        <v>52</v>
      </c>
      <c r="M143" s="4"/>
      <c r="N143" s="4"/>
      <c r="O143" s="4"/>
      <c r="P143" s="4"/>
      <c r="Q143" s="4"/>
      <c r="R143" s="4" t="s">
        <v>436</v>
      </c>
    </row>
    <row r="144" customFormat="false" ht="93" hidden="false" customHeight="true" outlineLevel="0" collapsed="false">
      <c r="A144" s="3" t="s">
        <v>424</v>
      </c>
      <c r="B144" s="4" t="s">
        <v>45</v>
      </c>
      <c r="C144" s="4"/>
      <c r="D144" s="4" t="str">
        <f aca="false">IFERROR(DPG6b!L17,"")</f>
        <v/>
      </c>
      <c r="E144" s="4"/>
      <c r="F144" s="5"/>
      <c r="G144" s="5"/>
      <c r="H144" s="6" t="str">
        <f aca="false">IF(OR(F144="",NOT(ISNUMBER(D144))),"",IF(ABS(F144-D144)&lt;0.001,"Yes","No"))</f>
        <v/>
      </c>
      <c r="I144" s="7" t="str">
        <f aca="false">IF(ISNUMBER(F144),F144,D144)</f>
        <v/>
      </c>
      <c r="J144" s="6" t="str">
        <f aca="false">IF(ISNUMBER(F144),"Expert (overrides AI)",IF(ISNUMBER(D144),"AI","Not scored yet"))</f>
        <v>Not scored yet</v>
      </c>
      <c r="K144" s="4" t="s">
        <v>20</v>
      </c>
      <c r="L144" s="4" t="s">
        <v>123</v>
      </c>
      <c r="M144" s="4" t="s">
        <v>437</v>
      </c>
      <c r="N144" s="4"/>
      <c r="O144" s="4"/>
      <c r="P144" s="4"/>
      <c r="Q144" s="4"/>
      <c r="R144" s="4" t="s">
        <v>438</v>
      </c>
    </row>
    <row r="145" customFormat="false" ht="93" hidden="false" customHeight="true" outlineLevel="0" collapsed="false">
      <c r="A145" s="3" t="s">
        <v>424</v>
      </c>
      <c r="B145" s="4" t="s">
        <v>51</v>
      </c>
      <c r="C145" s="4"/>
      <c r="D145" s="4" t="str">
        <f aca="false">IFERROR(DPG6b!L18,"")</f>
        <v/>
      </c>
      <c r="E145" s="4"/>
      <c r="F145" s="5"/>
      <c r="G145" s="5"/>
      <c r="H145" s="6" t="str">
        <f aca="false">IF(OR(F145="",NOT(ISNUMBER(D145))),"",IF(ABS(F145-D145)&lt;0.001,"Yes","No"))</f>
        <v/>
      </c>
      <c r="I145" s="7" t="str">
        <f aca="false">IF(ISNUMBER(F145),F145,D145)</f>
        <v/>
      </c>
      <c r="J145" s="6" t="str">
        <f aca="false">IF(ISNUMBER(F145),"Expert (overrides AI)",IF(ISNUMBER(D145),"AI","Not scored yet"))</f>
        <v>Not scored yet</v>
      </c>
      <c r="K145" s="4" t="s">
        <v>20</v>
      </c>
      <c r="L145" s="4" t="s">
        <v>52</v>
      </c>
      <c r="M145" s="4"/>
      <c r="N145" s="4"/>
      <c r="O145" s="4"/>
      <c r="P145" s="4"/>
      <c r="Q145" s="4"/>
      <c r="R145" s="4" t="s">
        <v>439</v>
      </c>
    </row>
    <row r="146" customFormat="false" ht="93" hidden="false" customHeight="true" outlineLevel="0" collapsed="false">
      <c r="A146" s="3" t="s">
        <v>424</v>
      </c>
      <c r="B146" s="4" t="s">
        <v>54</v>
      </c>
      <c r="C146" s="4"/>
      <c r="D146" s="4" t="str">
        <f aca="false">IFERROR(DPG6b!L19,"")</f>
        <v/>
      </c>
      <c r="E146" s="4"/>
      <c r="F146" s="5"/>
      <c r="G146" s="5"/>
      <c r="H146" s="6" t="str">
        <f aca="false">IF(OR(F146="",NOT(ISNUMBER(D146))),"",IF(ABS(F146-D146)&lt;0.001,"Yes","No"))</f>
        <v/>
      </c>
      <c r="I146" s="7" t="str">
        <f aca="false">IF(ISNUMBER(F146),F146,D146)</f>
        <v/>
      </c>
      <c r="J146" s="6" t="str">
        <f aca="false">IF(ISNUMBER(F146),"Expert (overrides AI)",IF(ISNUMBER(D146),"AI","Not scored yet"))</f>
        <v>Not scored yet</v>
      </c>
      <c r="K146" s="4" t="s">
        <v>20</v>
      </c>
      <c r="L146" s="4" t="s">
        <v>21</v>
      </c>
      <c r="M146" s="4" t="s">
        <v>440</v>
      </c>
      <c r="N146" s="4" t="s">
        <v>441</v>
      </c>
      <c r="O146" s="4" t="s">
        <v>442</v>
      </c>
      <c r="P146" s="4" t="s">
        <v>443</v>
      </c>
      <c r="Q146" s="4" t="s">
        <v>444</v>
      </c>
      <c r="R146" s="4" t="s">
        <v>27</v>
      </c>
    </row>
    <row r="147" customFormat="false" ht="93" hidden="false" customHeight="true" outlineLevel="0" collapsed="false">
      <c r="A147" s="3" t="s">
        <v>445</v>
      </c>
      <c r="B147" s="4" t="s">
        <v>19</v>
      </c>
      <c r="C147" s="4"/>
      <c r="D147" s="4" t="n">
        <f aca="false">IFERROR(DPG7a!L13,"")</f>
        <v>0</v>
      </c>
      <c r="E147" s="4"/>
      <c r="F147" s="5"/>
      <c r="G147" s="5"/>
      <c r="H147" s="6" t="str">
        <f aca="false">IF(OR(F147="",NOT(ISNUMBER(D147))),"",IF(ABS(F147-D147)&lt;0.001,"Yes","No"))</f>
        <v/>
      </c>
      <c r="I147" s="7" t="n">
        <f aca="false">IF(ISNUMBER(F147),F147,D147)</f>
        <v>0</v>
      </c>
      <c r="J147" s="6" t="str">
        <f aca="false">IF(ISNUMBER(F147),"Expert (overrides AI)",IF(ISNUMBER(D147),"AI","Not scored yet"))</f>
        <v>AI</v>
      </c>
      <c r="K147" s="4" t="s">
        <v>20</v>
      </c>
      <c r="L147" s="4" t="s">
        <v>21</v>
      </c>
      <c r="M147" s="4" t="s">
        <v>446</v>
      </c>
      <c r="N147" s="4" t="s">
        <v>23</v>
      </c>
      <c r="O147" s="4" t="s">
        <v>24</v>
      </c>
      <c r="P147" s="4" t="s">
        <v>447</v>
      </c>
      <c r="Q147" s="4" t="s">
        <v>448</v>
      </c>
      <c r="R147" s="4" t="s">
        <v>27</v>
      </c>
    </row>
    <row r="148" customFormat="false" ht="93" hidden="false" customHeight="true" outlineLevel="0" collapsed="false">
      <c r="A148" s="3" t="s">
        <v>445</v>
      </c>
      <c r="B148" s="4" t="s">
        <v>28</v>
      </c>
      <c r="C148" s="4"/>
      <c r="D148" s="4" t="n">
        <f aca="false">IFERROR(DPG7a!L14,"")</f>
        <v>2.5</v>
      </c>
      <c r="E148" s="4"/>
      <c r="F148" s="5"/>
      <c r="G148" s="5"/>
      <c r="H148" s="6" t="str">
        <f aca="false">IF(OR(F148="",NOT(ISNUMBER(D148))),"",IF(ABS(F148-D148)&lt;0.001,"Yes","No"))</f>
        <v/>
      </c>
      <c r="I148" s="7" t="n">
        <f aca="false">IF(ISNUMBER(F148),F148,D148)</f>
        <v>2.5</v>
      </c>
      <c r="J148" s="6" t="str">
        <f aca="false">IF(ISNUMBER(F148),"Expert (overrides AI)",IF(ISNUMBER(D148),"AI","Not scored yet"))</f>
        <v>AI</v>
      </c>
      <c r="K148" s="4" t="s">
        <v>20</v>
      </c>
      <c r="L148" s="4" t="s">
        <v>21</v>
      </c>
      <c r="M148" s="4" t="s">
        <v>449</v>
      </c>
      <c r="N148" s="4" t="s">
        <v>82</v>
      </c>
      <c r="O148" s="4" t="s">
        <v>83</v>
      </c>
      <c r="P148" s="4" t="s">
        <v>450</v>
      </c>
      <c r="Q148" s="4" t="s">
        <v>451</v>
      </c>
      <c r="R148" s="4" t="s">
        <v>27</v>
      </c>
    </row>
    <row r="149" customFormat="false" ht="93" hidden="false" customHeight="true" outlineLevel="0" collapsed="false">
      <c r="A149" s="3" t="s">
        <v>445</v>
      </c>
      <c r="B149" s="4" t="s">
        <v>40</v>
      </c>
      <c r="C149" s="4"/>
      <c r="D149" s="4" t="n">
        <f aca="false">IFERROR(DPG7a!L16,"")</f>
        <v>2.5</v>
      </c>
      <c r="E149" s="4"/>
      <c r="F149" s="5"/>
      <c r="G149" s="5"/>
      <c r="H149" s="6" t="str">
        <f aca="false">IF(OR(F149="",NOT(ISNUMBER(D149))),"",IF(ABS(F149-D149)&lt;0.001,"Yes","No"))</f>
        <v/>
      </c>
      <c r="I149" s="7" t="n">
        <f aca="false">IF(ISNUMBER(F149),F149,D149)</f>
        <v>2.5</v>
      </c>
      <c r="J149" s="6" t="str">
        <f aca="false">IF(ISNUMBER(F149),"Expert (overrides AI)",IF(ISNUMBER(D149),"AI","Not scored yet"))</f>
        <v>AI</v>
      </c>
      <c r="K149" s="4" t="s">
        <v>20</v>
      </c>
      <c r="L149" s="4" t="s">
        <v>21</v>
      </c>
      <c r="M149" s="4" t="s">
        <v>452</v>
      </c>
      <c r="N149" s="4" t="s">
        <v>453</v>
      </c>
      <c r="O149" s="4" t="s">
        <v>83</v>
      </c>
      <c r="P149" s="4" t="s">
        <v>454</v>
      </c>
      <c r="Q149" s="4" t="s">
        <v>455</v>
      </c>
      <c r="R149" s="4" t="s">
        <v>27</v>
      </c>
    </row>
    <row r="150" customFormat="false" ht="93" hidden="false" customHeight="true" outlineLevel="0" collapsed="false">
      <c r="A150" s="3" t="s">
        <v>445</v>
      </c>
      <c r="B150" s="4" t="s">
        <v>54</v>
      </c>
      <c r="C150" s="4"/>
      <c r="D150" s="4" t="str">
        <f aca="false">IFERROR(DPG7a!L19,"")</f>
        <v/>
      </c>
      <c r="E150" s="4"/>
      <c r="F150" s="5"/>
      <c r="G150" s="5"/>
      <c r="H150" s="6" t="str">
        <f aca="false">IF(OR(F150="",NOT(ISNUMBER(D150))),"",IF(ABS(F150-D150)&lt;0.001,"Yes","No"))</f>
        <v/>
      </c>
      <c r="I150" s="7" t="str">
        <f aca="false">IF(ISNUMBER(F150),F150,D150)</f>
        <v/>
      </c>
      <c r="J150" s="6" t="str">
        <f aca="false">IF(ISNUMBER(F150),"Expert (overrides AI)",IF(ISNUMBER(D150),"AI","Not scored yet"))</f>
        <v>Not scored yet</v>
      </c>
      <c r="K150" s="4" t="s">
        <v>20</v>
      </c>
      <c r="L150" s="4" t="s">
        <v>52</v>
      </c>
      <c r="M150" s="4"/>
      <c r="N150" s="4"/>
      <c r="O150" s="4"/>
      <c r="P150" s="4"/>
      <c r="Q150" s="4"/>
      <c r="R150" s="4" t="s">
        <v>456</v>
      </c>
    </row>
    <row r="151" customFormat="false" ht="93" hidden="false" customHeight="true" outlineLevel="0" collapsed="false">
      <c r="A151" s="3" t="s">
        <v>457</v>
      </c>
      <c r="B151" s="4" t="s">
        <v>19</v>
      </c>
      <c r="C151" s="4"/>
      <c r="D151" s="4" t="n">
        <f aca="false">IFERROR(DPG7b!L13,"")</f>
        <v>2.5</v>
      </c>
      <c r="E151" s="4"/>
      <c r="F151" s="5"/>
      <c r="G151" s="5"/>
      <c r="H151" s="6" t="str">
        <f aca="false">IF(OR(F151="",NOT(ISNUMBER(D151))),"",IF(ABS(F151-D151)&lt;0.001,"Yes","No"))</f>
        <v/>
      </c>
      <c r="I151" s="7" t="n">
        <f aca="false">IF(ISNUMBER(F151),F151,D151)</f>
        <v>2.5</v>
      </c>
      <c r="J151" s="6" t="str">
        <f aca="false">IF(ISNUMBER(F151),"Expert (overrides AI)",IF(ISNUMBER(D151),"AI","Not scored yet"))</f>
        <v>AI</v>
      </c>
      <c r="K151" s="4" t="s">
        <v>20</v>
      </c>
      <c r="L151" s="4" t="s">
        <v>52</v>
      </c>
      <c r="M151" s="4"/>
      <c r="N151" s="4"/>
      <c r="O151" s="4"/>
      <c r="P151" s="4"/>
      <c r="Q151" s="4"/>
      <c r="R151" s="4" t="s">
        <v>458</v>
      </c>
    </row>
    <row r="152" customFormat="false" ht="93" hidden="false" customHeight="true" outlineLevel="0" collapsed="false">
      <c r="A152" s="3" t="s">
        <v>457</v>
      </c>
      <c r="B152" s="4" t="s">
        <v>28</v>
      </c>
      <c r="C152" s="4"/>
      <c r="D152" s="4" t="str">
        <f aca="false">IFERROR(DPG7b!L14,"")</f>
        <v/>
      </c>
      <c r="E152" s="4"/>
      <c r="F152" s="5"/>
      <c r="G152" s="5"/>
      <c r="H152" s="6" t="str">
        <f aca="false">IF(OR(F152="",NOT(ISNUMBER(D152))),"",IF(ABS(F152-D152)&lt;0.001,"Yes","No"))</f>
        <v/>
      </c>
      <c r="I152" s="7" t="str">
        <f aca="false">IF(ISNUMBER(F152),F152,D152)</f>
        <v/>
      </c>
      <c r="J152" s="6" t="str">
        <f aca="false">IF(ISNUMBER(F152),"Expert (overrides AI)",IF(ISNUMBER(D152),"AI","Not scored yet"))</f>
        <v>Not scored yet</v>
      </c>
      <c r="K152" s="4" t="s">
        <v>20</v>
      </c>
      <c r="L152" s="4" t="s">
        <v>52</v>
      </c>
      <c r="M152" s="4"/>
      <c r="N152" s="4"/>
      <c r="O152" s="4"/>
      <c r="P152" s="4"/>
      <c r="Q152" s="4"/>
      <c r="R152" s="4" t="s">
        <v>459</v>
      </c>
    </row>
    <row r="153" customFormat="false" ht="93" hidden="false" customHeight="true" outlineLevel="0" collapsed="false">
      <c r="A153" s="3" t="s">
        <v>457</v>
      </c>
      <c r="B153" s="4" t="s">
        <v>40</v>
      </c>
      <c r="C153" s="4"/>
      <c r="D153" s="4" t="n">
        <f aca="false">IFERROR(DPG7b!L16,"")</f>
        <v>2.5</v>
      </c>
      <c r="E153" s="4"/>
      <c r="F153" s="5"/>
      <c r="G153" s="5"/>
      <c r="H153" s="6" t="str">
        <f aca="false">IF(OR(F153="",NOT(ISNUMBER(D153))),"",IF(ABS(F153-D153)&lt;0.001,"Yes","No"))</f>
        <v/>
      </c>
      <c r="I153" s="7" t="n">
        <f aca="false">IF(ISNUMBER(F153),F153,D153)</f>
        <v>2.5</v>
      </c>
      <c r="J153" s="6" t="str">
        <f aca="false">IF(ISNUMBER(F153),"Expert (overrides AI)",IF(ISNUMBER(D153),"AI","Not scored yet"))</f>
        <v>AI</v>
      </c>
      <c r="K153" s="4" t="s">
        <v>20</v>
      </c>
      <c r="L153" s="4" t="s">
        <v>52</v>
      </c>
      <c r="M153" s="4"/>
      <c r="N153" s="4"/>
      <c r="O153" s="4"/>
      <c r="P153" s="4"/>
      <c r="Q153" s="4"/>
      <c r="R153" s="4" t="s">
        <v>460</v>
      </c>
    </row>
    <row r="154" customFormat="false" ht="93" hidden="false" customHeight="true" outlineLevel="0" collapsed="false">
      <c r="A154" s="3" t="s">
        <v>457</v>
      </c>
      <c r="B154" s="4" t="s">
        <v>54</v>
      </c>
      <c r="C154" s="4"/>
      <c r="D154" s="4" t="n">
        <f aca="false">IFERROR(DPG7b!L19,"")</f>
        <v>2.5</v>
      </c>
      <c r="E154" s="4"/>
      <c r="F154" s="5"/>
      <c r="G154" s="5"/>
      <c r="H154" s="6" t="str">
        <f aca="false">IF(OR(F154="",NOT(ISNUMBER(D154))),"",IF(ABS(F154-D154)&lt;0.001,"Yes","No"))</f>
        <v/>
      </c>
      <c r="I154" s="7" t="n">
        <f aca="false">IF(ISNUMBER(F154),F154,D154)</f>
        <v>2.5</v>
      </c>
      <c r="J154" s="6" t="str">
        <f aca="false">IF(ISNUMBER(F154),"Expert (overrides AI)",IF(ISNUMBER(D154),"AI","Not scored yet"))</f>
        <v>AI</v>
      </c>
      <c r="K154" s="4" t="s">
        <v>154</v>
      </c>
      <c r="L154" s="4" t="s">
        <v>21</v>
      </c>
      <c r="M154" s="4" t="s">
        <v>461</v>
      </c>
      <c r="N154" s="4" t="s">
        <v>462</v>
      </c>
      <c r="O154" s="4" t="s">
        <v>463</v>
      </c>
      <c r="P154" s="4" t="s">
        <v>464</v>
      </c>
      <c r="Q154" s="4" t="s">
        <v>465</v>
      </c>
      <c r="R154" s="4"/>
    </row>
    <row r="155" customFormat="false" ht="93" hidden="false" customHeight="true" outlineLevel="0" collapsed="false">
      <c r="A155" s="3" t="s">
        <v>466</v>
      </c>
      <c r="B155" s="4" t="s">
        <v>19</v>
      </c>
      <c r="C155" s="4"/>
      <c r="D155" s="4" t="str">
        <f aca="false">IFERROR('SC1'!L13,"")</f>
        <v/>
      </c>
      <c r="E155" s="4"/>
      <c r="F155" s="5"/>
      <c r="G155" s="5"/>
      <c r="H155" s="6" t="str">
        <f aca="false">IF(OR(F155="",NOT(ISNUMBER(D155))),"",IF(ABS(F155-D155)&lt;0.001,"Yes","No"))</f>
        <v/>
      </c>
      <c r="I155" s="7" t="str">
        <f aca="false">IF(ISNUMBER(F155),F155,D155)</f>
        <v/>
      </c>
      <c r="J155" s="6" t="str">
        <f aca="false">IF(ISNUMBER(F155),"Expert (overrides AI)",IF(ISNUMBER(D155),"AI","Not scored yet"))</f>
        <v>Not scored yet</v>
      </c>
      <c r="K155" s="4" t="s">
        <v>20</v>
      </c>
      <c r="L155" s="4" t="s">
        <v>21</v>
      </c>
      <c r="M155" s="4" t="s">
        <v>467</v>
      </c>
      <c r="N155" s="4" t="s">
        <v>281</v>
      </c>
      <c r="O155" s="4" t="s">
        <v>282</v>
      </c>
      <c r="P155" s="4" t="s">
        <v>468</v>
      </c>
      <c r="Q155" s="4" t="s">
        <v>469</v>
      </c>
      <c r="R155" s="4" t="s">
        <v>27</v>
      </c>
    </row>
    <row r="156" customFormat="false" ht="93" hidden="false" customHeight="true" outlineLevel="0" collapsed="false">
      <c r="A156" s="3" t="s">
        <v>466</v>
      </c>
      <c r="B156" s="4" t="s">
        <v>28</v>
      </c>
      <c r="C156" s="4"/>
      <c r="D156" s="4" t="str">
        <f aca="false">IFERROR('SC1'!L14,"")</f>
        <v/>
      </c>
      <c r="E156" s="4"/>
      <c r="F156" s="5"/>
      <c r="G156" s="5"/>
      <c r="H156" s="6" t="str">
        <f aca="false">IF(OR(F156="",NOT(ISNUMBER(D156))),"",IF(ABS(F156-D156)&lt;0.001,"Yes","No"))</f>
        <v/>
      </c>
      <c r="I156" s="7" t="str">
        <f aca="false">IF(ISNUMBER(F156),F156,D156)</f>
        <v/>
      </c>
      <c r="J156" s="6" t="str">
        <f aca="false">IF(ISNUMBER(F156),"Expert (overrides AI)",IF(ISNUMBER(D156),"AI","Not scored yet"))</f>
        <v>Not scored yet</v>
      </c>
      <c r="K156" s="4" t="s">
        <v>20</v>
      </c>
      <c r="L156" s="4" t="s">
        <v>52</v>
      </c>
      <c r="M156" s="4"/>
      <c r="N156" s="4"/>
      <c r="O156" s="4"/>
      <c r="P156" s="4"/>
      <c r="Q156" s="4"/>
      <c r="R156" s="4" t="s">
        <v>470</v>
      </c>
    </row>
    <row r="157" customFormat="false" ht="93" hidden="false" customHeight="true" outlineLevel="0" collapsed="false">
      <c r="A157" s="3" t="s">
        <v>466</v>
      </c>
      <c r="B157" s="4" t="s">
        <v>34</v>
      </c>
      <c r="C157" s="4"/>
      <c r="D157" s="4" t="str">
        <f aca="false">IFERROR('SC1'!L15,"")</f>
        <v/>
      </c>
      <c r="E157" s="4"/>
      <c r="F157" s="5"/>
      <c r="G157" s="5"/>
      <c r="H157" s="6" t="str">
        <f aca="false">IF(OR(F157="",NOT(ISNUMBER(D157))),"",IF(ABS(F157-D157)&lt;0.001,"Yes","No"))</f>
        <v/>
      </c>
      <c r="I157" s="7" t="str">
        <f aca="false">IF(ISNUMBER(F157),F157,D157)</f>
        <v/>
      </c>
      <c r="J157" s="6" t="str">
        <f aca="false">IF(ISNUMBER(F157),"Expert (overrides AI)",IF(ISNUMBER(D157),"AI","Not scored yet"))</f>
        <v>Not scored yet</v>
      </c>
      <c r="K157" s="4" t="s">
        <v>20</v>
      </c>
      <c r="L157" s="4" t="s">
        <v>52</v>
      </c>
      <c r="M157" s="4"/>
      <c r="N157" s="4"/>
      <c r="O157" s="4"/>
      <c r="P157" s="4"/>
      <c r="Q157" s="4"/>
      <c r="R157" s="4" t="s">
        <v>471</v>
      </c>
    </row>
    <row r="158" customFormat="false" ht="93" hidden="false" customHeight="true" outlineLevel="0" collapsed="false">
      <c r="A158" s="3" t="s">
        <v>472</v>
      </c>
      <c r="B158" s="4" t="s">
        <v>19</v>
      </c>
      <c r="C158" s="4"/>
      <c r="D158" s="4" t="str">
        <f aca="false">IFERROR('SC2'!L13,"")</f>
        <v/>
      </c>
      <c r="E158" s="4"/>
      <c r="F158" s="5"/>
      <c r="G158" s="5"/>
      <c r="H158" s="6" t="str">
        <f aca="false">IF(OR(F158="",NOT(ISNUMBER(D158))),"",IF(ABS(F158-D158)&lt;0.001,"Yes","No"))</f>
        <v/>
      </c>
      <c r="I158" s="7" t="str">
        <f aca="false">IF(ISNUMBER(F158),F158,D158)</f>
        <v/>
      </c>
      <c r="J158" s="6" t="str">
        <f aca="false">IF(ISNUMBER(F158),"Expert (overrides AI)",IF(ISNUMBER(D158),"AI","Not scored yet"))</f>
        <v>Not scored yet</v>
      </c>
      <c r="K158" s="4" t="s">
        <v>20</v>
      </c>
      <c r="L158" s="4" t="s">
        <v>21</v>
      </c>
      <c r="M158" s="4" t="s">
        <v>473</v>
      </c>
      <c r="N158" s="4" t="s">
        <v>281</v>
      </c>
      <c r="O158" s="4" t="s">
        <v>282</v>
      </c>
      <c r="P158" s="4" t="s">
        <v>474</v>
      </c>
      <c r="Q158" s="4" t="s">
        <v>475</v>
      </c>
      <c r="R158" s="4" t="s">
        <v>27</v>
      </c>
    </row>
    <row r="159" customFormat="false" ht="93" hidden="false" customHeight="true" outlineLevel="0" collapsed="false">
      <c r="A159" s="3" t="s">
        <v>472</v>
      </c>
      <c r="B159" s="4" t="s">
        <v>28</v>
      </c>
      <c r="C159" s="4"/>
      <c r="D159" s="4" t="str">
        <f aca="false">IFERROR('SC2'!L14,"")</f>
        <v/>
      </c>
      <c r="E159" s="4"/>
      <c r="F159" s="5"/>
      <c r="G159" s="5"/>
      <c r="H159" s="6" t="str">
        <f aca="false">IF(OR(F159="",NOT(ISNUMBER(D159))),"",IF(ABS(F159-D159)&lt;0.001,"Yes","No"))</f>
        <v/>
      </c>
      <c r="I159" s="7" t="str">
        <f aca="false">IF(ISNUMBER(F159),F159,D159)</f>
        <v/>
      </c>
      <c r="J159" s="6" t="str">
        <f aca="false">IF(ISNUMBER(F159),"Expert (overrides AI)",IF(ISNUMBER(D159),"AI","Not scored yet"))</f>
        <v>Not scored yet</v>
      </c>
      <c r="K159" s="4" t="s">
        <v>20</v>
      </c>
      <c r="L159" s="4" t="s">
        <v>52</v>
      </c>
      <c r="M159" s="4"/>
      <c r="N159" s="4"/>
      <c r="O159" s="4"/>
      <c r="P159" s="4"/>
      <c r="Q159" s="4"/>
      <c r="R159" s="4" t="s">
        <v>476</v>
      </c>
    </row>
    <row r="160" customFormat="false" ht="93" hidden="false" customHeight="true" outlineLevel="0" collapsed="false">
      <c r="A160" s="3" t="s">
        <v>472</v>
      </c>
      <c r="B160" s="4" t="s">
        <v>34</v>
      </c>
      <c r="C160" s="4"/>
      <c r="D160" s="4" t="str">
        <f aca="false">IFERROR('SC2'!L15,"")</f>
        <v/>
      </c>
      <c r="E160" s="4"/>
      <c r="F160" s="5"/>
      <c r="G160" s="5"/>
      <c r="H160" s="6" t="str">
        <f aca="false">IF(OR(F160="",NOT(ISNUMBER(D160))),"",IF(ABS(F160-D160)&lt;0.001,"Yes","No"))</f>
        <v/>
      </c>
      <c r="I160" s="7" t="str">
        <f aca="false">IF(ISNUMBER(F160),F160,D160)</f>
        <v/>
      </c>
      <c r="J160" s="6" t="str">
        <f aca="false">IF(ISNUMBER(F160),"Expert (overrides AI)",IF(ISNUMBER(D160),"AI","Not scored yet"))</f>
        <v>Not scored yet</v>
      </c>
      <c r="K160" s="4" t="s">
        <v>20</v>
      </c>
      <c r="L160" s="4" t="s">
        <v>52</v>
      </c>
      <c r="M160" s="4"/>
      <c r="N160" s="4"/>
      <c r="O160" s="4"/>
      <c r="P160" s="4"/>
      <c r="Q160" s="4"/>
      <c r="R160" s="4" t="s">
        <v>477</v>
      </c>
    </row>
    <row r="161" customFormat="false" ht="93" hidden="false" customHeight="true" outlineLevel="0" collapsed="false">
      <c r="A161" s="3" t="s">
        <v>472</v>
      </c>
      <c r="B161" s="4" t="s">
        <v>40</v>
      </c>
      <c r="C161" s="4"/>
      <c r="D161" s="4" t="str">
        <f aca="false">IFERROR('SC2'!L16,"")</f>
        <v/>
      </c>
      <c r="E161" s="4"/>
      <c r="F161" s="5"/>
      <c r="G161" s="5"/>
      <c r="H161" s="6" t="str">
        <f aca="false">IF(OR(F161="",NOT(ISNUMBER(D161))),"",IF(ABS(F161-D161)&lt;0.001,"Yes","No"))</f>
        <v/>
      </c>
      <c r="I161" s="7" t="str">
        <f aca="false">IF(ISNUMBER(F161),F161,D161)</f>
        <v/>
      </c>
      <c r="J161" s="6" t="str">
        <f aca="false">IF(ISNUMBER(F161),"Expert (overrides AI)",IF(ISNUMBER(D161),"AI","Not scored yet"))</f>
        <v>Not scored yet</v>
      </c>
      <c r="K161" s="4" t="s">
        <v>20</v>
      </c>
      <c r="L161" s="4" t="s">
        <v>52</v>
      </c>
      <c r="M161" s="4"/>
      <c r="N161" s="4"/>
      <c r="O161" s="4"/>
      <c r="P161" s="4"/>
      <c r="Q161" s="4"/>
      <c r="R161" s="4" t="s">
        <v>478</v>
      </c>
    </row>
    <row r="162" customFormat="false" ht="93" hidden="false" customHeight="true" outlineLevel="0" collapsed="false">
      <c r="A162" s="3" t="s">
        <v>472</v>
      </c>
      <c r="B162" s="4" t="s">
        <v>54</v>
      </c>
      <c r="C162" s="4"/>
      <c r="D162" s="4" t="str">
        <f aca="false">IFERROR('SC2'!L19,"")</f>
        <v/>
      </c>
      <c r="E162" s="4"/>
      <c r="F162" s="5"/>
      <c r="G162" s="5"/>
      <c r="H162" s="6" t="str">
        <f aca="false">IF(OR(F162="",NOT(ISNUMBER(D162))),"",IF(ABS(F162-D162)&lt;0.001,"Yes","No"))</f>
        <v/>
      </c>
      <c r="I162" s="7" t="str">
        <f aca="false">IF(ISNUMBER(F162),F162,D162)</f>
        <v/>
      </c>
      <c r="J162" s="6" t="str">
        <f aca="false">IF(ISNUMBER(F162),"Expert (overrides AI)",IF(ISNUMBER(D162),"AI","Not scored yet"))</f>
        <v>Not scored yet</v>
      </c>
      <c r="K162" s="4" t="s">
        <v>20</v>
      </c>
      <c r="L162" s="4" t="s">
        <v>21</v>
      </c>
      <c r="M162" s="4" t="s">
        <v>479</v>
      </c>
      <c r="N162" s="4" t="s">
        <v>275</v>
      </c>
      <c r="O162" s="4" t="s">
        <v>276</v>
      </c>
      <c r="P162" s="4" t="s">
        <v>480</v>
      </c>
      <c r="Q162" s="4" t="s">
        <v>481</v>
      </c>
      <c r="R162" s="4" t="s">
        <v>27</v>
      </c>
    </row>
    <row r="163" customFormat="false" ht="93" hidden="false" customHeight="true" outlineLevel="0" collapsed="false">
      <c r="A163" s="3" t="s">
        <v>482</v>
      </c>
      <c r="B163" s="4" t="s">
        <v>19</v>
      </c>
      <c r="C163" s="4"/>
      <c r="D163" s="4" t="str">
        <f aca="false">IFERROR('SC3'!L13,"")</f>
        <v/>
      </c>
      <c r="E163" s="4"/>
      <c r="F163" s="5"/>
      <c r="G163" s="5"/>
      <c r="H163" s="6" t="str">
        <f aca="false">IF(OR(F163="",NOT(ISNUMBER(D163))),"",IF(ABS(F163-D163)&lt;0.001,"Yes","No"))</f>
        <v/>
      </c>
      <c r="I163" s="7" t="str">
        <f aca="false">IF(ISNUMBER(F163),F163,D163)</f>
        <v/>
      </c>
      <c r="J163" s="6" t="str">
        <f aca="false">IF(ISNUMBER(F163),"Expert (overrides AI)",IF(ISNUMBER(D163),"AI","Not scored yet"))</f>
        <v>Not scored yet</v>
      </c>
      <c r="K163" s="4" t="s">
        <v>20</v>
      </c>
      <c r="L163" s="4" t="s">
        <v>21</v>
      </c>
      <c r="M163" s="4" t="s">
        <v>483</v>
      </c>
      <c r="N163" s="4" t="s">
        <v>281</v>
      </c>
      <c r="O163" s="4" t="s">
        <v>282</v>
      </c>
      <c r="P163" s="4" t="s">
        <v>484</v>
      </c>
      <c r="Q163" s="4" t="s">
        <v>485</v>
      </c>
      <c r="R163" s="4" t="s">
        <v>27</v>
      </c>
    </row>
    <row r="164" customFormat="false" ht="93" hidden="false" customHeight="true" outlineLevel="0" collapsed="false">
      <c r="A164" s="3" t="s">
        <v>482</v>
      </c>
      <c r="B164" s="4" t="s">
        <v>28</v>
      </c>
      <c r="C164" s="4"/>
      <c r="D164" s="4" t="str">
        <f aca="false">IFERROR('SC3'!L14,"")</f>
        <v/>
      </c>
      <c r="E164" s="4"/>
      <c r="F164" s="5"/>
      <c r="G164" s="5"/>
      <c r="H164" s="6" t="str">
        <f aca="false">IF(OR(F164="",NOT(ISNUMBER(D164))),"",IF(ABS(F164-D164)&lt;0.001,"Yes","No"))</f>
        <v/>
      </c>
      <c r="I164" s="7" t="str">
        <f aca="false">IF(ISNUMBER(F164),F164,D164)</f>
        <v/>
      </c>
      <c r="J164" s="6" t="str">
        <f aca="false">IF(ISNUMBER(F164),"Expert (overrides AI)",IF(ISNUMBER(D164),"AI","Not scored yet"))</f>
        <v>Not scored yet</v>
      </c>
      <c r="K164" s="4" t="s">
        <v>20</v>
      </c>
      <c r="L164" s="4" t="s">
        <v>52</v>
      </c>
      <c r="M164" s="4"/>
      <c r="N164" s="4"/>
      <c r="O164" s="4"/>
      <c r="P164" s="4"/>
      <c r="Q164" s="4"/>
      <c r="R164" s="4" t="s">
        <v>486</v>
      </c>
    </row>
    <row r="165" customFormat="false" ht="93" hidden="false" customHeight="true" outlineLevel="0" collapsed="false">
      <c r="A165" s="3" t="s">
        <v>482</v>
      </c>
      <c r="B165" s="4" t="s">
        <v>34</v>
      </c>
      <c r="C165" s="4"/>
      <c r="D165" s="4" t="str">
        <f aca="false">IFERROR('SC3'!L15,"")</f>
        <v/>
      </c>
      <c r="E165" s="4"/>
      <c r="F165" s="5"/>
      <c r="G165" s="5"/>
      <c r="H165" s="6" t="str">
        <f aca="false">IF(OR(F165="",NOT(ISNUMBER(D165))),"",IF(ABS(F165-D165)&lt;0.001,"Yes","No"))</f>
        <v/>
      </c>
      <c r="I165" s="7" t="str">
        <f aca="false">IF(ISNUMBER(F165),F165,D165)</f>
        <v/>
      </c>
      <c r="J165" s="6" t="str">
        <f aca="false">IF(ISNUMBER(F165),"Expert (overrides AI)",IF(ISNUMBER(D165),"AI","Not scored yet"))</f>
        <v>Not scored yet</v>
      </c>
      <c r="K165" s="4" t="s">
        <v>20</v>
      </c>
      <c r="L165" s="4" t="s">
        <v>52</v>
      </c>
      <c r="M165" s="4"/>
      <c r="N165" s="4"/>
      <c r="O165" s="4"/>
      <c r="P165" s="4"/>
      <c r="Q165" s="4"/>
      <c r="R165" s="4" t="s">
        <v>487</v>
      </c>
    </row>
    <row r="166" customFormat="false" ht="93" hidden="false" customHeight="true" outlineLevel="0" collapsed="false">
      <c r="A166" s="3" t="s">
        <v>482</v>
      </c>
      <c r="B166" s="4" t="s">
        <v>40</v>
      </c>
      <c r="C166" s="4"/>
      <c r="D166" s="4" t="str">
        <f aca="false">IFERROR('SC3'!L16,"")</f>
        <v/>
      </c>
      <c r="E166" s="4"/>
      <c r="F166" s="5"/>
      <c r="G166" s="5"/>
      <c r="H166" s="6" t="str">
        <f aca="false">IF(OR(F166="",NOT(ISNUMBER(D166))),"",IF(ABS(F166-D166)&lt;0.001,"Yes","No"))</f>
        <v/>
      </c>
      <c r="I166" s="7" t="str">
        <f aca="false">IF(ISNUMBER(F166),F166,D166)</f>
        <v/>
      </c>
      <c r="J166" s="6" t="str">
        <f aca="false">IF(ISNUMBER(F166),"Expert (overrides AI)",IF(ISNUMBER(D166),"AI","Not scored yet"))</f>
        <v>Not scored yet</v>
      </c>
      <c r="K166" s="4" t="s">
        <v>20</v>
      </c>
      <c r="L166" s="4" t="s">
        <v>52</v>
      </c>
      <c r="M166" s="4"/>
      <c r="N166" s="4"/>
      <c r="O166" s="4"/>
      <c r="P166" s="4"/>
      <c r="Q166" s="4"/>
      <c r="R166" s="4" t="s">
        <v>488</v>
      </c>
    </row>
    <row r="167" customFormat="false" ht="93" hidden="false" customHeight="true" outlineLevel="0" collapsed="false">
      <c r="A167" s="3" t="s">
        <v>482</v>
      </c>
      <c r="B167" s="4" t="s">
        <v>45</v>
      </c>
      <c r="C167" s="4"/>
      <c r="D167" s="4" t="str">
        <f aca="false">IFERROR('SC3'!L17,"")</f>
        <v/>
      </c>
      <c r="E167" s="4"/>
      <c r="F167" s="5"/>
      <c r="G167" s="5"/>
      <c r="H167" s="6" t="str">
        <f aca="false">IF(OR(F167="",NOT(ISNUMBER(D167))),"",IF(ABS(F167-D167)&lt;0.001,"Yes","No"))</f>
        <v/>
      </c>
      <c r="I167" s="7" t="str">
        <f aca="false">IF(ISNUMBER(F167),F167,D167)</f>
        <v/>
      </c>
      <c r="J167" s="6" t="str">
        <f aca="false">IF(ISNUMBER(F167),"Expert (overrides AI)",IF(ISNUMBER(D167),"AI","Not scored yet"))</f>
        <v>Not scored yet</v>
      </c>
      <c r="K167" s="4" t="s">
        <v>20</v>
      </c>
      <c r="L167" s="4" t="s">
        <v>52</v>
      </c>
      <c r="M167" s="4"/>
      <c r="N167" s="4"/>
      <c r="O167" s="4"/>
      <c r="P167" s="4"/>
      <c r="Q167" s="4"/>
      <c r="R167" s="4" t="s">
        <v>489</v>
      </c>
    </row>
    <row r="168" customFormat="false" ht="93" hidden="false" customHeight="true" outlineLevel="0" collapsed="false">
      <c r="A168" s="3" t="s">
        <v>482</v>
      </c>
      <c r="B168" s="4" t="s">
        <v>51</v>
      </c>
      <c r="C168" s="4"/>
      <c r="D168" s="4" t="str">
        <f aca="false">IFERROR('SC3'!L18,"")</f>
        <v/>
      </c>
      <c r="E168" s="4"/>
      <c r="F168" s="5"/>
      <c r="G168" s="5"/>
      <c r="H168" s="6" t="str">
        <f aca="false">IF(OR(F168="",NOT(ISNUMBER(D168))),"",IF(ABS(F168-D168)&lt;0.001,"Yes","No"))</f>
        <v/>
      </c>
      <c r="I168" s="7" t="str">
        <f aca="false">IF(ISNUMBER(F168),F168,D168)</f>
        <v/>
      </c>
      <c r="J168" s="6" t="str">
        <f aca="false">IF(ISNUMBER(F168),"Expert (overrides AI)",IF(ISNUMBER(D168),"AI","Not scored yet"))</f>
        <v>Not scored yet</v>
      </c>
      <c r="K168" s="4" t="s">
        <v>20</v>
      </c>
      <c r="L168" s="4" t="s">
        <v>52</v>
      </c>
      <c r="M168" s="4"/>
      <c r="N168" s="4"/>
      <c r="O168" s="4"/>
      <c r="P168" s="4"/>
      <c r="Q168" s="4"/>
      <c r="R168" s="4" t="s">
        <v>490</v>
      </c>
    </row>
    <row r="169" customFormat="false" ht="93" hidden="false" customHeight="true" outlineLevel="0" collapsed="false">
      <c r="A169" s="3" t="s">
        <v>482</v>
      </c>
      <c r="B169" s="4" t="s">
        <v>54</v>
      </c>
      <c r="C169" s="4"/>
      <c r="D169" s="4" t="str">
        <f aca="false">IFERROR('SC3'!L19,"")</f>
        <v/>
      </c>
      <c r="E169" s="4"/>
      <c r="F169" s="5"/>
      <c r="G169" s="5"/>
      <c r="H169" s="6" t="str">
        <f aca="false">IF(OR(F169="",NOT(ISNUMBER(D169))),"",IF(ABS(F169-D169)&lt;0.001,"Yes","No"))</f>
        <v/>
      </c>
      <c r="I169" s="7" t="str">
        <f aca="false">IF(ISNUMBER(F169),F169,D169)</f>
        <v/>
      </c>
      <c r="J169" s="6" t="str">
        <f aca="false">IF(ISNUMBER(F169),"Expert (overrides AI)",IF(ISNUMBER(D169),"AI","Not scored yet"))</f>
        <v>Not scored yet</v>
      </c>
      <c r="K169" s="4" t="s">
        <v>20</v>
      </c>
      <c r="L169" s="4" t="s">
        <v>52</v>
      </c>
      <c r="M169" s="4"/>
      <c r="N169" s="4"/>
      <c r="O169" s="4"/>
      <c r="P169" s="4"/>
      <c r="Q169" s="4"/>
      <c r="R169" s="4" t="s">
        <v>491</v>
      </c>
    </row>
    <row r="170" customFormat="false" ht="93" hidden="false" customHeight="true" outlineLevel="0" collapsed="false">
      <c r="A170" s="3" t="s">
        <v>492</v>
      </c>
      <c r="B170" s="4" t="s">
        <v>19</v>
      </c>
      <c r="C170" s="4"/>
      <c r="D170" s="4" t="n">
        <f aca="false">IFERROR(SC4a!L13,"")</f>
        <v>0</v>
      </c>
      <c r="E170" s="4"/>
      <c r="F170" s="5"/>
      <c r="G170" s="5"/>
      <c r="H170" s="6" t="str">
        <f aca="false">IF(OR(F170="",NOT(ISNUMBER(D170))),"",IF(ABS(F170-D170)&lt;0.001,"Yes","No"))</f>
        <v/>
      </c>
      <c r="I170" s="7" t="n">
        <f aca="false">IF(ISNUMBER(F170),F170,D170)</f>
        <v>0</v>
      </c>
      <c r="J170" s="6" t="str">
        <f aca="false">IF(ISNUMBER(F170),"Expert (overrides AI)",IF(ISNUMBER(D170),"AI","Not scored yet"))</f>
        <v>AI</v>
      </c>
      <c r="K170" s="4" t="s">
        <v>20</v>
      </c>
      <c r="L170" s="4" t="s">
        <v>21</v>
      </c>
      <c r="M170" s="4" t="s">
        <v>493</v>
      </c>
      <c r="N170" s="4" t="s">
        <v>23</v>
      </c>
      <c r="O170" s="4" t="s">
        <v>24</v>
      </c>
      <c r="P170" s="4" t="s">
        <v>494</v>
      </c>
      <c r="Q170" s="4" t="s">
        <v>495</v>
      </c>
      <c r="R170" s="4" t="s">
        <v>27</v>
      </c>
    </row>
    <row r="171" customFormat="false" ht="93" hidden="false" customHeight="true" outlineLevel="0" collapsed="false">
      <c r="A171" s="3" t="s">
        <v>492</v>
      </c>
      <c r="B171" s="4" t="s">
        <v>28</v>
      </c>
      <c r="C171" s="4"/>
      <c r="D171" s="4" t="n">
        <f aca="false">IFERROR(SC4a!L14,"")</f>
        <v>0</v>
      </c>
      <c r="E171" s="4"/>
      <c r="F171" s="5"/>
      <c r="G171" s="5"/>
      <c r="H171" s="6" t="str">
        <f aca="false">IF(OR(F171="",NOT(ISNUMBER(D171))),"",IF(ABS(F171-D171)&lt;0.001,"Yes","No"))</f>
        <v/>
      </c>
      <c r="I171" s="7" t="n">
        <f aca="false">IF(ISNUMBER(F171),F171,D171)</f>
        <v>0</v>
      </c>
      <c r="J171" s="6" t="str">
        <f aca="false">IF(ISNUMBER(F171),"Expert (overrides AI)",IF(ISNUMBER(D171),"AI","Not scored yet"))</f>
        <v>AI</v>
      </c>
      <c r="K171" s="4" t="s">
        <v>20</v>
      </c>
      <c r="L171" s="4" t="s">
        <v>21</v>
      </c>
      <c r="M171" s="4" t="s">
        <v>496</v>
      </c>
      <c r="N171" s="4" t="s">
        <v>159</v>
      </c>
      <c r="O171" s="4" t="s">
        <v>160</v>
      </c>
      <c r="P171" s="4" t="s">
        <v>208</v>
      </c>
      <c r="Q171" s="4" t="s">
        <v>497</v>
      </c>
      <c r="R171" s="4" t="s">
        <v>27</v>
      </c>
    </row>
    <row r="172" customFormat="false" ht="93" hidden="false" customHeight="true" outlineLevel="0" collapsed="false">
      <c r="A172" s="3" t="s">
        <v>492</v>
      </c>
      <c r="B172" s="4" t="s">
        <v>34</v>
      </c>
      <c r="C172" s="4"/>
      <c r="D172" s="4" t="n">
        <f aca="false">IFERROR(SC4a!L15,"")</f>
        <v>0</v>
      </c>
      <c r="E172" s="4"/>
      <c r="F172" s="5"/>
      <c r="G172" s="5"/>
      <c r="H172" s="6" t="str">
        <f aca="false">IF(OR(F172="",NOT(ISNUMBER(D172))),"",IF(ABS(F172-D172)&lt;0.001,"Yes","No"))</f>
        <v/>
      </c>
      <c r="I172" s="7" t="n">
        <f aca="false">IF(ISNUMBER(F172),F172,D172)</f>
        <v>0</v>
      </c>
      <c r="J172" s="6" t="str">
        <f aca="false">IF(ISNUMBER(F172),"Expert (overrides AI)",IF(ISNUMBER(D172),"AI","Not scored yet"))</f>
        <v>AI</v>
      </c>
      <c r="K172" s="4" t="s">
        <v>20</v>
      </c>
      <c r="L172" s="4" t="s">
        <v>21</v>
      </c>
      <c r="M172" s="4" t="s">
        <v>498</v>
      </c>
      <c r="N172" s="4" t="s">
        <v>36</v>
      </c>
      <c r="O172" s="4" t="s">
        <v>37</v>
      </c>
      <c r="P172" s="4" t="s">
        <v>499</v>
      </c>
      <c r="Q172" s="4" t="s">
        <v>500</v>
      </c>
      <c r="R172" s="4" t="s">
        <v>27</v>
      </c>
    </row>
    <row r="173" customFormat="false" ht="93" hidden="false" customHeight="true" outlineLevel="0" collapsed="false">
      <c r="A173" s="3" t="s">
        <v>492</v>
      </c>
      <c r="B173" s="4" t="s">
        <v>40</v>
      </c>
      <c r="C173" s="4"/>
      <c r="D173" s="4" t="n">
        <f aca="false">IFERROR(SC4a!L16,"")</f>
        <v>0</v>
      </c>
      <c r="E173" s="4"/>
      <c r="F173" s="5"/>
      <c r="G173" s="5"/>
      <c r="H173" s="6" t="str">
        <f aca="false">IF(OR(F173="",NOT(ISNUMBER(D173))),"",IF(ABS(F173-D173)&lt;0.001,"Yes","No"))</f>
        <v/>
      </c>
      <c r="I173" s="7" t="n">
        <f aca="false">IF(ISNUMBER(F173),F173,D173)</f>
        <v>0</v>
      </c>
      <c r="J173" s="6" t="str">
        <f aca="false">IF(ISNUMBER(F173),"Expert (overrides AI)",IF(ISNUMBER(D173),"AI","Not scored yet"))</f>
        <v>AI</v>
      </c>
      <c r="K173" s="4" t="s">
        <v>20</v>
      </c>
      <c r="L173" s="4" t="s">
        <v>52</v>
      </c>
      <c r="M173" s="4"/>
      <c r="N173" s="4"/>
      <c r="O173" s="4"/>
      <c r="P173" s="4"/>
      <c r="Q173" s="4"/>
      <c r="R173" s="4" t="s">
        <v>501</v>
      </c>
    </row>
    <row r="174" customFormat="false" ht="93" hidden="false" customHeight="true" outlineLevel="0" collapsed="false">
      <c r="A174" s="3" t="s">
        <v>492</v>
      </c>
      <c r="B174" s="4" t="s">
        <v>45</v>
      </c>
      <c r="C174" s="4"/>
      <c r="D174" s="4" t="n">
        <f aca="false">IFERROR(SC4a!L17,"")</f>
        <v>0</v>
      </c>
      <c r="E174" s="4"/>
      <c r="F174" s="5"/>
      <c r="G174" s="5"/>
      <c r="H174" s="6" t="str">
        <f aca="false">IF(OR(F174="",NOT(ISNUMBER(D174))),"",IF(ABS(F174-D174)&lt;0.001,"Yes","No"))</f>
        <v/>
      </c>
      <c r="I174" s="7" t="n">
        <f aca="false">IF(ISNUMBER(F174),F174,D174)</f>
        <v>0</v>
      </c>
      <c r="J174" s="6" t="str">
        <f aca="false">IF(ISNUMBER(F174),"Expert (overrides AI)",IF(ISNUMBER(D174),"AI","Not scored yet"))</f>
        <v>AI</v>
      </c>
      <c r="K174" s="4" t="s">
        <v>20</v>
      </c>
      <c r="L174" s="4" t="s">
        <v>52</v>
      </c>
      <c r="M174" s="4"/>
      <c r="N174" s="4"/>
      <c r="O174" s="4"/>
      <c r="P174" s="4"/>
      <c r="Q174" s="4"/>
      <c r="R174" s="4" t="s">
        <v>502</v>
      </c>
    </row>
    <row r="175" customFormat="false" ht="93" hidden="false" customHeight="true" outlineLevel="0" collapsed="false">
      <c r="A175" s="3" t="s">
        <v>492</v>
      </c>
      <c r="B175" s="4" t="s">
        <v>51</v>
      </c>
      <c r="C175" s="4"/>
      <c r="D175" s="4" t="str">
        <f aca="false">IFERROR(SC4a!L18,"")</f>
        <v/>
      </c>
      <c r="E175" s="4"/>
      <c r="F175" s="5"/>
      <c r="G175" s="5"/>
      <c r="H175" s="6" t="str">
        <f aca="false">IF(OR(F175="",NOT(ISNUMBER(D175))),"",IF(ABS(F175-D175)&lt;0.001,"Yes","No"))</f>
        <v/>
      </c>
      <c r="I175" s="7" t="str">
        <f aca="false">IF(ISNUMBER(F175),F175,D175)</f>
        <v/>
      </c>
      <c r="J175" s="6" t="str">
        <f aca="false">IF(ISNUMBER(F175),"Expert (overrides AI)",IF(ISNUMBER(D175),"AI","Not scored yet"))</f>
        <v>Not scored yet</v>
      </c>
      <c r="K175" s="4" t="s">
        <v>20</v>
      </c>
      <c r="L175" s="4" t="s">
        <v>21</v>
      </c>
      <c r="M175" s="4" t="s">
        <v>503</v>
      </c>
      <c r="N175" s="4" t="s">
        <v>218</v>
      </c>
      <c r="O175" s="4" t="s">
        <v>219</v>
      </c>
      <c r="P175" s="4" t="s">
        <v>504</v>
      </c>
      <c r="Q175" s="4" t="s">
        <v>505</v>
      </c>
      <c r="R175" s="4" t="s">
        <v>27</v>
      </c>
    </row>
    <row r="176" customFormat="false" ht="93" hidden="false" customHeight="true" outlineLevel="0" collapsed="false">
      <c r="A176" s="3" t="s">
        <v>492</v>
      </c>
      <c r="B176" s="4" t="s">
        <v>54</v>
      </c>
      <c r="C176" s="4"/>
      <c r="D176" s="4" t="str">
        <f aca="false">IFERROR(SC4a!L19,"")</f>
        <v/>
      </c>
      <c r="E176" s="4"/>
      <c r="F176" s="5"/>
      <c r="G176" s="5"/>
      <c r="H176" s="6" t="str">
        <f aca="false">IF(OR(F176="",NOT(ISNUMBER(D176))),"",IF(ABS(F176-D176)&lt;0.001,"Yes","No"))</f>
        <v/>
      </c>
      <c r="I176" s="7" t="str">
        <f aca="false">IF(ISNUMBER(F176),F176,D176)</f>
        <v/>
      </c>
      <c r="J176" s="6" t="str">
        <f aca="false">IF(ISNUMBER(F176),"Expert (overrides AI)",IF(ISNUMBER(D176),"AI","Not scored yet"))</f>
        <v>Not scored yet</v>
      </c>
      <c r="K176" s="4" t="s">
        <v>20</v>
      </c>
      <c r="L176" s="4" t="s">
        <v>52</v>
      </c>
      <c r="M176" s="4"/>
      <c r="N176" s="4"/>
      <c r="O176" s="4"/>
      <c r="P176" s="4"/>
      <c r="Q176" s="4"/>
      <c r="R176" s="4" t="s">
        <v>506</v>
      </c>
    </row>
    <row r="177" customFormat="false" ht="93" hidden="false" customHeight="true" outlineLevel="0" collapsed="false">
      <c r="A177" s="3" t="s">
        <v>507</v>
      </c>
      <c r="B177" s="4" t="s">
        <v>19</v>
      </c>
      <c r="C177" s="4"/>
      <c r="D177" s="4" t="str">
        <f aca="false">IFERROR(SC4b!L13,"")</f>
        <v/>
      </c>
      <c r="E177" s="4"/>
      <c r="F177" s="5"/>
      <c r="G177" s="5"/>
      <c r="H177" s="6" t="str">
        <f aca="false">IF(OR(F177="",NOT(ISNUMBER(D177))),"",IF(ABS(F177-D177)&lt;0.001,"Yes","No"))</f>
        <v/>
      </c>
      <c r="I177" s="7" t="str">
        <f aca="false">IF(ISNUMBER(F177),F177,D177)</f>
        <v/>
      </c>
      <c r="J177" s="6" t="str">
        <f aca="false">IF(ISNUMBER(F177),"Expert (overrides AI)",IF(ISNUMBER(D177),"AI","Not scored yet"))</f>
        <v>Not scored yet</v>
      </c>
      <c r="K177" s="4" t="s">
        <v>20</v>
      </c>
      <c r="L177" s="4" t="s">
        <v>52</v>
      </c>
      <c r="M177" s="4"/>
      <c r="N177" s="4"/>
      <c r="O177" s="4"/>
      <c r="P177" s="4"/>
      <c r="Q177" s="4"/>
      <c r="R177" s="4" t="s">
        <v>508</v>
      </c>
    </row>
    <row r="178" customFormat="false" ht="93" hidden="false" customHeight="true" outlineLevel="0" collapsed="false">
      <c r="A178" s="3" t="s">
        <v>507</v>
      </c>
      <c r="B178" s="4" t="s">
        <v>28</v>
      </c>
      <c r="C178" s="4"/>
      <c r="D178" s="4" t="str">
        <f aca="false">IFERROR(SC4b!L14,"")</f>
        <v/>
      </c>
      <c r="E178" s="4"/>
      <c r="F178" s="5"/>
      <c r="G178" s="5"/>
      <c r="H178" s="6" t="str">
        <f aca="false">IF(OR(F178="",NOT(ISNUMBER(D178))),"",IF(ABS(F178-D178)&lt;0.001,"Yes","No"))</f>
        <v/>
      </c>
      <c r="I178" s="7" t="str">
        <f aca="false">IF(ISNUMBER(F178),F178,D178)</f>
        <v/>
      </c>
      <c r="J178" s="6" t="str">
        <f aca="false">IF(ISNUMBER(F178),"Expert (overrides AI)",IF(ISNUMBER(D178),"AI","Not scored yet"))</f>
        <v>Not scored yet</v>
      </c>
      <c r="K178" s="4" t="s">
        <v>20</v>
      </c>
      <c r="L178" s="4" t="s">
        <v>52</v>
      </c>
      <c r="M178" s="4"/>
      <c r="N178" s="4"/>
      <c r="O178" s="4"/>
      <c r="P178" s="4"/>
      <c r="Q178" s="4"/>
      <c r="R178" s="4" t="s">
        <v>509</v>
      </c>
    </row>
    <row r="179" customFormat="false" ht="93" hidden="false" customHeight="true" outlineLevel="0" collapsed="false">
      <c r="A179" s="3" t="s">
        <v>507</v>
      </c>
      <c r="B179" s="4" t="s">
        <v>34</v>
      </c>
      <c r="C179" s="4"/>
      <c r="D179" s="4" t="str">
        <f aca="false">IFERROR(SC4b!L15,"")</f>
        <v/>
      </c>
      <c r="E179" s="4"/>
      <c r="F179" s="5"/>
      <c r="G179" s="5"/>
      <c r="H179" s="6" t="str">
        <f aca="false">IF(OR(F179="",NOT(ISNUMBER(D179))),"",IF(ABS(F179-D179)&lt;0.001,"Yes","No"))</f>
        <v/>
      </c>
      <c r="I179" s="7" t="str">
        <f aca="false">IF(ISNUMBER(F179),F179,D179)</f>
        <v/>
      </c>
      <c r="J179" s="6" t="str">
        <f aca="false">IF(ISNUMBER(F179),"Expert (overrides AI)",IF(ISNUMBER(D179),"AI","Not scored yet"))</f>
        <v>Not scored yet</v>
      </c>
      <c r="K179" s="4" t="s">
        <v>20</v>
      </c>
      <c r="L179" s="4" t="s">
        <v>52</v>
      </c>
      <c r="M179" s="4"/>
      <c r="N179" s="4"/>
      <c r="O179" s="4"/>
      <c r="P179" s="4"/>
      <c r="Q179" s="4"/>
      <c r="R179" s="4" t="s">
        <v>510</v>
      </c>
    </row>
    <row r="180" customFormat="false" ht="93" hidden="false" customHeight="true" outlineLevel="0" collapsed="false">
      <c r="A180" s="3" t="s">
        <v>507</v>
      </c>
      <c r="B180" s="4" t="s">
        <v>40</v>
      </c>
      <c r="C180" s="4"/>
      <c r="D180" s="4" t="str">
        <f aca="false">IFERROR(SC4b!L16,"")</f>
        <v/>
      </c>
      <c r="E180" s="4"/>
      <c r="F180" s="5"/>
      <c r="G180" s="5"/>
      <c r="H180" s="6" t="str">
        <f aca="false">IF(OR(F180="",NOT(ISNUMBER(D180))),"",IF(ABS(F180-D180)&lt;0.001,"Yes","No"))</f>
        <v/>
      </c>
      <c r="I180" s="7" t="str">
        <f aca="false">IF(ISNUMBER(F180),F180,D180)</f>
        <v/>
      </c>
      <c r="J180" s="6" t="str">
        <f aca="false">IF(ISNUMBER(F180),"Expert (overrides AI)",IF(ISNUMBER(D180),"AI","Not scored yet"))</f>
        <v>Not scored yet</v>
      </c>
      <c r="K180" s="4" t="s">
        <v>20</v>
      </c>
      <c r="L180" s="4" t="s">
        <v>52</v>
      </c>
      <c r="M180" s="4"/>
      <c r="N180" s="4"/>
      <c r="O180" s="4"/>
      <c r="P180" s="4"/>
      <c r="Q180" s="4"/>
      <c r="R180" s="4" t="s">
        <v>511</v>
      </c>
    </row>
    <row r="181" customFormat="false" ht="93" hidden="false" customHeight="true" outlineLevel="0" collapsed="false">
      <c r="A181" s="3" t="s">
        <v>507</v>
      </c>
      <c r="B181" s="4" t="s">
        <v>45</v>
      </c>
      <c r="C181" s="4"/>
      <c r="D181" s="4" t="str">
        <f aca="false">IFERROR(SC4b!L17,"")</f>
        <v/>
      </c>
      <c r="E181" s="4"/>
      <c r="F181" s="5"/>
      <c r="G181" s="5"/>
      <c r="H181" s="6" t="str">
        <f aca="false">IF(OR(F181="",NOT(ISNUMBER(D181))),"",IF(ABS(F181-D181)&lt;0.001,"Yes","No"))</f>
        <v/>
      </c>
      <c r="I181" s="7" t="str">
        <f aca="false">IF(ISNUMBER(F181),F181,D181)</f>
        <v/>
      </c>
      <c r="J181" s="6" t="str">
        <f aca="false">IF(ISNUMBER(F181),"Expert (overrides AI)",IF(ISNUMBER(D181),"AI","Not scored yet"))</f>
        <v>Not scored yet</v>
      </c>
      <c r="K181" s="4" t="s">
        <v>20</v>
      </c>
      <c r="L181" s="4" t="s">
        <v>52</v>
      </c>
      <c r="M181" s="4"/>
      <c r="N181" s="4"/>
      <c r="O181" s="4"/>
      <c r="P181" s="4"/>
      <c r="Q181" s="4"/>
      <c r="R181" s="4" t="s">
        <v>512</v>
      </c>
    </row>
    <row r="182" customFormat="false" ht="93" hidden="false" customHeight="true" outlineLevel="0" collapsed="false">
      <c r="A182" s="3" t="s">
        <v>507</v>
      </c>
      <c r="B182" s="4" t="s">
        <v>51</v>
      </c>
      <c r="C182" s="4"/>
      <c r="D182" s="4" t="str">
        <f aca="false">IFERROR(SC4b!L18,"")</f>
        <v/>
      </c>
      <c r="E182" s="4"/>
      <c r="F182" s="5"/>
      <c r="G182" s="5"/>
      <c r="H182" s="6" t="str">
        <f aca="false">IF(OR(F182="",NOT(ISNUMBER(D182))),"",IF(ABS(F182-D182)&lt;0.001,"Yes","No"))</f>
        <v/>
      </c>
      <c r="I182" s="7" t="str">
        <f aca="false">IF(ISNUMBER(F182),F182,D182)</f>
        <v/>
      </c>
      <c r="J182" s="6" t="str">
        <f aca="false">IF(ISNUMBER(F182),"Expert (overrides AI)",IF(ISNUMBER(D182),"AI","Not scored yet"))</f>
        <v>Not scored yet</v>
      </c>
      <c r="K182" s="4" t="s">
        <v>20</v>
      </c>
      <c r="L182" s="4" t="s">
        <v>21</v>
      </c>
      <c r="M182" s="4" t="s">
        <v>513</v>
      </c>
      <c r="N182" s="4" t="s">
        <v>64</v>
      </c>
      <c r="O182" s="4" t="s">
        <v>65</v>
      </c>
      <c r="P182" s="4" t="s">
        <v>514</v>
      </c>
      <c r="Q182" s="4" t="s">
        <v>515</v>
      </c>
      <c r="R182" s="4" t="s">
        <v>27</v>
      </c>
    </row>
    <row r="183" customFormat="false" ht="93" hidden="false" customHeight="true" outlineLevel="0" collapsed="false">
      <c r="A183" s="3" t="s">
        <v>507</v>
      </c>
      <c r="B183" s="4" t="s">
        <v>54</v>
      </c>
      <c r="C183" s="4"/>
      <c r="D183" s="4" t="str">
        <f aca="false">IFERROR(SC4b!L19,"")</f>
        <v/>
      </c>
      <c r="E183" s="4"/>
      <c r="F183" s="5"/>
      <c r="G183" s="5"/>
      <c r="H183" s="6" t="str">
        <f aca="false">IF(OR(F183="",NOT(ISNUMBER(D183))),"",IF(ABS(F183-D183)&lt;0.001,"Yes","No"))</f>
        <v/>
      </c>
      <c r="I183" s="7" t="str">
        <f aca="false">IF(ISNUMBER(F183),F183,D183)</f>
        <v/>
      </c>
      <c r="J183" s="6" t="str">
        <f aca="false">IF(ISNUMBER(F183),"Expert (overrides AI)",IF(ISNUMBER(D183),"AI","Not scored yet"))</f>
        <v>Not scored yet</v>
      </c>
      <c r="K183" s="4" t="s">
        <v>20</v>
      </c>
      <c r="L183" s="4" t="s">
        <v>21</v>
      </c>
      <c r="M183" s="4" t="s">
        <v>516</v>
      </c>
      <c r="N183" s="4" t="s">
        <v>69</v>
      </c>
      <c r="O183" s="4" t="s">
        <v>70</v>
      </c>
      <c r="P183" s="4" t="s">
        <v>517</v>
      </c>
      <c r="Q183" s="4" t="s">
        <v>518</v>
      </c>
      <c r="R183" s="4" t="s">
        <v>27</v>
      </c>
    </row>
    <row r="184" customFormat="false" ht="93" hidden="false" customHeight="true" outlineLevel="0" collapsed="false">
      <c r="A184" s="3" t="s">
        <v>519</v>
      </c>
      <c r="B184" s="4" t="s">
        <v>19</v>
      </c>
      <c r="C184" s="4"/>
      <c r="D184" s="4" t="n">
        <f aca="false">IFERROR('SC5'!L13,"")</f>
        <v>0</v>
      </c>
      <c r="E184" s="4"/>
      <c r="F184" s="5"/>
      <c r="G184" s="5"/>
      <c r="H184" s="6" t="str">
        <f aca="false">IF(OR(F184="",NOT(ISNUMBER(D184))),"",IF(ABS(F184-D184)&lt;0.001,"Yes","No"))</f>
        <v/>
      </c>
      <c r="I184" s="7" t="n">
        <f aca="false">IF(ISNUMBER(F184),F184,D184)</f>
        <v>0</v>
      </c>
      <c r="J184" s="6" t="str">
        <f aca="false">IF(ISNUMBER(F184),"Expert (overrides AI)",IF(ISNUMBER(D184),"AI","Not scored yet"))</f>
        <v>AI</v>
      </c>
      <c r="K184" s="4" t="s">
        <v>20</v>
      </c>
      <c r="L184" s="4" t="s">
        <v>21</v>
      </c>
      <c r="M184" s="4" t="s">
        <v>520</v>
      </c>
      <c r="N184" s="4" t="s">
        <v>23</v>
      </c>
      <c r="O184" s="4" t="s">
        <v>24</v>
      </c>
      <c r="P184" s="4" t="s">
        <v>521</v>
      </c>
      <c r="Q184" s="4" t="s">
        <v>522</v>
      </c>
      <c r="R184" s="4" t="s">
        <v>27</v>
      </c>
    </row>
    <row r="185" customFormat="false" ht="93" hidden="false" customHeight="true" outlineLevel="0" collapsed="false">
      <c r="A185" s="3" t="s">
        <v>519</v>
      </c>
      <c r="B185" s="4" t="s">
        <v>28</v>
      </c>
      <c r="C185" s="4"/>
      <c r="D185" s="4" t="str">
        <f aca="false">IFERROR('SC5'!L14,"")</f>
        <v/>
      </c>
      <c r="E185" s="4"/>
      <c r="F185" s="5"/>
      <c r="G185" s="5"/>
      <c r="H185" s="6" t="str">
        <f aca="false">IF(OR(F185="",NOT(ISNUMBER(D185))),"",IF(ABS(F185-D185)&lt;0.001,"Yes","No"))</f>
        <v/>
      </c>
      <c r="I185" s="7" t="str">
        <f aca="false">IF(ISNUMBER(F185),F185,D185)</f>
        <v/>
      </c>
      <c r="J185" s="6" t="str">
        <f aca="false">IF(ISNUMBER(F185),"Expert (overrides AI)",IF(ISNUMBER(D185),"AI","Not scored yet"))</f>
        <v>Not scored yet</v>
      </c>
      <c r="K185" s="4" t="s">
        <v>20</v>
      </c>
      <c r="L185" s="4" t="s">
        <v>21</v>
      </c>
      <c r="M185" s="4" t="s">
        <v>523</v>
      </c>
      <c r="N185" s="4" t="s">
        <v>159</v>
      </c>
      <c r="O185" s="4" t="s">
        <v>160</v>
      </c>
      <c r="P185" s="4" t="s">
        <v>524</v>
      </c>
      <c r="Q185" s="4" t="s">
        <v>525</v>
      </c>
      <c r="R185" s="4" t="s">
        <v>27</v>
      </c>
    </row>
    <row r="186" customFormat="false" ht="93" hidden="false" customHeight="true" outlineLevel="0" collapsed="false">
      <c r="A186" s="3" t="s">
        <v>519</v>
      </c>
      <c r="B186" s="4" t="s">
        <v>34</v>
      </c>
      <c r="C186" s="4"/>
      <c r="D186" s="4" t="n">
        <f aca="false">IFERROR('SC5'!L15,"")</f>
        <v>0</v>
      </c>
      <c r="E186" s="4"/>
      <c r="F186" s="5"/>
      <c r="G186" s="5"/>
      <c r="H186" s="6" t="str">
        <f aca="false">IF(OR(F186="",NOT(ISNUMBER(D186))),"",IF(ABS(F186-D186)&lt;0.001,"Yes","No"))</f>
        <v/>
      </c>
      <c r="I186" s="7" t="n">
        <f aca="false">IF(ISNUMBER(F186),F186,D186)</f>
        <v>0</v>
      </c>
      <c r="J186" s="6" t="str">
        <f aca="false">IF(ISNUMBER(F186),"Expert (overrides AI)",IF(ISNUMBER(D186),"AI","Not scored yet"))</f>
        <v>AI</v>
      </c>
      <c r="K186" s="4" t="s">
        <v>20</v>
      </c>
      <c r="L186" s="4" t="s">
        <v>21</v>
      </c>
      <c r="M186" s="4" t="s">
        <v>526</v>
      </c>
      <c r="N186" s="4" t="s">
        <v>36</v>
      </c>
      <c r="O186" s="4" t="s">
        <v>37</v>
      </c>
      <c r="P186" s="4" t="s">
        <v>527</v>
      </c>
      <c r="Q186" s="4" t="s">
        <v>528</v>
      </c>
      <c r="R186" s="4" t="s">
        <v>27</v>
      </c>
    </row>
    <row r="187" customFormat="false" ht="93" hidden="false" customHeight="true" outlineLevel="0" collapsed="false">
      <c r="A187" s="3" t="s">
        <v>519</v>
      </c>
      <c r="B187" s="4" t="s">
        <v>40</v>
      </c>
      <c r="C187" s="4"/>
      <c r="D187" s="4" t="n">
        <f aca="false">IFERROR('SC5'!L16,"")</f>
        <v>0</v>
      </c>
      <c r="E187" s="4"/>
      <c r="F187" s="5"/>
      <c r="G187" s="5"/>
      <c r="H187" s="6" t="str">
        <f aca="false">IF(OR(F187="",NOT(ISNUMBER(D187))),"",IF(ABS(F187-D187)&lt;0.001,"Yes","No"))</f>
        <v/>
      </c>
      <c r="I187" s="7" t="n">
        <f aca="false">IF(ISNUMBER(F187),F187,D187)</f>
        <v>0</v>
      </c>
      <c r="J187" s="6" t="str">
        <f aca="false">IF(ISNUMBER(F187),"Expert (overrides AI)",IF(ISNUMBER(D187),"AI","Not scored yet"))</f>
        <v>AI</v>
      </c>
      <c r="K187" s="4" t="s">
        <v>20</v>
      </c>
      <c r="L187" s="4" t="s">
        <v>21</v>
      </c>
      <c r="M187" s="4" t="s">
        <v>529</v>
      </c>
      <c r="N187" s="4" t="s">
        <v>530</v>
      </c>
      <c r="O187" s="4" t="s">
        <v>531</v>
      </c>
      <c r="P187" s="4" t="s">
        <v>532</v>
      </c>
      <c r="Q187" s="4" t="s">
        <v>533</v>
      </c>
      <c r="R187" s="4" t="s">
        <v>27</v>
      </c>
    </row>
    <row r="188" customFormat="false" ht="93" hidden="false" customHeight="true" outlineLevel="0" collapsed="false">
      <c r="A188" s="3" t="s">
        <v>519</v>
      </c>
      <c r="B188" s="4" t="s">
        <v>45</v>
      </c>
      <c r="C188" s="4"/>
      <c r="D188" s="4" t="str">
        <f aca="false">IFERROR('SC5'!L17,"")</f>
        <v/>
      </c>
      <c r="E188" s="4"/>
      <c r="F188" s="5"/>
      <c r="G188" s="5"/>
      <c r="H188" s="6" t="str">
        <f aca="false">IF(OR(F188="",NOT(ISNUMBER(D188))),"",IF(ABS(F188-D188)&lt;0.001,"Yes","No"))</f>
        <v/>
      </c>
      <c r="I188" s="7" t="str">
        <f aca="false">IF(ISNUMBER(F188),F188,D188)</f>
        <v/>
      </c>
      <c r="J188" s="6" t="str">
        <f aca="false">IF(ISNUMBER(F188),"Expert (overrides AI)",IF(ISNUMBER(D188),"AI","Not scored yet"))</f>
        <v>Not scored yet</v>
      </c>
      <c r="K188" s="4" t="s">
        <v>20</v>
      </c>
      <c r="L188" s="4" t="s">
        <v>52</v>
      </c>
      <c r="M188" s="4"/>
      <c r="N188" s="4"/>
      <c r="O188" s="4"/>
      <c r="P188" s="4"/>
      <c r="Q188" s="4"/>
      <c r="R188" s="4" t="s">
        <v>534</v>
      </c>
    </row>
    <row r="189" customFormat="false" ht="93" hidden="false" customHeight="true" outlineLevel="0" collapsed="false">
      <c r="A189" s="3" t="s">
        <v>519</v>
      </c>
      <c r="B189" s="4" t="s">
        <v>51</v>
      </c>
      <c r="C189" s="4"/>
      <c r="D189" s="4" t="str">
        <f aca="false">IFERROR('SC5'!L18,"")</f>
        <v/>
      </c>
      <c r="E189" s="4"/>
      <c r="F189" s="5"/>
      <c r="G189" s="5"/>
      <c r="H189" s="6" t="str">
        <f aca="false">IF(OR(F189="",NOT(ISNUMBER(D189))),"",IF(ABS(F189-D189)&lt;0.001,"Yes","No"))</f>
        <v/>
      </c>
      <c r="I189" s="7" t="str">
        <f aca="false">IF(ISNUMBER(F189),F189,D189)</f>
        <v/>
      </c>
      <c r="J189" s="6" t="str">
        <f aca="false">IF(ISNUMBER(F189),"Expert (overrides AI)",IF(ISNUMBER(D189),"AI","Not scored yet"))</f>
        <v>Not scored yet</v>
      </c>
      <c r="K189" s="4" t="s">
        <v>20</v>
      </c>
      <c r="L189" s="4" t="s">
        <v>52</v>
      </c>
      <c r="M189" s="4"/>
      <c r="N189" s="4"/>
      <c r="O189" s="4"/>
      <c r="P189" s="4"/>
      <c r="Q189" s="4"/>
      <c r="R189" s="4" t="s">
        <v>535</v>
      </c>
    </row>
    <row r="190" customFormat="false" ht="93" hidden="false" customHeight="true" outlineLevel="0" collapsed="false">
      <c r="A190" s="3" t="s">
        <v>519</v>
      </c>
      <c r="B190" s="4" t="s">
        <v>54</v>
      </c>
      <c r="C190" s="4"/>
      <c r="D190" s="4" t="str">
        <f aca="false">IFERROR('SC5'!L19,"")</f>
        <v/>
      </c>
      <c r="E190" s="4"/>
      <c r="F190" s="5"/>
      <c r="G190" s="5"/>
      <c r="H190" s="6" t="str">
        <f aca="false">IF(OR(F190="",NOT(ISNUMBER(D190))),"",IF(ABS(F190-D190)&lt;0.001,"Yes","No"))</f>
        <v/>
      </c>
      <c r="I190" s="7" t="str">
        <f aca="false">IF(ISNUMBER(F190),F190,D190)</f>
        <v/>
      </c>
      <c r="J190" s="6" t="str">
        <f aca="false">IF(ISNUMBER(F190),"Expert (overrides AI)",IF(ISNUMBER(D190),"AI","Not scored yet"))</f>
        <v>Not scored yet</v>
      </c>
      <c r="K190" s="4" t="s">
        <v>20</v>
      </c>
      <c r="L190" s="4" t="s">
        <v>52</v>
      </c>
      <c r="M190" s="4"/>
      <c r="N190" s="4"/>
      <c r="O190" s="4"/>
      <c r="P190" s="4"/>
      <c r="Q190" s="4"/>
      <c r="R190" s="4" t="s">
        <v>536</v>
      </c>
    </row>
    <row r="191" customFormat="false" ht="93" hidden="false" customHeight="true" outlineLevel="0" collapsed="false">
      <c r="A191" s="3" t="s">
        <v>537</v>
      </c>
      <c r="B191" s="4" t="s">
        <v>19</v>
      </c>
      <c r="C191" s="4"/>
      <c r="D191" s="4" t="str">
        <f aca="false">IFERROR('SC6'!L13,"")</f>
        <v/>
      </c>
      <c r="E191" s="4"/>
      <c r="F191" s="5"/>
      <c r="G191" s="5"/>
      <c r="H191" s="6" t="str">
        <f aca="false">IF(OR(F191="",NOT(ISNUMBER(D191))),"",IF(ABS(F191-D191)&lt;0.001,"Yes","No"))</f>
        <v/>
      </c>
      <c r="I191" s="7" t="str">
        <f aca="false">IF(ISNUMBER(F191),F191,D191)</f>
        <v/>
      </c>
      <c r="J191" s="6" t="str">
        <f aca="false">IF(ISNUMBER(F191),"Expert (overrides AI)",IF(ISNUMBER(D191),"AI","Not scored yet"))</f>
        <v>Not scored yet</v>
      </c>
      <c r="K191" s="4" t="s">
        <v>20</v>
      </c>
      <c r="L191" s="4" t="s">
        <v>52</v>
      </c>
      <c r="M191" s="4"/>
      <c r="N191" s="4"/>
      <c r="O191" s="4"/>
      <c r="P191" s="4"/>
      <c r="Q191" s="4"/>
      <c r="R191" s="4" t="s">
        <v>538</v>
      </c>
    </row>
    <row r="192" customFormat="false" ht="93" hidden="false" customHeight="true" outlineLevel="0" collapsed="false">
      <c r="A192" s="3" t="s">
        <v>537</v>
      </c>
      <c r="B192" s="4" t="s">
        <v>28</v>
      </c>
      <c r="C192" s="4"/>
      <c r="D192" s="4" t="str">
        <f aca="false">IFERROR('SC6'!L14,"")</f>
        <v/>
      </c>
      <c r="E192" s="4"/>
      <c r="F192" s="5"/>
      <c r="G192" s="5"/>
      <c r="H192" s="6" t="str">
        <f aca="false">IF(OR(F192="",NOT(ISNUMBER(D192))),"",IF(ABS(F192-D192)&lt;0.001,"Yes","No"))</f>
        <v/>
      </c>
      <c r="I192" s="7" t="str">
        <f aca="false">IF(ISNUMBER(F192),F192,D192)</f>
        <v/>
      </c>
      <c r="J192" s="6" t="str">
        <f aca="false">IF(ISNUMBER(F192),"Expert (overrides AI)",IF(ISNUMBER(D192),"AI","Not scored yet"))</f>
        <v>Not scored yet</v>
      </c>
      <c r="K192" s="4" t="s">
        <v>20</v>
      </c>
      <c r="L192" s="4" t="s">
        <v>21</v>
      </c>
      <c r="M192" s="4" t="s">
        <v>539</v>
      </c>
      <c r="N192" s="4" t="s">
        <v>540</v>
      </c>
      <c r="O192" s="4" t="s">
        <v>541</v>
      </c>
      <c r="P192" s="4" t="s">
        <v>542</v>
      </c>
      <c r="Q192" s="4" t="s">
        <v>543</v>
      </c>
      <c r="R192" s="4" t="s">
        <v>27</v>
      </c>
    </row>
    <row r="193" customFormat="false" ht="93" hidden="false" customHeight="true" outlineLevel="0" collapsed="false">
      <c r="A193" s="3" t="s">
        <v>537</v>
      </c>
      <c r="B193" s="4" t="s">
        <v>34</v>
      </c>
      <c r="C193" s="4"/>
      <c r="D193" s="4" t="str">
        <f aca="false">IFERROR('SC6'!L15,"")</f>
        <v/>
      </c>
      <c r="E193" s="4"/>
      <c r="F193" s="5"/>
      <c r="G193" s="5"/>
      <c r="H193" s="6" t="str">
        <f aca="false">IF(OR(F193="",NOT(ISNUMBER(D193))),"",IF(ABS(F193-D193)&lt;0.001,"Yes","No"))</f>
        <v/>
      </c>
      <c r="I193" s="7" t="str">
        <f aca="false">IF(ISNUMBER(F193),F193,D193)</f>
        <v/>
      </c>
      <c r="J193" s="6" t="str">
        <f aca="false">IF(ISNUMBER(F193),"Expert (overrides AI)",IF(ISNUMBER(D193),"AI","Not scored yet"))</f>
        <v>Not scored yet</v>
      </c>
      <c r="K193" s="4" t="s">
        <v>20</v>
      </c>
      <c r="L193" s="4" t="s">
        <v>52</v>
      </c>
      <c r="M193" s="4"/>
      <c r="N193" s="4"/>
      <c r="O193" s="4"/>
      <c r="P193" s="4"/>
      <c r="Q193" s="4"/>
      <c r="R193" s="4" t="s">
        <v>544</v>
      </c>
    </row>
    <row r="194" customFormat="false" ht="93" hidden="false" customHeight="true" outlineLevel="0" collapsed="false">
      <c r="A194" s="3" t="s">
        <v>537</v>
      </c>
      <c r="B194" s="4" t="s">
        <v>40</v>
      </c>
      <c r="C194" s="4"/>
      <c r="D194" s="4" t="str">
        <f aca="false">IFERROR('SC6'!L16,"")</f>
        <v/>
      </c>
      <c r="E194" s="4"/>
      <c r="F194" s="5"/>
      <c r="G194" s="5"/>
      <c r="H194" s="6" t="str">
        <f aca="false">IF(OR(F194="",NOT(ISNUMBER(D194))),"",IF(ABS(F194-D194)&lt;0.001,"Yes","No"))</f>
        <v/>
      </c>
      <c r="I194" s="7" t="str">
        <f aca="false">IF(ISNUMBER(F194),F194,D194)</f>
        <v/>
      </c>
      <c r="J194" s="6" t="str">
        <f aca="false">IF(ISNUMBER(F194),"Expert (overrides AI)",IF(ISNUMBER(D194),"AI","Not scored yet"))</f>
        <v>Not scored yet</v>
      </c>
      <c r="K194" s="4" t="s">
        <v>20</v>
      </c>
      <c r="L194" s="4" t="s">
        <v>21</v>
      </c>
      <c r="M194" s="4" t="s">
        <v>545</v>
      </c>
      <c r="N194" s="4" t="s">
        <v>188</v>
      </c>
      <c r="O194" s="4" t="s">
        <v>189</v>
      </c>
      <c r="P194" s="4" t="s">
        <v>546</v>
      </c>
      <c r="Q194" s="4" t="s">
        <v>547</v>
      </c>
      <c r="R194" s="4" t="s">
        <v>27</v>
      </c>
    </row>
    <row r="195" customFormat="false" ht="93" hidden="false" customHeight="true" outlineLevel="0" collapsed="false">
      <c r="A195" s="3" t="s">
        <v>537</v>
      </c>
      <c r="B195" s="4" t="s">
        <v>45</v>
      </c>
      <c r="C195" s="4"/>
      <c r="D195" s="4" t="str">
        <f aca="false">IFERROR('SC6'!L17,"")</f>
        <v/>
      </c>
      <c r="E195" s="4"/>
      <c r="F195" s="5"/>
      <c r="G195" s="5"/>
      <c r="H195" s="6" t="str">
        <f aca="false">IF(OR(F195="",NOT(ISNUMBER(D195))),"",IF(ABS(F195-D195)&lt;0.001,"Yes","No"))</f>
        <v/>
      </c>
      <c r="I195" s="7" t="str">
        <f aca="false">IF(ISNUMBER(F195),F195,D195)</f>
        <v/>
      </c>
      <c r="J195" s="6" t="str">
        <f aca="false">IF(ISNUMBER(F195),"Expert (overrides AI)",IF(ISNUMBER(D195),"AI","Not scored yet"))</f>
        <v>Not scored yet</v>
      </c>
      <c r="K195" s="4" t="s">
        <v>20</v>
      </c>
      <c r="L195" s="4" t="s">
        <v>21</v>
      </c>
      <c r="M195" s="4" t="s">
        <v>548</v>
      </c>
      <c r="N195" s="4" t="s">
        <v>47</v>
      </c>
      <c r="O195" s="4" t="s">
        <v>48</v>
      </c>
      <c r="P195" s="4" t="s">
        <v>549</v>
      </c>
      <c r="Q195" s="4" t="s">
        <v>550</v>
      </c>
      <c r="R195" s="4" t="s">
        <v>27</v>
      </c>
    </row>
    <row r="196" customFormat="false" ht="93" hidden="false" customHeight="true" outlineLevel="0" collapsed="false">
      <c r="A196" s="3" t="s">
        <v>537</v>
      </c>
      <c r="B196" s="4" t="s">
        <v>51</v>
      </c>
      <c r="C196" s="4"/>
      <c r="D196" s="4" t="str">
        <f aca="false">IFERROR('SC6'!L18,"")</f>
        <v/>
      </c>
      <c r="E196" s="4"/>
      <c r="F196" s="5"/>
      <c r="G196" s="5"/>
      <c r="H196" s="6" t="str">
        <f aca="false">IF(OR(F196="",NOT(ISNUMBER(D196))),"",IF(ABS(F196-D196)&lt;0.001,"Yes","No"))</f>
        <v/>
      </c>
      <c r="I196" s="7" t="str">
        <f aca="false">IF(ISNUMBER(F196),F196,D196)</f>
        <v/>
      </c>
      <c r="J196" s="6" t="str">
        <f aca="false">IF(ISNUMBER(F196),"Expert (overrides AI)",IF(ISNUMBER(D196),"AI","Not scored yet"))</f>
        <v>Not scored yet</v>
      </c>
      <c r="K196" s="4" t="s">
        <v>20</v>
      </c>
      <c r="L196" s="4" t="s">
        <v>52</v>
      </c>
      <c r="M196" s="4"/>
      <c r="N196" s="4"/>
      <c r="O196" s="4"/>
      <c r="P196" s="4"/>
      <c r="Q196" s="4"/>
      <c r="R196" s="4" t="s">
        <v>551</v>
      </c>
    </row>
    <row r="197" customFormat="false" ht="93" hidden="false" customHeight="true" outlineLevel="0" collapsed="false">
      <c r="A197" s="3" t="s">
        <v>537</v>
      </c>
      <c r="B197" s="4" t="s">
        <v>54</v>
      </c>
      <c r="C197" s="4"/>
      <c r="D197" s="4" t="str">
        <f aca="false">IFERROR('SC6'!L19,"")</f>
        <v/>
      </c>
      <c r="E197" s="4"/>
      <c r="F197" s="5"/>
      <c r="G197" s="5"/>
      <c r="H197" s="6" t="str">
        <f aca="false">IF(OR(F197="",NOT(ISNUMBER(D197))),"",IF(ABS(F197-D197)&lt;0.001,"Yes","No"))</f>
        <v/>
      </c>
      <c r="I197" s="7" t="str">
        <f aca="false">IF(ISNUMBER(F197),F197,D197)</f>
        <v/>
      </c>
      <c r="J197" s="6" t="str">
        <f aca="false">IF(ISNUMBER(F197),"Expert (overrides AI)",IF(ISNUMBER(D197),"AI","Not scored yet"))</f>
        <v>Not scored yet</v>
      </c>
      <c r="K197" s="4" t="s">
        <v>20</v>
      </c>
      <c r="L197" s="4" t="s">
        <v>21</v>
      </c>
      <c r="M197" s="4" t="s">
        <v>552</v>
      </c>
      <c r="N197" s="4" t="s">
        <v>553</v>
      </c>
      <c r="O197" s="4" t="s">
        <v>554</v>
      </c>
      <c r="P197" s="4" t="s">
        <v>555</v>
      </c>
      <c r="Q197" s="4" t="s">
        <v>556</v>
      </c>
      <c r="R197" s="4" t="s">
        <v>27</v>
      </c>
    </row>
    <row r="198" customFormat="false" ht="93" hidden="false" customHeight="true" outlineLevel="0" collapsed="false">
      <c r="A198" s="3" t="s">
        <v>557</v>
      </c>
      <c r="B198" s="4" t="s">
        <v>19</v>
      </c>
      <c r="C198" s="4"/>
      <c r="D198" s="4" t="n">
        <f aca="false">IFERROR(SC7a!L13,"")</f>
        <v>3</v>
      </c>
      <c r="E198" s="4"/>
      <c r="F198" s="5"/>
      <c r="G198" s="5"/>
      <c r="H198" s="6" t="str">
        <f aca="false">IF(OR(F198="",NOT(ISNUMBER(D198))),"",IF(ABS(F198-D198)&lt;0.001,"Yes","No"))</f>
        <v/>
      </c>
      <c r="I198" s="7" t="n">
        <f aca="false">IF(ISNUMBER(F198),F198,D198)</f>
        <v>3</v>
      </c>
      <c r="J198" s="6" t="str">
        <f aca="false">IF(ISNUMBER(F198),"Expert (overrides AI)",IF(ISNUMBER(D198),"AI","Not scored yet"))</f>
        <v>AI</v>
      </c>
      <c r="K198" s="4" t="s">
        <v>20</v>
      </c>
      <c r="L198" s="4" t="s">
        <v>52</v>
      </c>
      <c r="M198" s="4"/>
      <c r="N198" s="4"/>
      <c r="O198" s="4"/>
      <c r="P198" s="4"/>
      <c r="Q198" s="4"/>
      <c r="R198" s="4" t="s">
        <v>558</v>
      </c>
    </row>
    <row r="199" customFormat="false" ht="93" hidden="false" customHeight="true" outlineLevel="0" collapsed="false">
      <c r="A199" s="3" t="s">
        <v>557</v>
      </c>
      <c r="B199" s="4" t="s">
        <v>28</v>
      </c>
      <c r="C199" s="4"/>
      <c r="D199" s="4" t="str">
        <f aca="false">IFERROR(SC7a!L14,"")</f>
        <v/>
      </c>
      <c r="E199" s="4"/>
      <c r="F199" s="5"/>
      <c r="G199" s="5"/>
      <c r="H199" s="6" t="str">
        <f aca="false">IF(OR(F199="",NOT(ISNUMBER(D199))),"",IF(ABS(F199-D199)&lt;0.001,"Yes","No"))</f>
        <v/>
      </c>
      <c r="I199" s="7" t="str">
        <f aca="false">IF(ISNUMBER(F199),F199,D199)</f>
        <v/>
      </c>
      <c r="J199" s="6" t="str">
        <f aca="false">IF(ISNUMBER(F199),"Expert (overrides AI)",IF(ISNUMBER(D199),"AI","Not scored yet"))</f>
        <v>Not scored yet</v>
      </c>
      <c r="K199" s="4" t="s">
        <v>20</v>
      </c>
      <c r="L199" s="4" t="s">
        <v>52</v>
      </c>
      <c r="M199" s="4"/>
      <c r="N199" s="4"/>
      <c r="O199" s="4"/>
      <c r="P199" s="4"/>
      <c r="Q199" s="4"/>
      <c r="R199" s="4" t="s">
        <v>559</v>
      </c>
    </row>
    <row r="200" customFormat="false" ht="93" hidden="false" customHeight="true" outlineLevel="0" collapsed="false">
      <c r="A200" s="3" t="s">
        <v>557</v>
      </c>
      <c r="B200" s="4" t="s">
        <v>34</v>
      </c>
      <c r="C200" s="4"/>
      <c r="D200" s="4" t="str">
        <f aca="false">IFERROR(SC7a!L15,"")</f>
        <v/>
      </c>
      <c r="E200" s="4"/>
      <c r="F200" s="5"/>
      <c r="G200" s="5"/>
      <c r="H200" s="6" t="str">
        <f aca="false">IF(OR(F200="",NOT(ISNUMBER(D200))),"",IF(ABS(F200-D200)&lt;0.001,"Yes","No"))</f>
        <v/>
      </c>
      <c r="I200" s="7" t="str">
        <f aca="false">IF(ISNUMBER(F200),F200,D200)</f>
        <v/>
      </c>
      <c r="J200" s="6" t="str">
        <f aca="false">IF(ISNUMBER(F200),"Expert (overrides AI)",IF(ISNUMBER(D200),"AI","Not scored yet"))</f>
        <v>Not scored yet</v>
      </c>
      <c r="K200" s="4" t="s">
        <v>20</v>
      </c>
      <c r="L200" s="4" t="s">
        <v>52</v>
      </c>
      <c r="M200" s="4"/>
      <c r="N200" s="4"/>
      <c r="O200" s="4"/>
      <c r="P200" s="4"/>
      <c r="Q200" s="4"/>
      <c r="R200" s="4" t="s">
        <v>560</v>
      </c>
    </row>
    <row r="201" customFormat="false" ht="93" hidden="false" customHeight="true" outlineLevel="0" collapsed="false">
      <c r="A201" s="3" t="s">
        <v>557</v>
      </c>
      <c r="B201" s="4" t="s">
        <v>40</v>
      </c>
      <c r="C201" s="4"/>
      <c r="D201" s="4" t="str">
        <f aca="false">IFERROR(SC7a!L16,"")</f>
        <v/>
      </c>
      <c r="E201" s="4"/>
      <c r="F201" s="5"/>
      <c r="G201" s="5"/>
      <c r="H201" s="6" t="str">
        <f aca="false">IF(OR(F201="",NOT(ISNUMBER(D201))),"",IF(ABS(F201-D201)&lt;0.001,"Yes","No"))</f>
        <v/>
      </c>
      <c r="I201" s="7" t="str">
        <f aca="false">IF(ISNUMBER(F201),F201,D201)</f>
        <v/>
      </c>
      <c r="J201" s="6" t="str">
        <f aca="false">IF(ISNUMBER(F201),"Expert (overrides AI)",IF(ISNUMBER(D201),"AI","Not scored yet"))</f>
        <v>Not scored yet</v>
      </c>
      <c r="K201" s="4" t="s">
        <v>20</v>
      </c>
      <c r="L201" s="4" t="s">
        <v>52</v>
      </c>
      <c r="M201" s="4"/>
      <c r="N201" s="4"/>
      <c r="O201" s="4"/>
      <c r="P201" s="4"/>
      <c r="Q201" s="4"/>
      <c r="R201" s="4" t="s">
        <v>561</v>
      </c>
    </row>
    <row r="202" customFormat="false" ht="93" hidden="false" customHeight="true" outlineLevel="0" collapsed="false">
      <c r="A202" s="3" t="s">
        <v>557</v>
      </c>
      <c r="B202" s="4" t="s">
        <v>45</v>
      </c>
      <c r="C202" s="4"/>
      <c r="D202" s="4" t="str">
        <f aca="false">IFERROR(SC7a!L17,"")</f>
        <v/>
      </c>
      <c r="E202" s="4"/>
      <c r="F202" s="5"/>
      <c r="G202" s="5"/>
      <c r="H202" s="6" t="str">
        <f aca="false">IF(OR(F202="",NOT(ISNUMBER(D202))),"",IF(ABS(F202-D202)&lt;0.001,"Yes","No"))</f>
        <v/>
      </c>
      <c r="I202" s="7" t="str">
        <f aca="false">IF(ISNUMBER(F202),F202,D202)</f>
        <v/>
      </c>
      <c r="J202" s="6" t="str">
        <f aca="false">IF(ISNUMBER(F202),"Expert (overrides AI)",IF(ISNUMBER(D202),"AI","Not scored yet"))</f>
        <v>Not scored yet</v>
      </c>
      <c r="K202" s="4" t="s">
        <v>20</v>
      </c>
      <c r="L202" s="4" t="s">
        <v>21</v>
      </c>
      <c r="M202" s="4" t="s">
        <v>562</v>
      </c>
      <c r="N202" s="4" t="s">
        <v>47</v>
      </c>
      <c r="O202" s="4" t="s">
        <v>48</v>
      </c>
      <c r="P202" s="4" t="s">
        <v>563</v>
      </c>
      <c r="Q202" s="4" t="s">
        <v>564</v>
      </c>
      <c r="R202" s="4" t="s">
        <v>27</v>
      </c>
    </row>
    <row r="203" customFormat="false" ht="93" hidden="false" customHeight="true" outlineLevel="0" collapsed="false">
      <c r="A203" s="3" t="s">
        <v>557</v>
      </c>
      <c r="B203" s="4" t="s">
        <v>51</v>
      </c>
      <c r="C203" s="4"/>
      <c r="D203" s="4" t="str">
        <f aca="false">IFERROR(SC7a!L18,"")</f>
        <v/>
      </c>
      <c r="E203" s="4"/>
      <c r="F203" s="5"/>
      <c r="G203" s="5"/>
      <c r="H203" s="6" t="str">
        <f aca="false">IF(OR(F203="",NOT(ISNUMBER(D203))),"",IF(ABS(F203-D203)&lt;0.001,"Yes","No"))</f>
        <v/>
      </c>
      <c r="I203" s="7" t="str">
        <f aca="false">IF(ISNUMBER(F203),F203,D203)</f>
        <v/>
      </c>
      <c r="J203" s="6" t="str">
        <f aca="false">IF(ISNUMBER(F203),"Expert (overrides AI)",IF(ISNUMBER(D203),"AI","Not scored yet"))</f>
        <v>Not scored yet</v>
      </c>
      <c r="K203" s="4" t="s">
        <v>20</v>
      </c>
      <c r="L203" s="4" t="s">
        <v>52</v>
      </c>
      <c r="M203" s="4"/>
      <c r="N203" s="4"/>
      <c r="O203" s="4"/>
      <c r="P203" s="4"/>
      <c r="Q203" s="4"/>
      <c r="R203" s="4" t="s">
        <v>565</v>
      </c>
    </row>
    <row r="204" customFormat="false" ht="93" hidden="false" customHeight="true" outlineLevel="0" collapsed="false">
      <c r="A204" s="3" t="s">
        <v>557</v>
      </c>
      <c r="B204" s="4" t="s">
        <v>54</v>
      </c>
      <c r="C204" s="4"/>
      <c r="D204" s="4" t="str">
        <f aca="false">IFERROR(SC7a!L19,"")</f>
        <v/>
      </c>
      <c r="E204" s="4"/>
      <c r="F204" s="5"/>
      <c r="G204" s="5"/>
      <c r="H204" s="6" t="str">
        <f aca="false">IF(OR(F204="",NOT(ISNUMBER(D204))),"",IF(ABS(F204-D204)&lt;0.001,"Yes","No"))</f>
        <v/>
      </c>
      <c r="I204" s="7" t="str">
        <f aca="false">IF(ISNUMBER(F204),F204,D204)</f>
        <v/>
      </c>
      <c r="J204" s="6" t="str">
        <f aca="false">IF(ISNUMBER(F204),"Expert (overrides AI)",IF(ISNUMBER(D204),"AI","Not scored yet"))</f>
        <v>Not scored yet</v>
      </c>
      <c r="K204" s="4" t="s">
        <v>20</v>
      </c>
      <c r="L204" s="4" t="s">
        <v>52</v>
      </c>
      <c r="M204" s="4"/>
      <c r="N204" s="4"/>
      <c r="O204" s="4"/>
      <c r="P204" s="4"/>
      <c r="Q204" s="4"/>
      <c r="R204" s="4" t="s">
        <v>566</v>
      </c>
    </row>
    <row r="205" customFormat="false" ht="93" hidden="false" customHeight="true" outlineLevel="0" collapsed="false">
      <c r="A205" s="3" t="s">
        <v>567</v>
      </c>
      <c r="B205" s="4" t="s">
        <v>19</v>
      </c>
      <c r="C205" s="4"/>
      <c r="D205" s="4" t="str">
        <f aca="false">IFERROR(SC7b!L13,"")</f>
        <v/>
      </c>
      <c r="E205" s="4"/>
      <c r="F205" s="5"/>
      <c r="G205" s="5"/>
      <c r="H205" s="6" t="str">
        <f aca="false">IF(OR(F205="",NOT(ISNUMBER(D205))),"",IF(ABS(F205-D205)&lt;0.001,"Yes","No"))</f>
        <v/>
      </c>
      <c r="I205" s="7" t="str">
        <f aca="false">IF(ISNUMBER(F205),F205,D205)</f>
        <v/>
      </c>
      <c r="J205" s="6" t="str">
        <f aca="false">IF(ISNUMBER(F205),"Expert (overrides AI)",IF(ISNUMBER(D205),"AI","Not scored yet"))</f>
        <v>Not scored yet</v>
      </c>
      <c r="K205" s="4" t="s">
        <v>20</v>
      </c>
      <c r="L205" s="4" t="s">
        <v>52</v>
      </c>
      <c r="M205" s="4"/>
      <c r="N205" s="4"/>
      <c r="O205" s="4"/>
      <c r="P205" s="4"/>
      <c r="Q205" s="4"/>
      <c r="R205" s="4" t="s">
        <v>568</v>
      </c>
    </row>
    <row r="206" customFormat="false" ht="93" hidden="false" customHeight="true" outlineLevel="0" collapsed="false">
      <c r="A206" s="3" t="s">
        <v>567</v>
      </c>
      <c r="B206" s="4" t="s">
        <v>28</v>
      </c>
      <c r="C206" s="4"/>
      <c r="D206" s="4" t="str">
        <f aca="false">IFERROR(SC7b!L14,"")</f>
        <v/>
      </c>
      <c r="E206" s="4"/>
      <c r="F206" s="5"/>
      <c r="G206" s="5"/>
      <c r="H206" s="6" t="str">
        <f aca="false">IF(OR(F206="",NOT(ISNUMBER(D206))),"",IF(ABS(F206-D206)&lt;0.001,"Yes","No"))</f>
        <v/>
      </c>
      <c r="I206" s="7" t="str">
        <f aca="false">IF(ISNUMBER(F206),F206,D206)</f>
        <v/>
      </c>
      <c r="J206" s="6" t="str">
        <f aca="false">IF(ISNUMBER(F206),"Expert (overrides AI)",IF(ISNUMBER(D206),"AI","Not scored yet"))</f>
        <v>Not scored yet</v>
      </c>
      <c r="K206" s="4" t="s">
        <v>20</v>
      </c>
      <c r="L206" s="4" t="s">
        <v>52</v>
      </c>
      <c r="M206" s="4"/>
      <c r="N206" s="4"/>
      <c r="O206" s="4"/>
      <c r="P206" s="4"/>
      <c r="Q206" s="4"/>
      <c r="R206" s="4" t="s">
        <v>569</v>
      </c>
    </row>
    <row r="207" customFormat="false" ht="93" hidden="false" customHeight="true" outlineLevel="0" collapsed="false">
      <c r="A207" s="3" t="s">
        <v>567</v>
      </c>
      <c r="B207" s="4" t="s">
        <v>34</v>
      </c>
      <c r="C207" s="4"/>
      <c r="D207" s="4" t="str">
        <f aca="false">IFERROR(SC7b!L15,"")</f>
        <v/>
      </c>
      <c r="E207" s="4"/>
      <c r="F207" s="5"/>
      <c r="G207" s="5"/>
      <c r="H207" s="6" t="str">
        <f aca="false">IF(OR(F207="",NOT(ISNUMBER(D207))),"",IF(ABS(F207-D207)&lt;0.001,"Yes","No"))</f>
        <v/>
      </c>
      <c r="I207" s="7" t="str">
        <f aca="false">IF(ISNUMBER(F207),F207,D207)</f>
        <v/>
      </c>
      <c r="J207" s="6" t="str">
        <f aca="false">IF(ISNUMBER(F207),"Expert (overrides AI)",IF(ISNUMBER(D207),"AI","Not scored yet"))</f>
        <v>Not scored yet</v>
      </c>
      <c r="K207" s="4" t="s">
        <v>20</v>
      </c>
      <c r="L207" s="4" t="s">
        <v>52</v>
      </c>
      <c r="M207" s="4"/>
      <c r="N207" s="4"/>
      <c r="O207" s="4"/>
      <c r="P207" s="4"/>
      <c r="Q207" s="4"/>
      <c r="R207" s="4" t="s">
        <v>570</v>
      </c>
    </row>
    <row r="208" customFormat="false" ht="93" hidden="false" customHeight="true" outlineLevel="0" collapsed="false">
      <c r="A208" s="3" t="s">
        <v>567</v>
      </c>
      <c r="B208" s="4" t="s">
        <v>40</v>
      </c>
      <c r="C208" s="4"/>
      <c r="D208" s="4" t="str">
        <f aca="false">IFERROR(SC7b!L16,"")</f>
        <v/>
      </c>
      <c r="E208" s="4"/>
      <c r="F208" s="5"/>
      <c r="G208" s="5"/>
      <c r="H208" s="6" t="str">
        <f aca="false">IF(OR(F208="",NOT(ISNUMBER(D208))),"",IF(ABS(F208-D208)&lt;0.001,"Yes","No"))</f>
        <v/>
      </c>
      <c r="I208" s="7" t="str">
        <f aca="false">IF(ISNUMBER(F208),F208,D208)</f>
        <v/>
      </c>
      <c r="J208" s="6" t="str">
        <f aca="false">IF(ISNUMBER(F208),"Expert (overrides AI)",IF(ISNUMBER(D208),"AI","Not scored yet"))</f>
        <v>Not scored yet</v>
      </c>
      <c r="K208" s="4" t="s">
        <v>20</v>
      </c>
      <c r="L208" s="4" t="s">
        <v>52</v>
      </c>
      <c r="M208" s="4"/>
      <c r="N208" s="4"/>
      <c r="O208" s="4"/>
      <c r="P208" s="4"/>
      <c r="Q208" s="4"/>
      <c r="R208" s="4" t="s">
        <v>571</v>
      </c>
    </row>
    <row r="209" customFormat="false" ht="93" hidden="false" customHeight="true" outlineLevel="0" collapsed="false">
      <c r="A209" s="3" t="s">
        <v>567</v>
      </c>
      <c r="B209" s="4" t="s">
        <v>45</v>
      </c>
      <c r="C209" s="4"/>
      <c r="D209" s="4" t="str">
        <f aca="false">IFERROR(SC7b!L17,"")</f>
        <v/>
      </c>
      <c r="E209" s="4"/>
      <c r="F209" s="5"/>
      <c r="G209" s="5"/>
      <c r="H209" s="6" t="str">
        <f aca="false">IF(OR(F209="",NOT(ISNUMBER(D209))),"",IF(ABS(F209-D209)&lt;0.001,"Yes","No"))</f>
        <v/>
      </c>
      <c r="I209" s="7" t="str">
        <f aca="false">IF(ISNUMBER(F209),F209,D209)</f>
        <v/>
      </c>
      <c r="J209" s="6" t="str">
        <f aca="false">IF(ISNUMBER(F209),"Expert (overrides AI)",IF(ISNUMBER(D209),"AI","Not scored yet"))</f>
        <v>Not scored yet</v>
      </c>
      <c r="K209" s="4" t="s">
        <v>20</v>
      </c>
      <c r="L209" s="4" t="s">
        <v>21</v>
      </c>
      <c r="M209" s="4" t="s">
        <v>572</v>
      </c>
      <c r="N209" s="4" t="s">
        <v>47</v>
      </c>
      <c r="O209" s="4" t="s">
        <v>48</v>
      </c>
      <c r="P209" s="4" t="s">
        <v>563</v>
      </c>
      <c r="Q209" s="4" t="s">
        <v>573</v>
      </c>
      <c r="R209" s="4" t="s">
        <v>27</v>
      </c>
    </row>
    <row r="210" customFormat="false" ht="93" hidden="false" customHeight="true" outlineLevel="0" collapsed="false">
      <c r="A210" s="3" t="s">
        <v>567</v>
      </c>
      <c r="B210" s="4" t="s">
        <v>51</v>
      </c>
      <c r="C210" s="4"/>
      <c r="D210" s="4" t="str">
        <f aca="false">IFERROR(SC7b!L18,"")</f>
        <v/>
      </c>
      <c r="E210" s="4"/>
      <c r="F210" s="5"/>
      <c r="G210" s="5"/>
      <c r="H210" s="6" t="str">
        <f aca="false">IF(OR(F210="",NOT(ISNUMBER(D210))),"",IF(ABS(F210-D210)&lt;0.001,"Yes","No"))</f>
        <v/>
      </c>
      <c r="I210" s="7" t="str">
        <f aca="false">IF(ISNUMBER(F210),F210,D210)</f>
        <v/>
      </c>
      <c r="J210" s="6" t="str">
        <f aca="false">IF(ISNUMBER(F210),"Expert (overrides AI)",IF(ISNUMBER(D210),"AI","Not scored yet"))</f>
        <v>Not scored yet</v>
      </c>
      <c r="K210" s="4" t="s">
        <v>20</v>
      </c>
      <c r="L210" s="4" t="s">
        <v>52</v>
      </c>
      <c r="M210" s="4"/>
      <c r="N210" s="4"/>
      <c r="O210" s="4"/>
      <c r="P210" s="4"/>
      <c r="Q210" s="4"/>
      <c r="R210" s="4" t="s">
        <v>574</v>
      </c>
    </row>
    <row r="211" customFormat="false" ht="93" hidden="false" customHeight="true" outlineLevel="0" collapsed="false">
      <c r="A211" s="3" t="s">
        <v>567</v>
      </c>
      <c r="B211" s="4" t="s">
        <v>54</v>
      </c>
      <c r="C211" s="4"/>
      <c r="D211" s="4" t="str">
        <f aca="false">IFERROR(SC7b!L19,"")</f>
        <v/>
      </c>
      <c r="E211" s="4"/>
      <c r="F211" s="5"/>
      <c r="G211" s="5"/>
      <c r="H211" s="6" t="str">
        <f aca="false">IF(OR(F211="",NOT(ISNUMBER(D211))),"",IF(ABS(F211-D211)&lt;0.001,"Yes","No"))</f>
        <v/>
      </c>
      <c r="I211" s="7" t="str">
        <f aca="false">IF(ISNUMBER(F211),F211,D211)</f>
        <v/>
      </c>
      <c r="J211" s="6" t="str">
        <f aca="false">IF(ISNUMBER(F211),"Expert (overrides AI)",IF(ISNUMBER(D211),"AI","Not scored yet"))</f>
        <v>Not scored yet</v>
      </c>
      <c r="K211" s="4" t="s">
        <v>20</v>
      </c>
      <c r="L211" s="4" t="s">
        <v>52</v>
      </c>
      <c r="M211" s="4"/>
      <c r="N211" s="4"/>
      <c r="O211" s="4"/>
      <c r="P211" s="4"/>
      <c r="Q211" s="4"/>
      <c r="R211" s="4" t="s">
        <v>575</v>
      </c>
    </row>
  </sheetData>
  <autoFilter ref="A1:R211"/>
  <conditionalFormatting sqref="I2:J211">
    <cfRule type="expression" priority="2" aboveAverage="0" equalAverage="0" bottom="0" percent="0" rank="0" text="" dxfId="7">
      <formula>$J2="Expert (overrides AI)"</formula>
    </cfRule>
  </conditionalFormatting>
  <conditionalFormatting sqref="K2:K211">
    <cfRule type="expression" priority="3" aboveAverage="0" equalAverage="0" bottom="0" percent="0" rank="0" text="" dxfId="8">
      <formula>$K2="Left for a person"</formula>
    </cfRule>
  </conditionalFormatting>
  <conditionalFormatting sqref="H2:H211">
    <cfRule type="expression" priority="4" aboveAverage="0" equalAverage="0" bottom="0" percent="0" rank="0" text="" dxfId="9">
      <formula>$H2="No"</formula>
    </cfRule>
  </conditionalFormatting>
  <hyperlinks>
    <hyperlink ref="A2" location="'UPD1a'!A1" display="UPD1a"/>
    <hyperlink ref="A3" location="'UPD1a'!A1" display="UPD1a"/>
    <hyperlink ref="A4" location="'UPD1a'!A1" display="UPD1a"/>
    <hyperlink ref="A5" location="'UPD1a'!A1" display="UPD1a"/>
    <hyperlink ref="A6" location="'UPD1a'!A1" display="UPD1a"/>
    <hyperlink ref="A7" location="'UPD1a'!A1" display="UPD1a"/>
    <hyperlink ref="A8" location="'UPD1a'!A1" display="UPD1a"/>
    <hyperlink ref="A9" location="'UPD1b'!A1" display="UPD1b"/>
    <hyperlink ref="A10" location="'UPD1b'!A1" display="UPD1b"/>
    <hyperlink ref="A11" location="'UPD1b'!A1" display="UPD1b"/>
    <hyperlink ref="A12" location="'UPD1b'!A1" display="UPD1b"/>
    <hyperlink ref="A13" location="'UPD1b'!A1" display="UPD1b"/>
    <hyperlink ref="A14" location="'UPD1b'!A1" display="UPD1b"/>
    <hyperlink ref="A15" location="'UPD1b'!A1" display="UPD1b"/>
    <hyperlink ref="A16" location="'UPD2a'!A1" display="UPD2a"/>
    <hyperlink ref="A17" location="'UPD2b'!A1" display="UPD2b"/>
    <hyperlink ref="A18" location="'UPD2c'!A1" display="UPD2c"/>
    <hyperlink ref="A19" location="'UPD2d'!A1" display="UPD2d"/>
    <hyperlink ref="A20" location="'UPD3a'!A1" display="UPD3a"/>
    <hyperlink ref="A21" location="'UPD3b'!A1" display="UPD3b"/>
    <hyperlink ref="A22" location="'UPD4a'!A1" display="UPD4a"/>
    <hyperlink ref="A23" location="'UPD4b'!A1" display="UPD4b"/>
    <hyperlink ref="A24" location="'UPD5a'!A1" display="UPD5a"/>
    <hyperlink ref="A25" location="'UPD5b'!A1" display="UPD5b"/>
    <hyperlink ref="A26" location="'UPD6a'!A1" display="UPD6a"/>
    <hyperlink ref="A27" location="'UPD6b'!A1" display="UPD6b"/>
    <hyperlink ref="A28" location="'DPG1a'!A1" display="DPG1a"/>
    <hyperlink ref="A29" location="'DPG1a'!A1" display="DPG1a"/>
    <hyperlink ref="A30" location="'DPG1a'!A1" display="DPG1a"/>
    <hyperlink ref="A31" location="'DPG1a'!A1" display="DPG1a"/>
    <hyperlink ref="A32" location="'DPG1a'!A1" display="DPG1a"/>
    <hyperlink ref="A33" location="'DPG1a'!A1" display="DPG1a"/>
    <hyperlink ref="A34" location="'DPG1a'!A1" display="DPG1a"/>
    <hyperlink ref="A35" location="'DPG1b'!A1" display="DPG1b"/>
    <hyperlink ref="A36" location="'DPG1b'!A1" display="DPG1b"/>
    <hyperlink ref="A37" location="'DPG1b'!A1" display="DPG1b"/>
    <hyperlink ref="A38" location="'DPG1b'!A1" display="DPG1b"/>
    <hyperlink ref="A39" location="'DPG1b'!A1" display="DPG1b"/>
    <hyperlink ref="A40" location="'DPG1b'!A1" display="DPG1b"/>
    <hyperlink ref="A41" location="'DPG1b'!A1" display="DPG1b"/>
    <hyperlink ref="A42" location="'DPG2a'!A1" display="DPG2a"/>
    <hyperlink ref="A43" location="'DPG2a'!A1" display="DPG2a"/>
    <hyperlink ref="A44" location="'DPG2a'!A1" display="DPG2a"/>
    <hyperlink ref="A45" location="'DPG2a'!A1" display="DPG2a"/>
    <hyperlink ref="A46" location="'DPG2a'!A1" display="DPG2a"/>
    <hyperlink ref="A47" location="'DPG2a'!A1" display="DPG2a"/>
    <hyperlink ref="A48" location="'DPG2a'!A1" display="DPG2a"/>
    <hyperlink ref="A49" location="'DPG2b'!A1" display="DPG2b"/>
    <hyperlink ref="A50" location="'DPG2b'!A1" display="DPG2b"/>
    <hyperlink ref="A51" location="'DPG2b'!A1" display="DPG2b"/>
    <hyperlink ref="A52" location="'DPG2b'!A1" display="DPG2b"/>
    <hyperlink ref="A53" location="'DPG2b'!A1" display="DPG2b"/>
    <hyperlink ref="A54" location="'DPG2b'!A1" display="DPG2b"/>
    <hyperlink ref="A55" location="'DPG2b'!A1" display="DPG2b"/>
    <hyperlink ref="A56" location="'DPG4'!A1" display="DPG4"/>
    <hyperlink ref="A57" location="'DPG4'!A1" display="DPG4"/>
    <hyperlink ref="A58" location="'DPG4'!A1" display="DPG4"/>
    <hyperlink ref="A59" location="'DPG4'!A1" display="DPG4"/>
    <hyperlink ref="A60" location="'DPG4'!A1" display="DPG4"/>
    <hyperlink ref="A61" location="'DPG4'!A1" display="DPG4"/>
    <hyperlink ref="A62" location="'DPG4'!A1" display="DPG4"/>
    <hyperlink ref="A63" location="'DPG5a'!A1" display="DPG5a"/>
    <hyperlink ref="A64" location="'DPG5a'!A1" display="DPG5a"/>
    <hyperlink ref="A65" location="'DPG5a'!A1" display="DPG5a"/>
    <hyperlink ref="A66" location="'DPG5a'!A1" display="DPG5a"/>
    <hyperlink ref="A67" location="'DPG5a'!A1" display="DPG5a"/>
    <hyperlink ref="A68" location="'DPG5a'!A1" display="DPG5a"/>
    <hyperlink ref="A69" location="'DPG5a'!A1" display="DPG5a"/>
    <hyperlink ref="A70" location="'DPG5b'!A1" display="DPG5b"/>
    <hyperlink ref="A71" location="'DPG5b'!A1" display="DPG5b"/>
    <hyperlink ref="A72" location="'DPG5b'!A1" display="DPG5b"/>
    <hyperlink ref="A73" location="'DPG5b'!A1" display="DPG5b"/>
    <hyperlink ref="A74" location="'DPG5b'!A1" display="DPG5b"/>
    <hyperlink ref="A75" location="'DPG5b'!A1" display="DPG5b"/>
    <hyperlink ref="A76" location="'DPG5b'!A1" display="DPG5b"/>
    <hyperlink ref="A77" location="'DPG5c'!A1" display="DPG5c"/>
    <hyperlink ref="A78" location="'DPG5c'!A1" display="DPG5c"/>
    <hyperlink ref="A79" location="'DPG5c'!A1" display="DPG5c"/>
    <hyperlink ref="A80" location="'DPG5c'!A1" display="DPG5c"/>
    <hyperlink ref="A81" location="'DPG5c'!A1" display="DPG5c"/>
    <hyperlink ref="A82" location="'DPG5c'!A1" display="DPG5c"/>
    <hyperlink ref="A83" location="'DPG5c'!A1" display="DPG5c"/>
    <hyperlink ref="A84" location="'DPG5d'!A1" display="DPG5d"/>
    <hyperlink ref="A85" location="'DPG5d'!A1" display="DPG5d"/>
    <hyperlink ref="A86" location="'DPG5d'!A1" display="DPG5d"/>
    <hyperlink ref="A87" location="'DPG5d'!A1" display="DPG5d"/>
    <hyperlink ref="A88" location="'DPG5d'!A1" display="DPG5d"/>
    <hyperlink ref="A89" location="'DPG5d'!A1" display="DPG5d"/>
    <hyperlink ref="A90" location="'DPG5d'!A1" display="DPG5d"/>
    <hyperlink ref="A91" location="'DPG5f'!A1" display="DPG5f"/>
    <hyperlink ref="A92" location="'DPG5f'!A1" display="DPG5f"/>
    <hyperlink ref="A93" location="'DPG5f'!A1" display="DPG5f"/>
    <hyperlink ref="A94" location="'DPG5f'!A1" display="DPG5f"/>
    <hyperlink ref="A95" location="'DPG5f'!A1" display="DPG5f"/>
    <hyperlink ref="A96" location="'DPG5f'!A1" display="DPG5f"/>
    <hyperlink ref="A97" location="'DPG5f'!A1" display="DPG5f"/>
    <hyperlink ref="A98" location="'DPG5g'!A1" display="DPG5g"/>
    <hyperlink ref="A99" location="'DPG5g'!A1" display="DPG5g"/>
    <hyperlink ref="A100" location="'DPG5g'!A1" display="DPG5g"/>
    <hyperlink ref="A101" location="'DPG5g'!A1" display="DPG5g"/>
    <hyperlink ref="A102" location="'DPG5g'!A1" display="DPG5g"/>
    <hyperlink ref="A103" location="'DPG5g'!A1" display="DPG5g"/>
    <hyperlink ref="A104" location="'DPG5g'!A1" display="DPG5g"/>
    <hyperlink ref="A105" location="'DPG5h'!A1" display="DPG5h"/>
    <hyperlink ref="A106" location="'DPG5h'!A1" display="DPG5h"/>
    <hyperlink ref="A107" location="'DPG5h'!A1" display="DPG5h"/>
    <hyperlink ref="A108" location="'DPG5h'!A1" display="DPG5h"/>
    <hyperlink ref="A109" location="'DPG5h'!A1" display="DPG5h"/>
    <hyperlink ref="A110" location="'DPG5h'!A1" display="DPG5h"/>
    <hyperlink ref="A111" location="'DPG5h'!A1" display="DPG5h"/>
    <hyperlink ref="A112" location="'DPG5i'!A1" display="DPG5i"/>
    <hyperlink ref="A113" location="'DPG5i'!A1" display="DPG5i"/>
    <hyperlink ref="A114" location="'DPG5i'!A1" display="DPG5i"/>
    <hyperlink ref="A115" location="'DPG5i'!A1" display="DPG5i"/>
    <hyperlink ref="A116" location="'DPG5i'!A1" display="DPG5i"/>
    <hyperlink ref="A117" location="'DPG5i'!A1" display="DPG5i"/>
    <hyperlink ref="A118" location="'DPG5i'!A1" display="DPG5i"/>
    <hyperlink ref="A119" location="'DPG5j'!A1" display="DPG5j"/>
    <hyperlink ref="A120" location="'DPG5j'!A1" display="DPG5j"/>
    <hyperlink ref="A121" location="'DPG5j'!A1" display="DPG5j"/>
    <hyperlink ref="A122" location="'DPG5j'!A1" display="DPG5j"/>
    <hyperlink ref="A123" location="'DPG5j'!A1" display="DPG5j"/>
    <hyperlink ref="A124" location="'DPG5j'!A1" display="DPG5j"/>
    <hyperlink ref="A125" location="'DPG5j'!A1" display="DPG5j"/>
    <hyperlink ref="A126" location="'DPG5k'!A1" display="DPG5k"/>
    <hyperlink ref="A127" location="'DPG5k'!A1" display="DPG5k"/>
    <hyperlink ref="A128" location="'DPG5k'!A1" display="DPG5k"/>
    <hyperlink ref="A129" location="'DPG5k'!A1" display="DPG5k"/>
    <hyperlink ref="A130" location="'DPG5k'!A1" display="DPG5k"/>
    <hyperlink ref="A131" location="'DPG5k'!A1" display="DPG5k"/>
    <hyperlink ref="A132" location="'DPG5k'!A1" display="DPG5k"/>
    <hyperlink ref="A133" location="'DPG6a'!A1" display="DPG6a"/>
    <hyperlink ref="A134" location="'DPG6a'!A1" display="DPG6a"/>
    <hyperlink ref="A135" location="'DPG6a'!A1" display="DPG6a"/>
    <hyperlink ref="A136" location="'DPG6a'!A1" display="DPG6a"/>
    <hyperlink ref="A137" location="'DPG6a'!A1" display="DPG6a"/>
    <hyperlink ref="A138" location="'DPG6a'!A1" display="DPG6a"/>
    <hyperlink ref="A139" location="'DPG6a'!A1" display="DPG6a"/>
    <hyperlink ref="A140" location="'DPG6b'!A1" display="DPG6b"/>
    <hyperlink ref="A141" location="'DPG6b'!A1" display="DPG6b"/>
    <hyperlink ref="A142" location="'DPG6b'!A1" display="DPG6b"/>
    <hyperlink ref="A143" location="'DPG6b'!A1" display="DPG6b"/>
    <hyperlink ref="A144" location="'DPG6b'!A1" display="DPG6b"/>
    <hyperlink ref="A145" location="'DPG6b'!A1" display="DPG6b"/>
    <hyperlink ref="A146" location="'DPG6b'!A1" display="DPG6b"/>
    <hyperlink ref="A147" location="'DPG7a'!A1" display="DPG7a"/>
    <hyperlink ref="A148" location="'DPG7a'!A1" display="DPG7a"/>
    <hyperlink ref="A149" location="'DPG7a'!A1" display="DPG7a"/>
    <hyperlink ref="A150" location="'DPG7a'!A1" display="DPG7a"/>
    <hyperlink ref="A151" location="'DPG7b'!A1" display="DPG7b"/>
    <hyperlink ref="A152" location="'DPG7b'!A1" display="DPG7b"/>
    <hyperlink ref="A153" location="'DPG7b'!A1" display="DPG7b"/>
    <hyperlink ref="A154" location="'DPG7b'!A1" display="DPG7b"/>
    <hyperlink ref="A155" location="'SC1'!A1" display="SC1"/>
    <hyperlink ref="A156" location="'SC1'!A1" display="SC1"/>
    <hyperlink ref="A157" location="'SC1'!A1" display="SC1"/>
    <hyperlink ref="A158" location="'SC2'!A1" display="SC2"/>
    <hyperlink ref="A159" location="'SC2'!A1" display="SC2"/>
    <hyperlink ref="A160" location="'SC2'!A1" display="SC2"/>
    <hyperlink ref="A161" location="'SC2'!A1" display="SC2"/>
    <hyperlink ref="A162" location="'SC2'!A1" display="SC2"/>
    <hyperlink ref="A163" location="'SC3'!A1" display="SC3"/>
    <hyperlink ref="A164" location="'SC3'!A1" display="SC3"/>
    <hyperlink ref="A165" location="'SC3'!A1" display="SC3"/>
    <hyperlink ref="A166" location="'SC3'!A1" display="SC3"/>
    <hyperlink ref="A167" location="'SC3'!A1" display="SC3"/>
    <hyperlink ref="A168" location="'SC3'!A1" display="SC3"/>
    <hyperlink ref="A169" location="'SC3'!A1" display="SC3"/>
    <hyperlink ref="A170" location="'SC4a'!A1" display="SC4a"/>
    <hyperlink ref="A171" location="'SC4a'!A1" display="SC4a"/>
    <hyperlink ref="A172" location="'SC4a'!A1" display="SC4a"/>
    <hyperlink ref="A173" location="'SC4a'!A1" display="SC4a"/>
    <hyperlink ref="A174" location="'SC4a'!A1" display="SC4a"/>
    <hyperlink ref="A175" location="'SC4a'!A1" display="SC4a"/>
    <hyperlink ref="A176" location="'SC4a'!A1" display="SC4a"/>
    <hyperlink ref="A177" location="'SC4b'!A1" display="SC4b"/>
    <hyperlink ref="A178" location="'SC4b'!A1" display="SC4b"/>
    <hyperlink ref="A179" location="'SC4b'!A1" display="SC4b"/>
    <hyperlink ref="A180" location="'SC4b'!A1" display="SC4b"/>
    <hyperlink ref="A181" location="'SC4b'!A1" display="SC4b"/>
    <hyperlink ref="A182" location="'SC4b'!A1" display="SC4b"/>
    <hyperlink ref="A183" location="'SC4b'!A1" display="SC4b"/>
    <hyperlink ref="A184" location="'SC5'!A1" display="SC5"/>
    <hyperlink ref="A185" location="'SC5'!A1" display="SC5"/>
    <hyperlink ref="A186" location="'SC5'!A1" display="SC5"/>
    <hyperlink ref="A187" location="'SC5'!A1" display="SC5"/>
    <hyperlink ref="A188" location="'SC5'!A1" display="SC5"/>
    <hyperlink ref="A189" location="'SC5'!A1" display="SC5"/>
    <hyperlink ref="A190" location="'SC5'!A1" display="SC5"/>
    <hyperlink ref="A191" location="'SC6'!A1" display="SC6"/>
    <hyperlink ref="A192" location="'SC6'!A1" display="SC6"/>
    <hyperlink ref="A193" location="'SC6'!A1" display="SC6"/>
    <hyperlink ref="A194" location="'SC6'!A1" display="SC6"/>
    <hyperlink ref="A195" location="'SC6'!A1" display="SC6"/>
    <hyperlink ref="A196" location="'SC6'!A1" display="SC6"/>
    <hyperlink ref="A197" location="'SC6'!A1" display="SC6"/>
    <hyperlink ref="A198" location="'SC7a'!A1" display="SC7a"/>
    <hyperlink ref="A199" location="'SC7a'!A1" display="SC7a"/>
    <hyperlink ref="A200" location="'SC7a'!A1" display="SC7a"/>
    <hyperlink ref="A201" location="'SC7a'!A1" display="SC7a"/>
    <hyperlink ref="A202" location="'SC7a'!A1" display="SC7a"/>
    <hyperlink ref="A203" location="'SC7a'!A1" display="SC7a"/>
    <hyperlink ref="A204" location="'SC7a'!A1" display="SC7a"/>
    <hyperlink ref="A205" location="'SC7b'!A1" display="SC7b"/>
    <hyperlink ref="A206" location="'SC7b'!A1" display="SC7b"/>
    <hyperlink ref="A207" location="'SC7b'!A1" display="SC7b"/>
    <hyperlink ref="A208" location="'SC7b'!A1" display="SC7b"/>
    <hyperlink ref="A209" location="'SC7b'!A1" display="SC7b"/>
    <hyperlink ref="A210" location="'SC7b'!A1" display="SC7b"/>
    <hyperlink ref="A211" location="'SC7b'!A1" display="SC7b"/>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8" width="120"/>
  </cols>
  <sheetData>
    <row r="1" customFormat="false" ht="17.25" hidden="false" customHeight="true" outlineLevel="0" collapsed="false">
      <c r="A1" s="9" t="s">
        <v>576</v>
      </c>
    </row>
    <row r="2" customFormat="false" ht="15" hidden="false" customHeight="true" outlineLevel="0" collapsed="false">
      <c r="A2" s="4"/>
    </row>
    <row r="3" customFormat="false" ht="15" hidden="false" customHeight="true" outlineLevel="0" collapsed="false">
      <c r="A3" s="4" t="s">
        <v>577</v>
      </c>
    </row>
    <row r="4" customFormat="false" ht="23.25" hidden="false" customHeight="true" outlineLevel="0" collapsed="false">
      <c r="A4" s="4" t="s">
        <v>578</v>
      </c>
    </row>
    <row r="5" customFormat="false" ht="23.25" hidden="false" customHeight="true" outlineLevel="0" collapsed="false">
      <c r="A5" s="4" t="s">
        <v>579</v>
      </c>
    </row>
    <row r="6" customFormat="false" ht="15" hidden="false" customHeight="true" outlineLevel="0" collapsed="false">
      <c r="A6" s="4" t="s">
        <v>580</v>
      </c>
    </row>
    <row r="7" customFormat="false" ht="15" hidden="false" customHeight="true" outlineLevel="0" collapsed="false">
      <c r="A7" s="4"/>
    </row>
    <row r="8" customFormat="false" ht="15" hidden="false" customHeight="true" outlineLevel="0" collapsed="false">
      <c r="A8" s="4" t="s">
        <v>581</v>
      </c>
    </row>
    <row r="9" customFormat="false" ht="15" hidden="false" customHeight="true" outlineLevel="0" collapsed="false">
      <c r="A9" s="4" t="s">
        <v>582</v>
      </c>
    </row>
    <row r="10" customFormat="false" ht="15" hidden="false" customHeight="true" outlineLevel="0" collapsed="false">
      <c r="A10" s="4" t="s">
        <v>583</v>
      </c>
    </row>
    <row r="11" customFormat="false" ht="15" hidden="false" customHeight="true" outlineLevel="0" collapsed="false">
      <c r="A11" s="4" t="s">
        <v>584</v>
      </c>
    </row>
    <row r="12" customFormat="false" ht="15" hidden="false" customHeight="true" outlineLevel="0" collapsed="false">
      <c r="A12" s="4" t="s">
        <v>585</v>
      </c>
    </row>
    <row r="13" customFormat="false" ht="15" hidden="false" customHeight="true" outlineLevel="0" collapsed="false">
      <c r="A13" s="4" t="s">
        <v>586</v>
      </c>
    </row>
    <row r="14" customFormat="false" ht="15" hidden="false" customHeight="true" outlineLevel="0" collapsed="false">
      <c r="A14" s="4" t="s">
        <v>587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6" ySplit="2" topLeftCell="G3" activePane="bottomRight" state="frozen"/>
      <selection pane="topLeft" activeCell="A1" activeCellId="0" sqref="A1"/>
      <selection pane="topRight" activeCell="G1" activeCellId="0" sqref="G1"/>
      <selection pane="bottomLeft" activeCell="A3" activeCellId="0" sqref="A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8" width="14"/>
    <col collapsed="false" customWidth="true" hidden="false" outlineLevel="0" max="2" min="2" style="8" width="24"/>
    <col collapsed="false" customWidth="true" hidden="false" outlineLevel="0" max="4" min="4" style="8" width="50"/>
    <col collapsed="false" customWidth="true" hidden="false" outlineLevel="0" max="5" min="5" style="8" width="18"/>
  </cols>
  <sheetData>
    <row r="1" customFormat="false" ht="39" hidden="false" customHeight="true" outlineLevel="0" collapsed="false">
      <c r="A1" s="1" t="s">
        <v>588</v>
      </c>
      <c r="B1" s="1" t="s">
        <v>589</v>
      </c>
      <c r="C1" s="1" t="s">
        <v>590</v>
      </c>
      <c r="D1" s="1" t="s">
        <v>0</v>
      </c>
      <c r="E1" s="1" t="s">
        <v>591</v>
      </c>
      <c r="F1" s="1" t="s">
        <v>592</v>
      </c>
      <c r="G1" s="1" t="s">
        <v>19</v>
      </c>
      <c r="H1" s="1" t="s">
        <v>28</v>
      </c>
      <c r="I1" s="1" t="s">
        <v>34</v>
      </c>
      <c r="J1" s="1" t="s">
        <v>40</v>
      </c>
      <c r="K1" s="1" t="s">
        <v>45</v>
      </c>
      <c r="L1" s="1" t="s">
        <v>51</v>
      </c>
      <c r="M1" s="1" t="s">
        <v>54</v>
      </c>
    </row>
    <row r="2" customFormat="false" ht="15" hidden="false" customHeight="true" outlineLevel="0" collapsed="false">
      <c r="A2" s="8" t="s">
        <v>593</v>
      </c>
      <c r="B2" s="8" t="s">
        <v>594</v>
      </c>
      <c r="C2" s="8" t="s">
        <v>594</v>
      </c>
      <c r="D2" s="8" t="s">
        <v>594</v>
      </c>
      <c r="E2" s="8" t="s">
        <v>594</v>
      </c>
      <c r="F2" s="8" t="s">
        <v>594</v>
      </c>
      <c r="G2" s="8" t="s">
        <v>594</v>
      </c>
      <c r="H2" s="8" t="s">
        <v>594</v>
      </c>
      <c r="I2" s="8" t="s">
        <v>594</v>
      </c>
      <c r="J2" s="8" t="s">
        <v>594</v>
      </c>
      <c r="K2" s="8" t="s">
        <v>594</v>
      </c>
      <c r="L2" s="8" t="s">
        <v>594</v>
      </c>
      <c r="M2" s="8" t="s">
        <v>594</v>
      </c>
    </row>
    <row r="3" customFormat="false" ht="15" hidden="false" customHeight="true" outlineLevel="0" collapsed="false">
      <c r="A3" s="10" t="s">
        <v>595</v>
      </c>
      <c r="B3" s="10" t="str">
        <f aca="false">VLOOKUP($A3,'PARASTATAL Questions'!$A:$J,3,0)&amp;""</f>
        <v>Urban Planning &amp; Design (UPD)</v>
      </c>
      <c r="C3" s="10" t="str">
        <f aca="false">VLOOKUP($A3,'PARASTATAL Questions'!$A:$J,4,0)&amp;""</f>
        <v>MQ</v>
      </c>
      <c r="D3" s="10" t="str">
        <f aca="false">VLOOKUP($A3,'PARASTATAL Questions'!$A:$J,5,0)&amp;""</f>
        <v>Does the parastatal coordinate with the ULG(s) in preparing its spatial and/or sectoral plans?</v>
      </c>
      <c r="E3" s="10" t="str">
        <f aca="false">VLOOKUP($A3,'PARASTATAL Questions'!$A:$J,7,0)&amp;""</f>
        <v/>
      </c>
      <c r="F3" s="10" t="n">
        <f aca="false">VLOOKUP($A3,'PARASTATAL Questions'!$A:$J,6,0)</f>
        <v>10</v>
      </c>
      <c r="G3" s="10" t="n">
        <f aca="false">IF(OR(G4="ER",G5="ER"),"ER",IF(OR(G4="?",G5="?"),"?",IF(AND(G4="NA",G5="NA"),"NA",SUM(G4,G5)/((G4&lt;&gt;"NA")*$F$4+(G5&lt;&gt;"NA")*$F$5)*$F3)))</f>
        <v>6.25</v>
      </c>
      <c r="H3" s="10" t="str">
        <f aca="false">IF(OR(H4="ER",H5="ER"),"ER",IF(OR(H4="?",H5="?"),"?",IF(AND(H4="NA",H5="NA"),"NA",SUM(H4,H5)/((H4&lt;&gt;"NA")*$F$4+(H5&lt;&gt;"NA")*$F$5)*$F3)))</f>
        <v>?</v>
      </c>
      <c r="I3" s="10" t="str">
        <f aca="false">IF(OR(I4="ER",I5="ER"),"ER",IF(OR(I4="?",I5="?"),"?",IF(AND(I4="NA",I5="NA"),"NA",SUM(I4,I5)/((I4&lt;&gt;"NA")*$F$4+(I5&lt;&gt;"NA")*$F$5)*$F3)))</f>
        <v>?</v>
      </c>
      <c r="J3" s="10" t="str">
        <f aca="false">IF(OR(J4="ER",J5="ER"),"ER",IF(OR(J4="?",J5="?"),"?",IF(AND(J4="NA",J5="NA"),"NA",SUM(J4,J5)/((J4&lt;&gt;"NA")*$F$4+(J5&lt;&gt;"NA")*$F$5)*$F3)))</f>
        <v>?</v>
      </c>
      <c r="K3" s="10" t="str">
        <f aca="false">IF(OR(K4="ER",K5="ER"),"ER",IF(OR(K4="?",K5="?"),"?",IF(AND(K4="NA",K5="NA"),"NA",SUM(K4,K5)/((K4&lt;&gt;"NA")*$F$4+(K5&lt;&gt;"NA")*$F$5)*$F3)))</f>
        <v>?</v>
      </c>
      <c r="L3" s="10" t="str">
        <f aca="false">IF(OR(L4="ER",L5="ER"),"ER",IF(OR(L4="?",L5="?"),"?",IF(AND(L4="NA",L5="NA"),"NA",SUM(L4,L5)/((L4&lt;&gt;"NA")*$F$4+(L5&lt;&gt;"NA")*$F$5)*$F3)))</f>
        <v>?</v>
      </c>
      <c r="M3" s="10" t="str">
        <f aca="false">IF(OR(M4="ER",M5="ER"),"ER",IF(OR(M4="?",M5="?"),"?",IF(AND(M4="NA",M5="NA"),"NA",SUM(M4,M5)/((M4&lt;&gt;"NA")*$F$4+(M5&lt;&gt;"NA")*$F$5)*$F3)))</f>
        <v>?</v>
      </c>
    </row>
    <row r="4" customFormat="false" ht="15" hidden="false" customHeight="true" outlineLevel="0" collapsed="false">
      <c r="A4" s="8" t="s">
        <v>18</v>
      </c>
      <c r="B4" s="8" t="str">
        <f aca="false">VLOOKUP($A4,'PARASTATAL Questions'!$A:$J,3,0)&amp;""</f>
        <v>Urban Planning &amp; Design (UPD)</v>
      </c>
      <c r="C4" s="8" t="str">
        <f aca="false">VLOOKUP($A4,'PARASTATAL Questions'!$A:$J,4,0)&amp;""</f>
        <v>SQ</v>
      </c>
      <c r="D4" s="8" t="str">
        <f aca="false">VLOOKUP($A4,'PARASTATAL Questions'!$A:$J,5,0)&amp;""</f>
        <v>Is the parastatal mandated to prepare its spatial and/or sectoral plans in coordination with the ULG(s) within its jurisdiction?</v>
      </c>
      <c r="E4" s="8" t="str">
        <f aca="false">VLOOKUP($A4,'PARASTATAL Questions'!$A:$J,7,0)&amp;""</f>
        <v>Law/Policy</v>
      </c>
      <c r="F4" s="8" t="n">
        <f aca="false">VLOOKUP($A4,'PARASTATAL Questions'!$A:$J,6,0)</f>
        <v>5</v>
      </c>
      <c r="G4" s="8" t="n">
        <f aca="true">IF($F4=0,"NA",IF($A4=INDIRECT("'"&amp;$A4&amp;"'!$B$1"),IF(VLOOKUP(G$1,INDIRECT("'"&amp;$A4&amp;"'!$A$12:$Z$19"),MATCH("Points (Auto-generate)",INDIRECT("'"&amp;$A4&amp;"'!$A$12:$Z$12"),0),0)="","?",VLOOKUP(G$1,INDIRECT("'"&amp;$A4&amp;"'!$A$12:$Z$19"),MATCH("Points (Auto-generate)",INDIRECT("'"&amp;$A4&amp;"'!$A$12:$Z$12"),0),0)),"ER"))</f>
        <v>1.25</v>
      </c>
      <c r="H4" s="8" t="str">
        <f aca="true">IF($F4=0,"NA",IF($A4=INDIRECT("'"&amp;$A4&amp;"'!$B$1"),IF(VLOOKUP(H$1,INDIRECT("'"&amp;$A4&amp;"'!$A$12:$Z$19"),MATCH("Points (Auto-generate)",INDIRECT("'"&amp;$A4&amp;"'!$A$12:$Z$12"),0),0)="","?",VLOOKUP(H$1,INDIRECT("'"&amp;$A4&amp;"'!$A$12:$Z$19"),MATCH("Points (Auto-generate)",INDIRECT("'"&amp;$A4&amp;"'!$A$12:$Z$12"),0),0)),"ER"))</f>
        <v>?</v>
      </c>
      <c r="I4" s="8" t="n">
        <f aca="true">IF($F4=0,"NA",IF($A4=INDIRECT("'"&amp;$A4&amp;"'!$B$1"),IF(VLOOKUP(I$1,INDIRECT("'"&amp;$A4&amp;"'!$A$12:$Z$19"),MATCH("Points (Auto-generate)",INDIRECT("'"&amp;$A4&amp;"'!$A$12:$Z$12"),0),0)="","?",VLOOKUP(I$1,INDIRECT("'"&amp;$A4&amp;"'!$A$12:$Z$19"),MATCH("Points (Auto-generate)",INDIRECT("'"&amp;$A4&amp;"'!$A$12:$Z$12"),0),0)),"ER"))</f>
        <v>3.75</v>
      </c>
      <c r="J4" s="8" t="n">
        <f aca="true">IF($F4=0,"NA",IF($A4=INDIRECT("'"&amp;$A4&amp;"'!$B$1"),IF(VLOOKUP(J$1,INDIRECT("'"&amp;$A4&amp;"'!$A$12:$Z$19"),MATCH("Points (Auto-generate)",INDIRECT("'"&amp;$A4&amp;"'!$A$12:$Z$12"),0),0)="","?",VLOOKUP(J$1,INDIRECT("'"&amp;$A4&amp;"'!$A$12:$Z$19"),MATCH("Points (Auto-generate)",INDIRECT("'"&amp;$A4&amp;"'!$A$12:$Z$12"),0),0)),"ER"))</f>
        <v>0</v>
      </c>
      <c r="K4" s="8" t="n">
        <f aca="true">IF($F4=0,"NA",IF($A4=INDIRECT("'"&amp;$A4&amp;"'!$B$1"),IF(VLOOKUP(K$1,INDIRECT("'"&amp;$A4&amp;"'!$A$12:$Z$19"),MATCH("Points (Auto-generate)",INDIRECT("'"&amp;$A4&amp;"'!$A$12:$Z$12"),0),0)="","?",VLOOKUP(K$1,INDIRECT("'"&amp;$A4&amp;"'!$A$12:$Z$19"),MATCH("Points (Auto-generate)",INDIRECT("'"&amp;$A4&amp;"'!$A$12:$Z$12"),0),0)),"ER"))</f>
        <v>0</v>
      </c>
      <c r="L4" s="8" t="str">
        <f aca="true">IF($F4=0,"NA",IF($A4=INDIRECT("'"&amp;$A4&amp;"'!$B$1"),IF(VLOOKUP(L$1,INDIRECT("'"&amp;$A4&amp;"'!$A$12:$Z$19"),MATCH("Points (Auto-generate)",INDIRECT("'"&amp;$A4&amp;"'!$A$12:$Z$12"),0),0)="","?",VLOOKUP(L$1,INDIRECT("'"&amp;$A4&amp;"'!$A$12:$Z$19"),MATCH("Points (Auto-generate)",INDIRECT("'"&amp;$A4&amp;"'!$A$12:$Z$12"),0),0)),"ER"))</f>
        <v>?</v>
      </c>
      <c r="M4" s="8" t="str">
        <f aca="true">IF($F4=0,"NA",IF($A4=INDIRECT("'"&amp;$A4&amp;"'!$B$1"),IF(VLOOKUP(M$1,INDIRECT("'"&amp;$A4&amp;"'!$A$12:$Z$19"),MATCH("Points (Auto-generate)",INDIRECT("'"&amp;$A4&amp;"'!$A$12:$Z$12"),0),0)="","?",VLOOKUP(M$1,INDIRECT("'"&amp;$A4&amp;"'!$A$12:$Z$19"),MATCH("Points (Auto-generate)",INDIRECT("'"&amp;$A4&amp;"'!$A$12:$Z$12"),0),0)),"ER"))</f>
        <v>?</v>
      </c>
    </row>
    <row r="5" customFormat="false" ht="15" hidden="false" customHeight="true" outlineLevel="0" collapsed="false">
      <c r="A5" s="8" t="s">
        <v>56</v>
      </c>
      <c r="B5" s="8" t="str">
        <f aca="false">VLOOKUP($A5,'PARASTATAL Questions'!$A:$J,3,0)&amp;""</f>
        <v>Urban Planning &amp; Design (UPD)</v>
      </c>
      <c r="C5" s="8" t="str">
        <f aca="false">VLOOKUP($A5,'PARASTATAL Questions'!$A:$J,4,0)&amp;""</f>
        <v>SQ</v>
      </c>
      <c r="D5" s="8" t="str">
        <f aca="false">VLOOKUP($A5,'PARASTATAL Questions'!$A:$J,5,0)&amp;""</f>
        <v>Has the ULG participated in the parastatal’s plan-making process?</v>
      </c>
      <c r="E5" s="8" t="str">
        <f aca="false">VLOOKUP($A5,'PARASTATAL Questions'!$A:$J,7,0)&amp;""</f>
        <v>Implementation</v>
      </c>
      <c r="F5" s="8" t="n">
        <f aca="false">VLOOKUP($A5,'PARASTATAL Questions'!$A:$J,6,0)</f>
        <v>5</v>
      </c>
      <c r="G5" s="8" t="n">
        <f aca="true">IF($F5=0,"NA",IF($A5=INDIRECT("'"&amp;$A5&amp;"'!$B$1"),IF(VLOOKUP(G$1,INDIRECT("'"&amp;$A5&amp;"'!$A$12:$Z$19"),MATCH("Points (Auto-generate)",INDIRECT("'"&amp;$A5&amp;"'!$A$12:$Z$12"),0),0)="","?",VLOOKUP(G$1,INDIRECT("'"&amp;$A5&amp;"'!$A$12:$Z$19"),MATCH("Points (Auto-generate)",INDIRECT("'"&amp;$A5&amp;"'!$A$12:$Z$12"),0),0)),"ER"))</f>
        <v>5</v>
      </c>
      <c r="H5" s="8" t="str">
        <f aca="true">IF($F5=0,"NA",IF($A5=INDIRECT("'"&amp;$A5&amp;"'!$B$1"),IF(VLOOKUP(H$1,INDIRECT("'"&amp;$A5&amp;"'!$A$12:$Z$19"),MATCH("Points (Auto-generate)",INDIRECT("'"&amp;$A5&amp;"'!$A$12:$Z$12"),0),0)="","?",VLOOKUP(H$1,INDIRECT("'"&amp;$A5&amp;"'!$A$12:$Z$19"),MATCH("Points (Auto-generate)",INDIRECT("'"&amp;$A5&amp;"'!$A$12:$Z$12"),0),0)),"ER"))</f>
        <v>?</v>
      </c>
      <c r="I5" s="8" t="str">
        <f aca="true">IF($F5=0,"NA",IF($A5=INDIRECT("'"&amp;$A5&amp;"'!$B$1"),IF(VLOOKUP(I$1,INDIRECT("'"&amp;$A5&amp;"'!$A$12:$Z$19"),MATCH("Points (Auto-generate)",INDIRECT("'"&amp;$A5&amp;"'!$A$12:$Z$12"),0),0)="","?",VLOOKUP(I$1,INDIRECT("'"&amp;$A5&amp;"'!$A$12:$Z$19"),MATCH("Points (Auto-generate)",INDIRECT("'"&amp;$A5&amp;"'!$A$12:$Z$12"),0),0)),"ER"))</f>
        <v>?</v>
      </c>
      <c r="J5" s="8" t="str">
        <f aca="true">IF($F5=0,"NA",IF($A5=INDIRECT("'"&amp;$A5&amp;"'!$B$1"),IF(VLOOKUP(J$1,INDIRECT("'"&amp;$A5&amp;"'!$A$12:$Z$19"),MATCH("Points (Auto-generate)",INDIRECT("'"&amp;$A5&amp;"'!$A$12:$Z$12"),0),0)="","?",VLOOKUP(J$1,INDIRECT("'"&amp;$A5&amp;"'!$A$12:$Z$19"),MATCH("Points (Auto-generate)",INDIRECT("'"&amp;$A5&amp;"'!$A$12:$Z$12"),0),0)),"ER"))</f>
        <v>?</v>
      </c>
      <c r="K5" s="8" t="str">
        <f aca="true">IF($F5=0,"NA",IF($A5=INDIRECT("'"&amp;$A5&amp;"'!$B$1"),IF(VLOOKUP(K$1,INDIRECT("'"&amp;$A5&amp;"'!$A$12:$Z$19"),MATCH("Points (Auto-generate)",INDIRECT("'"&amp;$A5&amp;"'!$A$12:$Z$12"),0),0)="","?",VLOOKUP(K$1,INDIRECT("'"&amp;$A5&amp;"'!$A$12:$Z$19"),MATCH("Points (Auto-generate)",INDIRECT("'"&amp;$A5&amp;"'!$A$12:$Z$12"),0),0)),"ER"))</f>
        <v>?</v>
      </c>
      <c r="L5" s="8" t="str">
        <f aca="true">IF($F5=0,"NA",IF($A5=INDIRECT("'"&amp;$A5&amp;"'!$B$1"),IF(VLOOKUP(L$1,INDIRECT("'"&amp;$A5&amp;"'!$A$12:$Z$19"),MATCH("Points (Auto-generate)",INDIRECT("'"&amp;$A5&amp;"'!$A$12:$Z$12"),0),0)="","?",VLOOKUP(L$1,INDIRECT("'"&amp;$A5&amp;"'!$A$12:$Z$19"),MATCH("Points (Auto-generate)",INDIRECT("'"&amp;$A5&amp;"'!$A$12:$Z$12"),0),0)),"ER"))</f>
        <v>?</v>
      </c>
      <c r="M5" s="8" t="str">
        <f aca="true">IF($F5=0,"NA",IF($A5=INDIRECT("'"&amp;$A5&amp;"'!$B$1"),IF(VLOOKUP(M$1,INDIRECT("'"&amp;$A5&amp;"'!$A$12:$Z$19"),MATCH("Points (Auto-generate)",INDIRECT("'"&amp;$A5&amp;"'!$A$12:$Z$12"),0),0)="","?",VLOOKUP(M$1,INDIRECT("'"&amp;$A5&amp;"'!$A$12:$Z$19"),MATCH("Points (Auto-generate)",INDIRECT("'"&amp;$A5&amp;"'!$A$12:$Z$12"),0),0)),"ER"))</f>
        <v>?</v>
      </c>
    </row>
    <row r="6" customFormat="false" ht="15" hidden="false" customHeight="true" outlineLevel="0" collapsed="false">
      <c r="A6" s="10" t="s">
        <v>596</v>
      </c>
      <c r="B6" s="10" t="str">
        <f aca="false">VLOOKUP($A6,'PARASTATAL Questions'!$A:$J,3,0)&amp;""</f>
        <v>Urban Planning &amp; Design (UPD)</v>
      </c>
      <c r="C6" s="10" t="str">
        <f aca="false">VLOOKUP($A6,'PARASTATAL Questions'!$A:$J,4,0)&amp;""</f>
        <v>MQ</v>
      </c>
      <c r="D6" s="10" t="str">
        <f aca="false">VLOOKUP($A6,'PARASTATAL Questions'!$A:$J,5,0)&amp;""</f>
        <v>Where multiple statutory or sectoral plans apply to the same territory, does the water supply board and transport corporation ensure consistency with the applicable metropolitan/regional or city master plan/strategic plan for the city?</v>
      </c>
      <c r="E6" s="10" t="str">
        <f aca="false">VLOOKUP($A6,'PARASTATAL Questions'!$A:$J,7,0)&amp;""</f>
        <v/>
      </c>
      <c r="F6" s="10" t="n">
        <f aca="false">VLOOKUP($A6,'PARASTATAL Questions'!$A:$J,6,0)</f>
        <v>10</v>
      </c>
      <c r="G6" s="10" t="str">
        <f aca="false">IF(OR(G7="ER",G8="ER",G9="ER",G10="ER"),"ER",IF(OR(G7="?",G8="?",G9="?",G10="?"),"?",IF(AND(G7="NA",G8="NA",G9="NA",G10="NA"),"NA",SUM(G7,G8,G9,G10)/((G7&lt;&gt;"NA")*$F$7+(G8&lt;&gt;"NA")*$F$8+(G9&lt;&gt;"NA")*$F$9+(G10&lt;&gt;"NA")*$F$10)*$F6)))</f>
        <v>?</v>
      </c>
      <c r="H6" s="10" t="str">
        <f aca="false">IF(OR(H7="ER",H8="ER",H9="ER",H10="ER"),"ER",IF(OR(H7="?",H8="?",H9="?",H10="?"),"?",IF(AND(H7="NA",H8="NA",H9="NA",H10="NA"),"NA",SUM(H7,H8,H9,H10)/((H7&lt;&gt;"NA")*$F$7+(H8&lt;&gt;"NA")*$F$8+(H9&lt;&gt;"NA")*$F$9+(H10&lt;&gt;"NA")*$F$10)*$F6)))</f>
        <v>?</v>
      </c>
      <c r="I6" s="10" t="str">
        <f aca="false">IF(OR(I7="ER",I8="ER",I9="ER",I10="ER"),"ER",IF(OR(I7="?",I8="?",I9="?",I10="?"),"?",IF(AND(I7="NA",I8="NA",I9="NA",I10="NA"),"NA",SUM(I7,I8,I9,I10)/((I7&lt;&gt;"NA")*$F$7+(I8&lt;&gt;"NA")*$F$8+(I9&lt;&gt;"NA")*$F$9+(I10&lt;&gt;"NA")*$F$10)*$F6)))</f>
        <v>NA</v>
      </c>
      <c r="J6" s="10" t="str">
        <f aca="false">IF(OR(J7="ER",J8="ER",J9="ER",J10="ER"),"ER",IF(OR(J7="?",J8="?",J9="?",J10="?"),"?",IF(AND(J7="NA",J8="NA",J9="NA",J10="NA"),"NA",SUM(J7,J8,J9,J10)/((J7&lt;&gt;"NA")*$F$7+(J8&lt;&gt;"NA")*$F$8+(J9&lt;&gt;"NA")*$F$9+(J10&lt;&gt;"NA")*$F$10)*$F6)))</f>
        <v>NA</v>
      </c>
      <c r="K6" s="10" t="str">
        <f aca="false">IF(OR(K7="ER",K8="ER",K9="ER",K10="ER"),"ER",IF(OR(K7="?",K8="?",K9="?",K10="?"),"?",IF(AND(K7="NA",K8="NA",K9="NA",K10="NA"),"NA",SUM(K7,K8,K9,K10)/((K7&lt;&gt;"NA")*$F$7+(K8&lt;&gt;"NA")*$F$8+(K9&lt;&gt;"NA")*$F$9+(K10&lt;&gt;"NA")*$F$10)*$F6)))</f>
        <v>NA</v>
      </c>
      <c r="L6" s="10" t="str">
        <f aca="false">IF(OR(L7="ER",L8="ER",L9="ER",L10="ER"),"ER",IF(OR(L7="?",L8="?",L9="?",L10="?"),"?",IF(AND(L7="NA",L8="NA",L9="NA",L10="NA"),"NA",SUM(L7,L8,L9,L10)/((L7&lt;&gt;"NA")*$F$7+(L8&lt;&gt;"NA")*$F$8+(L9&lt;&gt;"NA")*$F$9+(L10&lt;&gt;"NA")*$F$10)*$F6)))</f>
        <v>NA</v>
      </c>
      <c r="M6" s="10" t="str">
        <f aca="false">IF(OR(M7="ER",M8="ER",M9="ER",M10="ER"),"ER",IF(OR(M7="?",M8="?",M9="?",M10="?"),"?",IF(AND(M7="NA",M8="NA",M9="NA",M10="NA"),"NA",SUM(M7,M8,M9,M10)/((M7&lt;&gt;"NA")*$F$7+(M8&lt;&gt;"NA")*$F$8+(M9&lt;&gt;"NA")*$F$9+(M10&lt;&gt;"NA")*$F$10)*$F6)))</f>
        <v>NA</v>
      </c>
    </row>
    <row r="7" customFormat="false" ht="15" hidden="false" customHeight="true" outlineLevel="0" collapsed="false">
      <c r="A7" s="8" t="s">
        <v>73</v>
      </c>
      <c r="B7" s="8" t="str">
        <f aca="false">VLOOKUP($A7,'PARASTATAL Questions'!$A:$J,3,0)&amp;""</f>
        <v>Urban Planning &amp; Design (UPD)</v>
      </c>
      <c r="C7" s="8" t="str">
        <f aca="false">VLOOKUP($A7,'PARASTATAL Questions'!$A:$J,4,0)&amp;""</f>
        <v>SQ</v>
      </c>
      <c r="D7" s="8" t="str">
        <f aca="false">VLOOKUP($A7,'PARASTATAL Questions'!$A:$J,5,0)&amp;""</f>
        <v>Where multiple statutory or sectoral plans apply to the same territory, is the water board mandated to ensure consistency with the applicable metropolitan/regional or city master plan/strategic plan for the city?</v>
      </c>
      <c r="E7" s="8" t="str">
        <f aca="false">VLOOKUP($A7,'PARASTATAL Questions'!$A:$J,7,0)&amp;""</f>
        <v>Law/Policy</v>
      </c>
      <c r="F7" s="8" t="n">
        <f aca="false">VLOOKUP($A7,'PARASTATAL Questions'!$A:$J,6,0)</f>
        <v>2.5</v>
      </c>
      <c r="G7" s="8" t="n">
        <f aca="true">IF($F7=0,"NA",IF($A7=INDIRECT("'"&amp;$A7&amp;"'!$B$1"),IF(VLOOKUP(G$1,INDIRECT("'"&amp;$A7&amp;"'!$A$12:$Z$19"),MATCH("Points (Auto-generate)",INDIRECT("'"&amp;$A7&amp;"'!$A$12:$Z$12"),0),0)="","?",VLOOKUP(G$1,INDIRECT("'"&amp;$A7&amp;"'!$A$12:$Z$19"),MATCH("Points (Auto-generate)",INDIRECT("'"&amp;$A7&amp;"'!$A$12:$Z$12"),0),0)),"ER"))</f>
        <v>0</v>
      </c>
      <c r="H7" s="8" t="str">
        <f aca="true">IF($F7=0,"NA",IF($A7=INDIRECT("'"&amp;$A7&amp;"'!$B$1"),IF(VLOOKUP(H$1,INDIRECT("'"&amp;$A7&amp;"'!$A$12:$Z$19"),MATCH("Points (Auto-generate)",INDIRECT("'"&amp;$A7&amp;"'!$A$12:$Z$12"),0),0)="","?",VLOOKUP(H$1,INDIRECT("'"&amp;$A7&amp;"'!$A$12:$Z$19"),MATCH("Points (Auto-generate)",INDIRECT("'"&amp;$A7&amp;"'!$A$12:$Z$12"),0),0)),"ER"))</f>
        <v>NA</v>
      </c>
      <c r="I7" s="8" t="str">
        <f aca="true">IF($F7=0,"NA",IF($A7=INDIRECT("'"&amp;$A7&amp;"'!$B$1"),IF(VLOOKUP(I$1,INDIRECT("'"&amp;$A7&amp;"'!$A$12:$Z$19"),MATCH("Points (Auto-generate)",INDIRECT("'"&amp;$A7&amp;"'!$A$12:$Z$12"),0),0)="","?",VLOOKUP(I$1,INDIRECT("'"&amp;$A7&amp;"'!$A$12:$Z$19"),MATCH("Points (Auto-generate)",INDIRECT("'"&amp;$A7&amp;"'!$A$12:$Z$12"),0),0)),"ER"))</f>
        <v>NA</v>
      </c>
      <c r="J7" s="8" t="str">
        <f aca="true">IF($F7=0,"NA",IF($A7=INDIRECT("'"&amp;$A7&amp;"'!$B$1"),IF(VLOOKUP(J$1,INDIRECT("'"&amp;$A7&amp;"'!$A$12:$Z$19"),MATCH("Points (Auto-generate)",INDIRECT("'"&amp;$A7&amp;"'!$A$12:$Z$12"),0),0)="","?",VLOOKUP(J$1,INDIRECT("'"&amp;$A7&amp;"'!$A$12:$Z$19"),MATCH("Points (Auto-generate)",INDIRECT("'"&amp;$A7&amp;"'!$A$12:$Z$12"),0),0)),"ER"))</f>
        <v>NA</v>
      </c>
      <c r="K7" s="8" t="str">
        <f aca="true">IF($F7=0,"NA",IF($A7=INDIRECT("'"&amp;$A7&amp;"'!$B$1"),IF(VLOOKUP(K$1,INDIRECT("'"&amp;$A7&amp;"'!$A$12:$Z$19"),MATCH("Points (Auto-generate)",INDIRECT("'"&amp;$A7&amp;"'!$A$12:$Z$12"),0),0)="","?",VLOOKUP(K$1,INDIRECT("'"&amp;$A7&amp;"'!$A$12:$Z$19"),MATCH("Points (Auto-generate)",INDIRECT("'"&amp;$A7&amp;"'!$A$12:$Z$12"),0),0)),"ER"))</f>
        <v>NA</v>
      </c>
      <c r="L7" s="8" t="str">
        <f aca="true">IF($F7=0,"NA",IF($A7=INDIRECT("'"&amp;$A7&amp;"'!$B$1"),IF(VLOOKUP(L$1,INDIRECT("'"&amp;$A7&amp;"'!$A$12:$Z$19"),MATCH("Points (Auto-generate)",INDIRECT("'"&amp;$A7&amp;"'!$A$12:$Z$12"),0),0)="","?",VLOOKUP(L$1,INDIRECT("'"&amp;$A7&amp;"'!$A$12:$Z$19"),MATCH("Points (Auto-generate)",INDIRECT("'"&amp;$A7&amp;"'!$A$12:$Z$12"),0),0)),"ER"))</f>
        <v>NA</v>
      </c>
      <c r="M7" s="8" t="str">
        <f aca="true">IF($F7=0,"NA",IF($A7=INDIRECT("'"&amp;$A7&amp;"'!$B$1"),IF(VLOOKUP(M$1,INDIRECT("'"&amp;$A7&amp;"'!$A$12:$Z$19"),MATCH("Points (Auto-generate)",INDIRECT("'"&amp;$A7&amp;"'!$A$12:$Z$12"),0),0)="","?",VLOOKUP(M$1,INDIRECT("'"&amp;$A7&amp;"'!$A$12:$Z$19"),MATCH("Points (Auto-generate)",INDIRECT("'"&amp;$A7&amp;"'!$A$12:$Z$12"),0),0)),"ER"))</f>
        <v>NA</v>
      </c>
    </row>
    <row r="8" customFormat="false" ht="15" hidden="false" customHeight="true" outlineLevel="0" collapsed="false">
      <c r="A8" s="8" t="s">
        <v>78</v>
      </c>
      <c r="B8" s="8" t="str">
        <f aca="false">VLOOKUP($A8,'PARASTATAL Questions'!$A:$J,3,0)&amp;""</f>
        <v>Urban Planning &amp; Design (UPD)</v>
      </c>
      <c r="C8" s="8" t="str">
        <f aca="false">VLOOKUP($A8,'PARASTATAL Questions'!$A:$J,4,0)&amp;""</f>
        <v>SQ</v>
      </c>
      <c r="D8" s="8" t="str">
        <f aca="false">VLOOKUP($A8,'PARASTATAL Questions'!$A:$J,5,0)&amp;""</f>
        <v>Where multiple statutory or sectoral plans apply to the same territory, does the water supply board ensure consistency with the applicable metropolitan/regional or city master plan/strategic plan for the city?</v>
      </c>
      <c r="E8" s="8" t="str">
        <f aca="false">VLOOKUP($A8,'PARASTATAL Questions'!$A:$J,7,0)&amp;""</f>
        <v>Implementation</v>
      </c>
      <c r="F8" s="8" t="n">
        <f aca="false">VLOOKUP($A8,'PARASTATAL Questions'!$A:$J,6,0)</f>
        <v>2.5</v>
      </c>
      <c r="G8" s="8" t="str">
        <f aca="true">IF($F8=0,"NA",IF($A8=INDIRECT("'"&amp;$A8&amp;"'!$B$1"),IF(VLOOKUP(G$1,INDIRECT("'"&amp;$A8&amp;"'!$A$12:$Z$19"),MATCH("Points (Auto-generate)",INDIRECT("'"&amp;$A8&amp;"'!$A$12:$Z$12"),0),0)="","?",VLOOKUP(G$1,INDIRECT("'"&amp;$A8&amp;"'!$A$12:$Z$19"),MATCH("Points (Auto-generate)",INDIRECT("'"&amp;$A8&amp;"'!$A$12:$Z$12"),0),0)),"ER"))</f>
        <v>?</v>
      </c>
      <c r="H8" s="8" t="str">
        <f aca="true">IF($F8=0,"NA",IF($A8=INDIRECT("'"&amp;$A8&amp;"'!$B$1"),IF(VLOOKUP(H$1,INDIRECT("'"&amp;$A8&amp;"'!$A$12:$Z$19"),MATCH("Points (Auto-generate)",INDIRECT("'"&amp;$A8&amp;"'!$A$12:$Z$12"),0),0)="","?",VLOOKUP(H$1,INDIRECT("'"&amp;$A8&amp;"'!$A$12:$Z$19"),MATCH("Points (Auto-generate)",INDIRECT("'"&amp;$A8&amp;"'!$A$12:$Z$12"),0),0)),"ER"))</f>
        <v>NA</v>
      </c>
      <c r="I8" s="8" t="str">
        <f aca="true">IF($F8=0,"NA",IF($A8=INDIRECT("'"&amp;$A8&amp;"'!$B$1"),IF(VLOOKUP(I$1,INDIRECT("'"&amp;$A8&amp;"'!$A$12:$Z$19"),MATCH("Points (Auto-generate)",INDIRECT("'"&amp;$A8&amp;"'!$A$12:$Z$12"),0),0)="","?",VLOOKUP(I$1,INDIRECT("'"&amp;$A8&amp;"'!$A$12:$Z$19"),MATCH("Points (Auto-generate)",INDIRECT("'"&amp;$A8&amp;"'!$A$12:$Z$12"),0),0)),"ER"))</f>
        <v>NA</v>
      </c>
      <c r="J8" s="8" t="str">
        <f aca="true">IF($F8=0,"NA",IF($A8=INDIRECT("'"&amp;$A8&amp;"'!$B$1"),IF(VLOOKUP(J$1,INDIRECT("'"&amp;$A8&amp;"'!$A$12:$Z$19"),MATCH("Points (Auto-generate)",INDIRECT("'"&amp;$A8&amp;"'!$A$12:$Z$12"),0),0)="","?",VLOOKUP(J$1,INDIRECT("'"&amp;$A8&amp;"'!$A$12:$Z$19"),MATCH("Points (Auto-generate)",INDIRECT("'"&amp;$A8&amp;"'!$A$12:$Z$12"),0),0)),"ER"))</f>
        <v>NA</v>
      </c>
      <c r="K8" s="8" t="str">
        <f aca="true">IF($F8=0,"NA",IF($A8=INDIRECT("'"&amp;$A8&amp;"'!$B$1"),IF(VLOOKUP(K$1,INDIRECT("'"&amp;$A8&amp;"'!$A$12:$Z$19"),MATCH("Points (Auto-generate)",INDIRECT("'"&amp;$A8&amp;"'!$A$12:$Z$12"),0),0)="","?",VLOOKUP(K$1,INDIRECT("'"&amp;$A8&amp;"'!$A$12:$Z$19"),MATCH("Points (Auto-generate)",INDIRECT("'"&amp;$A8&amp;"'!$A$12:$Z$12"),0),0)),"ER"))</f>
        <v>NA</v>
      </c>
      <c r="L8" s="8" t="str">
        <f aca="true">IF($F8=0,"NA",IF($A8=INDIRECT("'"&amp;$A8&amp;"'!$B$1"),IF(VLOOKUP(L$1,INDIRECT("'"&amp;$A8&amp;"'!$A$12:$Z$19"),MATCH("Points (Auto-generate)",INDIRECT("'"&amp;$A8&amp;"'!$A$12:$Z$12"),0),0)="","?",VLOOKUP(L$1,INDIRECT("'"&amp;$A8&amp;"'!$A$12:$Z$19"),MATCH("Points (Auto-generate)",INDIRECT("'"&amp;$A8&amp;"'!$A$12:$Z$12"),0),0)),"ER"))</f>
        <v>NA</v>
      </c>
      <c r="M8" s="8" t="str">
        <f aca="true">IF($F8=0,"NA",IF($A8=INDIRECT("'"&amp;$A8&amp;"'!$B$1"),IF(VLOOKUP(M$1,INDIRECT("'"&amp;$A8&amp;"'!$A$12:$Z$19"),MATCH("Points (Auto-generate)",INDIRECT("'"&amp;$A8&amp;"'!$A$12:$Z$12"),0),0)="","?",VLOOKUP(M$1,INDIRECT("'"&amp;$A8&amp;"'!$A$12:$Z$19"),MATCH("Points (Auto-generate)",INDIRECT("'"&amp;$A8&amp;"'!$A$12:$Z$12"),0),0)),"ER"))</f>
        <v>NA</v>
      </c>
    </row>
    <row r="9" customFormat="false" ht="15" hidden="false" customHeight="true" outlineLevel="0" collapsed="false">
      <c r="A9" s="8" t="s">
        <v>80</v>
      </c>
      <c r="B9" s="8" t="str">
        <f aca="false">VLOOKUP($A9,'PARASTATAL Questions'!$A:$J,3,0)&amp;""</f>
        <v>Urban Planning &amp; Design (UPD)</v>
      </c>
      <c r="C9" s="8" t="str">
        <f aca="false">VLOOKUP($A9,'PARASTATAL Questions'!$A:$J,4,0)&amp;""</f>
        <v>SQ</v>
      </c>
      <c r="D9" s="8" t="str">
        <f aca="false">VLOOKUP($A9,'PARASTATAL Questions'!$A:$J,5,0)&amp;""</f>
        <v>Where multiple statutory or sectoral plans apply to the same territory, is the transport corporation mandated to ensure consistency with the applicable metropolitan/regional or city master plan/strategic plan for the city?</v>
      </c>
      <c r="E9" s="8" t="str">
        <f aca="false">VLOOKUP($A9,'PARASTATAL Questions'!$A:$J,7,0)&amp;""</f>
        <v>Law/Policy</v>
      </c>
      <c r="F9" s="8" t="n">
        <f aca="false">VLOOKUP($A9,'PARASTATAL Questions'!$A:$J,6,0)</f>
        <v>2.5</v>
      </c>
      <c r="G9" s="8" t="str">
        <f aca="true">IF($F9=0,"NA",IF($A9=INDIRECT("'"&amp;$A9&amp;"'!$B$1"),IF(VLOOKUP(G$1,INDIRECT("'"&amp;$A9&amp;"'!$A$12:$Z$19"),MATCH("Points (Auto-generate)",INDIRECT("'"&amp;$A9&amp;"'!$A$12:$Z$12"),0),0)="","?",VLOOKUP(G$1,INDIRECT("'"&amp;$A9&amp;"'!$A$12:$Z$19"),MATCH("Points (Auto-generate)",INDIRECT("'"&amp;$A9&amp;"'!$A$12:$Z$12"),0),0)),"ER"))</f>
        <v>NA</v>
      </c>
      <c r="H9" s="8" t="n">
        <f aca="true">IF($F9=0,"NA",IF($A9=INDIRECT("'"&amp;$A9&amp;"'!$B$1"),IF(VLOOKUP(H$1,INDIRECT("'"&amp;$A9&amp;"'!$A$12:$Z$19"),MATCH("Points (Auto-generate)",INDIRECT("'"&amp;$A9&amp;"'!$A$12:$Z$12"),0),0)="","?",VLOOKUP(H$1,INDIRECT("'"&amp;$A9&amp;"'!$A$12:$Z$19"),MATCH("Points (Auto-generate)",INDIRECT("'"&amp;$A9&amp;"'!$A$12:$Z$12"),0),0)),"ER"))</f>
        <v>2.5</v>
      </c>
      <c r="I9" s="8" t="str">
        <f aca="true">IF($F9=0,"NA",IF($A9=INDIRECT("'"&amp;$A9&amp;"'!$B$1"),IF(VLOOKUP(I$1,INDIRECT("'"&amp;$A9&amp;"'!$A$12:$Z$19"),MATCH("Points (Auto-generate)",INDIRECT("'"&amp;$A9&amp;"'!$A$12:$Z$12"),0),0)="","?",VLOOKUP(I$1,INDIRECT("'"&amp;$A9&amp;"'!$A$12:$Z$19"),MATCH("Points (Auto-generate)",INDIRECT("'"&amp;$A9&amp;"'!$A$12:$Z$12"),0),0)),"ER"))</f>
        <v>NA</v>
      </c>
      <c r="J9" s="8" t="str">
        <f aca="true">IF($F9=0,"NA",IF($A9=INDIRECT("'"&amp;$A9&amp;"'!$B$1"),IF(VLOOKUP(J$1,INDIRECT("'"&amp;$A9&amp;"'!$A$12:$Z$19"),MATCH("Points (Auto-generate)",INDIRECT("'"&amp;$A9&amp;"'!$A$12:$Z$12"),0),0)="","?",VLOOKUP(J$1,INDIRECT("'"&amp;$A9&amp;"'!$A$12:$Z$19"),MATCH("Points (Auto-generate)",INDIRECT("'"&amp;$A9&amp;"'!$A$12:$Z$12"),0),0)),"ER"))</f>
        <v>NA</v>
      </c>
      <c r="K9" s="8" t="str">
        <f aca="true">IF($F9=0,"NA",IF($A9=INDIRECT("'"&amp;$A9&amp;"'!$B$1"),IF(VLOOKUP(K$1,INDIRECT("'"&amp;$A9&amp;"'!$A$12:$Z$19"),MATCH("Points (Auto-generate)",INDIRECT("'"&amp;$A9&amp;"'!$A$12:$Z$12"),0),0)="","?",VLOOKUP(K$1,INDIRECT("'"&amp;$A9&amp;"'!$A$12:$Z$19"),MATCH("Points (Auto-generate)",INDIRECT("'"&amp;$A9&amp;"'!$A$12:$Z$12"),0),0)),"ER"))</f>
        <v>NA</v>
      </c>
      <c r="L9" s="8" t="str">
        <f aca="true">IF($F9=0,"NA",IF($A9=INDIRECT("'"&amp;$A9&amp;"'!$B$1"),IF(VLOOKUP(L$1,INDIRECT("'"&amp;$A9&amp;"'!$A$12:$Z$19"),MATCH("Points (Auto-generate)",INDIRECT("'"&amp;$A9&amp;"'!$A$12:$Z$12"),0),0)="","?",VLOOKUP(L$1,INDIRECT("'"&amp;$A9&amp;"'!$A$12:$Z$19"),MATCH("Points (Auto-generate)",INDIRECT("'"&amp;$A9&amp;"'!$A$12:$Z$12"),0),0)),"ER"))</f>
        <v>NA</v>
      </c>
      <c r="M9" s="8" t="str">
        <f aca="true">IF($F9=0,"NA",IF($A9=INDIRECT("'"&amp;$A9&amp;"'!$B$1"),IF(VLOOKUP(M$1,INDIRECT("'"&amp;$A9&amp;"'!$A$12:$Z$19"),MATCH("Points (Auto-generate)",INDIRECT("'"&amp;$A9&amp;"'!$A$12:$Z$12"),0),0)="","?",VLOOKUP(M$1,INDIRECT("'"&amp;$A9&amp;"'!$A$12:$Z$19"),MATCH("Points (Auto-generate)",INDIRECT("'"&amp;$A9&amp;"'!$A$12:$Z$12"),0),0)),"ER"))</f>
        <v>NA</v>
      </c>
    </row>
    <row r="10" customFormat="false" ht="15" hidden="false" customHeight="true" outlineLevel="0" collapsed="false">
      <c r="A10" s="8" t="s">
        <v>86</v>
      </c>
      <c r="B10" s="8" t="str">
        <f aca="false">VLOOKUP($A10,'PARASTATAL Questions'!$A:$J,3,0)&amp;""</f>
        <v>Urban Planning &amp; Design (UPD)</v>
      </c>
      <c r="C10" s="8" t="str">
        <f aca="false">VLOOKUP($A10,'PARASTATAL Questions'!$A:$J,4,0)&amp;""</f>
        <v>SQ</v>
      </c>
      <c r="D10" s="8" t="str">
        <f aca="false">VLOOKUP($A10,'PARASTATAL Questions'!$A:$J,5,0)&amp;""</f>
        <v>Where multiple statutory or sectoral plans apply to the same territory, does the transport corporation ensure consistency with the applicable metropolitan/regional or city master plan/strategic plan for the city?</v>
      </c>
      <c r="E10" s="8" t="str">
        <f aca="false">VLOOKUP($A10,'PARASTATAL Questions'!$A:$J,7,0)&amp;""</f>
        <v>Implementation</v>
      </c>
      <c r="F10" s="8" t="n">
        <f aca="false">VLOOKUP($A10,'PARASTATAL Questions'!$A:$J,6,0)</f>
        <v>2.5</v>
      </c>
      <c r="G10" s="8" t="str">
        <f aca="true">IF($F10=0,"NA",IF($A10=INDIRECT("'"&amp;$A10&amp;"'!$B$1"),IF(VLOOKUP(G$1,INDIRECT("'"&amp;$A10&amp;"'!$A$12:$Z$19"),MATCH("Points (Auto-generate)",INDIRECT("'"&amp;$A10&amp;"'!$A$12:$Z$12"),0),0)="","?",VLOOKUP(G$1,INDIRECT("'"&amp;$A10&amp;"'!$A$12:$Z$19"),MATCH("Points (Auto-generate)",INDIRECT("'"&amp;$A10&amp;"'!$A$12:$Z$12"),0),0)),"ER"))</f>
        <v>NA</v>
      </c>
      <c r="H10" s="8" t="str">
        <f aca="true">IF($F10=0,"NA",IF($A10=INDIRECT("'"&amp;$A10&amp;"'!$B$1"),IF(VLOOKUP(H$1,INDIRECT("'"&amp;$A10&amp;"'!$A$12:$Z$19"),MATCH("Points (Auto-generate)",INDIRECT("'"&amp;$A10&amp;"'!$A$12:$Z$12"),0),0)="","?",VLOOKUP(H$1,INDIRECT("'"&amp;$A10&amp;"'!$A$12:$Z$19"),MATCH("Points (Auto-generate)",INDIRECT("'"&amp;$A10&amp;"'!$A$12:$Z$12"),0),0)),"ER"))</f>
        <v>?</v>
      </c>
      <c r="I10" s="8" t="str">
        <f aca="true">IF($F10=0,"NA",IF($A10=INDIRECT("'"&amp;$A10&amp;"'!$B$1"),IF(VLOOKUP(I$1,INDIRECT("'"&amp;$A10&amp;"'!$A$12:$Z$19"),MATCH("Points (Auto-generate)",INDIRECT("'"&amp;$A10&amp;"'!$A$12:$Z$12"),0),0)="","?",VLOOKUP(I$1,INDIRECT("'"&amp;$A10&amp;"'!$A$12:$Z$19"),MATCH("Points (Auto-generate)",INDIRECT("'"&amp;$A10&amp;"'!$A$12:$Z$12"),0),0)),"ER"))</f>
        <v>NA</v>
      </c>
      <c r="J10" s="8" t="str">
        <f aca="true">IF($F10=0,"NA",IF($A10=INDIRECT("'"&amp;$A10&amp;"'!$B$1"),IF(VLOOKUP(J$1,INDIRECT("'"&amp;$A10&amp;"'!$A$12:$Z$19"),MATCH("Points (Auto-generate)",INDIRECT("'"&amp;$A10&amp;"'!$A$12:$Z$12"),0),0)="","?",VLOOKUP(J$1,INDIRECT("'"&amp;$A10&amp;"'!$A$12:$Z$19"),MATCH("Points (Auto-generate)",INDIRECT("'"&amp;$A10&amp;"'!$A$12:$Z$12"),0),0)),"ER"))</f>
        <v>NA</v>
      </c>
      <c r="K10" s="8" t="str">
        <f aca="true">IF($F10=0,"NA",IF($A10=INDIRECT("'"&amp;$A10&amp;"'!$B$1"),IF(VLOOKUP(K$1,INDIRECT("'"&amp;$A10&amp;"'!$A$12:$Z$19"),MATCH("Points (Auto-generate)",INDIRECT("'"&amp;$A10&amp;"'!$A$12:$Z$12"),0),0)="","?",VLOOKUP(K$1,INDIRECT("'"&amp;$A10&amp;"'!$A$12:$Z$19"),MATCH("Points (Auto-generate)",INDIRECT("'"&amp;$A10&amp;"'!$A$12:$Z$12"),0),0)),"ER"))</f>
        <v>NA</v>
      </c>
      <c r="L10" s="8" t="str">
        <f aca="true">IF($F10=0,"NA",IF($A10=INDIRECT("'"&amp;$A10&amp;"'!$B$1"),IF(VLOOKUP(L$1,INDIRECT("'"&amp;$A10&amp;"'!$A$12:$Z$19"),MATCH("Points (Auto-generate)",INDIRECT("'"&amp;$A10&amp;"'!$A$12:$Z$12"),0),0)="","?",VLOOKUP(L$1,INDIRECT("'"&amp;$A10&amp;"'!$A$12:$Z$19"),MATCH("Points (Auto-generate)",INDIRECT("'"&amp;$A10&amp;"'!$A$12:$Z$12"),0),0)),"ER"))</f>
        <v>NA</v>
      </c>
      <c r="M10" s="8" t="str">
        <f aca="true">IF($F10=0,"NA",IF($A10=INDIRECT("'"&amp;$A10&amp;"'!$B$1"),IF(VLOOKUP(M$1,INDIRECT("'"&amp;$A10&amp;"'!$A$12:$Z$19"),MATCH("Points (Auto-generate)",INDIRECT("'"&amp;$A10&amp;"'!$A$12:$Z$12"),0),0)="","?",VLOOKUP(M$1,INDIRECT("'"&amp;$A10&amp;"'!$A$12:$Z$19"),MATCH("Points (Auto-generate)",INDIRECT("'"&amp;$A10&amp;"'!$A$12:$Z$12"),0),0)),"ER"))</f>
        <v>NA</v>
      </c>
    </row>
    <row r="11" customFormat="false" ht="15" hidden="false" customHeight="true" outlineLevel="0" collapsed="false">
      <c r="A11" s="10" t="s">
        <v>597</v>
      </c>
      <c r="B11" s="10" t="str">
        <f aca="false">VLOOKUP($A11,'PARASTATAL Questions'!$A:$J,3,0)&amp;""</f>
        <v>Urban Planning &amp; Design (UPD)</v>
      </c>
      <c r="C11" s="10" t="str">
        <f aca="false">VLOOKUP($A11,'PARASTATAL Questions'!$A:$J,4,0)&amp;""</f>
        <v>MQ</v>
      </c>
      <c r="D11" s="10" t="str">
        <f aca="false">VLOOKUP($A11,'PARASTATAL Questions'!$A:$J,5,0)&amp;""</f>
        <v>Are the needs of women, the urban poor, and other vulnerable groups explicitly considered in the water board’s planning, service delivery or major investment decisions?</v>
      </c>
      <c r="E11" s="10" t="str">
        <f aca="false">VLOOKUP($A11,'PARASTATAL Questions'!$A:$J,7,0)&amp;""</f>
        <v>Law/Policy</v>
      </c>
      <c r="F11" s="10" t="n">
        <f aca="false">VLOOKUP($A11,'PARASTATAL Questions'!$A:$J,6,0)</f>
        <v>10</v>
      </c>
      <c r="G11" s="10" t="n">
        <f aca="false">IF(OR(G12="ER",G13="ER"),"ER",IF(OR(G12="?",G13="?"),"?",IF(AND(G12="NA",G13="NA"),"NA",SUM(G12,G13)/((G12&lt;&gt;"NA")*$F$12+(G13&lt;&gt;"NA")*$F$13)*$F11)))</f>
        <v>5</v>
      </c>
      <c r="H11" s="10" t="str">
        <f aca="false">IF(OR(H12="ER",H13="ER"),"ER",IF(OR(H12="?",H13="?"),"?",IF(AND(H12="NA",H13="NA"),"NA",SUM(H12,H13)/((H12&lt;&gt;"NA")*$F$12+(H13&lt;&gt;"NA")*$F$13)*$F11)))</f>
        <v>NA</v>
      </c>
      <c r="I11" s="10" t="str">
        <f aca="false">IF(OR(I12="ER",I13="ER"),"ER",IF(OR(I12="?",I13="?"),"?",IF(AND(I12="NA",I13="NA"),"NA",SUM(I12,I13)/((I12&lt;&gt;"NA")*$F$12+(I13&lt;&gt;"NA")*$F$13)*$F11)))</f>
        <v>NA</v>
      </c>
      <c r="J11" s="10" t="str">
        <f aca="false">IF(OR(J12="ER",J13="ER"),"ER",IF(OR(J12="?",J13="?"),"?",IF(AND(J12="NA",J13="NA"),"NA",SUM(J12,J13)/((J12&lt;&gt;"NA")*$F$12+(J13&lt;&gt;"NA")*$F$13)*$F11)))</f>
        <v>NA</v>
      </c>
      <c r="K11" s="10" t="str">
        <f aca="false">IF(OR(K12="ER",K13="ER"),"ER",IF(OR(K12="?",K13="?"),"?",IF(AND(K12="NA",K13="NA"),"NA",SUM(K12,K13)/((K12&lt;&gt;"NA")*$F$12+(K13&lt;&gt;"NA")*$F$13)*$F11)))</f>
        <v>NA</v>
      </c>
      <c r="L11" s="10" t="str">
        <f aca="false">IF(OR(L12="ER",L13="ER"),"ER",IF(OR(L12="?",L13="?"),"?",IF(AND(L12="NA",L13="NA"),"NA",SUM(L12,L13)/((L12&lt;&gt;"NA")*$F$12+(L13&lt;&gt;"NA")*$F$13)*$F11)))</f>
        <v>NA</v>
      </c>
      <c r="M11" s="10" t="str">
        <f aca="false">IF(OR(M12="ER",M13="ER"),"ER",IF(OR(M12="?",M13="?"),"?",IF(AND(M12="NA",M13="NA"),"NA",SUM(M12,M13)/((M12&lt;&gt;"NA")*$F$12+(M13&lt;&gt;"NA")*$F$13)*$F11)))</f>
        <v>NA</v>
      </c>
    </row>
    <row r="12" customFormat="false" ht="15" hidden="false" customHeight="true" outlineLevel="0" collapsed="false">
      <c r="A12" s="8" t="s">
        <v>88</v>
      </c>
      <c r="B12" s="8" t="str">
        <f aca="false">VLOOKUP($A12,'PARASTATAL Questions'!$A:$J,3,0)&amp;""</f>
        <v>Urban Planning &amp; Design (UPD)</v>
      </c>
      <c r="C12" s="8" t="str">
        <f aca="false">VLOOKUP($A12,'PARASTATAL Questions'!$A:$J,4,0)&amp;""</f>
        <v>SQ</v>
      </c>
      <c r="D12" s="8" t="str">
        <f aca="false">VLOOKUP($A12,'PARASTATAL Questions'!$A:$J,5,0)&amp;""</f>
        <v>Is the water supply board mandated to consider the needs of women, the urban poor and other vulnerable groups in decisions relating to access, affordability and delivery of water and sanitation services?</v>
      </c>
      <c r="E12" s="8" t="str">
        <f aca="false">VLOOKUP($A12,'PARASTATAL Questions'!$A:$J,7,0)&amp;""</f>
        <v>Law/Policy</v>
      </c>
      <c r="F12" s="8" t="n">
        <f aca="false">VLOOKUP($A12,'PARASTATAL Questions'!$A:$J,6,0)</f>
        <v>5</v>
      </c>
      <c r="G12" s="8" t="n">
        <f aca="true">IF($F12=0,"NA",IF($A12=INDIRECT("'"&amp;$A12&amp;"'!$B$1"),IF(VLOOKUP(G$1,INDIRECT("'"&amp;$A12&amp;"'!$A$12:$Z$19"),MATCH("Points (Auto-generate)",INDIRECT("'"&amp;$A12&amp;"'!$A$12:$Z$12"),0),0)="","?",VLOOKUP(G$1,INDIRECT("'"&amp;$A12&amp;"'!$A$12:$Z$19"),MATCH("Points (Auto-generate)",INDIRECT("'"&amp;$A12&amp;"'!$A$12:$Z$12"),0),0)),"ER"))</f>
        <v>2.5</v>
      </c>
      <c r="H12" s="8" t="str">
        <f aca="true">IF($F12=0,"NA",IF($A12=INDIRECT("'"&amp;$A12&amp;"'!$B$1"),IF(VLOOKUP(H$1,INDIRECT("'"&amp;$A12&amp;"'!$A$12:$Z$19"),MATCH("Points (Auto-generate)",INDIRECT("'"&amp;$A12&amp;"'!$A$12:$Z$12"),0),0)="","?",VLOOKUP(H$1,INDIRECT("'"&amp;$A12&amp;"'!$A$12:$Z$19"),MATCH("Points (Auto-generate)",INDIRECT("'"&amp;$A12&amp;"'!$A$12:$Z$12"),0),0)),"ER"))</f>
        <v>NA</v>
      </c>
      <c r="I12" s="8" t="str">
        <f aca="true">IF($F12=0,"NA",IF($A12=INDIRECT("'"&amp;$A12&amp;"'!$B$1"),IF(VLOOKUP(I$1,INDIRECT("'"&amp;$A12&amp;"'!$A$12:$Z$19"),MATCH("Points (Auto-generate)",INDIRECT("'"&amp;$A12&amp;"'!$A$12:$Z$12"),0),0)="","?",VLOOKUP(I$1,INDIRECT("'"&amp;$A12&amp;"'!$A$12:$Z$19"),MATCH("Points (Auto-generate)",INDIRECT("'"&amp;$A12&amp;"'!$A$12:$Z$12"),0),0)),"ER"))</f>
        <v>NA</v>
      </c>
      <c r="J12" s="8" t="str">
        <f aca="true">IF($F12=0,"NA",IF($A12=INDIRECT("'"&amp;$A12&amp;"'!$B$1"),IF(VLOOKUP(J$1,INDIRECT("'"&amp;$A12&amp;"'!$A$12:$Z$19"),MATCH("Points (Auto-generate)",INDIRECT("'"&amp;$A12&amp;"'!$A$12:$Z$12"),0),0)="","?",VLOOKUP(J$1,INDIRECT("'"&amp;$A12&amp;"'!$A$12:$Z$19"),MATCH("Points (Auto-generate)",INDIRECT("'"&amp;$A12&amp;"'!$A$12:$Z$12"),0),0)),"ER"))</f>
        <v>NA</v>
      </c>
      <c r="K12" s="8" t="str">
        <f aca="true">IF($F12=0,"NA",IF($A12=INDIRECT("'"&amp;$A12&amp;"'!$B$1"),IF(VLOOKUP(K$1,INDIRECT("'"&amp;$A12&amp;"'!$A$12:$Z$19"),MATCH("Points (Auto-generate)",INDIRECT("'"&amp;$A12&amp;"'!$A$12:$Z$12"),0),0)="","?",VLOOKUP(K$1,INDIRECT("'"&amp;$A12&amp;"'!$A$12:$Z$19"),MATCH("Points (Auto-generate)",INDIRECT("'"&amp;$A12&amp;"'!$A$12:$Z$12"),0),0)),"ER"))</f>
        <v>NA</v>
      </c>
      <c r="L12" s="8" t="str">
        <f aca="true">IF($F12=0,"NA",IF($A12=INDIRECT("'"&amp;$A12&amp;"'!$B$1"),IF(VLOOKUP(L$1,INDIRECT("'"&amp;$A12&amp;"'!$A$12:$Z$19"),MATCH("Points (Auto-generate)",INDIRECT("'"&amp;$A12&amp;"'!$A$12:$Z$12"),0),0)="","?",VLOOKUP(L$1,INDIRECT("'"&amp;$A12&amp;"'!$A$12:$Z$19"),MATCH("Points (Auto-generate)",INDIRECT("'"&amp;$A12&amp;"'!$A$12:$Z$12"),0),0)),"ER"))</f>
        <v>NA</v>
      </c>
      <c r="M12" s="8" t="str">
        <f aca="true">IF($F12=0,"NA",IF($A12=INDIRECT("'"&amp;$A12&amp;"'!$B$1"),IF(VLOOKUP(M$1,INDIRECT("'"&amp;$A12&amp;"'!$A$12:$Z$19"),MATCH("Points (Auto-generate)",INDIRECT("'"&amp;$A12&amp;"'!$A$12:$Z$12"),0),0)="","?",VLOOKUP(M$1,INDIRECT("'"&amp;$A12&amp;"'!$A$12:$Z$19"),MATCH("Points (Auto-generate)",INDIRECT("'"&amp;$A12&amp;"'!$A$12:$Z$12"),0),0)),"ER"))</f>
        <v>NA</v>
      </c>
    </row>
    <row r="13" customFormat="false" ht="15" hidden="false" customHeight="true" outlineLevel="0" collapsed="false">
      <c r="A13" s="8" t="s">
        <v>92</v>
      </c>
      <c r="B13" s="8" t="str">
        <f aca="false">VLOOKUP($A13,'PARASTATAL Questions'!$A:$J,3,0)&amp;""</f>
        <v>Urban Planning &amp; Design (UPD)</v>
      </c>
      <c r="C13" s="8" t="str">
        <f aca="false">VLOOKUP($A13,'PARASTATAL Questions'!$A:$J,4,0)&amp;""</f>
        <v>SQ</v>
      </c>
      <c r="D13" s="8" t="str">
        <f aca="false">VLOOKUP($A13,'PARASTATAL Questions'!$A:$J,5,0)&amp;""</f>
        <v>Does the water supply board actually consider the needs of women, the urban poor and other vulnerable groups in decisions relating to access, affordability and delivery of water and sanitation services?</v>
      </c>
      <c r="E13" s="8" t="str">
        <f aca="false">VLOOKUP($A13,'PARASTATAL Questions'!$A:$J,7,0)&amp;""</f>
        <v>Implementation</v>
      </c>
      <c r="F13" s="8" t="n">
        <f aca="false">VLOOKUP($A13,'PARASTATAL Questions'!$A:$J,6,0)</f>
        <v>5</v>
      </c>
      <c r="G13" s="8" t="n">
        <f aca="true">IF($F13=0,"NA",IF($A13=INDIRECT("'"&amp;$A13&amp;"'!$B$1"),IF(VLOOKUP(G$1,INDIRECT("'"&amp;$A13&amp;"'!$A$12:$Z$19"),MATCH("Points (Auto-generate)",INDIRECT("'"&amp;$A13&amp;"'!$A$12:$Z$12"),0),0)="","?",VLOOKUP(G$1,INDIRECT("'"&amp;$A13&amp;"'!$A$12:$Z$19"),MATCH("Points (Auto-generate)",INDIRECT("'"&amp;$A13&amp;"'!$A$12:$Z$12"),0),0)),"ER"))</f>
        <v>2.5</v>
      </c>
      <c r="H13" s="8" t="str">
        <f aca="true">IF($F13=0,"NA",IF($A13=INDIRECT("'"&amp;$A13&amp;"'!$B$1"),IF(VLOOKUP(H$1,INDIRECT("'"&amp;$A13&amp;"'!$A$12:$Z$19"),MATCH("Points (Auto-generate)",INDIRECT("'"&amp;$A13&amp;"'!$A$12:$Z$12"),0),0)="","?",VLOOKUP(H$1,INDIRECT("'"&amp;$A13&amp;"'!$A$12:$Z$19"),MATCH("Points (Auto-generate)",INDIRECT("'"&amp;$A13&amp;"'!$A$12:$Z$12"),0),0)),"ER"))</f>
        <v>NA</v>
      </c>
      <c r="I13" s="8" t="str">
        <f aca="true">IF($F13=0,"NA",IF($A13=INDIRECT("'"&amp;$A13&amp;"'!$B$1"),IF(VLOOKUP(I$1,INDIRECT("'"&amp;$A13&amp;"'!$A$12:$Z$19"),MATCH("Points (Auto-generate)",INDIRECT("'"&amp;$A13&amp;"'!$A$12:$Z$12"),0),0)="","?",VLOOKUP(I$1,INDIRECT("'"&amp;$A13&amp;"'!$A$12:$Z$19"),MATCH("Points (Auto-generate)",INDIRECT("'"&amp;$A13&amp;"'!$A$12:$Z$12"),0),0)),"ER"))</f>
        <v>NA</v>
      </c>
      <c r="J13" s="8" t="str">
        <f aca="true">IF($F13=0,"NA",IF($A13=INDIRECT("'"&amp;$A13&amp;"'!$B$1"),IF(VLOOKUP(J$1,INDIRECT("'"&amp;$A13&amp;"'!$A$12:$Z$19"),MATCH("Points (Auto-generate)",INDIRECT("'"&amp;$A13&amp;"'!$A$12:$Z$12"),0),0)="","?",VLOOKUP(J$1,INDIRECT("'"&amp;$A13&amp;"'!$A$12:$Z$19"),MATCH("Points (Auto-generate)",INDIRECT("'"&amp;$A13&amp;"'!$A$12:$Z$12"),0),0)),"ER"))</f>
        <v>NA</v>
      </c>
      <c r="K13" s="8" t="str">
        <f aca="true">IF($F13=0,"NA",IF($A13=INDIRECT("'"&amp;$A13&amp;"'!$B$1"),IF(VLOOKUP(K$1,INDIRECT("'"&amp;$A13&amp;"'!$A$12:$Z$19"),MATCH("Points (Auto-generate)",INDIRECT("'"&amp;$A13&amp;"'!$A$12:$Z$12"),0),0)="","?",VLOOKUP(K$1,INDIRECT("'"&amp;$A13&amp;"'!$A$12:$Z$19"),MATCH("Points (Auto-generate)",INDIRECT("'"&amp;$A13&amp;"'!$A$12:$Z$12"),0),0)),"ER"))</f>
        <v>NA</v>
      </c>
      <c r="L13" s="8" t="str">
        <f aca="true">IF($F13=0,"NA",IF($A13=INDIRECT("'"&amp;$A13&amp;"'!$B$1"),IF(VLOOKUP(L$1,INDIRECT("'"&amp;$A13&amp;"'!$A$12:$Z$19"),MATCH("Points (Auto-generate)",INDIRECT("'"&amp;$A13&amp;"'!$A$12:$Z$12"),0),0)="","?",VLOOKUP(L$1,INDIRECT("'"&amp;$A13&amp;"'!$A$12:$Z$19"),MATCH("Points (Auto-generate)",INDIRECT("'"&amp;$A13&amp;"'!$A$12:$Z$12"),0),0)),"ER"))</f>
        <v>NA</v>
      </c>
      <c r="M13" s="8" t="str">
        <f aca="true">IF($F13=0,"NA",IF($A13=INDIRECT("'"&amp;$A13&amp;"'!$B$1"),IF(VLOOKUP(M$1,INDIRECT("'"&amp;$A13&amp;"'!$A$12:$Z$19"),MATCH("Points (Auto-generate)",INDIRECT("'"&amp;$A13&amp;"'!$A$12:$Z$12"),0),0)="","?",VLOOKUP(M$1,INDIRECT("'"&amp;$A13&amp;"'!$A$12:$Z$19"),MATCH("Points (Auto-generate)",INDIRECT("'"&amp;$A13&amp;"'!$A$12:$Z$12"),0),0)),"ER"))</f>
        <v>NA</v>
      </c>
    </row>
    <row r="14" customFormat="false" ht="15" hidden="false" customHeight="true" outlineLevel="0" collapsed="false">
      <c r="A14" s="10" t="s">
        <v>598</v>
      </c>
      <c r="B14" s="10" t="str">
        <f aca="false">VLOOKUP($A14,'PARASTATAL Questions'!$A:$J,3,0)&amp;""</f>
        <v>Urban Planning &amp; Design (UPD)</v>
      </c>
      <c r="C14" s="10" t="str">
        <f aca="false">VLOOKUP($A14,'PARASTATAL Questions'!$A:$J,4,0)&amp;""</f>
        <v>MQ</v>
      </c>
      <c r="D14" s="10" t="str">
        <f aca="false">VLOOKUP($A14,'PARASTATAL Questions'!$A:$J,5,0)&amp;""</f>
        <v>Are the needs of women, the urban poor, and other vulnerable groups explicitly considered in the transport Corporation’s planning, service delivery or major investment decisions?</v>
      </c>
      <c r="E14" s="10" t="str">
        <f aca="false">VLOOKUP($A14,'PARASTATAL Questions'!$A:$J,7,0)&amp;""</f>
        <v/>
      </c>
      <c r="F14" s="10" t="n">
        <f aca="false">VLOOKUP($A14,'PARASTATAL Questions'!$A:$J,6,0)</f>
        <v>10</v>
      </c>
      <c r="G14" s="10" t="str">
        <f aca="false">IF(OR(G15="ER",G16="ER"),"ER",IF(OR(G15="?",G16="?"),"?",IF(AND(G15="NA",G16="NA"),"NA",SUM(G15,G16)/((G15&lt;&gt;"NA")*$F$15+(G16&lt;&gt;"NA")*$F$16)*$F14)))</f>
        <v>NA</v>
      </c>
      <c r="H14" s="10" t="str">
        <f aca="false">IF(OR(H15="ER",H16="ER"),"ER",IF(OR(H15="?",H16="?"),"?",IF(AND(H15="NA",H16="NA"),"NA",SUM(H15,H16)/((H15&lt;&gt;"NA")*$F$15+(H16&lt;&gt;"NA")*$F$16)*$F14)))</f>
        <v>?</v>
      </c>
      <c r="I14" s="10" t="str">
        <f aca="false">IF(OR(I15="ER",I16="ER"),"ER",IF(OR(I15="?",I16="?"),"?",IF(AND(I15="NA",I16="NA"),"NA",SUM(I15,I16)/((I15&lt;&gt;"NA")*$F$15+(I16&lt;&gt;"NA")*$F$16)*$F14)))</f>
        <v>NA</v>
      </c>
      <c r="J14" s="10" t="str">
        <f aca="false">IF(OR(J15="ER",J16="ER"),"ER",IF(OR(J15="?",J16="?"),"?",IF(AND(J15="NA",J16="NA"),"NA",SUM(J15,J16)/((J15&lt;&gt;"NA")*$F$15+(J16&lt;&gt;"NA")*$F$16)*$F14)))</f>
        <v>NA</v>
      </c>
      <c r="K14" s="10" t="str">
        <f aca="false">IF(OR(K15="ER",K16="ER"),"ER",IF(OR(K15="?",K16="?"),"?",IF(AND(K15="NA",K16="NA"),"NA",SUM(K15,K16)/((K15&lt;&gt;"NA")*$F$15+(K16&lt;&gt;"NA")*$F$16)*$F14)))</f>
        <v>NA</v>
      </c>
      <c r="L14" s="10" t="str">
        <f aca="false">IF(OR(L15="ER",L16="ER"),"ER",IF(OR(L15="?",L16="?"),"?",IF(AND(L15="NA",L16="NA"),"NA",SUM(L15,L16)/((L15&lt;&gt;"NA")*$F$15+(L16&lt;&gt;"NA")*$F$16)*$F14)))</f>
        <v>NA</v>
      </c>
      <c r="M14" s="10" t="str">
        <f aca="false">IF(OR(M15="ER",M16="ER"),"ER",IF(OR(M15="?",M16="?"),"?",IF(AND(M15="NA",M16="NA"),"NA",SUM(M15,M16)/((M15&lt;&gt;"NA")*$F$15+(M16&lt;&gt;"NA")*$F$16)*$F14)))</f>
        <v>NA</v>
      </c>
    </row>
    <row r="15" customFormat="false" ht="15" hidden="false" customHeight="true" outlineLevel="0" collapsed="false">
      <c r="A15" s="8" t="s">
        <v>98</v>
      </c>
      <c r="B15" s="8" t="str">
        <f aca="false">VLOOKUP($A15,'PARASTATAL Questions'!$A:$J,3,0)&amp;""</f>
        <v>Urban Planning &amp; Design (UPD)</v>
      </c>
      <c r="C15" s="8" t="str">
        <f aca="false">VLOOKUP($A15,'PARASTATAL Questions'!$A:$J,4,0)&amp;""</f>
        <v>SQ</v>
      </c>
      <c r="D15" s="8" t="str">
        <f aca="false">VLOOKUP($A15,'PARASTATAL Questions'!$A:$J,5,0)&amp;""</f>
        <v>Is the transport corporation mandated to consider the mobility needs of women, the urban poor and other vulnerable groups in planning and delivering public transport services?</v>
      </c>
      <c r="E15" s="8" t="str">
        <f aca="false">VLOOKUP($A15,'PARASTATAL Questions'!$A:$J,7,0)&amp;""</f>
        <v>Law/Policy</v>
      </c>
      <c r="F15" s="8" t="n">
        <f aca="false">VLOOKUP($A15,'PARASTATAL Questions'!$A:$J,6,0)</f>
        <v>5</v>
      </c>
      <c r="G15" s="8" t="str">
        <f aca="true">IF($F15=0,"NA",IF($A15=INDIRECT("'"&amp;$A15&amp;"'!$B$1"),IF(VLOOKUP(G$1,INDIRECT("'"&amp;$A15&amp;"'!$A$12:$Z$19"),MATCH("Points (Auto-generate)",INDIRECT("'"&amp;$A15&amp;"'!$A$12:$Z$12"),0),0)="","?",VLOOKUP(G$1,INDIRECT("'"&amp;$A15&amp;"'!$A$12:$Z$19"),MATCH("Points (Auto-generate)",INDIRECT("'"&amp;$A15&amp;"'!$A$12:$Z$12"),0),0)),"ER"))</f>
        <v>NA</v>
      </c>
      <c r="H15" s="8" t="str">
        <f aca="true">IF($F15=0,"NA",IF($A15=INDIRECT("'"&amp;$A15&amp;"'!$B$1"),IF(VLOOKUP(H$1,INDIRECT("'"&amp;$A15&amp;"'!$A$12:$Z$19"),MATCH("Points (Auto-generate)",INDIRECT("'"&amp;$A15&amp;"'!$A$12:$Z$12"),0),0)="","?",VLOOKUP(H$1,INDIRECT("'"&amp;$A15&amp;"'!$A$12:$Z$19"),MATCH("Points (Auto-generate)",INDIRECT("'"&amp;$A15&amp;"'!$A$12:$Z$12"),0),0)),"ER"))</f>
        <v>?</v>
      </c>
      <c r="I15" s="8" t="str">
        <f aca="true">IF($F15=0,"NA",IF($A15=INDIRECT("'"&amp;$A15&amp;"'!$B$1"),IF(VLOOKUP(I$1,INDIRECT("'"&amp;$A15&amp;"'!$A$12:$Z$19"),MATCH("Points (Auto-generate)",INDIRECT("'"&amp;$A15&amp;"'!$A$12:$Z$12"),0),0)="","?",VLOOKUP(I$1,INDIRECT("'"&amp;$A15&amp;"'!$A$12:$Z$19"),MATCH("Points (Auto-generate)",INDIRECT("'"&amp;$A15&amp;"'!$A$12:$Z$12"),0),0)),"ER"))</f>
        <v>NA</v>
      </c>
      <c r="J15" s="8" t="str">
        <f aca="true">IF($F15=0,"NA",IF($A15=INDIRECT("'"&amp;$A15&amp;"'!$B$1"),IF(VLOOKUP(J$1,INDIRECT("'"&amp;$A15&amp;"'!$A$12:$Z$19"),MATCH("Points (Auto-generate)",INDIRECT("'"&amp;$A15&amp;"'!$A$12:$Z$12"),0),0)="","?",VLOOKUP(J$1,INDIRECT("'"&amp;$A15&amp;"'!$A$12:$Z$19"),MATCH("Points (Auto-generate)",INDIRECT("'"&amp;$A15&amp;"'!$A$12:$Z$12"),0),0)),"ER"))</f>
        <v>NA</v>
      </c>
      <c r="K15" s="8" t="str">
        <f aca="true">IF($F15=0,"NA",IF($A15=INDIRECT("'"&amp;$A15&amp;"'!$B$1"),IF(VLOOKUP(K$1,INDIRECT("'"&amp;$A15&amp;"'!$A$12:$Z$19"),MATCH("Points (Auto-generate)",INDIRECT("'"&amp;$A15&amp;"'!$A$12:$Z$12"),0),0)="","?",VLOOKUP(K$1,INDIRECT("'"&amp;$A15&amp;"'!$A$12:$Z$19"),MATCH("Points (Auto-generate)",INDIRECT("'"&amp;$A15&amp;"'!$A$12:$Z$12"),0),0)),"ER"))</f>
        <v>NA</v>
      </c>
      <c r="L15" s="8" t="str">
        <f aca="true">IF($F15=0,"NA",IF($A15=INDIRECT("'"&amp;$A15&amp;"'!$B$1"),IF(VLOOKUP(L$1,INDIRECT("'"&amp;$A15&amp;"'!$A$12:$Z$19"),MATCH("Points (Auto-generate)",INDIRECT("'"&amp;$A15&amp;"'!$A$12:$Z$12"),0),0)="","?",VLOOKUP(L$1,INDIRECT("'"&amp;$A15&amp;"'!$A$12:$Z$19"),MATCH("Points (Auto-generate)",INDIRECT("'"&amp;$A15&amp;"'!$A$12:$Z$12"),0),0)),"ER"))</f>
        <v>NA</v>
      </c>
      <c r="M15" s="8" t="str">
        <f aca="true">IF($F15=0,"NA",IF($A15=INDIRECT("'"&amp;$A15&amp;"'!$B$1"),IF(VLOOKUP(M$1,INDIRECT("'"&amp;$A15&amp;"'!$A$12:$Z$19"),MATCH("Points (Auto-generate)",INDIRECT("'"&amp;$A15&amp;"'!$A$12:$Z$12"),0),0)="","?",VLOOKUP(M$1,INDIRECT("'"&amp;$A15&amp;"'!$A$12:$Z$19"),MATCH("Points (Auto-generate)",INDIRECT("'"&amp;$A15&amp;"'!$A$12:$Z$12"),0),0)),"ER"))</f>
        <v>NA</v>
      </c>
    </row>
    <row r="16" customFormat="false" ht="15" hidden="false" customHeight="true" outlineLevel="0" collapsed="false">
      <c r="A16" s="8" t="s">
        <v>102</v>
      </c>
      <c r="B16" s="8" t="str">
        <f aca="false">VLOOKUP($A16,'PARASTATAL Questions'!$A:$J,3,0)&amp;""</f>
        <v>Urban Planning &amp; Design (UPD)</v>
      </c>
      <c r="C16" s="8" t="str">
        <f aca="false">VLOOKUP($A16,'PARASTATAL Questions'!$A:$J,4,0)&amp;""</f>
        <v>SQ</v>
      </c>
      <c r="D16" s="8" t="str">
        <f aca="false">VLOOKUP($A16,'PARASTATAL Questions'!$A:$J,5,0)&amp;""</f>
        <v>Does the Transport Corporation actually consider the needs of women, the urban poor and other vulnerable groups in decisions relating to access, affordability and delivery of public transport services?</v>
      </c>
      <c r="E16" s="8" t="str">
        <f aca="false">VLOOKUP($A16,'PARASTATAL Questions'!$A:$J,7,0)&amp;""</f>
        <v>Implementation</v>
      </c>
      <c r="F16" s="8" t="n">
        <f aca="false">VLOOKUP($A16,'PARASTATAL Questions'!$A:$J,6,0)</f>
        <v>5</v>
      </c>
      <c r="G16" s="8" t="str">
        <f aca="true">IF($F16=0,"NA",IF($A16=INDIRECT("'"&amp;$A16&amp;"'!$B$1"),IF(VLOOKUP(G$1,INDIRECT("'"&amp;$A16&amp;"'!$A$12:$Z$19"),MATCH("Points (Auto-generate)",INDIRECT("'"&amp;$A16&amp;"'!$A$12:$Z$12"),0),0)="","?",VLOOKUP(G$1,INDIRECT("'"&amp;$A16&amp;"'!$A$12:$Z$19"),MATCH("Points (Auto-generate)",INDIRECT("'"&amp;$A16&amp;"'!$A$12:$Z$12"),0),0)),"ER"))</f>
        <v>NA</v>
      </c>
      <c r="H16" s="8" t="n">
        <f aca="true">IF($F16=0,"NA",IF($A16=INDIRECT("'"&amp;$A16&amp;"'!$B$1"),IF(VLOOKUP(H$1,INDIRECT("'"&amp;$A16&amp;"'!$A$12:$Z$19"),MATCH("Points (Auto-generate)",INDIRECT("'"&amp;$A16&amp;"'!$A$12:$Z$12"),0),0)="","?",VLOOKUP(H$1,INDIRECT("'"&amp;$A16&amp;"'!$A$12:$Z$19"),MATCH("Points (Auto-generate)",INDIRECT("'"&amp;$A16&amp;"'!$A$12:$Z$12"),0),0)),"ER"))</f>
        <v>1.25</v>
      </c>
      <c r="I16" s="8" t="str">
        <f aca="true">IF($F16=0,"NA",IF($A16=INDIRECT("'"&amp;$A16&amp;"'!$B$1"),IF(VLOOKUP(I$1,INDIRECT("'"&amp;$A16&amp;"'!$A$12:$Z$19"),MATCH("Points (Auto-generate)",INDIRECT("'"&amp;$A16&amp;"'!$A$12:$Z$12"),0),0)="","?",VLOOKUP(I$1,INDIRECT("'"&amp;$A16&amp;"'!$A$12:$Z$19"),MATCH("Points (Auto-generate)",INDIRECT("'"&amp;$A16&amp;"'!$A$12:$Z$12"),0),0)),"ER"))</f>
        <v>NA</v>
      </c>
      <c r="J16" s="8" t="str">
        <f aca="true">IF($F16=0,"NA",IF($A16=INDIRECT("'"&amp;$A16&amp;"'!$B$1"),IF(VLOOKUP(J$1,INDIRECT("'"&amp;$A16&amp;"'!$A$12:$Z$19"),MATCH("Points (Auto-generate)",INDIRECT("'"&amp;$A16&amp;"'!$A$12:$Z$12"),0),0)="","?",VLOOKUP(J$1,INDIRECT("'"&amp;$A16&amp;"'!$A$12:$Z$19"),MATCH("Points (Auto-generate)",INDIRECT("'"&amp;$A16&amp;"'!$A$12:$Z$12"),0),0)),"ER"))</f>
        <v>NA</v>
      </c>
      <c r="K16" s="8" t="str">
        <f aca="true">IF($F16=0,"NA",IF($A16=INDIRECT("'"&amp;$A16&amp;"'!$B$1"),IF(VLOOKUP(K$1,INDIRECT("'"&amp;$A16&amp;"'!$A$12:$Z$19"),MATCH("Points (Auto-generate)",INDIRECT("'"&amp;$A16&amp;"'!$A$12:$Z$12"),0),0)="","?",VLOOKUP(K$1,INDIRECT("'"&amp;$A16&amp;"'!$A$12:$Z$19"),MATCH("Points (Auto-generate)",INDIRECT("'"&amp;$A16&amp;"'!$A$12:$Z$12"),0),0)),"ER"))</f>
        <v>NA</v>
      </c>
      <c r="L16" s="8" t="str">
        <f aca="true">IF($F16=0,"NA",IF($A16=INDIRECT("'"&amp;$A16&amp;"'!$B$1"),IF(VLOOKUP(L$1,INDIRECT("'"&amp;$A16&amp;"'!$A$12:$Z$19"),MATCH("Points (Auto-generate)",INDIRECT("'"&amp;$A16&amp;"'!$A$12:$Z$12"),0),0)="","?",VLOOKUP(L$1,INDIRECT("'"&amp;$A16&amp;"'!$A$12:$Z$19"),MATCH("Points (Auto-generate)",INDIRECT("'"&amp;$A16&amp;"'!$A$12:$Z$12"),0),0)),"ER"))</f>
        <v>NA</v>
      </c>
      <c r="M16" s="8" t="str">
        <f aca="true">IF($F16=0,"NA",IF($A16=INDIRECT("'"&amp;$A16&amp;"'!$B$1"),IF(VLOOKUP(M$1,INDIRECT("'"&amp;$A16&amp;"'!$A$12:$Z$19"),MATCH("Points (Auto-generate)",INDIRECT("'"&amp;$A16&amp;"'!$A$12:$Z$12"),0),0)="","?",VLOOKUP(M$1,INDIRECT("'"&amp;$A16&amp;"'!$A$12:$Z$19"),MATCH("Points (Auto-generate)",INDIRECT("'"&amp;$A16&amp;"'!$A$12:$Z$12"),0),0)),"ER"))</f>
        <v>NA</v>
      </c>
    </row>
    <row r="17" customFormat="false" ht="15" hidden="false" customHeight="true" outlineLevel="0" collapsed="false">
      <c r="A17" s="10" t="s">
        <v>599</v>
      </c>
      <c r="B17" s="10" t="str">
        <f aca="false">VLOOKUP($A17,'PARASTATAL Questions'!$A:$J,3,0)&amp;""</f>
        <v>Urban Planning &amp; Design (UPD)</v>
      </c>
      <c r="C17" s="10" t="str">
        <f aca="false">VLOOKUP($A17,'PARASTATAL Questions'!$A:$J,4,0)&amp;""</f>
        <v>MQ</v>
      </c>
      <c r="D17" s="10" t="str">
        <f aca="false">VLOOKUP($A17,'PARASTATAL Questions'!$A:$J,5,0)&amp;""</f>
        <v>Are environmental considerations explicitly required to be integrated into the water supply board’s planning, service-delivery or major investment decisions?</v>
      </c>
      <c r="E17" s="10" t="str">
        <f aca="false">VLOOKUP($A17,'PARASTATAL Questions'!$A:$J,7,0)&amp;""</f>
        <v>Law/Policy</v>
      </c>
      <c r="F17" s="10" t="n">
        <f aca="false">VLOOKUP($A17,'PARASTATAL Questions'!$A:$J,6,0)</f>
        <v>10</v>
      </c>
      <c r="G17" s="10" t="n">
        <f aca="false">IF(OR(G18="ER",G19="ER"),"ER",IF(OR(G18="?",G19="?"),"?",IF(AND(G18="NA",G19="NA"),"NA",SUM(G18,G19)/((G18&lt;&gt;"NA")*$F$18+(G19&lt;&gt;"NA")*$F$19)*$F17)))</f>
        <v>7.5</v>
      </c>
      <c r="H17" s="10" t="str">
        <f aca="false">IF(OR(H18="ER",H19="ER"),"ER",IF(OR(H18="?",H19="?"),"?",IF(AND(H18="NA",H19="NA"),"NA",SUM(H18,H19)/((H18&lt;&gt;"NA")*$F$18+(H19&lt;&gt;"NA")*$F$19)*$F17)))</f>
        <v>NA</v>
      </c>
      <c r="I17" s="10" t="str">
        <f aca="false">IF(OR(I18="ER",I19="ER"),"ER",IF(OR(I18="?",I19="?"),"?",IF(AND(I18="NA",I19="NA"),"NA",SUM(I18,I19)/((I18&lt;&gt;"NA")*$F$18+(I19&lt;&gt;"NA")*$F$19)*$F17)))</f>
        <v>NA</v>
      </c>
      <c r="J17" s="10" t="str">
        <f aca="false">IF(OR(J18="ER",J19="ER"),"ER",IF(OR(J18="?",J19="?"),"?",IF(AND(J18="NA",J19="NA"),"NA",SUM(J18,J19)/((J18&lt;&gt;"NA")*$F$18+(J19&lt;&gt;"NA")*$F$19)*$F17)))</f>
        <v>NA</v>
      </c>
      <c r="K17" s="10" t="str">
        <f aca="false">IF(OR(K18="ER",K19="ER"),"ER",IF(OR(K18="?",K19="?"),"?",IF(AND(K18="NA",K19="NA"),"NA",SUM(K18,K19)/((K18&lt;&gt;"NA")*$F$18+(K19&lt;&gt;"NA")*$F$19)*$F17)))</f>
        <v>NA</v>
      </c>
      <c r="L17" s="10" t="str">
        <f aca="false">IF(OR(L18="ER",L19="ER"),"ER",IF(OR(L18="?",L19="?"),"?",IF(AND(L18="NA",L19="NA"),"NA",SUM(L18,L19)/((L18&lt;&gt;"NA")*$F$18+(L19&lt;&gt;"NA")*$F$19)*$F17)))</f>
        <v>NA</v>
      </c>
      <c r="M17" s="10" t="str">
        <f aca="false">IF(OR(M18="ER",M19="ER"),"ER",IF(OR(M18="?",M19="?"),"?",IF(AND(M18="NA",M19="NA"),"NA",SUM(M18,M19)/((M18&lt;&gt;"NA")*$F$18+(M19&lt;&gt;"NA")*$F$19)*$F17)))</f>
        <v>NA</v>
      </c>
    </row>
    <row r="18" customFormat="false" ht="15" hidden="false" customHeight="true" outlineLevel="0" collapsed="false">
      <c r="A18" s="8" t="s">
        <v>108</v>
      </c>
      <c r="B18" s="8" t="str">
        <f aca="false">VLOOKUP($A18,'PARASTATAL Questions'!$A:$J,3,0)&amp;""</f>
        <v>Urban Planning &amp; Design (UPD)</v>
      </c>
      <c r="C18" s="8" t="str">
        <f aca="false">VLOOKUP($A18,'PARASTATAL Questions'!$A:$J,4,0)&amp;""</f>
        <v>SQ</v>
      </c>
      <c r="D18" s="8" t="str">
        <f aca="false">VLOOKUP($A18,'PARASTATAL Questions'!$A:$J,5,0)&amp;""</f>
        <v>Is the water supply board mandated to consider environmental sustainability in planning and delivering water and sanitation services?</v>
      </c>
      <c r="E18" s="8" t="str">
        <f aca="false">VLOOKUP($A18,'PARASTATAL Questions'!$A:$J,7,0)&amp;""</f>
        <v>Law/Policy</v>
      </c>
      <c r="F18" s="8" t="n">
        <f aca="false">VLOOKUP($A18,'PARASTATAL Questions'!$A:$J,6,0)</f>
        <v>5</v>
      </c>
      <c r="G18" s="8" t="n">
        <f aca="true">IF($F18=0,"NA",IF($A18=INDIRECT("'"&amp;$A18&amp;"'!$B$1"),IF(VLOOKUP(G$1,INDIRECT("'"&amp;$A18&amp;"'!$A$12:$Z$19"),MATCH("Points (Auto-generate)",INDIRECT("'"&amp;$A18&amp;"'!$A$12:$Z$12"),0),0)="","?",VLOOKUP(G$1,INDIRECT("'"&amp;$A18&amp;"'!$A$12:$Z$19"),MATCH("Points (Auto-generate)",INDIRECT("'"&amp;$A18&amp;"'!$A$12:$Z$12"),0),0)),"ER"))</f>
        <v>2.5</v>
      </c>
      <c r="H18" s="8" t="str">
        <f aca="true">IF($F18=0,"NA",IF($A18=INDIRECT("'"&amp;$A18&amp;"'!$B$1"),IF(VLOOKUP(H$1,INDIRECT("'"&amp;$A18&amp;"'!$A$12:$Z$19"),MATCH("Points (Auto-generate)",INDIRECT("'"&amp;$A18&amp;"'!$A$12:$Z$12"),0),0)="","?",VLOOKUP(H$1,INDIRECT("'"&amp;$A18&amp;"'!$A$12:$Z$19"),MATCH("Points (Auto-generate)",INDIRECT("'"&amp;$A18&amp;"'!$A$12:$Z$12"),0),0)),"ER"))</f>
        <v>NA</v>
      </c>
      <c r="I18" s="8" t="str">
        <f aca="true">IF($F18=0,"NA",IF($A18=INDIRECT("'"&amp;$A18&amp;"'!$B$1"),IF(VLOOKUP(I$1,INDIRECT("'"&amp;$A18&amp;"'!$A$12:$Z$19"),MATCH("Points (Auto-generate)",INDIRECT("'"&amp;$A18&amp;"'!$A$12:$Z$12"),0),0)="","?",VLOOKUP(I$1,INDIRECT("'"&amp;$A18&amp;"'!$A$12:$Z$19"),MATCH("Points (Auto-generate)",INDIRECT("'"&amp;$A18&amp;"'!$A$12:$Z$12"),0),0)),"ER"))</f>
        <v>NA</v>
      </c>
      <c r="J18" s="8" t="str">
        <f aca="true">IF($F18=0,"NA",IF($A18=INDIRECT("'"&amp;$A18&amp;"'!$B$1"),IF(VLOOKUP(J$1,INDIRECT("'"&amp;$A18&amp;"'!$A$12:$Z$19"),MATCH("Points (Auto-generate)",INDIRECT("'"&amp;$A18&amp;"'!$A$12:$Z$12"),0),0)="","?",VLOOKUP(J$1,INDIRECT("'"&amp;$A18&amp;"'!$A$12:$Z$19"),MATCH("Points (Auto-generate)",INDIRECT("'"&amp;$A18&amp;"'!$A$12:$Z$12"),0),0)),"ER"))</f>
        <v>NA</v>
      </c>
      <c r="K18" s="8" t="str">
        <f aca="true">IF($F18=0,"NA",IF($A18=INDIRECT("'"&amp;$A18&amp;"'!$B$1"),IF(VLOOKUP(K$1,INDIRECT("'"&amp;$A18&amp;"'!$A$12:$Z$19"),MATCH("Points (Auto-generate)",INDIRECT("'"&amp;$A18&amp;"'!$A$12:$Z$12"),0),0)="","?",VLOOKUP(K$1,INDIRECT("'"&amp;$A18&amp;"'!$A$12:$Z$19"),MATCH("Points (Auto-generate)",INDIRECT("'"&amp;$A18&amp;"'!$A$12:$Z$12"),0),0)),"ER"))</f>
        <v>NA</v>
      </c>
      <c r="L18" s="8" t="str">
        <f aca="true">IF($F18=0,"NA",IF($A18=INDIRECT("'"&amp;$A18&amp;"'!$B$1"),IF(VLOOKUP(L$1,INDIRECT("'"&amp;$A18&amp;"'!$A$12:$Z$19"),MATCH("Points (Auto-generate)",INDIRECT("'"&amp;$A18&amp;"'!$A$12:$Z$12"),0),0)="","?",VLOOKUP(L$1,INDIRECT("'"&amp;$A18&amp;"'!$A$12:$Z$19"),MATCH("Points (Auto-generate)",INDIRECT("'"&amp;$A18&amp;"'!$A$12:$Z$12"),0),0)),"ER"))</f>
        <v>NA</v>
      </c>
      <c r="M18" s="8" t="str">
        <f aca="true">IF($F18=0,"NA",IF($A18=INDIRECT("'"&amp;$A18&amp;"'!$B$1"),IF(VLOOKUP(M$1,INDIRECT("'"&amp;$A18&amp;"'!$A$12:$Z$19"),MATCH("Points (Auto-generate)",INDIRECT("'"&amp;$A18&amp;"'!$A$12:$Z$12"),0),0)="","?",VLOOKUP(M$1,INDIRECT("'"&amp;$A18&amp;"'!$A$12:$Z$19"),MATCH("Points (Auto-generate)",INDIRECT("'"&amp;$A18&amp;"'!$A$12:$Z$12"),0),0)),"ER"))</f>
        <v>NA</v>
      </c>
    </row>
    <row r="19" customFormat="false" ht="15" hidden="false" customHeight="true" outlineLevel="0" collapsed="false">
      <c r="A19" s="8" t="s">
        <v>112</v>
      </c>
      <c r="B19" s="8" t="str">
        <f aca="false">VLOOKUP($A19,'PARASTATAL Questions'!$A:$J,3,0)&amp;""</f>
        <v>Urban Planning &amp; Design (UPD)</v>
      </c>
      <c r="C19" s="8" t="str">
        <f aca="false">VLOOKUP($A19,'PARASTATAL Questions'!$A:$J,4,0)&amp;""</f>
        <v>SQ</v>
      </c>
      <c r="D19" s="8" t="str">
        <f aca="false">VLOOKUP($A19,'PARASTATAL Questions'!$A:$J,5,0)&amp;""</f>
        <v>Does the water supply board actually consider environmental sustainability in planning and delivering water and sanitation services?</v>
      </c>
      <c r="E19" s="8" t="str">
        <f aca="false">VLOOKUP($A19,'PARASTATAL Questions'!$A:$J,7,0)&amp;""</f>
        <v>Implementation</v>
      </c>
      <c r="F19" s="8" t="n">
        <f aca="false">VLOOKUP($A19,'PARASTATAL Questions'!$A:$J,6,0)</f>
        <v>5</v>
      </c>
      <c r="G19" s="8" t="n">
        <f aca="true">IF($F19=0,"NA",IF($A19=INDIRECT("'"&amp;$A19&amp;"'!$B$1"),IF(VLOOKUP(G$1,INDIRECT("'"&amp;$A19&amp;"'!$A$12:$Z$19"),MATCH("Points (Auto-generate)",INDIRECT("'"&amp;$A19&amp;"'!$A$12:$Z$12"),0),0)="","?",VLOOKUP(G$1,INDIRECT("'"&amp;$A19&amp;"'!$A$12:$Z$19"),MATCH("Points (Auto-generate)",INDIRECT("'"&amp;$A19&amp;"'!$A$12:$Z$12"),0),0)),"ER"))</f>
        <v>5</v>
      </c>
      <c r="H19" s="8" t="str">
        <f aca="true">IF($F19=0,"NA",IF($A19=INDIRECT("'"&amp;$A19&amp;"'!$B$1"),IF(VLOOKUP(H$1,INDIRECT("'"&amp;$A19&amp;"'!$A$12:$Z$19"),MATCH("Points (Auto-generate)",INDIRECT("'"&amp;$A19&amp;"'!$A$12:$Z$12"),0),0)="","?",VLOOKUP(H$1,INDIRECT("'"&amp;$A19&amp;"'!$A$12:$Z$19"),MATCH("Points (Auto-generate)",INDIRECT("'"&amp;$A19&amp;"'!$A$12:$Z$12"),0),0)),"ER"))</f>
        <v>NA</v>
      </c>
      <c r="I19" s="8" t="str">
        <f aca="true">IF($F19=0,"NA",IF($A19=INDIRECT("'"&amp;$A19&amp;"'!$B$1"),IF(VLOOKUP(I$1,INDIRECT("'"&amp;$A19&amp;"'!$A$12:$Z$19"),MATCH("Points (Auto-generate)",INDIRECT("'"&amp;$A19&amp;"'!$A$12:$Z$12"),0),0)="","?",VLOOKUP(I$1,INDIRECT("'"&amp;$A19&amp;"'!$A$12:$Z$19"),MATCH("Points (Auto-generate)",INDIRECT("'"&amp;$A19&amp;"'!$A$12:$Z$12"),0),0)),"ER"))</f>
        <v>NA</v>
      </c>
      <c r="J19" s="8" t="str">
        <f aca="true">IF($F19=0,"NA",IF($A19=INDIRECT("'"&amp;$A19&amp;"'!$B$1"),IF(VLOOKUP(J$1,INDIRECT("'"&amp;$A19&amp;"'!$A$12:$Z$19"),MATCH("Points (Auto-generate)",INDIRECT("'"&amp;$A19&amp;"'!$A$12:$Z$12"),0),0)="","?",VLOOKUP(J$1,INDIRECT("'"&amp;$A19&amp;"'!$A$12:$Z$19"),MATCH("Points (Auto-generate)",INDIRECT("'"&amp;$A19&amp;"'!$A$12:$Z$12"),0),0)),"ER"))</f>
        <v>NA</v>
      </c>
      <c r="K19" s="8" t="str">
        <f aca="true">IF($F19=0,"NA",IF($A19=INDIRECT("'"&amp;$A19&amp;"'!$B$1"),IF(VLOOKUP(K$1,INDIRECT("'"&amp;$A19&amp;"'!$A$12:$Z$19"),MATCH("Points (Auto-generate)",INDIRECT("'"&amp;$A19&amp;"'!$A$12:$Z$12"),0),0)="","?",VLOOKUP(K$1,INDIRECT("'"&amp;$A19&amp;"'!$A$12:$Z$19"),MATCH("Points (Auto-generate)",INDIRECT("'"&amp;$A19&amp;"'!$A$12:$Z$12"),0),0)),"ER"))</f>
        <v>NA</v>
      </c>
      <c r="L19" s="8" t="str">
        <f aca="true">IF($F19=0,"NA",IF($A19=INDIRECT("'"&amp;$A19&amp;"'!$B$1"),IF(VLOOKUP(L$1,INDIRECT("'"&amp;$A19&amp;"'!$A$12:$Z$19"),MATCH("Points (Auto-generate)",INDIRECT("'"&amp;$A19&amp;"'!$A$12:$Z$12"),0),0)="","?",VLOOKUP(L$1,INDIRECT("'"&amp;$A19&amp;"'!$A$12:$Z$19"),MATCH("Points (Auto-generate)",INDIRECT("'"&amp;$A19&amp;"'!$A$12:$Z$12"),0),0)),"ER"))</f>
        <v>NA</v>
      </c>
      <c r="M19" s="8" t="str">
        <f aca="true">IF($F19=0,"NA",IF($A19=INDIRECT("'"&amp;$A19&amp;"'!$B$1"),IF(VLOOKUP(M$1,INDIRECT("'"&amp;$A19&amp;"'!$A$12:$Z$19"),MATCH("Points (Auto-generate)",INDIRECT("'"&amp;$A19&amp;"'!$A$12:$Z$12"),0),0)="","?",VLOOKUP(M$1,INDIRECT("'"&amp;$A19&amp;"'!$A$12:$Z$19"),MATCH("Points (Auto-generate)",INDIRECT("'"&amp;$A19&amp;"'!$A$12:$Z$12"),0),0)),"ER"))</f>
        <v>NA</v>
      </c>
    </row>
    <row r="20" customFormat="false" ht="15" hidden="false" customHeight="true" outlineLevel="0" collapsed="false">
      <c r="A20" s="10" t="s">
        <v>600</v>
      </c>
      <c r="B20" s="10" t="str">
        <f aca="false">VLOOKUP($A20,'PARASTATAL Questions'!$A:$J,3,0)&amp;""</f>
        <v>Urban Planning &amp; Design (UPD)</v>
      </c>
      <c r="C20" s="10" t="str">
        <f aca="false">VLOOKUP($A20,'PARASTATAL Questions'!$A:$J,4,0)&amp;""</f>
        <v>MQ</v>
      </c>
      <c r="D20" s="10" t="str">
        <f aca="false">VLOOKUP($A20,'PARASTATAL Questions'!$A:$J,5,0)&amp;""</f>
        <v>Are environmental considerations explicitly required to be integrated into the transport corporation’s planning, service-delivery or major investment decisions?</v>
      </c>
      <c r="E20" s="10" t="str">
        <f aca="false">VLOOKUP($A20,'PARASTATAL Questions'!$A:$J,7,0)&amp;""</f>
        <v/>
      </c>
      <c r="F20" s="10" t="n">
        <f aca="false">VLOOKUP($A20,'PARASTATAL Questions'!$A:$J,6,0)</f>
        <v>10</v>
      </c>
      <c r="G20" s="10" t="str">
        <f aca="false">IF(OR(G21="ER",G22="ER"),"ER",IF(OR(G21="?",G22="?"),"?",IF(AND(G21="NA",G22="NA"),"NA",SUM(G21,G22)/((G21&lt;&gt;"NA")*$F$21+(G22&lt;&gt;"NA")*$F$22)*$F20)))</f>
        <v>NA</v>
      </c>
      <c r="H20" s="10" t="n">
        <f aca="false">IF(OR(H21="ER",H22="ER"),"ER",IF(OR(H21="?",H22="?"),"?",IF(AND(H21="NA",H22="NA"),"NA",SUM(H21,H22)/((H21&lt;&gt;"NA")*$F$21+(H22&lt;&gt;"NA")*$F$22)*$F20)))</f>
        <v>3.75</v>
      </c>
      <c r="I20" s="10" t="str">
        <f aca="false">IF(OR(I21="ER",I22="ER"),"ER",IF(OR(I21="?",I22="?"),"?",IF(AND(I21="NA",I22="NA"),"NA",SUM(I21,I22)/((I21&lt;&gt;"NA")*$F$21+(I22&lt;&gt;"NA")*$F$22)*$F20)))</f>
        <v>NA</v>
      </c>
      <c r="J20" s="10" t="str">
        <f aca="false">IF(OR(J21="ER",J22="ER"),"ER",IF(OR(J21="?",J22="?"),"?",IF(AND(J21="NA",J22="NA"),"NA",SUM(J21,J22)/((J21&lt;&gt;"NA")*$F$21+(J22&lt;&gt;"NA")*$F$22)*$F20)))</f>
        <v>NA</v>
      </c>
      <c r="K20" s="10" t="str">
        <f aca="false">IF(OR(K21="ER",K22="ER"),"ER",IF(OR(K21="?",K22="?"),"?",IF(AND(K21="NA",K22="NA"),"NA",SUM(K21,K22)/((K21&lt;&gt;"NA")*$F$21+(K22&lt;&gt;"NA")*$F$22)*$F20)))</f>
        <v>NA</v>
      </c>
      <c r="L20" s="10" t="str">
        <f aca="false">IF(OR(L21="ER",L22="ER"),"ER",IF(OR(L21="?",L22="?"),"?",IF(AND(L21="NA",L22="NA"),"NA",SUM(L21,L22)/((L21&lt;&gt;"NA")*$F$21+(L22&lt;&gt;"NA")*$F$22)*$F20)))</f>
        <v>NA</v>
      </c>
      <c r="M20" s="10" t="str">
        <f aca="false">IF(OR(M21="ER",M22="ER"),"ER",IF(OR(M21="?",M22="?"),"?",IF(AND(M21="NA",M22="NA"),"NA",SUM(M21,M22)/((M21&lt;&gt;"NA")*$F$21+(M22&lt;&gt;"NA")*$F$22)*$F20)))</f>
        <v>NA</v>
      </c>
    </row>
    <row r="21" customFormat="false" ht="15" hidden="false" customHeight="true" outlineLevel="0" collapsed="false">
      <c r="A21" s="8" t="s">
        <v>118</v>
      </c>
      <c r="B21" s="8" t="str">
        <f aca="false">VLOOKUP($A21,'PARASTATAL Questions'!$A:$J,3,0)&amp;""</f>
        <v>Urban Planning &amp; Design (UPD)</v>
      </c>
      <c r="C21" s="8" t="str">
        <f aca="false">VLOOKUP($A21,'PARASTATAL Questions'!$A:$J,4,0)&amp;""</f>
        <v>SQ</v>
      </c>
      <c r="D21" s="8" t="str">
        <f aca="false">VLOOKUP($A21,'PARASTATAL Questions'!$A:$J,5,0)&amp;""</f>
        <v>Is the transport corporation mandated to consider environmental sustainability in planning and delivering urban transport services and investments?</v>
      </c>
      <c r="E21" s="8" t="str">
        <f aca="false">VLOOKUP($A21,'PARASTATAL Questions'!$A:$J,7,0)&amp;""</f>
        <v>Law/Policy</v>
      </c>
      <c r="F21" s="8" t="n">
        <f aca="false">VLOOKUP($A21,'PARASTATAL Questions'!$A:$J,6,0)</f>
        <v>5</v>
      </c>
      <c r="G21" s="8" t="str">
        <f aca="true">IF($F21=0,"NA",IF($A21=INDIRECT("'"&amp;$A21&amp;"'!$B$1"),IF(VLOOKUP(G$1,INDIRECT("'"&amp;$A21&amp;"'!$A$12:$Z$19"),MATCH("Points (Auto-generate)",INDIRECT("'"&amp;$A21&amp;"'!$A$12:$Z$12"),0),0)="","?",VLOOKUP(G$1,INDIRECT("'"&amp;$A21&amp;"'!$A$12:$Z$19"),MATCH("Points (Auto-generate)",INDIRECT("'"&amp;$A21&amp;"'!$A$12:$Z$12"),0),0)),"ER"))</f>
        <v>NA</v>
      </c>
      <c r="H21" s="8" t="n">
        <f aca="true">IF($F21=0,"NA",IF($A21=INDIRECT("'"&amp;$A21&amp;"'!$B$1"),IF(VLOOKUP(H$1,INDIRECT("'"&amp;$A21&amp;"'!$A$12:$Z$19"),MATCH("Points (Auto-generate)",INDIRECT("'"&amp;$A21&amp;"'!$A$12:$Z$12"),0),0)="","?",VLOOKUP(H$1,INDIRECT("'"&amp;$A21&amp;"'!$A$12:$Z$19"),MATCH("Points (Auto-generate)",INDIRECT("'"&amp;$A21&amp;"'!$A$12:$Z$12"),0),0)),"ER"))</f>
        <v>2.5</v>
      </c>
      <c r="I21" s="8" t="str">
        <f aca="true">IF($F21=0,"NA",IF($A21=INDIRECT("'"&amp;$A21&amp;"'!$B$1"),IF(VLOOKUP(I$1,INDIRECT("'"&amp;$A21&amp;"'!$A$12:$Z$19"),MATCH("Points (Auto-generate)",INDIRECT("'"&amp;$A21&amp;"'!$A$12:$Z$12"),0),0)="","?",VLOOKUP(I$1,INDIRECT("'"&amp;$A21&amp;"'!$A$12:$Z$19"),MATCH("Points (Auto-generate)",INDIRECT("'"&amp;$A21&amp;"'!$A$12:$Z$12"),0),0)),"ER"))</f>
        <v>NA</v>
      </c>
      <c r="J21" s="8" t="str">
        <f aca="true">IF($F21=0,"NA",IF($A21=INDIRECT("'"&amp;$A21&amp;"'!$B$1"),IF(VLOOKUP(J$1,INDIRECT("'"&amp;$A21&amp;"'!$A$12:$Z$19"),MATCH("Points (Auto-generate)",INDIRECT("'"&amp;$A21&amp;"'!$A$12:$Z$12"),0),0)="","?",VLOOKUP(J$1,INDIRECT("'"&amp;$A21&amp;"'!$A$12:$Z$19"),MATCH("Points (Auto-generate)",INDIRECT("'"&amp;$A21&amp;"'!$A$12:$Z$12"),0),0)),"ER"))</f>
        <v>NA</v>
      </c>
      <c r="K21" s="8" t="str">
        <f aca="true">IF($F21=0,"NA",IF($A21=INDIRECT("'"&amp;$A21&amp;"'!$B$1"),IF(VLOOKUP(K$1,INDIRECT("'"&amp;$A21&amp;"'!$A$12:$Z$19"),MATCH("Points (Auto-generate)",INDIRECT("'"&amp;$A21&amp;"'!$A$12:$Z$12"),0),0)="","?",VLOOKUP(K$1,INDIRECT("'"&amp;$A21&amp;"'!$A$12:$Z$19"),MATCH("Points (Auto-generate)",INDIRECT("'"&amp;$A21&amp;"'!$A$12:$Z$12"),0),0)),"ER"))</f>
        <v>NA</v>
      </c>
      <c r="L21" s="8" t="str">
        <f aca="true">IF($F21=0,"NA",IF($A21=INDIRECT("'"&amp;$A21&amp;"'!$B$1"),IF(VLOOKUP(L$1,INDIRECT("'"&amp;$A21&amp;"'!$A$12:$Z$19"),MATCH("Points (Auto-generate)",INDIRECT("'"&amp;$A21&amp;"'!$A$12:$Z$12"),0),0)="","?",VLOOKUP(L$1,INDIRECT("'"&amp;$A21&amp;"'!$A$12:$Z$19"),MATCH("Points (Auto-generate)",INDIRECT("'"&amp;$A21&amp;"'!$A$12:$Z$12"),0),0)),"ER"))</f>
        <v>NA</v>
      </c>
      <c r="M21" s="8" t="str">
        <f aca="true">IF($F21=0,"NA",IF($A21=INDIRECT("'"&amp;$A21&amp;"'!$B$1"),IF(VLOOKUP(M$1,INDIRECT("'"&amp;$A21&amp;"'!$A$12:$Z$19"),MATCH("Points (Auto-generate)",INDIRECT("'"&amp;$A21&amp;"'!$A$12:$Z$12"),0),0)="","?",VLOOKUP(M$1,INDIRECT("'"&amp;$A21&amp;"'!$A$12:$Z$19"),MATCH("Points (Auto-generate)",INDIRECT("'"&amp;$A21&amp;"'!$A$12:$Z$12"),0),0)),"ER"))</f>
        <v>NA</v>
      </c>
    </row>
    <row r="22" customFormat="false" ht="15" hidden="false" customHeight="true" outlineLevel="0" collapsed="false">
      <c r="A22" s="8" t="s">
        <v>122</v>
      </c>
      <c r="B22" s="8" t="str">
        <f aca="false">VLOOKUP($A22,'PARASTATAL Questions'!$A:$J,3,0)&amp;""</f>
        <v>Urban Planning &amp; Design (UPD)</v>
      </c>
      <c r="C22" s="8" t="str">
        <f aca="false">VLOOKUP($A22,'PARASTATAL Questions'!$A:$J,4,0)&amp;""</f>
        <v>SQ</v>
      </c>
      <c r="D22" s="8" t="str">
        <f aca="false">VLOOKUP($A22,'PARASTATAL Questions'!$A:$J,5,0)&amp;""</f>
        <v>Does the transport corporation actually considers environmental sustainability in planning and delivering urban transport services and investments?</v>
      </c>
      <c r="E22" s="8" t="str">
        <f aca="false">VLOOKUP($A22,'PARASTATAL Questions'!$A:$J,7,0)&amp;""</f>
        <v>Implementation</v>
      </c>
      <c r="F22" s="8" t="n">
        <f aca="false">VLOOKUP($A22,'PARASTATAL Questions'!$A:$J,6,0)</f>
        <v>5</v>
      </c>
      <c r="G22" s="8" t="str">
        <f aca="true">IF($F22=0,"NA",IF($A22=INDIRECT("'"&amp;$A22&amp;"'!$B$1"),IF(VLOOKUP(G$1,INDIRECT("'"&amp;$A22&amp;"'!$A$12:$Z$19"),MATCH("Points (Auto-generate)",INDIRECT("'"&amp;$A22&amp;"'!$A$12:$Z$12"),0),0)="","?",VLOOKUP(G$1,INDIRECT("'"&amp;$A22&amp;"'!$A$12:$Z$19"),MATCH("Points (Auto-generate)",INDIRECT("'"&amp;$A22&amp;"'!$A$12:$Z$12"),0),0)),"ER"))</f>
        <v>NA</v>
      </c>
      <c r="H22" s="8" t="n">
        <f aca="true">IF($F22=0,"NA",IF($A22=INDIRECT("'"&amp;$A22&amp;"'!$B$1"),IF(VLOOKUP(H$1,INDIRECT("'"&amp;$A22&amp;"'!$A$12:$Z$19"),MATCH("Points (Auto-generate)",INDIRECT("'"&amp;$A22&amp;"'!$A$12:$Z$12"),0),0)="","?",VLOOKUP(H$1,INDIRECT("'"&amp;$A22&amp;"'!$A$12:$Z$19"),MATCH("Points (Auto-generate)",INDIRECT("'"&amp;$A22&amp;"'!$A$12:$Z$12"),0),0)),"ER"))</f>
        <v>1.25</v>
      </c>
      <c r="I22" s="8" t="str">
        <f aca="true">IF($F22=0,"NA",IF($A22=INDIRECT("'"&amp;$A22&amp;"'!$B$1"),IF(VLOOKUP(I$1,INDIRECT("'"&amp;$A22&amp;"'!$A$12:$Z$19"),MATCH("Points (Auto-generate)",INDIRECT("'"&amp;$A22&amp;"'!$A$12:$Z$12"),0),0)="","?",VLOOKUP(I$1,INDIRECT("'"&amp;$A22&amp;"'!$A$12:$Z$19"),MATCH("Points (Auto-generate)",INDIRECT("'"&amp;$A22&amp;"'!$A$12:$Z$12"),0),0)),"ER"))</f>
        <v>NA</v>
      </c>
      <c r="J22" s="8" t="str">
        <f aca="true">IF($F22=0,"NA",IF($A22=INDIRECT("'"&amp;$A22&amp;"'!$B$1"),IF(VLOOKUP(J$1,INDIRECT("'"&amp;$A22&amp;"'!$A$12:$Z$19"),MATCH("Points (Auto-generate)",INDIRECT("'"&amp;$A22&amp;"'!$A$12:$Z$12"),0),0)="","?",VLOOKUP(J$1,INDIRECT("'"&amp;$A22&amp;"'!$A$12:$Z$19"),MATCH("Points (Auto-generate)",INDIRECT("'"&amp;$A22&amp;"'!$A$12:$Z$12"),0),0)),"ER"))</f>
        <v>NA</v>
      </c>
      <c r="K22" s="8" t="str">
        <f aca="true">IF($F22=0,"NA",IF($A22=INDIRECT("'"&amp;$A22&amp;"'!$B$1"),IF(VLOOKUP(K$1,INDIRECT("'"&amp;$A22&amp;"'!$A$12:$Z$19"),MATCH("Points (Auto-generate)",INDIRECT("'"&amp;$A22&amp;"'!$A$12:$Z$12"),0),0)="","?",VLOOKUP(K$1,INDIRECT("'"&amp;$A22&amp;"'!$A$12:$Z$19"),MATCH("Points (Auto-generate)",INDIRECT("'"&amp;$A22&amp;"'!$A$12:$Z$12"),0),0)),"ER"))</f>
        <v>NA</v>
      </c>
      <c r="L22" s="8" t="str">
        <f aca="true">IF($F22=0,"NA",IF($A22=INDIRECT("'"&amp;$A22&amp;"'!$B$1"),IF(VLOOKUP(L$1,INDIRECT("'"&amp;$A22&amp;"'!$A$12:$Z$19"),MATCH("Points (Auto-generate)",INDIRECT("'"&amp;$A22&amp;"'!$A$12:$Z$12"),0),0)="","?",VLOOKUP(L$1,INDIRECT("'"&amp;$A22&amp;"'!$A$12:$Z$19"),MATCH("Points (Auto-generate)",INDIRECT("'"&amp;$A22&amp;"'!$A$12:$Z$12"),0),0)),"ER"))</f>
        <v>NA</v>
      </c>
      <c r="M22" s="8" t="str">
        <f aca="true">IF($F22=0,"NA",IF($A22=INDIRECT("'"&amp;$A22&amp;"'!$B$1"),IF(VLOOKUP(M$1,INDIRECT("'"&amp;$A22&amp;"'!$A$12:$Z$19"),MATCH("Points (Auto-generate)",INDIRECT("'"&amp;$A22&amp;"'!$A$12:$Z$12"),0),0)="","?",VLOOKUP(M$1,INDIRECT("'"&amp;$A22&amp;"'!$A$12:$Z$19"),MATCH("Points (Auto-generate)",INDIRECT("'"&amp;$A22&amp;"'!$A$12:$Z$12"),0),0)),"ER"))</f>
        <v>NA</v>
      </c>
    </row>
    <row r="23" customFormat="false" ht="15" hidden="false" customHeight="true" outlineLevel="0" collapsed="false">
      <c r="A23" s="10" t="s">
        <v>601</v>
      </c>
      <c r="B23" s="10" t="str">
        <f aca="false">VLOOKUP($A23,'PARASTATAL Questions'!$A:$J,3,0)&amp;""</f>
        <v>Decentralised Participatory Governance</v>
      </c>
      <c r="C23" s="10" t="str">
        <f aca="false">VLOOKUP($A23,'PARASTATAL Questions'!$A:$J,4,0)&amp;""</f>
        <v>MQ</v>
      </c>
      <c r="D23" s="10" t="str">
        <f aca="false">VLOOKUP($A23,'PARASTATAL Questions'!$A:$J,5,0)&amp;""</f>
        <v>Are the functions and geographical jurisdiction of the parastatal clearly defined vis-à-vis the ULG and other relevant agencies?</v>
      </c>
      <c r="E23" s="10" t="str">
        <f aca="false">VLOOKUP($A23,'PARASTATAL Questions'!$A:$J,7,0)&amp;""</f>
        <v>Institutional Design</v>
      </c>
      <c r="F23" s="10" t="n">
        <f aca="false">VLOOKUP($A23,'PARASTATAL Questions'!$A:$J,6,0)</f>
        <v>10</v>
      </c>
      <c r="G23" s="10" t="n">
        <f aca="false">IF(OR(G24="ER",G25="ER"),"ER",IF(OR(G24="?",G25="?"),"?",IF(AND(G24="NA",G25="NA"),"NA",SUM(G24,G25)/((G24&lt;&gt;"NA")*$F$24+(G25&lt;&gt;"NA")*$F$25)*$F23)))</f>
        <v>2.5</v>
      </c>
      <c r="H23" s="10" t="str">
        <f aca="false">IF(OR(H24="ER",H25="ER"),"ER",IF(OR(H24="?",H25="?"),"?",IF(AND(H24="NA",H25="NA"),"NA",SUM(H24,H25)/((H24&lt;&gt;"NA")*$F$24+(H25&lt;&gt;"NA")*$F$25)*$F23)))</f>
        <v>?</v>
      </c>
      <c r="I23" s="10" t="n">
        <f aca="false">IF(OR(I24="ER",I25="ER"),"ER",IF(OR(I24="?",I25="?"),"?",IF(AND(I24="NA",I25="NA"),"NA",SUM(I24,I25)/((I24&lt;&gt;"NA")*$F$24+(I25&lt;&gt;"NA")*$F$25)*$F23)))</f>
        <v>2.5</v>
      </c>
      <c r="J23" s="10" t="n">
        <f aca="false">IF(OR(J24="ER",J25="ER"),"ER",IF(OR(J24="?",J25="?"),"?",IF(AND(J24="NA",J25="NA"),"NA",SUM(J24,J25)/((J24&lt;&gt;"NA")*$F$24+(J25&lt;&gt;"NA")*$F$25)*$F23)))</f>
        <v>7.5</v>
      </c>
      <c r="K23" s="10" t="str">
        <f aca="false">IF(OR(K24="ER",K25="ER"),"ER",IF(OR(K24="?",K25="?"),"?",IF(AND(K24="NA",K25="NA"),"NA",SUM(K24,K25)/((K24&lt;&gt;"NA")*$F$24+(K25&lt;&gt;"NA")*$F$25)*$F23)))</f>
        <v>?</v>
      </c>
      <c r="L23" s="10" t="str">
        <f aca="false">IF(OR(L24="ER",L25="ER"),"ER",IF(OR(L24="?",L25="?"),"?",IF(AND(L24="NA",L25="NA"),"NA",SUM(L24,L25)/((L24&lt;&gt;"NA")*$F$24+(L25&lt;&gt;"NA")*$F$25)*$F23)))</f>
        <v>?</v>
      </c>
      <c r="M23" s="10" t="str">
        <f aca="false">IF(OR(M24="ER",M25="ER"),"ER",IF(OR(M24="?",M25="?"),"?",IF(AND(M24="NA",M25="NA"),"NA",SUM(M24,M25)/((M24&lt;&gt;"NA")*$F$24+(M25&lt;&gt;"NA")*$F$25)*$F23)))</f>
        <v>?</v>
      </c>
    </row>
    <row r="24" customFormat="false" ht="15" hidden="false" customHeight="true" outlineLevel="0" collapsed="false">
      <c r="A24" s="8" t="s">
        <v>126</v>
      </c>
      <c r="B24" s="8" t="str">
        <f aca="false">VLOOKUP($A24,'PARASTATAL Questions'!$A:$J,3,0)&amp;""</f>
        <v>Decentralised Participatory Governance</v>
      </c>
      <c r="C24" s="8" t="str">
        <f aca="false">VLOOKUP($A24,'PARASTATAL Questions'!$A:$J,4,0)&amp;""</f>
        <v>SQ</v>
      </c>
      <c r="D24" s="8" t="str">
        <f aca="false">VLOOKUP($A24,'PARASTATAL Questions'!$A:$J,5,0)&amp;""</f>
        <v>Does the legal framework clearly demarcate the functions/responsibilities of the parastatal vis-à-vis the ULG?</v>
      </c>
      <c r="E24" s="8" t="str">
        <f aca="false">VLOOKUP($A24,'PARASTATAL Questions'!$A:$J,7,0)&amp;""</f>
        <v>Institutional Design</v>
      </c>
      <c r="F24" s="8" t="n">
        <f aca="false">VLOOKUP($A24,'PARASTATAL Questions'!$A:$J,6,0)</f>
        <v>5</v>
      </c>
      <c r="G24" s="8" t="n">
        <f aca="true">IF($F24=0,"NA",IF($A24=INDIRECT("'"&amp;$A24&amp;"'!$B$1"),IF(VLOOKUP(G$1,INDIRECT("'"&amp;$A24&amp;"'!$A$12:$Z$19"),MATCH("Points (Auto-generate)",INDIRECT("'"&amp;$A24&amp;"'!$A$12:$Z$12"),0),0)="","?",VLOOKUP(G$1,INDIRECT("'"&amp;$A24&amp;"'!$A$12:$Z$19"),MATCH("Points (Auto-generate)",INDIRECT("'"&amp;$A24&amp;"'!$A$12:$Z$12"),0),0)),"ER"))</f>
        <v>0</v>
      </c>
      <c r="H24" s="8" t="str">
        <f aca="true">IF($F24=0,"NA",IF($A24=INDIRECT("'"&amp;$A24&amp;"'!$B$1"),IF(VLOOKUP(H$1,INDIRECT("'"&amp;$A24&amp;"'!$A$12:$Z$19"),MATCH("Points (Auto-generate)",INDIRECT("'"&amp;$A24&amp;"'!$A$12:$Z$12"),0),0)="","?",VLOOKUP(H$1,INDIRECT("'"&amp;$A24&amp;"'!$A$12:$Z$19"),MATCH("Points (Auto-generate)",INDIRECT("'"&amp;$A24&amp;"'!$A$12:$Z$12"),0),0)),"ER"))</f>
        <v>?</v>
      </c>
      <c r="I24" s="8" t="n">
        <f aca="true">IF($F24=0,"NA",IF($A24=INDIRECT("'"&amp;$A24&amp;"'!$B$1"),IF(VLOOKUP(I$1,INDIRECT("'"&amp;$A24&amp;"'!$A$12:$Z$19"),MATCH("Points (Auto-generate)",INDIRECT("'"&amp;$A24&amp;"'!$A$12:$Z$12"),0),0)="","?",VLOOKUP(I$1,INDIRECT("'"&amp;$A24&amp;"'!$A$12:$Z$19"),MATCH("Points (Auto-generate)",INDIRECT("'"&amp;$A24&amp;"'!$A$12:$Z$12"),0),0)),"ER"))</f>
        <v>0</v>
      </c>
      <c r="J24" s="8" t="n">
        <f aca="true">IF($F24=0,"NA",IF($A24=INDIRECT("'"&amp;$A24&amp;"'!$B$1"),IF(VLOOKUP(J$1,INDIRECT("'"&amp;$A24&amp;"'!$A$12:$Z$19"),MATCH("Points (Auto-generate)",INDIRECT("'"&amp;$A24&amp;"'!$A$12:$Z$12"),0),0)="","?",VLOOKUP(J$1,INDIRECT("'"&amp;$A24&amp;"'!$A$12:$Z$19"),MATCH("Points (Auto-generate)",INDIRECT("'"&amp;$A24&amp;"'!$A$12:$Z$12"),0),0)),"ER"))</f>
        <v>5</v>
      </c>
      <c r="K24" s="8" t="str">
        <f aca="true">IF($F24=0,"NA",IF($A24=INDIRECT("'"&amp;$A24&amp;"'!$B$1"),IF(VLOOKUP(K$1,INDIRECT("'"&amp;$A24&amp;"'!$A$12:$Z$19"),MATCH("Points (Auto-generate)",INDIRECT("'"&amp;$A24&amp;"'!$A$12:$Z$12"),0),0)="","?",VLOOKUP(K$1,INDIRECT("'"&amp;$A24&amp;"'!$A$12:$Z$19"),MATCH("Points (Auto-generate)",INDIRECT("'"&amp;$A24&amp;"'!$A$12:$Z$12"),0),0)),"ER"))</f>
        <v>?</v>
      </c>
      <c r="L24" s="8" t="str">
        <f aca="true">IF($F24=0,"NA",IF($A24=INDIRECT("'"&amp;$A24&amp;"'!$B$1"),IF(VLOOKUP(L$1,INDIRECT("'"&amp;$A24&amp;"'!$A$12:$Z$19"),MATCH("Points (Auto-generate)",INDIRECT("'"&amp;$A24&amp;"'!$A$12:$Z$12"),0),0)="","?",VLOOKUP(L$1,INDIRECT("'"&amp;$A24&amp;"'!$A$12:$Z$19"),MATCH("Points (Auto-generate)",INDIRECT("'"&amp;$A24&amp;"'!$A$12:$Z$12"),0),0)),"ER"))</f>
        <v>?</v>
      </c>
      <c r="M24" s="8" t="str">
        <f aca="true">IF($F24=0,"NA",IF($A24=INDIRECT("'"&amp;$A24&amp;"'!$B$1"),IF(VLOOKUP(M$1,INDIRECT("'"&amp;$A24&amp;"'!$A$12:$Z$19"),MATCH("Points (Auto-generate)",INDIRECT("'"&amp;$A24&amp;"'!$A$12:$Z$12"),0),0)="","?",VLOOKUP(M$1,INDIRECT("'"&amp;$A24&amp;"'!$A$12:$Z$19"),MATCH("Points (Auto-generate)",INDIRECT("'"&amp;$A24&amp;"'!$A$12:$Z$12"),0),0)),"ER"))</f>
        <v>?</v>
      </c>
    </row>
    <row r="25" customFormat="false" ht="15" hidden="false" customHeight="true" outlineLevel="0" collapsed="false">
      <c r="A25" s="8" t="s">
        <v>153</v>
      </c>
      <c r="B25" s="8" t="str">
        <f aca="false">VLOOKUP($A25,'PARASTATAL Questions'!$A:$J,3,0)&amp;""</f>
        <v>Decentralised Participatory Governance</v>
      </c>
      <c r="C25" s="8" t="str">
        <f aca="false">VLOOKUP($A25,'PARASTATAL Questions'!$A:$J,4,0)&amp;""</f>
        <v>SQ</v>
      </c>
      <c r="D25" s="8" t="str">
        <f aca="false">VLOOKUP($A25,'PARASTATAL Questions'!$A:$J,5,0)&amp;""</f>
        <v>Is the parastatal's territorial/geographic jurisdiction clearly and specifically defined in its enabling legal framework?</v>
      </c>
      <c r="E25" s="8" t="str">
        <f aca="false">VLOOKUP($A25,'PARASTATAL Questions'!$A:$J,7,0)&amp;""</f>
        <v>Institutional Design</v>
      </c>
      <c r="F25" s="8" t="n">
        <f aca="false">VLOOKUP($A25,'PARASTATAL Questions'!$A:$J,6,0)</f>
        <v>5</v>
      </c>
      <c r="G25" s="8" t="n">
        <f aca="true">IF($F25=0,"NA",IF($A25=INDIRECT("'"&amp;$A25&amp;"'!$B$1"),IF(VLOOKUP(G$1,INDIRECT("'"&amp;$A25&amp;"'!$A$12:$Z$19"),MATCH("Points (Auto-generate)",INDIRECT("'"&amp;$A25&amp;"'!$A$12:$Z$12"),0),0)="","?",VLOOKUP(G$1,INDIRECT("'"&amp;$A25&amp;"'!$A$12:$Z$19"),MATCH("Points (Auto-generate)",INDIRECT("'"&amp;$A25&amp;"'!$A$12:$Z$12"),0),0)),"ER"))</f>
        <v>2.5</v>
      </c>
      <c r="H25" s="8" t="str">
        <f aca="true">IF($F25=0,"NA",IF($A25=INDIRECT("'"&amp;$A25&amp;"'!$B$1"),IF(VLOOKUP(H$1,INDIRECT("'"&amp;$A25&amp;"'!$A$12:$Z$19"),MATCH("Points (Auto-generate)",INDIRECT("'"&amp;$A25&amp;"'!$A$12:$Z$12"),0),0)="","?",VLOOKUP(H$1,INDIRECT("'"&amp;$A25&amp;"'!$A$12:$Z$19"),MATCH("Points (Auto-generate)",INDIRECT("'"&amp;$A25&amp;"'!$A$12:$Z$12"),0),0)),"ER"))</f>
        <v>?</v>
      </c>
      <c r="I25" s="8" t="n">
        <f aca="true">IF($F25=0,"NA",IF($A25=INDIRECT("'"&amp;$A25&amp;"'!$B$1"),IF(VLOOKUP(I$1,INDIRECT("'"&amp;$A25&amp;"'!$A$12:$Z$19"),MATCH("Points (Auto-generate)",INDIRECT("'"&amp;$A25&amp;"'!$A$12:$Z$12"),0),0)="","?",VLOOKUP(I$1,INDIRECT("'"&amp;$A25&amp;"'!$A$12:$Z$19"),MATCH("Points (Auto-generate)",INDIRECT("'"&amp;$A25&amp;"'!$A$12:$Z$12"),0),0)),"ER"))</f>
        <v>2.5</v>
      </c>
      <c r="J25" s="8" t="n">
        <f aca="true">IF($F25=0,"NA",IF($A25=INDIRECT("'"&amp;$A25&amp;"'!$B$1"),IF(VLOOKUP(J$1,INDIRECT("'"&amp;$A25&amp;"'!$A$12:$Z$19"),MATCH("Points (Auto-generate)",INDIRECT("'"&amp;$A25&amp;"'!$A$12:$Z$12"),0),0)="","?",VLOOKUP(J$1,INDIRECT("'"&amp;$A25&amp;"'!$A$12:$Z$19"),MATCH("Points (Auto-generate)",INDIRECT("'"&amp;$A25&amp;"'!$A$12:$Z$12"),0),0)),"ER"))</f>
        <v>2.5</v>
      </c>
      <c r="K25" s="8" t="n">
        <f aca="true">IF($F25=0,"NA",IF($A25=INDIRECT("'"&amp;$A25&amp;"'!$B$1"),IF(VLOOKUP(K$1,INDIRECT("'"&amp;$A25&amp;"'!$A$12:$Z$19"),MATCH("Points (Auto-generate)",INDIRECT("'"&amp;$A25&amp;"'!$A$12:$Z$12"),0),0)="","?",VLOOKUP(K$1,INDIRECT("'"&amp;$A25&amp;"'!$A$12:$Z$19"),MATCH("Points (Auto-generate)",INDIRECT("'"&amp;$A25&amp;"'!$A$12:$Z$12"),0),0)),"ER"))</f>
        <v>5</v>
      </c>
      <c r="L25" s="8" t="str">
        <f aca="true">IF($F25=0,"NA",IF($A25=INDIRECT("'"&amp;$A25&amp;"'!$B$1"),IF(VLOOKUP(L$1,INDIRECT("'"&amp;$A25&amp;"'!$A$12:$Z$19"),MATCH("Points (Auto-generate)",INDIRECT("'"&amp;$A25&amp;"'!$A$12:$Z$12"),0),0)="","?",VLOOKUP(L$1,INDIRECT("'"&amp;$A25&amp;"'!$A$12:$Z$19"),MATCH("Points (Auto-generate)",INDIRECT("'"&amp;$A25&amp;"'!$A$12:$Z$12"),0),0)),"ER"))</f>
        <v>?</v>
      </c>
      <c r="M25" s="8" t="str">
        <f aca="true">IF($F25=0,"NA",IF($A25=INDIRECT("'"&amp;$A25&amp;"'!$B$1"),IF(VLOOKUP(M$1,INDIRECT("'"&amp;$A25&amp;"'!$A$12:$Z$19"),MATCH("Points (Auto-generate)",INDIRECT("'"&amp;$A25&amp;"'!$A$12:$Z$12"),0),0)="","?",VLOOKUP(M$1,INDIRECT("'"&amp;$A25&amp;"'!$A$12:$Z$19"),MATCH("Points (Auto-generate)",INDIRECT("'"&amp;$A25&amp;"'!$A$12:$Z$12"),0),0)),"ER"))</f>
        <v>?</v>
      </c>
    </row>
    <row r="26" customFormat="false" ht="15" hidden="false" customHeight="true" outlineLevel="0" collapsed="false">
      <c r="A26" s="10" t="s">
        <v>602</v>
      </c>
      <c r="B26" s="10" t="str">
        <f aca="false">VLOOKUP($A26,'PARASTATAL Questions'!$A:$J,3,0)&amp;""</f>
        <v>Decentralised Participatory Governance</v>
      </c>
      <c r="C26" s="10" t="str">
        <f aca="false">VLOOKUP($A26,'PARASTATAL Questions'!$A:$J,4,0)&amp;""</f>
        <v>MQ</v>
      </c>
      <c r="D26" s="10" t="str">
        <f aca="false">VLOOKUP($A26,'PARASTATAL Questions'!$A:$J,5,0)&amp;""</f>
        <v>Is the parastatal accountable to the ULG?</v>
      </c>
      <c r="E26" s="10" t="str">
        <f aca="false">VLOOKUP($A26,'PARASTATAL Questions'!$A:$J,7,0)&amp;""</f>
        <v>Institutional Design</v>
      </c>
      <c r="F26" s="10" t="n">
        <f aca="false">VLOOKUP($A26,'PARASTATAL Questions'!$A:$J,6,0)</f>
        <v>10</v>
      </c>
      <c r="G26" s="10" t="n">
        <f aca="false">IF(OR(G27="ER",G28="ER"),"ER",IF(OR(G27="?",G28="?"),"?",IF(AND(G27="NA",G28="NA"),"NA",SUM(G27,G28)/((G27&lt;&gt;"NA")*$F$27+(G28&lt;&gt;"NA")*$F$28)*$F26)))</f>
        <v>0</v>
      </c>
      <c r="H26" s="10" t="str">
        <f aca="false">IF(OR(H27="ER",H28="ER"),"ER",IF(OR(H27="?",H28="?"),"?",IF(AND(H27="NA",H28="NA"),"NA",SUM(H27,H28)/((H27&lt;&gt;"NA")*$F$27+(H28&lt;&gt;"NA")*$F$28)*$F26)))</f>
        <v>?</v>
      </c>
      <c r="I26" s="10" t="n">
        <f aca="false">IF(OR(I27="ER",I28="ER"),"ER",IF(OR(I27="?",I28="?"),"?",IF(AND(I27="NA",I28="NA"),"NA",SUM(I27,I28)/((I27&lt;&gt;"NA")*$F$27+(I28&lt;&gt;"NA")*$F$28)*$F26)))</f>
        <v>5</v>
      </c>
      <c r="J26" s="10" t="n">
        <f aca="false">IF(OR(J27="ER",J28="ER"),"ER",IF(OR(J27="?",J28="?"),"?",IF(AND(J27="NA",J28="NA"),"NA",SUM(J27,J28)/((J27&lt;&gt;"NA")*$F$27+(J28&lt;&gt;"NA")*$F$28)*$F26)))</f>
        <v>0</v>
      </c>
      <c r="K26" s="10" t="n">
        <f aca="false">IF(OR(K27="ER",K28="ER"),"ER",IF(OR(K27="?",K28="?"),"?",IF(AND(K27="NA",K28="NA"),"NA",SUM(K27,K28)/((K27&lt;&gt;"NA")*$F$27+(K28&lt;&gt;"NA")*$F$28)*$F26)))</f>
        <v>5</v>
      </c>
      <c r="L26" s="10" t="str">
        <f aca="false">IF(OR(L27="ER",L28="ER"),"ER",IF(OR(L27="?",L28="?"),"?",IF(AND(L27="NA",L28="NA"),"NA",SUM(L27,L28)/((L27&lt;&gt;"NA")*$F$27+(L28&lt;&gt;"NA")*$F$28)*$F26)))</f>
        <v>?</v>
      </c>
      <c r="M26" s="10" t="str">
        <f aca="false">IF(OR(M27="ER",M28="ER"),"ER",IF(OR(M27="?",M28="?"),"?",IF(AND(M27="NA",M28="NA"),"NA",SUM(M27,M28)/((M27&lt;&gt;"NA")*$F$27+(M28&lt;&gt;"NA")*$F$28)*$F26)))</f>
        <v>?</v>
      </c>
    </row>
    <row r="27" customFormat="false" ht="15" hidden="false" customHeight="true" outlineLevel="0" collapsed="false">
      <c r="A27" s="8" t="s">
        <v>177</v>
      </c>
      <c r="B27" s="8" t="str">
        <f aca="false">VLOOKUP($A27,'PARASTATAL Questions'!$A:$J,3,0)&amp;""</f>
        <v>Decentralised Participatory Governance</v>
      </c>
      <c r="C27" s="8" t="str">
        <f aca="false">VLOOKUP($A27,'PARASTATAL Questions'!$A:$J,4,0)&amp;""</f>
        <v>SQ</v>
      </c>
      <c r="D27" s="8" t="str">
        <f aca="false">VLOOKUP($A27,'PARASTATAL Questions'!$A:$J,5,0)&amp;""</f>
        <v>Does the ULG have representation on the parastatal's governing board?</v>
      </c>
      <c r="E27" s="8" t="str">
        <f aca="false">VLOOKUP($A27,'PARASTATAL Questions'!$A:$J,7,0)&amp;""</f>
        <v>Institutional Design</v>
      </c>
      <c r="F27" s="8" t="n">
        <f aca="false">VLOOKUP($A27,'PARASTATAL Questions'!$A:$J,6,0)</f>
        <v>5</v>
      </c>
      <c r="G27" s="8" t="n">
        <f aca="true">IF($F27=0,"NA",IF($A27=INDIRECT("'"&amp;$A27&amp;"'!$B$1"),IF(VLOOKUP(G$1,INDIRECT("'"&amp;$A27&amp;"'!$A$12:$Z$19"),MATCH("Points (Auto-generate)",INDIRECT("'"&amp;$A27&amp;"'!$A$12:$Z$12"),0),0)="","?",VLOOKUP(G$1,INDIRECT("'"&amp;$A27&amp;"'!$A$12:$Z$19"),MATCH("Points (Auto-generate)",INDIRECT("'"&amp;$A27&amp;"'!$A$12:$Z$12"),0),0)),"ER"))</f>
        <v>0</v>
      </c>
      <c r="H27" s="8" t="str">
        <f aca="true">IF($F27=0,"NA",IF($A27=INDIRECT("'"&amp;$A27&amp;"'!$B$1"),IF(VLOOKUP(H$1,INDIRECT("'"&amp;$A27&amp;"'!$A$12:$Z$19"),MATCH("Points (Auto-generate)",INDIRECT("'"&amp;$A27&amp;"'!$A$12:$Z$12"),0),0)="","?",VLOOKUP(H$1,INDIRECT("'"&amp;$A27&amp;"'!$A$12:$Z$19"),MATCH("Points (Auto-generate)",INDIRECT("'"&amp;$A27&amp;"'!$A$12:$Z$12"),0),0)),"ER"))</f>
        <v>?</v>
      </c>
      <c r="I27" s="8" t="n">
        <f aca="true">IF($F27=0,"NA",IF($A27=INDIRECT("'"&amp;$A27&amp;"'!$B$1"),IF(VLOOKUP(I$1,INDIRECT("'"&amp;$A27&amp;"'!$A$12:$Z$19"),MATCH("Points (Auto-generate)",INDIRECT("'"&amp;$A27&amp;"'!$A$12:$Z$12"),0),0)="","?",VLOOKUP(I$1,INDIRECT("'"&amp;$A27&amp;"'!$A$12:$Z$19"),MATCH("Points (Auto-generate)",INDIRECT("'"&amp;$A27&amp;"'!$A$12:$Z$12"),0),0)),"ER"))</f>
        <v>5</v>
      </c>
      <c r="J27" s="8" t="n">
        <f aca="true">IF($F27=0,"NA",IF($A27=INDIRECT("'"&amp;$A27&amp;"'!$B$1"),IF(VLOOKUP(J$1,INDIRECT("'"&amp;$A27&amp;"'!$A$12:$Z$19"),MATCH("Points (Auto-generate)",INDIRECT("'"&amp;$A27&amp;"'!$A$12:$Z$12"),0),0)="","?",VLOOKUP(J$1,INDIRECT("'"&amp;$A27&amp;"'!$A$12:$Z$19"),MATCH("Points (Auto-generate)",INDIRECT("'"&amp;$A27&amp;"'!$A$12:$Z$12"),0),0)),"ER"))</f>
        <v>0</v>
      </c>
      <c r="K27" s="8" t="n">
        <f aca="true">IF($F27=0,"NA",IF($A27=INDIRECT("'"&amp;$A27&amp;"'!$B$1"),IF(VLOOKUP(K$1,INDIRECT("'"&amp;$A27&amp;"'!$A$12:$Z$19"),MATCH("Points (Auto-generate)",INDIRECT("'"&amp;$A27&amp;"'!$A$12:$Z$12"),0),0)="","?",VLOOKUP(K$1,INDIRECT("'"&amp;$A27&amp;"'!$A$12:$Z$19"),MATCH("Points (Auto-generate)",INDIRECT("'"&amp;$A27&amp;"'!$A$12:$Z$12"),0),0)),"ER"))</f>
        <v>5</v>
      </c>
      <c r="L27" s="8" t="str">
        <f aca="true">IF($F27=0,"NA",IF($A27=INDIRECT("'"&amp;$A27&amp;"'!$B$1"),IF(VLOOKUP(L$1,INDIRECT("'"&amp;$A27&amp;"'!$A$12:$Z$19"),MATCH("Points (Auto-generate)",INDIRECT("'"&amp;$A27&amp;"'!$A$12:$Z$12"),0),0)="","?",VLOOKUP(L$1,INDIRECT("'"&amp;$A27&amp;"'!$A$12:$Z$19"),MATCH("Points (Auto-generate)",INDIRECT("'"&amp;$A27&amp;"'!$A$12:$Z$12"),0),0)),"ER"))</f>
        <v>?</v>
      </c>
      <c r="M27" s="8" t="str">
        <f aca="true">IF($F27=0,"NA",IF($A27=INDIRECT("'"&amp;$A27&amp;"'!$B$1"),IF(VLOOKUP(M$1,INDIRECT("'"&amp;$A27&amp;"'!$A$12:$Z$19"),MATCH("Points (Auto-generate)",INDIRECT("'"&amp;$A27&amp;"'!$A$12:$Z$12"),0),0)="","?",VLOOKUP(M$1,INDIRECT("'"&amp;$A27&amp;"'!$A$12:$Z$19"),MATCH("Points (Auto-generate)",INDIRECT("'"&amp;$A27&amp;"'!$A$12:$Z$12"),0),0)),"ER"))</f>
        <v>?</v>
      </c>
    </row>
    <row r="28" customFormat="false" ht="15" hidden="false" customHeight="true" outlineLevel="0" collapsed="false">
      <c r="A28" s="8" t="s">
        <v>203</v>
      </c>
      <c r="B28" s="8" t="str">
        <f aca="false">VLOOKUP($A28,'PARASTATAL Questions'!$A:$J,3,0)&amp;""</f>
        <v>Decentralised Participatory Governance</v>
      </c>
      <c r="C28" s="8" t="str">
        <f aca="false">VLOOKUP($A28,'PARASTATAL Questions'!$A:$J,4,0)&amp;""</f>
        <v>SQ</v>
      </c>
      <c r="D28" s="8" t="str">
        <f aca="false">VLOOKUP($A28,'PARASTATAL Questions'!$A:$J,5,0)&amp;""</f>
        <v>Is the parastatal mandated to submit its plans, budgets or reports to the ULG/council?</v>
      </c>
      <c r="E28" s="8" t="str">
        <f aca="false">VLOOKUP($A28,'PARASTATAL Questions'!$A:$J,7,0)&amp;""</f>
        <v>Law/Policy</v>
      </c>
      <c r="F28" s="8" t="n">
        <f aca="false">VLOOKUP($A28,'PARASTATAL Questions'!$A:$J,6,0)</f>
        <v>5</v>
      </c>
      <c r="G28" s="8" t="n">
        <f aca="true">IF($F28=0,"NA",IF($A28=INDIRECT("'"&amp;$A28&amp;"'!$B$1"),IF(VLOOKUP(G$1,INDIRECT("'"&amp;$A28&amp;"'!$A$12:$Z$19"),MATCH("Points (Auto-generate)",INDIRECT("'"&amp;$A28&amp;"'!$A$12:$Z$12"),0),0)="","?",VLOOKUP(G$1,INDIRECT("'"&amp;$A28&amp;"'!$A$12:$Z$19"),MATCH("Points (Auto-generate)",INDIRECT("'"&amp;$A28&amp;"'!$A$12:$Z$12"),0),0)),"ER"))</f>
        <v>0</v>
      </c>
      <c r="H28" s="8" t="str">
        <f aca="true">IF($F28=0,"NA",IF($A28=INDIRECT("'"&amp;$A28&amp;"'!$B$1"),IF(VLOOKUP(H$1,INDIRECT("'"&amp;$A28&amp;"'!$A$12:$Z$19"),MATCH("Points (Auto-generate)",INDIRECT("'"&amp;$A28&amp;"'!$A$12:$Z$12"),0),0)="","?",VLOOKUP(H$1,INDIRECT("'"&amp;$A28&amp;"'!$A$12:$Z$19"),MATCH("Points (Auto-generate)",INDIRECT("'"&amp;$A28&amp;"'!$A$12:$Z$12"),0),0)),"ER"))</f>
        <v>?</v>
      </c>
      <c r="I28" s="8" t="n">
        <f aca="true">IF($F28=0,"NA",IF($A28=INDIRECT("'"&amp;$A28&amp;"'!$B$1"),IF(VLOOKUP(I$1,INDIRECT("'"&amp;$A28&amp;"'!$A$12:$Z$19"),MATCH("Points (Auto-generate)",INDIRECT("'"&amp;$A28&amp;"'!$A$12:$Z$12"),0),0)="","?",VLOOKUP(I$1,INDIRECT("'"&amp;$A28&amp;"'!$A$12:$Z$19"),MATCH("Points (Auto-generate)",INDIRECT("'"&amp;$A28&amp;"'!$A$12:$Z$12"),0),0)),"ER"))</f>
        <v>0</v>
      </c>
      <c r="J28" s="8" t="n">
        <f aca="true">IF($F28=0,"NA",IF($A28=INDIRECT("'"&amp;$A28&amp;"'!$B$1"),IF(VLOOKUP(J$1,INDIRECT("'"&amp;$A28&amp;"'!$A$12:$Z$19"),MATCH("Points (Auto-generate)",INDIRECT("'"&amp;$A28&amp;"'!$A$12:$Z$12"),0),0)="","?",VLOOKUP(J$1,INDIRECT("'"&amp;$A28&amp;"'!$A$12:$Z$19"),MATCH("Points (Auto-generate)",INDIRECT("'"&amp;$A28&amp;"'!$A$12:$Z$12"),0),0)),"ER"))</f>
        <v>0</v>
      </c>
      <c r="K28" s="8" t="n">
        <f aca="true">IF($F28=0,"NA",IF($A28=INDIRECT("'"&amp;$A28&amp;"'!$B$1"),IF(VLOOKUP(K$1,INDIRECT("'"&amp;$A28&amp;"'!$A$12:$Z$19"),MATCH("Points (Auto-generate)",INDIRECT("'"&amp;$A28&amp;"'!$A$12:$Z$12"),0),0)="","?",VLOOKUP(K$1,INDIRECT("'"&amp;$A28&amp;"'!$A$12:$Z$19"),MATCH("Points (Auto-generate)",INDIRECT("'"&amp;$A28&amp;"'!$A$12:$Z$12"),0),0)),"ER"))</f>
        <v>0</v>
      </c>
      <c r="L28" s="8" t="str">
        <f aca="true">IF($F28=0,"NA",IF($A28=INDIRECT("'"&amp;$A28&amp;"'!$B$1"),IF(VLOOKUP(L$1,INDIRECT("'"&amp;$A28&amp;"'!$A$12:$Z$19"),MATCH("Points (Auto-generate)",INDIRECT("'"&amp;$A28&amp;"'!$A$12:$Z$12"),0),0)="","?",VLOOKUP(L$1,INDIRECT("'"&amp;$A28&amp;"'!$A$12:$Z$19"),MATCH("Points (Auto-generate)",INDIRECT("'"&amp;$A28&amp;"'!$A$12:$Z$12"),0),0)),"ER"))</f>
        <v>?</v>
      </c>
      <c r="M28" s="8" t="str">
        <f aca="true">IF($F28=0,"NA",IF($A28=INDIRECT("'"&amp;$A28&amp;"'!$B$1"),IF(VLOOKUP(M$1,INDIRECT("'"&amp;$A28&amp;"'!$A$12:$Z$19"),MATCH("Points (Auto-generate)",INDIRECT("'"&amp;$A28&amp;"'!$A$12:$Z$12"),0),0)="","?",VLOOKUP(M$1,INDIRECT("'"&amp;$A28&amp;"'!$A$12:$Z$19"),MATCH("Points (Auto-generate)",INDIRECT("'"&amp;$A28&amp;"'!$A$12:$Z$12"),0),0)),"ER"))</f>
        <v>?</v>
      </c>
    </row>
    <row r="29" customFormat="false" ht="15" hidden="false" customHeight="true" outlineLevel="0" collapsed="false">
      <c r="A29" s="10" t="s">
        <v>223</v>
      </c>
      <c r="B29" s="10" t="str">
        <f aca="false">VLOOKUP($A29,'PARASTATAL Questions'!$A:$J,3,0)&amp;""</f>
        <v>Decentralised Participatory Governance</v>
      </c>
      <c r="C29" s="10" t="str">
        <f aca="false">VLOOKUP($A29,'PARASTATAL Questions'!$A:$J,4,0)&amp;""</f>
        <v>MQ</v>
      </c>
      <c r="D29" s="10" t="str">
        <f aca="false">VLOOKUP($A29,'PARASTATAL Questions'!$A:$J,5,0)&amp;""</f>
        <v>Does the parastatal maintain an active and functional website?</v>
      </c>
      <c r="E29" s="10" t="str">
        <f aca="false">VLOOKUP($A29,'PARASTATAL Questions'!$A:$J,7,0)&amp;""</f>
        <v>Implementation</v>
      </c>
      <c r="F29" s="10" t="n">
        <f aca="false">VLOOKUP($A29,'PARASTATAL Questions'!$A:$J,6,0)</f>
        <v>10</v>
      </c>
      <c r="G29" s="10" t="n">
        <f aca="true">IF($F29=0,"NA",IF($A29=INDIRECT("'"&amp;$A29&amp;"'!$B$1"),IF(VLOOKUP(G$1,INDIRECT("'"&amp;$A29&amp;"'!$A$12:$Z$19"),MATCH("Points (Auto-generate)",INDIRECT("'"&amp;$A29&amp;"'!$A$12:$Z$12"),0),0)="","?",VLOOKUP(G$1,INDIRECT("'"&amp;$A29&amp;"'!$A$12:$Z$19"),MATCH("Points (Auto-generate)",INDIRECT("'"&amp;$A29&amp;"'!$A$12:$Z$12"),0),0)),"ER"))</f>
        <v>10</v>
      </c>
      <c r="H29" s="10" t="n">
        <f aca="true">IF($F29=0,"NA",IF($A29=INDIRECT("'"&amp;$A29&amp;"'!$B$1"),IF(VLOOKUP(H$1,INDIRECT("'"&amp;$A29&amp;"'!$A$12:$Z$19"),MATCH("Points (Auto-generate)",INDIRECT("'"&amp;$A29&amp;"'!$A$12:$Z$12"),0),0)="","?",VLOOKUP(H$1,INDIRECT("'"&amp;$A29&amp;"'!$A$12:$Z$19"),MATCH("Points (Auto-generate)",INDIRECT("'"&amp;$A29&amp;"'!$A$12:$Z$12"),0),0)),"ER"))</f>
        <v>10</v>
      </c>
      <c r="I29" s="10" t="str">
        <f aca="true">IF($F29=0,"NA",IF($A29=INDIRECT("'"&amp;$A29&amp;"'!$B$1"),IF(VLOOKUP(I$1,INDIRECT("'"&amp;$A29&amp;"'!$A$12:$Z$19"),MATCH("Points (Auto-generate)",INDIRECT("'"&amp;$A29&amp;"'!$A$12:$Z$12"),0),0)="","?",VLOOKUP(I$1,INDIRECT("'"&amp;$A29&amp;"'!$A$12:$Z$19"),MATCH("Points (Auto-generate)",INDIRECT("'"&amp;$A29&amp;"'!$A$12:$Z$12"),0),0)),"ER"))</f>
        <v>?</v>
      </c>
      <c r="J29" s="10" t="str">
        <f aca="true">IF($F29=0,"NA",IF($A29=INDIRECT("'"&amp;$A29&amp;"'!$B$1"),IF(VLOOKUP(J$1,INDIRECT("'"&amp;$A29&amp;"'!$A$12:$Z$19"),MATCH("Points (Auto-generate)",INDIRECT("'"&amp;$A29&amp;"'!$A$12:$Z$12"),0),0)="","?",VLOOKUP(J$1,INDIRECT("'"&amp;$A29&amp;"'!$A$12:$Z$19"),MATCH("Points (Auto-generate)",INDIRECT("'"&amp;$A29&amp;"'!$A$12:$Z$12"),0),0)),"ER"))</f>
        <v>?</v>
      </c>
      <c r="K29" s="10" t="n">
        <f aca="true">IF($F29=0,"NA",IF($A29=INDIRECT("'"&amp;$A29&amp;"'!$B$1"),IF(VLOOKUP(K$1,INDIRECT("'"&amp;$A29&amp;"'!$A$12:$Z$19"),MATCH("Points (Auto-generate)",INDIRECT("'"&amp;$A29&amp;"'!$A$12:$Z$12"),0),0)="","?",VLOOKUP(K$1,INDIRECT("'"&amp;$A29&amp;"'!$A$12:$Z$19"),MATCH("Points (Auto-generate)",INDIRECT("'"&amp;$A29&amp;"'!$A$12:$Z$12"),0),0)),"ER"))</f>
        <v>10</v>
      </c>
      <c r="L29" s="10" t="str">
        <f aca="true">IF($F29=0,"NA",IF($A29=INDIRECT("'"&amp;$A29&amp;"'!$B$1"),IF(VLOOKUP(L$1,INDIRECT("'"&amp;$A29&amp;"'!$A$12:$Z$19"),MATCH("Points (Auto-generate)",INDIRECT("'"&amp;$A29&amp;"'!$A$12:$Z$12"),0),0)="","?",VLOOKUP(L$1,INDIRECT("'"&amp;$A29&amp;"'!$A$12:$Z$19"),MATCH("Points (Auto-generate)",INDIRECT("'"&amp;$A29&amp;"'!$A$12:$Z$12"),0),0)),"ER"))</f>
        <v>?</v>
      </c>
      <c r="M29" s="10" t="n">
        <f aca="true">IF($F29=0,"NA",IF($A29=INDIRECT("'"&amp;$A29&amp;"'!$B$1"),IF(VLOOKUP(M$1,INDIRECT("'"&amp;$A29&amp;"'!$A$12:$Z$19"),MATCH("Points (Auto-generate)",INDIRECT("'"&amp;$A29&amp;"'!$A$12:$Z$12"),0),0)="","?",VLOOKUP(M$1,INDIRECT("'"&amp;$A29&amp;"'!$A$12:$Z$19"),MATCH("Points (Auto-generate)",INDIRECT("'"&amp;$A29&amp;"'!$A$12:$Z$12"),0),0)),"ER"))</f>
        <v>10</v>
      </c>
    </row>
    <row r="30" customFormat="false" ht="15" hidden="false" customHeight="true" outlineLevel="0" collapsed="false">
      <c r="A30" s="10" t="s">
        <v>603</v>
      </c>
      <c r="B30" s="10" t="str">
        <f aca="false">VLOOKUP($A30,'PARASTATAL Questions'!$A:$J,3,0)&amp;""</f>
        <v>Decentralised Participatory Governance</v>
      </c>
      <c r="C30" s="10" t="str">
        <f aca="false">VLOOKUP($A30,'PARASTATAL Questions'!$A:$J,4,0)&amp;""</f>
        <v>MQ</v>
      </c>
      <c r="D30" s="10" t="str">
        <f aca="false">VLOOKUP($A30,'PARASTATAL Questions'!$A:$J,5,0)&amp;""</f>
        <v>Are the parastatal's key financial, governance, and operational documents available on the website and published in accessible, open-data formats?</v>
      </c>
      <c r="E30" s="10" t="str">
        <f aca="false">VLOOKUP($A30,'PARASTATAL Questions'!$A:$J,7,0)&amp;""</f>
        <v>Implementation</v>
      </c>
      <c r="F30" s="10" t="n">
        <f aca="false">VLOOKUP($A30,'PARASTATAL Questions'!$A:$J,6,0)</f>
        <v>10</v>
      </c>
      <c r="G30" s="10" t="str">
        <f aca="false">IF(OR(G31="ER",G32="ER",G33="ER",G34="ER",G35="ER",G36="ER",G37="ER",G38="ER",G39="ER",G40="ER"),"ER",IF(OR(G31="?",G32="?",G33="?",G34="?",G35="?",G36="?",G37="?",G38="?",G39="?",G40="?"),"?",IF(AND(G31="NA",G32="NA",G33="NA",G34="NA",G35="NA",G36="NA",G37="NA",G38="NA",G39="NA",G40="NA"),"NA",SUM(G31,G32,G33,G34,G35,G36,G37,G38,G39,G40)/((G31&lt;&gt;"NA")*$F$31+(G32&lt;&gt;"NA")*$F$32+(G33&lt;&gt;"NA")*$F$33+(G34&lt;&gt;"NA")*$F$34+(G35&lt;&gt;"NA")*$F$35+(G36&lt;&gt;"NA")*$F$36+(G37&lt;&gt;"NA")*$F$37+(G38&lt;&gt;"NA")*$F$38+(G39&lt;&gt;"NA")*$F$39+(G40&lt;&gt;"NA")*$F$40)*$F30)))</f>
        <v>?</v>
      </c>
      <c r="H30" s="10" t="str">
        <f aca="false">IF(OR(H31="ER",H32="ER",H33="ER",H34="ER",H35="ER",H36="ER",H37="ER",H38="ER",H39="ER",H40="ER"),"ER",IF(OR(H31="?",H32="?",H33="?",H34="?",H35="?",H36="?",H37="?",H38="?",H39="?",H40="?"),"?",IF(AND(H31="NA",H32="NA",H33="NA",H34="NA",H35="NA",H36="NA",H37="NA",H38="NA",H39="NA",H40="NA"),"NA",SUM(H31,H32,H33,H34,H35,H36,H37,H38,H39,H40)/((H31&lt;&gt;"NA")*$F$31+(H32&lt;&gt;"NA")*$F$32+(H33&lt;&gt;"NA")*$F$33+(H34&lt;&gt;"NA")*$F$34+(H35&lt;&gt;"NA")*$F$35+(H36&lt;&gt;"NA")*$F$36+(H37&lt;&gt;"NA")*$F$37+(H38&lt;&gt;"NA")*$F$38+(H39&lt;&gt;"NA")*$F$39+(H40&lt;&gt;"NA")*$F$40)*$F30)))</f>
        <v>?</v>
      </c>
      <c r="I30" s="10" t="str">
        <f aca="false">IF(OR(I31="ER",I32="ER",I33="ER",I34="ER",I35="ER",I36="ER",I37="ER",I38="ER",I39="ER",I40="ER"),"ER",IF(OR(I31="?",I32="?",I33="?",I34="?",I35="?",I36="?",I37="?",I38="?",I39="?",I40="?"),"?",IF(AND(I31="NA",I32="NA",I33="NA",I34="NA",I35="NA",I36="NA",I37="NA",I38="NA",I39="NA",I40="NA"),"NA",SUM(I31,I32,I33,I34,I35,I36,I37,I38,I39,I40)/((I31&lt;&gt;"NA")*$F$31+(I32&lt;&gt;"NA")*$F$32+(I33&lt;&gt;"NA")*$F$33+(I34&lt;&gt;"NA")*$F$34+(I35&lt;&gt;"NA")*$F$35+(I36&lt;&gt;"NA")*$F$36+(I37&lt;&gt;"NA")*$F$37+(I38&lt;&gt;"NA")*$F$38+(I39&lt;&gt;"NA")*$F$39+(I40&lt;&gt;"NA")*$F$40)*$F30)))</f>
        <v>?</v>
      </c>
      <c r="J30" s="10" t="str">
        <f aca="false">IF(OR(J31="ER",J32="ER",J33="ER",J34="ER",J35="ER",J36="ER",J37="ER",J38="ER",J39="ER",J40="ER"),"ER",IF(OR(J31="?",J32="?",J33="?",J34="?",J35="?",J36="?",J37="?",J38="?",J39="?",J40="?"),"?",IF(AND(J31="NA",J32="NA",J33="NA",J34="NA",J35="NA",J36="NA",J37="NA",J38="NA",J39="NA",J40="NA"),"NA",SUM(J31,J32,J33,J34,J35,J36,J37,J38,J39,J40)/((J31&lt;&gt;"NA")*$F$31+(J32&lt;&gt;"NA")*$F$32+(J33&lt;&gt;"NA")*$F$33+(J34&lt;&gt;"NA")*$F$34+(J35&lt;&gt;"NA")*$F$35+(J36&lt;&gt;"NA")*$F$36+(J37&lt;&gt;"NA")*$F$37+(J38&lt;&gt;"NA")*$F$38+(J39&lt;&gt;"NA")*$F$39+(J40&lt;&gt;"NA")*$F$40)*$F30)))</f>
        <v>?</v>
      </c>
      <c r="K30" s="10" t="str">
        <f aca="false">IF(OR(K31="ER",K32="ER",K33="ER",K34="ER",K35="ER",K36="ER",K37="ER",K38="ER",K39="ER",K40="ER"),"ER",IF(OR(K31="?",K32="?",K33="?",K34="?",K35="?",K36="?",K37="?",K38="?",K39="?",K40="?"),"?",IF(AND(K31="NA",K32="NA",K33="NA",K34="NA",K35="NA",K36="NA",K37="NA",K38="NA",K39="NA",K40="NA"),"NA",SUM(K31,K32,K33,K34,K35,K36,K37,K38,K39,K40)/((K31&lt;&gt;"NA")*$F$31+(K32&lt;&gt;"NA")*$F$32+(K33&lt;&gt;"NA")*$F$33+(K34&lt;&gt;"NA")*$F$34+(K35&lt;&gt;"NA")*$F$35+(K36&lt;&gt;"NA")*$F$36+(K37&lt;&gt;"NA")*$F$37+(K38&lt;&gt;"NA")*$F$38+(K39&lt;&gt;"NA")*$F$39+(K40&lt;&gt;"NA")*$F$40)*$F30)))</f>
        <v>?</v>
      </c>
      <c r="L30" s="10" t="str">
        <f aca="false">IF(OR(L31="ER",L32="ER",L33="ER",L34="ER",L35="ER",L36="ER",L37="ER",L38="ER",L39="ER",L40="ER"),"ER",IF(OR(L31="?",L32="?",L33="?",L34="?",L35="?",L36="?",L37="?",L38="?",L39="?",L40="?"),"?",IF(AND(L31="NA",L32="NA",L33="NA",L34="NA",L35="NA",L36="NA",L37="NA",L38="NA",L39="NA",L40="NA"),"NA",SUM(L31,L32,L33,L34,L35,L36,L37,L38,L39,L40)/((L31&lt;&gt;"NA")*$F$31+(L32&lt;&gt;"NA")*$F$32+(L33&lt;&gt;"NA")*$F$33+(L34&lt;&gt;"NA")*$F$34+(L35&lt;&gt;"NA")*$F$35+(L36&lt;&gt;"NA")*$F$36+(L37&lt;&gt;"NA")*$F$37+(L38&lt;&gt;"NA")*$F$38+(L39&lt;&gt;"NA")*$F$39+(L40&lt;&gt;"NA")*$F$40)*$F30)))</f>
        <v>?</v>
      </c>
      <c r="M30" s="10" t="str">
        <f aca="false">IF(OR(M31="ER",M32="ER",M33="ER",M34="ER",M35="ER",M36="ER",M37="ER",M38="ER",M39="ER",M40="ER"),"ER",IF(OR(M31="?",M32="?",M33="?",M34="?",M35="?",M36="?",M37="?",M38="?",M39="?",M40="?"),"?",IF(AND(M31="NA",M32="NA",M33="NA",M34="NA",M35="NA",M36="NA",M37="NA",M38="NA",M39="NA",M40="NA"),"NA",SUM(M31,M32,M33,M34,M35,M36,M37,M38,M39,M40)/((M31&lt;&gt;"NA")*$F$31+(M32&lt;&gt;"NA")*$F$32+(M33&lt;&gt;"NA")*$F$33+(M34&lt;&gt;"NA")*$F$34+(M35&lt;&gt;"NA")*$F$35+(M36&lt;&gt;"NA")*$F$36+(M37&lt;&gt;"NA")*$F$37+(M38&lt;&gt;"NA")*$F$38+(M39&lt;&gt;"NA")*$F$39+(M40&lt;&gt;"NA")*$F$40)*$F30)))</f>
        <v>?</v>
      </c>
    </row>
    <row r="31" customFormat="false" ht="15" hidden="false" customHeight="true" outlineLevel="0" collapsed="false">
      <c r="A31" s="8" t="s">
        <v>253</v>
      </c>
      <c r="B31" s="8" t="str">
        <f aca="false">VLOOKUP($A31,'PARASTATAL Questions'!$A:$J,3,0)&amp;""</f>
        <v>Decentralised Participatory Governance</v>
      </c>
      <c r="C31" s="8" t="str">
        <f aca="false">VLOOKUP($A31,'PARASTATAL Questions'!$A:$J,4,0)&amp;""</f>
        <v>SQ</v>
      </c>
      <c r="D31" s="8" t="str">
        <f aca="false">VLOOKUP($A31,'PARASTATAL Questions'!$A:$J,5,0)&amp;""</f>
        <v>Annual budget</v>
      </c>
      <c r="E31" s="8" t="str">
        <f aca="false">VLOOKUP($A31,'PARASTATAL Questions'!$A:$J,7,0)&amp;""</f>
        <v>Implementation</v>
      </c>
      <c r="F31" s="8" t="n">
        <f aca="false">VLOOKUP($A31,'PARASTATAL Questions'!$A:$J,6,0)</f>
        <v>1</v>
      </c>
      <c r="G31" s="8" t="str">
        <f aca="true">IF($F31=0,"NA",IF($A31=INDIRECT("'"&amp;$A31&amp;"'!$B$1"),IF(VLOOKUP(G$1,INDIRECT("'"&amp;$A31&amp;"'!$A$12:$Z$19"),MATCH("Points (Auto-generate)",INDIRECT("'"&amp;$A31&amp;"'!$A$12:$Z$12"),0),0)="","?",VLOOKUP(G$1,INDIRECT("'"&amp;$A31&amp;"'!$A$12:$Z$19"),MATCH("Points (Auto-generate)",INDIRECT("'"&amp;$A31&amp;"'!$A$12:$Z$12"),0),0)),"ER"))</f>
        <v>?</v>
      </c>
      <c r="H31" s="8" t="str">
        <f aca="true">IF($F31=0,"NA",IF($A31=INDIRECT("'"&amp;$A31&amp;"'!$B$1"),IF(VLOOKUP(H$1,INDIRECT("'"&amp;$A31&amp;"'!$A$12:$Z$19"),MATCH("Points (Auto-generate)",INDIRECT("'"&amp;$A31&amp;"'!$A$12:$Z$12"),0),0)="","?",VLOOKUP(H$1,INDIRECT("'"&amp;$A31&amp;"'!$A$12:$Z$19"),MATCH("Points (Auto-generate)",INDIRECT("'"&amp;$A31&amp;"'!$A$12:$Z$12"),0),0)),"ER"))</f>
        <v>?</v>
      </c>
      <c r="I31" s="8" t="str">
        <f aca="true">IF($F31=0,"NA",IF($A31=INDIRECT("'"&amp;$A31&amp;"'!$B$1"),IF(VLOOKUP(I$1,INDIRECT("'"&amp;$A31&amp;"'!$A$12:$Z$19"),MATCH("Points (Auto-generate)",INDIRECT("'"&amp;$A31&amp;"'!$A$12:$Z$12"),0),0)="","?",VLOOKUP(I$1,INDIRECT("'"&amp;$A31&amp;"'!$A$12:$Z$19"),MATCH("Points (Auto-generate)",INDIRECT("'"&amp;$A31&amp;"'!$A$12:$Z$12"),0),0)),"ER"))</f>
        <v>?</v>
      </c>
      <c r="J31" s="8" t="str">
        <f aca="true">IF($F31=0,"NA",IF($A31=INDIRECT("'"&amp;$A31&amp;"'!$B$1"),IF(VLOOKUP(J$1,INDIRECT("'"&amp;$A31&amp;"'!$A$12:$Z$19"),MATCH("Points (Auto-generate)",INDIRECT("'"&amp;$A31&amp;"'!$A$12:$Z$12"),0),0)="","?",VLOOKUP(J$1,INDIRECT("'"&amp;$A31&amp;"'!$A$12:$Z$19"),MATCH("Points (Auto-generate)",INDIRECT("'"&amp;$A31&amp;"'!$A$12:$Z$12"),0),0)),"ER"))</f>
        <v>?</v>
      </c>
      <c r="K31" s="8" t="str">
        <f aca="true">IF($F31=0,"NA",IF($A31=INDIRECT("'"&amp;$A31&amp;"'!$B$1"),IF(VLOOKUP(K$1,INDIRECT("'"&amp;$A31&amp;"'!$A$12:$Z$19"),MATCH("Points (Auto-generate)",INDIRECT("'"&amp;$A31&amp;"'!$A$12:$Z$12"),0),0)="","?",VLOOKUP(K$1,INDIRECT("'"&amp;$A31&amp;"'!$A$12:$Z$19"),MATCH("Points (Auto-generate)",INDIRECT("'"&amp;$A31&amp;"'!$A$12:$Z$12"),0),0)),"ER"))</f>
        <v>?</v>
      </c>
      <c r="L31" s="8" t="str">
        <f aca="true">IF($F31=0,"NA",IF($A31=INDIRECT("'"&amp;$A31&amp;"'!$B$1"),IF(VLOOKUP(L$1,INDIRECT("'"&amp;$A31&amp;"'!$A$12:$Z$19"),MATCH("Points (Auto-generate)",INDIRECT("'"&amp;$A31&amp;"'!$A$12:$Z$12"),0),0)="","?",VLOOKUP(L$1,INDIRECT("'"&amp;$A31&amp;"'!$A$12:$Z$19"),MATCH("Points (Auto-generate)",INDIRECT("'"&amp;$A31&amp;"'!$A$12:$Z$12"),0),0)),"ER"))</f>
        <v>?</v>
      </c>
      <c r="M31" s="8" t="str">
        <f aca="true">IF($F31=0,"NA",IF($A31=INDIRECT("'"&amp;$A31&amp;"'!$B$1"),IF(VLOOKUP(M$1,INDIRECT("'"&amp;$A31&amp;"'!$A$12:$Z$19"),MATCH("Points (Auto-generate)",INDIRECT("'"&amp;$A31&amp;"'!$A$12:$Z$12"),0),0)="","?",VLOOKUP(M$1,INDIRECT("'"&amp;$A31&amp;"'!$A$12:$Z$19"),MATCH("Points (Auto-generate)",INDIRECT("'"&amp;$A31&amp;"'!$A$12:$Z$12"),0),0)),"ER"))</f>
        <v>?</v>
      </c>
    </row>
    <row r="32" customFormat="false" ht="15" hidden="false" customHeight="true" outlineLevel="0" collapsed="false">
      <c r="A32" s="8" t="s">
        <v>261</v>
      </c>
      <c r="B32" s="8" t="str">
        <f aca="false">VLOOKUP($A32,'PARASTATAL Questions'!$A:$J,3,0)&amp;""</f>
        <v>Decentralised Participatory Governance</v>
      </c>
      <c r="C32" s="8" t="str">
        <f aca="false">VLOOKUP($A32,'PARASTATAL Questions'!$A:$J,4,0)&amp;""</f>
        <v>SQ</v>
      </c>
      <c r="D32" s="8" t="str">
        <f aca="false">VLOOKUP($A32,'PARASTATAL Questions'!$A:$J,5,0)&amp;""</f>
        <v>Audited annual accounts</v>
      </c>
      <c r="E32" s="8" t="str">
        <f aca="false">VLOOKUP($A32,'PARASTATAL Questions'!$A:$J,7,0)&amp;""</f>
        <v>Implementation</v>
      </c>
      <c r="F32" s="8" t="n">
        <f aca="false">VLOOKUP($A32,'PARASTATAL Questions'!$A:$J,6,0)</f>
        <v>1</v>
      </c>
      <c r="G32" s="8" t="str">
        <f aca="true">IF($F32=0,"NA",IF($A32=INDIRECT("'"&amp;$A32&amp;"'!$B$1"),IF(VLOOKUP(G$1,INDIRECT("'"&amp;$A32&amp;"'!$A$12:$Z$19"),MATCH("Points (Auto-generate)",INDIRECT("'"&amp;$A32&amp;"'!$A$12:$Z$12"),0),0)="","?",VLOOKUP(G$1,INDIRECT("'"&amp;$A32&amp;"'!$A$12:$Z$19"),MATCH("Points (Auto-generate)",INDIRECT("'"&amp;$A32&amp;"'!$A$12:$Z$12"),0),0)),"ER"))</f>
        <v>?</v>
      </c>
      <c r="H32" s="8" t="str">
        <f aca="true">IF($F32=0,"NA",IF($A32=INDIRECT("'"&amp;$A32&amp;"'!$B$1"),IF(VLOOKUP(H$1,INDIRECT("'"&amp;$A32&amp;"'!$A$12:$Z$19"),MATCH("Points (Auto-generate)",INDIRECT("'"&amp;$A32&amp;"'!$A$12:$Z$12"),0),0)="","?",VLOOKUP(H$1,INDIRECT("'"&amp;$A32&amp;"'!$A$12:$Z$19"),MATCH("Points (Auto-generate)",INDIRECT("'"&amp;$A32&amp;"'!$A$12:$Z$12"),0),0)),"ER"))</f>
        <v>?</v>
      </c>
      <c r="I32" s="8" t="str">
        <f aca="true">IF($F32=0,"NA",IF($A32=INDIRECT("'"&amp;$A32&amp;"'!$B$1"),IF(VLOOKUP(I$1,INDIRECT("'"&amp;$A32&amp;"'!$A$12:$Z$19"),MATCH("Points (Auto-generate)",INDIRECT("'"&amp;$A32&amp;"'!$A$12:$Z$12"),0),0)="","?",VLOOKUP(I$1,INDIRECT("'"&amp;$A32&amp;"'!$A$12:$Z$19"),MATCH("Points (Auto-generate)",INDIRECT("'"&amp;$A32&amp;"'!$A$12:$Z$12"),0),0)),"ER"))</f>
        <v>?</v>
      </c>
      <c r="J32" s="8" t="n">
        <f aca="true">IF($F32=0,"NA",IF($A32=INDIRECT("'"&amp;$A32&amp;"'!$B$1"),IF(VLOOKUP(J$1,INDIRECT("'"&amp;$A32&amp;"'!$A$12:$Z$19"),MATCH("Points (Auto-generate)",INDIRECT("'"&amp;$A32&amp;"'!$A$12:$Z$12"),0),0)="","?",VLOOKUP(J$1,INDIRECT("'"&amp;$A32&amp;"'!$A$12:$Z$19"),MATCH("Points (Auto-generate)",INDIRECT("'"&amp;$A32&amp;"'!$A$12:$Z$12"),0),0)),"ER"))</f>
        <v>0</v>
      </c>
      <c r="K32" s="8" t="str">
        <f aca="true">IF($F32=0,"NA",IF($A32=INDIRECT("'"&amp;$A32&amp;"'!$B$1"),IF(VLOOKUP(K$1,INDIRECT("'"&amp;$A32&amp;"'!$A$12:$Z$19"),MATCH("Points (Auto-generate)",INDIRECT("'"&amp;$A32&amp;"'!$A$12:$Z$12"),0),0)="","?",VLOOKUP(K$1,INDIRECT("'"&amp;$A32&amp;"'!$A$12:$Z$19"),MATCH("Points (Auto-generate)",INDIRECT("'"&amp;$A32&amp;"'!$A$12:$Z$12"),0),0)),"ER"))</f>
        <v>?</v>
      </c>
      <c r="L32" s="8" t="str">
        <f aca="true">IF($F32=0,"NA",IF($A32=INDIRECT("'"&amp;$A32&amp;"'!$B$1"),IF(VLOOKUP(L$1,INDIRECT("'"&amp;$A32&amp;"'!$A$12:$Z$19"),MATCH("Points (Auto-generate)",INDIRECT("'"&amp;$A32&amp;"'!$A$12:$Z$12"),0),0)="","?",VLOOKUP(L$1,INDIRECT("'"&amp;$A32&amp;"'!$A$12:$Z$19"),MATCH("Points (Auto-generate)",INDIRECT("'"&amp;$A32&amp;"'!$A$12:$Z$12"),0),0)),"ER"))</f>
        <v>?</v>
      </c>
      <c r="M32" s="8" t="n">
        <f aca="true">IF($F32=0,"NA",IF($A32=INDIRECT("'"&amp;$A32&amp;"'!$B$1"),IF(VLOOKUP(M$1,INDIRECT("'"&amp;$A32&amp;"'!$A$12:$Z$19"),MATCH("Points (Auto-generate)",INDIRECT("'"&amp;$A32&amp;"'!$A$12:$Z$12"),0),0)="","?",VLOOKUP(M$1,INDIRECT("'"&amp;$A32&amp;"'!$A$12:$Z$19"),MATCH("Points (Auto-generate)",INDIRECT("'"&amp;$A32&amp;"'!$A$12:$Z$12"),0),0)),"ER"))</f>
        <v>0.5</v>
      </c>
    </row>
    <row r="33" customFormat="false" ht="15" hidden="false" customHeight="true" outlineLevel="0" collapsed="false">
      <c r="A33" s="8" t="s">
        <v>279</v>
      </c>
      <c r="B33" s="8" t="str">
        <f aca="false">VLOOKUP($A33,'PARASTATAL Questions'!$A:$J,3,0)&amp;""</f>
        <v>Decentralised Participatory Governance</v>
      </c>
      <c r="C33" s="8" t="str">
        <f aca="false">VLOOKUP($A33,'PARASTATAL Questions'!$A:$J,4,0)&amp;""</f>
        <v>SQ</v>
      </c>
      <c r="D33" s="8" t="str">
        <f aca="false">VLOOKUP($A33,'PARASTATAL Questions'!$A:$J,5,0)&amp;""</f>
        <v>Annual report</v>
      </c>
      <c r="E33" s="8" t="str">
        <f aca="false">VLOOKUP($A33,'PARASTATAL Questions'!$A:$J,7,0)&amp;""</f>
        <v>Implementation</v>
      </c>
      <c r="F33" s="8" t="n">
        <f aca="false">VLOOKUP($A33,'PARASTATAL Questions'!$A:$J,6,0)</f>
        <v>1</v>
      </c>
      <c r="G33" s="8" t="str">
        <f aca="true">IF($F33=0,"NA",IF($A33=INDIRECT("'"&amp;$A33&amp;"'!$B$1"),IF(VLOOKUP(G$1,INDIRECT("'"&amp;$A33&amp;"'!$A$12:$Z$19"),MATCH("Points (Auto-generate)",INDIRECT("'"&amp;$A33&amp;"'!$A$12:$Z$12"),0),0)="","?",VLOOKUP(G$1,INDIRECT("'"&amp;$A33&amp;"'!$A$12:$Z$19"),MATCH("Points (Auto-generate)",INDIRECT("'"&amp;$A33&amp;"'!$A$12:$Z$12"),0),0)),"ER"))</f>
        <v>?</v>
      </c>
      <c r="H33" s="8" t="str">
        <f aca="true">IF($F33=0,"NA",IF($A33=INDIRECT("'"&amp;$A33&amp;"'!$B$1"),IF(VLOOKUP(H$1,INDIRECT("'"&amp;$A33&amp;"'!$A$12:$Z$19"),MATCH("Points (Auto-generate)",INDIRECT("'"&amp;$A33&amp;"'!$A$12:$Z$12"),0),0)="","?",VLOOKUP(H$1,INDIRECT("'"&amp;$A33&amp;"'!$A$12:$Z$19"),MATCH("Points (Auto-generate)",INDIRECT("'"&amp;$A33&amp;"'!$A$12:$Z$12"),0),0)),"ER"))</f>
        <v>?</v>
      </c>
      <c r="I33" s="8" t="str">
        <f aca="true">IF($F33=0,"NA",IF($A33=INDIRECT("'"&amp;$A33&amp;"'!$B$1"),IF(VLOOKUP(I$1,INDIRECT("'"&amp;$A33&amp;"'!$A$12:$Z$19"),MATCH("Points (Auto-generate)",INDIRECT("'"&amp;$A33&amp;"'!$A$12:$Z$12"),0),0)="","?",VLOOKUP(I$1,INDIRECT("'"&amp;$A33&amp;"'!$A$12:$Z$19"),MATCH("Points (Auto-generate)",INDIRECT("'"&amp;$A33&amp;"'!$A$12:$Z$12"),0),0)),"ER"))</f>
        <v>?</v>
      </c>
      <c r="J33" s="8" t="str">
        <f aca="true">IF($F33=0,"NA",IF($A33=INDIRECT("'"&amp;$A33&amp;"'!$B$1"),IF(VLOOKUP(J$1,INDIRECT("'"&amp;$A33&amp;"'!$A$12:$Z$19"),MATCH("Points (Auto-generate)",INDIRECT("'"&amp;$A33&amp;"'!$A$12:$Z$12"),0),0)="","?",VLOOKUP(J$1,INDIRECT("'"&amp;$A33&amp;"'!$A$12:$Z$19"),MATCH("Points (Auto-generate)",INDIRECT("'"&amp;$A33&amp;"'!$A$12:$Z$12"),0),0)),"ER"))</f>
        <v>?</v>
      </c>
      <c r="K33" s="8" t="str">
        <f aca="true">IF($F33=0,"NA",IF($A33=INDIRECT("'"&amp;$A33&amp;"'!$B$1"),IF(VLOOKUP(K$1,INDIRECT("'"&amp;$A33&amp;"'!$A$12:$Z$19"),MATCH("Points (Auto-generate)",INDIRECT("'"&amp;$A33&amp;"'!$A$12:$Z$12"),0),0)="","?",VLOOKUP(K$1,INDIRECT("'"&amp;$A33&amp;"'!$A$12:$Z$19"),MATCH("Points (Auto-generate)",INDIRECT("'"&amp;$A33&amp;"'!$A$12:$Z$12"),0),0)),"ER"))</f>
        <v>?</v>
      </c>
      <c r="L33" s="8" t="str">
        <f aca="true">IF($F33=0,"NA",IF($A33=INDIRECT("'"&amp;$A33&amp;"'!$B$1"),IF(VLOOKUP(L$1,INDIRECT("'"&amp;$A33&amp;"'!$A$12:$Z$19"),MATCH("Points (Auto-generate)",INDIRECT("'"&amp;$A33&amp;"'!$A$12:$Z$12"),0),0)="","?",VLOOKUP(L$1,INDIRECT("'"&amp;$A33&amp;"'!$A$12:$Z$19"),MATCH("Points (Auto-generate)",INDIRECT("'"&amp;$A33&amp;"'!$A$12:$Z$12"),0),0)),"ER"))</f>
        <v>?</v>
      </c>
      <c r="M33" s="8" t="str">
        <f aca="true">IF($F33=0,"NA",IF($A33=INDIRECT("'"&amp;$A33&amp;"'!$B$1"),IF(VLOOKUP(M$1,INDIRECT("'"&amp;$A33&amp;"'!$A$12:$Z$19"),MATCH("Points (Auto-generate)",INDIRECT("'"&amp;$A33&amp;"'!$A$12:$Z$12"),0),0)="","?",VLOOKUP(M$1,INDIRECT("'"&amp;$A33&amp;"'!$A$12:$Z$19"),MATCH("Points (Auto-generate)",INDIRECT("'"&amp;$A33&amp;"'!$A$12:$Z$12"),0),0)),"ER"))</f>
        <v>?</v>
      </c>
    </row>
    <row r="34" customFormat="false" ht="15" hidden="false" customHeight="true" outlineLevel="0" collapsed="false">
      <c r="A34" s="8" t="s">
        <v>299</v>
      </c>
      <c r="B34" s="8" t="str">
        <f aca="false">VLOOKUP($A34,'PARASTATAL Questions'!$A:$J,3,0)&amp;""</f>
        <v>Decentralised Participatory Governance</v>
      </c>
      <c r="C34" s="8" t="str">
        <f aca="false">VLOOKUP($A34,'PARASTATAL Questions'!$A:$J,4,0)&amp;""</f>
        <v>SQ</v>
      </c>
      <c r="D34" s="8" t="str">
        <f aca="false">VLOOKUP($A34,'PARASTATAL Questions'!$A:$J,5,0)&amp;""</f>
        <v>Meeting minutes of governing board</v>
      </c>
      <c r="E34" s="8" t="str">
        <f aca="false">VLOOKUP($A34,'PARASTATAL Questions'!$A:$J,7,0)&amp;""</f>
        <v>Implementation</v>
      </c>
      <c r="F34" s="8" t="n">
        <f aca="false">VLOOKUP($A34,'PARASTATAL Questions'!$A:$J,6,0)</f>
        <v>1</v>
      </c>
      <c r="G34" s="8" t="str">
        <f aca="true">IF($F34=0,"NA",IF($A34=INDIRECT("'"&amp;$A34&amp;"'!$B$1"),IF(VLOOKUP(G$1,INDIRECT("'"&amp;$A34&amp;"'!$A$12:$Z$19"),MATCH("Points (Auto-generate)",INDIRECT("'"&amp;$A34&amp;"'!$A$12:$Z$12"),0),0)="","?",VLOOKUP(G$1,INDIRECT("'"&amp;$A34&amp;"'!$A$12:$Z$19"),MATCH("Points (Auto-generate)",INDIRECT("'"&amp;$A34&amp;"'!$A$12:$Z$12"),0),0)),"ER"))</f>
        <v>?</v>
      </c>
      <c r="H34" s="8" t="str">
        <f aca="true">IF($F34=0,"NA",IF($A34=INDIRECT("'"&amp;$A34&amp;"'!$B$1"),IF(VLOOKUP(H$1,INDIRECT("'"&amp;$A34&amp;"'!$A$12:$Z$19"),MATCH("Points (Auto-generate)",INDIRECT("'"&amp;$A34&amp;"'!$A$12:$Z$12"),0),0)="","?",VLOOKUP(H$1,INDIRECT("'"&amp;$A34&amp;"'!$A$12:$Z$19"),MATCH("Points (Auto-generate)",INDIRECT("'"&amp;$A34&amp;"'!$A$12:$Z$12"),0),0)),"ER"))</f>
        <v>?</v>
      </c>
      <c r="I34" s="8" t="str">
        <f aca="true">IF($F34=0,"NA",IF($A34=INDIRECT("'"&amp;$A34&amp;"'!$B$1"),IF(VLOOKUP(I$1,INDIRECT("'"&amp;$A34&amp;"'!$A$12:$Z$19"),MATCH("Points (Auto-generate)",INDIRECT("'"&amp;$A34&amp;"'!$A$12:$Z$12"),0),0)="","?",VLOOKUP(I$1,INDIRECT("'"&amp;$A34&amp;"'!$A$12:$Z$19"),MATCH("Points (Auto-generate)",INDIRECT("'"&amp;$A34&amp;"'!$A$12:$Z$12"),0),0)),"ER"))</f>
        <v>?</v>
      </c>
      <c r="J34" s="8" t="str">
        <f aca="true">IF($F34=0,"NA",IF($A34=INDIRECT("'"&amp;$A34&amp;"'!$B$1"),IF(VLOOKUP(J$1,INDIRECT("'"&amp;$A34&amp;"'!$A$12:$Z$19"),MATCH("Points (Auto-generate)",INDIRECT("'"&amp;$A34&amp;"'!$A$12:$Z$12"),0),0)="","?",VLOOKUP(J$1,INDIRECT("'"&amp;$A34&amp;"'!$A$12:$Z$19"),MATCH("Points (Auto-generate)",INDIRECT("'"&amp;$A34&amp;"'!$A$12:$Z$12"),0),0)),"ER"))</f>
        <v>?</v>
      </c>
      <c r="K34" s="8" t="str">
        <f aca="true">IF($F34=0,"NA",IF($A34=INDIRECT("'"&amp;$A34&amp;"'!$B$1"),IF(VLOOKUP(K$1,INDIRECT("'"&amp;$A34&amp;"'!$A$12:$Z$19"),MATCH("Points (Auto-generate)",INDIRECT("'"&amp;$A34&amp;"'!$A$12:$Z$12"),0),0)="","?",VLOOKUP(K$1,INDIRECT("'"&amp;$A34&amp;"'!$A$12:$Z$19"),MATCH("Points (Auto-generate)",INDIRECT("'"&amp;$A34&amp;"'!$A$12:$Z$12"),0),0)),"ER"))</f>
        <v>?</v>
      </c>
      <c r="L34" s="8" t="str">
        <f aca="true">IF($F34=0,"NA",IF($A34=INDIRECT("'"&amp;$A34&amp;"'!$B$1"),IF(VLOOKUP(L$1,INDIRECT("'"&amp;$A34&amp;"'!$A$12:$Z$19"),MATCH("Points (Auto-generate)",INDIRECT("'"&amp;$A34&amp;"'!$A$12:$Z$12"),0),0)="","?",VLOOKUP(L$1,INDIRECT("'"&amp;$A34&amp;"'!$A$12:$Z$19"),MATCH("Points (Auto-generate)",INDIRECT("'"&amp;$A34&amp;"'!$A$12:$Z$12"),0),0)),"ER"))</f>
        <v>?</v>
      </c>
      <c r="M34" s="8" t="str">
        <f aca="true">IF($F34=0,"NA",IF($A34=INDIRECT("'"&amp;$A34&amp;"'!$B$1"),IF(VLOOKUP(M$1,INDIRECT("'"&amp;$A34&amp;"'!$A$12:$Z$19"),MATCH("Points (Auto-generate)",INDIRECT("'"&amp;$A34&amp;"'!$A$12:$Z$12"),0),0)="","?",VLOOKUP(M$1,INDIRECT("'"&amp;$A34&amp;"'!$A$12:$Z$19"),MATCH("Points (Auto-generate)",INDIRECT("'"&amp;$A34&amp;"'!$A$12:$Z$12"),0),0)),"ER"))</f>
        <v>?</v>
      </c>
    </row>
    <row r="35" customFormat="false" ht="15" hidden="false" customHeight="true" outlineLevel="0" collapsed="false">
      <c r="A35" s="8" t="s">
        <v>307</v>
      </c>
      <c r="B35" s="8" t="str">
        <f aca="false">VLOOKUP($A35,'PARASTATAL Questions'!$A:$J,3,0)&amp;""</f>
        <v>Decentralised Participatory Governance</v>
      </c>
      <c r="C35" s="8" t="str">
        <f aca="false">VLOOKUP($A35,'PARASTATAL Questions'!$A:$J,4,0)&amp;""</f>
        <v>SQ</v>
      </c>
      <c r="D35" s="8" t="str">
        <f aca="false">VLOOKUP($A35,'PARASTATAL Questions'!$A:$J,5,0)&amp;""</f>
        <v>Organisation and staffing information</v>
      </c>
      <c r="E35" s="8" t="str">
        <f aca="false">VLOOKUP($A35,'PARASTATAL Questions'!$A:$J,7,0)&amp;""</f>
        <v>Implementation</v>
      </c>
      <c r="F35" s="8" t="n">
        <f aca="false">VLOOKUP($A35,'PARASTATAL Questions'!$A:$J,6,0)</f>
        <v>1</v>
      </c>
      <c r="G35" s="8" t="str">
        <f aca="true">IF($F35=0,"NA",IF($A35=INDIRECT("'"&amp;$A35&amp;"'!$B$1"),IF(VLOOKUP(G$1,INDIRECT("'"&amp;$A35&amp;"'!$A$12:$Z$19"),MATCH("Points (Auto-generate)",INDIRECT("'"&amp;$A35&amp;"'!$A$12:$Z$12"),0),0)="","?",VLOOKUP(G$1,INDIRECT("'"&amp;$A35&amp;"'!$A$12:$Z$19"),MATCH("Points (Auto-generate)",INDIRECT("'"&amp;$A35&amp;"'!$A$12:$Z$12"),0),0)),"ER"))</f>
        <v>?</v>
      </c>
      <c r="H35" s="8" t="str">
        <f aca="true">IF($F35=0,"NA",IF($A35=INDIRECT("'"&amp;$A35&amp;"'!$B$1"),IF(VLOOKUP(H$1,INDIRECT("'"&amp;$A35&amp;"'!$A$12:$Z$19"),MATCH("Points (Auto-generate)",INDIRECT("'"&amp;$A35&amp;"'!$A$12:$Z$12"),0),0)="","?",VLOOKUP(H$1,INDIRECT("'"&amp;$A35&amp;"'!$A$12:$Z$19"),MATCH("Points (Auto-generate)",INDIRECT("'"&amp;$A35&amp;"'!$A$12:$Z$12"),0),0)),"ER"))</f>
        <v>?</v>
      </c>
      <c r="I35" s="8" t="str">
        <f aca="true">IF($F35=0,"NA",IF($A35=INDIRECT("'"&amp;$A35&amp;"'!$B$1"),IF(VLOOKUP(I$1,INDIRECT("'"&amp;$A35&amp;"'!$A$12:$Z$19"),MATCH("Points (Auto-generate)",INDIRECT("'"&amp;$A35&amp;"'!$A$12:$Z$12"),0),0)="","?",VLOOKUP(I$1,INDIRECT("'"&amp;$A35&amp;"'!$A$12:$Z$19"),MATCH("Points (Auto-generate)",INDIRECT("'"&amp;$A35&amp;"'!$A$12:$Z$12"),0),0)),"ER"))</f>
        <v>?</v>
      </c>
      <c r="J35" s="8" t="str">
        <f aca="true">IF($F35=0,"NA",IF($A35=INDIRECT("'"&amp;$A35&amp;"'!$B$1"),IF(VLOOKUP(J$1,INDIRECT("'"&amp;$A35&amp;"'!$A$12:$Z$19"),MATCH("Points (Auto-generate)",INDIRECT("'"&amp;$A35&amp;"'!$A$12:$Z$12"),0),0)="","?",VLOOKUP(J$1,INDIRECT("'"&amp;$A35&amp;"'!$A$12:$Z$19"),MATCH("Points (Auto-generate)",INDIRECT("'"&amp;$A35&amp;"'!$A$12:$Z$12"),0),0)),"ER"))</f>
        <v>?</v>
      </c>
      <c r="K35" s="8" t="n">
        <f aca="true">IF($F35=0,"NA",IF($A35=INDIRECT("'"&amp;$A35&amp;"'!$B$1"),IF(VLOOKUP(K$1,INDIRECT("'"&amp;$A35&amp;"'!$A$12:$Z$19"),MATCH("Points (Auto-generate)",INDIRECT("'"&amp;$A35&amp;"'!$A$12:$Z$12"),0),0)="","?",VLOOKUP(K$1,INDIRECT("'"&amp;$A35&amp;"'!$A$12:$Z$19"),MATCH("Points (Auto-generate)",INDIRECT("'"&amp;$A35&amp;"'!$A$12:$Z$12"),0),0)),"ER"))</f>
        <v>1</v>
      </c>
      <c r="L35" s="8" t="str">
        <f aca="true">IF($F35=0,"NA",IF($A35=INDIRECT("'"&amp;$A35&amp;"'!$B$1"),IF(VLOOKUP(L$1,INDIRECT("'"&amp;$A35&amp;"'!$A$12:$Z$19"),MATCH("Points (Auto-generate)",INDIRECT("'"&amp;$A35&amp;"'!$A$12:$Z$12"),0),0)="","?",VLOOKUP(L$1,INDIRECT("'"&amp;$A35&amp;"'!$A$12:$Z$19"),MATCH("Points (Auto-generate)",INDIRECT("'"&amp;$A35&amp;"'!$A$12:$Z$12"),0),0)),"ER"))</f>
        <v>?</v>
      </c>
      <c r="M35" s="8" t="str">
        <f aca="true">IF($F35=0,"NA",IF($A35=INDIRECT("'"&amp;$A35&amp;"'!$B$1"),IF(VLOOKUP(M$1,INDIRECT("'"&amp;$A35&amp;"'!$A$12:$Z$19"),MATCH("Points (Auto-generate)",INDIRECT("'"&amp;$A35&amp;"'!$A$12:$Z$12"),0),0)="","?",VLOOKUP(M$1,INDIRECT("'"&amp;$A35&amp;"'!$A$12:$Z$19"),MATCH("Points (Auto-generate)",INDIRECT("'"&amp;$A35&amp;"'!$A$12:$Z$12"),0),0)),"ER"))</f>
        <v>?</v>
      </c>
    </row>
    <row r="36" customFormat="false" ht="15" hidden="false" customHeight="true" outlineLevel="0" collapsed="false">
      <c r="A36" s="8" t="s">
        <v>329</v>
      </c>
      <c r="B36" s="8" t="str">
        <f aca="false">VLOOKUP($A36,'PARASTATAL Questions'!$A:$J,3,0)&amp;""</f>
        <v>Decentralised Participatory Governance</v>
      </c>
      <c r="C36" s="8" t="str">
        <f aca="false">VLOOKUP($A36,'PARASTATAL Questions'!$A:$J,4,0)&amp;""</f>
        <v>SQ</v>
      </c>
      <c r="D36" s="8" t="str">
        <f aca="false">VLOOKUP($A36,'PARASTATAL Questions'!$A:$J,5,0)&amp;""</f>
        <v>Major plans / projects</v>
      </c>
      <c r="E36" s="8" t="str">
        <f aca="false">VLOOKUP($A36,'PARASTATAL Questions'!$A:$J,7,0)&amp;""</f>
        <v>Implementation</v>
      </c>
      <c r="F36" s="8" t="n">
        <f aca="false">VLOOKUP($A36,'PARASTATAL Questions'!$A:$J,6,0)</f>
        <v>1</v>
      </c>
      <c r="G36" s="8" t="str">
        <f aca="true">IF($F36=0,"NA",IF($A36=INDIRECT("'"&amp;$A36&amp;"'!$B$1"),IF(VLOOKUP(G$1,INDIRECT("'"&amp;$A36&amp;"'!$A$12:$Z$19"),MATCH("Points (Auto-generate)",INDIRECT("'"&amp;$A36&amp;"'!$A$12:$Z$12"),0),0)="","?",VLOOKUP(G$1,INDIRECT("'"&amp;$A36&amp;"'!$A$12:$Z$19"),MATCH("Points (Auto-generate)",INDIRECT("'"&amp;$A36&amp;"'!$A$12:$Z$12"),0),0)),"ER"))</f>
        <v>?</v>
      </c>
      <c r="H36" s="8" t="str">
        <f aca="true">IF($F36=0,"NA",IF($A36=INDIRECT("'"&amp;$A36&amp;"'!$B$1"),IF(VLOOKUP(H$1,INDIRECT("'"&amp;$A36&amp;"'!$A$12:$Z$19"),MATCH("Points (Auto-generate)",INDIRECT("'"&amp;$A36&amp;"'!$A$12:$Z$12"),0),0)="","?",VLOOKUP(H$1,INDIRECT("'"&amp;$A36&amp;"'!$A$12:$Z$19"),MATCH("Points (Auto-generate)",INDIRECT("'"&amp;$A36&amp;"'!$A$12:$Z$12"),0),0)),"ER"))</f>
        <v>?</v>
      </c>
      <c r="I36" s="8" t="str">
        <f aca="true">IF($F36=0,"NA",IF($A36=INDIRECT("'"&amp;$A36&amp;"'!$B$1"),IF(VLOOKUP(I$1,INDIRECT("'"&amp;$A36&amp;"'!$A$12:$Z$19"),MATCH("Points (Auto-generate)",INDIRECT("'"&amp;$A36&amp;"'!$A$12:$Z$12"),0),0)="","?",VLOOKUP(I$1,INDIRECT("'"&amp;$A36&amp;"'!$A$12:$Z$19"),MATCH("Points (Auto-generate)",INDIRECT("'"&amp;$A36&amp;"'!$A$12:$Z$12"),0),0)),"ER"))</f>
        <v>?</v>
      </c>
      <c r="J36" s="8" t="str">
        <f aca="true">IF($F36=0,"NA",IF($A36=INDIRECT("'"&amp;$A36&amp;"'!$B$1"),IF(VLOOKUP(J$1,INDIRECT("'"&amp;$A36&amp;"'!$A$12:$Z$19"),MATCH("Points (Auto-generate)",INDIRECT("'"&amp;$A36&amp;"'!$A$12:$Z$12"),0),0)="","?",VLOOKUP(J$1,INDIRECT("'"&amp;$A36&amp;"'!$A$12:$Z$19"),MATCH("Points (Auto-generate)",INDIRECT("'"&amp;$A36&amp;"'!$A$12:$Z$12"),0),0)),"ER"))</f>
        <v>?</v>
      </c>
      <c r="K36" s="8" t="str">
        <f aca="true">IF($F36=0,"NA",IF($A36=INDIRECT("'"&amp;$A36&amp;"'!$B$1"),IF(VLOOKUP(K$1,INDIRECT("'"&amp;$A36&amp;"'!$A$12:$Z$19"),MATCH("Points (Auto-generate)",INDIRECT("'"&amp;$A36&amp;"'!$A$12:$Z$12"),0),0)="","?",VLOOKUP(K$1,INDIRECT("'"&amp;$A36&amp;"'!$A$12:$Z$19"),MATCH("Points (Auto-generate)",INDIRECT("'"&amp;$A36&amp;"'!$A$12:$Z$12"),0),0)),"ER"))</f>
        <v>?</v>
      </c>
      <c r="L36" s="8" t="str">
        <f aca="true">IF($F36=0,"NA",IF($A36=INDIRECT("'"&amp;$A36&amp;"'!$B$1"),IF(VLOOKUP(L$1,INDIRECT("'"&amp;$A36&amp;"'!$A$12:$Z$19"),MATCH("Points (Auto-generate)",INDIRECT("'"&amp;$A36&amp;"'!$A$12:$Z$12"),0),0)="","?",VLOOKUP(L$1,INDIRECT("'"&amp;$A36&amp;"'!$A$12:$Z$19"),MATCH("Points (Auto-generate)",INDIRECT("'"&amp;$A36&amp;"'!$A$12:$Z$12"),0),0)),"ER"))</f>
        <v>?</v>
      </c>
      <c r="M36" s="8" t="n">
        <f aca="true">IF($F36=0,"NA",IF($A36=INDIRECT("'"&amp;$A36&amp;"'!$B$1"),IF(VLOOKUP(M$1,INDIRECT("'"&amp;$A36&amp;"'!$A$12:$Z$19"),MATCH("Points (Auto-generate)",INDIRECT("'"&amp;$A36&amp;"'!$A$12:$Z$12"),0),0)="","?",VLOOKUP(M$1,INDIRECT("'"&amp;$A36&amp;"'!$A$12:$Z$19"),MATCH("Points (Auto-generate)",INDIRECT("'"&amp;$A36&amp;"'!$A$12:$Z$12"),0),0)),"ER"))</f>
        <v>1</v>
      </c>
    </row>
    <row r="37" customFormat="false" ht="15" hidden="false" customHeight="true" outlineLevel="0" collapsed="false">
      <c r="A37" s="8" t="s">
        <v>347</v>
      </c>
      <c r="B37" s="8" t="str">
        <f aca="false">VLOOKUP($A37,'PARASTATAL Questions'!$A:$J,3,0)&amp;""</f>
        <v>Decentralised Participatory Governance</v>
      </c>
      <c r="C37" s="8" t="str">
        <f aca="false">VLOOKUP($A37,'PARASTATAL Questions'!$A:$J,4,0)&amp;""</f>
        <v>SQ</v>
      </c>
      <c r="D37" s="8" t="str">
        <f aca="false">VLOOKUP($A37,'PARASTATAL Questions'!$A:$J,5,0)&amp;""</f>
        <v>Service-level benchmarks and performance reports</v>
      </c>
      <c r="E37" s="8" t="str">
        <f aca="false">VLOOKUP($A37,'PARASTATAL Questions'!$A:$J,7,0)&amp;""</f>
        <v>Implementation</v>
      </c>
      <c r="F37" s="8" t="n">
        <f aca="false">VLOOKUP($A37,'PARASTATAL Questions'!$A:$J,6,0)</f>
        <v>1</v>
      </c>
      <c r="G37" s="8" t="str">
        <f aca="true">IF($F37=0,"NA",IF($A37=INDIRECT("'"&amp;$A37&amp;"'!$B$1"),IF(VLOOKUP(G$1,INDIRECT("'"&amp;$A37&amp;"'!$A$12:$Z$19"),MATCH("Points (Auto-generate)",INDIRECT("'"&amp;$A37&amp;"'!$A$12:$Z$12"),0),0)="","?",VLOOKUP(G$1,INDIRECT("'"&amp;$A37&amp;"'!$A$12:$Z$19"),MATCH("Points (Auto-generate)",INDIRECT("'"&amp;$A37&amp;"'!$A$12:$Z$12"),0),0)),"ER"))</f>
        <v>?</v>
      </c>
      <c r="H37" s="8" t="str">
        <f aca="true">IF($F37=0,"NA",IF($A37=INDIRECT("'"&amp;$A37&amp;"'!$B$1"),IF(VLOOKUP(H$1,INDIRECT("'"&amp;$A37&amp;"'!$A$12:$Z$19"),MATCH("Points (Auto-generate)",INDIRECT("'"&amp;$A37&amp;"'!$A$12:$Z$12"),0),0)="","?",VLOOKUP(H$1,INDIRECT("'"&amp;$A37&amp;"'!$A$12:$Z$19"),MATCH("Points (Auto-generate)",INDIRECT("'"&amp;$A37&amp;"'!$A$12:$Z$12"),0),0)),"ER"))</f>
        <v>?</v>
      </c>
      <c r="I37" s="8" t="str">
        <f aca="true">IF($F37=0,"NA",IF($A37=INDIRECT("'"&amp;$A37&amp;"'!$B$1"),IF(VLOOKUP(I$1,INDIRECT("'"&amp;$A37&amp;"'!$A$12:$Z$19"),MATCH("Points (Auto-generate)",INDIRECT("'"&amp;$A37&amp;"'!$A$12:$Z$12"),0),0)="","?",VLOOKUP(I$1,INDIRECT("'"&amp;$A37&amp;"'!$A$12:$Z$19"),MATCH("Points (Auto-generate)",INDIRECT("'"&amp;$A37&amp;"'!$A$12:$Z$12"),0),0)),"ER"))</f>
        <v>?</v>
      </c>
      <c r="J37" s="8" t="str">
        <f aca="true">IF($F37=0,"NA",IF($A37=INDIRECT("'"&amp;$A37&amp;"'!$B$1"),IF(VLOOKUP(J$1,INDIRECT("'"&amp;$A37&amp;"'!$A$12:$Z$19"),MATCH("Points (Auto-generate)",INDIRECT("'"&amp;$A37&amp;"'!$A$12:$Z$12"),0),0)="","?",VLOOKUP(J$1,INDIRECT("'"&amp;$A37&amp;"'!$A$12:$Z$19"),MATCH("Points (Auto-generate)",INDIRECT("'"&amp;$A37&amp;"'!$A$12:$Z$12"),0),0)),"ER"))</f>
        <v>?</v>
      </c>
      <c r="K37" s="8" t="n">
        <f aca="true">IF($F37=0,"NA",IF($A37=INDIRECT("'"&amp;$A37&amp;"'!$B$1"),IF(VLOOKUP(K$1,INDIRECT("'"&amp;$A37&amp;"'!$A$12:$Z$19"),MATCH("Points (Auto-generate)",INDIRECT("'"&amp;$A37&amp;"'!$A$12:$Z$12"),0),0)="","?",VLOOKUP(K$1,INDIRECT("'"&amp;$A37&amp;"'!$A$12:$Z$19"),MATCH("Points (Auto-generate)",INDIRECT("'"&amp;$A37&amp;"'!$A$12:$Z$12"),0),0)),"ER"))</f>
        <v>0</v>
      </c>
      <c r="L37" s="8" t="str">
        <f aca="true">IF($F37=0,"NA",IF($A37=INDIRECT("'"&amp;$A37&amp;"'!$B$1"),IF(VLOOKUP(L$1,INDIRECT("'"&amp;$A37&amp;"'!$A$12:$Z$19"),MATCH("Points (Auto-generate)",INDIRECT("'"&amp;$A37&amp;"'!$A$12:$Z$12"),0),0)="","?",VLOOKUP(L$1,INDIRECT("'"&amp;$A37&amp;"'!$A$12:$Z$19"),MATCH("Points (Auto-generate)",INDIRECT("'"&amp;$A37&amp;"'!$A$12:$Z$12"),0),0)),"ER"))</f>
        <v>?</v>
      </c>
      <c r="M37" s="8" t="str">
        <f aca="true">IF($F37=0,"NA",IF($A37=INDIRECT("'"&amp;$A37&amp;"'!$B$1"),IF(VLOOKUP(M$1,INDIRECT("'"&amp;$A37&amp;"'!$A$12:$Z$19"),MATCH("Points (Auto-generate)",INDIRECT("'"&amp;$A37&amp;"'!$A$12:$Z$12"),0),0)="","?",VLOOKUP(M$1,INDIRECT("'"&amp;$A37&amp;"'!$A$12:$Z$19"),MATCH("Points (Auto-generate)",INDIRECT("'"&amp;$A37&amp;"'!$A$12:$Z$12"),0),0)),"ER"))</f>
        <v>?</v>
      </c>
    </row>
    <row r="38" customFormat="false" ht="15" hidden="false" customHeight="true" outlineLevel="0" collapsed="false">
      <c r="A38" s="8" t="s">
        <v>359</v>
      </c>
      <c r="B38" s="8" t="str">
        <f aca="false">VLOOKUP($A38,'PARASTATAL Questions'!$A:$J,3,0)&amp;""</f>
        <v>Decentralised Participatory Governance</v>
      </c>
      <c r="C38" s="8" t="str">
        <f aca="false">VLOOKUP($A38,'PARASTATAL Questions'!$A:$J,4,0)&amp;""</f>
        <v>SQ</v>
      </c>
      <c r="D38" s="8" t="str">
        <f aca="false">VLOOKUP($A38,'PARASTATAL Questions'!$A:$J,5,0)&amp;""</f>
        <v>Citizen / Service Charter</v>
      </c>
      <c r="E38" s="8" t="str">
        <f aca="false">VLOOKUP($A38,'PARASTATAL Questions'!$A:$J,7,0)&amp;""</f>
        <v>Implementation</v>
      </c>
      <c r="F38" s="8" t="n">
        <f aca="false">VLOOKUP($A38,'PARASTATAL Questions'!$A:$J,6,0)</f>
        <v>1</v>
      </c>
      <c r="G38" s="8" t="str">
        <f aca="true">IF($F38=0,"NA",IF($A38=INDIRECT("'"&amp;$A38&amp;"'!$B$1"),IF(VLOOKUP(G$1,INDIRECT("'"&amp;$A38&amp;"'!$A$12:$Z$19"),MATCH("Points (Auto-generate)",INDIRECT("'"&amp;$A38&amp;"'!$A$12:$Z$12"),0),0)="","?",VLOOKUP(G$1,INDIRECT("'"&amp;$A38&amp;"'!$A$12:$Z$19"),MATCH("Points (Auto-generate)",INDIRECT("'"&amp;$A38&amp;"'!$A$12:$Z$12"),0),0)),"ER"))</f>
        <v>?</v>
      </c>
      <c r="H38" s="8" t="str">
        <f aca="true">IF($F38=0,"NA",IF($A38=INDIRECT("'"&amp;$A38&amp;"'!$B$1"),IF(VLOOKUP(H$1,INDIRECT("'"&amp;$A38&amp;"'!$A$12:$Z$19"),MATCH("Points (Auto-generate)",INDIRECT("'"&amp;$A38&amp;"'!$A$12:$Z$12"),0),0)="","?",VLOOKUP(H$1,INDIRECT("'"&amp;$A38&amp;"'!$A$12:$Z$19"),MATCH("Points (Auto-generate)",INDIRECT("'"&amp;$A38&amp;"'!$A$12:$Z$12"),0),0)),"ER"))</f>
        <v>?</v>
      </c>
      <c r="I38" s="8" t="str">
        <f aca="true">IF($F38=0,"NA",IF($A38=INDIRECT("'"&amp;$A38&amp;"'!$B$1"),IF(VLOOKUP(I$1,INDIRECT("'"&amp;$A38&amp;"'!$A$12:$Z$19"),MATCH("Points (Auto-generate)",INDIRECT("'"&amp;$A38&amp;"'!$A$12:$Z$12"),0),0)="","?",VLOOKUP(I$1,INDIRECT("'"&amp;$A38&amp;"'!$A$12:$Z$19"),MATCH("Points (Auto-generate)",INDIRECT("'"&amp;$A38&amp;"'!$A$12:$Z$12"),0),0)),"ER"))</f>
        <v>?</v>
      </c>
      <c r="J38" s="8" t="str">
        <f aca="true">IF($F38=0,"NA",IF($A38=INDIRECT("'"&amp;$A38&amp;"'!$B$1"),IF(VLOOKUP(J$1,INDIRECT("'"&amp;$A38&amp;"'!$A$12:$Z$19"),MATCH("Points (Auto-generate)",INDIRECT("'"&amp;$A38&amp;"'!$A$12:$Z$12"),0),0)="","?",VLOOKUP(J$1,INDIRECT("'"&amp;$A38&amp;"'!$A$12:$Z$19"),MATCH("Points (Auto-generate)",INDIRECT("'"&amp;$A38&amp;"'!$A$12:$Z$12"),0),0)),"ER"))</f>
        <v>?</v>
      </c>
      <c r="K38" s="8" t="str">
        <f aca="true">IF($F38=0,"NA",IF($A38=INDIRECT("'"&amp;$A38&amp;"'!$B$1"),IF(VLOOKUP(K$1,INDIRECT("'"&amp;$A38&amp;"'!$A$12:$Z$19"),MATCH("Points (Auto-generate)",INDIRECT("'"&amp;$A38&amp;"'!$A$12:$Z$12"),0),0)="","?",VLOOKUP(K$1,INDIRECT("'"&amp;$A38&amp;"'!$A$12:$Z$19"),MATCH("Points (Auto-generate)",INDIRECT("'"&amp;$A38&amp;"'!$A$12:$Z$12"),0),0)),"ER"))</f>
        <v>?</v>
      </c>
      <c r="L38" s="8" t="str">
        <f aca="true">IF($F38=0,"NA",IF($A38=INDIRECT("'"&amp;$A38&amp;"'!$B$1"),IF(VLOOKUP(L$1,INDIRECT("'"&amp;$A38&amp;"'!$A$12:$Z$19"),MATCH("Points (Auto-generate)",INDIRECT("'"&amp;$A38&amp;"'!$A$12:$Z$12"),0),0)="","?",VLOOKUP(L$1,INDIRECT("'"&amp;$A38&amp;"'!$A$12:$Z$19"),MATCH("Points (Auto-generate)",INDIRECT("'"&amp;$A38&amp;"'!$A$12:$Z$12"),0),0)),"ER"))</f>
        <v>?</v>
      </c>
      <c r="M38" s="8" t="str">
        <f aca="true">IF($F38=0,"NA",IF($A38=INDIRECT("'"&amp;$A38&amp;"'!$B$1"),IF(VLOOKUP(M$1,INDIRECT("'"&amp;$A38&amp;"'!$A$12:$Z$19"),MATCH("Points (Auto-generate)",INDIRECT("'"&amp;$A38&amp;"'!$A$12:$Z$12"),0),0)="","?",VLOOKUP(M$1,INDIRECT("'"&amp;$A38&amp;"'!$A$12:$Z$19"),MATCH("Points (Auto-generate)",INDIRECT("'"&amp;$A38&amp;"'!$A$12:$Z$12"),0),0)),"ER"))</f>
        <v>?</v>
      </c>
    </row>
    <row r="39" customFormat="false" ht="15" hidden="false" customHeight="true" outlineLevel="0" collapsed="false">
      <c r="A39" s="8" t="s">
        <v>373</v>
      </c>
      <c r="B39" s="8" t="str">
        <f aca="false">VLOOKUP($A39,'PARASTATAL Questions'!$A:$J,3,0)&amp;""</f>
        <v>Decentralised Participatory Governance</v>
      </c>
      <c r="C39" s="8" t="str">
        <f aca="false">VLOOKUP($A39,'PARASTATAL Questions'!$A:$J,4,0)&amp;""</f>
        <v>SQ</v>
      </c>
      <c r="D39" s="8" t="str">
        <f aca="false">VLOOKUP($A39,'PARASTATAL Questions'!$A:$J,5,0)&amp;""</f>
        <v>RTI details and designated Public Information Officer contact/procedure</v>
      </c>
      <c r="E39" s="8" t="str">
        <f aca="false">VLOOKUP($A39,'PARASTATAL Questions'!$A:$J,7,0)&amp;""</f>
        <v>Implementation</v>
      </c>
      <c r="F39" s="8" t="n">
        <f aca="false">VLOOKUP($A39,'PARASTATAL Questions'!$A:$J,6,0)</f>
        <v>1</v>
      </c>
      <c r="G39" s="8" t="str">
        <f aca="true">IF($F39=0,"NA",IF($A39=INDIRECT("'"&amp;$A39&amp;"'!$B$1"),IF(VLOOKUP(G$1,INDIRECT("'"&amp;$A39&amp;"'!$A$12:$Z$19"),MATCH("Points (Auto-generate)",INDIRECT("'"&amp;$A39&amp;"'!$A$12:$Z$12"),0),0)="","?",VLOOKUP(G$1,INDIRECT("'"&amp;$A39&amp;"'!$A$12:$Z$19"),MATCH("Points (Auto-generate)",INDIRECT("'"&amp;$A39&amp;"'!$A$12:$Z$12"),0),0)),"ER"))</f>
        <v>?</v>
      </c>
      <c r="H39" s="8" t="str">
        <f aca="true">IF($F39=0,"NA",IF($A39=INDIRECT("'"&amp;$A39&amp;"'!$B$1"),IF(VLOOKUP(H$1,INDIRECT("'"&amp;$A39&amp;"'!$A$12:$Z$19"),MATCH("Points (Auto-generate)",INDIRECT("'"&amp;$A39&amp;"'!$A$12:$Z$12"),0),0)="","?",VLOOKUP(H$1,INDIRECT("'"&amp;$A39&amp;"'!$A$12:$Z$19"),MATCH("Points (Auto-generate)",INDIRECT("'"&amp;$A39&amp;"'!$A$12:$Z$12"),0),0)),"ER"))</f>
        <v>?</v>
      </c>
      <c r="I39" s="8" t="str">
        <f aca="true">IF($F39=0,"NA",IF($A39=INDIRECT("'"&amp;$A39&amp;"'!$B$1"),IF(VLOOKUP(I$1,INDIRECT("'"&amp;$A39&amp;"'!$A$12:$Z$19"),MATCH("Points (Auto-generate)",INDIRECT("'"&amp;$A39&amp;"'!$A$12:$Z$12"),0),0)="","?",VLOOKUP(I$1,INDIRECT("'"&amp;$A39&amp;"'!$A$12:$Z$19"),MATCH("Points (Auto-generate)",INDIRECT("'"&amp;$A39&amp;"'!$A$12:$Z$12"),0),0)),"ER"))</f>
        <v>?</v>
      </c>
      <c r="J39" s="8" t="str">
        <f aca="true">IF($F39=0,"NA",IF($A39=INDIRECT("'"&amp;$A39&amp;"'!$B$1"),IF(VLOOKUP(J$1,INDIRECT("'"&amp;$A39&amp;"'!$A$12:$Z$19"),MATCH("Points (Auto-generate)",INDIRECT("'"&amp;$A39&amp;"'!$A$12:$Z$12"),0),0)="","?",VLOOKUP(J$1,INDIRECT("'"&amp;$A39&amp;"'!$A$12:$Z$19"),MATCH("Points (Auto-generate)",INDIRECT("'"&amp;$A39&amp;"'!$A$12:$Z$12"),0),0)),"ER"))</f>
        <v>?</v>
      </c>
      <c r="K39" s="8" t="str">
        <f aca="true">IF($F39=0,"NA",IF($A39=INDIRECT("'"&amp;$A39&amp;"'!$B$1"),IF(VLOOKUP(K$1,INDIRECT("'"&amp;$A39&amp;"'!$A$12:$Z$19"),MATCH("Points (Auto-generate)",INDIRECT("'"&amp;$A39&amp;"'!$A$12:$Z$12"),0),0)="","?",VLOOKUP(K$1,INDIRECT("'"&amp;$A39&amp;"'!$A$12:$Z$19"),MATCH("Points (Auto-generate)",INDIRECT("'"&amp;$A39&amp;"'!$A$12:$Z$12"),0),0)),"ER"))</f>
        <v>?</v>
      </c>
      <c r="L39" s="8" t="str">
        <f aca="true">IF($F39=0,"NA",IF($A39=INDIRECT("'"&amp;$A39&amp;"'!$B$1"),IF(VLOOKUP(L$1,INDIRECT("'"&amp;$A39&amp;"'!$A$12:$Z$19"),MATCH("Points (Auto-generate)",INDIRECT("'"&amp;$A39&amp;"'!$A$12:$Z$12"),0),0)="","?",VLOOKUP(L$1,INDIRECT("'"&amp;$A39&amp;"'!$A$12:$Z$19"),MATCH("Points (Auto-generate)",INDIRECT("'"&amp;$A39&amp;"'!$A$12:$Z$12"),0),0)),"ER"))</f>
        <v>?</v>
      </c>
      <c r="M39" s="8" t="n">
        <f aca="true">IF($F39=0,"NA",IF($A39=INDIRECT("'"&amp;$A39&amp;"'!$B$1"),IF(VLOOKUP(M$1,INDIRECT("'"&amp;$A39&amp;"'!$A$12:$Z$19"),MATCH("Points (Auto-generate)",INDIRECT("'"&amp;$A39&amp;"'!$A$12:$Z$12"),0),0)="","?",VLOOKUP(M$1,INDIRECT("'"&amp;$A39&amp;"'!$A$12:$Z$19"),MATCH("Points (Auto-generate)",INDIRECT("'"&amp;$A39&amp;"'!$A$12:$Z$12"),0),0)),"ER"))</f>
        <v>1</v>
      </c>
    </row>
    <row r="40" customFormat="false" ht="15" hidden="false" customHeight="true" outlineLevel="0" collapsed="false">
      <c r="A40" s="8" t="s">
        <v>391</v>
      </c>
      <c r="B40" s="8" t="str">
        <f aca="false">VLOOKUP($A40,'PARASTATAL Questions'!$A:$J,3,0)&amp;""</f>
        <v>Decentralised Participatory Governance</v>
      </c>
      <c r="C40" s="8" t="str">
        <f aca="false">VLOOKUP($A40,'PARASTATAL Questions'!$A:$J,4,0)&amp;""</f>
        <v>SQ</v>
      </c>
      <c r="D40" s="8" t="str">
        <f aca="false">VLOOKUP($A40,'PARASTATAL Questions'!$A:$J,5,0)&amp;""</f>
        <v>Procurement / tender notices and awarded-contract details</v>
      </c>
      <c r="E40" s="8" t="str">
        <f aca="false">VLOOKUP($A40,'PARASTATAL Questions'!$A:$J,7,0)&amp;""</f>
        <v>Implementation</v>
      </c>
      <c r="F40" s="8" t="n">
        <f aca="false">VLOOKUP($A40,'PARASTATAL Questions'!$A:$J,6,0)</f>
        <v>1</v>
      </c>
      <c r="G40" s="8" t="str">
        <f aca="true">IF($F40=0,"NA",IF($A40=INDIRECT("'"&amp;$A40&amp;"'!$B$1"),IF(VLOOKUP(G$1,INDIRECT("'"&amp;$A40&amp;"'!$A$12:$Z$19"),MATCH("Points (Auto-generate)",INDIRECT("'"&amp;$A40&amp;"'!$A$12:$Z$12"),0),0)="","?",VLOOKUP(G$1,INDIRECT("'"&amp;$A40&amp;"'!$A$12:$Z$19"),MATCH("Points (Auto-generate)",INDIRECT("'"&amp;$A40&amp;"'!$A$12:$Z$12"),0),0)),"ER"))</f>
        <v>?</v>
      </c>
      <c r="H40" s="8" t="str">
        <f aca="true">IF($F40=0,"NA",IF($A40=INDIRECT("'"&amp;$A40&amp;"'!$B$1"),IF(VLOOKUP(H$1,INDIRECT("'"&amp;$A40&amp;"'!$A$12:$Z$19"),MATCH("Points (Auto-generate)",INDIRECT("'"&amp;$A40&amp;"'!$A$12:$Z$12"),0),0)="","?",VLOOKUP(H$1,INDIRECT("'"&amp;$A40&amp;"'!$A$12:$Z$19"),MATCH("Points (Auto-generate)",INDIRECT("'"&amp;$A40&amp;"'!$A$12:$Z$12"),0),0)),"ER"))</f>
        <v>?</v>
      </c>
      <c r="I40" s="8" t="str">
        <f aca="true">IF($F40=0,"NA",IF($A40=INDIRECT("'"&amp;$A40&amp;"'!$B$1"),IF(VLOOKUP(I$1,INDIRECT("'"&amp;$A40&amp;"'!$A$12:$Z$19"),MATCH("Points (Auto-generate)",INDIRECT("'"&amp;$A40&amp;"'!$A$12:$Z$12"),0),0)="","?",VLOOKUP(I$1,INDIRECT("'"&amp;$A40&amp;"'!$A$12:$Z$19"),MATCH("Points (Auto-generate)",INDIRECT("'"&amp;$A40&amp;"'!$A$12:$Z$12"),0),0)),"ER"))</f>
        <v>?</v>
      </c>
      <c r="J40" s="8" t="str">
        <f aca="true">IF($F40=0,"NA",IF($A40=INDIRECT("'"&amp;$A40&amp;"'!$B$1"),IF(VLOOKUP(J$1,INDIRECT("'"&amp;$A40&amp;"'!$A$12:$Z$19"),MATCH("Points (Auto-generate)",INDIRECT("'"&amp;$A40&amp;"'!$A$12:$Z$12"),0),0)="","?",VLOOKUP(J$1,INDIRECT("'"&amp;$A40&amp;"'!$A$12:$Z$19"),MATCH("Points (Auto-generate)",INDIRECT("'"&amp;$A40&amp;"'!$A$12:$Z$12"),0),0)),"ER"))</f>
        <v>?</v>
      </c>
      <c r="K40" s="8" t="str">
        <f aca="true">IF($F40=0,"NA",IF($A40=INDIRECT("'"&amp;$A40&amp;"'!$B$1"),IF(VLOOKUP(K$1,INDIRECT("'"&amp;$A40&amp;"'!$A$12:$Z$19"),MATCH("Points (Auto-generate)",INDIRECT("'"&amp;$A40&amp;"'!$A$12:$Z$12"),0),0)="","?",VLOOKUP(K$1,INDIRECT("'"&amp;$A40&amp;"'!$A$12:$Z$19"),MATCH("Points (Auto-generate)",INDIRECT("'"&amp;$A40&amp;"'!$A$12:$Z$12"),0),0)),"ER"))</f>
        <v>?</v>
      </c>
      <c r="L40" s="8" t="str">
        <f aca="true">IF($F40=0,"NA",IF($A40=INDIRECT("'"&amp;$A40&amp;"'!$B$1"),IF(VLOOKUP(L$1,INDIRECT("'"&amp;$A40&amp;"'!$A$12:$Z$19"),MATCH("Points (Auto-generate)",INDIRECT("'"&amp;$A40&amp;"'!$A$12:$Z$12"),0),0)="","?",VLOOKUP(L$1,INDIRECT("'"&amp;$A40&amp;"'!$A$12:$Z$19"),MATCH("Points (Auto-generate)",INDIRECT("'"&amp;$A40&amp;"'!$A$12:$Z$12"),0),0)),"ER"))</f>
        <v>?</v>
      </c>
      <c r="M40" s="8" t="n">
        <f aca="true">IF($F40=0,"NA",IF($A40=INDIRECT("'"&amp;$A40&amp;"'!$B$1"),IF(VLOOKUP(M$1,INDIRECT("'"&amp;$A40&amp;"'!$A$12:$Z$19"),MATCH("Points (Auto-generate)",INDIRECT("'"&amp;$A40&amp;"'!$A$12:$Z$12"),0),0)="","?",VLOOKUP(M$1,INDIRECT("'"&amp;$A40&amp;"'!$A$12:$Z$19"),MATCH("Points (Auto-generate)",INDIRECT("'"&amp;$A40&amp;"'!$A$12:$Z$12"),0),0)),"ER"))</f>
        <v>1</v>
      </c>
    </row>
    <row r="41" customFormat="false" ht="15" hidden="false" customHeight="true" outlineLevel="0" collapsed="false">
      <c r="A41" s="10" t="s">
        <v>604</v>
      </c>
      <c r="B41" s="10" t="str">
        <f aca="false">VLOOKUP($A41,'PARASTATAL Questions'!$A:$J,3,0)&amp;""</f>
        <v>Decentralised Participatory Governance</v>
      </c>
      <c r="C41" s="10" t="str">
        <f aca="false">VLOOKUP($A41,'PARASTATAL Questions'!$A:$J,4,0)&amp;""</f>
        <v>MQ</v>
      </c>
      <c r="D41" s="10" t="str">
        <f aca="false">VLOOKUP($A41,'PARASTATAL Questions'!$A:$J,5,0)&amp;""</f>
        <v>Does the parastatal provide for and maintain an accessible grievance-redressal mechanism?</v>
      </c>
      <c r="E41" s="10" t="str">
        <f aca="false">VLOOKUP($A41,'PARASTATAL Questions'!$A:$J,7,0)&amp;""</f>
        <v>Institutional Design</v>
      </c>
      <c r="F41" s="10" t="n">
        <f aca="false">VLOOKUP($A41,'PARASTATAL Questions'!$A:$J,6,0)</f>
        <v>10</v>
      </c>
      <c r="G41" s="10" t="str">
        <f aca="false">IF(OR(G42="ER",G43="ER"),"ER",IF(OR(G42="?",G43="?"),"?",IF(AND(G42="NA",G43="NA"),"NA",SUM(G42,G43)/((G42&lt;&gt;"NA")*$F$42+(G43&lt;&gt;"NA")*$F$43)*$F41)))</f>
        <v>?</v>
      </c>
      <c r="H41" s="10" t="str">
        <f aca="false">IF(OR(H42="ER",H43="ER"),"ER",IF(OR(H42="?",H43="?"),"?",IF(AND(H42="NA",H43="NA"),"NA",SUM(H42,H43)/((H42&lt;&gt;"NA")*$F$42+(H43&lt;&gt;"NA")*$F$43)*$F41)))</f>
        <v>?</v>
      </c>
      <c r="I41" s="10" t="str">
        <f aca="false">IF(OR(I42="ER",I43="ER"),"ER",IF(OR(I42="?",I43="?"),"?",IF(AND(I42="NA",I43="NA"),"NA",SUM(I42,I43)/((I42&lt;&gt;"NA")*$F$42+(I43&lt;&gt;"NA")*$F$43)*$F41)))</f>
        <v>?</v>
      </c>
      <c r="J41" s="10" t="str">
        <f aca="false">IF(OR(J42="ER",J43="ER"),"ER",IF(OR(J42="?",J43="?"),"?",IF(AND(J42="NA",J43="NA"),"NA",SUM(J42,J43)/((J42&lt;&gt;"NA")*$F$42+(J43&lt;&gt;"NA")*$F$43)*$F41)))</f>
        <v>?</v>
      </c>
      <c r="K41" s="10" t="str">
        <f aca="false">IF(OR(K42="ER",K43="ER"),"ER",IF(OR(K42="?",K43="?"),"?",IF(AND(K42="NA",K43="NA"),"NA",SUM(K42,K43)/((K42&lt;&gt;"NA")*$F$42+(K43&lt;&gt;"NA")*$F$43)*$F41)))</f>
        <v>?</v>
      </c>
      <c r="L41" s="10" t="str">
        <f aca="false">IF(OR(L42="ER",L43="ER"),"ER",IF(OR(L42="?",L43="?"),"?",IF(AND(L42="NA",L43="NA"),"NA",SUM(L42,L43)/((L42&lt;&gt;"NA")*$F$42+(L43&lt;&gt;"NA")*$F$43)*$F41)))</f>
        <v>?</v>
      </c>
      <c r="M41" s="10" t="str">
        <f aca="false">IF(OR(M42="ER",M43="ER"),"ER",IF(OR(M42="?",M43="?"),"?",IF(AND(M42="NA",M43="NA"),"NA",SUM(M42,M43)/((M42&lt;&gt;"NA")*$F$42+(M43&lt;&gt;"NA")*$F$43)*$F41)))</f>
        <v>?</v>
      </c>
    </row>
    <row r="42" customFormat="false" ht="15" hidden="false" customHeight="true" outlineLevel="0" collapsed="false">
      <c r="A42" s="8" t="s">
        <v>408</v>
      </c>
      <c r="B42" s="8" t="str">
        <f aca="false">VLOOKUP($A42,'PARASTATAL Questions'!$A:$J,3,0)&amp;""</f>
        <v>Decentralised Participatory Governance</v>
      </c>
      <c r="C42" s="8" t="str">
        <f aca="false">VLOOKUP($A42,'PARASTATAL Questions'!$A:$J,4,0)&amp;""</f>
        <v>SQ</v>
      </c>
      <c r="D42" s="8" t="str">
        <f aca="false">VLOOKUP($A42,'PARASTATAL Questions'!$A:$J,5,0)&amp;""</f>
        <v>Is the parastatal mandated to provide a grievance-redressal mechanism?</v>
      </c>
      <c r="E42" s="8" t="str">
        <f aca="false">VLOOKUP($A42,'PARASTATAL Questions'!$A:$J,7,0)&amp;""</f>
        <v>Law/Policy</v>
      </c>
      <c r="F42" s="8" t="n">
        <f aca="false">VLOOKUP($A42,'PARASTATAL Questions'!$A:$J,6,0)</f>
        <v>5</v>
      </c>
      <c r="G42" s="8" t="n">
        <f aca="true">IF($F42=0,"NA",IF($A42=INDIRECT("'"&amp;$A42&amp;"'!$B$1"),IF(VLOOKUP(G$1,INDIRECT("'"&amp;$A42&amp;"'!$A$12:$Z$19"),MATCH("Points (Auto-generate)",INDIRECT("'"&amp;$A42&amp;"'!$A$12:$Z$12"),0),0)="","?",VLOOKUP(G$1,INDIRECT("'"&amp;$A42&amp;"'!$A$12:$Z$19"),MATCH("Points (Auto-generate)",INDIRECT("'"&amp;$A42&amp;"'!$A$12:$Z$12"),0),0)),"ER"))</f>
        <v>5</v>
      </c>
      <c r="H42" s="8" t="str">
        <f aca="true">IF($F42=0,"NA",IF($A42=INDIRECT("'"&amp;$A42&amp;"'!$B$1"),IF(VLOOKUP(H$1,INDIRECT("'"&amp;$A42&amp;"'!$A$12:$Z$19"),MATCH("Points (Auto-generate)",INDIRECT("'"&amp;$A42&amp;"'!$A$12:$Z$12"),0),0)="","?",VLOOKUP(H$1,INDIRECT("'"&amp;$A42&amp;"'!$A$12:$Z$19"),MATCH("Points (Auto-generate)",INDIRECT("'"&amp;$A42&amp;"'!$A$12:$Z$12"),0),0)),"ER"))</f>
        <v>?</v>
      </c>
      <c r="I42" s="8" t="n">
        <f aca="true">IF($F42=0,"NA",IF($A42=INDIRECT("'"&amp;$A42&amp;"'!$B$1"),IF(VLOOKUP(I$1,INDIRECT("'"&amp;$A42&amp;"'!$A$12:$Z$19"),MATCH("Points (Auto-generate)",INDIRECT("'"&amp;$A42&amp;"'!$A$12:$Z$12"),0),0)="","?",VLOOKUP(I$1,INDIRECT("'"&amp;$A42&amp;"'!$A$12:$Z$19"),MATCH("Points (Auto-generate)",INDIRECT("'"&amp;$A42&amp;"'!$A$12:$Z$12"),0),0)),"ER"))</f>
        <v>0</v>
      </c>
      <c r="J42" s="8" t="str">
        <f aca="true">IF($F42=0,"NA",IF($A42=INDIRECT("'"&amp;$A42&amp;"'!$B$1"),IF(VLOOKUP(J$1,INDIRECT("'"&amp;$A42&amp;"'!$A$12:$Z$19"),MATCH("Points (Auto-generate)",INDIRECT("'"&amp;$A42&amp;"'!$A$12:$Z$12"),0),0)="","?",VLOOKUP(J$1,INDIRECT("'"&amp;$A42&amp;"'!$A$12:$Z$19"),MATCH("Points (Auto-generate)",INDIRECT("'"&amp;$A42&amp;"'!$A$12:$Z$12"),0),0)),"ER"))</f>
        <v>?</v>
      </c>
      <c r="K42" s="8" t="str">
        <f aca="true">IF($F42=0,"NA",IF($A42=INDIRECT("'"&amp;$A42&amp;"'!$B$1"),IF(VLOOKUP(K$1,INDIRECT("'"&amp;$A42&amp;"'!$A$12:$Z$19"),MATCH("Points (Auto-generate)",INDIRECT("'"&amp;$A42&amp;"'!$A$12:$Z$12"),0),0)="","?",VLOOKUP(K$1,INDIRECT("'"&amp;$A42&amp;"'!$A$12:$Z$19"),MATCH("Points (Auto-generate)",INDIRECT("'"&amp;$A42&amp;"'!$A$12:$Z$12"),0),0)),"ER"))</f>
        <v>?</v>
      </c>
      <c r="L42" s="8" t="str">
        <f aca="true">IF($F42=0,"NA",IF($A42=INDIRECT("'"&amp;$A42&amp;"'!$B$1"),IF(VLOOKUP(L$1,INDIRECT("'"&amp;$A42&amp;"'!$A$12:$Z$19"),MATCH("Points (Auto-generate)",INDIRECT("'"&amp;$A42&amp;"'!$A$12:$Z$12"),0),0)="","?",VLOOKUP(L$1,INDIRECT("'"&amp;$A42&amp;"'!$A$12:$Z$19"),MATCH("Points (Auto-generate)",INDIRECT("'"&amp;$A42&amp;"'!$A$12:$Z$12"),0),0)),"ER"))</f>
        <v>?</v>
      </c>
      <c r="M42" s="8" t="str">
        <f aca="true">IF($F42=0,"NA",IF($A42=INDIRECT("'"&amp;$A42&amp;"'!$B$1"),IF(VLOOKUP(M$1,INDIRECT("'"&amp;$A42&amp;"'!$A$12:$Z$19"),MATCH("Points (Auto-generate)",INDIRECT("'"&amp;$A42&amp;"'!$A$12:$Z$12"),0),0)="","?",VLOOKUP(M$1,INDIRECT("'"&amp;$A42&amp;"'!$A$12:$Z$19"),MATCH("Points (Auto-generate)",INDIRECT("'"&amp;$A42&amp;"'!$A$12:$Z$12"),0),0)),"ER"))</f>
        <v>?</v>
      </c>
    </row>
    <row r="43" customFormat="false" ht="15" hidden="false" customHeight="true" outlineLevel="0" collapsed="false">
      <c r="A43" s="8" t="s">
        <v>424</v>
      </c>
      <c r="B43" s="8" t="str">
        <f aca="false">VLOOKUP($A43,'PARASTATAL Questions'!$A:$J,3,0)&amp;""</f>
        <v>Decentralised Participatory Governance</v>
      </c>
      <c r="C43" s="8" t="str">
        <f aca="false">VLOOKUP($A43,'PARASTATAL Questions'!$A:$J,4,0)&amp;""</f>
        <v>SQ</v>
      </c>
      <c r="D43" s="8" t="str">
        <f aca="false">VLOOKUP($A43,'PARASTATAL Questions'!$A:$J,5,0)&amp;""</f>
        <v>Are accessible grievance-redressal channels available and functional in practice?</v>
      </c>
      <c r="E43" s="8" t="str">
        <f aca="false">VLOOKUP($A43,'PARASTATAL Questions'!$A:$J,7,0)&amp;""</f>
        <v>Implementation</v>
      </c>
      <c r="F43" s="8" t="n">
        <f aca="false">VLOOKUP($A43,'PARASTATAL Questions'!$A:$J,6,0)</f>
        <v>5</v>
      </c>
      <c r="G43" s="8" t="str">
        <f aca="true">IF($F43=0,"NA",IF($A43=INDIRECT("'"&amp;$A43&amp;"'!$B$1"),IF(VLOOKUP(G$1,INDIRECT("'"&amp;$A43&amp;"'!$A$12:$Z$19"),MATCH("Points (Auto-generate)",INDIRECT("'"&amp;$A43&amp;"'!$A$12:$Z$12"),0),0)="","?",VLOOKUP(G$1,INDIRECT("'"&amp;$A43&amp;"'!$A$12:$Z$19"),MATCH("Points (Auto-generate)",INDIRECT("'"&amp;$A43&amp;"'!$A$12:$Z$12"),0),0)),"ER"))</f>
        <v>?</v>
      </c>
      <c r="H43" s="8" t="str">
        <f aca="true">IF($F43=0,"NA",IF($A43=INDIRECT("'"&amp;$A43&amp;"'!$B$1"),IF(VLOOKUP(H$1,INDIRECT("'"&amp;$A43&amp;"'!$A$12:$Z$19"),MATCH("Points (Auto-generate)",INDIRECT("'"&amp;$A43&amp;"'!$A$12:$Z$12"),0),0)="","?",VLOOKUP(H$1,INDIRECT("'"&amp;$A43&amp;"'!$A$12:$Z$19"),MATCH("Points (Auto-generate)",INDIRECT("'"&amp;$A43&amp;"'!$A$12:$Z$12"),0),0)),"ER"))</f>
        <v>?</v>
      </c>
      <c r="I43" s="8" t="str">
        <f aca="true">IF($F43=0,"NA",IF($A43=INDIRECT("'"&amp;$A43&amp;"'!$B$1"),IF(VLOOKUP(I$1,INDIRECT("'"&amp;$A43&amp;"'!$A$12:$Z$19"),MATCH("Points (Auto-generate)",INDIRECT("'"&amp;$A43&amp;"'!$A$12:$Z$12"),0),0)="","?",VLOOKUP(I$1,INDIRECT("'"&amp;$A43&amp;"'!$A$12:$Z$19"),MATCH("Points (Auto-generate)",INDIRECT("'"&amp;$A43&amp;"'!$A$12:$Z$12"),0),0)),"ER"))</f>
        <v>?</v>
      </c>
      <c r="J43" s="8" t="str">
        <f aca="true">IF($F43=0,"NA",IF($A43=INDIRECT("'"&amp;$A43&amp;"'!$B$1"),IF(VLOOKUP(J$1,INDIRECT("'"&amp;$A43&amp;"'!$A$12:$Z$19"),MATCH("Points (Auto-generate)",INDIRECT("'"&amp;$A43&amp;"'!$A$12:$Z$12"),0),0)="","?",VLOOKUP(J$1,INDIRECT("'"&amp;$A43&amp;"'!$A$12:$Z$19"),MATCH("Points (Auto-generate)",INDIRECT("'"&amp;$A43&amp;"'!$A$12:$Z$12"),0),0)),"ER"))</f>
        <v>?</v>
      </c>
      <c r="K43" s="8" t="str">
        <f aca="true">IF($F43=0,"NA",IF($A43=INDIRECT("'"&amp;$A43&amp;"'!$B$1"),IF(VLOOKUP(K$1,INDIRECT("'"&amp;$A43&amp;"'!$A$12:$Z$19"),MATCH("Points (Auto-generate)",INDIRECT("'"&amp;$A43&amp;"'!$A$12:$Z$12"),0),0)="","?",VLOOKUP(K$1,INDIRECT("'"&amp;$A43&amp;"'!$A$12:$Z$19"),MATCH("Points (Auto-generate)",INDIRECT("'"&amp;$A43&amp;"'!$A$12:$Z$12"),0),0)),"ER"))</f>
        <v>?</v>
      </c>
      <c r="L43" s="8" t="str">
        <f aca="true">IF($F43=0,"NA",IF($A43=INDIRECT("'"&amp;$A43&amp;"'!$B$1"),IF(VLOOKUP(L$1,INDIRECT("'"&amp;$A43&amp;"'!$A$12:$Z$19"),MATCH("Points (Auto-generate)",INDIRECT("'"&amp;$A43&amp;"'!$A$12:$Z$12"),0),0)="","?",VLOOKUP(L$1,INDIRECT("'"&amp;$A43&amp;"'!$A$12:$Z$19"),MATCH("Points (Auto-generate)",INDIRECT("'"&amp;$A43&amp;"'!$A$12:$Z$12"),0),0)),"ER"))</f>
        <v>?</v>
      </c>
      <c r="M43" s="8" t="str">
        <f aca="true">IF($F43=0,"NA",IF($A43=INDIRECT("'"&amp;$A43&amp;"'!$B$1"),IF(VLOOKUP(M$1,INDIRECT("'"&amp;$A43&amp;"'!$A$12:$Z$19"),MATCH("Points (Auto-generate)",INDIRECT("'"&amp;$A43&amp;"'!$A$12:$Z$12"),0),0)="","?",VLOOKUP(M$1,INDIRECT("'"&amp;$A43&amp;"'!$A$12:$Z$19"),MATCH("Points (Auto-generate)",INDIRECT("'"&amp;$A43&amp;"'!$A$12:$Z$12"),0),0)),"ER"))</f>
        <v>?</v>
      </c>
    </row>
    <row r="44" customFormat="false" ht="15" hidden="false" customHeight="true" outlineLevel="0" collapsed="false">
      <c r="A44" s="10" t="s">
        <v>605</v>
      </c>
      <c r="B44" s="10" t="str">
        <f aca="false">VLOOKUP($A44,'PARASTATAL Questions'!$A:$J,3,0)&amp;""</f>
        <v>Decentralised Participatory Governance</v>
      </c>
      <c r="C44" s="10" t="str">
        <f aca="false">VLOOKUP($A44,'PARASTATAL Questions'!$A:$J,4,0)&amp;""</f>
        <v>MQ</v>
      </c>
      <c r="D44" s="10" t="str">
        <f aca="false">VLOOKUP($A44,'PARASTATAL Questions'!$A:$J,5,0)&amp;""</f>
        <v>Does the law mandate citizen participation in the preparation of plans for which the parastatal is responsible, and does the parastatal provide for such participation in practice?</v>
      </c>
      <c r="E44" s="10" t="str">
        <f aca="false">VLOOKUP($A44,'PARASTATAL Questions'!$A:$J,7,0)&amp;""</f>
        <v>Law/Policy</v>
      </c>
      <c r="F44" s="10" t="n">
        <f aca="false">VLOOKUP($A44,'PARASTATAL Questions'!$A:$J,6,0)</f>
        <v>10</v>
      </c>
      <c r="G44" s="10" t="n">
        <f aca="false">IF(OR(G45="ER",G46="ER"),"ER",IF(OR(G45="?",G46="?"),"?",IF(AND(G45="NA",G46="NA"),"NA",SUM(G45,G46)/((G45&lt;&gt;"NA")*$F$45+(G46&lt;&gt;"NA")*$F$46)*$F44)))</f>
        <v>2.5</v>
      </c>
      <c r="H44" s="10" t="str">
        <f aca="false">IF(OR(H45="ER",H46="ER"),"ER",IF(OR(H45="?",H46="?"),"?",IF(AND(H45="NA",H46="NA"),"NA",SUM(H45,H46)/((H45&lt;&gt;"NA")*$F$45+(H46&lt;&gt;"NA")*$F$46)*$F44)))</f>
        <v>?</v>
      </c>
      <c r="I44" s="10" t="str">
        <f aca="false">IF(OR(I45="ER",I46="ER"),"ER",IF(OR(I45="?",I46="?"),"?",IF(AND(I45="NA",I46="NA"),"NA",SUM(I45,I46)/((I45&lt;&gt;"NA")*$F$45+(I46&lt;&gt;"NA")*$F$46)*$F44)))</f>
        <v>NA</v>
      </c>
      <c r="J44" s="10" t="n">
        <f aca="false">IF(OR(J45="ER",J46="ER"),"ER",IF(OR(J45="?",J46="?"),"?",IF(AND(J45="NA",J46="NA"),"NA",SUM(J45,J46)/((J45&lt;&gt;"NA")*$F$45+(J46&lt;&gt;"NA")*$F$46)*$F44)))</f>
        <v>5</v>
      </c>
      <c r="K44" s="10" t="str">
        <f aca="false">IF(OR(K45="ER",K46="ER"),"ER",IF(OR(K45="?",K46="?"),"?",IF(AND(K45="NA",K46="NA"),"NA",SUM(K45,K46)/((K45&lt;&gt;"NA")*$F$45+(K46&lt;&gt;"NA")*$F$46)*$F44)))</f>
        <v>NA</v>
      </c>
      <c r="L44" s="10" t="str">
        <f aca="false">IF(OR(L45="ER",L46="ER"),"ER",IF(OR(L45="?",L46="?"),"?",IF(AND(L45="NA",L46="NA"),"NA",SUM(L45,L46)/((L45&lt;&gt;"NA")*$F$45+(L46&lt;&gt;"NA")*$F$46)*$F44)))</f>
        <v>NA</v>
      </c>
      <c r="M44" s="10" t="str">
        <f aca="false">IF(OR(M45="ER",M46="ER"),"ER",IF(OR(M45="?",M46="?"),"?",IF(AND(M45="NA",M46="NA"),"NA",SUM(M45,M46)/((M45&lt;&gt;"NA")*$F$45+(M46&lt;&gt;"NA")*$F$46)*$F44)))</f>
        <v>?</v>
      </c>
    </row>
    <row r="45" customFormat="false" ht="15" hidden="false" customHeight="true" outlineLevel="0" collapsed="false">
      <c r="A45" s="8" t="s">
        <v>445</v>
      </c>
      <c r="B45" s="8" t="str">
        <f aca="false">VLOOKUP($A45,'PARASTATAL Questions'!$A:$J,3,0)&amp;""</f>
        <v>Decentralised Participatory Governance</v>
      </c>
      <c r="C45" s="8" t="str">
        <f aca="false">VLOOKUP($A45,'PARASTATAL Questions'!$A:$J,4,0)&amp;""</f>
        <v>SQ</v>
      </c>
      <c r="D45" s="8" t="str">
        <f aca="false">VLOOKUP($A45,'PARASTATAL Questions'!$A:$J,5,0)&amp;""</f>
        <v>Is citizen participation in the preparation of the parastatal's plans mandated?</v>
      </c>
      <c r="E45" s="8" t="str">
        <f aca="false">VLOOKUP($A45,'PARASTATAL Questions'!$A:$J,7,0)&amp;""</f>
        <v>Law/Policy</v>
      </c>
      <c r="F45" s="8" t="n">
        <f aca="false">VLOOKUP($A45,'PARASTATAL Questions'!$A:$J,6,0)</f>
        <v>5</v>
      </c>
      <c r="G45" s="8" t="n">
        <f aca="true">IF($F45=0,"NA",IF($A45=INDIRECT("'"&amp;$A45&amp;"'!$B$1"),IF(VLOOKUP(G$1,INDIRECT("'"&amp;$A45&amp;"'!$A$12:$Z$19"),MATCH("Points (Auto-generate)",INDIRECT("'"&amp;$A45&amp;"'!$A$12:$Z$12"),0),0)="","?",VLOOKUP(G$1,INDIRECT("'"&amp;$A45&amp;"'!$A$12:$Z$19"),MATCH("Points (Auto-generate)",INDIRECT("'"&amp;$A45&amp;"'!$A$12:$Z$12"),0),0)),"ER"))</f>
        <v>0</v>
      </c>
      <c r="H45" s="8" t="n">
        <f aca="true">IF($F45=0,"NA",IF($A45=INDIRECT("'"&amp;$A45&amp;"'!$B$1"),IF(VLOOKUP(H$1,INDIRECT("'"&amp;$A45&amp;"'!$A$12:$Z$19"),MATCH("Points (Auto-generate)",INDIRECT("'"&amp;$A45&amp;"'!$A$12:$Z$12"),0),0)="","?",VLOOKUP(H$1,INDIRECT("'"&amp;$A45&amp;"'!$A$12:$Z$19"),MATCH("Points (Auto-generate)",INDIRECT("'"&amp;$A45&amp;"'!$A$12:$Z$12"),0),0)),"ER"))</f>
        <v>2.5</v>
      </c>
      <c r="I45" s="8" t="str">
        <f aca="true">IF($F45=0,"NA",IF($A45=INDIRECT("'"&amp;$A45&amp;"'!$B$1"),IF(VLOOKUP(I$1,INDIRECT("'"&amp;$A45&amp;"'!$A$12:$Z$19"),MATCH("Points (Auto-generate)",INDIRECT("'"&amp;$A45&amp;"'!$A$12:$Z$12"),0),0)="","?",VLOOKUP(I$1,INDIRECT("'"&amp;$A45&amp;"'!$A$12:$Z$19"),MATCH("Points (Auto-generate)",INDIRECT("'"&amp;$A45&amp;"'!$A$12:$Z$12"),0),0)),"ER"))</f>
        <v>NA</v>
      </c>
      <c r="J45" s="8" t="n">
        <f aca="true">IF($F45=0,"NA",IF($A45=INDIRECT("'"&amp;$A45&amp;"'!$B$1"),IF(VLOOKUP(J$1,INDIRECT("'"&amp;$A45&amp;"'!$A$12:$Z$19"),MATCH("Points (Auto-generate)",INDIRECT("'"&amp;$A45&amp;"'!$A$12:$Z$12"),0),0)="","?",VLOOKUP(J$1,INDIRECT("'"&amp;$A45&amp;"'!$A$12:$Z$19"),MATCH("Points (Auto-generate)",INDIRECT("'"&amp;$A45&amp;"'!$A$12:$Z$12"),0),0)),"ER"))</f>
        <v>2.5</v>
      </c>
      <c r="K45" s="8" t="str">
        <f aca="true">IF($F45=0,"NA",IF($A45=INDIRECT("'"&amp;$A45&amp;"'!$B$1"),IF(VLOOKUP(K$1,INDIRECT("'"&amp;$A45&amp;"'!$A$12:$Z$19"),MATCH("Points (Auto-generate)",INDIRECT("'"&amp;$A45&amp;"'!$A$12:$Z$12"),0),0)="","?",VLOOKUP(K$1,INDIRECT("'"&amp;$A45&amp;"'!$A$12:$Z$19"),MATCH("Points (Auto-generate)",INDIRECT("'"&amp;$A45&amp;"'!$A$12:$Z$12"),0),0)),"ER"))</f>
        <v>NA</v>
      </c>
      <c r="L45" s="8" t="str">
        <f aca="true">IF($F45=0,"NA",IF($A45=INDIRECT("'"&amp;$A45&amp;"'!$B$1"),IF(VLOOKUP(L$1,INDIRECT("'"&amp;$A45&amp;"'!$A$12:$Z$19"),MATCH("Points (Auto-generate)",INDIRECT("'"&amp;$A45&amp;"'!$A$12:$Z$12"),0),0)="","?",VLOOKUP(L$1,INDIRECT("'"&amp;$A45&amp;"'!$A$12:$Z$19"),MATCH("Points (Auto-generate)",INDIRECT("'"&amp;$A45&amp;"'!$A$12:$Z$12"),0),0)),"ER"))</f>
        <v>NA</v>
      </c>
      <c r="M45" s="8" t="str">
        <f aca="true">IF($F45=0,"NA",IF($A45=INDIRECT("'"&amp;$A45&amp;"'!$B$1"),IF(VLOOKUP(M$1,INDIRECT("'"&amp;$A45&amp;"'!$A$12:$Z$19"),MATCH("Points (Auto-generate)",INDIRECT("'"&amp;$A45&amp;"'!$A$12:$Z$12"),0),0)="","?",VLOOKUP(M$1,INDIRECT("'"&amp;$A45&amp;"'!$A$12:$Z$19"),MATCH("Points (Auto-generate)",INDIRECT("'"&amp;$A45&amp;"'!$A$12:$Z$12"),0),0)),"ER"))</f>
        <v>?</v>
      </c>
    </row>
    <row r="46" customFormat="false" ht="15" hidden="false" customHeight="true" outlineLevel="0" collapsed="false">
      <c r="A46" s="8" t="s">
        <v>457</v>
      </c>
      <c r="B46" s="8" t="str">
        <f aca="false">VLOOKUP($A46,'PARASTATAL Questions'!$A:$J,3,0)&amp;""</f>
        <v>Decentralised Participatory Governance</v>
      </c>
      <c r="C46" s="8" t="str">
        <f aca="false">VLOOKUP($A46,'PARASTATAL Questions'!$A:$J,4,0)&amp;""</f>
        <v>SQ</v>
      </c>
      <c r="D46" s="8" t="str">
        <f aca="false">VLOOKUP($A46,'PARASTATAL Questions'!$A:$J,5,0)&amp;""</f>
        <v>Are citizens consulted in practice in the preparation of plans by the parastatal?</v>
      </c>
      <c r="E46" s="8" t="str">
        <f aca="false">VLOOKUP($A46,'PARASTATAL Questions'!$A:$J,7,0)&amp;""</f>
        <v>Law/Policy</v>
      </c>
      <c r="F46" s="8" t="n">
        <f aca="false">VLOOKUP($A46,'PARASTATAL Questions'!$A:$J,6,0)</f>
        <v>5</v>
      </c>
      <c r="G46" s="8" t="n">
        <f aca="true">IF($F46=0,"NA",IF($A46=INDIRECT("'"&amp;$A46&amp;"'!$B$1"),IF(VLOOKUP(G$1,INDIRECT("'"&amp;$A46&amp;"'!$A$12:$Z$19"),MATCH("Points (Auto-generate)",INDIRECT("'"&amp;$A46&amp;"'!$A$12:$Z$12"),0),0)="","?",VLOOKUP(G$1,INDIRECT("'"&amp;$A46&amp;"'!$A$12:$Z$19"),MATCH("Points (Auto-generate)",INDIRECT("'"&amp;$A46&amp;"'!$A$12:$Z$12"),0),0)),"ER"))</f>
        <v>2.5</v>
      </c>
      <c r="H46" s="8" t="str">
        <f aca="true">IF($F46=0,"NA",IF($A46=INDIRECT("'"&amp;$A46&amp;"'!$B$1"),IF(VLOOKUP(H$1,INDIRECT("'"&amp;$A46&amp;"'!$A$12:$Z$19"),MATCH("Points (Auto-generate)",INDIRECT("'"&amp;$A46&amp;"'!$A$12:$Z$12"),0),0)="","?",VLOOKUP(H$1,INDIRECT("'"&amp;$A46&amp;"'!$A$12:$Z$19"),MATCH("Points (Auto-generate)",INDIRECT("'"&amp;$A46&amp;"'!$A$12:$Z$12"),0),0)),"ER"))</f>
        <v>?</v>
      </c>
      <c r="I46" s="8" t="str">
        <f aca="true">IF($F46=0,"NA",IF($A46=INDIRECT("'"&amp;$A46&amp;"'!$B$1"),IF(VLOOKUP(I$1,INDIRECT("'"&amp;$A46&amp;"'!$A$12:$Z$19"),MATCH("Points (Auto-generate)",INDIRECT("'"&amp;$A46&amp;"'!$A$12:$Z$12"),0),0)="","?",VLOOKUP(I$1,INDIRECT("'"&amp;$A46&amp;"'!$A$12:$Z$19"),MATCH("Points (Auto-generate)",INDIRECT("'"&amp;$A46&amp;"'!$A$12:$Z$12"),0),0)),"ER"))</f>
        <v>NA</v>
      </c>
      <c r="J46" s="8" t="n">
        <f aca="true">IF($F46=0,"NA",IF($A46=INDIRECT("'"&amp;$A46&amp;"'!$B$1"),IF(VLOOKUP(J$1,INDIRECT("'"&amp;$A46&amp;"'!$A$12:$Z$19"),MATCH("Points (Auto-generate)",INDIRECT("'"&amp;$A46&amp;"'!$A$12:$Z$12"),0),0)="","?",VLOOKUP(J$1,INDIRECT("'"&amp;$A46&amp;"'!$A$12:$Z$19"),MATCH("Points (Auto-generate)",INDIRECT("'"&amp;$A46&amp;"'!$A$12:$Z$12"),0),0)),"ER"))</f>
        <v>2.5</v>
      </c>
      <c r="K46" s="8" t="str">
        <f aca="true">IF($F46=0,"NA",IF($A46=INDIRECT("'"&amp;$A46&amp;"'!$B$1"),IF(VLOOKUP(K$1,INDIRECT("'"&amp;$A46&amp;"'!$A$12:$Z$19"),MATCH("Points (Auto-generate)",INDIRECT("'"&amp;$A46&amp;"'!$A$12:$Z$12"),0),0)="","?",VLOOKUP(K$1,INDIRECT("'"&amp;$A46&amp;"'!$A$12:$Z$19"),MATCH("Points (Auto-generate)",INDIRECT("'"&amp;$A46&amp;"'!$A$12:$Z$12"),0),0)),"ER"))</f>
        <v>NA</v>
      </c>
      <c r="L46" s="8" t="str">
        <f aca="true">IF($F46=0,"NA",IF($A46=INDIRECT("'"&amp;$A46&amp;"'!$B$1"),IF(VLOOKUP(L$1,INDIRECT("'"&amp;$A46&amp;"'!$A$12:$Z$19"),MATCH("Points (Auto-generate)",INDIRECT("'"&amp;$A46&amp;"'!$A$12:$Z$12"),0),0)="","?",VLOOKUP(L$1,INDIRECT("'"&amp;$A46&amp;"'!$A$12:$Z$19"),MATCH("Points (Auto-generate)",INDIRECT("'"&amp;$A46&amp;"'!$A$12:$Z$12"),0),0)),"ER"))</f>
        <v>NA</v>
      </c>
      <c r="M46" s="8" t="n">
        <f aca="true">IF($F46=0,"NA",IF($A46=INDIRECT("'"&amp;$A46&amp;"'!$B$1"),IF(VLOOKUP(M$1,INDIRECT("'"&amp;$A46&amp;"'!$A$12:$Z$19"),MATCH("Points (Auto-generate)",INDIRECT("'"&amp;$A46&amp;"'!$A$12:$Z$12"),0),0)="","?",VLOOKUP(M$1,INDIRECT("'"&amp;$A46&amp;"'!$A$12:$Z$19"),MATCH("Points (Auto-generate)",INDIRECT("'"&amp;$A46&amp;"'!$A$12:$Z$12"),0),0)),"ER"))</f>
        <v>2.5</v>
      </c>
    </row>
    <row r="47" customFormat="false" ht="15" hidden="false" customHeight="true" outlineLevel="0" collapsed="false">
      <c r="A47" s="10" t="s">
        <v>466</v>
      </c>
      <c r="B47" s="10" t="str">
        <f aca="false">VLOOKUP($A47,'PARASTATAL Questions'!$A:$J,3,0)&amp;""</f>
        <v>State Capacities</v>
      </c>
      <c r="C47" s="10" t="str">
        <f aca="false">VLOOKUP($A47,'PARASTATAL Questions'!$A:$J,4,0)&amp;""</f>
        <v>MQ</v>
      </c>
      <c r="D47" s="10" t="str">
        <f aca="false">VLOOKUP($A47,'PARASTATAL Questions'!$A:$J,5,0)&amp;""</f>
        <v>What proportion of the parastatal's total expenditure is financed through its own revenues?</v>
      </c>
      <c r="E47" s="10" t="str">
        <f aca="false">VLOOKUP($A47,'PARASTATAL Questions'!$A:$J,7,0)&amp;""</f>
        <v>Implementation (Numeric)</v>
      </c>
      <c r="F47" s="10" t="n">
        <f aca="false">VLOOKUP($A47,'PARASTATAL Questions'!$A:$J,6,0)</f>
        <v>10</v>
      </c>
      <c r="G47" s="10" t="str">
        <f aca="true">IF($F47=0,"NA",IF($A47=INDIRECT("'"&amp;$A47&amp;"'!$B$1"),IF(VLOOKUP(G$1,INDIRECT("'"&amp;$A47&amp;"'!$A$12:$Z$19"),MATCH("Points (Auto-generate)",INDIRECT("'"&amp;$A47&amp;"'!$A$12:$Z$12"),0),0)="","?",VLOOKUP(G$1,INDIRECT("'"&amp;$A47&amp;"'!$A$12:$Z$19"),MATCH("Points (Auto-generate)",INDIRECT("'"&amp;$A47&amp;"'!$A$12:$Z$12"),0),0)),"ER"))</f>
        <v>?</v>
      </c>
      <c r="H47" s="10" t="str">
        <f aca="true">IF($F47=0,"NA",IF($A47=INDIRECT("'"&amp;$A47&amp;"'!$B$1"),IF(VLOOKUP(H$1,INDIRECT("'"&amp;$A47&amp;"'!$A$12:$Z$19"),MATCH("Points (Auto-generate)",INDIRECT("'"&amp;$A47&amp;"'!$A$12:$Z$12"),0),0)="","?",VLOOKUP(H$1,INDIRECT("'"&amp;$A47&amp;"'!$A$12:$Z$19"),MATCH("Points (Auto-generate)",INDIRECT("'"&amp;$A47&amp;"'!$A$12:$Z$12"),0),0)),"ER"))</f>
        <v>?</v>
      </c>
      <c r="I47" s="10" t="str">
        <f aca="true">IF($F47=0,"NA",IF($A47=INDIRECT("'"&amp;$A47&amp;"'!$B$1"),IF(VLOOKUP(I$1,INDIRECT("'"&amp;$A47&amp;"'!$A$12:$Z$19"),MATCH("Points (Auto-generate)",INDIRECT("'"&amp;$A47&amp;"'!$A$12:$Z$12"),0),0)="","?",VLOOKUP(I$1,INDIRECT("'"&amp;$A47&amp;"'!$A$12:$Z$19"),MATCH("Points (Auto-generate)",INDIRECT("'"&amp;$A47&amp;"'!$A$12:$Z$12"),0),0)),"ER"))</f>
        <v>?</v>
      </c>
      <c r="J47" s="10" t="str">
        <f aca="true">IF($F47=0,"NA",IF($A47=INDIRECT("'"&amp;$A47&amp;"'!$B$1"),IF(VLOOKUP(J$1,INDIRECT("'"&amp;$A47&amp;"'!$A$12:$Z$19"),MATCH("Points (Auto-generate)",INDIRECT("'"&amp;$A47&amp;"'!$A$12:$Z$12"),0),0)="","?",VLOOKUP(J$1,INDIRECT("'"&amp;$A47&amp;"'!$A$12:$Z$19"),MATCH("Points (Auto-generate)",INDIRECT("'"&amp;$A47&amp;"'!$A$12:$Z$12"),0),0)),"ER"))</f>
        <v>NA</v>
      </c>
      <c r="K47" s="10" t="str">
        <f aca="true">IF($F47=0,"NA",IF($A47=INDIRECT("'"&amp;$A47&amp;"'!$B$1"),IF(VLOOKUP(K$1,INDIRECT("'"&amp;$A47&amp;"'!$A$12:$Z$19"),MATCH("Points (Auto-generate)",INDIRECT("'"&amp;$A47&amp;"'!$A$12:$Z$12"),0),0)="","?",VLOOKUP(K$1,INDIRECT("'"&amp;$A47&amp;"'!$A$12:$Z$19"),MATCH("Points (Auto-generate)",INDIRECT("'"&amp;$A47&amp;"'!$A$12:$Z$12"),0),0)),"ER"))</f>
        <v>NA</v>
      </c>
      <c r="L47" s="10" t="str">
        <f aca="true">IF($F47=0,"NA",IF($A47=INDIRECT("'"&amp;$A47&amp;"'!$B$1"),IF(VLOOKUP(L$1,INDIRECT("'"&amp;$A47&amp;"'!$A$12:$Z$19"),MATCH("Points (Auto-generate)",INDIRECT("'"&amp;$A47&amp;"'!$A$12:$Z$12"),0),0)="","?",VLOOKUP(L$1,INDIRECT("'"&amp;$A47&amp;"'!$A$12:$Z$19"),MATCH("Points (Auto-generate)",INDIRECT("'"&amp;$A47&amp;"'!$A$12:$Z$12"),0),0)),"ER"))</f>
        <v>NA</v>
      </c>
      <c r="M47" s="10" t="str">
        <f aca="true">IF($F47=0,"NA",IF($A47=INDIRECT("'"&amp;$A47&amp;"'!$B$1"),IF(VLOOKUP(M$1,INDIRECT("'"&amp;$A47&amp;"'!$A$12:$Z$19"),MATCH("Points (Auto-generate)",INDIRECT("'"&amp;$A47&amp;"'!$A$12:$Z$12"),0),0)="","?",VLOOKUP(M$1,INDIRECT("'"&amp;$A47&amp;"'!$A$12:$Z$19"),MATCH("Points (Auto-generate)",INDIRECT("'"&amp;$A47&amp;"'!$A$12:$Z$12"),0),0)),"ER"))</f>
        <v>NA</v>
      </c>
    </row>
    <row r="48" customFormat="false" ht="15" hidden="false" customHeight="true" outlineLevel="0" collapsed="false">
      <c r="A48" s="10" t="s">
        <v>472</v>
      </c>
      <c r="B48" s="10" t="str">
        <f aca="false">VLOOKUP($A48,'PARASTATAL Questions'!$A:$J,3,0)&amp;""</f>
        <v>State Capacities</v>
      </c>
      <c r="C48" s="10" t="str">
        <f aca="false">VLOOKUP($A48,'PARASTATAL Questions'!$A:$J,4,0)&amp;""</f>
        <v>MQ</v>
      </c>
      <c r="D48" s="10" t="str">
        <f aca="false">VLOOKUP($A48,'PARASTATAL Questions'!$A:$J,5,0)&amp;""</f>
        <v>What is the parastatal's per-capita capital expenditure?</v>
      </c>
      <c r="E48" s="10" t="str">
        <f aca="false">VLOOKUP($A48,'PARASTATAL Questions'!$A:$J,7,0)&amp;""</f>
        <v>Implementation (Numeric)</v>
      </c>
      <c r="F48" s="10" t="n">
        <f aca="false">VLOOKUP($A48,'PARASTATAL Questions'!$A:$J,6,0)</f>
        <v>10</v>
      </c>
      <c r="G48" s="10" t="str">
        <f aca="true">IF($F48=0,"NA",IF($A48=INDIRECT("'"&amp;$A48&amp;"'!$B$1"),IF(VLOOKUP(G$1,INDIRECT("'"&amp;$A48&amp;"'!$A$12:$Z$19"),MATCH("Points (Auto-generate)",INDIRECT("'"&amp;$A48&amp;"'!$A$12:$Z$12"),0),0)="","?",VLOOKUP(G$1,INDIRECT("'"&amp;$A48&amp;"'!$A$12:$Z$19"),MATCH("Points (Auto-generate)",INDIRECT("'"&amp;$A48&amp;"'!$A$12:$Z$12"),0),0)),"ER"))</f>
        <v>?</v>
      </c>
      <c r="H48" s="10" t="str">
        <f aca="true">IF($F48=0,"NA",IF($A48=INDIRECT("'"&amp;$A48&amp;"'!$B$1"),IF(VLOOKUP(H$1,INDIRECT("'"&amp;$A48&amp;"'!$A$12:$Z$19"),MATCH("Points (Auto-generate)",INDIRECT("'"&amp;$A48&amp;"'!$A$12:$Z$12"),0),0)="","?",VLOOKUP(H$1,INDIRECT("'"&amp;$A48&amp;"'!$A$12:$Z$19"),MATCH("Points (Auto-generate)",INDIRECT("'"&amp;$A48&amp;"'!$A$12:$Z$12"),0),0)),"ER"))</f>
        <v>?</v>
      </c>
      <c r="I48" s="10" t="str">
        <f aca="true">IF($F48=0,"NA",IF($A48=INDIRECT("'"&amp;$A48&amp;"'!$B$1"),IF(VLOOKUP(I$1,INDIRECT("'"&amp;$A48&amp;"'!$A$12:$Z$19"),MATCH("Points (Auto-generate)",INDIRECT("'"&amp;$A48&amp;"'!$A$12:$Z$12"),0),0)="","?",VLOOKUP(I$1,INDIRECT("'"&amp;$A48&amp;"'!$A$12:$Z$19"),MATCH("Points (Auto-generate)",INDIRECT("'"&amp;$A48&amp;"'!$A$12:$Z$12"),0),0)),"ER"))</f>
        <v>?</v>
      </c>
      <c r="J48" s="10" t="str">
        <f aca="true">IF($F48=0,"NA",IF($A48=INDIRECT("'"&amp;$A48&amp;"'!$B$1"),IF(VLOOKUP(J$1,INDIRECT("'"&amp;$A48&amp;"'!$A$12:$Z$19"),MATCH("Points (Auto-generate)",INDIRECT("'"&amp;$A48&amp;"'!$A$12:$Z$12"),0),0)="","?",VLOOKUP(J$1,INDIRECT("'"&amp;$A48&amp;"'!$A$12:$Z$19"),MATCH("Points (Auto-generate)",INDIRECT("'"&amp;$A48&amp;"'!$A$12:$Z$12"),0),0)),"ER"))</f>
        <v>?</v>
      </c>
      <c r="K48" s="10" t="str">
        <f aca="true">IF($F48=0,"NA",IF($A48=INDIRECT("'"&amp;$A48&amp;"'!$B$1"),IF(VLOOKUP(K$1,INDIRECT("'"&amp;$A48&amp;"'!$A$12:$Z$19"),MATCH("Points (Auto-generate)",INDIRECT("'"&amp;$A48&amp;"'!$A$12:$Z$12"),0),0)="","?",VLOOKUP(K$1,INDIRECT("'"&amp;$A48&amp;"'!$A$12:$Z$19"),MATCH("Points (Auto-generate)",INDIRECT("'"&amp;$A48&amp;"'!$A$12:$Z$12"),0),0)),"ER"))</f>
        <v>NA</v>
      </c>
      <c r="L48" s="10" t="str">
        <f aca="true">IF($F48=0,"NA",IF($A48=INDIRECT("'"&amp;$A48&amp;"'!$B$1"),IF(VLOOKUP(L$1,INDIRECT("'"&amp;$A48&amp;"'!$A$12:$Z$19"),MATCH("Points (Auto-generate)",INDIRECT("'"&amp;$A48&amp;"'!$A$12:$Z$12"),0),0)="","?",VLOOKUP(L$1,INDIRECT("'"&amp;$A48&amp;"'!$A$12:$Z$19"),MATCH("Points (Auto-generate)",INDIRECT("'"&amp;$A48&amp;"'!$A$12:$Z$12"),0),0)),"ER"))</f>
        <v>NA</v>
      </c>
      <c r="M48" s="10" t="str">
        <f aca="true">IF($F48=0,"NA",IF($A48=INDIRECT("'"&amp;$A48&amp;"'!$B$1"),IF(VLOOKUP(M$1,INDIRECT("'"&amp;$A48&amp;"'!$A$12:$Z$19"),MATCH("Points (Auto-generate)",INDIRECT("'"&amp;$A48&amp;"'!$A$12:$Z$12"),0),0)="","?",VLOOKUP(M$1,INDIRECT("'"&amp;$A48&amp;"'!$A$12:$Z$19"),MATCH("Points (Auto-generate)",INDIRECT("'"&amp;$A48&amp;"'!$A$12:$Z$12"),0),0)),"ER"))</f>
        <v>?</v>
      </c>
    </row>
    <row r="49" customFormat="false" ht="15" hidden="false" customHeight="true" outlineLevel="0" collapsed="false">
      <c r="A49" s="10" t="s">
        <v>482</v>
      </c>
      <c r="B49" s="10" t="str">
        <f aca="false">VLOOKUP($A49,'PARASTATAL Questions'!$A:$J,3,0)&amp;""</f>
        <v>State Capacities</v>
      </c>
      <c r="C49" s="10" t="str">
        <f aca="false">VLOOKUP($A49,'PARASTATAL Questions'!$A:$J,4,0)&amp;""</f>
        <v>MQ</v>
      </c>
      <c r="D49" s="10" t="str">
        <f aca="false">VLOOKUP($A49,'PARASTATAL Questions'!$A:$J,5,0)&amp;""</f>
        <v>How realistic is the parastatal's annual budget?</v>
      </c>
      <c r="E49" s="10" t="str">
        <f aca="false">VLOOKUP($A49,'PARASTATAL Questions'!$A:$J,7,0)&amp;""</f>
        <v>Implementation (Numeric)</v>
      </c>
      <c r="F49" s="10" t="n">
        <f aca="false">VLOOKUP($A49,'PARASTATAL Questions'!$A:$J,6,0)</f>
        <v>10</v>
      </c>
      <c r="G49" s="10" t="str">
        <f aca="true">IF($F49=0,"NA",IF($A49=INDIRECT("'"&amp;$A49&amp;"'!$B$1"),IF(VLOOKUP(G$1,INDIRECT("'"&amp;$A49&amp;"'!$A$12:$Z$19"),MATCH("Points (Auto-generate)",INDIRECT("'"&amp;$A49&amp;"'!$A$12:$Z$12"),0),0)="","?",VLOOKUP(G$1,INDIRECT("'"&amp;$A49&amp;"'!$A$12:$Z$19"),MATCH("Points (Auto-generate)",INDIRECT("'"&amp;$A49&amp;"'!$A$12:$Z$12"),0),0)),"ER"))</f>
        <v>?</v>
      </c>
      <c r="H49" s="10" t="str">
        <f aca="true">IF($F49=0,"NA",IF($A49=INDIRECT("'"&amp;$A49&amp;"'!$B$1"),IF(VLOOKUP(H$1,INDIRECT("'"&amp;$A49&amp;"'!$A$12:$Z$19"),MATCH("Points (Auto-generate)",INDIRECT("'"&amp;$A49&amp;"'!$A$12:$Z$12"),0),0)="","?",VLOOKUP(H$1,INDIRECT("'"&amp;$A49&amp;"'!$A$12:$Z$19"),MATCH("Points (Auto-generate)",INDIRECT("'"&amp;$A49&amp;"'!$A$12:$Z$12"),0),0)),"ER"))</f>
        <v>?</v>
      </c>
      <c r="I49" s="10" t="str">
        <f aca="true">IF($F49=0,"NA",IF($A49=INDIRECT("'"&amp;$A49&amp;"'!$B$1"),IF(VLOOKUP(I$1,INDIRECT("'"&amp;$A49&amp;"'!$A$12:$Z$19"),MATCH("Points (Auto-generate)",INDIRECT("'"&amp;$A49&amp;"'!$A$12:$Z$12"),0),0)="","?",VLOOKUP(I$1,INDIRECT("'"&amp;$A49&amp;"'!$A$12:$Z$19"),MATCH("Points (Auto-generate)",INDIRECT("'"&amp;$A49&amp;"'!$A$12:$Z$12"),0),0)),"ER"))</f>
        <v>?</v>
      </c>
      <c r="J49" s="10" t="str">
        <f aca="true">IF($F49=0,"NA",IF($A49=INDIRECT("'"&amp;$A49&amp;"'!$B$1"),IF(VLOOKUP(J$1,INDIRECT("'"&amp;$A49&amp;"'!$A$12:$Z$19"),MATCH("Points (Auto-generate)",INDIRECT("'"&amp;$A49&amp;"'!$A$12:$Z$12"),0),0)="","?",VLOOKUP(J$1,INDIRECT("'"&amp;$A49&amp;"'!$A$12:$Z$19"),MATCH("Points (Auto-generate)",INDIRECT("'"&amp;$A49&amp;"'!$A$12:$Z$12"),0),0)),"ER"))</f>
        <v>?</v>
      </c>
      <c r="K49" s="10" t="str">
        <f aca="true">IF($F49=0,"NA",IF($A49=INDIRECT("'"&amp;$A49&amp;"'!$B$1"),IF(VLOOKUP(K$1,INDIRECT("'"&amp;$A49&amp;"'!$A$12:$Z$19"),MATCH("Points (Auto-generate)",INDIRECT("'"&amp;$A49&amp;"'!$A$12:$Z$12"),0),0)="","?",VLOOKUP(K$1,INDIRECT("'"&amp;$A49&amp;"'!$A$12:$Z$19"),MATCH("Points (Auto-generate)",INDIRECT("'"&amp;$A49&amp;"'!$A$12:$Z$12"),0),0)),"ER"))</f>
        <v>?</v>
      </c>
      <c r="L49" s="10" t="str">
        <f aca="true">IF($F49=0,"NA",IF($A49=INDIRECT("'"&amp;$A49&amp;"'!$B$1"),IF(VLOOKUP(L$1,INDIRECT("'"&amp;$A49&amp;"'!$A$12:$Z$19"),MATCH("Points (Auto-generate)",INDIRECT("'"&amp;$A49&amp;"'!$A$12:$Z$12"),0),0)="","?",VLOOKUP(L$1,INDIRECT("'"&amp;$A49&amp;"'!$A$12:$Z$19"),MATCH("Points (Auto-generate)",INDIRECT("'"&amp;$A49&amp;"'!$A$12:$Z$12"),0),0)),"ER"))</f>
        <v>?</v>
      </c>
      <c r="M49" s="10" t="str">
        <f aca="true">IF($F49=0,"NA",IF($A49=INDIRECT("'"&amp;$A49&amp;"'!$B$1"),IF(VLOOKUP(M$1,INDIRECT("'"&amp;$A49&amp;"'!$A$12:$Z$19"),MATCH("Points (Auto-generate)",INDIRECT("'"&amp;$A49&amp;"'!$A$12:$Z$12"),0),0)="","?",VLOOKUP(M$1,INDIRECT("'"&amp;$A49&amp;"'!$A$12:$Z$19"),MATCH("Points (Auto-generate)",INDIRECT("'"&amp;$A49&amp;"'!$A$12:$Z$12"),0),0)),"ER"))</f>
        <v>?</v>
      </c>
    </row>
    <row r="50" customFormat="false" ht="15" hidden="false" customHeight="true" outlineLevel="0" collapsed="false">
      <c r="A50" s="10" t="s">
        <v>606</v>
      </c>
      <c r="B50" s="10" t="str">
        <f aca="false">VLOOKUP($A50,'PARASTATAL Questions'!$A:$J,3,0)&amp;""</f>
        <v>State Capacities</v>
      </c>
      <c r="C50" s="10" t="str">
        <f aca="false">VLOOKUP($A50,'PARASTATAL Questions'!$A:$J,4,0)&amp;""</f>
        <v>MQ</v>
      </c>
      <c r="D50" s="10" t="str">
        <f aca="false">VLOOKUP($A50,'PARASTATAL Questions'!$A:$J,5,0)&amp;""</f>
        <v>Is the parastatal mandated to prepare a medium-term and/or long-term fiscal plan, and has it prepared a current plan in accordance with that mandate?</v>
      </c>
      <c r="E50" s="10" t="str">
        <f aca="false">VLOOKUP($A50,'PARASTATAL Questions'!$A:$J,7,0)&amp;""</f>
        <v>Law/Policy</v>
      </c>
      <c r="F50" s="10" t="n">
        <f aca="false">VLOOKUP($A50,'PARASTATAL Questions'!$A:$J,6,0)</f>
        <v>10</v>
      </c>
      <c r="G50" s="10" t="str">
        <f aca="false">IF(OR(G51="ER",G52="ER"),"ER",IF(OR(G51="?",G52="?"),"?",IF(AND(G51="NA",G52="NA"),"NA",SUM(G51,G52)/((G51&lt;&gt;"NA")*$F$51+(G52&lt;&gt;"NA")*$F$52)*$F50)))</f>
        <v>?</v>
      </c>
      <c r="H50" s="10" t="str">
        <f aca="false">IF(OR(H51="ER",H52="ER"),"ER",IF(OR(H51="?",H52="?"),"?",IF(AND(H51="NA",H52="NA"),"NA",SUM(H51,H52)/((H51&lt;&gt;"NA")*$F$51+(H52&lt;&gt;"NA")*$F$52)*$F50)))</f>
        <v>?</v>
      </c>
      <c r="I50" s="10" t="str">
        <f aca="false">IF(OR(I51="ER",I52="ER"),"ER",IF(OR(I51="?",I52="?"),"?",IF(AND(I51="NA",I52="NA"),"NA",SUM(I51,I52)/((I51&lt;&gt;"NA")*$F$51+(I52&lt;&gt;"NA")*$F$52)*$F50)))</f>
        <v>?</v>
      </c>
      <c r="J50" s="10" t="str">
        <f aca="false">IF(OR(J51="ER",J52="ER"),"ER",IF(OR(J51="?",J52="?"),"?",IF(AND(J51="NA",J52="NA"),"NA",SUM(J51,J52)/((J51&lt;&gt;"NA")*$F$51+(J52&lt;&gt;"NA")*$F$52)*$F50)))</f>
        <v>?</v>
      </c>
      <c r="K50" s="10" t="str">
        <f aca="false">IF(OR(K51="ER",K52="ER"),"ER",IF(OR(K51="?",K52="?"),"?",IF(AND(K51="NA",K52="NA"),"NA",SUM(K51,K52)/((K51&lt;&gt;"NA")*$F$51+(K52&lt;&gt;"NA")*$F$52)*$F50)))</f>
        <v>?</v>
      </c>
      <c r="L50" s="10" t="str">
        <f aca="false">IF(OR(L51="ER",L52="ER"),"ER",IF(OR(L51="?",L52="?"),"?",IF(AND(L51="NA",L52="NA"),"NA",SUM(L51,L52)/((L51&lt;&gt;"NA")*$F$51+(L52&lt;&gt;"NA")*$F$52)*$F50)))</f>
        <v>?</v>
      </c>
      <c r="M50" s="10" t="str">
        <f aca="false">IF(OR(M51="ER",M52="ER"),"ER",IF(OR(M51="?",M52="?"),"?",IF(AND(M51="NA",M52="NA"),"NA",SUM(M51,M52)/((M51&lt;&gt;"NA")*$F$51+(M52&lt;&gt;"NA")*$F$52)*$F50)))</f>
        <v>?</v>
      </c>
    </row>
    <row r="51" customFormat="false" ht="15" hidden="false" customHeight="true" outlineLevel="0" collapsed="false">
      <c r="A51" s="8" t="s">
        <v>492</v>
      </c>
      <c r="B51" s="8" t="str">
        <f aca="false">VLOOKUP($A51,'PARASTATAL Questions'!$A:$J,3,0)&amp;""</f>
        <v>State Capacities</v>
      </c>
      <c r="C51" s="8" t="str">
        <f aca="false">VLOOKUP($A51,'PARASTATAL Questions'!$A:$J,4,0)&amp;""</f>
        <v>SQ</v>
      </c>
      <c r="D51" s="8" t="str">
        <f aca="false">VLOOKUP($A51,'PARASTATAL Questions'!$A:$J,5,0)&amp;""</f>
        <v>Is a medium-term (3-5 year) and/or long-term (&gt;5 year) fiscal plan legally mandated?</v>
      </c>
      <c r="E51" s="8" t="str">
        <f aca="false">VLOOKUP($A51,'PARASTATAL Questions'!$A:$J,7,0)&amp;""</f>
        <v>Law/Policy</v>
      </c>
      <c r="F51" s="8" t="n">
        <f aca="false">VLOOKUP($A51,'PARASTATAL Questions'!$A:$J,6,0)</f>
        <v>5</v>
      </c>
      <c r="G51" s="8" t="n">
        <f aca="true">IF($F51=0,"NA",IF($A51=INDIRECT("'"&amp;$A51&amp;"'!$B$1"),IF(VLOOKUP(G$1,INDIRECT("'"&amp;$A51&amp;"'!$A$12:$Z$19"),MATCH("Points (Auto-generate)",INDIRECT("'"&amp;$A51&amp;"'!$A$12:$Z$12"),0),0)="","?",VLOOKUP(G$1,INDIRECT("'"&amp;$A51&amp;"'!$A$12:$Z$19"),MATCH("Points (Auto-generate)",INDIRECT("'"&amp;$A51&amp;"'!$A$12:$Z$12"),0),0)),"ER"))</f>
        <v>0</v>
      </c>
      <c r="H51" s="8" t="n">
        <f aca="true">IF($F51=0,"NA",IF($A51=INDIRECT("'"&amp;$A51&amp;"'!$B$1"),IF(VLOOKUP(H$1,INDIRECT("'"&amp;$A51&amp;"'!$A$12:$Z$19"),MATCH("Points (Auto-generate)",INDIRECT("'"&amp;$A51&amp;"'!$A$12:$Z$12"),0),0)="","?",VLOOKUP(H$1,INDIRECT("'"&amp;$A51&amp;"'!$A$12:$Z$19"),MATCH("Points (Auto-generate)",INDIRECT("'"&amp;$A51&amp;"'!$A$12:$Z$12"),0),0)),"ER"))</f>
        <v>0</v>
      </c>
      <c r="I51" s="8" t="n">
        <f aca="true">IF($F51=0,"NA",IF($A51=INDIRECT("'"&amp;$A51&amp;"'!$B$1"),IF(VLOOKUP(I$1,INDIRECT("'"&amp;$A51&amp;"'!$A$12:$Z$19"),MATCH("Points (Auto-generate)",INDIRECT("'"&amp;$A51&amp;"'!$A$12:$Z$12"),0),0)="","?",VLOOKUP(I$1,INDIRECT("'"&amp;$A51&amp;"'!$A$12:$Z$19"),MATCH("Points (Auto-generate)",INDIRECT("'"&amp;$A51&amp;"'!$A$12:$Z$12"),0),0)),"ER"))</f>
        <v>0</v>
      </c>
      <c r="J51" s="8" t="n">
        <f aca="true">IF($F51=0,"NA",IF($A51=INDIRECT("'"&amp;$A51&amp;"'!$B$1"),IF(VLOOKUP(J$1,INDIRECT("'"&amp;$A51&amp;"'!$A$12:$Z$19"),MATCH("Points (Auto-generate)",INDIRECT("'"&amp;$A51&amp;"'!$A$12:$Z$12"),0),0)="","?",VLOOKUP(J$1,INDIRECT("'"&amp;$A51&amp;"'!$A$12:$Z$19"),MATCH("Points (Auto-generate)",INDIRECT("'"&amp;$A51&amp;"'!$A$12:$Z$12"),0),0)),"ER"))</f>
        <v>0</v>
      </c>
      <c r="K51" s="8" t="n">
        <f aca="true">IF($F51=0,"NA",IF($A51=INDIRECT("'"&amp;$A51&amp;"'!$B$1"),IF(VLOOKUP(K$1,INDIRECT("'"&amp;$A51&amp;"'!$A$12:$Z$19"),MATCH("Points (Auto-generate)",INDIRECT("'"&amp;$A51&amp;"'!$A$12:$Z$12"),0),0)="","?",VLOOKUP(K$1,INDIRECT("'"&amp;$A51&amp;"'!$A$12:$Z$19"),MATCH("Points (Auto-generate)",INDIRECT("'"&amp;$A51&amp;"'!$A$12:$Z$12"),0),0)),"ER"))</f>
        <v>0</v>
      </c>
      <c r="L51" s="8" t="str">
        <f aca="true">IF($F51=0,"NA",IF($A51=INDIRECT("'"&amp;$A51&amp;"'!$B$1"),IF(VLOOKUP(L$1,INDIRECT("'"&amp;$A51&amp;"'!$A$12:$Z$19"),MATCH("Points (Auto-generate)",INDIRECT("'"&amp;$A51&amp;"'!$A$12:$Z$12"),0),0)="","?",VLOOKUP(L$1,INDIRECT("'"&amp;$A51&amp;"'!$A$12:$Z$19"),MATCH("Points (Auto-generate)",INDIRECT("'"&amp;$A51&amp;"'!$A$12:$Z$12"),0),0)),"ER"))</f>
        <v>?</v>
      </c>
      <c r="M51" s="8" t="str">
        <f aca="true">IF($F51=0,"NA",IF($A51=INDIRECT("'"&amp;$A51&amp;"'!$B$1"),IF(VLOOKUP(M$1,INDIRECT("'"&amp;$A51&amp;"'!$A$12:$Z$19"),MATCH("Points (Auto-generate)",INDIRECT("'"&amp;$A51&amp;"'!$A$12:$Z$12"),0),0)="","?",VLOOKUP(M$1,INDIRECT("'"&amp;$A51&amp;"'!$A$12:$Z$19"),MATCH("Points (Auto-generate)",INDIRECT("'"&amp;$A51&amp;"'!$A$12:$Z$12"),0),0)),"ER"))</f>
        <v>?</v>
      </c>
    </row>
    <row r="52" customFormat="false" ht="15" hidden="false" customHeight="true" outlineLevel="0" collapsed="false">
      <c r="A52" s="8" t="s">
        <v>507</v>
      </c>
      <c r="B52" s="8" t="str">
        <f aca="false">VLOOKUP($A52,'PARASTATAL Questions'!$A:$J,3,0)&amp;""</f>
        <v>State Capacities</v>
      </c>
      <c r="C52" s="8" t="str">
        <f aca="false">VLOOKUP($A52,'PARASTATAL Questions'!$A:$J,4,0)&amp;""</f>
        <v>SQ</v>
      </c>
      <c r="D52" s="8" t="str">
        <f aca="false">VLOOKUP($A52,'PARASTATAL Questions'!$A:$J,5,0)&amp;""</f>
        <v>Is the medium/long-term fiscal plan publicly available?</v>
      </c>
      <c r="E52" s="8" t="str">
        <f aca="false">VLOOKUP($A52,'PARASTATAL Questions'!$A:$J,7,0)&amp;""</f>
        <v>Implementation</v>
      </c>
      <c r="F52" s="8" t="n">
        <f aca="false">VLOOKUP($A52,'PARASTATAL Questions'!$A:$J,6,0)</f>
        <v>5</v>
      </c>
      <c r="G52" s="8" t="str">
        <f aca="true">IF($F52=0,"NA",IF($A52=INDIRECT("'"&amp;$A52&amp;"'!$B$1"),IF(VLOOKUP(G$1,INDIRECT("'"&amp;$A52&amp;"'!$A$12:$Z$19"),MATCH("Points (Auto-generate)",INDIRECT("'"&amp;$A52&amp;"'!$A$12:$Z$12"),0),0)="","?",VLOOKUP(G$1,INDIRECT("'"&amp;$A52&amp;"'!$A$12:$Z$19"),MATCH("Points (Auto-generate)",INDIRECT("'"&amp;$A52&amp;"'!$A$12:$Z$12"),0),0)),"ER"))</f>
        <v>?</v>
      </c>
      <c r="H52" s="8" t="str">
        <f aca="true">IF($F52=0,"NA",IF($A52=INDIRECT("'"&amp;$A52&amp;"'!$B$1"),IF(VLOOKUP(H$1,INDIRECT("'"&amp;$A52&amp;"'!$A$12:$Z$19"),MATCH("Points (Auto-generate)",INDIRECT("'"&amp;$A52&amp;"'!$A$12:$Z$12"),0),0)="","?",VLOOKUP(H$1,INDIRECT("'"&amp;$A52&amp;"'!$A$12:$Z$19"),MATCH("Points (Auto-generate)",INDIRECT("'"&amp;$A52&amp;"'!$A$12:$Z$12"),0),0)),"ER"))</f>
        <v>?</v>
      </c>
      <c r="I52" s="8" t="str">
        <f aca="true">IF($F52=0,"NA",IF($A52=INDIRECT("'"&amp;$A52&amp;"'!$B$1"),IF(VLOOKUP(I$1,INDIRECT("'"&amp;$A52&amp;"'!$A$12:$Z$19"),MATCH("Points (Auto-generate)",INDIRECT("'"&amp;$A52&amp;"'!$A$12:$Z$12"),0),0)="","?",VLOOKUP(I$1,INDIRECT("'"&amp;$A52&amp;"'!$A$12:$Z$19"),MATCH("Points (Auto-generate)",INDIRECT("'"&amp;$A52&amp;"'!$A$12:$Z$12"),0),0)),"ER"))</f>
        <v>?</v>
      </c>
      <c r="J52" s="8" t="str">
        <f aca="true">IF($F52=0,"NA",IF($A52=INDIRECT("'"&amp;$A52&amp;"'!$B$1"),IF(VLOOKUP(J$1,INDIRECT("'"&amp;$A52&amp;"'!$A$12:$Z$19"),MATCH("Points (Auto-generate)",INDIRECT("'"&amp;$A52&amp;"'!$A$12:$Z$12"),0),0)="","?",VLOOKUP(J$1,INDIRECT("'"&amp;$A52&amp;"'!$A$12:$Z$19"),MATCH("Points (Auto-generate)",INDIRECT("'"&amp;$A52&amp;"'!$A$12:$Z$12"),0),0)),"ER"))</f>
        <v>?</v>
      </c>
      <c r="K52" s="8" t="str">
        <f aca="true">IF($F52=0,"NA",IF($A52=INDIRECT("'"&amp;$A52&amp;"'!$B$1"),IF(VLOOKUP(K$1,INDIRECT("'"&amp;$A52&amp;"'!$A$12:$Z$19"),MATCH("Points (Auto-generate)",INDIRECT("'"&amp;$A52&amp;"'!$A$12:$Z$12"),0),0)="","?",VLOOKUP(K$1,INDIRECT("'"&amp;$A52&amp;"'!$A$12:$Z$19"),MATCH("Points (Auto-generate)",INDIRECT("'"&amp;$A52&amp;"'!$A$12:$Z$12"),0),0)),"ER"))</f>
        <v>?</v>
      </c>
      <c r="L52" s="8" t="str">
        <f aca="true">IF($F52=0,"NA",IF($A52=INDIRECT("'"&amp;$A52&amp;"'!$B$1"),IF(VLOOKUP(L$1,INDIRECT("'"&amp;$A52&amp;"'!$A$12:$Z$19"),MATCH("Points (Auto-generate)",INDIRECT("'"&amp;$A52&amp;"'!$A$12:$Z$12"),0),0)="","?",VLOOKUP(L$1,INDIRECT("'"&amp;$A52&amp;"'!$A$12:$Z$19"),MATCH("Points (Auto-generate)",INDIRECT("'"&amp;$A52&amp;"'!$A$12:$Z$12"),0),0)),"ER"))</f>
        <v>?</v>
      </c>
      <c r="M52" s="8" t="str">
        <f aca="true">IF($F52=0,"NA",IF($A52=INDIRECT("'"&amp;$A52&amp;"'!$B$1"),IF(VLOOKUP(M$1,INDIRECT("'"&amp;$A52&amp;"'!$A$12:$Z$19"),MATCH("Points (Auto-generate)",INDIRECT("'"&amp;$A52&amp;"'!$A$12:$Z$12"),0),0)="","?",VLOOKUP(M$1,INDIRECT("'"&amp;$A52&amp;"'!$A$12:$Z$19"),MATCH("Points (Auto-generate)",INDIRECT("'"&amp;$A52&amp;"'!$A$12:$Z$12"),0),0)),"ER"))</f>
        <v>?</v>
      </c>
    </row>
    <row r="53" customFormat="false" ht="15" hidden="false" customHeight="true" outlineLevel="0" collapsed="false">
      <c r="A53" s="10" t="s">
        <v>519</v>
      </c>
      <c r="B53" s="10" t="str">
        <f aca="false">VLOOKUP($A53,'PARASTATAL Questions'!$A:$J,3,0)&amp;""</f>
        <v>State Capacities</v>
      </c>
      <c r="C53" s="10" t="str">
        <f aca="false">VLOOKUP($A53,'PARASTATAL Questions'!$A:$J,4,0)&amp;""</f>
        <v>MQ</v>
      </c>
      <c r="D53" s="10" t="str">
        <f aca="false">VLOOKUP($A53,'PARASTATAL Questions'!$A:$J,5,0)&amp;""</f>
        <v>Does the law mandate a minimum tenure for the executive authority of the parastatal?</v>
      </c>
      <c r="E53" s="10" t="str">
        <f aca="false">VLOOKUP($A53,'PARASTATAL Questions'!$A:$J,7,0)&amp;""</f>
        <v>Law/Policy</v>
      </c>
      <c r="F53" s="10" t="n">
        <f aca="false">VLOOKUP($A53,'PARASTATAL Questions'!$A:$J,6,0)</f>
        <v>10</v>
      </c>
      <c r="G53" s="10" t="n">
        <f aca="true">IF($F53=0,"NA",IF($A53=INDIRECT("'"&amp;$A53&amp;"'!$B$1"),IF(VLOOKUP(G$1,INDIRECT("'"&amp;$A53&amp;"'!$A$12:$Z$19"),MATCH("Points (Auto-generate)",INDIRECT("'"&amp;$A53&amp;"'!$A$12:$Z$12"),0),0)="","?",VLOOKUP(G$1,INDIRECT("'"&amp;$A53&amp;"'!$A$12:$Z$19"),MATCH("Points (Auto-generate)",INDIRECT("'"&amp;$A53&amp;"'!$A$12:$Z$12"),0),0)),"ER"))</f>
        <v>0</v>
      </c>
      <c r="H53" s="10" t="str">
        <f aca="true">IF($F53=0,"NA",IF($A53=INDIRECT("'"&amp;$A53&amp;"'!$B$1"),IF(VLOOKUP(H$1,INDIRECT("'"&amp;$A53&amp;"'!$A$12:$Z$19"),MATCH("Points (Auto-generate)",INDIRECT("'"&amp;$A53&amp;"'!$A$12:$Z$12"),0),0)="","?",VLOOKUP(H$1,INDIRECT("'"&amp;$A53&amp;"'!$A$12:$Z$19"),MATCH("Points (Auto-generate)",INDIRECT("'"&amp;$A53&amp;"'!$A$12:$Z$12"),0),0)),"ER"))</f>
        <v>?</v>
      </c>
      <c r="I53" s="10" t="n">
        <f aca="true">IF($F53=0,"NA",IF($A53=INDIRECT("'"&amp;$A53&amp;"'!$B$1"),IF(VLOOKUP(I$1,INDIRECT("'"&amp;$A53&amp;"'!$A$12:$Z$19"),MATCH("Points (Auto-generate)",INDIRECT("'"&amp;$A53&amp;"'!$A$12:$Z$12"),0),0)="","?",VLOOKUP(I$1,INDIRECT("'"&amp;$A53&amp;"'!$A$12:$Z$19"),MATCH("Points (Auto-generate)",INDIRECT("'"&amp;$A53&amp;"'!$A$12:$Z$12"),0),0)),"ER"))</f>
        <v>0</v>
      </c>
      <c r="J53" s="10" t="n">
        <f aca="true">IF($F53=0,"NA",IF($A53=INDIRECT("'"&amp;$A53&amp;"'!$B$1"),IF(VLOOKUP(J$1,INDIRECT("'"&amp;$A53&amp;"'!$A$12:$Z$19"),MATCH("Points (Auto-generate)",INDIRECT("'"&amp;$A53&amp;"'!$A$12:$Z$12"),0),0)="","?",VLOOKUP(J$1,INDIRECT("'"&amp;$A53&amp;"'!$A$12:$Z$19"),MATCH("Points (Auto-generate)",INDIRECT("'"&amp;$A53&amp;"'!$A$12:$Z$12"),0),0)),"ER"))</f>
        <v>0</v>
      </c>
      <c r="K53" s="10" t="str">
        <f aca="true">IF($F53=0,"NA",IF($A53=INDIRECT("'"&amp;$A53&amp;"'!$B$1"),IF(VLOOKUP(K$1,INDIRECT("'"&amp;$A53&amp;"'!$A$12:$Z$19"),MATCH("Points (Auto-generate)",INDIRECT("'"&amp;$A53&amp;"'!$A$12:$Z$12"),0),0)="","?",VLOOKUP(K$1,INDIRECT("'"&amp;$A53&amp;"'!$A$12:$Z$19"),MATCH("Points (Auto-generate)",INDIRECT("'"&amp;$A53&amp;"'!$A$12:$Z$12"),0),0)),"ER"))</f>
        <v>?</v>
      </c>
      <c r="L53" s="10" t="str">
        <f aca="true">IF($F53=0,"NA",IF($A53=INDIRECT("'"&amp;$A53&amp;"'!$B$1"),IF(VLOOKUP(L$1,INDIRECT("'"&amp;$A53&amp;"'!$A$12:$Z$19"),MATCH("Points (Auto-generate)",INDIRECT("'"&amp;$A53&amp;"'!$A$12:$Z$12"),0),0)="","?",VLOOKUP(L$1,INDIRECT("'"&amp;$A53&amp;"'!$A$12:$Z$19"),MATCH("Points (Auto-generate)",INDIRECT("'"&amp;$A53&amp;"'!$A$12:$Z$12"),0),0)),"ER"))</f>
        <v>?</v>
      </c>
      <c r="M53" s="10" t="str">
        <f aca="true">IF($F53=0,"NA",IF($A53=INDIRECT("'"&amp;$A53&amp;"'!$B$1"),IF(VLOOKUP(M$1,INDIRECT("'"&amp;$A53&amp;"'!$A$12:$Z$19"),MATCH("Points (Auto-generate)",INDIRECT("'"&amp;$A53&amp;"'!$A$12:$Z$12"),0),0)="","?",VLOOKUP(M$1,INDIRECT("'"&amp;$A53&amp;"'!$A$12:$Z$19"),MATCH("Points (Auto-generate)",INDIRECT("'"&amp;$A53&amp;"'!$A$12:$Z$12"),0),0)),"ER"))</f>
        <v>?</v>
      </c>
    </row>
    <row r="54" customFormat="false" ht="15" hidden="false" customHeight="true" outlineLevel="0" collapsed="false">
      <c r="A54" s="10" t="s">
        <v>537</v>
      </c>
      <c r="B54" s="10" t="str">
        <f aca="false">VLOOKUP($A54,'PARASTATAL Questions'!$A:$J,3,0)&amp;""</f>
        <v>State Capacities</v>
      </c>
      <c r="C54" s="10" t="str">
        <f aca="false">VLOOKUP($A54,'PARASTATAL Questions'!$A:$J,4,0)&amp;""</f>
        <v>MQ</v>
      </c>
      <c r="D54" s="10" t="str">
        <f aca="false">VLOOKUP($A54,'PARASTATAL Questions'!$A:$J,5,0)&amp;""</f>
        <v>What is the average tenure of the chief executive/executive authority of the parastatal?</v>
      </c>
      <c r="E54" s="10" t="str">
        <f aca="false">VLOOKUP($A54,'PARASTATAL Questions'!$A:$J,7,0)&amp;""</f>
        <v>Implementation (Numeric)</v>
      </c>
      <c r="F54" s="10" t="n">
        <f aca="false">VLOOKUP($A54,'PARASTATAL Questions'!$A:$J,6,0)</f>
        <v>10</v>
      </c>
      <c r="G54" s="10" t="str">
        <f aca="true">IF($F54=0,"NA",IF($A54=INDIRECT("'"&amp;$A54&amp;"'!$B$1"),IF(VLOOKUP(G$1,INDIRECT("'"&amp;$A54&amp;"'!$A$12:$Z$19"),MATCH("Points (Auto-generate)",INDIRECT("'"&amp;$A54&amp;"'!$A$12:$Z$12"),0),0)="","?",VLOOKUP(G$1,INDIRECT("'"&amp;$A54&amp;"'!$A$12:$Z$19"),MATCH("Points (Auto-generate)",INDIRECT("'"&amp;$A54&amp;"'!$A$12:$Z$12"),0),0)),"ER"))</f>
        <v>?</v>
      </c>
      <c r="H54" s="10" t="str">
        <f aca="true">IF($F54=0,"NA",IF($A54=INDIRECT("'"&amp;$A54&amp;"'!$B$1"),IF(VLOOKUP(H$1,INDIRECT("'"&amp;$A54&amp;"'!$A$12:$Z$19"),MATCH("Points (Auto-generate)",INDIRECT("'"&amp;$A54&amp;"'!$A$12:$Z$12"),0),0)="","?",VLOOKUP(H$1,INDIRECT("'"&amp;$A54&amp;"'!$A$12:$Z$19"),MATCH("Points (Auto-generate)",INDIRECT("'"&amp;$A54&amp;"'!$A$12:$Z$12"),0),0)),"ER"))</f>
        <v>?</v>
      </c>
      <c r="I54" s="10" t="str">
        <f aca="true">IF($F54=0,"NA",IF($A54=INDIRECT("'"&amp;$A54&amp;"'!$B$1"),IF(VLOOKUP(I$1,INDIRECT("'"&amp;$A54&amp;"'!$A$12:$Z$19"),MATCH("Points (Auto-generate)",INDIRECT("'"&amp;$A54&amp;"'!$A$12:$Z$12"),0),0)="","?",VLOOKUP(I$1,INDIRECT("'"&amp;$A54&amp;"'!$A$12:$Z$19"),MATCH("Points (Auto-generate)",INDIRECT("'"&amp;$A54&amp;"'!$A$12:$Z$12"),0),0)),"ER"))</f>
        <v>?</v>
      </c>
      <c r="J54" s="10" t="str">
        <f aca="true">IF($F54=0,"NA",IF($A54=INDIRECT("'"&amp;$A54&amp;"'!$B$1"),IF(VLOOKUP(J$1,INDIRECT("'"&amp;$A54&amp;"'!$A$12:$Z$19"),MATCH("Points (Auto-generate)",INDIRECT("'"&amp;$A54&amp;"'!$A$12:$Z$12"),0),0)="","?",VLOOKUP(J$1,INDIRECT("'"&amp;$A54&amp;"'!$A$12:$Z$19"),MATCH("Points (Auto-generate)",INDIRECT("'"&amp;$A54&amp;"'!$A$12:$Z$12"),0),0)),"ER"))</f>
        <v>?</v>
      </c>
      <c r="K54" s="10" t="str">
        <f aca="true">IF($F54=0,"NA",IF($A54=INDIRECT("'"&amp;$A54&amp;"'!$B$1"),IF(VLOOKUP(K$1,INDIRECT("'"&amp;$A54&amp;"'!$A$12:$Z$19"),MATCH("Points (Auto-generate)",INDIRECT("'"&amp;$A54&amp;"'!$A$12:$Z$12"),0),0)="","?",VLOOKUP(K$1,INDIRECT("'"&amp;$A54&amp;"'!$A$12:$Z$19"),MATCH("Points (Auto-generate)",INDIRECT("'"&amp;$A54&amp;"'!$A$12:$Z$12"),0),0)),"ER"))</f>
        <v>?</v>
      </c>
      <c r="L54" s="10" t="str">
        <f aca="true">IF($F54=0,"NA",IF($A54=INDIRECT("'"&amp;$A54&amp;"'!$B$1"),IF(VLOOKUP(L$1,INDIRECT("'"&amp;$A54&amp;"'!$A$12:$Z$19"),MATCH("Points (Auto-generate)",INDIRECT("'"&amp;$A54&amp;"'!$A$12:$Z$12"),0),0)="","?",VLOOKUP(L$1,INDIRECT("'"&amp;$A54&amp;"'!$A$12:$Z$19"),MATCH("Points (Auto-generate)",INDIRECT("'"&amp;$A54&amp;"'!$A$12:$Z$12"),0),0)),"ER"))</f>
        <v>?</v>
      </c>
      <c r="M54" s="10" t="str">
        <f aca="true">IF($F54=0,"NA",IF($A54=INDIRECT("'"&amp;$A54&amp;"'!$B$1"),IF(VLOOKUP(M$1,INDIRECT("'"&amp;$A54&amp;"'!$A$12:$Z$19"),MATCH("Points (Auto-generate)",INDIRECT("'"&amp;$A54&amp;"'!$A$12:$Z$12"),0),0)="","?",VLOOKUP(M$1,INDIRECT("'"&amp;$A54&amp;"'!$A$12:$Z$19"),MATCH("Points (Auto-generate)",INDIRECT("'"&amp;$A54&amp;"'!$A$12:$Z$12"),0),0)),"ER"))</f>
        <v>?</v>
      </c>
    </row>
    <row r="55" customFormat="false" ht="15" hidden="false" customHeight="true" outlineLevel="0" collapsed="false">
      <c r="A55" s="10" t="s">
        <v>607</v>
      </c>
      <c r="B55" s="10" t="str">
        <f aca="false">VLOOKUP($A55,'PARASTATAL Questions'!$A:$J,3,0)&amp;""</f>
        <v>State Capacities</v>
      </c>
      <c r="C55" s="10" t="str">
        <f aca="false">VLOOKUP($A55,'PARASTATAL Questions'!$A:$J,4,0)&amp;""</f>
        <v>MQ</v>
      </c>
      <c r="D55" s="10" t="str">
        <f aca="false">VLOOKUP($A55,'PARASTATAL Questions'!$A:$J,5,0)&amp;""</f>
        <v>Does the parastatal have adequate and representative staffing capacity to discharge its mandate?</v>
      </c>
      <c r="E55" s="10" t="str">
        <f aca="false">VLOOKUP($A55,'PARASTATAL Questions'!$A:$J,7,0)&amp;""</f>
        <v>Implementation (Numeric)</v>
      </c>
      <c r="F55" s="10" t="n">
        <f aca="false">VLOOKUP($A55,'PARASTATAL Questions'!$A:$J,6,0)</f>
        <v>10</v>
      </c>
      <c r="G55" s="10" t="str">
        <f aca="false">IF(OR(G56="ER",G57="ER"),"ER",IF(OR(G56="?",G57="?"),"?",IF(AND(G56="NA",G57="NA"),"NA",SUM(G56,G57)/((G56&lt;&gt;"NA")*$F$56+(G57&lt;&gt;"NA")*$F$57)*$F55)))</f>
        <v>?</v>
      </c>
      <c r="H55" s="10" t="str">
        <f aca="false">IF(OR(H56="ER",H57="ER"),"ER",IF(OR(H56="?",H57="?"),"?",IF(AND(H56="NA",H57="NA"),"NA",SUM(H56,H57)/((H56&lt;&gt;"NA")*$F$56+(H57&lt;&gt;"NA")*$F$57)*$F55)))</f>
        <v>?</v>
      </c>
      <c r="I55" s="10" t="str">
        <f aca="false">IF(OR(I56="ER",I57="ER"),"ER",IF(OR(I56="?",I57="?"),"?",IF(AND(I56="NA",I57="NA"),"NA",SUM(I56,I57)/((I56&lt;&gt;"NA")*$F$56+(I57&lt;&gt;"NA")*$F$57)*$F55)))</f>
        <v>?</v>
      </c>
      <c r="J55" s="10" t="str">
        <f aca="false">IF(OR(J56="ER",J57="ER"),"ER",IF(OR(J56="?",J57="?"),"?",IF(AND(J56="NA",J57="NA"),"NA",SUM(J56,J57)/((J56&lt;&gt;"NA")*$F$56+(J57&lt;&gt;"NA")*$F$57)*$F55)))</f>
        <v>?</v>
      </c>
      <c r="K55" s="10" t="str">
        <f aca="false">IF(OR(K56="ER",K57="ER"),"ER",IF(OR(K56="?",K57="?"),"?",IF(AND(K56="NA",K57="NA"),"NA",SUM(K56,K57)/((K56&lt;&gt;"NA")*$F$56+(K57&lt;&gt;"NA")*$F$57)*$F55)))</f>
        <v>?</v>
      </c>
      <c r="L55" s="10" t="str">
        <f aca="false">IF(OR(L56="ER",L57="ER"),"ER",IF(OR(L56="?",L57="?"),"?",IF(AND(L56="NA",L57="NA"),"NA",SUM(L56,L57)/((L56&lt;&gt;"NA")*$F$56+(L57&lt;&gt;"NA")*$F$57)*$F55)))</f>
        <v>?</v>
      </c>
      <c r="M55" s="10" t="str">
        <f aca="false">IF(OR(M56="ER",M57="ER"),"ER",IF(OR(M56="?",M57="?"),"?",IF(AND(M56="NA",M57="NA"),"NA",SUM(M56,M57)/((M56&lt;&gt;"NA")*$F$56+(M57&lt;&gt;"NA")*$F$57)*$F55)))</f>
        <v>?</v>
      </c>
    </row>
    <row r="56" customFormat="false" ht="15" hidden="false" customHeight="true" outlineLevel="0" collapsed="false">
      <c r="A56" s="8" t="s">
        <v>557</v>
      </c>
      <c r="B56" s="8" t="str">
        <f aca="false">VLOOKUP($A56,'PARASTATAL Questions'!$A:$J,3,0)&amp;""</f>
        <v>State Capacities</v>
      </c>
      <c r="C56" s="8" t="str">
        <f aca="false">VLOOKUP($A56,'PARASTATAL Questions'!$A:$J,4,0)&amp;""</f>
        <v>SQ</v>
      </c>
      <c r="D56" s="8" t="str">
        <f aca="false">VLOOKUP($A56,'PARASTATAL Questions'!$A:$J,5,0)&amp;""</f>
        <v>Does the parastatal have adequate staffing capacity to discharge its mandate?</v>
      </c>
      <c r="E56" s="8" t="str">
        <f aca="false">VLOOKUP($A56,'PARASTATAL Questions'!$A:$J,7,0)&amp;""</f>
        <v>Implementation (Numeric)</v>
      </c>
      <c r="F56" s="8" t="n">
        <f aca="false">VLOOKUP($A56,'PARASTATAL Questions'!$A:$J,6,0)</f>
        <v>5</v>
      </c>
      <c r="G56" s="8" t="n">
        <f aca="true">IF($F56=0,"NA",IF($A56=INDIRECT("'"&amp;$A56&amp;"'!$B$1"),IF(VLOOKUP(G$1,INDIRECT("'"&amp;$A56&amp;"'!$A$12:$Z$19"),MATCH("Points (Auto-generate)",INDIRECT("'"&amp;$A56&amp;"'!$A$12:$Z$12"),0),0)="","?",VLOOKUP(G$1,INDIRECT("'"&amp;$A56&amp;"'!$A$12:$Z$19"),MATCH("Points (Auto-generate)",INDIRECT("'"&amp;$A56&amp;"'!$A$12:$Z$12"),0),0)),"ER"))</f>
        <v>3</v>
      </c>
      <c r="H56" s="8" t="str">
        <f aca="true">IF($F56=0,"NA",IF($A56=INDIRECT("'"&amp;$A56&amp;"'!$B$1"),IF(VLOOKUP(H$1,INDIRECT("'"&amp;$A56&amp;"'!$A$12:$Z$19"),MATCH("Points (Auto-generate)",INDIRECT("'"&amp;$A56&amp;"'!$A$12:$Z$12"),0),0)="","?",VLOOKUP(H$1,INDIRECT("'"&amp;$A56&amp;"'!$A$12:$Z$19"),MATCH("Points (Auto-generate)",INDIRECT("'"&amp;$A56&amp;"'!$A$12:$Z$12"),0),0)),"ER"))</f>
        <v>?</v>
      </c>
      <c r="I56" s="8" t="str">
        <f aca="true">IF($F56=0,"NA",IF($A56=INDIRECT("'"&amp;$A56&amp;"'!$B$1"),IF(VLOOKUP(I$1,INDIRECT("'"&amp;$A56&amp;"'!$A$12:$Z$19"),MATCH("Points (Auto-generate)",INDIRECT("'"&amp;$A56&amp;"'!$A$12:$Z$12"),0),0)="","?",VLOOKUP(I$1,INDIRECT("'"&amp;$A56&amp;"'!$A$12:$Z$19"),MATCH("Points (Auto-generate)",INDIRECT("'"&amp;$A56&amp;"'!$A$12:$Z$12"),0),0)),"ER"))</f>
        <v>?</v>
      </c>
      <c r="J56" s="8" t="str">
        <f aca="true">IF($F56=0,"NA",IF($A56=INDIRECT("'"&amp;$A56&amp;"'!$B$1"),IF(VLOOKUP(J$1,INDIRECT("'"&amp;$A56&amp;"'!$A$12:$Z$19"),MATCH("Points (Auto-generate)",INDIRECT("'"&amp;$A56&amp;"'!$A$12:$Z$12"),0),0)="","?",VLOOKUP(J$1,INDIRECT("'"&amp;$A56&amp;"'!$A$12:$Z$19"),MATCH("Points (Auto-generate)",INDIRECT("'"&amp;$A56&amp;"'!$A$12:$Z$12"),0),0)),"ER"))</f>
        <v>?</v>
      </c>
      <c r="K56" s="8" t="str">
        <f aca="true">IF($F56=0,"NA",IF($A56=INDIRECT("'"&amp;$A56&amp;"'!$B$1"),IF(VLOOKUP(K$1,INDIRECT("'"&amp;$A56&amp;"'!$A$12:$Z$19"),MATCH("Points (Auto-generate)",INDIRECT("'"&amp;$A56&amp;"'!$A$12:$Z$12"),0),0)="","?",VLOOKUP(K$1,INDIRECT("'"&amp;$A56&amp;"'!$A$12:$Z$19"),MATCH("Points (Auto-generate)",INDIRECT("'"&amp;$A56&amp;"'!$A$12:$Z$12"),0),0)),"ER"))</f>
        <v>?</v>
      </c>
      <c r="L56" s="8" t="str">
        <f aca="true">IF($F56=0,"NA",IF($A56=INDIRECT("'"&amp;$A56&amp;"'!$B$1"),IF(VLOOKUP(L$1,INDIRECT("'"&amp;$A56&amp;"'!$A$12:$Z$19"),MATCH("Points (Auto-generate)",INDIRECT("'"&amp;$A56&amp;"'!$A$12:$Z$12"),0),0)="","?",VLOOKUP(L$1,INDIRECT("'"&amp;$A56&amp;"'!$A$12:$Z$19"),MATCH("Points (Auto-generate)",INDIRECT("'"&amp;$A56&amp;"'!$A$12:$Z$12"),0),0)),"ER"))</f>
        <v>?</v>
      </c>
      <c r="M56" s="8" t="str">
        <f aca="true">IF($F56=0,"NA",IF($A56=INDIRECT("'"&amp;$A56&amp;"'!$B$1"),IF(VLOOKUP(M$1,INDIRECT("'"&amp;$A56&amp;"'!$A$12:$Z$19"),MATCH("Points (Auto-generate)",INDIRECT("'"&amp;$A56&amp;"'!$A$12:$Z$12"),0),0)="","?",VLOOKUP(M$1,INDIRECT("'"&amp;$A56&amp;"'!$A$12:$Z$19"),MATCH("Points (Auto-generate)",INDIRECT("'"&amp;$A56&amp;"'!$A$12:$Z$12"),0),0)),"ER"))</f>
        <v>?</v>
      </c>
    </row>
    <row r="57" customFormat="false" ht="15" hidden="false" customHeight="true" outlineLevel="0" collapsed="false">
      <c r="A57" s="8" t="s">
        <v>567</v>
      </c>
      <c r="B57" s="8" t="str">
        <f aca="false">VLOOKUP($A57,'PARASTATAL Questions'!$A:$J,3,0)&amp;""</f>
        <v>State Capacities</v>
      </c>
      <c r="C57" s="8" t="str">
        <f aca="false">VLOOKUP($A57,'PARASTATAL Questions'!$A:$J,4,0)&amp;""</f>
        <v>SQ</v>
      </c>
      <c r="D57" s="8" t="str">
        <f aca="false">VLOOKUP($A57,'PARASTATAL Questions'!$A:$J,5,0)&amp;""</f>
        <v>What proportion of the parastatal's workforce is women?</v>
      </c>
      <c r="E57" s="8" t="str">
        <f aca="false">VLOOKUP($A57,'PARASTATAL Questions'!$A:$J,7,0)&amp;""</f>
        <v>Implementation (Numeric)</v>
      </c>
      <c r="F57" s="8" t="n">
        <f aca="false">VLOOKUP($A57,'PARASTATAL Questions'!$A:$J,6,0)</f>
        <v>5</v>
      </c>
      <c r="G57" s="8" t="str">
        <f aca="true">IF($F57=0,"NA",IF($A57=INDIRECT("'"&amp;$A57&amp;"'!$B$1"),IF(VLOOKUP(G$1,INDIRECT("'"&amp;$A57&amp;"'!$A$12:$Z$19"),MATCH("Points (Auto-generate)",INDIRECT("'"&amp;$A57&amp;"'!$A$12:$Z$12"),0),0)="","?",VLOOKUP(G$1,INDIRECT("'"&amp;$A57&amp;"'!$A$12:$Z$19"),MATCH("Points (Auto-generate)",INDIRECT("'"&amp;$A57&amp;"'!$A$12:$Z$12"),0),0)),"ER"))</f>
        <v>?</v>
      </c>
      <c r="H57" s="8" t="str">
        <f aca="true">IF($F57=0,"NA",IF($A57=INDIRECT("'"&amp;$A57&amp;"'!$B$1"),IF(VLOOKUP(H$1,INDIRECT("'"&amp;$A57&amp;"'!$A$12:$Z$19"),MATCH("Points (Auto-generate)",INDIRECT("'"&amp;$A57&amp;"'!$A$12:$Z$12"),0),0)="","?",VLOOKUP(H$1,INDIRECT("'"&amp;$A57&amp;"'!$A$12:$Z$19"),MATCH("Points (Auto-generate)",INDIRECT("'"&amp;$A57&amp;"'!$A$12:$Z$12"),0),0)),"ER"))</f>
        <v>?</v>
      </c>
      <c r="I57" s="8" t="str">
        <f aca="true">IF($F57=0,"NA",IF($A57=INDIRECT("'"&amp;$A57&amp;"'!$B$1"),IF(VLOOKUP(I$1,INDIRECT("'"&amp;$A57&amp;"'!$A$12:$Z$19"),MATCH("Points (Auto-generate)",INDIRECT("'"&amp;$A57&amp;"'!$A$12:$Z$12"),0),0)="","?",VLOOKUP(I$1,INDIRECT("'"&amp;$A57&amp;"'!$A$12:$Z$19"),MATCH("Points (Auto-generate)",INDIRECT("'"&amp;$A57&amp;"'!$A$12:$Z$12"),0),0)),"ER"))</f>
        <v>?</v>
      </c>
      <c r="J57" s="8" t="str">
        <f aca="true">IF($F57=0,"NA",IF($A57=INDIRECT("'"&amp;$A57&amp;"'!$B$1"),IF(VLOOKUP(J$1,INDIRECT("'"&amp;$A57&amp;"'!$A$12:$Z$19"),MATCH("Points (Auto-generate)",INDIRECT("'"&amp;$A57&amp;"'!$A$12:$Z$12"),0),0)="","?",VLOOKUP(J$1,INDIRECT("'"&amp;$A57&amp;"'!$A$12:$Z$19"),MATCH("Points (Auto-generate)",INDIRECT("'"&amp;$A57&amp;"'!$A$12:$Z$12"),0),0)),"ER"))</f>
        <v>?</v>
      </c>
      <c r="K57" s="8" t="str">
        <f aca="true">IF($F57=0,"NA",IF($A57=INDIRECT("'"&amp;$A57&amp;"'!$B$1"),IF(VLOOKUP(K$1,INDIRECT("'"&amp;$A57&amp;"'!$A$12:$Z$19"),MATCH("Points (Auto-generate)",INDIRECT("'"&amp;$A57&amp;"'!$A$12:$Z$12"),0),0)="","?",VLOOKUP(K$1,INDIRECT("'"&amp;$A57&amp;"'!$A$12:$Z$19"),MATCH("Points (Auto-generate)",INDIRECT("'"&amp;$A57&amp;"'!$A$12:$Z$12"),0),0)),"ER"))</f>
        <v>?</v>
      </c>
      <c r="L57" s="8" t="str">
        <f aca="true">IF($F57=0,"NA",IF($A57=INDIRECT("'"&amp;$A57&amp;"'!$B$1"),IF(VLOOKUP(L$1,INDIRECT("'"&amp;$A57&amp;"'!$A$12:$Z$19"),MATCH("Points (Auto-generate)",INDIRECT("'"&amp;$A57&amp;"'!$A$12:$Z$12"),0),0)="","?",VLOOKUP(L$1,INDIRECT("'"&amp;$A57&amp;"'!$A$12:$Z$19"),MATCH("Points (Auto-generate)",INDIRECT("'"&amp;$A57&amp;"'!$A$12:$Z$12"),0),0)),"ER"))</f>
        <v>?</v>
      </c>
      <c r="M57" s="8" t="str">
        <f aca="true">IF($F57=0,"NA",IF($A57=INDIRECT("'"&amp;$A57&amp;"'!$B$1"),IF(VLOOKUP(M$1,INDIRECT("'"&amp;$A57&amp;"'!$A$12:$Z$19"),MATCH("Points (Auto-generate)",INDIRECT("'"&amp;$A57&amp;"'!$A$12:$Z$12"),0),0)="","?",VLOOKUP(M$1,INDIRECT("'"&amp;$A57&amp;"'!$A$12:$Z$19"),MATCH("Points (Auto-generate)",INDIRECT("'"&amp;$A57&amp;"'!$A$12:$Z$12"),0),0)),"ER"))</f>
        <v>?</v>
      </c>
    </row>
    <row r="59" customFormat="false" ht="15" hidden="false" customHeight="true" outlineLevel="0" collapsed="false">
      <c r="D59" s="10" t="s">
        <v>608</v>
      </c>
      <c r="G59" s="10" t="s">
        <v>19</v>
      </c>
      <c r="H59" s="10" t="s">
        <v>28</v>
      </c>
      <c r="I59" s="10" t="s">
        <v>34</v>
      </c>
      <c r="J59" s="10" t="s">
        <v>40</v>
      </c>
      <c r="K59" s="10" t="s">
        <v>45</v>
      </c>
      <c r="L59" s="10" t="s">
        <v>51</v>
      </c>
      <c r="M59" s="10" t="s">
        <v>54</v>
      </c>
    </row>
    <row r="60" customFormat="false" ht="15" hidden="false" customHeight="true" outlineLevel="0" collapsed="false">
      <c r="D60" s="10" t="s">
        <v>609</v>
      </c>
      <c r="G60" s="8" t="n">
        <f aca="false">IFERROR(SUMIFS(G$3:G$57,$C$3:$C$57,"MQ")/(COUNTIFS($C$3:$C$57,"MQ")-COUNTIFS($C$3:$C$57,"MQ",G$3:G$57,"NA")),"NA")</f>
        <v>1.98529411764706</v>
      </c>
      <c r="H60" s="8" t="n">
        <f aca="false">IFERROR(SUMIFS(H$3:H$57,$C$3:$C$57,"MQ")/(COUNTIFS($C$3:$C$57,"MQ")-COUNTIFS($C$3:$C$57,"MQ",H$3:H$57,"NA")),"NA")</f>
        <v>0.808823529411765</v>
      </c>
      <c r="I60" s="8" t="n">
        <f aca="false">IFERROR(SUMIFS(I$3:I$57,$C$3:$C$57,"MQ")/(COUNTIFS($C$3:$C$57,"MQ")-COUNTIFS($C$3:$C$57,"MQ",I$3:I$57,"NA")),"NA")</f>
        <v>0.576923076923077</v>
      </c>
      <c r="J60" s="8" t="n">
        <f aca="false">IFERROR(SUMIFS(J$3:J$57,$C$3:$C$57,"MQ")/(COUNTIFS($C$3:$C$57,"MQ")-COUNTIFS($C$3:$C$57,"MQ",J$3:J$57,"NA")),"NA")</f>
        <v>0.961538461538462</v>
      </c>
      <c r="K60" s="8" t="n">
        <f aca="false">IFERROR(SUMIFS(K$3:K$57,$C$3:$C$57,"MQ")/(COUNTIFS($C$3:$C$57,"MQ")-COUNTIFS($C$3:$C$57,"MQ",K$3:K$57,"NA")),"NA")</f>
        <v>1.36363636363636</v>
      </c>
      <c r="L60" s="8" t="n">
        <f aca="false">IFERROR(SUMIFS(L$3:L$57,$C$3:$C$57,"MQ")/(COUNTIFS($C$3:$C$57,"MQ")-COUNTIFS($C$3:$C$57,"MQ",L$3:L$57,"NA")),"NA")</f>
        <v>0</v>
      </c>
      <c r="M60" s="8" t="n">
        <f aca="false">IFERROR(SUMIFS(M$3:M$57,$C$3:$C$57,"MQ")/(COUNTIFS($C$3:$C$57,"MQ")-COUNTIFS($C$3:$C$57,"MQ",M$3:M$57,"NA")),"NA")</f>
        <v>0.769230769230769</v>
      </c>
    </row>
    <row r="61" customFormat="false" ht="15" hidden="false" customHeight="true" outlineLevel="0" collapsed="false">
      <c r="D61" s="10" t="s">
        <v>610</v>
      </c>
      <c r="G61" s="8" t="n">
        <f aca="false">COUNTIFS($C$3:$C$57,"MQ",G$3:G$57,"?")</f>
        <v>12</v>
      </c>
      <c r="H61" s="8" t="n">
        <f aca="false">COUNTIFS($C$3:$C$57,"MQ",H$3:H$57,"?")</f>
        <v>15</v>
      </c>
      <c r="I61" s="8" t="n">
        <f aca="false">COUNTIFS($C$3:$C$57,"MQ",I$3:I$57,"?")</f>
        <v>12</v>
      </c>
      <c r="J61" s="8" t="n">
        <f aca="false">COUNTIFS($C$3:$C$57,"MQ",J$3:J$57,"?")</f>
        <v>12</v>
      </c>
      <c r="K61" s="8" t="n">
        <f aca="false">COUNTIFS($C$3:$C$57,"MQ",K$3:K$57,"?")</f>
        <v>10</v>
      </c>
      <c r="L61" s="8" t="n">
        <f aca="false">COUNTIFS($C$3:$C$57,"MQ",L$3:L$57,"?")</f>
        <v>11</v>
      </c>
      <c r="M61" s="8" t="n">
        <f aca="false">COUNTIFS($C$3:$C$57,"MQ",M$3:M$57,"?")</f>
        <v>12</v>
      </c>
    </row>
    <row r="62" customFormat="false" ht="15" hidden="false" customHeight="true" outlineLevel="0" collapsed="false">
      <c r="D62" s="10" t="s">
        <v>611</v>
      </c>
      <c r="G62" s="8" t="n">
        <f aca="false">COUNTIFS($C$3:$C$57,"MQ",G$3:G$57,"NA")</f>
        <v>2</v>
      </c>
      <c r="H62" s="8" t="n">
        <f aca="false">COUNTIFS($C$3:$C$57,"MQ",H$3:H$57,"NA")</f>
        <v>2</v>
      </c>
      <c r="I62" s="8" t="n">
        <f aca="false">COUNTIFS($C$3:$C$57,"MQ",I$3:I$57,"NA")</f>
        <v>6</v>
      </c>
      <c r="J62" s="8" t="n">
        <f aca="false">COUNTIFS($C$3:$C$57,"MQ",J$3:J$57,"NA")</f>
        <v>6</v>
      </c>
      <c r="K62" s="8" t="n">
        <f aca="false">COUNTIFS($C$3:$C$57,"MQ",K$3:K$57,"NA")</f>
        <v>8</v>
      </c>
      <c r="L62" s="8" t="n">
        <f aca="false">COUNTIFS($C$3:$C$57,"MQ",L$3:L$57,"NA")</f>
        <v>8</v>
      </c>
      <c r="M62" s="8" t="n">
        <f aca="false">COUNTIFS($C$3:$C$57,"MQ",M$3:M$57,"NA")</f>
        <v>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8" width="22"/>
    <col collapsed="false" customWidth="true" hidden="false" outlineLevel="0" max="2" min="2" style="8" width="50"/>
    <col collapsed="false" customWidth="true" hidden="false" outlineLevel="0" max="3" min="3" style="8" width="16"/>
    <col collapsed="false" customWidth="true" hidden="false" outlineLevel="0" max="4" min="4" style="8" width="20"/>
  </cols>
  <sheetData>
    <row r="1" customFormat="false" ht="26.25" hidden="false" customHeight="true" outlineLevel="0" collapsed="false">
      <c r="A1" s="1" t="s">
        <v>612</v>
      </c>
      <c r="B1" s="1" t="s">
        <v>613</v>
      </c>
      <c r="C1" s="1" t="s">
        <v>614</v>
      </c>
      <c r="D1" s="1" t="s">
        <v>615</v>
      </c>
    </row>
    <row r="2" customFormat="false" ht="15" hidden="false" customHeight="true" outlineLevel="0" collapsed="false">
      <c r="A2" s="8" t="s">
        <v>616</v>
      </c>
      <c r="B2" s="8" t="s">
        <v>617</v>
      </c>
      <c r="C2" s="8" t="n">
        <f aca="false">IFERROR(AVERAGEIFS(PARASTATAL_SUMMARY_RAW!$G$60:$M$60,PARASTATAL_SUMMARY_RAW!$G$59:$M$59,$A2&amp;" – *"),"NA")</f>
        <v>1.13924310983135</v>
      </c>
      <c r="D2" s="8" t="n">
        <f aca="false">COUNTIFS(PARASTATAL_SUMMARY_RAW!$G$59:$M$59,$A2&amp;" – *",PARASTATAL_SUMMARY_RAW!$G$60:$M$60,"&gt;=0")</f>
        <v>5</v>
      </c>
    </row>
    <row r="3" customFormat="false" ht="15" hidden="false" customHeight="true" outlineLevel="0" collapsed="false">
      <c r="A3" s="8" t="s">
        <v>618</v>
      </c>
      <c r="B3" s="8" t="s">
        <v>619</v>
      </c>
      <c r="C3" s="8" t="n">
        <f aca="false">IFERROR(AVERAGEIFS(PARASTATAL_SUMMARY_RAW!$G$60:$M$60,PARASTATAL_SUMMARY_RAW!$G$59:$M$59,$A3&amp;" – *"),"NA")</f>
        <v>0.384615384615385</v>
      </c>
      <c r="D3" s="8" t="n">
        <f aca="false">COUNTIFS(PARASTATAL_SUMMARY_RAW!$G$59:$M$59,$A3&amp;" – *",PARASTATAL_SUMMARY_RAW!$G$60:$M$60,"&gt;=0")</f>
        <v>2</v>
      </c>
    </row>
    <row r="5" customFormat="false" ht="15" hidden="false" customHeight="true" outlineLevel="0" collapsed="false">
      <c r="A5" s="11" t="s">
        <v>620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1" style="8" width="10"/>
    <col collapsed="false" customWidth="true" hidden="false" outlineLevel="0" max="3" min="3" style="8" width="30"/>
    <col collapsed="false" customWidth="true" hidden="false" outlineLevel="0" max="5" min="5" style="8" width="60"/>
    <col collapsed="false" customWidth="true" hidden="false" outlineLevel="0" max="8" min="8" style="8" width="30"/>
    <col collapsed="false" customWidth="true" hidden="false" outlineLevel="0" max="9" min="9" style="8" width="80"/>
    <col collapsed="false" customWidth="true" hidden="false" outlineLevel="0" max="10" min="10" style="8" width="50"/>
  </cols>
  <sheetData>
    <row r="1" customFormat="false" ht="26.25" hidden="false" customHeight="true" outlineLevel="0" collapsed="false">
      <c r="A1" s="1" t="s">
        <v>621</v>
      </c>
      <c r="B1" s="1" t="s">
        <v>622</v>
      </c>
      <c r="C1" s="1" t="s">
        <v>589</v>
      </c>
      <c r="D1" s="1" t="s">
        <v>590</v>
      </c>
      <c r="E1" s="1" t="s">
        <v>0</v>
      </c>
      <c r="F1" s="1" t="s">
        <v>592</v>
      </c>
      <c r="G1" s="1" t="s">
        <v>591</v>
      </c>
      <c r="H1" s="1" t="s">
        <v>623</v>
      </c>
      <c r="I1" s="1" t="s">
        <v>624</v>
      </c>
      <c r="J1" s="1" t="s">
        <v>625</v>
      </c>
    </row>
    <row r="2" customFormat="false" ht="15" hidden="false" customHeight="true" outlineLevel="0" collapsed="false">
      <c r="A2" s="8" t="s">
        <v>595</v>
      </c>
      <c r="B2" s="8" t="s">
        <v>626</v>
      </c>
      <c r="C2" s="8" t="s">
        <v>627</v>
      </c>
      <c r="D2" s="8" t="s">
        <v>628</v>
      </c>
      <c r="E2" s="8" t="s">
        <v>629</v>
      </c>
      <c r="F2" s="8" t="n">
        <v>10</v>
      </c>
      <c r="H2" s="8" t="s">
        <v>630</v>
      </c>
      <c r="I2" s="8" t="s">
        <v>631</v>
      </c>
      <c r="J2" s="8" t="s">
        <v>632</v>
      </c>
    </row>
    <row r="3" customFormat="false" ht="79.5" hidden="false" customHeight="true" outlineLevel="0" collapsed="false">
      <c r="A3" s="8" t="s">
        <v>18</v>
      </c>
      <c r="B3" s="8" t="s">
        <v>633</v>
      </c>
      <c r="C3" s="8" t="s">
        <v>627</v>
      </c>
      <c r="D3" s="8" t="s">
        <v>634</v>
      </c>
      <c r="E3" s="8" t="s">
        <v>635</v>
      </c>
      <c r="F3" s="8" t="n">
        <v>5</v>
      </c>
      <c r="G3" s="8" t="s">
        <v>636</v>
      </c>
      <c r="H3" s="8" t="s">
        <v>630</v>
      </c>
      <c r="I3" s="12" t="s">
        <v>637</v>
      </c>
      <c r="J3" s="8" t="s">
        <v>638</v>
      </c>
    </row>
    <row r="4" customFormat="false" ht="90.75" hidden="false" customHeight="true" outlineLevel="0" collapsed="false">
      <c r="A4" s="8" t="s">
        <v>56</v>
      </c>
      <c r="B4" s="8" t="s">
        <v>639</v>
      </c>
      <c r="C4" s="8" t="s">
        <v>627</v>
      </c>
      <c r="D4" s="8" t="s">
        <v>634</v>
      </c>
      <c r="E4" s="8" t="s">
        <v>640</v>
      </c>
      <c r="F4" s="8" t="n">
        <v>5</v>
      </c>
      <c r="G4" s="8" t="s">
        <v>641</v>
      </c>
      <c r="H4" s="8" t="s">
        <v>630</v>
      </c>
      <c r="I4" s="12" t="s">
        <v>642</v>
      </c>
      <c r="J4" s="8" t="s">
        <v>643</v>
      </c>
    </row>
    <row r="5" customFormat="false" ht="15" hidden="false" customHeight="true" outlineLevel="0" collapsed="false">
      <c r="A5" s="8" t="s">
        <v>596</v>
      </c>
      <c r="B5" s="8" t="s">
        <v>644</v>
      </c>
      <c r="C5" s="8" t="s">
        <v>627</v>
      </c>
      <c r="D5" s="8" t="s">
        <v>628</v>
      </c>
      <c r="E5" s="8" t="s">
        <v>645</v>
      </c>
      <c r="F5" s="8" t="n">
        <v>10</v>
      </c>
      <c r="H5" s="8" t="s">
        <v>646</v>
      </c>
      <c r="I5" s="8" t="s">
        <v>647</v>
      </c>
      <c r="J5" s="8" t="s">
        <v>632</v>
      </c>
    </row>
    <row r="6" customFormat="false" ht="102" hidden="false" customHeight="true" outlineLevel="0" collapsed="false">
      <c r="A6" s="8" t="s">
        <v>73</v>
      </c>
      <c r="B6" s="8" t="s">
        <v>648</v>
      </c>
      <c r="C6" s="8" t="s">
        <v>627</v>
      </c>
      <c r="D6" s="8" t="s">
        <v>634</v>
      </c>
      <c r="E6" s="8" t="s">
        <v>649</v>
      </c>
      <c r="F6" s="8" t="n">
        <v>2.5</v>
      </c>
      <c r="G6" s="8" t="s">
        <v>636</v>
      </c>
      <c r="H6" s="8" t="s">
        <v>650</v>
      </c>
      <c r="I6" s="12" t="s">
        <v>651</v>
      </c>
      <c r="J6" s="8" t="s">
        <v>638</v>
      </c>
    </row>
    <row r="7" customFormat="false" ht="113.25" hidden="false" customHeight="true" outlineLevel="0" collapsed="false">
      <c r="A7" s="8" t="s">
        <v>78</v>
      </c>
      <c r="B7" s="8" t="s">
        <v>652</v>
      </c>
      <c r="C7" s="8" t="s">
        <v>627</v>
      </c>
      <c r="D7" s="8" t="s">
        <v>634</v>
      </c>
      <c r="E7" s="8" t="s">
        <v>653</v>
      </c>
      <c r="F7" s="8" t="n">
        <v>2.5</v>
      </c>
      <c r="G7" s="8" t="s">
        <v>641</v>
      </c>
      <c r="H7" s="8" t="s">
        <v>650</v>
      </c>
      <c r="I7" s="12" t="s">
        <v>654</v>
      </c>
      <c r="J7" s="8" t="s">
        <v>655</v>
      </c>
    </row>
    <row r="8" customFormat="false" ht="102" hidden="false" customHeight="true" outlineLevel="0" collapsed="false">
      <c r="A8" s="8" t="s">
        <v>80</v>
      </c>
      <c r="B8" s="8" t="s">
        <v>656</v>
      </c>
      <c r="C8" s="8" t="s">
        <v>627</v>
      </c>
      <c r="D8" s="8" t="s">
        <v>634</v>
      </c>
      <c r="E8" s="8" t="s">
        <v>657</v>
      </c>
      <c r="F8" s="8" t="n">
        <v>2.5</v>
      </c>
      <c r="G8" s="8" t="s">
        <v>636</v>
      </c>
      <c r="H8" s="8" t="s">
        <v>658</v>
      </c>
      <c r="I8" s="12" t="s">
        <v>659</v>
      </c>
      <c r="J8" s="8" t="s">
        <v>638</v>
      </c>
    </row>
    <row r="9" customFormat="false" ht="102" hidden="false" customHeight="true" outlineLevel="0" collapsed="false">
      <c r="A9" s="8" t="s">
        <v>86</v>
      </c>
      <c r="B9" s="8" t="s">
        <v>660</v>
      </c>
      <c r="C9" s="8" t="s">
        <v>627</v>
      </c>
      <c r="D9" s="8" t="s">
        <v>634</v>
      </c>
      <c r="E9" s="8" t="s">
        <v>661</v>
      </c>
      <c r="F9" s="8" t="n">
        <v>2.5</v>
      </c>
      <c r="G9" s="8" t="s">
        <v>641</v>
      </c>
      <c r="H9" s="8" t="s">
        <v>658</v>
      </c>
      <c r="I9" s="12" t="s">
        <v>662</v>
      </c>
      <c r="J9" s="8" t="s">
        <v>663</v>
      </c>
    </row>
    <row r="10" customFormat="false" ht="15" hidden="false" customHeight="true" outlineLevel="0" collapsed="false">
      <c r="A10" s="8" t="s">
        <v>597</v>
      </c>
      <c r="B10" s="8" t="s">
        <v>664</v>
      </c>
      <c r="C10" s="8" t="s">
        <v>627</v>
      </c>
      <c r="D10" s="8" t="s">
        <v>628</v>
      </c>
      <c r="E10" s="8" t="s">
        <v>665</v>
      </c>
      <c r="F10" s="8" t="n">
        <v>10</v>
      </c>
      <c r="G10" s="8" t="s">
        <v>636</v>
      </c>
      <c r="H10" s="8" t="s">
        <v>650</v>
      </c>
      <c r="I10" s="8" t="s">
        <v>666</v>
      </c>
      <c r="J10" s="8" t="s">
        <v>667</v>
      </c>
    </row>
    <row r="11" customFormat="false" ht="57" hidden="false" customHeight="true" outlineLevel="0" collapsed="false">
      <c r="A11" s="8" t="s">
        <v>88</v>
      </c>
      <c r="B11" s="8" t="s">
        <v>668</v>
      </c>
      <c r="C11" s="8" t="s">
        <v>627</v>
      </c>
      <c r="D11" s="8" t="s">
        <v>634</v>
      </c>
      <c r="E11" s="8" t="s">
        <v>669</v>
      </c>
      <c r="F11" s="8" t="n">
        <v>5</v>
      </c>
      <c r="G11" s="8" t="s">
        <v>636</v>
      </c>
      <c r="H11" s="8" t="s">
        <v>650</v>
      </c>
      <c r="I11" s="12" t="s">
        <v>670</v>
      </c>
      <c r="J11" s="8" t="s">
        <v>671</v>
      </c>
    </row>
    <row r="12" customFormat="false" ht="314.25" hidden="false" customHeight="true" outlineLevel="0" collapsed="false">
      <c r="A12" s="8" t="s">
        <v>92</v>
      </c>
      <c r="B12" s="8" t="s">
        <v>672</v>
      </c>
      <c r="C12" s="8" t="s">
        <v>627</v>
      </c>
      <c r="D12" s="8" t="s">
        <v>634</v>
      </c>
      <c r="E12" s="8" t="s">
        <v>673</v>
      </c>
      <c r="F12" s="8" t="n">
        <v>5</v>
      </c>
      <c r="G12" s="8" t="s">
        <v>641</v>
      </c>
      <c r="H12" s="8" t="s">
        <v>650</v>
      </c>
      <c r="I12" s="12" t="s">
        <v>674</v>
      </c>
      <c r="J12" s="8" t="s">
        <v>675</v>
      </c>
    </row>
    <row r="13" customFormat="false" ht="15" hidden="false" customHeight="true" outlineLevel="0" collapsed="false">
      <c r="A13" s="8" t="s">
        <v>598</v>
      </c>
      <c r="B13" s="8" t="s">
        <v>676</v>
      </c>
      <c r="C13" s="8" t="s">
        <v>627</v>
      </c>
      <c r="D13" s="8" t="s">
        <v>628</v>
      </c>
      <c r="E13" s="8" t="s">
        <v>677</v>
      </c>
      <c r="F13" s="8" t="n">
        <v>10</v>
      </c>
      <c r="H13" s="8" t="s">
        <v>658</v>
      </c>
      <c r="I13" s="8" t="s">
        <v>647</v>
      </c>
      <c r="J13" s="8" t="s">
        <v>632</v>
      </c>
    </row>
    <row r="14" customFormat="false" ht="57" hidden="false" customHeight="true" outlineLevel="0" collapsed="false">
      <c r="A14" s="8" t="s">
        <v>98</v>
      </c>
      <c r="B14" s="8" t="s">
        <v>678</v>
      </c>
      <c r="C14" s="8" t="s">
        <v>627</v>
      </c>
      <c r="D14" s="8" t="s">
        <v>634</v>
      </c>
      <c r="E14" s="8" t="s">
        <v>679</v>
      </c>
      <c r="F14" s="8" t="n">
        <v>5</v>
      </c>
      <c r="G14" s="8" t="s">
        <v>636</v>
      </c>
      <c r="H14" s="8" t="s">
        <v>658</v>
      </c>
      <c r="I14" s="12" t="s">
        <v>680</v>
      </c>
      <c r="J14" s="8" t="s">
        <v>681</v>
      </c>
    </row>
    <row r="15" customFormat="false" ht="102" hidden="false" customHeight="true" outlineLevel="0" collapsed="false">
      <c r="A15" s="8" t="s">
        <v>102</v>
      </c>
      <c r="B15" s="8" t="s">
        <v>682</v>
      </c>
      <c r="C15" s="8" t="s">
        <v>627</v>
      </c>
      <c r="D15" s="8" t="s">
        <v>634</v>
      </c>
      <c r="E15" s="8" t="s">
        <v>683</v>
      </c>
      <c r="F15" s="8" t="n">
        <v>5</v>
      </c>
      <c r="G15" s="8" t="s">
        <v>641</v>
      </c>
      <c r="H15" s="8" t="s">
        <v>658</v>
      </c>
      <c r="I15" s="12" t="s">
        <v>684</v>
      </c>
      <c r="J15" s="8" t="s">
        <v>685</v>
      </c>
    </row>
    <row r="16" customFormat="false" ht="15" hidden="false" customHeight="true" outlineLevel="0" collapsed="false">
      <c r="A16" s="8" t="s">
        <v>599</v>
      </c>
      <c r="B16" s="8" t="s">
        <v>686</v>
      </c>
      <c r="C16" s="8" t="s">
        <v>627</v>
      </c>
      <c r="D16" s="8" t="s">
        <v>628</v>
      </c>
      <c r="E16" s="8" t="s">
        <v>687</v>
      </c>
      <c r="F16" s="8" t="n">
        <v>10</v>
      </c>
      <c r="G16" s="8" t="s">
        <v>636</v>
      </c>
      <c r="H16" s="8" t="s">
        <v>650</v>
      </c>
      <c r="I16" s="8" t="s">
        <v>688</v>
      </c>
      <c r="J16" s="8" t="s">
        <v>689</v>
      </c>
    </row>
    <row r="17" customFormat="false" ht="79.5" hidden="false" customHeight="true" outlineLevel="0" collapsed="false">
      <c r="A17" s="8" t="s">
        <v>108</v>
      </c>
      <c r="B17" s="8" t="s">
        <v>690</v>
      </c>
      <c r="C17" s="8" t="s">
        <v>627</v>
      </c>
      <c r="D17" s="8" t="s">
        <v>634</v>
      </c>
      <c r="E17" s="8" t="s">
        <v>691</v>
      </c>
      <c r="F17" s="8" t="n">
        <v>5</v>
      </c>
      <c r="G17" s="8" t="s">
        <v>636</v>
      </c>
      <c r="H17" s="8" t="s">
        <v>650</v>
      </c>
      <c r="I17" s="12" t="s">
        <v>692</v>
      </c>
      <c r="J17" s="8" t="s">
        <v>693</v>
      </c>
    </row>
    <row r="18" customFormat="false" ht="325.5" hidden="false" customHeight="true" outlineLevel="0" collapsed="false">
      <c r="A18" s="8" t="s">
        <v>112</v>
      </c>
      <c r="B18" s="8" t="s">
        <v>694</v>
      </c>
      <c r="C18" s="8" t="s">
        <v>627</v>
      </c>
      <c r="D18" s="8" t="s">
        <v>634</v>
      </c>
      <c r="E18" s="8" t="s">
        <v>695</v>
      </c>
      <c r="F18" s="8" t="n">
        <v>5</v>
      </c>
      <c r="G18" s="8" t="s">
        <v>641</v>
      </c>
      <c r="H18" s="8" t="s">
        <v>650</v>
      </c>
      <c r="I18" s="12" t="s">
        <v>696</v>
      </c>
      <c r="J18" s="8" t="s">
        <v>697</v>
      </c>
    </row>
    <row r="19" customFormat="false" ht="15" hidden="false" customHeight="true" outlineLevel="0" collapsed="false">
      <c r="A19" s="8" t="s">
        <v>600</v>
      </c>
      <c r="B19" s="8" t="s">
        <v>698</v>
      </c>
      <c r="C19" s="8" t="s">
        <v>627</v>
      </c>
      <c r="D19" s="8" t="s">
        <v>628</v>
      </c>
      <c r="E19" s="8" t="s">
        <v>699</v>
      </c>
      <c r="F19" s="8" t="n">
        <v>10</v>
      </c>
      <c r="H19" s="8" t="s">
        <v>658</v>
      </c>
      <c r="I19" s="8" t="s">
        <v>647</v>
      </c>
      <c r="J19" s="8" t="s">
        <v>632</v>
      </c>
    </row>
    <row r="20" customFormat="false" ht="57" hidden="false" customHeight="true" outlineLevel="0" collapsed="false">
      <c r="A20" s="8" t="s">
        <v>118</v>
      </c>
      <c r="B20" s="8" t="s">
        <v>700</v>
      </c>
      <c r="C20" s="8" t="s">
        <v>627</v>
      </c>
      <c r="D20" s="8" t="s">
        <v>634</v>
      </c>
      <c r="E20" s="8" t="s">
        <v>701</v>
      </c>
      <c r="F20" s="8" t="n">
        <v>5</v>
      </c>
      <c r="G20" s="8" t="s">
        <v>636</v>
      </c>
      <c r="H20" s="8" t="s">
        <v>658</v>
      </c>
      <c r="I20" s="12" t="s">
        <v>702</v>
      </c>
      <c r="J20" s="8" t="s">
        <v>703</v>
      </c>
    </row>
    <row r="21" customFormat="false" ht="102" hidden="false" customHeight="true" outlineLevel="0" collapsed="false">
      <c r="A21" s="8" t="s">
        <v>122</v>
      </c>
      <c r="B21" s="8" t="s">
        <v>704</v>
      </c>
      <c r="C21" s="8" t="s">
        <v>627</v>
      </c>
      <c r="D21" s="8" t="s">
        <v>634</v>
      </c>
      <c r="E21" s="8" t="s">
        <v>705</v>
      </c>
      <c r="F21" s="8" t="n">
        <v>5</v>
      </c>
      <c r="G21" s="8" t="s">
        <v>641</v>
      </c>
      <c r="H21" s="8" t="s">
        <v>658</v>
      </c>
      <c r="I21" s="12" t="s">
        <v>706</v>
      </c>
      <c r="J21" s="8" t="s">
        <v>707</v>
      </c>
    </row>
    <row r="22" customFormat="false" ht="15" hidden="false" customHeight="true" outlineLevel="0" collapsed="false">
      <c r="A22" s="8" t="s">
        <v>601</v>
      </c>
      <c r="B22" s="8" t="s">
        <v>708</v>
      </c>
      <c r="C22" s="8" t="s">
        <v>709</v>
      </c>
      <c r="D22" s="8" t="s">
        <v>628</v>
      </c>
      <c r="E22" s="8" t="s">
        <v>710</v>
      </c>
      <c r="F22" s="8" t="n">
        <v>10</v>
      </c>
      <c r="G22" s="8" t="s">
        <v>711</v>
      </c>
      <c r="H22" s="8" t="s">
        <v>630</v>
      </c>
      <c r="I22" s="8" t="s">
        <v>647</v>
      </c>
      <c r="J22" s="8" t="s">
        <v>712</v>
      </c>
    </row>
    <row r="23" customFormat="false" ht="247.5" hidden="false" customHeight="true" outlineLevel="0" collapsed="false">
      <c r="A23" s="8" t="s">
        <v>126</v>
      </c>
      <c r="B23" s="8" t="s">
        <v>713</v>
      </c>
      <c r="C23" s="8" t="s">
        <v>709</v>
      </c>
      <c r="D23" s="8" t="s">
        <v>634</v>
      </c>
      <c r="E23" s="8" t="s">
        <v>714</v>
      </c>
      <c r="F23" s="8" t="n">
        <v>5</v>
      </c>
      <c r="G23" s="8" t="s">
        <v>711</v>
      </c>
      <c r="H23" s="8" t="s">
        <v>630</v>
      </c>
      <c r="I23" s="12" t="s">
        <v>715</v>
      </c>
      <c r="J23" s="8" t="s">
        <v>716</v>
      </c>
    </row>
    <row r="24" customFormat="false" ht="57" hidden="false" customHeight="true" outlineLevel="0" collapsed="false">
      <c r="A24" s="8" t="s">
        <v>153</v>
      </c>
      <c r="B24" s="8" t="s">
        <v>717</v>
      </c>
      <c r="C24" s="8" t="s">
        <v>709</v>
      </c>
      <c r="D24" s="8" t="s">
        <v>634</v>
      </c>
      <c r="E24" s="8" t="s">
        <v>718</v>
      </c>
      <c r="F24" s="8" t="n">
        <v>5</v>
      </c>
      <c r="G24" s="8" t="s">
        <v>711</v>
      </c>
      <c r="H24" s="8" t="s">
        <v>630</v>
      </c>
      <c r="I24" s="12" t="s">
        <v>719</v>
      </c>
      <c r="J24" s="8" t="s">
        <v>720</v>
      </c>
    </row>
    <row r="25" customFormat="false" ht="15" hidden="false" customHeight="true" outlineLevel="0" collapsed="false">
      <c r="A25" s="8" t="s">
        <v>602</v>
      </c>
      <c r="B25" s="8" t="s">
        <v>721</v>
      </c>
      <c r="C25" s="8" t="s">
        <v>709</v>
      </c>
      <c r="D25" s="8" t="s">
        <v>628</v>
      </c>
      <c r="E25" s="8" t="s">
        <v>722</v>
      </c>
      <c r="F25" s="8" t="n">
        <v>10</v>
      </c>
      <c r="G25" s="8" t="s">
        <v>711</v>
      </c>
      <c r="H25" s="8" t="s">
        <v>630</v>
      </c>
      <c r="I25" s="8" t="s">
        <v>647</v>
      </c>
      <c r="J25" s="8" t="s">
        <v>632</v>
      </c>
    </row>
    <row r="26" customFormat="false" ht="57" hidden="false" customHeight="true" outlineLevel="0" collapsed="false">
      <c r="A26" s="8" t="s">
        <v>177</v>
      </c>
      <c r="B26" s="8" t="s">
        <v>723</v>
      </c>
      <c r="C26" s="8" t="s">
        <v>709</v>
      </c>
      <c r="D26" s="8" t="s">
        <v>634</v>
      </c>
      <c r="E26" s="8" t="s">
        <v>724</v>
      </c>
      <c r="F26" s="8" t="n">
        <v>5</v>
      </c>
      <c r="G26" s="8" t="s">
        <v>711</v>
      </c>
      <c r="H26" s="8" t="s">
        <v>630</v>
      </c>
      <c r="I26" s="12" t="s">
        <v>725</v>
      </c>
      <c r="J26" s="8" t="s">
        <v>726</v>
      </c>
    </row>
    <row r="27" customFormat="false" ht="124.5" hidden="false" customHeight="true" outlineLevel="0" collapsed="false">
      <c r="A27" s="8" t="s">
        <v>203</v>
      </c>
      <c r="B27" s="8" t="s">
        <v>727</v>
      </c>
      <c r="C27" s="8" t="s">
        <v>709</v>
      </c>
      <c r="D27" s="8" t="s">
        <v>634</v>
      </c>
      <c r="E27" s="8" t="s">
        <v>728</v>
      </c>
      <c r="F27" s="8" t="n">
        <v>5</v>
      </c>
      <c r="G27" s="8" t="s">
        <v>636</v>
      </c>
      <c r="H27" s="8" t="s">
        <v>630</v>
      </c>
      <c r="I27" s="12" t="s">
        <v>729</v>
      </c>
      <c r="J27" s="8" t="s">
        <v>730</v>
      </c>
    </row>
    <row r="28" customFormat="false" ht="57" hidden="false" customHeight="true" outlineLevel="0" collapsed="false">
      <c r="A28" s="8" t="s">
        <v>223</v>
      </c>
      <c r="B28" s="8" t="s">
        <v>731</v>
      </c>
      <c r="C28" s="8" t="s">
        <v>709</v>
      </c>
      <c r="D28" s="8" t="s">
        <v>628</v>
      </c>
      <c r="E28" s="8" t="s">
        <v>732</v>
      </c>
      <c r="F28" s="8" t="n">
        <v>10</v>
      </c>
      <c r="G28" s="8" t="s">
        <v>641</v>
      </c>
      <c r="H28" s="8" t="s">
        <v>733</v>
      </c>
      <c r="I28" s="12" t="s">
        <v>734</v>
      </c>
      <c r="J28" s="8" t="s">
        <v>735</v>
      </c>
    </row>
    <row r="29" customFormat="false" ht="90.75" hidden="false" customHeight="true" outlineLevel="0" collapsed="false">
      <c r="A29" s="8" t="s">
        <v>603</v>
      </c>
      <c r="B29" s="8" t="s">
        <v>736</v>
      </c>
      <c r="C29" s="8" t="s">
        <v>709</v>
      </c>
      <c r="D29" s="8" t="s">
        <v>628</v>
      </c>
      <c r="E29" s="8" t="s">
        <v>737</v>
      </c>
      <c r="F29" s="8" t="n">
        <v>10</v>
      </c>
      <c r="G29" s="8" t="s">
        <v>641</v>
      </c>
      <c r="H29" s="8" t="s">
        <v>733</v>
      </c>
      <c r="I29" s="12" t="s">
        <v>738</v>
      </c>
      <c r="J29" s="8" t="s">
        <v>739</v>
      </c>
    </row>
    <row r="30" customFormat="false" ht="90.75" hidden="false" customHeight="true" outlineLevel="0" collapsed="false">
      <c r="A30" s="8" t="s">
        <v>253</v>
      </c>
      <c r="B30" s="8" t="s">
        <v>253</v>
      </c>
      <c r="C30" s="8" t="s">
        <v>709</v>
      </c>
      <c r="D30" s="8" t="s">
        <v>634</v>
      </c>
      <c r="E30" s="8" t="s">
        <v>740</v>
      </c>
      <c r="F30" s="8" t="n">
        <v>1</v>
      </c>
      <c r="G30" s="8" t="s">
        <v>641</v>
      </c>
      <c r="H30" s="8" t="s">
        <v>733</v>
      </c>
      <c r="I30" s="12" t="s">
        <v>741</v>
      </c>
      <c r="J30" s="8" t="s">
        <v>739</v>
      </c>
    </row>
    <row r="31" customFormat="false" ht="90.75" hidden="false" customHeight="true" outlineLevel="0" collapsed="false">
      <c r="A31" s="8" t="s">
        <v>261</v>
      </c>
      <c r="B31" s="8" t="s">
        <v>742</v>
      </c>
      <c r="C31" s="8" t="s">
        <v>709</v>
      </c>
      <c r="D31" s="8" t="s">
        <v>634</v>
      </c>
      <c r="E31" s="8" t="s">
        <v>743</v>
      </c>
      <c r="F31" s="8" t="n">
        <v>1</v>
      </c>
      <c r="G31" s="8" t="s">
        <v>641</v>
      </c>
      <c r="H31" s="8" t="s">
        <v>733</v>
      </c>
      <c r="I31" s="12" t="s">
        <v>744</v>
      </c>
      <c r="J31" s="8" t="s">
        <v>739</v>
      </c>
    </row>
    <row r="32" customFormat="false" ht="90.75" hidden="false" customHeight="true" outlineLevel="0" collapsed="false">
      <c r="A32" s="8" t="s">
        <v>279</v>
      </c>
      <c r="B32" s="8" t="s">
        <v>745</v>
      </c>
      <c r="C32" s="8" t="s">
        <v>709</v>
      </c>
      <c r="D32" s="8" t="s">
        <v>634</v>
      </c>
      <c r="E32" s="8" t="s">
        <v>746</v>
      </c>
      <c r="F32" s="8" t="n">
        <v>1</v>
      </c>
      <c r="G32" s="8" t="s">
        <v>641</v>
      </c>
      <c r="H32" s="8" t="s">
        <v>733</v>
      </c>
      <c r="I32" s="12" t="s">
        <v>747</v>
      </c>
      <c r="J32" s="8" t="s">
        <v>739</v>
      </c>
    </row>
    <row r="33" customFormat="false" ht="90.75" hidden="false" customHeight="true" outlineLevel="0" collapsed="false">
      <c r="A33" s="8" t="s">
        <v>299</v>
      </c>
      <c r="B33" s="8" t="s">
        <v>748</v>
      </c>
      <c r="C33" s="8" t="s">
        <v>709</v>
      </c>
      <c r="D33" s="8" t="s">
        <v>634</v>
      </c>
      <c r="E33" s="8" t="s">
        <v>749</v>
      </c>
      <c r="F33" s="8" t="n">
        <v>1</v>
      </c>
      <c r="G33" s="8" t="s">
        <v>641</v>
      </c>
      <c r="H33" s="8" t="s">
        <v>733</v>
      </c>
      <c r="I33" s="12" t="s">
        <v>750</v>
      </c>
      <c r="J33" s="8" t="s">
        <v>739</v>
      </c>
    </row>
    <row r="34" customFormat="false" ht="90.75" hidden="false" customHeight="true" outlineLevel="0" collapsed="false">
      <c r="A34" s="8" t="s">
        <v>307</v>
      </c>
      <c r="B34" s="8" t="s">
        <v>751</v>
      </c>
      <c r="C34" s="8" t="s">
        <v>709</v>
      </c>
      <c r="D34" s="8" t="s">
        <v>634</v>
      </c>
      <c r="E34" s="8" t="s">
        <v>752</v>
      </c>
      <c r="F34" s="8" t="n">
        <v>1</v>
      </c>
      <c r="G34" s="8" t="s">
        <v>641</v>
      </c>
      <c r="H34" s="8" t="s">
        <v>733</v>
      </c>
      <c r="I34" s="12" t="s">
        <v>753</v>
      </c>
      <c r="J34" s="8" t="s">
        <v>739</v>
      </c>
    </row>
    <row r="35" customFormat="false" ht="113.25" hidden="false" customHeight="true" outlineLevel="0" collapsed="false">
      <c r="A35" s="8" t="s">
        <v>329</v>
      </c>
      <c r="B35" s="8" t="s">
        <v>329</v>
      </c>
      <c r="C35" s="8" t="s">
        <v>709</v>
      </c>
      <c r="D35" s="8" t="s">
        <v>634</v>
      </c>
      <c r="E35" s="8" t="s">
        <v>754</v>
      </c>
      <c r="F35" s="8" t="n">
        <v>1</v>
      </c>
      <c r="G35" s="8" t="s">
        <v>641</v>
      </c>
      <c r="H35" s="8" t="s">
        <v>733</v>
      </c>
      <c r="I35" s="12" t="s">
        <v>755</v>
      </c>
      <c r="J35" s="8" t="s">
        <v>739</v>
      </c>
    </row>
    <row r="36" customFormat="false" ht="102" hidden="false" customHeight="true" outlineLevel="0" collapsed="false">
      <c r="A36" s="8" t="s">
        <v>347</v>
      </c>
      <c r="B36" s="8" t="s">
        <v>756</v>
      </c>
      <c r="C36" s="8" t="s">
        <v>709</v>
      </c>
      <c r="D36" s="8" t="s">
        <v>634</v>
      </c>
      <c r="E36" s="8" t="s">
        <v>757</v>
      </c>
      <c r="F36" s="8" t="n">
        <v>1</v>
      </c>
      <c r="G36" s="8" t="s">
        <v>641</v>
      </c>
      <c r="H36" s="8" t="s">
        <v>733</v>
      </c>
      <c r="I36" s="12" t="s">
        <v>758</v>
      </c>
      <c r="J36" s="8" t="s">
        <v>739</v>
      </c>
    </row>
    <row r="37" customFormat="false" ht="102" hidden="false" customHeight="true" outlineLevel="0" collapsed="false">
      <c r="A37" s="8" t="s">
        <v>359</v>
      </c>
      <c r="B37" s="8" t="s">
        <v>359</v>
      </c>
      <c r="C37" s="8" t="s">
        <v>709</v>
      </c>
      <c r="D37" s="8" t="s">
        <v>634</v>
      </c>
      <c r="E37" s="8" t="s">
        <v>759</v>
      </c>
      <c r="F37" s="8" t="n">
        <v>1</v>
      </c>
      <c r="G37" s="8" t="s">
        <v>641</v>
      </c>
      <c r="H37" s="8" t="s">
        <v>733</v>
      </c>
      <c r="I37" s="12" t="s">
        <v>760</v>
      </c>
      <c r="J37" s="8" t="s">
        <v>739</v>
      </c>
    </row>
    <row r="38" customFormat="false" ht="102" hidden="false" customHeight="true" outlineLevel="0" collapsed="false">
      <c r="A38" s="8" t="s">
        <v>373</v>
      </c>
      <c r="B38" s="8" t="s">
        <v>373</v>
      </c>
      <c r="C38" s="8" t="s">
        <v>709</v>
      </c>
      <c r="D38" s="8" t="s">
        <v>634</v>
      </c>
      <c r="E38" s="8" t="s">
        <v>761</v>
      </c>
      <c r="F38" s="8" t="n">
        <v>1</v>
      </c>
      <c r="G38" s="8" t="s">
        <v>641</v>
      </c>
      <c r="H38" s="8" t="s">
        <v>733</v>
      </c>
      <c r="I38" s="12" t="s">
        <v>762</v>
      </c>
      <c r="J38" s="8" t="s">
        <v>739</v>
      </c>
    </row>
    <row r="39" customFormat="false" ht="102" hidden="false" customHeight="true" outlineLevel="0" collapsed="false">
      <c r="A39" s="8" t="s">
        <v>391</v>
      </c>
      <c r="B39" s="8" t="s">
        <v>391</v>
      </c>
      <c r="C39" s="8" t="s">
        <v>709</v>
      </c>
      <c r="D39" s="8" t="s">
        <v>634</v>
      </c>
      <c r="E39" s="8" t="s">
        <v>763</v>
      </c>
      <c r="F39" s="8" t="n">
        <v>1</v>
      </c>
      <c r="G39" s="8" t="s">
        <v>641</v>
      </c>
      <c r="H39" s="8" t="s">
        <v>733</v>
      </c>
      <c r="I39" s="12" t="s">
        <v>764</v>
      </c>
      <c r="J39" s="8" t="s">
        <v>739</v>
      </c>
    </row>
    <row r="40" customFormat="false" ht="15" hidden="false" customHeight="true" outlineLevel="0" collapsed="false">
      <c r="A40" s="8" t="s">
        <v>604</v>
      </c>
      <c r="B40" s="8" t="s">
        <v>765</v>
      </c>
      <c r="C40" s="8" t="s">
        <v>709</v>
      </c>
      <c r="D40" s="8" t="s">
        <v>628</v>
      </c>
      <c r="E40" s="8" t="s">
        <v>766</v>
      </c>
      <c r="F40" s="8" t="n">
        <v>10</v>
      </c>
      <c r="G40" s="8" t="s">
        <v>711</v>
      </c>
      <c r="H40" s="8" t="s">
        <v>733</v>
      </c>
      <c r="I40" s="8" t="s">
        <v>767</v>
      </c>
      <c r="J40" s="8" t="s">
        <v>632</v>
      </c>
    </row>
    <row r="41" customFormat="false" ht="15" hidden="false" customHeight="true" outlineLevel="0" collapsed="false">
      <c r="A41" s="8" t="s">
        <v>408</v>
      </c>
      <c r="B41" s="8" t="s">
        <v>768</v>
      </c>
      <c r="C41" s="8" t="s">
        <v>709</v>
      </c>
      <c r="D41" s="8" t="s">
        <v>634</v>
      </c>
      <c r="E41" s="8" t="s">
        <v>769</v>
      </c>
      <c r="F41" s="8" t="n">
        <v>5</v>
      </c>
      <c r="G41" s="8" t="s">
        <v>636</v>
      </c>
      <c r="H41" s="8" t="s">
        <v>733</v>
      </c>
      <c r="I41" s="8" t="s">
        <v>770</v>
      </c>
      <c r="J41" s="8" t="s">
        <v>771</v>
      </c>
    </row>
    <row r="42" customFormat="false" ht="258.75" hidden="false" customHeight="true" outlineLevel="0" collapsed="false">
      <c r="A42" s="8" t="s">
        <v>424</v>
      </c>
      <c r="B42" s="8" t="s">
        <v>772</v>
      </c>
      <c r="C42" s="8" t="s">
        <v>709</v>
      </c>
      <c r="D42" s="8" t="s">
        <v>634</v>
      </c>
      <c r="E42" s="8" t="s">
        <v>773</v>
      </c>
      <c r="F42" s="8" t="n">
        <v>5</v>
      </c>
      <c r="G42" s="8" t="s">
        <v>641</v>
      </c>
      <c r="H42" s="8" t="s">
        <v>733</v>
      </c>
      <c r="I42" s="12" t="s">
        <v>774</v>
      </c>
      <c r="J42" s="12" t="s">
        <v>775</v>
      </c>
    </row>
    <row r="43" customFormat="false" ht="15" hidden="false" customHeight="true" outlineLevel="0" collapsed="false">
      <c r="A43" s="8" t="s">
        <v>605</v>
      </c>
      <c r="B43" s="8" t="s">
        <v>776</v>
      </c>
      <c r="C43" s="8" t="s">
        <v>709</v>
      </c>
      <c r="D43" s="8" t="s">
        <v>628</v>
      </c>
      <c r="E43" s="8" t="s">
        <v>777</v>
      </c>
      <c r="F43" s="8" t="n">
        <v>10</v>
      </c>
      <c r="G43" s="8" t="s">
        <v>636</v>
      </c>
      <c r="H43" s="8" t="s">
        <v>646</v>
      </c>
      <c r="I43" s="8" t="s">
        <v>778</v>
      </c>
      <c r="J43" s="8" t="s">
        <v>779</v>
      </c>
    </row>
    <row r="44" customFormat="false" ht="79.5" hidden="false" customHeight="true" outlineLevel="0" collapsed="false">
      <c r="A44" s="8" t="s">
        <v>445</v>
      </c>
      <c r="B44" s="8" t="s">
        <v>780</v>
      </c>
      <c r="C44" s="8" t="s">
        <v>709</v>
      </c>
      <c r="D44" s="8" t="s">
        <v>634</v>
      </c>
      <c r="E44" s="8" t="s">
        <v>781</v>
      </c>
      <c r="F44" s="8" t="n">
        <v>5</v>
      </c>
      <c r="G44" s="8" t="s">
        <v>636</v>
      </c>
      <c r="H44" s="8" t="s">
        <v>646</v>
      </c>
      <c r="I44" s="12" t="s">
        <v>782</v>
      </c>
      <c r="J44" s="8" t="s">
        <v>783</v>
      </c>
    </row>
    <row r="45" customFormat="false" ht="57" hidden="false" customHeight="true" outlineLevel="0" collapsed="false">
      <c r="A45" s="8" t="s">
        <v>457</v>
      </c>
      <c r="B45" s="8" t="s">
        <v>784</v>
      </c>
      <c r="C45" s="8" t="s">
        <v>709</v>
      </c>
      <c r="D45" s="8" t="s">
        <v>634</v>
      </c>
      <c r="E45" s="8" t="s">
        <v>785</v>
      </c>
      <c r="F45" s="8" t="n">
        <v>5</v>
      </c>
      <c r="G45" s="8" t="s">
        <v>636</v>
      </c>
      <c r="H45" s="8" t="s">
        <v>646</v>
      </c>
      <c r="I45" s="12" t="s">
        <v>786</v>
      </c>
      <c r="J45" s="8" t="s">
        <v>787</v>
      </c>
    </row>
    <row r="46" customFormat="false" ht="15" hidden="false" customHeight="true" outlineLevel="0" collapsed="false">
      <c r="A46" s="8" t="s">
        <v>466</v>
      </c>
      <c r="B46" s="8" t="s">
        <v>788</v>
      </c>
      <c r="C46" s="8" t="s">
        <v>789</v>
      </c>
      <c r="D46" s="8" t="s">
        <v>628</v>
      </c>
      <c r="E46" s="8" t="s">
        <v>790</v>
      </c>
      <c r="F46" s="8" t="n">
        <v>10</v>
      </c>
      <c r="G46" s="8" t="s">
        <v>791</v>
      </c>
      <c r="H46" s="8" t="s">
        <v>792</v>
      </c>
      <c r="I46" s="8" t="s">
        <v>793</v>
      </c>
      <c r="J46" s="8" t="s">
        <v>794</v>
      </c>
    </row>
    <row r="47" customFormat="false" ht="15" hidden="false" customHeight="true" outlineLevel="0" collapsed="false">
      <c r="A47" s="8" t="s">
        <v>472</v>
      </c>
      <c r="B47" s="8" t="s">
        <v>795</v>
      </c>
      <c r="C47" s="8" t="s">
        <v>789</v>
      </c>
      <c r="D47" s="8" t="s">
        <v>628</v>
      </c>
      <c r="E47" s="8" t="s">
        <v>796</v>
      </c>
      <c r="F47" s="8" t="n">
        <v>10</v>
      </c>
      <c r="G47" s="8" t="s">
        <v>791</v>
      </c>
      <c r="H47" s="8" t="s">
        <v>797</v>
      </c>
      <c r="I47" s="8" t="s">
        <v>798</v>
      </c>
      <c r="J47" s="8" t="s">
        <v>799</v>
      </c>
    </row>
    <row r="48" customFormat="false" ht="15" hidden="false" customHeight="true" outlineLevel="0" collapsed="false">
      <c r="A48" s="8" t="s">
        <v>482</v>
      </c>
      <c r="B48" s="8" t="s">
        <v>800</v>
      </c>
      <c r="C48" s="8" t="s">
        <v>789</v>
      </c>
      <c r="D48" s="8" t="s">
        <v>628</v>
      </c>
      <c r="E48" s="8" t="s">
        <v>801</v>
      </c>
      <c r="F48" s="8" t="n">
        <v>10</v>
      </c>
      <c r="G48" s="8" t="s">
        <v>791</v>
      </c>
      <c r="H48" s="8" t="s">
        <v>802</v>
      </c>
      <c r="I48" s="8" t="s">
        <v>803</v>
      </c>
      <c r="J48" s="8" t="s">
        <v>804</v>
      </c>
    </row>
    <row r="49" customFormat="false" ht="15" hidden="false" customHeight="true" outlineLevel="0" collapsed="false">
      <c r="A49" s="8" t="s">
        <v>606</v>
      </c>
      <c r="B49" s="8" t="s">
        <v>805</v>
      </c>
      <c r="C49" s="8" t="s">
        <v>789</v>
      </c>
      <c r="D49" s="8" t="s">
        <v>628</v>
      </c>
      <c r="E49" s="8" t="s">
        <v>806</v>
      </c>
      <c r="F49" s="8" t="n">
        <v>10</v>
      </c>
      <c r="G49" s="8" t="s">
        <v>636</v>
      </c>
      <c r="H49" s="8" t="s">
        <v>733</v>
      </c>
      <c r="I49" s="8" t="s">
        <v>807</v>
      </c>
      <c r="J49" s="8" t="s">
        <v>632</v>
      </c>
    </row>
    <row r="50" customFormat="false" ht="15" hidden="false" customHeight="true" outlineLevel="0" collapsed="false">
      <c r="A50" s="8" t="s">
        <v>492</v>
      </c>
      <c r="B50" s="8" t="s">
        <v>808</v>
      </c>
      <c r="C50" s="8" t="s">
        <v>789</v>
      </c>
      <c r="D50" s="8" t="s">
        <v>634</v>
      </c>
      <c r="E50" s="8" t="s">
        <v>809</v>
      </c>
      <c r="F50" s="8" t="n">
        <v>5</v>
      </c>
      <c r="G50" s="8" t="s">
        <v>636</v>
      </c>
      <c r="H50" s="8" t="s">
        <v>733</v>
      </c>
      <c r="I50" s="8" t="s">
        <v>810</v>
      </c>
      <c r="J50" s="8" t="s">
        <v>811</v>
      </c>
    </row>
    <row r="51" customFormat="false" ht="15" hidden="false" customHeight="true" outlineLevel="0" collapsed="false">
      <c r="A51" s="8" t="s">
        <v>507</v>
      </c>
      <c r="B51" s="8" t="s">
        <v>812</v>
      </c>
      <c r="C51" s="8" t="s">
        <v>789</v>
      </c>
      <c r="D51" s="8" t="s">
        <v>634</v>
      </c>
      <c r="E51" s="8" t="s">
        <v>813</v>
      </c>
      <c r="F51" s="8" t="n">
        <v>5</v>
      </c>
      <c r="G51" s="8" t="s">
        <v>641</v>
      </c>
      <c r="H51" s="8" t="s">
        <v>733</v>
      </c>
      <c r="I51" s="8" t="s">
        <v>814</v>
      </c>
      <c r="J51" s="8" t="s">
        <v>815</v>
      </c>
    </row>
    <row r="52" customFormat="false" ht="79.5" hidden="false" customHeight="true" outlineLevel="0" collapsed="false">
      <c r="A52" s="8" t="s">
        <v>519</v>
      </c>
      <c r="B52" s="8" t="s">
        <v>816</v>
      </c>
      <c r="C52" s="8" t="s">
        <v>789</v>
      </c>
      <c r="D52" s="8" t="s">
        <v>628</v>
      </c>
      <c r="E52" s="8" t="s">
        <v>817</v>
      </c>
      <c r="F52" s="8" t="n">
        <v>10</v>
      </c>
      <c r="G52" s="8" t="s">
        <v>636</v>
      </c>
      <c r="H52" s="8" t="s">
        <v>733</v>
      </c>
      <c r="I52" s="12" t="s">
        <v>818</v>
      </c>
      <c r="J52" s="8" t="s">
        <v>819</v>
      </c>
    </row>
    <row r="53" customFormat="false" ht="57" hidden="false" customHeight="true" outlineLevel="0" collapsed="false">
      <c r="A53" s="8" t="s">
        <v>537</v>
      </c>
      <c r="B53" s="8" t="s">
        <v>820</v>
      </c>
      <c r="C53" s="8" t="s">
        <v>789</v>
      </c>
      <c r="D53" s="8" t="s">
        <v>628</v>
      </c>
      <c r="E53" s="8" t="s">
        <v>821</v>
      </c>
      <c r="F53" s="8" t="n">
        <v>10</v>
      </c>
      <c r="G53" s="8" t="s">
        <v>791</v>
      </c>
      <c r="H53" s="8" t="s">
        <v>822</v>
      </c>
      <c r="I53" s="12" t="s">
        <v>823</v>
      </c>
      <c r="J53" s="8" t="s">
        <v>824</v>
      </c>
    </row>
    <row r="54" customFormat="false" ht="15" hidden="false" customHeight="true" outlineLevel="0" collapsed="false">
      <c r="A54" s="8" t="s">
        <v>607</v>
      </c>
      <c r="B54" s="8" t="s">
        <v>825</v>
      </c>
      <c r="C54" s="8" t="s">
        <v>789</v>
      </c>
      <c r="D54" s="8" t="s">
        <v>628</v>
      </c>
      <c r="E54" s="8" t="s">
        <v>826</v>
      </c>
      <c r="F54" s="8" t="n">
        <v>10</v>
      </c>
      <c r="G54" s="8" t="s">
        <v>791</v>
      </c>
      <c r="H54" s="8" t="s">
        <v>630</v>
      </c>
      <c r="I54" s="8" t="s">
        <v>827</v>
      </c>
      <c r="J54" s="8" t="s">
        <v>828</v>
      </c>
    </row>
    <row r="55" customFormat="false" ht="90.75" hidden="false" customHeight="true" outlineLevel="0" collapsed="false">
      <c r="A55" s="8" t="s">
        <v>557</v>
      </c>
      <c r="B55" s="8" t="s">
        <v>829</v>
      </c>
      <c r="C55" s="8" t="s">
        <v>789</v>
      </c>
      <c r="D55" s="8" t="s">
        <v>634</v>
      </c>
      <c r="E55" s="8" t="s">
        <v>830</v>
      </c>
      <c r="F55" s="8" t="n">
        <v>5</v>
      </c>
      <c r="G55" s="8" t="s">
        <v>791</v>
      </c>
      <c r="H55" s="8" t="s">
        <v>630</v>
      </c>
      <c r="I55" s="12" t="s">
        <v>831</v>
      </c>
      <c r="J55" s="8" t="s">
        <v>832</v>
      </c>
    </row>
    <row r="56" customFormat="false" ht="102" hidden="false" customHeight="true" outlineLevel="0" collapsed="false">
      <c r="A56" s="8" t="s">
        <v>567</v>
      </c>
      <c r="B56" s="8" t="s">
        <v>833</v>
      </c>
      <c r="C56" s="8" t="s">
        <v>789</v>
      </c>
      <c r="D56" s="8" t="s">
        <v>634</v>
      </c>
      <c r="E56" s="8" t="s">
        <v>834</v>
      </c>
      <c r="F56" s="8" t="n">
        <v>5</v>
      </c>
      <c r="G56" s="8" t="s">
        <v>791</v>
      </c>
      <c r="H56" s="8" t="s">
        <v>630</v>
      </c>
      <c r="I56" s="12" t="s">
        <v>835</v>
      </c>
      <c r="J56" s="8" t="s">
        <v>832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8" width="28"/>
    <col collapsed="false" customWidth="true" hidden="false" outlineLevel="0" max="2" min="2" style="8" width="10"/>
    <col collapsed="false" customWidth="true" hidden="false" outlineLevel="0" max="3" min="3" style="8" width="30"/>
    <col collapsed="false" customWidth="true" hidden="false" outlineLevel="0" max="8" min="8" style="8" width="10"/>
    <col collapsed="false" customWidth="true" hidden="false" outlineLevel="0" max="9" min="9" style="8" width="40"/>
  </cols>
  <sheetData>
    <row r="1" customFormat="false" ht="15" hidden="false" customHeight="true" outlineLevel="0" collapsed="false">
      <c r="A1" s="8" t="s">
        <v>836</v>
      </c>
      <c r="B1" s="8" t="s">
        <v>18</v>
      </c>
      <c r="C1" s="8" t="s">
        <v>837</v>
      </c>
      <c r="J1" s="13" t="s">
        <v>838</v>
      </c>
    </row>
    <row r="2" customFormat="false" ht="45.75" hidden="false" customHeight="true" outlineLevel="0" collapsed="false">
      <c r="A2" s="10" t="s">
        <v>589</v>
      </c>
      <c r="B2" s="4" t="str">
        <f aca="false">VLOOKUP($B$1,'PARASTATAL Questions'!$A:$J,3,0)&amp;""</f>
        <v>Urban Planning &amp; Design (UPD)</v>
      </c>
    </row>
    <row r="3" customFormat="false" ht="15" hidden="false" customHeight="true" outlineLevel="0" collapsed="false">
      <c r="A3" s="10" t="s">
        <v>622</v>
      </c>
      <c r="B3" s="4" t="str">
        <f aca="false">VLOOKUP($B$1,'PARASTATAL Questions'!$A:$J,2,0)&amp;""</f>
        <v>UPD 1a</v>
      </c>
    </row>
    <row r="4" customFormat="false" ht="15" hidden="false" customHeight="true" outlineLevel="0" collapsed="false">
      <c r="A4" s="10" t="s">
        <v>590</v>
      </c>
      <c r="B4" s="4" t="str">
        <f aca="false">VLOOKUP($B$1,'PARASTATAL Questions'!$A:$J,4,0)&amp;""</f>
        <v>SQ</v>
      </c>
    </row>
    <row r="5" customFormat="false" ht="157.5" hidden="false" customHeight="true" outlineLevel="0" collapsed="false">
      <c r="A5" s="10" t="s">
        <v>0</v>
      </c>
      <c r="B5" s="4" t="str">
        <f aca="false">VLOOKUP($B$1,'PARASTATAL Questions'!$A:$J,5,0)&amp;""</f>
        <v>Is the parastatal mandated to prepare its spatial and/or sectoral plans in coordination with the ULG(s) within its jurisdiction?</v>
      </c>
    </row>
    <row r="6" customFormat="false" ht="15" hidden="false" customHeight="true" outlineLevel="0" collapsed="false">
      <c r="A6" s="10" t="s">
        <v>592</v>
      </c>
      <c r="B6" s="4" t="n">
        <f aca="false">VLOOKUP($B$1,'PARASTATAL Questions'!$A:$J,6,0)</f>
        <v>5</v>
      </c>
    </row>
    <row r="7" customFormat="false" ht="15" hidden="false" customHeight="true" outlineLevel="0" collapsed="false">
      <c r="A7" s="10" t="s">
        <v>591</v>
      </c>
      <c r="B7" s="4" t="str">
        <f aca="false">VLOOKUP($B$1,'PARASTATAL Questions'!$A:$J,7,0)&amp;""</f>
        <v>Law/Policy</v>
      </c>
    </row>
    <row r="8" customFormat="false" ht="45.75" hidden="false" customHeight="true" outlineLevel="0" collapsed="false">
      <c r="A8" s="10" t="s">
        <v>623</v>
      </c>
      <c r="B8" s="4" t="str">
        <f aca="false">VLOOKUP($B$1,'PARASTATAL Questions'!$A:$J,8,0)&amp;""</f>
        <v>Common — all parastatal types.</v>
      </c>
    </row>
    <row r="9" customFormat="false" ht="504.75" hidden="false" customHeight="true" outlineLevel="0" collapsed="false">
      <c r="A9" s="10" t="s">
        <v>624</v>
      </c>
      <c r="B9" s="4" t="str">
        <f aca="false">VLOOKUP($B$1,'PARASTATAL Questions'!$A:$J,9,0)&amp;""</f>
        <v>Review the relevant Parastatal Act and the State Town and Country Planning (T&amp;CP) Act.10 — ULG approval/concurrence or joint preparation is required. 7.5 — formal consultation is mandatory, and ULG response must be considered/responded to. 5 — consultation is mandatory, but there is no obligation to incorporate/respond. 2.5 — consultation is discretionary (“may”). 0 — no formal role.</v>
      </c>
    </row>
    <row r="10" customFormat="false" ht="102" hidden="false" customHeight="true" outlineLevel="0" collapsed="false">
      <c r="A10" s="10" t="s">
        <v>625</v>
      </c>
      <c r="B10" s="4" t="str">
        <f aca="false">VLOOKUP($B$1,'PARASTATAL Questions'!$A:$J,10,0)&amp;""</f>
        <v>Relevant Parastatal Act; applicable Town and Country Planning (T&amp;CP) Act.</v>
      </c>
    </row>
    <row r="11" customFormat="false" ht="15" hidden="false" customHeight="true" outlineLevel="0" collapsed="false">
      <c r="B11" s="14" t="s">
        <v>839</v>
      </c>
      <c r="I11" s="14" t="s">
        <v>840</v>
      </c>
      <c r="J11" s="14" t="s">
        <v>841</v>
      </c>
      <c r="L11" s="8" t="s">
        <v>842</v>
      </c>
    </row>
    <row r="12" customFormat="false" ht="51.75" hidden="false" customHeight="true" outlineLevel="0" collapsed="false">
      <c r="A12" s="1" t="s">
        <v>612</v>
      </c>
      <c r="B12" s="1" t="s">
        <v>843</v>
      </c>
      <c r="C12" s="1" t="s">
        <v>844</v>
      </c>
      <c r="D12" s="1" t="s">
        <v>845</v>
      </c>
      <c r="E12" s="1" t="s">
        <v>846</v>
      </c>
      <c r="F12" s="1" t="s">
        <v>847</v>
      </c>
      <c r="G12" s="1" t="s">
        <v>848</v>
      </c>
      <c r="H12" s="1" t="s">
        <v>14</v>
      </c>
      <c r="I12" s="1" t="s">
        <v>849</v>
      </c>
      <c r="J12" s="1" t="s">
        <v>850</v>
      </c>
      <c r="K12" s="1" t="s">
        <v>851</v>
      </c>
      <c r="L12" s="8" t="s">
        <v>852</v>
      </c>
    </row>
    <row r="13" customFormat="false" ht="292.5" hidden="false" customHeight="true" outlineLevel="0" collapsed="false">
      <c r="A13" s="8" t="s">
        <v>19</v>
      </c>
      <c r="B13" s="8" t="s">
        <v>853</v>
      </c>
      <c r="C13" s="8" t="s">
        <v>23</v>
      </c>
      <c r="D13" s="8" t="s">
        <v>854</v>
      </c>
      <c r="E13" s="8" t="s">
        <v>855</v>
      </c>
      <c r="F13" s="8" t="s">
        <v>856</v>
      </c>
      <c r="G13" s="8" t="s">
        <v>857</v>
      </c>
      <c r="H13" s="8" t="s">
        <v>24</v>
      </c>
      <c r="I13" s="15" t="n">
        <v>1.25</v>
      </c>
      <c r="J13" s="8" t="n">
        <f aca="false">IF(COUNTIFS('Scores (start here)'!$A:$A,$B$1,'Scores (start here)'!$B:$B,$A13,'Scores (start here)'!$F:$F,"&gt;=0")&gt;0,SUMIFS('Scores (start here)'!$F:$F,'Scores (start here)'!$A:$A,$B$1,'Scores (start here)'!$B:$B,$A13),L13)</f>
        <v>1.25</v>
      </c>
      <c r="K13" s="12" t="s">
        <v>858</v>
      </c>
      <c r="L13" s="8" t="n">
        <f aca="false">IF($B13="NO","NA",IF(I13="","",MIN(I13,$B$6)))</f>
        <v>1.25</v>
      </c>
    </row>
    <row r="14" customFormat="false" ht="247.5" hidden="false" customHeight="true" outlineLevel="0" collapsed="false">
      <c r="A14" s="8" t="s">
        <v>28</v>
      </c>
      <c r="B14" s="8" t="s">
        <v>853</v>
      </c>
      <c r="C14" s="8" t="s">
        <v>30</v>
      </c>
      <c r="D14" s="8" t="s">
        <v>859</v>
      </c>
      <c r="E14" s="8" t="s">
        <v>860</v>
      </c>
      <c r="F14" s="8" t="s">
        <v>861</v>
      </c>
      <c r="G14" s="8" t="s">
        <v>862</v>
      </c>
      <c r="H14" s="8" t="s">
        <v>31</v>
      </c>
      <c r="I14" s="15"/>
      <c r="J14" s="8" t="str">
        <f aca="false">IF(COUNTIFS('Scores (start here)'!$A:$A,$B$1,'Scores (start here)'!$B:$B,$A14,'Scores (start here)'!$F:$F,"&gt;=0")&gt;0,SUMIFS('Scores (start here)'!$F:$F,'Scores (start here)'!$A:$A,$B$1,'Scores (start here)'!$B:$B,$A14),L14)</f>
        <v/>
      </c>
      <c r="K14" s="12" t="s">
        <v>863</v>
      </c>
      <c r="L14" s="8" t="str">
        <f aca="false">IF($B14="NO","NA",IF(I14="","",MIN(I14,$B$6)))</f>
        <v/>
      </c>
    </row>
    <row r="15" customFormat="false" ht="325.5" hidden="false" customHeight="true" outlineLevel="0" collapsed="false">
      <c r="A15" s="8" t="s">
        <v>34</v>
      </c>
      <c r="B15" s="8" t="s">
        <v>853</v>
      </c>
      <c r="C15" s="8" t="s">
        <v>36</v>
      </c>
      <c r="D15" s="8" t="s">
        <v>864</v>
      </c>
      <c r="E15" s="8" t="s">
        <v>865</v>
      </c>
      <c r="F15" s="8" t="s">
        <v>866</v>
      </c>
      <c r="G15" s="8" t="s">
        <v>867</v>
      </c>
      <c r="H15" s="8" t="s">
        <v>37</v>
      </c>
      <c r="I15" s="15" t="n">
        <v>3.75</v>
      </c>
      <c r="J15" s="8" t="n">
        <f aca="false">IF(COUNTIFS('Scores (start here)'!$A:$A,$B$1,'Scores (start here)'!$B:$B,$A15,'Scores (start here)'!$F:$F,"&gt;=0")&gt;0,SUMIFS('Scores (start here)'!$F:$F,'Scores (start here)'!$A:$A,$B$1,'Scores (start here)'!$B:$B,$A15),L15)</f>
        <v>3.75</v>
      </c>
      <c r="K15" s="12" t="s">
        <v>868</v>
      </c>
      <c r="L15" s="8" t="n">
        <f aca="false">IF($B15="NO","NA",IF(I15="","",MIN(I15,$B$6)))</f>
        <v>3.75</v>
      </c>
    </row>
    <row r="16" customFormat="false" ht="381.75" hidden="false" customHeight="true" outlineLevel="0" collapsed="false">
      <c r="A16" s="8" t="s">
        <v>40</v>
      </c>
      <c r="B16" s="8" t="s">
        <v>853</v>
      </c>
      <c r="C16" s="8" t="s">
        <v>42</v>
      </c>
      <c r="D16" s="8" t="s">
        <v>859</v>
      </c>
      <c r="E16" s="8" t="s">
        <v>869</v>
      </c>
      <c r="F16" s="8" t="s">
        <v>870</v>
      </c>
      <c r="G16" s="8" t="s">
        <v>857</v>
      </c>
      <c r="H16" s="8" t="s">
        <v>31</v>
      </c>
      <c r="I16" s="15" t="n">
        <v>0</v>
      </c>
      <c r="J16" s="8" t="n">
        <f aca="false">IF(COUNTIFS('Scores (start here)'!$A:$A,$B$1,'Scores (start here)'!$B:$B,$A16,'Scores (start here)'!$F:$F,"&gt;=0")&gt;0,SUMIFS('Scores (start here)'!$F:$F,'Scores (start here)'!$A:$A,$B$1,'Scores (start here)'!$B:$B,$A16),L16)</f>
        <v>0</v>
      </c>
      <c r="K16" s="12" t="s">
        <v>871</v>
      </c>
      <c r="L16" s="8" t="n">
        <f aca="false">IF($B16="NO","NA",IF(I16="","",MIN(I16,$B$6)))</f>
        <v>0</v>
      </c>
    </row>
    <row r="17" customFormat="false" ht="15" hidden="false" customHeight="true" outlineLevel="0" collapsed="false">
      <c r="A17" s="8" t="s">
        <v>45</v>
      </c>
      <c r="B17" s="8" t="s">
        <v>853</v>
      </c>
      <c r="C17" s="8" t="s">
        <v>47</v>
      </c>
      <c r="D17" s="8" t="s">
        <v>872</v>
      </c>
      <c r="E17" s="8" t="s">
        <v>873</v>
      </c>
      <c r="F17" s="8" t="s">
        <v>874</v>
      </c>
      <c r="G17" s="8" t="s">
        <v>875</v>
      </c>
      <c r="H17" s="8" t="s">
        <v>48</v>
      </c>
      <c r="I17" s="15" t="n">
        <v>0</v>
      </c>
      <c r="J17" s="8" t="n">
        <f aca="false">IF(COUNTIFS('Scores (start here)'!$A:$A,$B$1,'Scores (start here)'!$B:$B,$A17,'Scores (start here)'!$F:$F,"&gt;=0")&gt;0,SUMIFS('Scores (start here)'!$F:$F,'Scores (start here)'!$A:$A,$B$1,'Scores (start here)'!$B:$B,$A17),L17)</f>
        <v>0</v>
      </c>
      <c r="K17" s="12" t="s">
        <v>876</v>
      </c>
      <c r="L17" s="8" t="n">
        <f aca="false">IF($B17="NO","NA",IF(I17="","",MIN(I17,$B$6)))</f>
        <v>0</v>
      </c>
    </row>
    <row r="18" customFormat="false" ht="15" hidden="false" customHeight="true" outlineLevel="0" collapsed="false">
      <c r="A18" s="8" t="s">
        <v>51</v>
      </c>
      <c r="B18" s="8" t="s">
        <v>853</v>
      </c>
      <c r="I18" s="15"/>
      <c r="J18" s="8" t="str">
        <f aca="false">IF(COUNTIFS('Scores (start here)'!$A:$A,$B$1,'Scores (start here)'!$B:$B,$A18,'Scores (start here)'!$F:$F,"&gt;=0")&gt;0,SUMIFS('Scores (start here)'!$F:$F,'Scores (start here)'!$A:$A,$B$1,'Scores (start here)'!$B:$B,$A18),L18)</f>
        <v/>
      </c>
      <c r="K18" s="8" t="s">
        <v>877</v>
      </c>
      <c r="L18" s="8" t="str">
        <f aca="false">IF($B18="NO","NA",IF(I18="","",MIN(I18,$B$6)))</f>
        <v/>
      </c>
    </row>
    <row r="19" customFormat="false" ht="15" hidden="false" customHeight="true" outlineLevel="0" collapsed="false">
      <c r="A19" s="8" t="s">
        <v>54</v>
      </c>
      <c r="B19" s="8" t="s">
        <v>853</v>
      </c>
      <c r="I19" s="15"/>
      <c r="J19" s="8" t="str">
        <f aca="false">IF(COUNTIFS('Scores (start here)'!$A:$A,$B$1,'Scores (start here)'!$B:$B,$A19,'Scores (start here)'!$F:$F,"&gt;=0")&gt;0,SUMIFS('Scores (start here)'!$F:$F,'Scores (start here)'!$A:$A,$B$1,'Scores (start here)'!$B:$B,$A19),L19)</f>
        <v/>
      </c>
      <c r="K19" s="8" t="s">
        <v>878</v>
      </c>
      <c r="L19" s="8" t="str">
        <f aca="false">IF($B19="NO","NA",IF(I19="","",MIN(I19,$B$6)))</f>
        <v/>
      </c>
    </row>
  </sheetData>
  <dataValidations count="1">
    <dataValidation allowBlank="true" error="See the instruction above the 'Score' column." errorStyle="stop" operator="between" showDropDown="false" showErrorMessage="true" showInputMessage="false" sqref="I13:I19" type="decimal">
      <formula1>0</formula1>
      <formula2>5</formula2>
    </dataValidation>
  </dataValidations>
  <hyperlinks>
    <hyperlink ref="J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8" width="28"/>
    <col collapsed="false" customWidth="true" hidden="false" outlineLevel="0" max="2" min="2" style="8" width="10"/>
    <col collapsed="false" customWidth="true" hidden="false" outlineLevel="0" max="3" min="3" style="8" width="30"/>
    <col collapsed="false" customWidth="true" hidden="false" outlineLevel="0" max="8" min="8" style="8" width="10"/>
    <col collapsed="false" customWidth="true" hidden="false" outlineLevel="0" max="9" min="9" style="8" width="40"/>
  </cols>
  <sheetData>
    <row r="1" customFormat="false" ht="15" hidden="false" customHeight="true" outlineLevel="0" collapsed="false">
      <c r="A1" s="8" t="s">
        <v>836</v>
      </c>
      <c r="B1" s="8" t="s">
        <v>56</v>
      </c>
      <c r="C1" s="8" t="s">
        <v>837</v>
      </c>
      <c r="J1" s="13" t="s">
        <v>838</v>
      </c>
    </row>
    <row r="2" customFormat="false" ht="45.75" hidden="false" customHeight="true" outlineLevel="0" collapsed="false">
      <c r="A2" s="10" t="s">
        <v>589</v>
      </c>
      <c r="B2" s="4" t="str">
        <f aca="false">VLOOKUP($B$1,'PARASTATAL Questions'!$A:$J,3,0)&amp;""</f>
        <v>Urban Planning &amp; Design (UPD)</v>
      </c>
    </row>
    <row r="3" customFormat="false" ht="15" hidden="false" customHeight="true" outlineLevel="0" collapsed="false">
      <c r="A3" s="10" t="s">
        <v>622</v>
      </c>
      <c r="B3" s="4" t="str">
        <f aca="false">VLOOKUP($B$1,'PARASTATAL Questions'!$A:$J,2,0)&amp;""</f>
        <v>UPD 1b</v>
      </c>
    </row>
    <row r="4" customFormat="false" ht="15" hidden="false" customHeight="true" outlineLevel="0" collapsed="false">
      <c r="A4" s="10" t="s">
        <v>590</v>
      </c>
      <c r="B4" s="4" t="str">
        <f aca="false">VLOOKUP($B$1,'PARASTATAL Questions'!$A:$J,4,0)&amp;""</f>
        <v>SQ</v>
      </c>
    </row>
    <row r="5" customFormat="false" ht="90.75" hidden="false" customHeight="true" outlineLevel="0" collapsed="false">
      <c r="A5" s="10" t="s">
        <v>0</v>
      </c>
      <c r="B5" s="4" t="str">
        <f aca="false">VLOOKUP($B$1,'PARASTATAL Questions'!$A:$J,5,0)&amp;""</f>
        <v>Has the ULG participated in the parastatal’s plan-making process?</v>
      </c>
    </row>
    <row r="6" customFormat="false" ht="15" hidden="false" customHeight="true" outlineLevel="0" collapsed="false">
      <c r="A6" s="10" t="s">
        <v>592</v>
      </c>
      <c r="B6" s="4" t="n">
        <f aca="false">VLOOKUP($B$1,'PARASTATAL Questions'!$A:$J,6,0)</f>
        <v>5</v>
      </c>
    </row>
    <row r="7" customFormat="false" ht="23.25" hidden="false" customHeight="true" outlineLevel="0" collapsed="false">
      <c r="A7" s="10" t="s">
        <v>591</v>
      </c>
      <c r="B7" s="4" t="str">
        <f aca="false">VLOOKUP($B$1,'PARASTATAL Questions'!$A:$J,7,0)&amp;""</f>
        <v>Implementation</v>
      </c>
    </row>
    <row r="8" customFormat="false" ht="45.75" hidden="false" customHeight="true" outlineLevel="0" collapsed="false">
      <c r="A8" s="10" t="s">
        <v>623</v>
      </c>
      <c r="B8" s="4" t="str">
        <f aca="false">VLOOKUP($B$1,'PARASTATAL Questions'!$A:$J,8,0)&amp;""</f>
        <v>Common — all parastatal types.</v>
      </c>
    </row>
    <row r="9" customFormat="false" ht="1098" hidden="false" customHeight="true" outlineLevel="0" collapsed="false">
      <c r="A9" s="10" t="s">
        <v>624</v>
      </c>
      <c r="B9" s="4" t="str">
        <f aca="false">VLOOKUP($B$1,'PARASTATAL Questions'!$A:$J,9,0)&amp;""</f>
        <v>Review the latest available plan-making cycle for evidence of ULG participation in the parastatal’s plan-making process, irrespective of whether such participation is legally mandated.Score 10 where there is evidence of substantive ULG participation, such as joint preparation, concurrence/approval, or documented consideration of and response to ULG inputs.Score 5 where the ULG was formally consulted or invited to provide inputs, but there is no evidence of how these inputs were considered.Score 2.5 where there is evidence of limited or informal engagement with the ULG.Score 0 where there is no evidence of ULG participation.Evidence may include plan documents, consultation records, meeting minutes, ULG resolutions/comments, responses to ULG inputs, or information published on the parastatal/ULG website.</v>
      </c>
    </row>
    <row r="10" customFormat="false" ht="258.75" hidden="false" customHeight="true" outlineLevel="0" collapsed="false">
      <c r="A10" s="10" t="s">
        <v>625</v>
      </c>
      <c r="B10" s="4" t="str">
        <f aca="false">VLOOKUP($B$1,'PARASTATAL Questions'!$A:$J,10,0)&amp;""</f>
        <v>Evidence may include plan documents, consultation records, meeting minutes, ULG resolutions/comments, responses to ULG inputs, or information published on the parastatal website.</v>
      </c>
    </row>
    <row r="11" customFormat="false" ht="15" hidden="false" customHeight="true" outlineLevel="0" collapsed="false">
      <c r="B11" s="14" t="s">
        <v>839</v>
      </c>
      <c r="I11" s="14" t="s">
        <v>840</v>
      </c>
      <c r="J11" s="14" t="s">
        <v>841</v>
      </c>
      <c r="L11" s="8" t="s">
        <v>842</v>
      </c>
    </row>
    <row r="12" customFormat="false" ht="51.75" hidden="false" customHeight="true" outlineLevel="0" collapsed="false">
      <c r="A12" s="1" t="s">
        <v>612</v>
      </c>
      <c r="B12" s="1" t="s">
        <v>843</v>
      </c>
      <c r="C12" s="1" t="s">
        <v>844</v>
      </c>
      <c r="D12" s="1" t="s">
        <v>845</v>
      </c>
      <c r="E12" s="1" t="s">
        <v>846</v>
      </c>
      <c r="F12" s="1" t="s">
        <v>847</v>
      </c>
      <c r="G12" s="1" t="s">
        <v>848</v>
      </c>
      <c r="H12" s="1" t="s">
        <v>14</v>
      </c>
      <c r="I12" s="1" t="s">
        <v>849</v>
      </c>
      <c r="J12" s="1" t="s">
        <v>850</v>
      </c>
      <c r="K12" s="1" t="s">
        <v>851</v>
      </c>
      <c r="L12" s="8" t="s">
        <v>852</v>
      </c>
    </row>
    <row r="13" customFormat="false" ht="15" hidden="false" customHeight="true" outlineLevel="0" collapsed="false">
      <c r="A13" s="8" t="s">
        <v>19</v>
      </c>
      <c r="B13" s="8" t="s">
        <v>853</v>
      </c>
      <c r="C13" s="8" t="s">
        <v>879</v>
      </c>
      <c r="D13" s="8" t="s">
        <v>880</v>
      </c>
      <c r="E13" s="8" t="s">
        <v>881</v>
      </c>
      <c r="F13" s="8" t="s">
        <v>882</v>
      </c>
      <c r="G13" s="8" t="s">
        <v>883</v>
      </c>
      <c r="H13" s="8" t="s">
        <v>884</v>
      </c>
      <c r="I13" s="15" t="n">
        <v>5</v>
      </c>
      <c r="J13" s="8" t="n">
        <f aca="false">IF(COUNTIFS('Scores (start here)'!$A:$A,$B$1,'Scores (start here)'!$B:$B,$A13,'Scores (start here)'!$F:$F,"&gt;=0")&gt;0,SUMIFS('Scores (start here)'!$F:$F,'Scores (start here)'!$A:$A,$B$1,'Scores (start here)'!$B:$B,$A13),L13)</f>
        <v>5</v>
      </c>
      <c r="K13" s="8" t="s">
        <v>885</v>
      </c>
      <c r="L13" s="8" t="n">
        <f aca="false">IF($B13="NO","NA",IF(I13="","",MIN(I13,$B$6)))</f>
        <v>5</v>
      </c>
    </row>
    <row r="14" customFormat="false" ht="15" hidden="false" customHeight="true" outlineLevel="0" collapsed="false">
      <c r="A14" s="8" t="s">
        <v>28</v>
      </c>
      <c r="B14" s="8" t="s">
        <v>853</v>
      </c>
      <c r="I14" s="15"/>
      <c r="J14" s="8" t="str">
        <f aca="false">IF(COUNTIFS('Scores (start here)'!$A:$A,$B$1,'Scores (start here)'!$B:$B,$A14,'Scores (start here)'!$F:$F,"&gt;=0")&gt;0,SUMIFS('Scores (start here)'!$F:$F,'Scores (start here)'!$A:$A,$B$1,'Scores (start here)'!$B:$B,$A14),L14)</f>
        <v/>
      </c>
      <c r="K14" s="8" t="s">
        <v>886</v>
      </c>
      <c r="L14" s="8" t="str">
        <f aca="false">IF($B14="NO","NA",IF(I14="","",MIN(I14,$B$6)))</f>
        <v/>
      </c>
    </row>
    <row r="15" customFormat="false" ht="15" hidden="false" customHeight="true" outlineLevel="0" collapsed="false">
      <c r="A15" s="8" t="s">
        <v>34</v>
      </c>
      <c r="B15" s="8" t="s">
        <v>853</v>
      </c>
      <c r="I15" s="15"/>
      <c r="J15" s="8" t="str">
        <f aca="false">IF(COUNTIFS('Scores (start here)'!$A:$A,$B$1,'Scores (start here)'!$B:$B,$A15,'Scores (start here)'!$F:$F,"&gt;=0")&gt;0,SUMIFS('Scores (start here)'!$F:$F,'Scores (start here)'!$A:$A,$B$1,'Scores (start here)'!$B:$B,$A15),L15)</f>
        <v/>
      </c>
      <c r="K15" s="8" t="s">
        <v>887</v>
      </c>
      <c r="L15" s="8" t="str">
        <f aca="false">IF($B15="NO","NA",IF(I15="","",MIN(I15,$B$6)))</f>
        <v/>
      </c>
    </row>
    <row r="16" customFormat="false" ht="15" hidden="false" customHeight="true" outlineLevel="0" collapsed="false">
      <c r="A16" s="8" t="s">
        <v>40</v>
      </c>
      <c r="B16" s="8" t="s">
        <v>853</v>
      </c>
      <c r="I16" s="15"/>
      <c r="J16" s="8" t="str">
        <f aca="false">IF(COUNTIFS('Scores (start here)'!$A:$A,$B$1,'Scores (start here)'!$B:$B,$A16,'Scores (start here)'!$F:$F,"&gt;=0")&gt;0,SUMIFS('Scores (start here)'!$F:$F,'Scores (start here)'!$A:$A,$B$1,'Scores (start here)'!$B:$B,$A16),L16)</f>
        <v/>
      </c>
      <c r="K16" s="8" t="s">
        <v>888</v>
      </c>
      <c r="L16" s="8" t="str">
        <f aca="false">IF($B16="NO","NA",IF(I16="","",MIN(I16,$B$6)))</f>
        <v/>
      </c>
    </row>
    <row r="17" customFormat="false" ht="15" hidden="false" customHeight="true" outlineLevel="0" collapsed="false">
      <c r="A17" s="8" t="s">
        <v>45</v>
      </c>
      <c r="B17" s="8" t="s">
        <v>853</v>
      </c>
      <c r="I17" s="15"/>
      <c r="J17" s="8" t="str">
        <f aca="false">IF(COUNTIFS('Scores (start here)'!$A:$A,$B$1,'Scores (start here)'!$B:$B,$A17,'Scores (start here)'!$F:$F,"&gt;=0")&gt;0,SUMIFS('Scores (start here)'!$F:$F,'Scores (start here)'!$A:$A,$B$1,'Scores (start here)'!$B:$B,$A17),L17)</f>
        <v/>
      </c>
      <c r="K17" s="8" t="s">
        <v>889</v>
      </c>
      <c r="L17" s="8" t="str">
        <f aca="false">IF($B17="NO","NA",IF(I17="","",MIN(I17,$B$6)))</f>
        <v/>
      </c>
    </row>
    <row r="18" customFormat="false" ht="15" hidden="false" customHeight="true" outlineLevel="0" collapsed="false">
      <c r="A18" s="8" t="s">
        <v>51</v>
      </c>
      <c r="B18" s="8" t="s">
        <v>853</v>
      </c>
      <c r="C18" s="8" t="s">
        <v>64</v>
      </c>
      <c r="D18" s="8" t="s">
        <v>890</v>
      </c>
      <c r="E18" s="8" t="s">
        <v>891</v>
      </c>
      <c r="F18" s="8" t="s">
        <v>892</v>
      </c>
      <c r="G18" s="8" t="s">
        <v>893</v>
      </c>
      <c r="H18" s="8" t="s">
        <v>65</v>
      </c>
      <c r="I18" s="15"/>
      <c r="J18" s="8" t="str">
        <f aca="false">IF(COUNTIFS('Scores (start here)'!$A:$A,$B$1,'Scores (start here)'!$B:$B,$A18,'Scores (start here)'!$F:$F,"&gt;=0")&gt;0,SUMIFS('Scores (start here)'!$F:$F,'Scores (start here)'!$A:$A,$B$1,'Scores (start here)'!$B:$B,$A18),L18)</f>
        <v/>
      </c>
      <c r="K18" s="12" t="s">
        <v>894</v>
      </c>
      <c r="L18" s="8" t="str">
        <f aca="false">IF($B18="NO","NA",IF(I18="","",MIN(I18,$B$6)))</f>
        <v/>
      </c>
    </row>
    <row r="19" customFormat="false" ht="15" hidden="false" customHeight="true" outlineLevel="0" collapsed="false">
      <c r="A19" s="8" t="s">
        <v>54</v>
      </c>
      <c r="B19" s="8" t="s">
        <v>853</v>
      </c>
      <c r="C19" s="8" t="s">
        <v>69</v>
      </c>
      <c r="D19" s="8" t="s">
        <v>895</v>
      </c>
      <c r="E19" s="8" t="s">
        <v>896</v>
      </c>
      <c r="F19" s="8" t="s">
        <v>897</v>
      </c>
      <c r="G19" s="8" t="s">
        <v>898</v>
      </c>
      <c r="H19" s="8" t="s">
        <v>70</v>
      </c>
      <c r="I19" s="15"/>
      <c r="J19" s="8" t="str">
        <f aca="false">IF(COUNTIFS('Scores (start here)'!$A:$A,$B$1,'Scores (start here)'!$B:$B,$A19,'Scores (start here)'!$F:$F,"&gt;=0")&gt;0,SUMIFS('Scores (start here)'!$F:$F,'Scores (start here)'!$A:$A,$B$1,'Scores (start here)'!$B:$B,$A19),L19)</f>
        <v/>
      </c>
      <c r="K19" s="12" t="s">
        <v>899</v>
      </c>
      <c r="L19" s="8" t="str">
        <f aca="false">IF($B19="NO","NA",IF(I19="","",MIN(I19,$B$6)))</f>
        <v/>
      </c>
    </row>
  </sheetData>
  <dataValidations count="1">
    <dataValidation allowBlank="true" error="See the instruction above the 'Score' column." errorStyle="stop" operator="between" showDropDown="false" showErrorMessage="true" showInputMessage="false" sqref="I13:I19" type="decimal">
      <formula1>0</formula1>
      <formula2>5</formula2>
    </dataValidation>
  </dataValidations>
  <hyperlinks>
    <hyperlink ref="J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8" width="28"/>
    <col collapsed="false" customWidth="true" hidden="false" outlineLevel="0" max="2" min="2" style="8" width="10"/>
    <col collapsed="false" customWidth="true" hidden="false" outlineLevel="0" max="3" min="3" style="8" width="30"/>
    <col collapsed="false" customWidth="true" hidden="false" outlineLevel="0" max="8" min="8" style="8" width="10"/>
    <col collapsed="false" customWidth="true" hidden="false" outlineLevel="0" max="9" min="9" style="8" width="40"/>
  </cols>
  <sheetData>
    <row r="1" customFormat="false" ht="15" hidden="false" customHeight="true" outlineLevel="0" collapsed="false">
      <c r="A1" s="8" t="s">
        <v>836</v>
      </c>
      <c r="B1" s="8" t="s">
        <v>73</v>
      </c>
      <c r="C1" s="8" t="s">
        <v>837</v>
      </c>
      <c r="J1" s="13" t="s">
        <v>838</v>
      </c>
    </row>
    <row r="2" customFormat="false" ht="45.75" hidden="false" customHeight="true" outlineLevel="0" collapsed="false">
      <c r="A2" s="10" t="s">
        <v>589</v>
      </c>
      <c r="B2" s="4" t="str">
        <f aca="false">VLOOKUP($B$1,'PARASTATAL Questions'!$A:$J,3,0)&amp;""</f>
        <v>Urban Planning &amp; Design (UPD)</v>
      </c>
    </row>
    <row r="3" customFormat="false" ht="15" hidden="false" customHeight="true" outlineLevel="0" collapsed="false">
      <c r="A3" s="10" t="s">
        <v>622</v>
      </c>
      <c r="B3" s="4" t="str">
        <f aca="false">VLOOKUP($B$1,'PARASTATAL Questions'!$A:$J,2,0)&amp;""</f>
        <v>UPD 2a</v>
      </c>
    </row>
    <row r="4" customFormat="false" ht="15" hidden="false" customHeight="true" outlineLevel="0" collapsed="false">
      <c r="A4" s="10" t="s">
        <v>590</v>
      </c>
      <c r="B4" s="4" t="str">
        <f aca="false">VLOOKUP($B$1,'PARASTATAL Questions'!$A:$J,4,0)&amp;""</f>
        <v>SQ</v>
      </c>
    </row>
    <row r="5" customFormat="false" ht="247.5" hidden="false" customHeight="true" outlineLevel="0" collapsed="false">
      <c r="A5" s="10" t="s">
        <v>0</v>
      </c>
      <c r="B5" s="4" t="str">
        <f aca="false">VLOOKUP($B$1,'PARASTATAL Questions'!$A:$J,5,0)&amp;""</f>
        <v>Where multiple statutory or sectoral plans apply to the same territory, is the water board mandated to ensure consistency with the applicable metropolitan/regional or city master plan/strategic plan for the city?</v>
      </c>
    </row>
    <row r="6" customFormat="false" ht="15" hidden="false" customHeight="true" outlineLevel="0" collapsed="false">
      <c r="A6" s="10" t="s">
        <v>592</v>
      </c>
      <c r="B6" s="4" t="n">
        <f aca="false">VLOOKUP($B$1,'PARASTATAL Questions'!$A:$J,6,0)</f>
        <v>2.5</v>
      </c>
    </row>
    <row r="7" customFormat="false" ht="15" hidden="false" customHeight="true" outlineLevel="0" collapsed="false">
      <c r="A7" s="10" t="s">
        <v>591</v>
      </c>
      <c r="B7" s="4" t="str">
        <f aca="false">VLOOKUP($B$1,'PARASTATAL Questions'!$A:$J,7,0)&amp;""</f>
        <v>Law/Policy</v>
      </c>
    </row>
    <row r="8" customFormat="false" ht="34.5" hidden="false" customHeight="true" outlineLevel="0" collapsed="false">
      <c r="A8" s="10" t="s">
        <v>623</v>
      </c>
      <c r="B8" s="4" t="str">
        <f aca="false">VLOOKUP($B$1,'PARASTATAL Questions'!$A:$J,8,0)&amp;""</f>
        <v>Water supply board</v>
      </c>
    </row>
    <row r="9" customFormat="false" ht="784.5" hidden="false" customHeight="true" outlineLevel="0" collapsed="false">
      <c r="A9" s="10" t="s">
        <v>624</v>
      </c>
      <c r="B9" s="4" t="str">
        <f aca="false">VLOOKUP($B$1,'PARASTATAL Questions'!$A:$J,9,0)&amp;""</f>
        <v>Review the relevant Parastatal Act and Town and Country Planning Act.Score 2.50 if the parastatal shall/is required to ensure that its spatial/sectoral plan is consistent with the applicable city, metropolitan or regional statutory plan.Score 1.25 if the law provides that the parastatal may ensure/seek such consistency or otherwise makes alignment discretionary.Score 0 if no such provision exists.For example, a provision stating that a water supply plan shall conform to the applicable Master Plan or Metropolitan Plan would score 2.5, while a provision stating that the authority may have regard to such a plan would score 1.25.</v>
      </c>
    </row>
    <row r="10" customFormat="false" ht="102" hidden="false" customHeight="true" outlineLevel="0" collapsed="false">
      <c r="A10" s="10" t="s">
        <v>625</v>
      </c>
      <c r="B10" s="4" t="str">
        <f aca="false">VLOOKUP($B$1,'PARASTATAL Questions'!$A:$J,10,0)&amp;""</f>
        <v>Relevant Parastatal Act; applicable Town and Country Planning (T&amp;CP) Act.</v>
      </c>
    </row>
    <row r="11" customFormat="false" ht="15" hidden="false" customHeight="true" outlineLevel="0" collapsed="false">
      <c r="B11" s="14" t="s">
        <v>839</v>
      </c>
      <c r="I11" s="14" t="s">
        <v>900</v>
      </c>
      <c r="J11" s="14" t="s">
        <v>841</v>
      </c>
      <c r="L11" s="8" t="s">
        <v>842</v>
      </c>
    </row>
    <row r="12" customFormat="false" ht="51.75" hidden="false" customHeight="true" outlineLevel="0" collapsed="false">
      <c r="A12" s="1" t="s">
        <v>612</v>
      </c>
      <c r="B12" s="1" t="s">
        <v>843</v>
      </c>
      <c r="C12" s="1" t="s">
        <v>844</v>
      </c>
      <c r="D12" s="1" t="s">
        <v>845</v>
      </c>
      <c r="E12" s="1" t="s">
        <v>846</v>
      </c>
      <c r="F12" s="1" t="s">
        <v>847</v>
      </c>
      <c r="G12" s="1" t="s">
        <v>848</v>
      </c>
      <c r="H12" s="1" t="s">
        <v>14</v>
      </c>
      <c r="I12" s="1" t="s">
        <v>849</v>
      </c>
      <c r="J12" s="1" t="s">
        <v>850</v>
      </c>
      <c r="K12" s="1" t="s">
        <v>851</v>
      </c>
      <c r="L12" s="8" t="s">
        <v>852</v>
      </c>
    </row>
    <row r="13" customFormat="false" ht="415.5" hidden="false" customHeight="true" outlineLevel="0" collapsed="false">
      <c r="A13" s="8" t="s">
        <v>19</v>
      </c>
      <c r="B13" s="8" t="s">
        <v>853</v>
      </c>
      <c r="C13" s="8" t="s">
        <v>75</v>
      </c>
      <c r="D13" s="8" t="s">
        <v>901</v>
      </c>
      <c r="E13" s="8" t="s">
        <v>902</v>
      </c>
      <c r="F13" s="8" t="s">
        <v>903</v>
      </c>
      <c r="G13" s="8" t="s">
        <v>862</v>
      </c>
      <c r="H13" s="8" t="s">
        <v>31</v>
      </c>
      <c r="I13" s="15" t="n">
        <v>0</v>
      </c>
      <c r="J13" s="8" t="n">
        <f aca="false">IF(COUNTIFS('Scores (start here)'!$A:$A,$B$1,'Scores (start here)'!$B:$B,$A13,'Scores (start here)'!$F:$F,"&gt;=0")&gt;0,SUMIFS('Scores (start here)'!$F:$F,'Scores (start here)'!$A:$A,$B$1,'Scores (start here)'!$B:$B,$A13),L13)</f>
        <v>0</v>
      </c>
      <c r="K13" s="12" t="s">
        <v>904</v>
      </c>
      <c r="L13" s="8" t="n">
        <f aca="false">IF($B13="NO","NA",IF(I13="","",MIN(I13,$B$6)))</f>
        <v>0</v>
      </c>
    </row>
    <row r="14" customFormat="false" ht="15" hidden="false" customHeight="true" outlineLevel="0" collapsed="false">
      <c r="A14" s="16" t="s">
        <v>28</v>
      </c>
      <c r="B14" s="16" t="s">
        <v>905</v>
      </c>
      <c r="C14" s="16"/>
      <c r="D14" s="16"/>
      <c r="E14" s="16"/>
      <c r="F14" s="16"/>
      <c r="G14" s="16"/>
      <c r="H14" s="16"/>
      <c r="I14" s="17"/>
      <c r="J14" s="16" t="str">
        <f aca="false">IF(COUNTIFS('Scores (start here)'!$A:$A,$B$1,'Scores (start here)'!$B:$B,$A14,'Scores (start here)'!$F:$F,"&gt;=0")&gt;0,SUMIFS('Scores (start here)'!$F:$F,'Scores (start here)'!$A:$A,$B$1,'Scores (start here)'!$B:$B,$A14),L14)</f>
        <v>NA</v>
      </c>
      <c r="K14" s="16"/>
      <c r="L14" s="8" t="str">
        <f aca="false">IF($B14="NO","NA",IF(I14="","",MIN(I14,$B$6)))</f>
        <v>NA</v>
      </c>
    </row>
    <row r="15" customFormat="false" ht="15" hidden="false" customHeight="true" outlineLevel="0" collapsed="false">
      <c r="A15" s="16" t="s">
        <v>34</v>
      </c>
      <c r="B15" s="16" t="s">
        <v>905</v>
      </c>
      <c r="C15" s="16"/>
      <c r="D15" s="16"/>
      <c r="E15" s="16"/>
      <c r="F15" s="16"/>
      <c r="G15" s="16"/>
      <c r="H15" s="16"/>
      <c r="I15" s="17"/>
      <c r="J15" s="16" t="str">
        <f aca="false">IF(COUNTIFS('Scores (start here)'!$A:$A,$B$1,'Scores (start here)'!$B:$B,$A15,'Scores (start here)'!$F:$F,"&gt;=0")&gt;0,SUMIFS('Scores (start here)'!$F:$F,'Scores (start here)'!$A:$A,$B$1,'Scores (start here)'!$B:$B,$A15),L15)</f>
        <v>NA</v>
      </c>
      <c r="K15" s="16"/>
      <c r="L15" s="8" t="str">
        <f aca="false">IF($B15="NO","NA",IF(I15="","",MIN(I15,$B$6)))</f>
        <v>NA</v>
      </c>
    </row>
    <row r="16" customFormat="false" ht="15" hidden="false" customHeight="true" outlineLevel="0" collapsed="false">
      <c r="A16" s="16" t="s">
        <v>40</v>
      </c>
      <c r="B16" s="16" t="s">
        <v>905</v>
      </c>
      <c r="C16" s="16"/>
      <c r="D16" s="16"/>
      <c r="E16" s="16"/>
      <c r="F16" s="16"/>
      <c r="G16" s="16"/>
      <c r="H16" s="16"/>
      <c r="I16" s="17"/>
      <c r="J16" s="16" t="str">
        <f aca="false">IF(COUNTIFS('Scores (start here)'!$A:$A,$B$1,'Scores (start here)'!$B:$B,$A16,'Scores (start here)'!$F:$F,"&gt;=0")&gt;0,SUMIFS('Scores (start here)'!$F:$F,'Scores (start here)'!$A:$A,$B$1,'Scores (start here)'!$B:$B,$A16),L16)</f>
        <v>NA</v>
      </c>
      <c r="K16" s="16"/>
      <c r="L16" s="8" t="str">
        <f aca="false">IF($B16="NO","NA",IF(I16="","",MIN(I16,$B$6)))</f>
        <v>NA</v>
      </c>
    </row>
    <row r="17" customFormat="false" ht="15" hidden="false" customHeight="true" outlineLevel="0" collapsed="false">
      <c r="A17" s="16" t="s">
        <v>45</v>
      </c>
      <c r="B17" s="16" t="s">
        <v>905</v>
      </c>
      <c r="C17" s="16"/>
      <c r="D17" s="16"/>
      <c r="E17" s="16"/>
      <c r="F17" s="16"/>
      <c r="G17" s="16"/>
      <c r="H17" s="16"/>
      <c r="I17" s="17"/>
      <c r="J17" s="16" t="str">
        <f aca="false">IF(COUNTIFS('Scores (start here)'!$A:$A,$B$1,'Scores (start here)'!$B:$B,$A17,'Scores (start here)'!$F:$F,"&gt;=0")&gt;0,SUMIFS('Scores (start here)'!$F:$F,'Scores (start here)'!$A:$A,$B$1,'Scores (start here)'!$B:$B,$A17),L17)</f>
        <v>NA</v>
      </c>
      <c r="K17" s="16"/>
      <c r="L17" s="8" t="str">
        <f aca="false">IF($B17="NO","NA",IF(I17="","",MIN(I17,$B$6)))</f>
        <v>NA</v>
      </c>
    </row>
    <row r="18" customFormat="false" ht="15" hidden="false" customHeight="true" outlineLevel="0" collapsed="false">
      <c r="A18" s="16" t="s">
        <v>51</v>
      </c>
      <c r="B18" s="16" t="s">
        <v>905</v>
      </c>
      <c r="C18" s="16"/>
      <c r="D18" s="16"/>
      <c r="E18" s="16"/>
      <c r="F18" s="16"/>
      <c r="G18" s="16"/>
      <c r="H18" s="16"/>
      <c r="I18" s="17"/>
      <c r="J18" s="16" t="str">
        <f aca="false">IF(COUNTIFS('Scores (start here)'!$A:$A,$B$1,'Scores (start here)'!$B:$B,$A18,'Scores (start here)'!$F:$F,"&gt;=0")&gt;0,SUMIFS('Scores (start here)'!$F:$F,'Scores (start here)'!$A:$A,$B$1,'Scores (start here)'!$B:$B,$A18),L18)</f>
        <v>NA</v>
      </c>
      <c r="K18" s="16"/>
      <c r="L18" s="8" t="str">
        <f aca="false">IF($B18="NO","NA",IF(I18="","",MIN(I18,$B$6)))</f>
        <v>NA</v>
      </c>
    </row>
    <row r="19" customFormat="false" ht="15" hidden="false" customHeight="true" outlineLevel="0" collapsed="false">
      <c r="A19" s="16" t="s">
        <v>54</v>
      </c>
      <c r="B19" s="16" t="s">
        <v>905</v>
      </c>
      <c r="C19" s="16"/>
      <c r="D19" s="16"/>
      <c r="E19" s="16"/>
      <c r="F19" s="16"/>
      <c r="G19" s="16"/>
      <c r="H19" s="16"/>
      <c r="I19" s="17"/>
      <c r="J19" s="16" t="str">
        <f aca="false">IF(COUNTIFS('Scores (start here)'!$A:$A,$B$1,'Scores (start here)'!$B:$B,$A19,'Scores (start here)'!$F:$F,"&gt;=0")&gt;0,SUMIFS('Scores (start here)'!$F:$F,'Scores (start here)'!$A:$A,$B$1,'Scores (start here)'!$B:$B,$A19),L19)</f>
        <v>NA</v>
      </c>
      <c r="K19" s="16"/>
      <c r="L19" s="8" t="str">
        <f aca="false">IF($B19="NO","NA",IF(I19="","",MIN(I19,$B$6)))</f>
        <v>NA</v>
      </c>
    </row>
  </sheetData>
  <dataValidations count="1">
    <dataValidation allowBlank="true" error="See the instruction above the 'Score' column." errorStyle="stop" operator="between" showDropDown="false" showErrorMessage="true" showInputMessage="false" sqref="I13:I19" type="decimal">
      <formula1>0</formula1>
      <formula2>2.5</formula2>
    </dataValidation>
  </dataValidations>
  <hyperlinks>
    <hyperlink ref="J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8" width="28"/>
    <col collapsed="false" customWidth="true" hidden="false" outlineLevel="0" max="2" min="2" style="8" width="10"/>
    <col collapsed="false" customWidth="true" hidden="false" outlineLevel="0" max="3" min="3" style="8" width="30"/>
    <col collapsed="false" customWidth="true" hidden="false" outlineLevel="0" max="8" min="8" style="8" width="10"/>
    <col collapsed="false" customWidth="true" hidden="false" outlineLevel="0" max="9" min="9" style="8" width="40"/>
  </cols>
  <sheetData>
    <row r="1" customFormat="false" ht="15" hidden="false" customHeight="true" outlineLevel="0" collapsed="false">
      <c r="A1" s="8" t="s">
        <v>836</v>
      </c>
      <c r="B1" s="8" t="s">
        <v>78</v>
      </c>
      <c r="C1" s="8" t="s">
        <v>837</v>
      </c>
      <c r="J1" s="13" t="s">
        <v>838</v>
      </c>
    </row>
    <row r="2" customFormat="false" ht="45.75" hidden="false" customHeight="true" outlineLevel="0" collapsed="false">
      <c r="A2" s="10" t="s">
        <v>589</v>
      </c>
      <c r="B2" s="4" t="str">
        <f aca="false">VLOOKUP($B$1,'PARASTATAL Questions'!$A:$J,3,0)&amp;""</f>
        <v>Urban Planning &amp; Design (UPD)</v>
      </c>
    </row>
    <row r="3" customFormat="false" ht="15" hidden="false" customHeight="true" outlineLevel="0" collapsed="false">
      <c r="A3" s="10" t="s">
        <v>622</v>
      </c>
      <c r="B3" s="4" t="str">
        <f aca="false">VLOOKUP($B$1,'PARASTATAL Questions'!$A:$J,2,0)&amp;""</f>
        <v>UPD 2b</v>
      </c>
    </row>
    <row r="4" customFormat="false" ht="15" hidden="false" customHeight="true" outlineLevel="0" collapsed="false">
      <c r="A4" s="10" t="s">
        <v>590</v>
      </c>
      <c r="B4" s="4" t="str">
        <f aca="false">VLOOKUP($B$1,'PARASTATAL Questions'!$A:$J,4,0)&amp;""</f>
        <v>SQ</v>
      </c>
    </row>
    <row r="5" customFormat="false" ht="258.75" hidden="false" customHeight="true" outlineLevel="0" collapsed="false">
      <c r="A5" s="10" t="s">
        <v>0</v>
      </c>
      <c r="B5" s="4" t="str">
        <f aca="false">VLOOKUP($B$1,'PARASTATAL Questions'!$A:$J,5,0)&amp;""</f>
        <v>Where multiple statutory or sectoral plans apply to the same territory, does the water supply board ensure consistency with the applicable metropolitan/regional or city master plan/strategic plan for the city?</v>
      </c>
    </row>
    <row r="6" customFormat="false" ht="15" hidden="false" customHeight="true" outlineLevel="0" collapsed="false">
      <c r="A6" s="10" t="s">
        <v>592</v>
      </c>
      <c r="B6" s="4" t="n">
        <f aca="false">VLOOKUP($B$1,'PARASTATAL Questions'!$A:$J,6,0)</f>
        <v>2.5</v>
      </c>
    </row>
    <row r="7" customFormat="false" ht="23.25" hidden="false" customHeight="true" outlineLevel="0" collapsed="false">
      <c r="A7" s="10" t="s">
        <v>591</v>
      </c>
      <c r="B7" s="4" t="str">
        <f aca="false">VLOOKUP($B$1,'PARASTATAL Questions'!$A:$J,7,0)&amp;""</f>
        <v>Implementation</v>
      </c>
    </row>
    <row r="8" customFormat="false" ht="34.5" hidden="false" customHeight="true" outlineLevel="0" collapsed="false">
      <c r="A8" s="10" t="s">
        <v>623</v>
      </c>
      <c r="B8" s="4" t="str">
        <f aca="false">VLOOKUP($B$1,'PARASTATAL Questions'!$A:$J,8,0)&amp;""</f>
        <v>Water supply board</v>
      </c>
    </row>
    <row r="9" customFormat="false" ht="1960.5" hidden="false" customHeight="true" outlineLevel="0" collapsed="false">
      <c r="A9" s="10" t="s">
        <v>624</v>
      </c>
      <c r="B9" s="4" t="str">
        <f aca="false">VLOOKUP($B$1,'PARASTATAL Questions'!$A:$J,9,0)&amp;""</f>
        <v>Review the Board’s current water supply/sewerage master plan, or equivalent sectoral planning document, together with the applicable Master Plan/Development Plan/Metropolitan or Regional Plan. Score 2.5 if the water plan demonstrates substantive spatial alignment with the city’s master plan: It explicitly draws reference to the city master plan, uses the master plan’s growth/service areas and/or land-use framework to determine network expansion and major infrastructure siting, and also refers to the master plan or its projections as an input.Score 1.25 if there is partial alignment: the water plan refers to the master plan and/or uses its population, density or land-use projections, but does not clearly demonstrate that these inputs determine the spatial location of network expansion, service areas or major infrastructure.Score 0 if there is no identifiable evidence that the Master Plan or its spatial/population framework informs water planning. The score sheet should record components for scores, the plan/document relied upon, year, applicable statutory master plan and the specific reference demonstrating alignment. Additional quality check, and not for scoring:Where readily available, record whether major treatment plants, trunk infrastructure or other significant facilities have required subsequent land-use conversion/regularisation because they were located on land not originally designated for that use. Treat this as contextual evidence of planning misalignment; it should not require a project-by-project review across the entire city.</v>
      </c>
    </row>
    <row r="10" customFormat="false" ht="370.5" hidden="false" customHeight="true" outlineLevel="0" collapsed="false">
      <c r="A10" s="10" t="s">
        <v>625</v>
      </c>
      <c r="B10" s="4" t="str">
        <f aca="false">VLOOKUP($B$1,'PARASTATAL Questions'!$A:$J,10,0)&amp;""</f>
        <v>Water Supply Board's current water supply/sewerage master plan or equivalent sectoral planning document; applicable Master Plan/Development Plan/Metropolitan or Regional Plan; land-use conversion/regularisation records for major treatment plants or trunk infrastructure, where available.</v>
      </c>
    </row>
    <row r="11" customFormat="false" ht="15" hidden="false" customHeight="true" outlineLevel="0" collapsed="false">
      <c r="B11" s="14" t="s">
        <v>839</v>
      </c>
      <c r="I11" s="14" t="s">
        <v>900</v>
      </c>
      <c r="J11" s="14" t="s">
        <v>841</v>
      </c>
      <c r="L11" s="8" t="s">
        <v>842</v>
      </c>
    </row>
    <row r="12" customFormat="false" ht="51.75" hidden="false" customHeight="true" outlineLevel="0" collapsed="false">
      <c r="A12" s="1" t="s">
        <v>612</v>
      </c>
      <c r="B12" s="1" t="s">
        <v>843</v>
      </c>
      <c r="C12" s="1" t="s">
        <v>844</v>
      </c>
      <c r="D12" s="1" t="s">
        <v>845</v>
      </c>
      <c r="E12" s="1" t="s">
        <v>846</v>
      </c>
      <c r="F12" s="1" t="s">
        <v>847</v>
      </c>
      <c r="G12" s="1" t="s">
        <v>848</v>
      </c>
      <c r="H12" s="1" t="s">
        <v>14</v>
      </c>
      <c r="I12" s="1" t="s">
        <v>849</v>
      </c>
      <c r="J12" s="1" t="s">
        <v>850</v>
      </c>
      <c r="K12" s="1" t="s">
        <v>851</v>
      </c>
      <c r="L12" s="8" t="s">
        <v>852</v>
      </c>
    </row>
    <row r="13" customFormat="false" ht="15" hidden="false" customHeight="true" outlineLevel="0" collapsed="false">
      <c r="A13" s="8" t="s">
        <v>19</v>
      </c>
      <c r="B13" s="8" t="s">
        <v>853</v>
      </c>
      <c r="I13" s="15"/>
      <c r="J13" s="8" t="str">
        <f aca="false">IF(COUNTIFS('Scores (start here)'!$A:$A,$B$1,'Scores (start here)'!$B:$B,$A13,'Scores (start here)'!$F:$F,"&gt;=0")&gt;0,SUMIFS('Scores (start here)'!$F:$F,'Scores (start here)'!$A:$A,$B$1,'Scores (start here)'!$B:$B,$A13),L13)</f>
        <v/>
      </c>
      <c r="K13" s="8" t="s">
        <v>906</v>
      </c>
      <c r="L13" s="8" t="str">
        <f aca="false">IF($B13="NO","NA",IF(I13="","",MIN(I13,$B$6)))</f>
        <v/>
      </c>
    </row>
    <row r="14" customFormat="false" ht="15" hidden="false" customHeight="true" outlineLevel="0" collapsed="false">
      <c r="A14" s="16" t="s">
        <v>28</v>
      </c>
      <c r="B14" s="16" t="s">
        <v>905</v>
      </c>
      <c r="C14" s="16"/>
      <c r="D14" s="16"/>
      <c r="E14" s="16"/>
      <c r="F14" s="16"/>
      <c r="G14" s="16"/>
      <c r="H14" s="16"/>
      <c r="I14" s="17"/>
      <c r="J14" s="16" t="str">
        <f aca="false">IF(COUNTIFS('Scores (start here)'!$A:$A,$B$1,'Scores (start here)'!$B:$B,$A14,'Scores (start here)'!$F:$F,"&gt;=0")&gt;0,SUMIFS('Scores (start here)'!$F:$F,'Scores (start here)'!$A:$A,$B$1,'Scores (start here)'!$B:$B,$A14),L14)</f>
        <v>NA</v>
      </c>
      <c r="K14" s="16"/>
      <c r="L14" s="8" t="str">
        <f aca="false">IF($B14="NO","NA",IF(I14="","",MIN(I14,$B$6)))</f>
        <v>NA</v>
      </c>
    </row>
    <row r="15" customFormat="false" ht="15" hidden="false" customHeight="true" outlineLevel="0" collapsed="false">
      <c r="A15" s="16" t="s">
        <v>34</v>
      </c>
      <c r="B15" s="16" t="s">
        <v>905</v>
      </c>
      <c r="C15" s="16"/>
      <c r="D15" s="16"/>
      <c r="E15" s="16"/>
      <c r="F15" s="16"/>
      <c r="G15" s="16"/>
      <c r="H15" s="16"/>
      <c r="I15" s="17"/>
      <c r="J15" s="16" t="str">
        <f aca="false">IF(COUNTIFS('Scores (start here)'!$A:$A,$B$1,'Scores (start here)'!$B:$B,$A15,'Scores (start here)'!$F:$F,"&gt;=0")&gt;0,SUMIFS('Scores (start here)'!$F:$F,'Scores (start here)'!$A:$A,$B$1,'Scores (start here)'!$B:$B,$A15),L15)</f>
        <v>NA</v>
      </c>
      <c r="K15" s="16"/>
      <c r="L15" s="8" t="str">
        <f aca="false">IF($B15="NO","NA",IF(I15="","",MIN(I15,$B$6)))</f>
        <v>NA</v>
      </c>
    </row>
    <row r="16" customFormat="false" ht="15" hidden="false" customHeight="true" outlineLevel="0" collapsed="false">
      <c r="A16" s="16" t="s">
        <v>40</v>
      </c>
      <c r="B16" s="16" t="s">
        <v>905</v>
      </c>
      <c r="C16" s="16"/>
      <c r="D16" s="16"/>
      <c r="E16" s="16"/>
      <c r="F16" s="16"/>
      <c r="G16" s="16"/>
      <c r="H16" s="16"/>
      <c r="I16" s="17"/>
      <c r="J16" s="16" t="str">
        <f aca="false">IF(COUNTIFS('Scores (start here)'!$A:$A,$B$1,'Scores (start here)'!$B:$B,$A16,'Scores (start here)'!$F:$F,"&gt;=0")&gt;0,SUMIFS('Scores (start here)'!$F:$F,'Scores (start here)'!$A:$A,$B$1,'Scores (start here)'!$B:$B,$A16),L16)</f>
        <v>NA</v>
      </c>
      <c r="K16" s="16"/>
      <c r="L16" s="8" t="str">
        <f aca="false">IF($B16="NO","NA",IF(I16="","",MIN(I16,$B$6)))</f>
        <v>NA</v>
      </c>
    </row>
    <row r="17" customFormat="false" ht="15" hidden="false" customHeight="true" outlineLevel="0" collapsed="false">
      <c r="A17" s="16" t="s">
        <v>45</v>
      </c>
      <c r="B17" s="16" t="s">
        <v>905</v>
      </c>
      <c r="C17" s="16"/>
      <c r="D17" s="16"/>
      <c r="E17" s="16"/>
      <c r="F17" s="16"/>
      <c r="G17" s="16"/>
      <c r="H17" s="16"/>
      <c r="I17" s="17"/>
      <c r="J17" s="16" t="str">
        <f aca="false">IF(COUNTIFS('Scores (start here)'!$A:$A,$B$1,'Scores (start here)'!$B:$B,$A17,'Scores (start here)'!$F:$F,"&gt;=0")&gt;0,SUMIFS('Scores (start here)'!$F:$F,'Scores (start here)'!$A:$A,$B$1,'Scores (start here)'!$B:$B,$A17),L17)</f>
        <v>NA</v>
      </c>
      <c r="K17" s="16"/>
      <c r="L17" s="8" t="str">
        <f aca="false">IF($B17="NO","NA",IF(I17="","",MIN(I17,$B$6)))</f>
        <v>NA</v>
      </c>
    </row>
    <row r="18" customFormat="false" ht="15" hidden="false" customHeight="true" outlineLevel="0" collapsed="false">
      <c r="A18" s="16" t="s">
        <v>51</v>
      </c>
      <c r="B18" s="16" t="s">
        <v>905</v>
      </c>
      <c r="C18" s="16"/>
      <c r="D18" s="16"/>
      <c r="E18" s="16"/>
      <c r="F18" s="16"/>
      <c r="G18" s="16"/>
      <c r="H18" s="16"/>
      <c r="I18" s="17"/>
      <c r="J18" s="16" t="str">
        <f aca="false">IF(COUNTIFS('Scores (start here)'!$A:$A,$B$1,'Scores (start here)'!$B:$B,$A18,'Scores (start here)'!$F:$F,"&gt;=0")&gt;0,SUMIFS('Scores (start here)'!$F:$F,'Scores (start here)'!$A:$A,$B$1,'Scores (start here)'!$B:$B,$A18),L18)</f>
        <v>NA</v>
      </c>
      <c r="K18" s="16"/>
      <c r="L18" s="8" t="str">
        <f aca="false">IF($B18="NO","NA",IF(I18="","",MIN(I18,$B$6)))</f>
        <v>NA</v>
      </c>
    </row>
    <row r="19" customFormat="false" ht="15" hidden="false" customHeight="true" outlineLevel="0" collapsed="false">
      <c r="A19" s="16" t="s">
        <v>54</v>
      </c>
      <c r="B19" s="16" t="s">
        <v>905</v>
      </c>
      <c r="C19" s="16"/>
      <c r="D19" s="16"/>
      <c r="E19" s="16"/>
      <c r="F19" s="16"/>
      <c r="G19" s="16"/>
      <c r="H19" s="16"/>
      <c r="I19" s="17"/>
      <c r="J19" s="16" t="str">
        <f aca="false">IF(COUNTIFS('Scores (start here)'!$A:$A,$B$1,'Scores (start here)'!$B:$B,$A19,'Scores (start here)'!$F:$F,"&gt;=0")&gt;0,SUMIFS('Scores (start here)'!$F:$F,'Scores (start here)'!$A:$A,$B$1,'Scores (start here)'!$B:$B,$A19),L19)</f>
        <v>NA</v>
      </c>
      <c r="K19" s="16"/>
      <c r="L19" s="8" t="str">
        <f aca="false">IF($B19="NO","NA",IF(I19="","",MIN(I19,$B$6)))</f>
        <v>NA</v>
      </c>
    </row>
  </sheetData>
  <dataValidations count="1">
    <dataValidation allowBlank="true" error="See the instruction above the 'Score' column." errorStyle="stop" operator="between" showDropDown="false" showErrorMessage="true" showInputMessage="false" sqref="I13:I19" type="decimal">
      <formula1>0</formula1>
      <formula2>2.5</formula2>
    </dataValidation>
  </dataValidations>
  <hyperlinks>
    <hyperlink ref="J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8" width="28"/>
    <col collapsed="false" customWidth="true" hidden="false" outlineLevel="0" max="2" min="2" style="8" width="10"/>
    <col collapsed="false" customWidth="true" hidden="false" outlineLevel="0" max="3" min="3" style="8" width="30"/>
    <col collapsed="false" customWidth="true" hidden="false" outlineLevel="0" max="8" min="8" style="8" width="10"/>
    <col collapsed="false" customWidth="true" hidden="false" outlineLevel="0" max="9" min="9" style="8" width="40"/>
  </cols>
  <sheetData>
    <row r="1" customFormat="false" ht="15" hidden="false" customHeight="true" outlineLevel="0" collapsed="false">
      <c r="A1" s="8" t="s">
        <v>836</v>
      </c>
      <c r="B1" s="8" t="s">
        <v>80</v>
      </c>
      <c r="C1" s="8" t="s">
        <v>837</v>
      </c>
      <c r="J1" s="13" t="s">
        <v>838</v>
      </c>
    </row>
    <row r="2" customFormat="false" ht="45.75" hidden="false" customHeight="true" outlineLevel="0" collapsed="false">
      <c r="A2" s="10" t="s">
        <v>589</v>
      </c>
      <c r="B2" s="4" t="str">
        <f aca="false">VLOOKUP($B$1,'PARASTATAL Questions'!$A:$J,3,0)&amp;""</f>
        <v>Urban Planning &amp; Design (UPD)</v>
      </c>
    </row>
    <row r="3" customFormat="false" ht="15" hidden="false" customHeight="true" outlineLevel="0" collapsed="false">
      <c r="A3" s="10" t="s">
        <v>622</v>
      </c>
      <c r="B3" s="4" t="str">
        <f aca="false">VLOOKUP($B$1,'PARASTATAL Questions'!$A:$J,2,0)&amp;""</f>
        <v>UPD 2c</v>
      </c>
    </row>
    <row r="4" customFormat="false" ht="15" hidden="false" customHeight="true" outlineLevel="0" collapsed="false">
      <c r="A4" s="10" t="s">
        <v>590</v>
      </c>
      <c r="B4" s="4" t="str">
        <f aca="false">VLOOKUP($B$1,'PARASTATAL Questions'!$A:$J,4,0)&amp;""</f>
        <v>SQ</v>
      </c>
    </row>
    <row r="5" customFormat="false" ht="270" hidden="false" customHeight="true" outlineLevel="0" collapsed="false">
      <c r="A5" s="10" t="s">
        <v>0</v>
      </c>
      <c r="B5" s="4" t="str">
        <f aca="false">VLOOKUP($B$1,'PARASTATAL Questions'!$A:$J,5,0)&amp;""</f>
        <v>Where multiple statutory or sectoral plans apply to the same territory, is the transport corporation mandated to ensure consistency with the applicable metropolitan/regional or city master plan/strategic plan for the city?</v>
      </c>
    </row>
    <row r="6" customFormat="false" ht="15" hidden="false" customHeight="true" outlineLevel="0" collapsed="false">
      <c r="A6" s="10" t="s">
        <v>592</v>
      </c>
      <c r="B6" s="4" t="n">
        <f aca="false">VLOOKUP($B$1,'PARASTATAL Questions'!$A:$J,6,0)</f>
        <v>2.5</v>
      </c>
    </row>
    <row r="7" customFormat="false" ht="15" hidden="false" customHeight="true" outlineLevel="0" collapsed="false">
      <c r="A7" s="10" t="s">
        <v>591</v>
      </c>
      <c r="B7" s="4" t="str">
        <f aca="false">VLOOKUP($B$1,'PARASTATAL Questions'!$A:$J,7,0)&amp;""</f>
        <v>Law/Policy</v>
      </c>
    </row>
    <row r="8" customFormat="false" ht="34.5" hidden="false" customHeight="true" outlineLevel="0" collapsed="false">
      <c r="A8" s="10" t="s">
        <v>623</v>
      </c>
      <c r="B8" s="4" t="str">
        <f aca="false">VLOOKUP($B$1,'PARASTATAL Questions'!$A:$J,8,0)&amp;""</f>
        <v>Transport Corporation</v>
      </c>
    </row>
    <row r="9" customFormat="false" ht="773.25" hidden="false" customHeight="true" outlineLevel="0" collapsed="false">
      <c r="A9" s="10" t="s">
        <v>624</v>
      </c>
      <c r="B9" s="4" t="str">
        <f aca="false">VLOOKUP($B$1,'PARASTATAL Questions'!$A:$J,9,0)&amp;""</f>
        <v>Review the relevant Parastatal Act and Town and Country Planning Act.Score 2.5 if the parastatal shall/is required to ensure that its spatial/sectoral plan is consistent with the applicable city, metropolitan or regional statutory plan.Score 1.25 if the law provides that the parastatal may ensure/seek such consistency or otherwise makes alignment discretionary.Score 0 if no such provision exists.For example, a provision stating that a transport plan shall conform to the applicable Master Plan or Metropolitan Plan would score 2.5, while a provision stating that the authority may have regard to such a plan would score 1.25.</v>
      </c>
    </row>
    <row r="10" customFormat="false" ht="102" hidden="false" customHeight="true" outlineLevel="0" collapsed="false">
      <c r="A10" s="10" t="s">
        <v>625</v>
      </c>
      <c r="B10" s="4" t="str">
        <f aca="false">VLOOKUP($B$1,'PARASTATAL Questions'!$A:$J,10,0)&amp;""</f>
        <v>Relevant Parastatal Act; applicable Town and Country Planning (T&amp;CP) Act.</v>
      </c>
    </row>
    <row r="11" customFormat="false" ht="15" hidden="false" customHeight="true" outlineLevel="0" collapsed="false">
      <c r="B11" s="14" t="s">
        <v>839</v>
      </c>
      <c r="I11" s="14" t="s">
        <v>900</v>
      </c>
      <c r="J11" s="14" t="s">
        <v>841</v>
      </c>
      <c r="L11" s="8" t="s">
        <v>842</v>
      </c>
    </row>
    <row r="12" customFormat="false" ht="51.75" hidden="false" customHeight="true" outlineLevel="0" collapsed="false">
      <c r="A12" s="1" t="s">
        <v>612</v>
      </c>
      <c r="B12" s="1" t="s">
        <v>843</v>
      </c>
      <c r="C12" s="1" t="s">
        <v>844</v>
      </c>
      <c r="D12" s="1" t="s">
        <v>845</v>
      </c>
      <c r="E12" s="1" t="s">
        <v>846</v>
      </c>
      <c r="F12" s="1" t="s">
        <v>847</v>
      </c>
      <c r="G12" s="1" t="s">
        <v>848</v>
      </c>
      <c r="H12" s="1" t="s">
        <v>14</v>
      </c>
      <c r="I12" s="1" t="s">
        <v>849</v>
      </c>
      <c r="J12" s="1" t="s">
        <v>850</v>
      </c>
      <c r="K12" s="1" t="s">
        <v>851</v>
      </c>
      <c r="L12" s="8" t="s">
        <v>852</v>
      </c>
    </row>
    <row r="13" customFormat="false" ht="15" hidden="false" customHeight="true" outlineLevel="0" collapsed="false">
      <c r="A13" s="16" t="s">
        <v>19</v>
      </c>
      <c r="B13" s="16" t="s">
        <v>905</v>
      </c>
      <c r="C13" s="16"/>
      <c r="D13" s="16"/>
      <c r="E13" s="16"/>
      <c r="F13" s="16"/>
      <c r="G13" s="16"/>
      <c r="H13" s="16"/>
      <c r="I13" s="17"/>
      <c r="J13" s="16" t="str">
        <f aca="false">IF(COUNTIFS('Scores (start here)'!$A:$A,$B$1,'Scores (start here)'!$B:$B,$A13,'Scores (start here)'!$F:$F,"&gt;=0")&gt;0,SUMIFS('Scores (start here)'!$F:$F,'Scores (start here)'!$A:$A,$B$1,'Scores (start here)'!$B:$B,$A13),L13)</f>
        <v>NA</v>
      </c>
      <c r="K13" s="16"/>
      <c r="L13" s="8" t="str">
        <f aca="false">IF($B13="NO","NA",IF(I13="","",MIN(I13,$B$6)))</f>
        <v>NA</v>
      </c>
    </row>
    <row r="14" customFormat="false" ht="258.75" hidden="false" customHeight="true" outlineLevel="0" collapsed="false">
      <c r="A14" s="8" t="s">
        <v>28</v>
      </c>
      <c r="B14" s="8" t="s">
        <v>853</v>
      </c>
      <c r="C14" s="8" t="s">
        <v>82</v>
      </c>
      <c r="D14" s="8" t="s">
        <v>907</v>
      </c>
      <c r="E14" s="8" t="s">
        <v>908</v>
      </c>
      <c r="F14" s="8" t="s">
        <v>909</v>
      </c>
      <c r="G14" s="8" t="s">
        <v>910</v>
      </c>
      <c r="H14" s="8" t="s">
        <v>83</v>
      </c>
      <c r="I14" s="15" t="n">
        <v>2.5</v>
      </c>
      <c r="J14" s="8" t="n">
        <f aca="false">IF(COUNTIFS('Scores (start here)'!$A:$A,$B$1,'Scores (start here)'!$B:$B,$A14,'Scores (start here)'!$F:$F,"&gt;=0")&gt;0,SUMIFS('Scores (start here)'!$F:$F,'Scores (start here)'!$A:$A,$B$1,'Scores (start here)'!$B:$B,$A14),L14)</f>
        <v>2.5</v>
      </c>
      <c r="K14" s="12" t="s">
        <v>911</v>
      </c>
      <c r="L14" s="8" t="n">
        <f aca="false">IF($B14="NO","NA",IF(I14="","",MIN(I14,$B$6)))</f>
        <v>2.5</v>
      </c>
    </row>
    <row r="15" customFormat="false" ht="15" hidden="false" customHeight="true" outlineLevel="0" collapsed="false">
      <c r="A15" s="16" t="s">
        <v>34</v>
      </c>
      <c r="B15" s="16" t="s">
        <v>905</v>
      </c>
      <c r="C15" s="16"/>
      <c r="D15" s="16"/>
      <c r="E15" s="16"/>
      <c r="F15" s="16"/>
      <c r="G15" s="16"/>
      <c r="H15" s="16"/>
      <c r="I15" s="17"/>
      <c r="J15" s="16" t="str">
        <f aca="false">IF(COUNTIFS('Scores (start here)'!$A:$A,$B$1,'Scores (start here)'!$B:$B,$A15,'Scores (start here)'!$F:$F,"&gt;=0")&gt;0,SUMIFS('Scores (start here)'!$F:$F,'Scores (start here)'!$A:$A,$B$1,'Scores (start here)'!$B:$B,$A15),L15)</f>
        <v>NA</v>
      </c>
      <c r="K15" s="16"/>
      <c r="L15" s="8" t="str">
        <f aca="false">IF($B15="NO","NA",IF(I15="","",MIN(I15,$B$6)))</f>
        <v>NA</v>
      </c>
    </row>
    <row r="16" customFormat="false" ht="15" hidden="false" customHeight="true" outlineLevel="0" collapsed="false">
      <c r="A16" s="16" t="s">
        <v>40</v>
      </c>
      <c r="B16" s="16" t="s">
        <v>905</v>
      </c>
      <c r="C16" s="16"/>
      <c r="D16" s="16"/>
      <c r="E16" s="16"/>
      <c r="F16" s="16"/>
      <c r="G16" s="16"/>
      <c r="H16" s="16"/>
      <c r="I16" s="17"/>
      <c r="J16" s="16" t="str">
        <f aca="false">IF(COUNTIFS('Scores (start here)'!$A:$A,$B$1,'Scores (start here)'!$B:$B,$A16,'Scores (start here)'!$F:$F,"&gt;=0")&gt;0,SUMIFS('Scores (start here)'!$F:$F,'Scores (start here)'!$A:$A,$B$1,'Scores (start here)'!$B:$B,$A16),L16)</f>
        <v>NA</v>
      </c>
      <c r="K16" s="16"/>
      <c r="L16" s="8" t="str">
        <f aca="false">IF($B16="NO","NA",IF(I16="","",MIN(I16,$B$6)))</f>
        <v>NA</v>
      </c>
    </row>
    <row r="17" customFormat="false" ht="15" hidden="false" customHeight="true" outlineLevel="0" collapsed="false">
      <c r="A17" s="16" t="s">
        <v>45</v>
      </c>
      <c r="B17" s="16" t="s">
        <v>905</v>
      </c>
      <c r="C17" s="16"/>
      <c r="D17" s="16"/>
      <c r="E17" s="16"/>
      <c r="F17" s="16"/>
      <c r="G17" s="16"/>
      <c r="H17" s="16"/>
      <c r="I17" s="17"/>
      <c r="J17" s="16" t="str">
        <f aca="false">IF(COUNTIFS('Scores (start here)'!$A:$A,$B$1,'Scores (start here)'!$B:$B,$A17,'Scores (start here)'!$F:$F,"&gt;=0")&gt;0,SUMIFS('Scores (start here)'!$F:$F,'Scores (start here)'!$A:$A,$B$1,'Scores (start here)'!$B:$B,$A17),L17)</f>
        <v>NA</v>
      </c>
      <c r="K17" s="16"/>
      <c r="L17" s="8" t="str">
        <f aca="false">IF($B17="NO","NA",IF(I17="","",MIN(I17,$B$6)))</f>
        <v>NA</v>
      </c>
    </row>
    <row r="18" customFormat="false" ht="15" hidden="false" customHeight="true" outlineLevel="0" collapsed="false">
      <c r="A18" s="16" t="s">
        <v>51</v>
      </c>
      <c r="B18" s="16" t="s">
        <v>905</v>
      </c>
      <c r="C18" s="16"/>
      <c r="D18" s="16"/>
      <c r="E18" s="16"/>
      <c r="F18" s="16"/>
      <c r="G18" s="16"/>
      <c r="H18" s="16"/>
      <c r="I18" s="17"/>
      <c r="J18" s="16" t="str">
        <f aca="false">IF(COUNTIFS('Scores (start here)'!$A:$A,$B$1,'Scores (start here)'!$B:$B,$A18,'Scores (start here)'!$F:$F,"&gt;=0")&gt;0,SUMIFS('Scores (start here)'!$F:$F,'Scores (start here)'!$A:$A,$B$1,'Scores (start here)'!$B:$B,$A18),L18)</f>
        <v>NA</v>
      </c>
      <c r="K18" s="16"/>
      <c r="L18" s="8" t="str">
        <f aca="false">IF($B18="NO","NA",IF(I18="","",MIN(I18,$B$6)))</f>
        <v>NA</v>
      </c>
    </row>
    <row r="19" customFormat="false" ht="15" hidden="false" customHeight="true" outlineLevel="0" collapsed="false">
      <c r="A19" s="16" t="s">
        <v>54</v>
      </c>
      <c r="B19" s="16" t="s">
        <v>905</v>
      </c>
      <c r="C19" s="16"/>
      <c r="D19" s="16"/>
      <c r="E19" s="16"/>
      <c r="F19" s="16"/>
      <c r="G19" s="16"/>
      <c r="H19" s="16"/>
      <c r="I19" s="17"/>
      <c r="J19" s="16" t="str">
        <f aca="false">IF(COUNTIFS('Scores (start here)'!$A:$A,$B$1,'Scores (start here)'!$B:$B,$A19,'Scores (start here)'!$F:$F,"&gt;=0")&gt;0,SUMIFS('Scores (start here)'!$F:$F,'Scores (start here)'!$A:$A,$B$1,'Scores (start here)'!$B:$B,$A19),L19)</f>
        <v>NA</v>
      </c>
      <c r="K19" s="16"/>
      <c r="L19" s="8" t="str">
        <f aca="false">IF($B19="NO","NA",IF(I19="","",MIN(I19,$B$6)))</f>
        <v>NA</v>
      </c>
    </row>
  </sheetData>
  <dataValidations count="1">
    <dataValidation allowBlank="true" error="See the instruction above the 'Score' column." errorStyle="stop" operator="between" showDropDown="false" showErrorMessage="true" showInputMessage="false" sqref="I13:I19" type="decimal">
      <formula1>0</formula1>
      <formula2>2.5</formula2>
    </dataValidation>
  </dataValidations>
  <hyperlinks>
    <hyperlink ref="J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8" width="28"/>
    <col collapsed="false" customWidth="true" hidden="false" outlineLevel="0" max="2" min="2" style="8" width="10"/>
    <col collapsed="false" customWidth="true" hidden="false" outlineLevel="0" max="3" min="3" style="8" width="30"/>
    <col collapsed="false" customWidth="true" hidden="false" outlineLevel="0" max="8" min="8" style="8" width="10"/>
    <col collapsed="false" customWidth="true" hidden="false" outlineLevel="0" max="9" min="9" style="8" width="40"/>
  </cols>
  <sheetData>
    <row r="1" customFormat="false" ht="15" hidden="false" customHeight="true" outlineLevel="0" collapsed="false">
      <c r="A1" s="8" t="s">
        <v>836</v>
      </c>
      <c r="B1" s="8" t="s">
        <v>86</v>
      </c>
      <c r="C1" s="8" t="s">
        <v>837</v>
      </c>
      <c r="J1" s="13" t="s">
        <v>838</v>
      </c>
    </row>
    <row r="2" customFormat="false" ht="45.75" hidden="false" customHeight="true" outlineLevel="0" collapsed="false">
      <c r="A2" s="10" t="s">
        <v>589</v>
      </c>
      <c r="B2" s="4" t="str">
        <f aca="false">VLOOKUP($B$1,'PARASTATAL Questions'!$A:$J,3,0)&amp;""</f>
        <v>Urban Planning &amp; Design (UPD)</v>
      </c>
    </row>
    <row r="3" customFormat="false" ht="15" hidden="false" customHeight="true" outlineLevel="0" collapsed="false">
      <c r="A3" s="10" t="s">
        <v>622</v>
      </c>
      <c r="B3" s="4" t="str">
        <f aca="false">VLOOKUP($B$1,'PARASTATAL Questions'!$A:$J,2,0)&amp;""</f>
        <v>UPD 2d</v>
      </c>
    </row>
    <row r="4" customFormat="false" ht="15" hidden="false" customHeight="true" outlineLevel="0" collapsed="false">
      <c r="A4" s="10" t="s">
        <v>590</v>
      </c>
      <c r="B4" s="4" t="str">
        <f aca="false">VLOOKUP($B$1,'PARASTATAL Questions'!$A:$J,4,0)&amp;""</f>
        <v>SQ</v>
      </c>
    </row>
    <row r="5" customFormat="false" ht="247.5" hidden="false" customHeight="true" outlineLevel="0" collapsed="false">
      <c r="A5" s="10" t="s">
        <v>0</v>
      </c>
      <c r="B5" s="4" t="str">
        <f aca="false">VLOOKUP($B$1,'PARASTATAL Questions'!$A:$J,5,0)&amp;""</f>
        <v>Where multiple statutory or sectoral plans apply to the same territory, does the transport corporation ensure consistency with the applicable metropolitan/regional or city master plan/strategic plan for the city?</v>
      </c>
    </row>
    <row r="6" customFormat="false" ht="15" hidden="false" customHeight="true" outlineLevel="0" collapsed="false">
      <c r="A6" s="10" t="s">
        <v>592</v>
      </c>
      <c r="B6" s="4" t="n">
        <f aca="false">VLOOKUP($B$1,'PARASTATAL Questions'!$A:$J,6,0)</f>
        <v>2.5</v>
      </c>
    </row>
    <row r="7" customFormat="false" ht="23.25" hidden="false" customHeight="true" outlineLevel="0" collapsed="false">
      <c r="A7" s="10" t="s">
        <v>591</v>
      </c>
      <c r="B7" s="4" t="str">
        <f aca="false">VLOOKUP($B$1,'PARASTATAL Questions'!$A:$J,7,0)&amp;""</f>
        <v>Implementation</v>
      </c>
    </row>
    <row r="8" customFormat="false" ht="34.5" hidden="false" customHeight="true" outlineLevel="0" collapsed="false">
      <c r="A8" s="10" t="s">
        <v>623</v>
      </c>
      <c r="B8" s="4" t="str">
        <f aca="false">VLOOKUP($B$1,'PARASTATAL Questions'!$A:$J,8,0)&amp;""</f>
        <v>Transport Corporation</v>
      </c>
    </row>
    <row r="9" customFormat="false" ht="1983" hidden="false" customHeight="true" outlineLevel="0" collapsed="false">
      <c r="A9" s="10" t="s">
        <v>624</v>
      </c>
      <c r="B9" s="4" t="str">
        <f aca="false">VLOOKUP($B$1,'PARASTATAL Questions'!$A:$J,9,0)&amp;""</f>
        <v>Review the transport corporation's current transport/mobility master plan, network expansion plan, or equivalent sectoral planning document, together with the applicable Master Plan/Development Plan/Metropolitan or Regional Plan.Score 2.5 if the transport plan demonstrates substantive spatial alignment with the city's master plan: it explicitly draws reference to the city master plan, uses the master plan's growth corridors, land-use framework and/or density projections to determine route planning, station/depot siting or network expansion, and refers to the master plan or its projections as an input.Score 1.25 if there is partial alignment: the transport plan refers to the master plan and/or uses its population, density or land-use projections, but does not clearly demonstrate that these inputs determine the spatial location of routes, stations or major infrastructure.Score 0 if there is no identifiable evidence that the Master Plan or its spatial/population framework informs transport planning.The score sheet should record components for scores, the plan/document relied upon, year, applicable statutory master plan, and the specific reference demonstrating alignment.Additional quality check, not for scoring: where readily available, record whether major depots, terminals or transit infrastructure required subsequent land-use conversion/regularisation because they were sited on land not originally designated for that use. Treat this as contextual evidence of planning misalignment; it should not require a project-by-project review across the entire city.</v>
      </c>
    </row>
    <row r="10" customFormat="false" ht="270" hidden="false" customHeight="true" outlineLevel="0" collapsed="false">
      <c r="A10" s="10" t="s">
        <v>625</v>
      </c>
      <c r="B10" s="4" t="str">
        <f aca="false">VLOOKUP($B$1,'PARASTATAL Questions'!$A:$J,10,0)&amp;""</f>
        <v>Transport corporation's current mobility/network plan; applicable Master Plan/Development Plan/Metropolitan or Regional Plan; land-use conversion/regularisation records for major transport infrastructure, where available.</v>
      </c>
    </row>
    <row r="11" customFormat="false" ht="15" hidden="false" customHeight="true" outlineLevel="0" collapsed="false">
      <c r="B11" s="14" t="s">
        <v>839</v>
      </c>
      <c r="I11" s="14" t="s">
        <v>900</v>
      </c>
      <c r="J11" s="14" t="s">
        <v>841</v>
      </c>
      <c r="L11" s="8" t="s">
        <v>842</v>
      </c>
    </row>
    <row r="12" customFormat="false" ht="51.75" hidden="false" customHeight="true" outlineLevel="0" collapsed="false">
      <c r="A12" s="1" t="s">
        <v>612</v>
      </c>
      <c r="B12" s="1" t="s">
        <v>843</v>
      </c>
      <c r="C12" s="1" t="s">
        <v>844</v>
      </c>
      <c r="D12" s="1" t="s">
        <v>845</v>
      </c>
      <c r="E12" s="1" t="s">
        <v>846</v>
      </c>
      <c r="F12" s="1" t="s">
        <v>847</v>
      </c>
      <c r="G12" s="1" t="s">
        <v>848</v>
      </c>
      <c r="H12" s="1" t="s">
        <v>14</v>
      </c>
      <c r="I12" s="1" t="s">
        <v>849</v>
      </c>
      <c r="J12" s="1" t="s">
        <v>850</v>
      </c>
      <c r="K12" s="1" t="s">
        <v>851</v>
      </c>
      <c r="L12" s="8" t="s">
        <v>852</v>
      </c>
    </row>
    <row r="13" customFormat="false" ht="15" hidden="false" customHeight="true" outlineLevel="0" collapsed="false">
      <c r="A13" s="16" t="s">
        <v>19</v>
      </c>
      <c r="B13" s="16" t="s">
        <v>905</v>
      </c>
      <c r="C13" s="16"/>
      <c r="D13" s="16"/>
      <c r="E13" s="16"/>
      <c r="F13" s="16"/>
      <c r="G13" s="16"/>
      <c r="H13" s="16"/>
      <c r="I13" s="17"/>
      <c r="J13" s="16" t="str">
        <f aca="false">IF(COUNTIFS('Scores (start here)'!$A:$A,$B$1,'Scores (start here)'!$B:$B,$A13,'Scores (start here)'!$F:$F,"&gt;=0")&gt;0,SUMIFS('Scores (start here)'!$F:$F,'Scores (start here)'!$A:$A,$B$1,'Scores (start here)'!$B:$B,$A13),L13)</f>
        <v>NA</v>
      </c>
      <c r="K13" s="16"/>
      <c r="L13" s="8" t="str">
        <f aca="false">IF($B13="NO","NA",IF(I13="","",MIN(I13,$B$6)))</f>
        <v>NA</v>
      </c>
    </row>
    <row r="14" customFormat="false" ht="15" hidden="false" customHeight="true" outlineLevel="0" collapsed="false">
      <c r="A14" s="8" t="s">
        <v>28</v>
      </c>
      <c r="B14" s="8" t="s">
        <v>853</v>
      </c>
      <c r="I14" s="15"/>
      <c r="J14" s="8" t="str">
        <f aca="false">IF(COUNTIFS('Scores (start here)'!$A:$A,$B$1,'Scores (start here)'!$B:$B,$A14,'Scores (start here)'!$F:$F,"&gt;=0")&gt;0,SUMIFS('Scores (start here)'!$F:$F,'Scores (start here)'!$A:$A,$B$1,'Scores (start here)'!$B:$B,$A14),L14)</f>
        <v/>
      </c>
      <c r="K14" s="8" t="s">
        <v>912</v>
      </c>
      <c r="L14" s="8" t="str">
        <f aca="false">IF($B14="NO","NA",IF(I14="","",MIN(I14,$B$6)))</f>
        <v/>
      </c>
    </row>
    <row r="15" customFormat="false" ht="15" hidden="false" customHeight="true" outlineLevel="0" collapsed="false">
      <c r="A15" s="16" t="s">
        <v>34</v>
      </c>
      <c r="B15" s="16" t="s">
        <v>905</v>
      </c>
      <c r="C15" s="16"/>
      <c r="D15" s="16"/>
      <c r="E15" s="16"/>
      <c r="F15" s="16"/>
      <c r="G15" s="16"/>
      <c r="H15" s="16"/>
      <c r="I15" s="17"/>
      <c r="J15" s="16" t="str">
        <f aca="false">IF(COUNTIFS('Scores (start here)'!$A:$A,$B$1,'Scores (start here)'!$B:$B,$A15,'Scores (start here)'!$F:$F,"&gt;=0")&gt;0,SUMIFS('Scores (start here)'!$F:$F,'Scores (start here)'!$A:$A,$B$1,'Scores (start here)'!$B:$B,$A15),L15)</f>
        <v>NA</v>
      </c>
      <c r="K15" s="16"/>
      <c r="L15" s="8" t="str">
        <f aca="false">IF($B15="NO","NA",IF(I15="","",MIN(I15,$B$6)))</f>
        <v>NA</v>
      </c>
    </row>
    <row r="16" customFormat="false" ht="15" hidden="false" customHeight="true" outlineLevel="0" collapsed="false">
      <c r="A16" s="16" t="s">
        <v>40</v>
      </c>
      <c r="B16" s="16" t="s">
        <v>905</v>
      </c>
      <c r="C16" s="16"/>
      <c r="D16" s="16"/>
      <c r="E16" s="16"/>
      <c r="F16" s="16"/>
      <c r="G16" s="16"/>
      <c r="H16" s="16"/>
      <c r="I16" s="17"/>
      <c r="J16" s="16" t="str">
        <f aca="false">IF(COUNTIFS('Scores (start here)'!$A:$A,$B$1,'Scores (start here)'!$B:$B,$A16,'Scores (start here)'!$F:$F,"&gt;=0")&gt;0,SUMIFS('Scores (start here)'!$F:$F,'Scores (start here)'!$A:$A,$B$1,'Scores (start here)'!$B:$B,$A16),L16)</f>
        <v>NA</v>
      </c>
      <c r="K16" s="16"/>
      <c r="L16" s="8" t="str">
        <f aca="false">IF($B16="NO","NA",IF(I16="","",MIN(I16,$B$6)))</f>
        <v>NA</v>
      </c>
    </row>
    <row r="17" customFormat="false" ht="15" hidden="false" customHeight="true" outlineLevel="0" collapsed="false">
      <c r="A17" s="16" t="s">
        <v>45</v>
      </c>
      <c r="B17" s="16" t="s">
        <v>905</v>
      </c>
      <c r="C17" s="16"/>
      <c r="D17" s="16"/>
      <c r="E17" s="16"/>
      <c r="F17" s="16"/>
      <c r="G17" s="16"/>
      <c r="H17" s="16"/>
      <c r="I17" s="17"/>
      <c r="J17" s="16" t="str">
        <f aca="false">IF(COUNTIFS('Scores (start here)'!$A:$A,$B$1,'Scores (start here)'!$B:$B,$A17,'Scores (start here)'!$F:$F,"&gt;=0")&gt;0,SUMIFS('Scores (start here)'!$F:$F,'Scores (start here)'!$A:$A,$B$1,'Scores (start here)'!$B:$B,$A17),L17)</f>
        <v>NA</v>
      </c>
      <c r="K17" s="16"/>
      <c r="L17" s="8" t="str">
        <f aca="false">IF($B17="NO","NA",IF(I17="","",MIN(I17,$B$6)))</f>
        <v>NA</v>
      </c>
    </row>
    <row r="18" customFormat="false" ht="15" hidden="false" customHeight="true" outlineLevel="0" collapsed="false">
      <c r="A18" s="16" t="s">
        <v>51</v>
      </c>
      <c r="B18" s="16" t="s">
        <v>905</v>
      </c>
      <c r="C18" s="16"/>
      <c r="D18" s="16"/>
      <c r="E18" s="16"/>
      <c r="F18" s="16"/>
      <c r="G18" s="16"/>
      <c r="H18" s="16"/>
      <c r="I18" s="17"/>
      <c r="J18" s="16" t="str">
        <f aca="false">IF(COUNTIFS('Scores (start here)'!$A:$A,$B$1,'Scores (start here)'!$B:$B,$A18,'Scores (start here)'!$F:$F,"&gt;=0")&gt;0,SUMIFS('Scores (start here)'!$F:$F,'Scores (start here)'!$A:$A,$B$1,'Scores (start here)'!$B:$B,$A18),L18)</f>
        <v>NA</v>
      </c>
      <c r="K18" s="16"/>
      <c r="L18" s="8" t="str">
        <f aca="false">IF($B18="NO","NA",IF(I18="","",MIN(I18,$B$6)))</f>
        <v>NA</v>
      </c>
    </row>
    <row r="19" customFormat="false" ht="15" hidden="false" customHeight="true" outlineLevel="0" collapsed="false">
      <c r="A19" s="16" t="s">
        <v>54</v>
      </c>
      <c r="B19" s="16" t="s">
        <v>905</v>
      </c>
      <c r="C19" s="16"/>
      <c r="D19" s="16"/>
      <c r="E19" s="16"/>
      <c r="F19" s="16"/>
      <c r="G19" s="16"/>
      <c r="H19" s="16"/>
      <c r="I19" s="17"/>
      <c r="J19" s="16" t="str">
        <f aca="false">IF(COUNTIFS('Scores (start here)'!$A:$A,$B$1,'Scores (start here)'!$B:$B,$A19,'Scores (start here)'!$F:$F,"&gt;=0")&gt;0,SUMIFS('Scores (start here)'!$F:$F,'Scores (start here)'!$A:$A,$B$1,'Scores (start here)'!$B:$B,$A19),L19)</f>
        <v>NA</v>
      </c>
      <c r="K19" s="16"/>
      <c r="L19" s="8" t="str">
        <f aca="false">IF($B19="NO","NA",IF(I19="","",MIN(I19,$B$6)))</f>
        <v>NA</v>
      </c>
    </row>
  </sheetData>
  <dataValidations count="1">
    <dataValidation allowBlank="true" error="See the instruction above the 'Score' column." errorStyle="stop" operator="between" showDropDown="false" showErrorMessage="true" showInputMessage="false" sqref="I13:I19" type="decimal">
      <formula1>0</formula1>
      <formula2>2.5</formula2>
    </dataValidation>
  </dataValidations>
  <hyperlinks>
    <hyperlink ref="J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8" width="28"/>
    <col collapsed="false" customWidth="true" hidden="false" outlineLevel="0" max="2" min="2" style="8" width="10"/>
    <col collapsed="false" customWidth="true" hidden="false" outlineLevel="0" max="3" min="3" style="8" width="30"/>
    <col collapsed="false" customWidth="true" hidden="false" outlineLevel="0" max="8" min="8" style="8" width="10"/>
    <col collapsed="false" customWidth="true" hidden="false" outlineLevel="0" max="9" min="9" style="8" width="40"/>
  </cols>
  <sheetData>
    <row r="1" customFormat="false" ht="15" hidden="false" customHeight="true" outlineLevel="0" collapsed="false">
      <c r="A1" s="8" t="s">
        <v>836</v>
      </c>
      <c r="B1" s="8" t="s">
        <v>88</v>
      </c>
      <c r="C1" s="8" t="s">
        <v>837</v>
      </c>
      <c r="J1" s="13" t="s">
        <v>838</v>
      </c>
    </row>
    <row r="2" customFormat="false" ht="45.75" hidden="false" customHeight="true" outlineLevel="0" collapsed="false">
      <c r="A2" s="10" t="s">
        <v>589</v>
      </c>
      <c r="B2" s="4" t="str">
        <f aca="false">VLOOKUP($B$1,'PARASTATAL Questions'!$A:$J,3,0)&amp;""</f>
        <v>Urban Planning &amp; Design (UPD)</v>
      </c>
    </row>
    <row r="3" customFormat="false" ht="15" hidden="false" customHeight="true" outlineLevel="0" collapsed="false">
      <c r="A3" s="10" t="s">
        <v>622</v>
      </c>
      <c r="B3" s="4" t="str">
        <f aca="false">VLOOKUP($B$1,'PARASTATAL Questions'!$A:$J,2,0)&amp;""</f>
        <v>UPD 3a</v>
      </c>
    </row>
    <row r="4" customFormat="false" ht="15" hidden="false" customHeight="true" outlineLevel="0" collapsed="false">
      <c r="A4" s="10" t="s">
        <v>590</v>
      </c>
      <c r="B4" s="4" t="str">
        <f aca="false">VLOOKUP($B$1,'PARASTATAL Questions'!$A:$J,4,0)&amp;""</f>
        <v>SQ</v>
      </c>
    </row>
    <row r="5" customFormat="false" ht="258.75" hidden="false" customHeight="true" outlineLevel="0" collapsed="false">
      <c r="A5" s="10" t="s">
        <v>0</v>
      </c>
      <c r="B5" s="4" t="str">
        <f aca="false">VLOOKUP($B$1,'PARASTATAL Questions'!$A:$J,5,0)&amp;""</f>
        <v>Is the water supply board mandated to consider the needs of women, the urban poor and other vulnerable groups in decisions relating to access, affordability and delivery of water and sanitation services?</v>
      </c>
    </row>
    <row r="6" customFormat="false" ht="15" hidden="false" customHeight="true" outlineLevel="0" collapsed="false">
      <c r="A6" s="10" t="s">
        <v>592</v>
      </c>
      <c r="B6" s="4" t="n">
        <f aca="false">VLOOKUP($B$1,'PARASTATAL Questions'!$A:$J,6,0)</f>
        <v>5</v>
      </c>
    </row>
    <row r="7" customFormat="false" ht="15" hidden="false" customHeight="true" outlineLevel="0" collapsed="false">
      <c r="A7" s="10" t="s">
        <v>591</v>
      </c>
      <c r="B7" s="4" t="str">
        <f aca="false">VLOOKUP($B$1,'PARASTATAL Questions'!$A:$J,7,0)&amp;""</f>
        <v>Law/Policy</v>
      </c>
    </row>
    <row r="8" customFormat="false" ht="34.5" hidden="false" customHeight="true" outlineLevel="0" collapsed="false">
      <c r="A8" s="10" t="s">
        <v>623</v>
      </c>
      <c r="B8" s="4" t="str">
        <f aca="false">VLOOKUP($B$1,'PARASTATAL Questions'!$A:$J,8,0)&amp;""</f>
        <v>Water supply board</v>
      </c>
    </row>
    <row r="9" customFormat="false" ht="840.75" hidden="false" customHeight="true" outlineLevel="0" collapsed="false">
      <c r="A9" s="10" t="s">
        <v>624</v>
      </c>
      <c r="B9" s="4" t="str">
        <f aca="false">VLOOKUP($B$1,'PARASTATAL Questions'!$A:$J,9,0)&amp;""</f>
        <v>Review the Water Supply Board/utility Act, water and sanitation legislation, tariff regulations, service rules, State policies and other applicable binding instruments. Look for explicit requirements relating to universal/equitable access, service to slums or informal settlements, low-income/EWS households, affordability or concessional tariffs, minimum/lifeline supply, tenure-neutral access, women’s needs, persons with disabilities or other identified vulnerable groups.Score 5 if equity requirements apply across core service-access and delivery decisionsScore 2.5 if limited to particular groups, services or schemesScore 0 if no explicit requirement is found.</v>
      </c>
    </row>
    <row r="10" customFormat="false" ht="202.5" hidden="false" customHeight="true" outlineLevel="0" collapsed="false">
      <c r="A10" s="10" t="s">
        <v>625</v>
      </c>
      <c r="B10" s="4" t="str">
        <f aca="false">VLOOKUP($B$1,'PARASTATAL Questions'!$A:$J,10,0)&amp;""</f>
        <v>Water Supply Board/utility Act, water and sanitation legislation, tariff regulations, service rules, State policies and other applicable binding instruments</v>
      </c>
    </row>
    <row r="11" customFormat="false" ht="15" hidden="false" customHeight="true" outlineLevel="0" collapsed="false">
      <c r="B11" s="14" t="s">
        <v>839</v>
      </c>
      <c r="I11" s="14" t="s">
        <v>840</v>
      </c>
      <c r="J11" s="14" t="s">
        <v>841</v>
      </c>
      <c r="L11" s="8" t="s">
        <v>842</v>
      </c>
    </row>
    <row r="12" customFormat="false" ht="51.75" hidden="false" customHeight="true" outlineLevel="0" collapsed="false">
      <c r="A12" s="1" t="s">
        <v>612</v>
      </c>
      <c r="B12" s="1" t="s">
        <v>843</v>
      </c>
      <c r="C12" s="1" t="s">
        <v>844</v>
      </c>
      <c r="D12" s="1" t="s">
        <v>845</v>
      </c>
      <c r="E12" s="1" t="s">
        <v>846</v>
      </c>
      <c r="F12" s="1" t="s">
        <v>847</v>
      </c>
      <c r="G12" s="1" t="s">
        <v>848</v>
      </c>
      <c r="H12" s="1" t="s">
        <v>14</v>
      </c>
      <c r="I12" s="1" t="s">
        <v>849</v>
      </c>
      <c r="J12" s="1" t="s">
        <v>850</v>
      </c>
      <c r="K12" s="1" t="s">
        <v>851</v>
      </c>
      <c r="L12" s="8" t="s">
        <v>852</v>
      </c>
    </row>
    <row r="13" customFormat="false" ht="213.75" hidden="false" customHeight="true" outlineLevel="0" collapsed="false">
      <c r="A13" s="8" t="s">
        <v>19</v>
      </c>
      <c r="B13" s="8" t="s">
        <v>853</v>
      </c>
      <c r="C13" s="8" t="s">
        <v>23</v>
      </c>
      <c r="D13" s="8" t="s">
        <v>913</v>
      </c>
      <c r="E13" s="8" t="s">
        <v>914</v>
      </c>
      <c r="F13" s="8" t="s">
        <v>915</v>
      </c>
      <c r="G13" s="8" t="s">
        <v>916</v>
      </c>
      <c r="H13" s="8" t="s">
        <v>24</v>
      </c>
      <c r="I13" s="15" t="n">
        <v>2.5</v>
      </c>
      <c r="J13" s="8" t="n">
        <f aca="false">IF(COUNTIFS('Scores (start here)'!$A:$A,$B$1,'Scores (start here)'!$B:$B,$A13,'Scores (start here)'!$F:$F,"&gt;=0")&gt;0,SUMIFS('Scores (start here)'!$F:$F,'Scores (start here)'!$A:$A,$B$1,'Scores (start here)'!$B:$B,$A13),L13)</f>
        <v>2.5</v>
      </c>
      <c r="K13" s="12" t="s">
        <v>917</v>
      </c>
      <c r="L13" s="8" t="n">
        <f aca="false">IF($B13="NO","NA",IF(I13="","",MIN(I13,$B$6)))</f>
        <v>2.5</v>
      </c>
    </row>
    <row r="14" customFormat="false" ht="15" hidden="false" customHeight="true" outlineLevel="0" collapsed="false">
      <c r="A14" s="16" t="s">
        <v>28</v>
      </c>
      <c r="B14" s="16" t="s">
        <v>905</v>
      </c>
      <c r="C14" s="16"/>
      <c r="D14" s="16"/>
      <c r="E14" s="16"/>
      <c r="F14" s="16"/>
      <c r="G14" s="16"/>
      <c r="H14" s="16"/>
      <c r="I14" s="17"/>
      <c r="J14" s="16" t="str">
        <f aca="false">IF(COUNTIFS('Scores (start here)'!$A:$A,$B$1,'Scores (start here)'!$B:$B,$A14,'Scores (start here)'!$F:$F,"&gt;=0")&gt;0,SUMIFS('Scores (start here)'!$F:$F,'Scores (start here)'!$A:$A,$B$1,'Scores (start here)'!$B:$B,$A14),L14)</f>
        <v>NA</v>
      </c>
      <c r="K14" s="16"/>
      <c r="L14" s="8" t="str">
        <f aca="false">IF($B14="NO","NA",IF(I14="","",MIN(I14,$B$6)))</f>
        <v>NA</v>
      </c>
    </row>
    <row r="15" customFormat="false" ht="15" hidden="false" customHeight="true" outlineLevel="0" collapsed="false">
      <c r="A15" s="16" t="s">
        <v>34</v>
      </c>
      <c r="B15" s="16" t="s">
        <v>905</v>
      </c>
      <c r="C15" s="16"/>
      <c r="D15" s="16"/>
      <c r="E15" s="16"/>
      <c r="F15" s="16"/>
      <c r="G15" s="16"/>
      <c r="H15" s="16"/>
      <c r="I15" s="17"/>
      <c r="J15" s="16" t="str">
        <f aca="false">IF(COUNTIFS('Scores (start here)'!$A:$A,$B$1,'Scores (start here)'!$B:$B,$A15,'Scores (start here)'!$F:$F,"&gt;=0")&gt;0,SUMIFS('Scores (start here)'!$F:$F,'Scores (start here)'!$A:$A,$B$1,'Scores (start here)'!$B:$B,$A15),L15)</f>
        <v>NA</v>
      </c>
      <c r="K15" s="16"/>
      <c r="L15" s="8" t="str">
        <f aca="false">IF($B15="NO","NA",IF(I15="","",MIN(I15,$B$6)))</f>
        <v>NA</v>
      </c>
    </row>
    <row r="16" customFormat="false" ht="15" hidden="false" customHeight="true" outlineLevel="0" collapsed="false">
      <c r="A16" s="16" t="s">
        <v>40</v>
      </c>
      <c r="B16" s="16" t="s">
        <v>905</v>
      </c>
      <c r="C16" s="16"/>
      <c r="D16" s="16"/>
      <c r="E16" s="16"/>
      <c r="F16" s="16"/>
      <c r="G16" s="16"/>
      <c r="H16" s="16"/>
      <c r="I16" s="17"/>
      <c r="J16" s="16" t="str">
        <f aca="false">IF(COUNTIFS('Scores (start here)'!$A:$A,$B$1,'Scores (start here)'!$B:$B,$A16,'Scores (start here)'!$F:$F,"&gt;=0")&gt;0,SUMIFS('Scores (start here)'!$F:$F,'Scores (start here)'!$A:$A,$B$1,'Scores (start here)'!$B:$B,$A16),L16)</f>
        <v>NA</v>
      </c>
      <c r="K16" s="16"/>
      <c r="L16" s="8" t="str">
        <f aca="false">IF($B16="NO","NA",IF(I16="","",MIN(I16,$B$6)))</f>
        <v>NA</v>
      </c>
    </row>
    <row r="17" customFormat="false" ht="15" hidden="false" customHeight="true" outlineLevel="0" collapsed="false">
      <c r="A17" s="16" t="s">
        <v>45</v>
      </c>
      <c r="B17" s="16" t="s">
        <v>905</v>
      </c>
      <c r="C17" s="16"/>
      <c r="D17" s="16"/>
      <c r="E17" s="16"/>
      <c r="F17" s="16"/>
      <c r="G17" s="16"/>
      <c r="H17" s="16"/>
      <c r="I17" s="17"/>
      <c r="J17" s="16" t="str">
        <f aca="false">IF(COUNTIFS('Scores (start here)'!$A:$A,$B$1,'Scores (start here)'!$B:$B,$A17,'Scores (start here)'!$F:$F,"&gt;=0")&gt;0,SUMIFS('Scores (start here)'!$F:$F,'Scores (start here)'!$A:$A,$B$1,'Scores (start here)'!$B:$B,$A17),L17)</f>
        <v>NA</v>
      </c>
      <c r="K17" s="16"/>
      <c r="L17" s="8" t="str">
        <f aca="false">IF($B17="NO","NA",IF(I17="","",MIN(I17,$B$6)))</f>
        <v>NA</v>
      </c>
    </row>
    <row r="18" customFormat="false" ht="15" hidden="false" customHeight="true" outlineLevel="0" collapsed="false">
      <c r="A18" s="16" t="s">
        <v>51</v>
      </c>
      <c r="B18" s="16" t="s">
        <v>905</v>
      </c>
      <c r="C18" s="16"/>
      <c r="D18" s="16"/>
      <c r="E18" s="16"/>
      <c r="F18" s="16"/>
      <c r="G18" s="16"/>
      <c r="H18" s="16"/>
      <c r="I18" s="17"/>
      <c r="J18" s="16" t="str">
        <f aca="false">IF(COUNTIFS('Scores (start here)'!$A:$A,$B$1,'Scores (start here)'!$B:$B,$A18,'Scores (start here)'!$F:$F,"&gt;=0")&gt;0,SUMIFS('Scores (start here)'!$F:$F,'Scores (start here)'!$A:$A,$B$1,'Scores (start here)'!$B:$B,$A18),L18)</f>
        <v>NA</v>
      </c>
      <c r="K18" s="16"/>
      <c r="L18" s="8" t="str">
        <f aca="false">IF($B18="NO","NA",IF(I18="","",MIN(I18,$B$6)))</f>
        <v>NA</v>
      </c>
    </row>
    <row r="19" customFormat="false" ht="15" hidden="false" customHeight="true" outlineLevel="0" collapsed="false">
      <c r="A19" s="16" t="s">
        <v>54</v>
      </c>
      <c r="B19" s="16" t="s">
        <v>905</v>
      </c>
      <c r="C19" s="16"/>
      <c r="D19" s="16"/>
      <c r="E19" s="16"/>
      <c r="F19" s="16"/>
      <c r="G19" s="16"/>
      <c r="H19" s="16"/>
      <c r="I19" s="17"/>
      <c r="J19" s="16" t="str">
        <f aca="false">IF(COUNTIFS('Scores (start here)'!$A:$A,$B$1,'Scores (start here)'!$B:$B,$A19,'Scores (start here)'!$F:$F,"&gt;=0")&gt;0,SUMIFS('Scores (start here)'!$F:$F,'Scores (start here)'!$A:$A,$B$1,'Scores (start here)'!$B:$B,$A19),L19)</f>
        <v>NA</v>
      </c>
      <c r="K19" s="16"/>
      <c r="L19" s="8" t="str">
        <f aca="false">IF($B19="NO","NA",IF(I19="","",MIN(I19,$B$6)))</f>
        <v>NA</v>
      </c>
    </row>
  </sheetData>
  <dataValidations count="1">
    <dataValidation allowBlank="true" error="See the instruction above the 'Score' column." errorStyle="stop" operator="between" showDropDown="false" showErrorMessage="true" showInputMessage="false" sqref="I13:I19" type="decimal">
      <formula1>0</formula1>
      <formula2>5</formula2>
    </dataValidation>
  </dataValidations>
  <hyperlinks>
    <hyperlink ref="J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8" width="28"/>
    <col collapsed="false" customWidth="true" hidden="false" outlineLevel="0" max="2" min="2" style="8" width="10"/>
    <col collapsed="false" customWidth="true" hidden="false" outlineLevel="0" max="3" min="3" style="8" width="30"/>
    <col collapsed="false" customWidth="true" hidden="false" outlineLevel="0" max="8" min="8" style="8" width="10"/>
    <col collapsed="false" customWidth="true" hidden="false" outlineLevel="0" max="9" min="9" style="8" width="40"/>
  </cols>
  <sheetData>
    <row r="1" customFormat="false" ht="15" hidden="false" customHeight="true" outlineLevel="0" collapsed="false">
      <c r="A1" s="8" t="s">
        <v>836</v>
      </c>
      <c r="B1" s="8" t="s">
        <v>92</v>
      </c>
      <c r="C1" s="8" t="s">
        <v>837</v>
      </c>
      <c r="J1" s="13" t="s">
        <v>838</v>
      </c>
    </row>
    <row r="2" customFormat="false" ht="45.75" hidden="false" customHeight="true" outlineLevel="0" collapsed="false">
      <c r="A2" s="10" t="s">
        <v>589</v>
      </c>
      <c r="B2" s="4" t="str">
        <f aca="false">VLOOKUP($B$1,'PARASTATAL Questions'!$A:$J,3,0)&amp;""</f>
        <v>Urban Planning &amp; Design (UPD)</v>
      </c>
    </row>
    <row r="3" customFormat="false" ht="15" hidden="false" customHeight="true" outlineLevel="0" collapsed="false">
      <c r="A3" s="10" t="s">
        <v>622</v>
      </c>
      <c r="B3" s="4" t="str">
        <f aca="false">VLOOKUP($B$1,'PARASTATAL Questions'!$A:$J,2,0)&amp;""</f>
        <v>UPD 3b</v>
      </c>
    </row>
    <row r="4" customFormat="false" ht="15" hidden="false" customHeight="true" outlineLevel="0" collapsed="false">
      <c r="A4" s="10" t="s">
        <v>590</v>
      </c>
      <c r="B4" s="4" t="str">
        <f aca="false">VLOOKUP($B$1,'PARASTATAL Questions'!$A:$J,4,0)&amp;""</f>
        <v>SQ</v>
      </c>
    </row>
    <row r="5" customFormat="false" ht="247.5" hidden="false" customHeight="true" outlineLevel="0" collapsed="false">
      <c r="A5" s="10" t="s">
        <v>0</v>
      </c>
      <c r="B5" s="4" t="str">
        <f aca="false">VLOOKUP($B$1,'PARASTATAL Questions'!$A:$J,5,0)&amp;""</f>
        <v>Does the water supply board actually consider the needs of women, the urban poor and other vulnerable groups in decisions relating to access, affordability and delivery of water and sanitation services?</v>
      </c>
    </row>
    <row r="6" customFormat="false" ht="15" hidden="false" customHeight="true" outlineLevel="0" collapsed="false">
      <c r="A6" s="10" t="s">
        <v>592</v>
      </c>
      <c r="B6" s="4" t="n">
        <f aca="false">VLOOKUP($B$1,'PARASTATAL Questions'!$A:$J,6,0)</f>
        <v>5</v>
      </c>
    </row>
    <row r="7" customFormat="false" ht="23.25" hidden="false" customHeight="true" outlineLevel="0" collapsed="false">
      <c r="A7" s="10" t="s">
        <v>591</v>
      </c>
      <c r="B7" s="4" t="str">
        <f aca="false">VLOOKUP($B$1,'PARASTATAL Questions'!$A:$J,7,0)&amp;""</f>
        <v>Implementation</v>
      </c>
    </row>
    <row r="8" customFormat="false" ht="34.5" hidden="false" customHeight="true" outlineLevel="0" collapsed="false">
      <c r="A8" s="10" t="s">
        <v>623</v>
      </c>
      <c r="B8" s="4" t="str">
        <f aca="false">VLOOKUP($B$1,'PARASTATAL Questions'!$A:$J,8,0)&amp;""</f>
        <v>Water supply board</v>
      </c>
    </row>
    <row r="9" customFormat="false" ht="3276.75" hidden="false" customHeight="true" outlineLevel="0" collapsed="false">
      <c r="A9" s="10" t="s">
        <v>624</v>
      </c>
      <c r="B9" s="4" t="str">
        <f aca="false">VLOOKUP($B$1,'PARASTATAL Questions'!$A:$J,9,0)&amp;""</f>
        <v>Review the Board’s current water supply plan. Assess whether the Board’s it contains identifiable equity and inclusion measures for groups such as EWS/BPL households, slum/informal-settlement residents, women, persons with disabilities, elderly persons or other specifically identified vulnerable/disadvantaged groups. Do not award credit for generic language such as “public interest”, “all consumers”, “universal service” or “inclusive development” unless this is translated into a specific planning, service, tariff, connection or design provision. Component 1 – Affordability and inclusion in service coverage: 2.5 marksLook for identifiable provisions such as:concessional/lifeline tariff, connection fee concession, deposit concession or other affordability measure for EWS/BPL/slum/low-income householdsa named scheme or coverage commitment for slums/informal settlementsinclusion of slums/informal settlements within the water-supply master plan’s demand assessment, network design or service area, including where relevant irrespective of land tenure or notified statuspriority/admissible category for network extension to low-income or underserved settlementsdecentralised/service alternatives such as community stand posts, water ATMs or mini-networks where individual household connections are not feasible.ScoringScore 2.5 if there is evidence of both (i) an affordability/access measure and (ii) an explicit service-planning/coverage measure for an identified vulnerable group.Score 1.25 if only one of the above is present.Score 0 if neither is present. Component 2 – Gender, and accessible design: 2.5 marksLook for identifiable planning or design measures such as:GESI/gender/social inclusion screening or analysis within water-supply planning or DPR preparationexplicit design consideration for women, PwDs, elderly persons, children or other identified vulnerable userssiting of shared water infrastructure to reduce time, distance or physical burdensafe and accessible approaches to community water pointsbarrier-free/universal-access design standards for public-facing water infrastructure, including ramps, step-free access, appropriate tap heights or other accessible design featuresother specific design or service measures intended to address identified access barriers.ScoringScore 2.5 if the Board’s current planning/design framework contains specific operational or design measures addressing the needs of identified vulnerable groups.Score 1.25 if vulnerable groups are specifically identified and considered, but the provision does not translate into a clear operational/design requirement.Score 0 if there is no identifiable equity/accessibility consideration.</v>
      </c>
    </row>
    <row r="10" customFormat="false" ht="213.75" hidden="false" customHeight="true" outlineLevel="0" collapsed="false">
      <c r="A10" s="10" t="s">
        <v>625</v>
      </c>
      <c r="B10" s="4" t="str">
        <f aca="false">VLOOKUP($B$1,'PARASTATAL Questions'!$A:$J,10,0)&amp;""</f>
        <v>Water Supply Board's current water supply/sanitation plan; scheme/coverage documents; tariff or connection-concession orders; design/service standards.</v>
      </c>
    </row>
    <row r="11" customFormat="false" ht="15" hidden="false" customHeight="true" outlineLevel="0" collapsed="false">
      <c r="B11" s="14" t="s">
        <v>839</v>
      </c>
      <c r="I11" s="14" t="s">
        <v>840</v>
      </c>
      <c r="J11" s="14" t="s">
        <v>841</v>
      </c>
      <c r="L11" s="8" t="s">
        <v>842</v>
      </c>
    </row>
    <row r="12" customFormat="false" ht="51.75" hidden="false" customHeight="true" outlineLevel="0" collapsed="false">
      <c r="A12" s="1" t="s">
        <v>612</v>
      </c>
      <c r="B12" s="1" t="s">
        <v>843</v>
      </c>
      <c r="C12" s="1" t="s">
        <v>844</v>
      </c>
      <c r="D12" s="1" t="s">
        <v>845</v>
      </c>
      <c r="E12" s="1" t="s">
        <v>846</v>
      </c>
      <c r="F12" s="1" t="s">
        <v>847</v>
      </c>
      <c r="G12" s="1" t="s">
        <v>848</v>
      </c>
      <c r="H12" s="1" t="s">
        <v>14</v>
      </c>
      <c r="I12" s="1" t="s">
        <v>849</v>
      </c>
      <c r="J12" s="1" t="s">
        <v>850</v>
      </c>
      <c r="K12" s="1" t="s">
        <v>851</v>
      </c>
      <c r="L12" s="8" t="s">
        <v>852</v>
      </c>
    </row>
    <row r="13" customFormat="false" ht="236.25" hidden="false" customHeight="true" outlineLevel="0" collapsed="false">
      <c r="A13" s="8" t="s">
        <v>19</v>
      </c>
      <c r="B13" s="8" t="s">
        <v>853</v>
      </c>
      <c r="C13" s="8" t="s">
        <v>94</v>
      </c>
      <c r="D13" s="8" t="s">
        <v>918</v>
      </c>
      <c r="E13" s="8" t="s">
        <v>919</v>
      </c>
      <c r="F13" s="8" t="s">
        <v>920</v>
      </c>
      <c r="G13" s="8" t="s">
        <v>921</v>
      </c>
      <c r="H13" s="8" t="s">
        <v>95</v>
      </c>
      <c r="I13" s="15" t="n">
        <v>2.5</v>
      </c>
      <c r="J13" s="8" t="n">
        <f aca="false">IF(COUNTIFS('Scores (start here)'!$A:$A,$B$1,'Scores (start here)'!$B:$B,$A13,'Scores (start here)'!$F:$F,"&gt;=0")&gt;0,SUMIFS('Scores (start here)'!$F:$F,'Scores (start here)'!$A:$A,$B$1,'Scores (start here)'!$B:$B,$A13),L13)</f>
        <v>2.5</v>
      </c>
      <c r="K13" s="12" t="s">
        <v>922</v>
      </c>
      <c r="L13" s="8" t="n">
        <f aca="false">IF($B13="NO","NA",IF(I13="","",MIN(I13,$B$6)))</f>
        <v>2.5</v>
      </c>
    </row>
    <row r="14" customFormat="false" ht="15" hidden="false" customHeight="true" outlineLevel="0" collapsed="false">
      <c r="A14" s="16" t="s">
        <v>28</v>
      </c>
      <c r="B14" s="16" t="s">
        <v>905</v>
      </c>
      <c r="C14" s="16"/>
      <c r="D14" s="16"/>
      <c r="E14" s="16"/>
      <c r="F14" s="16"/>
      <c r="G14" s="16"/>
      <c r="H14" s="16"/>
      <c r="I14" s="17"/>
      <c r="J14" s="16" t="str">
        <f aca="false">IF(COUNTIFS('Scores (start here)'!$A:$A,$B$1,'Scores (start here)'!$B:$B,$A14,'Scores (start here)'!$F:$F,"&gt;=0")&gt;0,SUMIFS('Scores (start here)'!$F:$F,'Scores (start here)'!$A:$A,$B$1,'Scores (start here)'!$B:$B,$A14),L14)</f>
        <v>NA</v>
      </c>
      <c r="K14" s="16"/>
      <c r="L14" s="8" t="str">
        <f aca="false">IF($B14="NO","NA",IF(I14="","",MIN(I14,$B$6)))</f>
        <v>NA</v>
      </c>
    </row>
    <row r="15" customFormat="false" ht="15" hidden="false" customHeight="true" outlineLevel="0" collapsed="false">
      <c r="A15" s="16" t="s">
        <v>34</v>
      </c>
      <c r="B15" s="16" t="s">
        <v>905</v>
      </c>
      <c r="C15" s="16"/>
      <c r="D15" s="16"/>
      <c r="E15" s="16"/>
      <c r="F15" s="16"/>
      <c r="G15" s="16"/>
      <c r="H15" s="16"/>
      <c r="I15" s="17"/>
      <c r="J15" s="16" t="str">
        <f aca="false">IF(COUNTIFS('Scores (start here)'!$A:$A,$B$1,'Scores (start here)'!$B:$B,$A15,'Scores (start here)'!$F:$F,"&gt;=0")&gt;0,SUMIFS('Scores (start here)'!$F:$F,'Scores (start here)'!$A:$A,$B$1,'Scores (start here)'!$B:$B,$A15),L15)</f>
        <v>NA</v>
      </c>
      <c r="K15" s="16"/>
      <c r="L15" s="8" t="str">
        <f aca="false">IF($B15="NO","NA",IF(I15="","",MIN(I15,$B$6)))</f>
        <v>NA</v>
      </c>
    </row>
    <row r="16" customFormat="false" ht="15" hidden="false" customHeight="true" outlineLevel="0" collapsed="false">
      <c r="A16" s="16" t="s">
        <v>40</v>
      </c>
      <c r="B16" s="16" t="s">
        <v>905</v>
      </c>
      <c r="C16" s="16"/>
      <c r="D16" s="16"/>
      <c r="E16" s="16"/>
      <c r="F16" s="16"/>
      <c r="G16" s="16"/>
      <c r="H16" s="16"/>
      <c r="I16" s="17"/>
      <c r="J16" s="16" t="str">
        <f aca="false">IF(COUNTIFS('Scores (start here)'!$A:$A,$B$1,'Scores (start here)'!$B:$B,$A16,'Scores (start here)'!$F:$F,"&gt;=0")&gt;0,SUMIFS('Scores (start here)'!$F:$F,'Scores (start here)'!$A:$A,$B$1,'Scores (start here)'!$B:$B,$A16),L16)</f>
        <v>NA</v>
      </c>
      <c r="K16" s="16"/>
      <c r="L16" s="8" t="str">
        <f aca="false">IF($B16="NO","NA",IF(I16="","",MIN(I16,$B$6)))</f>
        <v>NA</v>
      </c>
    </row>
    <row r="17" customFormat="false" ht="15" hidden="false" customHeight="true" outlineLevel="0" collapsed="false">
      <c r="A17" s="16" t="s">
        <v>45</v>
      </c>
      <c r="B17" s="16" t="s">
        <v>905</v>
      </c>
      <c r="C17" s="16"/>
      <c r="D17" s="16"/>
      <c r="E17" s="16"/>
      <c r="F17" s="16"/>
      <c r="G17" s="16"/>
      <c r="H17" s="16"/>
      <c r="I17" s="17"/>
      <c r="J17" s="16" t="str">
        <f aca="false">IF(COUNTIFS('Scores (start here)'!$A:$A,$B$1,'Scores (start here)'!$B:$B,$A17,'Scores (start here)'!$F:$F,"&gt;=0")&gt;0,SUMIFS('Scores (start here)'!$F:$F,'Scores (start here)'!$A:$A,$B$1,'Scores (start here)'!$B:$B,$A17),L17)</f>
        <v>NA</v>
      </c>
      <c r="K17" s="16"/>
      <c r="L17" s="8" t="str">
        <f aca="false">IF($B17="NO","NA",IF(I17="","",MIN(I17,$B$6)))</f>
        <v>NA</v>
      </c>
    </row>
    <row r="18" customFormat="false" ht="15" hidden="false" customHeight="true" outlineLevel="0" collapsed="false">
      <c r="A18" s="16" t="s">
        <v>51</v>
      </c>
      <c r="B18" s="16" t="s">
        <v>905</v>
      </c>
      <c r="C18" s="16"/>
      <c r="D18" s="16"/>
      <c r="E18" s="16"/>
      <c r="F18" s="16"/>
      <c r="G18" s="16"/>
      <c r="H18" s="16"/>
      <c r="I18" s="17"/>
      <c r="J18" s="16" t="str">
        <f aca="false">IF(COUNTIFS('Scores (start here)'!$A:$A,$B$1,'Scores (start here)'!$B:$B,$A18,'Scores (start here)'!$F:$F,"&gt;=0")&gt;0,SUMIFS('Scores (start here)'!$F:$F,'Scores (start here)'!$A:$A,$B$1,'Scores (start here)'!$B:$B,$A18),L18)</f>
        <v>NA</v>
      </c>
      <c r="K18" s="16"/>
      <c r="L18" s="8" t="str">
        <f aca="false">IF($B18="NO","NA",IF(I18="","",MIN(I18,$B$6)))</f>
        <v>NA</v>
      </c>
    </row>
    <row r="19" customFormat="false" ht="15" hidden="false" customHeight="true" outlineLevel="0" collapsed="false">
      <c r="A19" s="16" t="s">
        <v>54</v>
      </c>
      <c r="B19" s="16" t="s">
        <v>905</v>
      </c>
      <c r="C19" s="16"/>
      <c r="D19" s="16"/>
      <c r="E19" s="16"/>
      <c r="F19" s="16"/>
      <c r="G19" s="16"/>
      <c r="H19" s="16"/>
      <c r="I19" s="17"/>
      <c r="J19" s="16" t="str">
        <f aca="false">IF(COUNTIFS('Scores (start here)'!$A:$A,$B$1,'Scores (start here)'!$B:$B,$A19,'Scores (start here)'!$F:$F,"&gt;=0")&gt;0,SUMIFS('Scores (start here)'!$F:$F,'Scores (start here)'!$A:$A,$B$1,'Scores (start here)'!$B:$B,$A19),L19)</f>
        <v>NA</v>
      </c>
      <c r="K19" s="16"/>
      <c r="L19" s="8" t="str">
        <f aca="false">IF($B19="NO","NA",IF(I19="","",MIN(I19,$B$6)))</f>
        <v>NA</v>
      </c>
    </row>
  </sheetData>
  <dataValidations count="1">
    <dataValidation allowBlank="true" error="See the instruction above the 'Score' column." errorStyle="stop" operator="between" showDropDown="false" showErrorMessage="true" showInputMessage="false" sqref="I13:I19" type="decimal">
      <formula1>0</formula1>
      <formula2>5</formula2>
    </dataValidation>
  </dataValidations>
  <hyperlinks>
    <hyperlink ref="J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8" width="28"/>
    <col collapsed="false" customWidth="true" hidden="false" outlineLevel="0" max="2" min="2" style="8" width="10"/>
    <col collapsed="false" customWidth="true" hidden="false" outlineLevel="0" max="3" min="3" style="8" width="30"/>
    <col collapsed="false" customWidth="true" hidden="false" outlineLevel="0" max="8" min="8" style="8" width="10"/>
    <col collapsed="false" customWidth="true" hidden="false" outlineLevel="0" max="9" min="9" style="8" width="40"/>
  </cols>
  <sheetData>
    <row r="1" customFormat="false" ht="15" hidden="false" customHeight="true" outlineLevel="0" collapsed="false">
      <c r="A1" s="8" t="s">
        <v>836</v>
      </c>
      <c r="B1" s="8" t="s">
        <v>98</v>
      </c>
      <c r="C1" s="8" t="s">
        <v>837</v>
      </c>
      <c r="J1" s="13" t="s">
        <v>838</v>
      </c>
    </row>
    <row r="2" customFormat="false" ht="45.75" hidden="false" customHeight="true" outlineLevel="0" collapsed="false">
      <c r="A2" s="10" t="s">
        <v>589</v>
      </c>
      <c r="B2" s="4" t="str">
        <f aca="false">VLOOKUP($B$1,'PARASTATAL Questions'!$A:$J,3,0)&amp;""</f>
        <v>Urban Planning &amp; Design (UPD)</v>
      </c>
    </row>
    <row r="3" customFormat="false" ht="15" hidden="false" customHeight="true" outlineLevel="0" collapsed="false">
      <c r="A3" s="10" t="s">
        <v>622</v>
      </c>
      <c r="B3" s="4" t="str">
        <f aca="false">VLOOKUP($B$1,'PARASTATAL Questions'!$A:$J,2,0)&amp;""</f>
        <v>UPD 4a</v>
      </c>
    </row>
    <row r="4" customFormat="false" ht="15" hidden="false" customHeight="true" outlineLevel="0" collapsed="false">
      <c r="A4" s="10" t="s">
        <v>590</v>
      </c>
      <c r="B4" s="4" t="str">
        <f aca="false">VLOOKUP($B$1,'PARASTATAL Questions'!$A:$J,4,0)&amp;""</f>
        <v>SQ</v>
      </c>
    </row>
    <row r="5" customFormat="false" ht="247.5" hidden="false" customHeight="true" outlineLevel="0" collapsed="false">
      <c r="A5" s="10" t="s">
        <v>0</v>
      </c>
      <c r="B5" s="4" t="str">
        <f aca="false">VLOOKUP($B$1,'PARASTATAL Questions'!$A:$J,5,0)&amp;""</f>
        <v>Is the transport corporation mandated to consider the mobility needs of women, the urban poor and other vulnerable groups in planning and delivering public transport services?</v>
      </c>
    </row>
    <row r="6" customFormat="false" ht="15" hidden="false" customHeight="true" outlineLevel="0" collapsed="false">
      <c r="A6" s="10" t="s">
        <v>592</v>
      </c>
      <c r="B6" s="4" t="n">
        <f aca="false">VLOOKUP($B$1,'PARASTATAL Questions'!$A:$J,6,0)</f>
        <v>5</v>
      </c>
    </row>
    <row r="7" customFormat="false" ht="15" hidden="false" customHeight="true" outlineLevel="0" collapsed="false">
      <c r="A7" s="10" t="s">
        <v>591</v>
      </c>
      <c r="B7" s="4" t="str">
        <f aca="false">VLOOKUP($B$1,'PARASTATAL Questions'!$A:$J,7,0)&amp;""</f>
        <v>Law/Policy</v>
      </c>
    </row>
    <row r="8" customFormat="false" ht="34.5" hidden="false" customHeight="true" outlineLevel="0" collapsed="false">
      <c r="A8" s="10" t="s">
        <v>623</v>
      </c>
      <c r="B8" s="4" t="str">
        <f aca="false">VLOOKUP($B$1,'PARASTATAL Questions'!$A:$J,8,0)&amp;""</f>
        <v>Transport Corporation</v>
      </c>
    </row>
    <row r="9" customFormat="false" ht="750.75" hidden="false" customHeight="true" outlineLevel="0" collapsed="false">
      <c r="A9" s="10" t="s">
        <v>624</v>
      </c>
      <c r="B9" s="4" t="str">
        <f aca="false">VLOOKUP($B$1,'PARASTATAL Questions'!$A:$J,9,0)&amp;""</f>
        <v>Review the transport authority/corporation Act, applicable transport legislation, rules, service regulations, fare policies and other binding policy instruments. Look for requirements relating to women’s safety and mobility, affordability/concessional fares, service coverage for low-income or peripheral areas, universal accessibility, persons with disabilities, last-mile access or other identified vulnerable users.Score 5 if such considerations are explicitly embedded across core service-planning and delivery functionsScore 2.5 if limited to specific groups, services or schemesScore 0 if no explicit requirement is found.</v>
      </c>
    </row>
    <row r="10" customFormat="false" ht="191.25" hidden="false" customHeight="true" outlineLevel="0" collapsed="false">
      <c r="A10" s="10" t="s">
        <v>625</v>
      </c>
      <c r="B10" s="4" t="str">
        <f aca="false">VLOOKUP($B$1,'PARASTATAL Questions'!$A:$J,10,0)&amp;""</f>
        <v>Transport authority/corporation Act, applicable transport legislation, rules, service regulations, fare policies and other binding policy instruments</v>
      </c>
    </row>
    <row r="11" customFormat="false" ht="15" hidden="false" customHeight="true" outlineLevel="0" collapsed="false">
      <c r="B11" s="14" t="s">
        <v>839</v>
      </c>
      <c r="I11" s="14" t="s">
        <v>840</v>
      </c>
      <c r="J11" s="14" t="s">
        <v>841</v>
      </c>
      <c r="L11" s="8" t="s">
        <v>842</v>
      </c>
    </row>
    <row r="12" customFormat="false" ht="51.75" hidden="false" customHeight="true" outlineLevel="0" collapsed="false">
      <c r="A12" s="1" t="s">
        <v>612</v>
      </c>
      <c r="B12" s="1" t="s">
        <v>843</v>
      </c>
      <c r="C12" s="1" t="s">
        <v>844</v>
      </c>
      <c r="D12" s="1" t="s">
        <v>845</v>
      </c>
      <c r="E12" s="1" t="s">
        <v>846</v>
      </c>
      <c r="F12" s="1" t="s">
        <v>847</v>
      </c>
      <c r="G12" s="1" t="s">
        <v>848</v>
      </c>
      <c r="H12" s="1" t="s">
        <v>14</v>
      </c>
      <c r="I12" s="1" t="s">
        <v>849</v>
      </c>
      <c r="J12" s="1" t="s">
        <v>850</v>
      </c>
      <c r="K12" s="1" t="s">
        <v>851</v>
      </c>
      <c r="L12" s="8" t="s">
        <v>852</v>
      </c>
    </row>
    <row r="13" customFormat="false" ht="15" hidden="false" customHeight="true" outlineLevel="0" collapsed="false">
      <c r="A13" s="16" t="s">
        <v>19</v>
      </c>
      <c r="B13" s="16" t="s">
        <v>905</v>
      </c>
      <c r="C13" s="16"/>
      <c r="D13" s="16"/>
      <c r="E13" s="16"/>
      <c r="F13" s="16"/>
      <c r="G13" s="16"/>
      <c r="H13" s="16"/>
      <c r="I13" s="17"/>
      <c r="J13" s="16" t="str">
        <f aca="false">IF(COUNTIFS('Scores (start here)'!$A:$A,$B$1,'Scores (start here)'!$B:$B,$A13,'Scores (start here)'!$F:$F,"&gt;=0")&gt;0,SUMIFS('Scores (start here)'!$F:$F,'Scores (start here)'!$A:$A,$B$1,'Scores (start here)'!$B:$B,$A13),L13)</f>
        <v>NA</v>
      </c>
      <c r="K13" s="16"/>
      <c r="L13" s="8" t="str">
        <f aca="false">IF($B13="NO","NA",IF(I13="","",MIN(I13,$B$6)))</f>
        <v>NA</v>
      </c>
    </row>
    <row r="14" customFormat="false" ht="359.25" hidden="false" customHeight="true" outlineLevel="0" collapsed="false">
      <c r="A14" s="8" t="s">
        <v>28</v>
      </c>
      <c r="B14" s="8" t="s">
        <v>853</v>
      </c>
      <c r="C14" s="8" t="s">
        <v>82</v>
      </c>
      <c r="D14" s="8" t="s">
        <v>923</v>
      </c>
      <c r="E14" s="8" t="s">
        <v>924</v>
      </c>
      <c r="F14" s="8" t="s">
        <v>925</v>
      </c>
      <c r="G14" s="8" t="s">
        <v>916</v>
      </c>
      <c r="H14" s="8" t="s">
        <v>83</v>
      </c>
      <c r="I14" s="15"/>
      <c r="J14" s="8" t="str">
        <f aca="false">IF(COUNTIFS('Scores (start here)'!$A:$A,$B$1,'Scores (start here)'!$B:$B,$A14,'Scores (start here)'!$F:$F,"&gt;=0")&gt;0,SUMIFS('Scores (start here)'!$F:$F,'Scores (start here)'!$A:$A,$B$1,'Scores (start here)'!$B:$B,$A14),L14)</f>
        <v/>
      </c>
      <c r="K14" s="12" t="s">
        <v>926</v>
      </c>
      <c r="L14" s="8" t="str">
        <f aca="false">IF($B14="NO","NA",IF(I14="","",MIN(I14,$B$6)))</f>
        <v/>
      </c>
    </row>
    <row r="15" customFormat="false" ht="15" hidden="false" customHeight="true" outlineLevel="0" collapsed="false">
      <c r="A15" s="16" t="s">
        <v>34</v>
      </c>
      <c r="B15" s="16" t="s">
        <v>905</v>
      </c>
      <c r="C15" s="16"/>
      <c r="D15" s="16"/>
      <c r="E15" s="16"/>
      <c r="F15" s="16"/>
      <c r="G15" s="16"/>
      <c r="H15" s="16"/>
      <c r="I15" s="17"/>
      <c r="J15" s="16" t="str">
        <f aca="false">IF(COUNTIFS('Scores (start here)'!$A:$A,$B$1,'Scores (start here)'!$B:$B,$A15,'Scores (start here)'!$F:$F,"&gt;=0")&gt;0,SUMIFS('Scores (start here)'!$F:$F,'Scores (start here)'!$A:$A,$B$1,'Scores (start here)'!$B:$B,$A15),L15)</f>
        <v>NA</v>
      </c>
      <c r="K15" s="16"/>
      <c r="L15" s="8" t="str">
        <f aca="false">IF($B15="NO","NA",IF(I15="","",MIN(I15,$B$6)))</f>
        <v>NA</v>
      </c>
    </row>
    <row r="16" customFormat="false" ht="15" hidden="false" customHeight="true" outlineLevel="0" collapsed="false">
      <c r="A16" s="16" t="s">
        <v>40</v>
      </c>
      <c r="B16" s="16" t="s">
        <v>905</v>
      </c>
      <c r="C16" s="16"/>
      <c r="D16" s="16"/>
      <c r="E16" s="16"/>
      <c r="F16" s="16"/>
      <c r="G16" s="16"/>
      <c r="H16" s="16"/>
      <c r="I16" s="17"/>
      <c r="J16" s="16" t="str">
        <f aca="false">IF(COUNTIFS('Scores (start here)'!$A:$A,$B$1,'Scores (start here)'!$B:$B,$A16,'Scores (start here)'!$F:$F,"&gt;=0")&gt;0,SUMIFS('Scores (start here)'!$F:$F,'Scores (start here)'!$A:$A,$B$1,'Scores (start here)'!$B:$B,$A16),L16)</f>
        <v>NA</v>
      </c>
      <c r="K16" s="16"/>
      <c r="L16" s="8" t="str">
        <f aca="false">IF($B16="NO","NA",IF(I16="","",MIN(I16,$B$6)))</f>
        <v>NA</v>
      </c>
    </row>
    <row r="17" customFormat="false" ht="15" hidden="false" customHeight="true" outlineLevel="0" collapsed="false">
      <c r="A17" s="16" t="s">
        <v>45</v>
      </c>
      <c r="B17" s="16" t="s">
        <v>905</v>
      </c>
      <c r="C17" s="16"/>
      <c r="D17" s="16"/>
      <c r="E17" s="16"/>
      <c r="F17" s="16"/>
      <c r="G17" s="16"/>
      <c r="H17" s="16"/>
      <c r="I17" s="17"/>
      <c r="J17" s="16" t="str">
        <f aca="false">IF(COUNTIFS('Scores (start here)'!$A:$A,$B$1,'Scores (start here)'!$B:$B,$A17,'Scores (start here)'!$F:$F,"&gt;=0")&gt;0,SUMIFS('Scores (start here)'!$F:$F,'Scores (start here)'!$A:$A,$B$1,'Scores (start here)'!$B:$B,$A17),L17)</f>
        <v>NA</v>
      </c>
      <c r="K17" s="16"/>
      <c r="L17" s="8" t="str">
        <f aca="false">IF($B17="NO","NA",IF(I17="","",MIN(I17,$B$6)))</f>
        <v>NA</v>
      </c>
    </row>
    <row r="18" customFormat="false" ht="15" hidden="false" customHeight="true" outlineLevel="0" collapsed="false">
      <c r="A18" s="16" t="s">
        <v>51</v>
      </c>
      <c r="B18" s="16" t="s">
        <v>905</v>
      </c>
      <c r="C18" s="16"/>
      <c r="D18" s="16"/>
      <c r="E18" s="16"/>
      <c r="F18" s="16"/>
      <c r="G18" s="16"/>
      <c r="H18" s="16"/>
      <c r="I18" s="17"/>
      <c r="J18" s="16" t="str">
        <f aca="false">IF(COUNTIFS('Scores (start here)'!$A:$A,$B$1,'Scores (start here)'!$B:$B,$A18,'Scores (start here)'!$F:$F,"&gt;=0")&gt;0,SUMIFS('Scores (start here)'!$F:$F,'Scores (start here)'!$A:$A,$B$1,'Scores (start here)'!$B:$B,$A18),L18)</f>
        <v>NA</v>
      </c>
      <c r="K18" s="16"/>
      <c r="L18" s="8" t="str">
        <f aca="false">IF($B18="NO","NA",IF(I18="","",MIN(I18,$B$6)))</f>
        <v>NA</v>
      </c>
    </row>
    <row r="19" customFormat="false" ht="15" hidden="false" customHeight="true" outlineLevel="0" collapsed="false">
      <c r="A19" s="16" t="s">
        <v>54</v>
      </c>
      <c r="B19" s="16" t="s">
        <v>905</v>
      </c>
      <c r="C19" s="16"/>
      <c r="D19" s="16"/>
      <c r="E19" s="16"/>
      <c r="F19" s="16"/>
      <c r="G19" s="16"/>
      <c r="H19" s="16"/>
      <c r="I19" s="17"/>
      <c r="J19" s="16" t="str">
        <f aca="false">IF(COUNTIFS('Scores (start here)'!$A:$A,$B$1,'Scores (start here)'!$B:$B,$A19,'Scores (start here)'!$F:$F,"&gt;=0")&gt;0,SUMIFS('Scores (start here)'!$F:$F,'Scores (start here)'!$A:$A,$B$1,'Scores (start here)'!$B:$B,$A19),L19)</f>
        <v>NA</v>
      </c>
      <c r="K19" s="16"/>
      <c r="L19" s="8" t="str">
        <f aca="false">IF($B19="NO","NA",IF(I19="","",MIN(I19,$B$6)))</f>
        <v>NA</v>
      </c>
    </row>
  </sheetData>
  <dataValidations count="1">
    <dataValidation allowBlank="true" error="See the instruction above the 'Score' column." errorStyle="stop" operator="between" showDropDown="false" showErrorMessage="true" showInputMessage="false" sqref="I13:I19" type="decimal">
      <formula1>0</formula1>
      <formula2>5</formula2>
    </dataValidation>
  </dataValidations>
  <hyperlinks>
    <hyperlink ref="J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8" width="28"/>
    <col collapsed="false" customWidth="true" hidden="false" outlineLevel="0" max="2" min="2" style="8" width="10"/>
    <col collapsed="false" customWidth="true" hidden="false" outlineLevel="0" max="3" min="3" style="8" width="30"/>
    <col collapsed="false" customWidth="true" hidden="false" outlineLevel="0" max="8" min="8" style="8" width="10"/>
    <col collapsed="false" customWidth="true" hidden="false" outlineLevel="0" max="9" min="9" style="8" width="40"/>
  </cols>
  <sheetData>
    <row r="1" customFormat="false" ht="15" hidden="false" customHeight="true" outlineLevel="0" collapsed="false">
      <c r="A1" s="8" t="s">
        <v>836</v>
      </c>
      <c r="B1" s="8" t="s">
        <v>102</v>
      </c>
      <c r="C1" s="8" t="s">
        <v>837</v>
      </c>
      <c r="J1" s="13" t="s">
        <v>838</v>
      </c>
    </row>
    <row r="2" customFormat="false" ht="45.75" hidden="false" customHeight="true" outlineLevel="0" collapsed="false">
      <c r="A2" s="10" t="s">
        <v>589</v>
      </c>
      <c r="B2" s="4" t="str">
        <f aca="false">VLOOKUP($B$1,'PARASTATAL Questions'!$A:$J,3,0)&amp;""</f>
        <v>Urban Planning &amp; Design (UPD)</v>
      </c>
    </row>
    <row r="3" customFormat="false" ht="15" hidden="false" customHeight="true" outlineLevel="0" collapsed="false">
      <c r="A3" s="10" t="s">
        <v>622</v>
      </c>
      <c r="B3" s="4" t="str">
        <f aca="false">VLOOKUP($B$1,'PARASTATAL Questions'!$A:$J,2,0)&amp;""</f>
        <v>UPD 4b</v>
      </c>
    </row>
    <row r="4" customFormat="false" ht="15" hidden="false" customHeight="true" outlineLevel="0" collapsed="false">
      <c r="A4" s="10" t="s">
        <v>590</v>
      </c>
      <c r="B4" s="4" t="str">
        <f aca="false">VLOOKUP($B$1,'PARASTATAL Questions'!$A:$J,4,0)&amp;""</f>
        <v>SQ</v>
      </c>
    </row>
    <row r="5" customFormat="false" ht="236.25" hidden="false" customHeight="true" outlineLevel="0" collapsed="false">
      <c r="A5" s="10" t="s">
        <v>0</v>
      </c>
      <c r="B5" s="4" t="str">
        <f aca="false">VLOOKUP($B$1,'PARASTATAL Questions'!$A:$J,5,0)&amp;""</f>
        <v>Does the Transport Corporation actually consider the needs of women, the urban poor and other vulnerable groups in decisions relating to access, affordability and delivery of public transport services?</v>
      </c>
    </row>
    <row r="6" customFormat="false" ht="15" hidden="false" customHeight="true" outlineLevel="0" collapsed="false">
      <c r="A6" s="10" t="s">
        <v>592</v>
      </c>
      <c r="B6" s="4" t="n">
        <f aca="false">VLOOKUP($B$1,'PARASTATAL Questions'!$A:$J,6,0)</f>
        <v>5</v>
      </c>
    </row>
    <row r="7" customFormat="false" ht="23.25" hidden="false" customHeight="true" outlineLevel="0" collapsed="false">
      <c r="A7" s="10" t="s">
        <v>591</v>
      </c>
      <c r="B7" s="4" t="str">
        <f aca="false">VLOOKUP($B$1,'PARASTATAL Questions'!$A:$J,7,0)&amp;""</f>
        <v>Implementation</v>
      </c>
    </row>
    <row r="8" customFormat="false" ht="34.5" hidden="false" customHeight="true" outlineLevel="0" collapsed="false">
      <c r="A8" s="10" t="s">
        <v>623</v>
      </c>
      <c r="B8" s="4" t="str">
        <f aca="false">VLOOKUP($B$1,'PARASTATAL Questions'!$A:$J,8,0)&amp;""</f>
        <v>Transport Corporation</v>
      </c>
    </row>
    <row r="9" customFormat="false" ht="2184.75" hidden="false" customHeight="true" outlineLevel="0" collapsed="false">
      <c r="A9" s="10" t="s">
        <v>624</v>
      </c>
      <c r="B9" s="4" t="str">
        <f aca="false">VLOOKUP($B$1,'PARASTATAL Questions'!$A:$J,9,0)&amp;""</f>
        <v>Review the Corporation's current transport/mobility plan or service-delivery framework. Assess whether it contains identifiable equity and inclusion measures for groups such as EWS/BPL households, informal-settlement residents, women, persons with disabilities, elderly persons or other specifically identified vulnerable/disadvantaged groups.Do not award credit for generic language such as "public interest," "all commuters," "universal service" or "inclusive development" unless this is translated into a specific route, fare, service or design provision.Component 1 – Affordability and inclusion in service coverage: 2.5 marks. Look for: concessional/subsidised fares for EWS/BPL, students, elderly persons, persons with disabilities or women; a named coverage commitment for low-income/peripheral areas; inclusion of informal settlements within route planning; last-mile connectivity measures for underserved settlements.Score 2.5 if there is evidence of both (i) an affordability/fare-concession measure and (ii) an explicit route/coverage measure for an identified vulnerable group. Score 1.25 if only one is present. Score 0 if neither is present.Component 2 – Gender, safety and accessible design: 2.5 marks. Look for: women's safety features (CCTV, panic buttons, adequate lighting); GESI/gender screening in transport planning; accessible design for persons with disabilities and elderly users (low-floor buses, ramps, priority seating, step-free access).Score 2.5 if the Corporation's current planning/design framework contains specific operational or design measures. Score 1.25 if vulnerable groups are identified but this doesn't translate into an operational/design requirement. Score 0 if no identifiable consideration.</v>
      </c>
    </row>
    <row r="10" customFormat="false" ht="191.25" hidden="false" customHeight="true" outlineLevel="0" collapsed="false">
      <c r="A10" s="10" t="s">
        <v>625</v>
      </c>
      <c r="B10" s="4" t="str">
        <f aca="false">VLOOKUP($B$1,'PARASTATAL Questions'!$A:$J,10,0)&amp;""</f>
        <v>Transport Corporation's current transport/mobility plan; fare policy/concession orders; service design standards or specifications; annual report.</v>
      </c>
    </row>
    <row r="11" customFormat="false" ht="15" hidden="false" customHeight="true" outlineLevel="0" collapsed="false">
      <c r="B11" s="14" t="s">
        <v>839</v>
      </c>
      <c r="I11" s="14" t="s">
        <v>840</v>
      </c>
      <c r="J11" s="14" t="s">
        <v>841</v>
      </c>
      <c r="L11" s="8" t="s">
        <v>842</v>
      </c>
    </row>
    <row r="12" customFormat="false" ht="51.75" hidden="false" customHeight="true" outlineLevel="0" collapsed="false">
      <c r="A12" s="1" t="s">
        <v>612</v>
      </c>
      <c r="B12" s="1" t="s">
        <v>843</v>
      </c>
      <c r="C12" s="1" t="s">
        <v>844</v>
      </c>
      <c r="D12" s="1" t="s">
        <v>845</v>
      </c>
      <c r="E12" s="1" t="s">
        <v>846</v>
      </c>
      <c r="F12" s="1" t="s">
        <v>847</v>
      </c>
      <c r="G12" s="1" t="s">
        <v>848</v>
      </c>
      <c r="H12" s="1" t="s">
        <v>14</v>
      </c>
      <c r="I12" s="1" t="s">
        <v>849</v>
      </c>
      <c r="J12" s="1" t="s">
        <v>850</v>
      </c>
      <c r="K12" s="1" t="s">
        <v>851</v>
      </c>
      <c r="L12" s="8" t="s">
        <v>852</v>
      </c>
    </row>
    <row r="13" customFormat="false" ht="15" hidden="false" customHeight="true" outlineLevel="0" collapsed="false">
      <c r="A13" s="16" t="s">
        <v>19</v>
      </c>
      <c r="B13" s="16" t="s">
        <v>905</v>
      </c>
      <c r="C13" s="16"/>
      <c r="D13" s="16"/>
      <c r="E13" s="16"/>
      <c r="F13" s="16"/>
      <c r="G13" s="16"/>
      <c r="H13" s="16"/>
      <c r="I13" s="17"/>
      <c r="J13" s="16" t="str">
        <f aca="false">IF(COUNTIFS('Scores (start here)'!$A:$A,$B$1,'Scores (start here)'!$B:$B,$A13,'Scores (start here)'!$F:$F,"&gt;=0")&gt;0,SUMIFS('Scores (start here)'!$F:$F,'Scores (start here)'!$A:$A,$B$1,'Scores (start here)'!$B:$B,$A13),L13)</f>
        <v>NA</v>
      </c>
      <c r="K13" s="16"/>
      <c r="L13" s="8" t="str">
        <f aca="false">IF($B13="NO","NA",IF(I13="","",MIN(I13,$B$6)))</f>
        <v>NA</v>
      </c>
    </row>
    <row r="14" customFormat="false" ht="202.5" hidden="false" customHeight="true" outlineLevel="0" collapsed="false">
      <c r="A14" s="8" t="s">
        <v>28</v>
      </c>
      <c r="B14" s="8" t="s">
        <v>853</v>
      </c>
      <c r="C14" s="8" t="s">
        <v>104</v>
      </c>
      <c r="D14" s="8" t="s">
        <v>927</v>
      </c>
      <c r="E14" s="8" t="s">
        <v>928</v>
      </c>
      <c r="F14" s="8" t="s">
        <v>929</v>
      </c>
      <c r="H14" s="8" t="s">
        <v>105</v>
      </c>
      <c r="I14" s="15" t="n">
        <v>1.25</v>
      </c>
      <c r="J14" s="8" t="n">
        <f aca="false">IF(COUNTIFS('Scores (start here)'!$A:$A,$B$1,'Scores (start here)'!$B:$B,$A14,'Scores (start here)'!$F:$F,"&gt;=0")&gt;0,SUMIFS('Scores (start here)'!$F:$F,'Scores (start here)'!$A:$A,$B$1,'Scores (start here)'!$B:$B,$A14),L14)</f>
        <v>1.25</v>
      </c>
      <c r="K14" s="12" t="s">
        <v>930</v>
      </c>
      <c r="L14" s="8" t="n">
        <f aca="false">IF($B14="NO","NA",IF(I14="","",MIN(I14,$B$6)))</f>
        <v>1.25</v>
      </c>
    </row>
    <row r="15" customFormat="false" ht="15" hidden="false" customHeight="true" outlineLevel="0" collapsed="false">
      <c r="A15" s="16" t="s">
        <v>34</v>
      </c>
      <c r="B15" s="16" t="s">
        <v>905</v>
      </c>
      <c r="C15" s="16"/>
      <c r="D15" s="16"/>
      <c r="E15" s="16"/>
      <c r="F15" s="16"/>
      <c r="G15" s="16"/>
      <c r="H15" s="16"/>
      <c r="I15" s="17"/>
      <c r="J15" s="16" t="str">
        <f aca="false">IF(COUNTIFS('Scores (start here)'!$A:$A,$B$1,'Scores (start here)'!$B:$B,$A15,'Scores (start here)'!$F:$F,"&gt;=0")&gt;0,SUMIFS('Scores (start here)'!$F:$F,'Scores (start here)'!$A:$A,$B$1,'Scores (start here)'!$B:$B,$A15),L15)</f>
        <v>NA</v>
      </c>
      <c r="K15" s="16"/>
      <c r="L15" s="8" t="str">
        <f aca="false">IF($B15="NO","NA",IF(I15="","",MIN(I15,$B$6)))</f>
        <v>NA</v>
      </c>
    </row>
    <row r="16" customFormat="false" ht="15" hidden="false" customHeight="true" outlineLevel="0" collapsed="false">
      <c r="A16" s="16" t="s">
        <v>40</v>
      </c>
      <c r="B16" s="16" t="s">
        <v>905</v>
      </c>
      <c r="C16" s="16"/>
      <c r="D16" s="16"/>
      <c r="E16" s="16"/>
      <c r="F16" s="16"/>
      <c r="G16" s="16"/>
      <c r="H16" s="16"/>
      <c r="I16" s="17"/>
      <c r="J16" s="16" t="str">
        <f aca="false">IF(COUNTIFS('Scores (start here)'!$A:$A,$B$1,'Scores (start here)'!$B:$B,$A16,'Scores (start here)'!$F:$F,"&gt;=0")&gt;0,SUMIFS('Scores (start here)'!$F:$F,'Scores (start here)'!$A:$A,$B$1,'Scores (start here)'!$B:$B,$A16),L16)</f>
        <v>NA</v>
      </c>
      <c r="K16" s="16"/>
      <c r="L16" s="8" t="str">
        <f aca="false">IF($B16="NO","NA",IF(I16="","",MIN(I16,$B$6)))</f>
        <v>NA</v>
      </c>
    </row>
    <row r="17" customFormat="false" ht="15" hidden="false" customHeight="true" outlineLevel="0" collapsed="false">
      <c r="A17" s="16" t="s">
        <v>45</v>
      </c>
      <c r="B17" s="16" t="s">
        <v>905</v>
      </c>
      <c r="C17" s="16"/>
      <c r="D17" s="16"/>
      <c r="E17" s="16"/>
      <c r="F17" s="16"/>
      <c r="G17" s="16"/>
      <c r="H17" s="16"/>
      <c r="I17" s="17"/>
      <c r="J17" s="16" t="str">
        <f aca="false">IF(COUNTIFS('Scores (start here)'!$A:$A,$B$1,'Scores (start here)'!$B:$B,$A17,'Scores (start here)'!$F:$F,"&gt;=0")&gt;0,SUMIFS('Scores (start here)'!$F:$F,'Scores (start here)'!$A:$A,$B$1,'Scores (start here)'!$B:$B,$A17),L17)</f>
        <v>NA</v>
      </c>
      <c r="K17" s="16"/>
      <c r="L17" s="8" t="str">
        <f aca="false">IF($B17="NO","NA",IF(I17="","",MIN(I17,$B$6)))</f>
        <v>NA</v>
      </c>
    </row>
    <row r="18" customFormat="false" ht="15" hidden="false" customHeight="true" outlineLevel="0" collapsed="false">
      <c r="A18" s="16" t="s">
        <v>51</v>
      </c>
      <c r="B18" s="16" t="s">
        <v>905</v>
      </c>
      <c r="C18" s="16"/>
      <c r="D18" s="16"/>
      <c r="E18" s="16"/>
      <c r="F18" s="16"/>
      <c r="G18" s="16"/>
      <c r="H18" s="16"/>
      <c r="I18" s="17"/>
      <c r="J18" s="16" t="str">
        <f aca="false">IF(COUNTIFS('Scores (start here)'!$A:$A,$B$1,'Scores (start here)'!$B:$B,$A18,'Scores (start here)'!$F:$F,"&gt;=0")&gt;0,SUMIFS('Scores (start here)'!$F:$F,'Scores (start here)'!$A:$A,$B$1,'Scores (start here)'!$B:$B,$A18),L18)</f>
        <v>NA</v>
      </c>
      <c r="K18" s="16"/>
      <c r="L18" s="8" t="str">
        <f aca="false">IF($B18="NO","NA",IF(I18="","",MIN(I18,$B$6)))</f>
        <v>NA</v>
      </c>
    </row>
    <row r="19" customFormat="false" ht="15" hidden="false" customHeight="true" outlineLevel="0" collapsed="false">
      <c r="A19" s="16" t="s">
        <v>54</v>
      </c>
      <c r="B19" s="16" t="s">
        <v>905</v>
      </c>
      <c r="C19" s="16"/>
      <c r="D19" s="16"/>
      <c r="E19" s="16"/>
      <c r="F19" s="16"/>
      <c r="G19" s="16"/>
      <c r="H19" s="16"/>
      <c r="I19" s="17"/>
      <c r="J19" s="16" t="str">
        <f aca="false">IF(COUNTIFS('Scores (start here)'!$A:$A,$B$1,'Scores (start here)'!$B:$B,$A19,'Scores (start here)'!$F:$F,"&gt;=0")&gt;0,SUMIFS('Scores (start here)'!$F:$F,'Scores (start here)'!$A:$A,$B$1,'Scores (start here)'!$B:$B,$A19),L19)</f>
        <v>NA</v>
      </c>
      <c r="K19" s="16"/>
      <c r="L19" s="8" t="str">
        <f aca="false">IF($B19="NO","NA",IF(I19="","",MIN(I19,$B$6)))</f>
        <v>NA</v>
      </c>
    </row>
  </sheetData>
  <dataValidations count="1">
    <dataValidation allowBlank="true" error="See the instruction above the 'Score' column." errorStyle="stop" operator="between" showDropDown="false" showErrorMessage="true" showInputMessage="false" sqref="I13:I19" type="decimal">
      <formula1>0</formula1>
      <formula2>5</formula2>
    </dataValidation>
  </dataValidations>
  <hyperlinks>
    <hyperlink ref="J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8" width="28"/>
    <col collapsed="false" customWidth="true" hidden="false" outlineLevel="0" max="2" min="2" style="8" width="10"/>
    <col collapsed="false" customWidth="true" hidden="false" outlineLevel="0" max="3" min="3" style="8" width="30"/>
    <col collapsed="false" customWidth="true" hidden="false" outlineLevel="0" max="8" min="8" style="8" width="10"/>
    <col collapsed="false" customWidth="true" hidden="false" outlineLevel="0" max="9" min="9" style="8" width="40"/>
  </cols>
  <sheetData>
    <row r="1" customFormat="false" ht="15" hidden="false" customHeight="true" outlineLevel="0" collapsed="false">
      <c r="A1" s="8" t="s">
        <v>836</v>
      </c>
      <c r="B1" s="8" t="s">
        <v>108</v>
      </c>
      <c r="C1" s="8" t="s">
        <v>837</v>
      </c>
      <c r="J1" s="13" t="s">
        <v>838</v>
      </c>
    </row>
    <row r="2" customFormat="false" ht="45.75" hidden="false" customHeight="true" outlineLevel="0" collapsed="false">
      <c r="A2" s="10" t="s">
        <v>589</v>
      </c>
      <c r="B2" s="4" t="str">
        <f aca="false">VLOOKUP($B$1,'PARASTATAL Questions'!$A:$J,3,0)&amp;""</f>
        <v>Urban Planning &amp; Design (UPD)</v>
      </c>
    </row>
    <row r="3" customFormat="false" ht="15" hidden="false" customHeight="true" outlineLevel="0" collapsed="false">
      <c r="A3" s="10" t="s">
        <v>622</v>
      </c>
      <c r="B3" s="4" t="str">
        <f aca="false">VLOOKUP($B$1,'PARASTATAL Questions'!$A:$J,2,0)&amp;""</f>
        <v>UPD 5a</v>
      </c>
    </row>
    <row r="4" customFormat="false" ht="15" hidden="false" customHeight="true" outlineLevel="0" collapsed="false">
      <c r="A4" s="10" t="s">
        <v>590</v>
      </c>
      <c r="B4" s="4" t="str">
        <f aca="false">VLOOKUP($B$1,'PARASTATAL Questions'!$A:$J,4,0)&amp;""</f>
        <v>SQ</v>
      </c>
    </row>
    <row r="5" customFormat="false" ht="191.25" hidden="false" customHeight="true" outlineLevel="0" collapsed="false">
      <c r="A5" s="10" t="s">
        <v>0</v>
      </c>
      <c r="B5" s="4" t="str">
        <f aca="false">VLOOKUP($B$1,'PARASTATAL Questions'!$A:$J,5,0)&amp;""</f>
        <v>Is the water supply board mandated to consider environmental sustainability in planning and delivering water and sanitation services?</v>
      </c>
    </row>
    <row r="6" customFormat="false" ht="15" hidden="false" customHeight="true" outlineLevel="0" collapsed="false">
      <c r="A6" s="10" t="s">
        <v>592</v>
      </c>
      <c r="B6" s="4" t="n">
        <f aca="false">VLOOKUP($B$1,'PARASTATAL Questions'!$A:$J,6,0)</f>
        <v>5</v>
      </c>
    </row>
    <row r="7" customFormat="false" ht="15" hidden="false" customHeight="true" outlineLevel="0" collapsed="false">
      <c r="A7" s="10" t="s">
        <v>591</v>
      </c>
      <c r="B7" s="4" t="str">
        <f aca="false">VLOOKUP($B$1,'PARASTATAL Questions'!$A:$J,7,0)&amp;""</f>
        <v>Law/Policy</v>
      </c>
    </row>
    <row r="8" customFormat="false" ht="34.5" hidden="false" customHeight="true" outlineLevel="0" collapsed="false">
      <c r="A8" s="10" t="s">
        <v>623</v>
      </c>
      <c r="B8" s="4" t="str">
        <f aca="false">VLOOKUP($B$1,'PARASTATAL Questions'!$A:$J,8,0)&amp;""</f>
        <v>Water supply board</v>
      </c>
    </row>
    <row r="9" customFormat="false" ht="975" hidden="false" customHeight="true" outlineLevel="0" collapsed="false">
      <c r="A9" s="10" t="s">
        <v>624</v>
      </c>
      <c r="B9" s="4" t="str">
        <f aca="false">VLOOKUP($B$1,'PARASTATAL Questions'!$A:$J,9,0)&amp;""</f>
        <v>Review the Water Supply Board/utility Act, water and sanitation legislation, service rules, State water policies, groundwater/source-protection provisions and other binding instruments. Look for explicit requirements relating to sustainable water sources, source protection, demand management or conservation, reduction of water losses, wastewater treatment/reuse, protection from pollution, environmental flows where applicable, climate resilience or environmentally sustainable service delivery. Score 5 if environmental sustainability requirements apply across core water/sanitation planning and service-delivery functions; Score 2.5 if limited to particular functions, schemes or environmental concerns; Score 0 if no explicit requirement is found.</v>
      </c>
    </row>
    <row r="10" customFormat="false" ht="225" hidden="false" customHeight="true" outlineLevel="0" collapsed="false">
      <c r="A10" s="10" t="s">
        <v>625</v>
      </c>
      <c r="B10" s="4" t="str">
        <f aca="false">VLOOKUP($B$1,'PARASTATAL Questions'!$A:$J,10,0)&amp;""</f>
        <v>Water Supply Board/utility Act, water and sanitation legislation, service rules, State water policies, groundwater/source-protection provisions and other binding instruments</v>
      </c>
    </row>
    <row r="11" customFormat="false" ht="15" hidden="false" customHeight="true" outlineLevel="0" collapsed="false">
      <c r="B11" s="14" t="s">
        <v>839</v>
      </c>
      <c r="I11" s="14" t="s">
        <v>840</v>
      </c>
      <c r="J11" s="14" t="s">
        <v>841</v>
      </c>
      <c r="L11" s="8" t="s">
        <v>842</v>
      </c>
    </row>
    <row r="12" customFormat="false" ht="51.75" hidden="false" customHeight="true" outlineLevel="0" collapsed="false">
      <c r="A12" s="1" t="s">
        <v>612</v>
      </c>
      <c r="B12" s="1" t="s">
        <v>843</v>
      </c>
      <c r="C12" s="1" t="s">
        <v>844</v>
      </c>
      <c r="D12" s="1" t="s">
        <v>845</v>
      </c>
      <c r="E12" s="1" t="s">
        <v>846</v>
      </c>
      <c r="F12" s="1" t="s">
        <v>847</v>
      </c>
      <c r="G12" s="1" t="s">
        <v>848</v>
      </c>
      <c r="H12" s="1" t="s">
        <v>14</v>
      </c>
      <c r="I12" s="1" t="s">
        <v>849</v>
      </c>
      <c r="J12" s="1" t="s">
        <v>850</v>
      </c>
      <c r="K12" s="1" t="s">
        <v>851</v>
      </c>
      <c r="L12" s="8" t="s">
        <v>852</v>
      </c>
    </row>
    <row r="13" customFormat="false" ht="34.5" hidden="false" customHeight="true" outlineLevel="0" collapsed="false">
      <c r="A13" s="8" t="s">
        <v>19</v>
      </c>
      <c r="B13" s="8" t="s">
        <v>853</v>
      </c>
      <c r="C13" s="8" t="s">
        <v>23</v>
      </c>
      <c r="D13" s="8" t="s">
        <v>931</v>
      </c>
      <c r="E13" s="8" t="s">
        <v>932</v>
      </c>
      <c r="F13" s="8" t="s">
        <v>933</v>
      </c>
      <c r="G13" s="8" t="s">
        <v>916</v>
      </c>
      <c r="H13" s="8" t="s">
        <v>24</v>
      </c>
      <c r="I13" s="15" t="n">
        <v>2.5</v>
      </c>
      <c r="J13" s="8" t="n">
        <f aca="false">IF(COUNTIFS('Scores (start here)'!$A:$A,$B$1,'Scores (start here)'!$B:$B,$A13,'Scores (start here)'!$F:$F,"&gt;=0")&gt;0,SUMIFS('Scores (start here)'!$F:$F,'Scores (start here)'!$A:$A,$B$1,'Scores (start here)'!$B:$B,$A13),L13)</f>
        <v>2.5</v>
      </c>
      <c r="K13" s="12" t="s">
        <v>934</v>
      </c>
      <c r="L13" s="8" t="n">
        <f aca="false">IF($B13="NO","NA",IF(I13="","",MIN(I13,$B$6)))</f>
        <v>2.5</v>
      </c>
    </row>
    <row r="14" customFormat="false" ht="15" hidden="false" customHeight="true" outlineLevel="0" collapsed="false">
      <c r="A14" s="16" t="s">
        <v>28</v>
      </c>
      <c r="B14" s="16" t="s">
        <v>905</v>
      </c>
      <c r="C14" s="16"/>
      <c r="D14" s="16"/>
      <c r="E14" s="16"/>
      <c r="F14" s="16"/>
      <c r="G14" s="16"/>
      <c r="H14" s="16"/>
      <c r="I14" s="17"/>
      <c r="J14" s="16" t="str">
        <f aca="false">IF(COUNTIFS('Scores (start here)'!$A:$A,$B$1,'Scores (start here)'!$B:$B,$A14,'Scores (start here)'!$F:$F,"&gt;=0")&gt;0,SUMIFS('Scores (start here)'!$F:$F,'Scores (start here)'!$A:$A,$B$1,'Scores (start here)'!$B:$B,$A14),L14)</f>
        <v>NA</v>
      </c>
      <c r="K14" s="16"/>
      <c r="L14" s="8" t="str">
        <f aca="false">IF($B14="NO","NA",IF(I14="","",MIN(I14,$B$6)))</f>
        <v>NA</v>
      </c>
    </row>
    <row r="15" customFormat="false" ht="15" hidden="false" customHeight="true" outlineLevel="0" collapsed="false">
      <c r="A15" s="16" t="s">
        <v>34</v>
      </c>
      <c r="B15" s="16" t="s">
        <v>905</v>
      </c>
      <c r="C15" s="16"/>
      <c r="D15" s="16"/>
      <c r="E15" s="16"/>
      <c r="F15" s="16"/>
      <c r="G15" s="16"/>
      <c r="H15" s="16"/>
      <c r="I15" s="17"/>
      <c r="J15" s="16" t="str">
        <f aca="false">IF(COUNTIFS('Scores (start here)'!$A:$A,$B$1,'Scores (start here)'!$B:$B,$A15,'Scores (start here)'!$F:$F,"&gt;=0")&gt;0,SUMIFS('Scores (start here)'!$F:$F,'Scores (start here)'!$A:$A,$B$1,'Scores (start here)'!$B:$B,$A15),L15)</f>
        <v>NA</v>
      </c>
      <c r="K15" s="16"/>
      <c r="L15" s="8" t="str">
        <f aca="false">IF($B15="NO","NA",IF(I15="","",MIN(I15,$B$6)))</f>
        <v>NA</v>
      </c>
    </row>
    <row r="16" customFormat="false" ht="15" hidden="false" customHeight="true" outlineLevel="0" collapsed="false">
      <c r="A16" s="16" t="s">
        <v>40</v>
      </c>
      <c r="B16" s="16" t="s">
        <v>905</v>
      </c>
      <c r="C16" s="16"/>
      <c r="D16" s="16"/>
      <c r="E16" s="16"/>
      <c r="F16" s="16"/>
      <c r="G16" s="16"/>
      <c r="H16" s="16"/>
      <c r="I16" s="17"/>
      <c r="J16" s="16" t="str">
        <f aca="false">IF(COUNTIFS('Scores (start here)'!$A:$A,$B$1,'Scores (start here)'!$B:$B,$A16,'Scores (start here)'!$F:$F,"&gt;=0")&gt;0,SUMIFS('Scores (start here)'!$F:$F,'Scores (start here)'!$A:$A,$B$1,'Scores (start here)'!$B:$B,$A16),L16)</f>
        <v>NA</v>
      </c>
      <c r="K16" s="16"/>
      <c r="L16" s="8" t="str">
        <f aca="false">IF($B16="NO","NA",IF(I16="","",MIN(I16,$B$6)))</f>
        <v>NA</v>
      </c>
    </row>
    <row r="17" customFormat="false" ht="15" hidden="false" customHeight="true" outlineLevel="0" collapsed="false">
      <c r="A17" s="16" t="s">
        <v>45</v>
      </c>
      <c r="B17" s="16" t="s">
        <v>905</v>
      </c>
      <c r="C17" s="16"/>
      <c r="D17" s="16"/>
      <c r="E17" s="16"/>
      <c r="F17" s="16"/>
      <c r="G17" s="16"/>
      <c r="H17" s="16"/>
      <c r="I17" s="17"/>
      <c r="J17" s="16" t="str">
        <f aca="false">IF(COUNTIFS('Scores (start here)'!$A:$A,$B$1,'Scores (start here)'!$B:$B,$A17,'Scores (start here)'!$F:$F,"&gt;=0")&gt;0,SUMIFS('Scores (start here)'!$F:$F,'Scores (start here)'!$A:$A,$B$1,'Scores (start here)'!$B:$B,$A17),L17)</f>
        <v>NA</v>
      </c>
      <c r="K17" s="16"/>
      <c r="L17" s="8" t="str">
        <f aca="false">IF($B17="NO","NA",IF(I17="","",MIN(I17,$B$6)))</f>
        <v>NA</v>
      </c>
    </row>
    <row r="18" customFormat="false" ht="15" hidden="false" customHeight="true" outlineLevel="0" collapsed="false">
      <c r="A18" s="16" t="s">
        <v>51</v>
      </c>
      <c r="B18" s="16" t="s">
        <v>905</v>
      </c>
      <c r="C18" s="16"/>
      <c r="D18" s="16"/>
      <c r="E18" s="16"/>
      <c r="F18" s="16"/>
      <c r="G18" s="16"/>
      <c r="H18" s="16"/>
      <c r="I18" s="17"/>
      <c r="J18" s="16" t="str">
        <f aca="false">IF(COUNTIFS('Scores (start here)'!$A:$A,$B$1,'Scores (start here)'!$B:$B,$A18,'Scores (start here)'!$F:$F,"&gt;=0")&gt;0,SUMIFS('Scores (start here)'!$F:$F,'Scores (start here)'!$A:$A,$B$1,'Scores (start here)'!$B:$B,$A18),L18)</f>
        <v>NA</v>
      </c>
      <c r="K18" s="16"/>
      <c r="L18" s="8" t="str">
        <f aca="false">IF($B18="NO","NA",IF(I18="","",MIN(I18,$B$6)))</f>
        <v>NA</v>
      </c>
    </row>
    <row r="19" customFormat="false" ht="15" hidden="false" customHeight="true" outlineLevel="0" collapsed="false">
      <c r="A19" s="16" t="s">
        <v>54</v>
      </c>
      <c r="B19" s="16" t="s">
        <v>905</v>
      </c>
      <c r="C19" s="16"/>
      <c r="D19" s="16"/>
      <c r="E19" s="16"/>
      <c r="F19" s="16"/>
      <c r="G19" s="16"/>
      <c r="H19" s="16"/>
      <c r="I19" s="17"/>
      <c r="J19" s="16" t="str">
        <f aca="false">IF(COUNTIFS('Scores (start here)'!$A:$A,$B$1,'Scores (start here)'!$B:$B,$A19,'Scores (start here)'!$F:$F,"&gt;=0")&gt;0,SUMIFS('Scores (start here)'!$F:$F,'Scores (start here)'!$A:$A,$B$1,'Scores (start here)'!$B:$B,$A19),L19)</f>
        <v>NA</v>
      </c>
      <c r="K19" s="16"/>
      <c r="L19" s="8" t="str">
        <f aca="false">IF($B19="NO","NA",IF(I19="","",MIN(I19,$B$6)))</f>
        <v>NA</v>
      </c>
    </row>
  </sheetData>
  <dataValidations count="1">
    <dataValidation allowBlank="true" error="See the instruction above the 'Score' column." errorStyle="stop" operator="between" showDropDown="false" showErrorMessage="true" showInputMessage="false" sqref="I13:I19" type="decimal">
      <formula1>0</formula1>
      <formula2>5</formula2>
    </dataValidation>
  </dataValidations>
  <hyperlinks>
    <hyperlink ref="J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8" width="28"/>
    <col collapsed="false" customWidth="true" hidden="false" outlineLevel="0" max="2" min="2" style="8" width="10"/>
    <col collapsed="false" customWidth="true" hidden="false" outlineLevel="0" max="3" min="3" style="8" width="30"/>
    <col collapsed="false" customWidth="true" hidden="false" outlineLevel="0" max="8" min="8" style="8" width="10"/>
    <col collapsed="false" customWidth="true" hidden="false" outlineLevel="0" max="9" min="9" style="8" width="40"/>
  </cols>
  <sheetData>
    <row r="1" customFormat="false" ht="15" hidden="false" customHeight="true" outlineLevel="0" collapsed="false">
      <c r="A1" s="8" t="s">
        <v>836</v>
      </c>
      <c r="B1" s="8" t="s">
        <v>112</v>
      </c>
      <c r="C1" s="8" t="s">
        <v>837</v>
      </c>
      <c r="J1" s="13" t="s">
        <v>838</v>
      </c>
    </row>
    <row r="2" customFormat="false" ht="45.75" hidden="false" customHeight="true" outlineLevel="0" collapsed="false">
      <c r="A2" s="10" t="s">
        <v>589</v>
      </c>
      <c r="B2" s="4" t="str">
        <f aca="false">VLOOKUP($B$1,'PARASTATAL Questions'!$A:$J,3,0)&amp;""</f>
        <v>Urban Planning &amp; Design (UPD)</v>
      </c>
    </row>
    <row r="3" customFormat="false" ht="15" hidden="false" customHeight="true" outlineLevel="0" collapsed="false">
      <c r="A3" s="10" t="s">
        <v>622</v>
      </c>
      <c r="B3" s="4" t="str">
        <f aca="false">VLOOKUP($B$1,'PARASTATAL Questions'!$A:$J,2,0)&amp;""</f>
        <v>UPD 5b</v>
      </c>
    </row>
    <row r="4" customFormat="false" ht="15" hidden="false" customHeight="true" outlineLevel="0" collapsed="false">
      <c r="A4" s="10" t="s">
        <v>590</v>
      </c>
      <c r="B4" s="4" t="str">
        <f aca="false">VLOOKUP($B$1,'PARASTATAL Questions'!$A:$J,4,0)&amp;""</f>
        <v>SQ</v>
      </c>
    </row>
    <row r="5" customFormat="false" ht="180" hidden="false" customHeight="true" outlineLevel="0" collapsed="false">
      <c r="A5" s="10" t="s">
        <v>0</v>
      </c>
      <c r="B5" s="4" t="str">
        <f aca="false">VLOOKUP($B$1,'PARASTATAL Questions'!$A:$J,5,0)&amp;""</f>
        <v>Does the water supply board actually consider environmental sustainability in planning and delivering water and sanitation services?</v>
      </c>
    </row>
    <row r="6" customFormat="false" ht="15" hidden="false" customHeight="true" outlineLevel="0" collapsed="false">
      <c r="A6" s="10" t="s">
        <v>592</v>
      </c>
      <c r="B6" s="4" t="n">
        <f aca="false">VLOOKUP($B$1,'PARASTATAL Questions'!$A:$J,6,0)</f>
        <v>5</v>
      </c>
    </row>
    <row r="7" customFormat="false" ht="23.25" hidden="false" customHeight="true" outlineLevel="0" collapsed="false">
      <c r="A7" s="10" t="s">
        <v>591</v>
      </c>
      <c r="B7" s="4" t="str">
        <f aca="false">VLOOKUP($B$1,'PARASTATAL Questions'!$A:$J,7,0)&amp;""</f>
        <v>Implementation</v>
      </c>
    </row>
    <row r="8" customFormat="false" ht="34.5" hidden="false" customHeight="true" outlineLevel="0" collapsed="false">
      <c r="A8" s="10" t="s">
        <v>623</v>
      </c>
      <c r="B8" s="4" t="str">
        <f aca="false">VLOOKUP($B$1,'PARASTATAL Questions'!$A:$J,8,0)&amp;""</f>
        <v>Water supply board</v>
      </c>
    </row>
    <row r="9" customFormat="false" ht="3276.75" hidden="false" customHeight="true" outlineLevel="0" collapsed="false">
      <c r="A9" s="10" t="s">
        <v>624</v>
      </c>
      <c r="B9" s="4" t="str">
        <f aca="false">VLOOKUP($B$1,'PARASTATAL Questions'!$A:$J,9,0)&amp;""</f>
        <v>Review the Board's latest water supply plan. Assess whether it contains identifiable environmental sustainability measures relating to source management, conservation, wastewater management, or climate resilience.Do not award credit for generic language such as "sustainable development," "efficient service," "environment friendly" or "public interest" unless this is translated into a specific planning, operational, or design provision. Component 1 – Sustainable source management, conservation and loss reduction: 2.5 marksLook for identifiable provisions such as:sustainable or diversified water source development, or measures to reduce over-extraction/dependence on a stressed sourcegroundwater recharge, rainwater harvesting, or source-protection measures within the Board's own infrastructure planninga non-revenue water (NRW)/water-loss reduction target or programmedemand management or water conservation measures (e.g., universal metering, leak detection and repair programme, conservation-oriented design standards)measures to protect water sources from pollution or encroachment (buffer/catchment protection, control of upstream effluent discharge)any other specific measure on sustainable source management, and/or conservation and loss reduction Scoring:Score 2.5 if there is evidence of both (i) a sustainable source/protection measure and (ii) an explicit loss-reduction or demand-management target/programme.Score 1.25 if only one of the above is present. Score 0 if neither is present. Component 2 – Wastewater management, reuse and climate resilience: 2.5 marksLook for identifiable planning or operational measures such as:wastewater treatment capacity or quality targets aligned with service expansiona treated-wastewater reuse/recycling target or scheme (industrial, horticultural, non-potable reuse, etc.)climate resilience or adaptation measures for water sources or infrastructure (drought contingency planning, flood-proofing of treatment/pumping assets)energy efficiency measures in water/wastewater operations (energy audits, renewable energy use in pumping/treatment)environmental flow or ecological considerations where surface water sources are usedother specific measures addressing the environmental impact of water or wastewater operations Scoring:Score 2.5 if the Board's current planning framework contains specific operational measures addressing wastewater management, climate resilience or energy use.Score 1.25 if such considerations are mentioned or identified but do not translate into a clear operational or target-based requirement.Score 0 if there is no identifiable environmental sustainability consideration.</v>
      </c>
    </row>
    <row r="10" customFormat="false" ht="281.25" hidden="false" customHeight="true" outlineLevel="0" collapsed="false">
      <c r="A10" s="10" t="s">
        <v>625</v>
      </c>
      <c r="B10" s="4" t="str">
        <f aca="false">VLOOKUP($B$1,'PARASTATAL Questions'!$A:$J,10,0)&amp;""</f>
        <v>Water Supply Board's current water supply/sanitation plan; source-protection or conservation programme documents; wastewater treatment/reuse scheme documents; annual report.</v>
      </c>
    </row>
    <row r="11" customFormat="false" ht="15" hidden="false" customHeight="true" outlineLevel="0" collapsed="false">
      <c r="B11" s="14" t="s">
        <v>839</v>
      </c>
      <c r="I11" s="14" t="s">
        <v>840</v>
      </c>
      <c r="J11" s="14" t="s">
        <v>841</v>
      </c>
      <c r="L11" s="8" t="s">
        <v>842</v>
      </c>
    </row>
    <row r="12" customFormat="false" ht="51.75" hidden="false" customHeight="true" outlineLevel="0" collapsed="false">
      <c r="A12" s="1" t="s">
        <v>612</v>
      </c>
      <c r="B12" s="1" t="s">
        <v>843</v>
      </c>
      <c r="C12" s="1" t="s">
        <v>844</v>
      </c>
      <c r="D12" s="1" t="s">
        <v>845</v>
      </c>
      <c r="E12" s="1" t="s">
        <v>846</v>
      </c>
      <c r="F12" s="1" t="s">
        <v>847</v>
      </c>
      <c r="G12" s="1" t="s">
        <v>848</v>
      </c>
      <c r="H12" s="1" t="s">
        <v>14</v>
      </c>
      <c r="I12" s="1" t="s">
        <v>849</v>
      </c>
      <c r="J12" s="1" t="s">
        <v>850</v>
      </c>
      <c r="K12" s="1" t="s">
        <v>851</v>
      </c>
      <c r="L12" s="8" t="s">
        <v>852</v>
      </c>
    </row>
    <row r="13" customFormat="false" ht="504.75" hidden="false" customHeight="true" outlineLevel="0" collapsed="false">
      <c r="A13" s="8" t="s">
        <v>19</v>
      </c>
      <c r="B13" s="8" t="s">
        <v>853</v>
      </c>
      <c r="C13" s="8" t="s">
        <v>114</v>
      </c>
      <c r="D13" s="8" t="s">
        <v>935</v>
      </c>
      <c r="E13" s="8" t="s">
        <v>936</v>
      </c>
      <c r="F13" s="8" t="s">
        <v>937</v>
      </c>
      <c r="G13" s="8" t="s">
        <v>862</v>
      </c>
      <c r="H13" s="8" t="s">
        <v>115</v>
      </c>
      <c r="I13" s="15" t="n">
        <v>5</v>
      </c>
      <c r="J13" s="8" t="n">
        <f aca="false">IF(COUNTIFS('Scores (start here)'!$A:$A,$B$1,'Scores (start here)'!$B:$B,$A13,'Scores (start here)'!$F:$F,"&gt;=0")&gt;0,SUMIFS('Scores (start here)'!$F:$F,'Scores (start here)'!$A:$A,$B$1,'Scores (start here)'!$B:$B,$A13),L13)</f>
        <v>5</v>
      </c>
      <c r="K13" s="12" t="s">
        <v>938</v>
      </c>
      <c r="L13" s="8" t="n">
        <f aca="false">IF($B13="NO","NA",IF(I13="","",MIN(I13,$B$6)))</f>
        <v>5</v>
      </c>
    </row>
    <row r="14" customFormat="false" ht="15" hidden="false" customHeight="true" outlineLevel="0" collapsed="false">
      <c r="A14" s="16" t="s">
        <v>28</v>
      </c>
      <c r="B14" s="16" t="s">
        <v>905</v>
      </c>
      <c r="C14" s="16"/>
      <c r="D14" s="16"/>
      <c r="E14" s="16"/>
      <c r="F14" s="16"/>
      <c r="G14" s="16"/>
      <c r="H14" s="16"/>
      <c r="I14" s="17"/>
      <c r="J14" s="16" t="str">
        <f aca="false">IF(COUNTIFS('Scores (start here)'!$A:$A,$B$1,'Scores (start here)'!$B:$B,$A14,'Scores (start here)'!$F:$F,"&gt;=0")&gt;0,SUMIFS('Scores (start here)'!$F:$F,'Scores (start here)'!$A:$A,$B$1,'Scores (start here)'!$B:$B,$A14),L14)</f>
        <v>NA</v>
      </c>
      <c r="K14" s="16"/>
      <c r="L14" s="8" t="str">
        <f aca="false">IF($B14="NO","NA",IF(I14="","",MIN(I14,$B$6)))</f>
        <v>NA</v>
      </c>
    </row>
    <row r="15" customFormat="false" ht="15" hidden="false" customHeight="true" outlineLevel="0" collapsed="false">
      <c r="A15" s="16" t="s">
        <v>34</v>
      </c>
      <c r="B15" s="16" t="s">
        <v>905</v>
      </c>
      <c r="C15" s="16"/>
      <c r="D15" s="16"/>
      <c r="E15" s="16"/>
      <c r="F15" s="16"/>
      <c r="G15" s="16"/>
      <c r="H15" s="16"/>
      <c r="I15" s="17"/>
      <c r="J15" s="16" t="str">
        <f aca="false">IF(COUNTIFS('Scores (start here)'!$A:$A,$B$1,'Scores (start here)'!$B:$B,$A15,'Scores (start here)'!$F:$F,"&gt;=0")&gt;0,SUMIFS('Scores (start here)'!$F:$F,'Scores (start here)'!$A:$A,$B$1,'Scores (start here)'!$B:$B,$A15),L15)</f>
        <v>NA</v>
      </c>
      <c r="K15" s="16"/>
      <c r="L15" s="8" t="str">
        <f aca="false">IF($B15="NO","NA",IF(I15="","",MIN(I15,$B$6)))</f>
        <v>NA</v>
      </c>
    </row>
    <row r="16" customFormat="false" ht="15" hidden="false" customHeight="true" outlineLevel="0" collapsed="false">
      <c r="A16" s="16" t="s">
        <v>40</v>
      </c>
      <c r="B16" s="16" t="s">
        <v>905</v>
      </c>
      <c r="C16" s="16"/>
      <c r="D16" s="16"/>
      <c r="E16" s="16"/>
      <c r="F16" s="16"/>
      <c r="G16" s="16"/>
      <c r="H16" s="16"/>
      <c r="I16" s="17"/>
      <c r="J16" s="16" t="str">
        <f aca="false">IF(COUNTIFS('Scores (start here)'!$A:$A,$B$1,'Scores (start here)'!$B:$B,$A16,'Scores (start here)'!$F:$F,"&gt;=0")&gt;0,SUMIFS('Scores (start here)'!$F:$F,'Scores (start here)'!$A:$A,$B$1,'Scores (start here)'!$B:$B,$A16),L16)</f>
        <v>NA</v>
      </c>
      <c r="K16" s="16"/>
      <c r="L16" s="8" t="str">
        <f aca="false">IF($B16="NO","NA",IF(I16="","",MIN(I16,$B$6)))</f>
        <v>NA</v>
      </c>
    </row>
    <row r="17" customFormat="false" ht="15" hidden="false" customHeight="true" outlineLevel="0" collapsed="false">
      <c r="A17" s="16" t="s">
        <v>45</v>
      </c>
      <c r="B17" s="16" t="s">
        <v>905</v>
      </c>
      <c r="C17" s="16"/>
      <c r="D17" s="16"/>
      <c r="E17" s="16"/>
      <c r="F17" s="16"/>
      <c r="G17" s="16"/>
      <c r="H17" s="16"/>
      <c r="I17" s="17"/>
      <c r="J17" s="16" t="str">
        <f aca="false">IF(COUNTIFS('Scores (start here)'!$A:$A,$B$1,'Scores (start here)'!$B:$B,$A17,'Scores (start here)'!$F:$F,"&gt;=0")&gt;0,SUMIFS('Scores (start here)'!$F:$F,'Scores (start here)'!$A:$A,$B$1,'Scores (start here)'!$B:$B,$A17),L17)</f>
        <v>NA</v>
      </c>
      <c r="K17" s="16"/>
      <c r="L17" s="8" t="str">
        <f aca="false">IF($B17="NO","NA",IF(I17="","",MIN(I17,$B$6)))</f>
        <v>NA</v>
      </c>
    </row>
    <row r="18" customFormat="false" ht="15" hidden="false" customHeight="true" outlineLevel="0" collapsed="false">
      <c r="A18" s="16" t="s">
        <v>51</v>
      </c>
      <c r="B18" s="16" t="s">
        <v>905</v>
      </c>
      <c r="C18" s="16"/>
      <c r="D18" s="16"/>
      <c r="E18" s="16"/>
      <c r="F18" s="16"/>
      <c r="G18" s="16"/>
      <c r="H18" s="16"/>
      <c r="I18" s="17"/>
      <c r="J18" s="16" t="str">
        <f aca="false">IF(COUNTIFS('Scores (start here)'!$A:$A,$B$1,'Scores (start here)'!$B:$B,$A18,'Scores (start here)'!$F:$F,"&gt;=0")&gt;0,SUMIFS('Scores (start here)'!$F:$F,'Scores (start here)'!$A:$A,$B$1,'Scores (start here)'!$B:$B,$A18),L18)</f>
        <v>NA</v>
      </c>
      <c r="K18" s="16"/>
      <c r="L18" s="8" t="str">
        <f aca="false">IF($B18="NO","NA",IF(I18="","",MIN(I18,$B$6)))</f>
        <v>NA</v>
      </c>
    </row>
    <row r="19" customFormat="false" ht="15" hidden="false" customHeight="true" outlineLevel="0" collapsed="false">
      <c r="A19" s="16" t="s">
        <v>54</v>
      </c>
      <c r="B19" s="16" t="s">
        <v>905</v>
      </c>
      <c r="C19" s="16"/>
      <c r="D19" s="16"/>
      <c r="E19" s="16"/>
      <c r="F19" s="16"/>
      <c r="G19" s="16"/>
      <c r="H19" s="16"/>
      <c r="I19" s="17"/>
      <c r="J19" s="16" t="str">
        <f aca="false">IF(COUNTIFS('Scores (start here)'!$A:$A,$B$1,'Scores (start here)'!$B:$B,$A19,'Scores (start here)'!$F:$F,"&gt;=0")&gt;0,SUMIFS('Scores (start here)'!$F:$F,'Scores (start here)'!$A:$A,$B$1,'Scores (start here)'!$B:$B,$A19),L19)</f>
        <v>NA</v>
      </c>
      <c r="K19" s="16"/>
      <c r="L19" s="8" t="str">
        <f aca="false">IF($B19="NO","NA",IF(I19="","",MIN(I19,$B$6)))</f>
        <v>NA</v>
      </c>
    </row>
  </sheetData>
  <dataValidations count="1">
    <dataValidation allowBlank="true" error="See the instruction above the 'Score' column." errorStyle="stop" operator="between" showDropDown="false" showErrorMessage="true" showInputMessage="false" sqref="I13:I19" type="decimal">
      <formula1>0</formula1>
      <formula2>5</formula2>
    </dataValidation>
  </dataValidations>
  <hyperlinks>
    <hyperlink ref="J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8" width="28"/>
    <col collapsed="false" customWidth="true" hidden="false" outlineLevel="0" max="2" min="2" style="8" width="10"/>
    <col collapsed="false" customWidth="true" hidden="false" outlineLevel="0" max="3" min="3" style="8" width="30"/>
    <col collapsed="false" customWidth="true" hidden="false" outlineLevel="0" max="8" min="8" style="8" width="10"/>
    <col collapsed="false" customWidth="true" hidden="false" outlineLevel="0" max="9" min="9" style="8" width="40"/>
  </cols>
  <sheetData>
    <row r="1" customFormat="false" ht="15" hidden="false" customHeight="true" outlineLevel="0" collapsed="false">
      <c r="A1" s="8" t="s">
        <v>836</v>
      </c>
      <c r="B1" s="8" t="s">
        <v>118</v>
      </c>
      <c r="C1" s="8" t="s">
        <v>837</v>
      </c>
      <c r="J1" s="13" t="s">
        <v>838</v>
      </c>
    </row>
    <row r="2" customFormat="false" ht="45.75" hidden="false" customHeight="true" outlineLevel="0" collapsed="false">
      <c r="A2" s="10" t="s">
        <v>589</v>
      </c>
      <c r="B2" s="4" t="str">
        <f aca="false">VLOOKUP($B$1,'PARASTATAL Questions'!$A:$J,3,0)&amp;""</f>
        <v>Urban Planning &amp; Design (UPD)</v>
      </c>
    </row>
    <row r="3" customFormat="false" ht="15" hidden="false" customHeight="true" outlineLevel="0" collapsed="false">
      <c r="A3" s="10" t="s">
        <v>622</v>
      </c>
      <c r="B3" s="4" t="str">
        <f aca="false">VLOOKUP($B$1,'PARASTATAL Questions'!$A:$J,2,0)&amp;""</f>
        <v>UPD 6a</v>
      </c>
    </row>
    <row r="4" customFormat="false" ht="15" hidden="false" customHeight="true" outlineLevel="0" collapsed="false">
      <c r="A4" s="10" t="s">
        <v>590</v>
      </c>
      <c r="B4" s="4" t="str">
        <f aca="false">VLOOKUP($B$1,'PARASTATAL Questions'!$A:$J,4,0)&amp;""</f>
        <v>SQ</v>
      </c>
    </row>
    <row r="5" customFormat="false" ht="225" hidden="false" customHeight="true" outlineLevel="0" collapsed="false">
      <c r="A5" s="10" t="s">
        <v>0</v>
      </c>
      <c r="B5" s="4" t="str">
        <f aca="false">VLOOKUP($B$1,'PARASTATAL Questions'!$A:$J,5,0)&amp;""</f>
        <v>Is the transport corporation mandated to consider environmental sustainability in planning and delivering urban transport services and investments?</v>
      </c>
    </row>
    <row r="6" customFormat="false" ht="15" hidden="false" customHeight="true" outlineLevel="0" collapsed="false">
      <c r="A6" s="10" t="s">
        <v>592</v>
      </c>
      <c r="B6" s="4" t="n">
        <f aca="false">VLOOKUP($B$1,'PARASTATAL Questions'!$A:$J,6,0)</f>
        <v>5</v>
      </c>
    </row>
    <row r="7" customFormat="false" ht="15" hidden="false" customHeight="true" outlineLevel="0" collapsed="false">
      <c r="A7" s="10" t="s">
        <v>591</v>
      </c>
      <c r="B7" s="4" t="str">
        <f aca="false">VLOOKUP($B$1,'PARASTATAL Questions'!$A:$J,7,0)&amp;""</f>
        <v>Law/Policy</v>
      </c>
    </row>
    <row r="8" customFormat="false" ht="34.5" hidden="false" customHeight="true" outlineLevel="0" collapsed="false">
      <c r="A8" s="10" t="s">
        <v>623</v>
      </c>
      <c r="B8" s="4" t="str">
        <f aca="false">VLOOKUP($B$1,'PARASTATAL Questions'!$A:$J,8,0)&amp;""</f>
        <v>Transport Corporation</v>
      </c>
    </row>
    <row r="9" customFormat="false" ht="907.5" hidden="false" customHeight="true" outlineLevel="0" collapsed="false">
      <c r="A9" s="10" t="s">
        <v>624</v>
      </c>
      <c r="B9" s="4" t="str">
        <f aca="false">VLOOKUP($B$1,'PARASTATAL Questions'!$A:$J,9,0)&amp;""</f>
        <v>Review the transport authority/corporation Act, applicable transport legislation, rules, mobility/transport policies and other binding instruments. Look for explicit requirements relating to public and non-motorised transport prioritisation, emissions reduction, cleaner vehicle/fuel transition, energy efficiency, integration of land use and transport, reduction of congestion or vehicle dependence, climate resilience, or environmental impacts of major transport investments.Score 5 if environmental considerations are explicitly embedded across core transport planning/investment/service-delivery functionsScore 2.5 if limited to specific modes, projects or environmental objectivesScore 0 if no explicit requirement is found.</v>
      </c>
    </row>
    <row r="10" customFormat="false" ht="168.75" hidden="false" customHeight="true" outlineLevel="0" collapsed="false">
      <c r="A10" s="10" t="s">
        <v>625</v>
      </c>
      <c r="B10" s="4" t="str">
        <f aca="false">VLOOKUP($B$1,'PARASTATAL Questions'!$A:$J,10,0)&amp;""</f>
        <v>Transport authority/corporation Act, applicable transport legislation, rules, mobility/transport policies and other binding instruments</v>
      </c>
    </row>
    <row r="11" customFormat="false" ht="15" hidden="false" customHeight="true" outlineLevel="0" collapsed="false">
      <c r="B11" s="14" t="s">
        <v>839</v>
      </c>
      <c r="I11" s="14" t="s">
        <v>840</v>
      </c>
      <c r="J11" s="14" t="s">
        <v>841</v>
      </c>
      <c r="L11" s="8" t="s">
        <v>842</v>
      </c>
    </row>
    <row r="12" customFormat="false" ht="51.75" hidden="false" customHeight="true" outlineLevel="0" collapsed="false">
      <c r="A12" s="1" t="s">
        <v>612</v>
      </c>
      <c r="B12" s="1" t="s">
        <v>843</v>
      </c>
      <c r="C12" s="1" t="s">
        <v>844</v>
      </c>
      <c r="D12" s="1" t="s">
        <v>845</v>
      </c>
      <c r="E12" s="1" t="s">
        <v>846</v>
      </c>
      <c r="F12" s="1" t="s">
        <v>847</v>
      </c>
      <c r="G12" s="1" t="s">
        <v>848</v>
      </c>
      <c r="H12" s="1" t="s">
        <v>14</v>
      </c>
      <c r="I12" s="1" t="s">
        <v>849</v>
      </c>
      <c r="J12" s="1" t="s">
        <v>850</v>
      </c>
      <c r="K12" s="1" t="s">
        <v>851</v>
      </c>
      <c r="L12" s="8" t="s">
        <v>852</v>
      </c>
    </row>
    <row r="13" customFormat="false" ht="15" hidden="false" customHeight="true" outlineLevel="0" collapsed="false">
      <c r="A13" s="16" t="s">
        <v>19</v>
      </c>
      <c r="B13" s="16" t="s">
        <v>905</v>
      </c>
      <c r="C13" s="16"/>
      <c r="D13" s="16"/>
      <c r="E13" s="16"/>
      <c r="F13" s="16"/>
      <c r="G13" s="16"/>
      <c r="H13" s="16"/>
      <c r="I13" s="17"/>
      <c r="J13" s="16" t="str">
        <f aca="false">IF(COUNTIFS('Scores (start here)'!$A:$A,$B$1,'Scores (start here)'!$B:$B,$A13,'Scores (start here)'!$F:$F,"&gt;=0")&gt;0,SUMIFS('Scores (start here)'!$F:$F,'Scores (start here)'!$A:$A,$B$1,'Scores (start here)'!$B:$B,$A13),L13)</f>
        <v>NA</v>
      </c>
      <c r="K13" s="16"/>
      <c r="L13" s="8" t="str">
        <f aca="false">IF($B13="NO","NA",IF(I13="","",MIN(I13,$B$6)))</f>
        <v>NA</v>
      </c>
    </row>
    <row r="14" customFormat="false" ht="213.75" hidden="false" customHeight="true" outlineLevel="0" collapsed="false">
      <c r="A14" s="8" t="s">
        <v>28</v>
      </c>
      <c r="B14" s="8" t="s">
        <v>853</v>
      </c>
      <c r="C14" s="8" t="s">
        <v>82</v>
      </c>
      <c r="D14" s="8" t="s">
        <v>939</v>
      </c>
      <c r="E14" s="8" t="s">
        <v>940</v>
      </c>
      <c r="F14" s="8" t="s">
        <v>941</v>
      </c>
      <c r="G14" s="8" t="s">
        <v>910</v>
      </c>
      <c r="H14" s="8" t="s">
        <v>83</v>
      </c>
      <c r="I14" s="15" t="n">
        <v>2.5</v>
      </c>
      <c r="J14" s="8" t="n">
        <f aca="false">IF(COUNTIFS('Scores (start here)'!$A:$A,$B$1,'Scores (start here)'!$B:$B,$A14,'Scores (start here)'!$F:$F,"&gt;=0")&gt;0,SUMIFS('Scores (start here)'!$F:$F,'Scores (start here)'!$A:$A,$B$1,'Scores (start here)'!$B:$B,$A14),L14)</f>
        <v>2.5</v>
      </c>
      <c r="K14" s="12" t="s">
        <v>942</v>
      </c>
      <c r="L14" s="8" t="n">
        <f aca="false">IF($B14="NO","NA",IF(I14="","",MIN(I14,$B$6)))</f>
        <v>2.5</v>
      </c>
    </row>
    <row r="15" customFormat="false" ht="15" hidden="false" customHeight="true" outlineLevel="0" collapsed="false">
      <c r="A15" s="16" t="s">
        <v>34</v>
      </c>
      <c r="B15" s="16" t="s">
        <v>905</v>
      </c>
      <c r="C15" s="16"/>
      <c r="D15" s="16"/>
      <c r="E15" s="16"/>
      <c r="F15" s="16"/>
      <c r="G15" s="16"/>
      <c r="H15" s="16"/>
      <c r="I15" s="17"/>
      <c r="J15" s="16" t="str">
        <f aca="false">IF(COUNTIFS('Scores (start here)'!$A:$A,$B$1,'Scores (start here)'!$B:$B,$A15,'Scores (start here)'!$F:$F,"&gt;=0")&gt;0,SUMIFS('Scores (start here)'!$F:$F,'Scores (start here)'!$A:$A,$B$1,'Scores (start here)'!$B:$B,$A15),L15)</f>
        <v>NA</v>
      </c>
      <c r="K15" s="16"/>
      <c r="L15" s="8" t="str">
        <f aca="false">IF($B15="NO","NA",IF(I15="","",MIN(I15,$B$6)))</f>
        <v>NA</v>
      </c>
    </row>
    <row r="16" customFormat="false" ht="15" hidden="false" customHeight="true" outlineLevel="0" collapsed="false">
      <c r="A16" s="16" t="s">
        <v>40</v>
      </c>
      <c r="B16" s="16" t="s">
        <v>905</v>
      </c>
      <c r="C16" s="16"/>
      <c r="D16" s="16"/>
      <c r="E16" s="16"/>
      <c r="F16" s="16"/>
      <c r="G16" s="16"/>
      <c r="H16" s="16"/>
      <c r="I16" s="17"/>
      <c r="J16" s="16" t="str">
        <f aca="false">IF(COUNTIFS('Scores (start here)'!$A:$A,$B$1,'Scores (start here)'!$B:$B,$A16,'Scores (start here)'!$F:$F,"&gt;=0")&gt;0,SUMIFS('Scores (start here)'!$F:$F,'Scores (start here)'!$A:$A,$B$1,'Scores (start here)'!$B:$B,$A16),L16)</f>
        <v>NA</v>
      </c>
      <c r="K16" s="16"/>
      <c r="L16" s="8" t="str">
        <f aca="false">IF($B16="NO","NA",IF(I16="","",MIN(I16,$B$6)))</f>
        <v>NA</v>
      </c>
    </row>
    <row r="17" customFormat="false" ht="15" hidden="false" customHeight="true" outlineLevel="0" collapsed="false">
      <c r="A17" s="16" t="s">
        <v>45</v>
      </c>
      <c r="B17" s="16" t="s">
        <v>905</v>
      </c>
      <c r="C17" s="16"/>
      <c r="D17" s="16"/>
      <c r="E17" s="16"/>
      <c r="F17" s="16"/>
      <c r="G17" s="16"/>
      <c r="H17" s="16"/>
      <c r="I17" s="17"/>
      <c r="J17" s="16" t="str">
        <f aca="false">IF(COUNTIFS('Scores (start here)'!$A:$A,$B$1,'Scores (start here)'!$B:$B,$A17,'Scores (start here)'!$F:$F,"&gt;=0")&gt;0,SUMIFS('Scores (start here)'!$F:$F,'Scores (start here)'!$A:$A,$B$1,'Scores (start here)'!$B:$B,$A17),L17)</f>
        <v>NA</v>
      </c>
      <c r="K17" s="16"/>
      <c r="L17" s="8" t="str">
        <f aca="false">IF($B17="NO","NA",IF(I17="","",MIN(I17,$B$6)))</f>
        <v>NA</v>
      </c>
    </row>
    <row r="18" customFormat="false" ht="15" hidden="false" customHeight="true" outlineLevel="0" collapsed="false">
      <c r="A18" s="16" t="s">
        <v>51</v>
      </c>
      <c r="B18" s="16" t="s">
        <v>905</v>
      </c>
      <c r="C18" s="16"/>
      <c r="D18" s="16"/>
      <c r="E18" s="16"/>
      <c r="F18" s="16"/>
      <c r="G18" s="16"/>
      <c r="H18" s="16"/>
      <c r="I18" s="17"/>
      <c r="J18" s="16" t="str">
        <f aca="false">IF(COUNTIFS('Scores (start here)'!$A:$A,$B$1,'Scores (start here)'!$B:$B,$A18,'Scores (start here)'!$F:$F,"&gt;=0")&gt;0,SUMIFS('Scores (start here)'!$F:$F,'Scores (start here)'!$A:$A,$B$1,'Scores (start here)'!$B:$B,$A18),L18)</f>
        <v>NA</v>
      </c>
      <c r="K18" s="16"/>
      <c r="L18" s="8" t="str">
        <f aca="false">IF($B18="NO","NA",IF(I18="","",MIN(I18,$B$6)))</f>
        <v>NA</v>
      </c>
    </row>
    <row r="19" customFormat="false" ht="15" hidden="false" customHeight="true" outlineLevel="0" collapsed="false">
      <c r="A19" s="16" t="s">
        <v>54</v>
      </c>
      <c r="B19" s="16" t="s">
        <v>905</v>
      </c>
      <c r="C19" s="16"/>
      <c r="D19" s="16"/>
      <c r="E19" s="16"/>
      <c r="F19" s="16"/>
      <c r="G19" s="16"/>
      <c r="H19" s="16"/>
      <c r="I19" s="17"/>
      <c r="J19" s="16" t="str">
        <f aca="false">IF(COUNTIFS('Scores (start here)'!$A:$A,$B$1,'Scores (start here)'!$B:$B,$A19,'Scores (start here)'!$F:$F,"&gt;=0")&gt;0,SUMIFS('Scores (start here)'!$F:$F,'Scores (start here)'!$A:$A,$B$1,'Scores (start here)'!$B:$B,$A19),L19)</f>
        <v>NA</v>
      </c>
      <c r="K19" s="16"/>
      <c r="L19" s="8" t="str">
        <f aca="false">IF($B19="NO","NA",IF(I19="","",MIN(I19,$B$6)))</f>
        <v>NA</v>
      </c>
    </row>
  </sheetData>
  <dataValidations count="1">
    <dataValidation allowBlank="true" error="See the instruction above the 'Score' column." errorStyle="stop" operator="between" showDropDown="false" showErrorMessage="true" showInputMessage="false" sqref="I13:I19" type="decimal">
      <formula1>0</formula1>
      <formula2>5</formula2>
    </dataValidation>
  </dataValidations>
  <hyperlinks>
    <hyperlink ref="J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8" width="28"/>
    <col collapsed="false" customWidth="true" hidden="false" outlineLevel="0" max="2" min="2" style="8" width="10"/>
    <col collapsed="false" customWidth="true" hidden="false" outlineLevel="0" max="3" min="3" style="8" width="30"/>
    <col collapsed="false" customWidth="true" hidden="false" outlineLevel="0" max="8" min="8" style="8" width="10"/>
    <col collapsed="false" customWidth="true" hidden="false" outlineLevel="0" max="9" min="9" style="8" width="40"/>
  </cols>
  <sheetData>
    <row r="1" customFormat="false" ht="15" hidden="false" customHeight="true" outlineLevel="0" collapsed="false">
      <c r="A1" s="8" t="s">
        <v>836</v>
      </c>
      <c r="B1" s="8" t="s">
        <v>122</v>
      </c>
      <c r="C1" s="8" t="s">
        <v>837</v>
      </c>
      <c r="J1" s="13" t="s">
        <v>838</v>
      </c>
    </row>
    <row r="2" customFormat="false" ht="45.75" hidden="false" customHeight="true" outlineLevel="0" collapsed="false">
      <c r="A2" s="10" t="s">
        <v>589</v>
      </c>
      <c r="B2" s="4" t="str">
        <f aca="false">VLOOKUP($B$1,'PARASTATAL Questions'!$A:$J,3,0)&amp;""</f>
        <v>Urban Planning &amp; Design (UPD)</v>
      </c>
    </row>
    <row r="3" customFormat="false" ht="15" hidden="false" customHeight="true" outlineLevel="0" collapsed="false">
      <c r="A3" s="10" t="s">
        <v>622</v>
      </c>
      <c r="B3" s="4" t="str">
        <f aca="false">VLOOKUP($B$1,'PARASTATAL Questions'!$A:$J,2,0)&amp;""</f>
        <v>UPD 6b</v>
      </c>
    </row>
    <row r="4" customFormat="false" ht="15" hidden="false" customHeight="true" outlineLevel="0" collapsed="false">
      <c r="A4" s="10" t="s">
        <v>590</v>
      </c>
      <c r="B4" s="4" t="str">
        <f aca="false">VLOOKUP($B$1,'PARASTATAL Questions'!$A:$J,4,0)&amp;""</f>
        <v>SQ</v>
      </c>
    </row>
    <row r="5" customFormat="false" ht="202.5" hidden="false" customHeight="true" outlineLevel="0" collapsed="false">
      <c r="A5" s="10" t="s">
        <v>0</v>
      </c>
      <c r="B5" s="4" t="str">
        <f aca="false">VLOOKUP($B$1,'PARASTATAL Questions'!$A:$J,5,0)&amp;""</f>
        <v>Does the transport corporation actually considers environmental sustainability in planning and delivering urban transport services and investments?</v>
      </c>
    </row>
    <row r="6" customFormat="false" ht="15" hidden="false" customHeight="true" outlineLevel="0" collapsed="false">
      <c r="A6" s="10" t="s">
        <v>592</v>
      </c>
      <c r="B6" s="4" t="n">
        <f aca="false">VLOOKUP($B$1,'PARASTATAL Questions'!$A:$J,6,0)</f>
        <v>5</v>
      </c>
    </row>
    <row r="7" customFormat="false" ht="23.25" hidden="false" customHeight="true" outlineLevel="0" collapsed="false">
      <c r="A7" s="10" t="s">
        <v>591</v>
      </c>
      <c r="B7" s="4" t="str">
        <f aca="false">VLOOKUP($B$1,'PARASTATAL Questions'!$A:$J,7,0)&amp;""</f>
        <v>Implementation</v>
      </c>
    </row>
    <row r="8" customFormat="false" ht="34.5" hidden="false" customHeight="true" outlineLevel="0" collapsed="false">
      <c r="A8" s="10" t="s">
        <v>623</v>
      </c>
      <c r="B8" s="4" t="str">
        <f aca="false">VLOOKUP($B$1,'PARASTATAL Questions'!$A:$J,8,0)&amp;""</f>
        <v>Transport Corporation</v>
      </c>
    </row>
    <row r="9" customFormat="false" ht="1714.5" hidden="false" customHeight="true" outlineLevel="0" collapsed="false">
      <c r="A9" s="10" t="s">
        <v>624</v>
      </c>
      <c r="B9" s="4" t="str">
        <f aca="false">VLOOKUP($B$1,'PARASTATAL Questions'!$A:$J,9,0)&amp;""</f>
        <v>Review the Corporation's current fleet plan, network/route plan or environmental/sustainability policy. Assess whether it contains identifiable environmental sustainability measures relating to fleet composition, emissions, energy use or modal integration.Do not award credit for generic language such as "sustainable development," "green transport" or "environment friendly" unless translated into a specific fleet, operational or design provision.Component 1 – Cleaner fleet and emissions reduction: 2.5 marks. Look for: an electric/CNG/hybrid fleet-transition target; an emissions or fuel-efficiency target; a retirement/phase-out schedule for high-emission vehicles.Score 2.5 if evidence of both (i) a cleaner-fuel/fleet-transition measure and (ii) an explicit emissions/efficiency target. Score 1.25 if only one is present. Score 0 if neither.Component 2 – Modal integration and demand-side measures: 2.5 marks. Look for: route planning informed by land-use/density to reduce vehicle-km travelled; NMT integration at stops/stations; multimodal integration (common ticketing, interchange with metro/rail); energy efficiency in depots/operations.Score 2.5 if the Corporation's planning framework contains specific operational measures. Score 1.25 if mentioned but not operationalised/targeted. Score 0 if no identifiable consideration.</v>
      </c>
    </row>
    <row r="10" customFormat="false" ht="135.75" hidden="false" customHeight="true" outlineLevel="0" collapsed="false">
      <c r="A10" s="10" t="s">
        <v>625</v>
      </c>
      <c r="B10" s="4" t="str">
        <f aca="false">VLOOKUP($B$1,'PARASTATAL Questions'!$A:$J,10,0)&amp;""</f>
        <v>Transport Corporation's fleet plan; route/network plan; environmental/sustainability policy; annual report.</v>
      </c>
    </row>
    <row r="11" customFormat="false" ht="15" hidden="false" customHeight="true" outlineLevel="0" collapsed="false">
      <c r="B11" s="14" t="s">
        <v>839</v>
      </c>
      <c r="I11" s="14" t="s">
        <v>840</v>
      </c>
      <c r="J11" s="14" t="s">
        <v>841</v>
      </c>
      <c r="L11" s="8" t="s">
        <v>842</v>
      </c>
    </row>
    <row r="12" customFormat="false" ht="51.75" hidden="false" customHeight="true" outlineLevel="0" collapsed="false">
      <c r="A12" s="1" t="s">
        <v>612</v>
      </c>
      <c r="B12" s="1" t="s">
        <v>843</v>
      </c>
      <c r="C12" s="1" t="s">
        <v>844</v>
      </c>
      <c r="D12" s="1" t="s">
        <v>845</v>
      </c>
      <c r="E12" s="1" t="s">
        <v>846</v>
      </c>
      <c r="F12" s="1" t="s">
        <v>847</v>
      </c>
      <c r="G12" s="1" t="s">
        <v>848</v>
      </c>
      <c r="H12" s="1" t="s">
        <v>14</v>
      </c>
      <c r="I12" s="1" t="s">
        <v>849</v>
      </c>
      <c r="J12" s="1" t="s">
        <v>850</v>
      </c>
      <c r="K12" s="1" t="s">
        <v>851</v>
      </c>
      <c r="L12" s="8" t="s">
        <v>852</v>
      </c>
    </row>
    <row r="13" customFormat="false" ht="15" hidden="false" customHeight="true" outlineLevel="0" collapsed="false">
      <c r="A13" s="16" t="s">
        <v>19</v>
      </c>
      <c r="B13" s="16" t="s">
        <v>905</v>
      </c>
      <c r="C13" s="16"/>
      <c r="D13" s="16"/>
      <c r="E13" s="16"/>
      <c r="F13" s="16"/>
      <c r="G13" s="16"/>
      <c r="H13" s="16"/>
      <c r="I13" s="17"/>
      <c r="J13" s="16" t="str">
        <f aca="false">IF(COUNTIFS('Scores (start here)'!$A:$A,$B$1,'Scores (start here)'!$B:$B,$A13,'Scores (start here)'!$F:$F,"&gt;=0")&gt;0,SUMIFS('Scores (start here)'!$F:$F,'Scores (start here)'!$A:$A,$B$1,'Scores (start here)'!$B:$B,$A13),L13)</f>
        <v>NA</v>
      </c>
      <c r="K13" s="16"/>
      <c r="L13" s="8" t="str">
        <f aca="false">IF($B13="NO","NA",IF(I13="","",MIN(I13,$B$6)))</f>
        <v>NA</v>
      </c>
    </row>
    <row r="14" customFormat="false" ht="15" hidden="false" customHeight="true" outlineLevel="0" collapsed="false">
      <c r="A14" s="8" t="s">
        <v>28</v>
      </c>
      <c r="B14" s="8" t="s">
        <v>853</v>
      </c>
      <c r="C14" s="8" t="s">
        <v>943</v>
      </c>
      <c r="D14" s="8" t="s">
        <v>944</v>
      </c>
      <c r="E14" s="8" t="s">
        <v>945</v>
      </c>
      <c r="F14" s="8" t="s">
        <v>946</v>
      </c>
      <c r="G14" s="8" t="s">
        <v>947</v>
      </c>
      <c r="H14" s="8" t="s">
        <v>948</v>
      </c>
      <c r="I14" s="15" t="n">
        <v>1.25</v>
      </c>
      <c r="J14" s="8" t="n">
        <f aca="false">IF(COUNTIFS('Scores (start here)'!$A:$A,$B$1,'Scores (start here)'!$B:$B,$A14,'Scores (start here)'!$F:$F,"&gt;=0")&gt;0,SUMIFS('Scores (start here)'!$F:$F,'Scores (start here)'!$A:$A,$B$1,'Scores (start here)'!$B:$B,$A14),L14)</f>
        <v>1.25</v>
      </c>
      <c r="K14" s="8" t="s">
        <v>949</v>
      </c>
      <c r="L14" s="8" t="n">
        <f aca="false">IF($B14="NO","NA",IF(I14="","",MIN(I14,$B$6)))</f>
        <v>1.25</v>
      </c>
    </row>
    <row r="15" customFormat="false" ht="15" hidden="false" customHeight="true" outlineLevel="0" collapsed="false">
      <c r="A15" s="16" t="s">
        <v>34</v>
      </c>
      <c r="B15" s="16" t="s">
        <v>905</v>
      </c>
      <c r="C15" s="16"/>
      <c r="D15" s="16"/>
      <c r="E15" s="16"/>
      <c r="F15" s="16"/>
      <c r="G15" s="16"/>
      <c r="H15" s="16"/>
      <c r="I15" s="17"/>
      <c r="J15" s="16" t="str">
        <f aca="false">IF(COUNTIFS('Scores (start here)'!$A:$A,$B$1,'Scores (start here)'!$B:$B,$A15,'Scores (start here)'!$F:$F,"&gt;=0")&gt;0,SUMIFS('Scores (start here)'!$F:$F,'Scores (start here)'!$A:$A,$B$1,'Scores (start here)'!$B:$B,$A15),L15)</f>
        <v>NA</v>
      </c>
      <c r="K15" s="16"/>
      <c r="L15" s="8" t="str">
        <f aca="false">IF($B15="NO","NA",IF(I15="","",MIN(I15,$B$6)))</f>
        <v>NA</v>
      </c>
    </row>
    <row r="16" customFormat="false" ht="15" hidden="false" customHeight="true" outlineLevel="0" collapsed="false">
      <c r="A16" s="16" t="s">
        <v>40</v>
      </c>
      <c r="B16" s="16" t="s">
        <v>905</v>
      </c>
      <c r="C16" s="16"/>
      <c r="D16" s="16"/>
      <c r="E16" s="16"/>
      <c r="F16" s="16"/>
      <c r="G16" s="16"/>
      <c r="H16" s="16"/>
      <c r="I16" s="17"/>
      <c r="J16" s="16" t="str">
        <f aca="false">IF(COUNTIFS('Scores (start here)'!$A:$A,$B$1,'Scores (start here)'!$B:$B,$A16,'Scores (start here)'!$F:$F,"&gt;=0")&gt;0,SUMIFS('Scores (start here)'!$F:$F,'Scores (start here)'!$A:$A,$B$1,'Scores (start here)'!$B:$B,$A16),L16)</f>
        <v>NA</v>
      </c>
      <c r="K16" s="16"/>
      <c r="L16" s="8" t="str">
        <f aca="false">IF($B16="NO","NA",IF(I16="","",MIN(I16,$B$6)))</f>
        <v>NA</v>
      </c>
    </row>
    <row r="17" customFormat="false" ht="15" hidden="false" customHeight="true" outlineLevel="0" collapsed="false">
      <c r="A17" s="16" t="s">
        <v>45</v>
      </c>
      <c r="B17" s="16" t="s">
        <v>905</v>
      </c>
      <c r="C17" s="16"/>
      <c r="D17" s="16"/>
      <c r="E17" s="16"/>
      <c r="F17" s="16"/>
      <c r="G17" s="16"/>
      <c r="H17" s="16"/>
      <c r="I17" s="17"/>
      <c r="J17" s="16" t="str">
        <f aca="false">IF(COUNTIFS('Scores (start here)'!$A:$A,$B$1,'Scores (start here)'!$B:$B,$A17,'Scores (start here)'!$F:$F,"&gt;=0")&gt;0,SUMIFS('Scores (start here)'!$F:$F,'Scores (start here)'!$A:$A,$B$1,'Scores (start here)'!$B:$B,$A17),L17)</f>
        <v>NA</v>
      </c>
      <c r="K17" s="16"/>
      <c r="L17" s="8" t="str">
        <f aca="false">IF($B17="NO","NA",IF(I17="","",MIN(I17,$B$6)))</f>
        <v>NA</v>
      </c>
    </row>
    <row r="18" customFormat="false" ht="15" hidden="false" customHeight="true" outlineLevel="0" collapsed="false">
      <c r="A18" s="16" t="s">
        <v>51</v>
      </c>
      <c r="B18" s="16" t="s">
        <v>905</v>
      </c>
      <c r="C18" s="16"/>
      <c r="D18" s="16"/>
      <c r="E18" s="16"/>
      <c r="F18" s="16"/>
      <c r="G18" s="16"/>
      <c r="H18" s="16"/>
      <c r="I18" s="17"/>
      <c r="J18" s="16" t="str">
        <f aca="false">IF(COUNTIFS('Scores (start here)'!$A:$A,$B$1,'Scores (start here)'!$B:$B,$A18,'Scores (start here)'!$F:$F,"&gt;=0")&gt;0,SUMIFS('Scores (start here)'!$F:$F,'Scores (start here)'!$A:$A,$B$1,'Scores (start here)'!$B:$B,$A18),L18)</f>
        <v>NA</v>
      </c>
      <c r="K18" s="16"/>
      <c r="L18" s="8" t="str">
        <f aca="false">IF($B18="NO","NA",IF(I18="","",MIN(I18,$B$6)))</f>
        <v>NA</v>
      </c>
    </row>
    <row r="19" customFormat="false" ht="15" hidden="false" customHeight="true" outlineLevel="0" collapsed="false">
      <c r="A19" s="16" t="s">
        <v>54</v>
      </c>
      <c r="B19" s="16" t="s">
        <v>905</v>
      </c>
      <c r="C19" s="16"/>
      <c r="D19" s="16"/>
      <c r="E19" s="16"/>
      <c r="F19" s="16"/>
      <c r="G19" s="16"/>
      <c r="H19" s="16"/>
      <c r="I19" s="17"/>
      <c r="J19" s="16" t="str">
        <f aca="false">IF(COUNTIFS('Scores (start here)'!$A:$A,$B$1,'Scores (start here)'!$B:$B,$A19,'Scores (start here)'!$F:$F,"&gt;=0")&gt;0,SUMIFS('Scores (start here)'!$F:$F,'Scores (start here)'!$A:$A,$B$1,'Scores (start here)'!$B:$B,$A19),L19)</f>
        <v>NA</v>
      </c>
      <c r="K19" s="16"/>
      <c r="L19" s="8" t="str">
        <f aca="false">IF($B19="NO","NA",IF(I19="","",MIN(I19,$B$6)))</f>
        <v>NA</v>
      </c>
    </row>
  </sheetData>
  <dataValidations count="1">
    <dataValidation allowBlank="true" error="See the instruction above the 'Score' column." errorStyle="stop" operator="between" showDropDown="false" showErrorMessage="true" showInputMessage="false" sqref="I13:I19" type="decimal">
      <formula1>0</formula1>
      <formula2>5</formula2>
    </dataValidation>
  </dataValidations>
  <hyperlinks>
    <hyperlink ref="J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8" width="28"/>
    <col collapsed="false" customWidth="true" hidden="false" outlineLevel="0" max="2" min="2" style="8" width="10"/>
    <col collapsed="false" customWidth="true" hidden="false" outlineLevel="0" max="3" min="3" style="8" width="30"/>
    <col collapsed="false" customWidth="true" hidden="false" outlineLevel="0" max="8" min="8" style="8" width="10"/>
    <col collapsed="false" customWidth="true" hidden="false" outlineLevel="0" max="9" min="9" style="8" width="40"/>
  </cols>
  <sheetData>
    <row r="1" customFormat="false" ht="15" hidden="false" customHeight="true" outlineLevel="0" collapsed="false">
      <c r="A1" s="8" t="s">
        <v>836</v>
      </c>
      <c r="B1" s="8" t="s">
        <v>126</v>
      </c>
      <c r="C1" s="8" t="s">
        <v>837</v>
      </c>
      <c r="J1" s="13" t="s">
        <v>838</v>
      </c>
    </row>
    <row r="2" customFormat="false" ht="68.25" hidden="false" customHeight="true" outlineLevel="0" collapsed="false">
      <c r="A2" s="10" t="s">
        <v>589</v>
      </c>
      <c r="B2" s="4" t="str">
        <f aca="false">VLOOKUP($B$1,'PARASTATAL Questions'!$A:$J,3,0)&amp;""</f>
        <v>Decentralised Participatory Governance</v>
      </c>
    </row>
    <row r="3" customFormat="false" ht="15" hidden="false" customHeight="true" outlineLevel="0" collapsed="false">
      <c r="A3" s="10" t="s">
        <v>622</v>
      </c>
      <c r="B3" s="4" t="str">
        <f aca="false">VLOOKUP($B$1,'PARASTATAL Questions'!$A:$J,2,0)&amp;""</f>
        <v>DPG 1a</v>
      </c>
    </row>
    <row r="4" customFormat="false" ht="15" hidden="false" customHeight="true" outlineLevel="0" collapsed="false">
      <c r="A4" s="10" t="s">
        <v>590</v>
      </c>
      <c r="B4" s="4" t="str">
        <f aca="false">VLOOKUP($B$1,'PARASTATAL Questions'!$A:$J,4,0)&amp;""</f>
        <v>SQ</v>
      </c>
    </row>
    <row r="5" customFormat="false" ht="135.75" hidden="false" customHeight="true" outlineLevel="0" collapsed="false">
      <c r="A5" s="10" t="s">
        <v>0</v>
      </c>
      <c r="B5" s="4" t="str">
        <f aca="false">VLOOKUP($B$1,'PARASTATAL Questions'!$A:$J,5,0)&amp;""</f>
        <v>Does the legal framework clearly demarcate the functions/responsibilities of the parastatal vis-à-vis the ULG?</v>
      </c>
    </row>
    <row r="6" customFormat="false" ht="15" hidden="false" customHeight="true" outlineLevel="0" collapsed="false">
      <c r="A6" s="10" t="s">
        <v>592</v>
      </c>
      <c r="B6" s="4" t="n">
        <f aca="false">VLOOKUP($B$1,'PARASTATAL Questions'!$A:$J,6,0)</f>
        <v>5</v>
      </c>
    </row>
    <row r="7" customFormat="false" ht="23.25" hidden="false" customHeight="true" outlineLevel="0" collapsed="false">
      <c r="A7" s="10" t="s">
        <v>591</v>
      </c>
      <c r="B7" s="4" t="str">
        <f aca="false">VLOOKUP($B$1,'PARASTATAL Questions'!$A:$J,7,0)&amp;""</f>
        <v>Institutional Design</v>
      </c>
    </row>
    <row r="8" customFormat="false" ht="45.75" hidden="false" customHeight="true" outlineLevel="0" collapsed="false">
      <c r="A8" s="10" t="s">
        <v>623</v>
      </c>
      <c r="B8" s="4" t="str">
        <f aca="false">VLOOKUP($B$1,'PARASTATAL Questions'!$A:$J,8,0)&amp;""</f>
        <v>Common — all parastatal types.</v>
      </c>
    </row>
    <row r="9" customFormat="false" ht="2173.5" hidden="false" customHeight="true" outlineLevel="0" collapsed="false">
      <c r="A9" s="10" t="s">
        <v>624</v>
      </c>
      <c r="B9" s="4" t="str">
        <f aca="false">VLOOKUP($B$1,'PARASTATAL Questions'!$A:$J,9,0)&amp;""</f>
        <v>Step 1 — Check devolution status under the Municipal Act.Review the Municipal Act to determine whether the specific function/service is:A — Not devolved: the function is not assigned to the ULG at all.B — Fully devolved: the function is assigned to the ULG in full, and the parastatal also delivers it (i.e. a potential overlap exists).C — Partially devolved: only specific sub-functions are assigned to the ULG (e.g. domestic water supply to the ULG, bulk supply/production to the parastatal).Step 2 — Score based on which scenario applies.If A (not devolved): Score 5. There is no ULG claim to the function, so there is nothing to demarcate against — the parastatal Act's assignment stands on its own.If B (fully devolved, both deliver it): Check whether the Parastatal Act explicitly carves out or distinguishes the parastatal's role from the ULG's (e.g. the parastatal Act specifies it handles a particular aspect, area, or scale of the function, rather than simply repeating the ULG's full assignment).Score 5 if such a distinction is explicit in the Parastatal Act.Score 0 if both Acts assign the same function with no distinction between them.If C (partially devolved): Check whether the aspect assigned to the parastatal is explicit and does not overlap with the aspect assigned to the ULG (e.g. Municipal Act assigns domestic water supply to the ULG; Parastatal Act assigns bulk supply/production to the parastatal — no overlap).Score 5 if the two Acts' assignments are explicit and non-overlapping.Score 0 if the assigned aspects overlap, or if the parastatal's aspect is not clearly specified in its Act.Record the devolution scenario (A/B/C) and the specific provisions relied upon in the evidence column.</v>
      </c>
    </row>
    <row r="10" customFormat="false" ht="191.25" hidden="false" customHeight="true" outlineLevel="0" collapsed="false">
      <c r="A10" s="10" t="s">
        <v>625</v>
      </c>
      <c r="B10" s="4" t="str">
        <f aca="false">VLOOKUP($B$1,'PARASTATAL Questions'!$A:$J,10,0)&amp;""</f>
        <v>Relevant Parastatal Act; State Municipal Act — record the specific provisions establishing devolution status and (where applicable) the functional carve-out.</v>
      </c>
    </row>
    <row r="11" customFormat="false" ht="15" hidden="false" customHeight="true" outlineLevel="0" collapsed="false">
      <c r="B11" s="14" t="s">
        <v>839</v>
      </c>
      <c r="I11" s="14" t="s">
        <v>840</v>
      </c>
      <c r="J11" s="14" t="s">
        <v>841</v>
      </c>
      <c r="L11" s="8" t="s">
        <v>842</v>
      </c>
    </row>
    <row r="12" customFormat="false" ht="51.75" hidden="false" customHeight="true" outlineLevel="0" collapsed="false">
      <c r="A12" s="1" t="s">
        <v>612</v>
      </c>
      <c r="B12" s="1" t="s">
        <v>843</v>
      </c>
      <c r="C12" s="1" t="s">
        <v>844</v>
      </c>
      <c r="D12" s="1" t="s">
        <v>845</v>
      </c>
      <c r="E12" s="1" t="s">
        <v>846</v>
      </c>
      <c r="F12" s="1" t="s">
        <v>847</v>
      </c>
      <c r="G12" s="1" t="s">
        <v>848</v>
      </c>
      <c r="H12" s="1" t="s">
        <v>14</v>
      </c>
      <c r="I12" s="1" t="s">
        <v>849</v>
      </c>
      <c r="J12" s="1" t="s">
        <v>850</v>
      </c>
      <c r="K12" s="1" t="s">
        <v>851</v>
      </c>
      <c r="L12" s="8" t="s">
        <v>852</v>
      </c>
    </row>
    <row r="13" customFormat="false" ht="225" hidden="false" customHeight="true" outlineLevel="0" collapsed="false">
      <c r="A13" s="8" t="s">
        <v>19</v>
      </c>
      <c r="B13" s="8" t="s">
        <v>853</v>
      </c>
      <c r="C13" s="8" t="s">
        <v>23</v>
      </c>
      <c r="D13" s="8" t="s">
        <v>950</v>
      </c>
      <c r="E13" s="8" t="s">
        <v>951</v>
      </c>
      <c r="F13" s="8" t="s">
        <v>952</v>
      </c>
      <c r="G13" s="8" t="s">
        <v>953</v>
      </c>
      <c r="H13" s="8" t="s">
        <v>24</v>
      </c>
      <c r="I13" s="15" t="n">
        <v>0</v>
      </c>
      <c r="J13" s="8" t="n">
        <f aca="false">IF(COUNTIFS('Scores (start here)'!$A:$A,$B$1,'Scores (start here)'!$B:$B,$A13,'Scores (start here)'!$F:$F,"&gt;=0")&gt;0,SUMIFS('Scores (start here)'!$F:$F,'Scores (start here)'!$A:$A,$B$1,'Scores (start here)'!$B:$B,$A13),L13)</f>
        <v>0</v>
      </c>
      <c r="K13" s="12" t="s">
        <v>954</v>
      </c>
      <c r="L13" s="8" t="n">
        <f aca="false">IF($B13="NO","NA",IF(I13="","",MIN(I13,$B$6)))</f>
        <v>0</v>
      </c>
    </row>
    <row r="14" customFormat="false" ht="258.75" hidden="false" customHeight="true" outlineLevel="0" collapsed="false">
      <c r="A14" s="8" t="s">
        <v>28</v>
      </c>
      <c r="B14" s="8" t="s">
        <v>853</v>
      </c>
      <c r="C14" s="8" t="s">
        <v>30</v>
      </c>
      <c r="D14" s="8" t="s">
        <v>955</v>
      </c>
      <c r="E14" s="8" t="s">
        <v>956</v>
      </c>
      <c r="F14" s="8" t="s">
        <v>957</v>
      </c>
      <c r="G14" s="8" t="s">
        <v>958</v>
      </c>
      <c r="H14" s="8" t="s">
        <v>31</v>
      </c>
      <c r="I14" s="15"/>
      <c r="J14" s="8" t="str">
        <f aca="false">IF(COUNTIFS('Scores (start here)'!$A:$A,$B$1,'Scores (start here)'!$B:$B,$A14,'Scores (start here)'!$F:$F,"&gt;=0")&gt;0,SUMIFS('Scores (start here)'!$F:$F,'Scores (start here)'!$A:$A,$B$1,'Scores (start here)'!$B:$B,$A14),L14)</f>
        <v/>
      </c>
      <c r="K14" s="12" t="s">
        <v>959</v>
      </c>
      <c r="L14" s="8" t="str">
        <f aca="false">IF($B14="NO","NA",IF(I14="","",MIN(I14,$B$6)))</f>
        <v/>
      </c>
    </row>
    <row r="15" customFormat="false" ht="168.75" hidden="false" customHeight="true" outlineLevel="0" collapsed="false">
      <c r="A15" s="8" t="s">
        <v>34</v>
      </c>
      <c r="B15" s="8" t="s">
        <v>853</v>
      </c>
      <c r="C15" s="8" t="s">
        <v>134</v>
      </c>
      <c r="D15" s="8" t="s">
        <v>960</v>
      </c>
      <c r="E15" s="8" t="s">
        <v>961</v>
      </c>
      <c r="F15" s="8" t="s">
        <v>962</v>
      </c>
      <c r="G15" s="8" t="s">
        <v>963</v>
      </c>
      <c r="H15" s="8" t="s">
        <v>31</v>
      </c>
      <c r="I15" s="15" t="n">
        <v>0</v>
      </c>
      <c r="J15" s="8" t="n">
        <f aca="false">IF(COUNTIFS('Scores (start here)'!$A:$A,$B$1,'Scores (start here)'!$B:$B,$A15,'Scores (start here)'!$F:$F,"&gt;=0")&gt;0,SUMIFS('Scores (start here)'!$F:$F,'Scores (start here)'!$A:$A,$B$1,'Scores (start here)'!$B:$B,$A15),L15)</f>
        <v>0</v>
      </c>
      <c r="K15" s="12" t="s">
        <v>964</v>
      </c>
      <c r="L15" s="8" t="n">
        <f aca="false">IF($B15="NO","NA",IF(I15="","",MIN(I15,$B$6)))</f>
        <v>0</v>
      </c>
    </row>
    <row r="16" customFormat="false" ht="34.5" hidden="false" customHeight="true" outlineLevel="0" collapsed="false">
      <c r="A16" s="8" t="s">
        <v>40</v>
      </c>
      <c r="B16" s="8" t="s">
        <v>853</v>
      </c>
      <c r="C16" s="8" t="s">
        <v>42</v>
      </c>
      <c r="D16" s="8" t="s">
        <v>965</v>
      </c>
      <c r="E16" s="8" t="s">
        <v>966</v>
      </c>
      <c r="F16" s="8" t="s">
        <v>967</v>
      </c>
      <c r="G16" s="8" t="s">
        <v>862</v>
      </c>
      <c r="H16" s="8" t="s">
        <v>31</v>
      </c>
      <c r="I16" s="15" t="n">
        <v>5</v>
      </c>
      <c r="J16" s="8" t="n">
        <f aca="false">IF(COUNTIFS('Scores (start here)'!$A:$A,$B$1,'Scores (start here)'!$B:$B,$A16,'Scores (start here)'!$F:$F,"&gt;=0")&gt;0,SUMIFS('Scores (start here)'!$F:$F,'Scores (start here)'!$A:$A,$B$1,'Scores (start here)'!$B:$B,$A16),L16)</f>
        <v>5</v>
      </c>
      <c r="K16" s="12" t="s">
        <v>968</v>
      </c>
      <c r="L16" s="8" t="n">
        <f aca="false">IF($B16="NO","NA",IF(I16="","",MIN(I16,$B$6)))</f>
        <v>5</v>
      </c>
    </row>
    <row r="17" customFormat="false" ht="359.25" hidden="false" customHeight="true" outlineLevel="0" collapsed="false">
      <c r="A17" s="8" t="s">
        <v>45</v>
      </c>
      <c r="B17" s="8" t="s">
        <v>853</v>
      </c>
      <c r="C17" s="8" t="s">
        <v>141</v>
      </c>
      <c r="D17" s="8" t="s">
        <v>969</v>
      </c>
      <c r="E17" s="8" t="s">
        <v>970</v>
      </c>
      <c r="F17" s="8" t="s">
        <v>971</v>
      </c>
      <c r="G17" s="8" t="s">
        <v>972</v>
      </c>
      <c r="H17" s="8" t="s">
        <v>31</v>
      </c>
      <c r="I17" s="15"/>
      <c r="J17" s="8" t="str">
        <f aca="false">IF(COUNTIFS('Scores (start here)'!$A:$A,$B$1,'Scores (start here)'!$B:$B,$A17,'Scores (start here)'!$F:$F,"&gt;=0")&gt;0,SUMIFS('Scores (start here)'!$F:$F,'Scores (start here)'!$A:$A,$B$1,'Scores (start here)'!$B:$B,$A17),L17)</f>
        <v/>
      </c>
      <c r="K17" s="12" t="s">
        <v>973</v>
      </c>
      <c r="L17" s="8" t="str">
        <f aca="false">IF($B17="NO","NA",IF(I17="","",MIN(I17,$B$6)))</f>
        <v/>
      </c>
    </row>
    <row r="18" customFormat="false" ht="15" hidden="false" customHeight="true" outlineLevel="0" collapsed="false">
      <c r="A18" s="8" t="s">
        <v>51</v>
      </c>
      <c r="B18" s="8" t="s">
        <v>853</v>
      </c>
      <c r="C18" s="8" t="s">
        <v>145</v>
      </c>
      <c r="D18" s="8" t="s">
        <v>974</v>
      </c>
      <c r="E18" s="8" t="s">
        <v>975</v>
      </c>
      <c r="F18" s="8" t="s">
        <v>976</v>
      </c>
      <c r="G18" s="8" t="s">
        <v>977</v>
      </c>
      <c r="H18" s="8" t="s">
        <v>146</v>
      </c>
      <c r="I18" s="15"/>
      <c r="J18" s="8" t="str">
        <f aca="false">IF(COUNTIFS('Scores (start here)'!$A:$A,$B$1,'Scores (start here)'!$B:$B,$A18,'Scores (start here)'!$F:$F,"&gt;=0")&gt;0,SUMIFS('Scores (start here)'!$F:$F,'Scores (start here)'!$A:$A,$B$1,'Scores (start here)'!$B:$B,$A18),L18)</f>
        <v/>
      </c>
      <c r="K18" s="12" t="s">
        <v>978</v>
      </c>
      <c r="L18" s="8" t="str">
        <f aca="false">IF($B18="NO","NA",IF(I18="","",MIN(I18,$B$6)))</f>
        <v/>
      </c>
    </row>
    <row r="19" customFormat="false" ht="15" hidden="false" customHeight="true" outlineLevel="0" collapsed="false">
      <c r="A19" s="8" t="s">
        <v>54</v>
      </c>
      <c r="B19" s="8" t="s">
        <v>853</v>
      </c>
      <c r="C19" s="8" t="s">
        <v>150</v>
      </c>
      <c r="D19" s="8" t="s">
        <v>979</v>
      </c>
      <c r="E19" s="8" t="s">
        <v>980</v>
      </c>
      <c r="F19" s="8" t="s">
        <v>981</v>
      </c>
      <c r="G19" s="8" t="s">
        <v>982</v>
      </c>
      <c r="H19" s="8" t="s">
        <v>146</v>
      </c>
      <c r="I19" s="15"/>
      <c r="J19" s="8" t="str">
        <f aca="false">IF(COUNTIFS('Scores (start here)'!$A:$A,$B$1,'Scores (start here)'!$B:$B,$A19,'Scores (start here)'!$F:$F,"&gt;=0")&gt;0,SUMIFS('Scores (start here)'!$F:$F,'Scores (start here)'!$A:$A,$B$1,'Scores (start here)'!$B:$B,$A19),L19)</f>
        <v/>
      </c>
      <c r="K19" s="12" t="s">
        <v>983</v>
      </c>
      <c r="L19" s="8" t="str">
        <f aca="false">IF($B19="NO","NA",IF(I19="","",MIN(I19,$B$6)))</f>
        <v/>
      </c>
    </row>
  </sheetData>
  <dataValidations count="1">
    <dataValidation allowBlank="true" error="See the instruction above the 'Score' column." errorStyle="stop" operator="between" showDropDown="false" showErrorMessage="true" showInputMessage="false" sqref="I13:I19" type="decimal">
      <formula1>0</formula1>
      <formula2>5</formula2>
    </dataValidation>
  </dataValidations>
  <hyperlinks>
    <hyperlink ref="J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8" width="28"/>
    <col collapsed="false" customWidth="true" hidden="false" outlineLevel="0" max="2" min="2" style="8" width="10"/>
    <col collapsed="false" customWidth="true" hidden="false" outlineLevel="0" max="3" min="3" style="8" width="30"/>
    <col collapsed="false" customWidth="true" hidden="false" outlineLevel="0" max="8" min="8" style="8" width="10"/>
    <col collapsed="false" customWidth="true" hidden="false" outlineLevel="0" max="9" min="9" style="8" width="40"/>
  </cols>
  <sheetData>
    <row r="1" customFormat="false" ht="15" hidden="false" customHeight="true" outlineLevel="0" collapsed="false">
      <c r="A1" s="8" t="s">
        <v>836</v>
      </c>
      <c r="B1" s="8" t="s">
        <v>153</v>
      </c>
      <c r="C1" s="8" t="s">
        <v>837</v>
      </c>
      <c r="J1" s="13" t="s">
        <v>838</v>
      </c>
    </row>
    <row r="2" customFormat="false" ht="68.25" hidden="false" customHeight="true" outlineLevel="0" collapsed="false">
      <c r="A2" s="10" t="s">
        <v>589</v>
      </c>
      <c r="B2" s="4" t="str">
        <f aca="false">VLOOKUP($B$1,'PARASTATAL Questions'!$A:$J,3,0)&amp;""</f>
        <v>Decentralised Participatory Governance</v>
      </c>
    </row>
    <row r="3" customFormat="false" ht="15" hidden="false" customHeight="true" outlineLevel="0" collapsed="false">
      <c r="A3" s="10" t="s">
        <v>622</v>
      </c>
      <c r="B3" s="4" t="str">
        <f aca="false">VLOOKUP($B$1,'PARASTATAL Questions'!$A:$J,2,0)&amp;""</f>
        <v>DPG 1b</v>
      </c>
    </row>
    <row r="4" customFormat="false" ht="15" hidden="false" customHeight="true" outlineLevel="0" collapsed="false">
      <c r="A4" s="10" t="s">
        <v>590</v>
      </c>
      <c r="B4" s="4" t="str">
        <f aca="false">VLOOKUP($B$1,'PARASTATAL Questions'!$A:$J,4,0)&amp;""</f>
        <v>SQ</v>
      </c>
    </row>
    <row r="5" customFormat="false" ht="157.5" hidden="false" customHeight="true" outlineLevel="0" collapsed="false">
      <c r="A5" s="10" t="s">
        <v>0</v>
      </c>
      <c r="B5" s="4" t="str">
        <f aca="false">VLOOKUP($B$1,'PARASTATAL Questions'!$A:$J,5,0)&amp;""</f>
        <v>Is the parastatal's territorial/geographic jurisdiction clearly and specifically defined in its enabling legal framework?</v>
      </c>
    </row>
    <row r="6" customFormat="false" ht="15" hidden="false" customHeight="true" outlineLevel="0" collapsed="false">
      <c r="A6" s="10" t="s">
        <v>592</v>
      </c>
      <c r="B6" s="4" t="n">
        <f aca="false">VLOOKUP($B$1,'PARASTATAL Questions'!$A:$J,6,0)</f>
        <v>5</v>
      </c>
    </row>
    <row r="7" customFormat="false" ht="23.25" hidden="false" customHeight="true" outlineLevel="0" collapsed="false">
      <c r="A7" s="10" t="s">
        <v>591</v>
      </c>
      <c r="B7" s="4" t="str">
        <f aca="false">VLOOKUP($B$1,'PARASTATAL Questions'!$A:$J,7,0)&amp;""</f>
        <v>Institutional Design</v>
      </c>
    </row>
    <row r="8" customFormat="false" ht="45.75" hidden="false" customHeight="true" outlineLevel="0" collapsed="false">
      <c r="A8" s="10" t="s">
        <v>623</v>
      </c>
      <c r="B8" s="4" t="str">
        <f aca="false">VLOOKUP($B$1,'PARASTATAL Questions'!$A:$J,8,0)&amp;""</f>
        <v>Common — all parastatal types.</v>
      </c>
    </row>
    <row r="9" customFormat="false" ht="863.25" hidden="false" customHeight="true" outlineLevel="0" collapsed="false">
      <c r="A9" s="10" t="s">
        <v>624</v>
      </c>
      <c r="B9" s="4" t="str">
        <f aca="false">VLOOKUP($B$1,'PARASTATAL Questions'!$A:$J,9,0)&amp;""</f>
        <v>Review the relevant Parastatal Act and Municipal Act as the primary source. Since jurisdiction may be amended or updated after the parent Act through subsequent notifications, gazette orders, or administrative boundary changes not yet reflected in the Act, also cross-check the parastatal's official website and any government notifications/gazette publications for the current jurisdictional boundary. Score 5 if jurisdiction is defined with a specific boundary description, schedule, or map reference in the enabling Act. Review the relevant Parastatal Act and Municipal Act. Score 2.5 if defined only in general terms (e.g. "notified area" with no schedule). Score 0 if jurisdiction is not defined.</v>
      </c>
    </row>
    <row r="10" customFormat="false" ht="57" hidden="false" customHeight="true" outlineLevel="0" collapsed="false">
      <c r="A10" s="10" t="s">
        <v>625</v>
      </c>
      <c r="B10" s="4" t="str">
        <f aca="false">VLOOKUP($B$1,'PARASTATAL Questions'!$A:$J,10,0)&amp;""</f>
        <v>Enabling Act, 12th Schedule mapping exercise</v>
      </c>
    </row>
    <row r="11" customFormat="false" ht="15" hidden="false" customHeight="true" outlineLevel="0" collapsed="false">
      <c r="B11" s="14" t="s">
        <v>839</v>
      </c>
      <c r="I11" s="14" t="s">
        <v>840</v>
      </c>
      <c r="J11" s="14" t="s">
        <v>841</v>
      </c>
      <c r="L11" s="8" t="s">
        <v>842</v>
      </c>
    </row>
    <row r="12" customFormat="false" ht="51.75" hidden="false" customHeight="true" outlineLevel="0" collapsed="false">
      <c r="A12" s="1" t="s">
        <v>612</v>
      </c>
      <c r="B12" s="1" t="s">
        <v>843</v>
      </c>
      <c r="C12" s="1" t="s">
        <v>844</v>
      </c>
      <c r="D12" s="1" t="s">
        <v>845</v>
      </c>
      <c r="E12" s="1" t="s">
        <v>846</v>
      </c>
      <c r="F12" s="1" t="s">
        <v>847</v>
      </c>
      <c r="G12" s="1" t="s">
        <v>848</v>
      </c>
      <c r="H12" s="1" t="s">
        <v>14</v>
      </c>
      <c r="I12" s="1" t="s">
        <v>849</v>
      </c>
      <c r="J12" s="1" t="s">
        <v>850</v>
      </c>
      <c r="K12" s="1" t="s">
        <v>851</v>
      </c>
      <c r="L12" s="8" t="s">
        <v>852</v>
      </c>
    </row>
    <row r="13" customFormat="false" ht="168.75" hidden="false" customHeight="true" outlineLevel="0" collapsed="false">
      <c r="A13" s="8" t="s">
        <v>19</v>
      </c>
      <c r="B13" s="8" t="s">
        <v>853</v>
      </c>
      <c r="C13" s="8" t="s">
        <v>23</v>
      </c>
      <c r="D13" s="8" t="s">
        <v>984</v>
      </c>
      <c r="E13" s="8" t="s">
        <v>985</v>
      </c>
      <c r="F13" s="8" t="s">
        <v>986</v>
      </c>
      <c r="G13" s="8" t="s">
        <v>875</v>
      </c>
      <c r="H13" s="8" t="s">
        <v>24</v>
      </c>
      <c r="I13" s="15" t="n">
        <v>2.5</v>
      </c>
      <c r="J13" s="8" t="n">
        <f aca="false">IF(COUNTIFS('Scores (start here)'!$A:$A,$B$1,'Scores (start here)'!$B:$B,$A13,'Scores (start here)'!$F:$F,"&gt;=0")&gt;0,SUMIFS('Scores (start here)'!$F:$F,'Scores (start here)'!$A:$A,$B$1,'Scores (start here)'!$B:$B,$A13),L13)</f>
        <v>2.5</v>
      </c>
      <c r="K13" s="12" t="s">
        <v>987</v>
      </c>
      <c r="L13" s="8" t="n">
        <f aca="false">IF($B13="NO","NA",IF(I13="","",MIN(I13,$B$6)))</f>
        <v>2.5</v>
      </c>
    </row>
    <row r="14" customFormat="false" ht="15" hidden="false" customHeight="true" outlineLevel="0" collapsed="false">
      <c r="A14" s="8" t="s">
        <v>28</v>
      </c>
      <c r="B14" s="8" t="s">
        <v>853</v>
      </c>
      <c r="C14" s="8" t="s">
        <v>159</v>
      </c>
      <c r="E14" s="8" t="s">
        <v>988</v>
      </c>
      <c r="F14" s="8" t="s">
        <v>989</v>
      </c>
      <c r="G14" s="8" t="s">
        <v>990</v>
      </c>
      <c r="H14" s="8" t="s">
        <v>160</v>
      </c>
      <c r="I14" s="15"/>
      <c r="J14" s="8" t="str">
        <f aca="false">IF(COUNTIFS('Scores (start here)'!$A:$A,$B$1,'Scores (start here)'!$B:$B,$A14,'Scores (start here)'!$F:$F,"&gt;=0")&gt;0,SUMIFS('Scores (start here)'!$F:$F,'Scores (start here)'!$A:$A,$B$1,'Scores (start here)'!$B:$B,$A14),L14)</f>
        <v/>
      </c>
      <c r="K14" s="12" t="s">
        <v>991</v>
      </c>
      <c r="L14" s="8" t="str">
        <f aca="false">IF($B14="NO","NA",IF(I14="","",MIN(I14,$B$6)))</f>
        <v/>
      </c>
    </row>
    <row r="15" customFormat="false" ht="225" hidden="false" customHeight="true" outlineLevel="0" collapsed="false">
      <c r="A15" s="8" t="s">
        <v>34</v>
      </c>
      <c r="B15" s="8" t="s">
        <v>853</v>
      </c>
      <c r="C15" s="8" t="s">
        <v>36</v>
      </c>
      <c r="D15" s="8" t="s">
        <v>992</v>
      </c>
      <c r="E15" s="8" t="s">
        <v>993</v>
      </c>
      <c r="F15" s="8" t="s">
        <v>994</v>
      </c>
      <c r="G15" s="8" t="s">
        <v>857</v>
      </c>
      <c r="H15" s="8" t="s">
        <v>37</v>
      </c>
      <c r="I15" s="15" t="n">
        <v>2.5</v>
      </c>
      <c r="J15" s="8" t="n">
        <f aca="false">IF(COUNTIFS('Scores (start here)'!$A:$A,$B$1,'Scores (start here)'!$B:$B,$A15,'Scores (start here)'!$F:$F,"&gt;=0")&gt;0,SUMIFS('Scores (start here)'!$F:$F,'Scores (start here)'!$A:$A,$B$1,'Scores (start here)'!$B:$B,$A15),L15)</f>
        <v>2.5</v>
      </c>
      <c r="K15" s="12" t="s">
        <v>995</v>
      </c>
      <c r="L15" s="8" t="n">
        <f aca="false">IF($B15="NO","NA",IF(I15="","",MIN(I15,$B$6)))</f>
        <v>2.5</v>
      </c>
    </row>
    <row r="16" customFormat="false" ht="325.5" hidden="false" customHeight="true" outlineLevel="0" collapsed="false">
      <c r="A16" s="8" t="s">
        <v>40</v>
      </c>
      <c r="B16" s="8" t="s">
        <v>853</v>
      </c>
      <c r="C16" s="8" t="s">
        <v>167</v>
      </c>
      <c r="D16" s="8" t="s">
        <v>984</v>
      </c>
      <c r="E16" s="8" t="s">
        <v>996</v>
      </c>
      <c r="F16" s="8" t="s">
        <v>997</v>
      </c>
      <c r="G16" s="8" t="s">
        <v>998</v>
      </c>
      <c r="H16" s="8" t="s">
        <v>168</v>
      </c>
      <c r="I16" s="15" t="n">
        <v>2.5</v>
      </c>
      <c r="J16" s="8" t="n">
        <f aca="false">IF(COUNTIFS('Scores (start here)'!$A:$A,$B$1,'Scores (start here)'!$B:$B,$A16,'Scores (start here)'!$F:$F,"&gt;=0")&gt;0,SUMIFS('Scores (start here)'!$F:$F,'Scores (start here)'!$A:$A,$B$1,'Scores (start here)'!$B:$B,$A16),L16)</f>
        <v>2.5</v>
      </c>
      <c r="K16" s="12" t="s">
        <v>999</v>
      </c>
      <c r="L16" s="8" t="n">
        <f aca="false">IF($B16="NO","NA",IF(I16="","",MIN(I16,$B$6)))</f>
        <v>2.5</v>
      </c>
    </row>
    <row r="17" customFormat="false" ht="15" hidden="false" customHeight="true" outlineLevel="0" collapsed="false">
      <c r="A17" s="8" t="s">
        <v>45</v>
      </c>
      <c r="B17" s="8" t="s">
        <v>853</v>
      </c>
      <c r="C17" s="8" t="s">
        <v>1000</v>
      </c>
      <c r="D17" s="8" t="s">
        <v>1001</v>
      </c>
      <c r="E17" s="8" t="s">
        <v>1002</v>
      </c>
      <c r="F17" s="8" t="s">
        <v>1003</v>
      </c>
      <c r="G17" s="8" t="s">
        <v>998</v>
      </c>
      <c r="H17" s="8" t="s">
        <v>1004</v>
      </c>
      <c r="I17" s="15" t="n">
        <v>5</v>
      </c>
      <c r="J17" s="8" t="n">
        <f aca="false">IF(COUNTIFS('Scores (start here)'!$A:$A,$B$1,'Scores (start here)'!$B:$B,$A17,'Scores (start here)'!$F:$F,"&gt;=0")&gt;0,SUMIFS('Scores (start here)'!$F:$F,'Scores (start here)'!$A:$A,$B$1,'Scores (start here)'!$B:$B,$A17),L17)</f>
        <v>5</v>
      </c>
      <c r="K17" s="12" t="s">
        <v>1005</v>
      </c>
      <c r="L17" s="8" t="n">
        <f aca="false">IF($B17="NO","NA",IF(I17="","",MIN(I17,$B$6)))</f>
        <v>5</v>
      </c>
    </row>
    <row r="18" customFormat="false" ht="15" hidden="false" customHeight="true" outlineLevel="0" collapsed="false">
      <c r="A18" s="8" t="s">
        <v>51</v>
      </c>
      <c r="B18" s="8" t="s">
        <v>853</v>
      </c>
      <c r="C18" s="8" t="s">
        <v>64</v>
      </c>
      <c r="D18" s="8" t="s">
        <v>1006</v>
      </c>
      <c r="E18" s="8" t="s">
        <v>1007</v>
      </c>
      <c r="F18" s="8" t="s">
        <v>1008</v>
      </c>
      <c r="G18" s="8" t="s">
        <v>867</v>
      </c>
      <c r="H18" s="8" t="s">
        <v>65</v>
      </c>
      <c r="I18" s="15"/>
      <c r="J18" s="8" t="str">
        <f aca="false">IF(COUNTIFS('Scores (start here)'!$A:$A,$B$1,'Scores (start here)'!$B:$B,$A18,'Scores (start here)'!$F:$F,"&gt;=0")&gt;0,SUMIFS('Scores (start here)'!$F:$F,'Scores (start here)'!$A:$A,$B$1,'Scores (start here)'!$B:$B,$A18),L18)</f>
        <v/>
      </c>
      <c r="K18" s="12" t="s">
        <v>1009</v>
      </c>
      <c r="L18" s="8" t="str">
        <f aca="false">IF($B18="NO","NA",IF(I18="","",MIN(I18,$B$6)))</f>
        <v/>
      </c>
    </row>
    <row r="19" customFormat="false" ht="15" hidden="false" customHeight="true" outlineLevel="0" collapsed="false">
      <c r="A19" s="8" t="s">
        <v>54</v>
      </c>
      <c r="B19" s="8" t="s">
        <v>853</v>
      </c>
      <c r="I19" s="15"/>
      <c r="J19" s="8" t="str">
        <f aca="false">IF(COUNTIFS('Scores (start here)'!$A:$A,$B$1,'Scores (start here)'!$B:$B,$A19,'Scores (start here)'!$F:$F,"&gt;=0")&gt;0,SUMIFS('Scores (start here)'!$F:$F,'Scores (start here)'!$A:$A,$B$1,'Scores (start here)'!$B:$B,$A19),L19)</f>
        <v/>
      </c>
      <c r="K19" s="8" t="s">
        <v>1010</v>
      </c>
      <c r="L19" s="8" t="str">
        <f aca="false">IF($B19="NO","NA",IF(I19="","",MIN(I19,$B$6)))</f>
        <v/>
      </c>
    </row>
  </sheetData>
  <dataValidations count="1">
    <dataValidation allowBlank="true" error="See the instruction above the 'Score' column." errorStyle="stop" operator="between" showDropDown="false" showErrorMessage="true" showInputMessage="false" sqref="I13:I19" type="decimal">
      <formula1>0</formula1>
      <formula2>5</formula2>
    </dataValidation>
  </dataValidations>
  <hyperlinks>
    <hyperlink ref="J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8" width="28"/>
    <col collapsed="false" customWidth="true" hidden="false" outlineLevel="0" max="2" min="2" style="8" width="10"/>
    <col collapsed="false" customWidth="true" hidden="false" outlineLevel="0" max="3" min="3" style="8" width="30"/>
    <col collapsed="false" customWidth="true" hidden="false" outlineLevel="0" max="8" min="8" style="8" width="10"/>
    <col collapsed="false" customWidth="true" hidden="false" outlineLevel="0" max="9" min="9" style="8" width="40"/>
  </cols>
  <sheetData>
    <row r="1" customFormat="false" ht="15" hidden="false" customHeight="true" outlineLevel="0" collapsed="false">
      <c r="A1" s="8" t="s">
        <v>836</v>
      </c>
      <c r="B1" s="8" t="s">
        <v>177</v>
      </c>
      <c r="C1" s="8" t="s">
        <v>837</v>
      </c>
      <c r="J1" s="13" t="s">
        <v>838</v>
      </c>
    </row>
    <row r="2" customFormat="false" ht="68.25" hidden="false" customHeight="true" outlineLevel="0" collapsed="false">
      <c r="A2" s="10" t="s">
        <v>589</v>
      </c>
      <c r="B2" s="4" t="str">
        <f aca="false">VLOOKUP($B$1,'PARASTATAL Questions'!$A:$J,3,0)&amp;""</f>
        <v>Decentralised Participatory Governance</v>
      </c>
    </row>
    <row r="3" customFormat="false" ht="15" hidden="false" customHeight="true" outlineLevel="0" collapsed="false">
      <c r="A3" s="10" t="s">
        <v>622</v>
      </c>
      <c r="B3" s="4" t="str">
        <f aca="false">VLOOKUP($B$1,'PARASTATAL Questions'!$A:$J,2,0)&amp;""</f>
        <v>DPG 2a</v>
      </c>
    </row>
    <row r="4" customFormat="false" ht="15" hidden="false" customHeight="true" outlineLevel="0" collapsed="false">
      <c r="A4" s="10" t="s">
        <v>590</v>
      </c>
      <c r="B4" s="4" t="str">
        <f aca="false">VLOOKUP($B$1,'PARASTATAL Questions'!$A:$J,4,0)&amp;""</f>
        <v>SQ</v>
      </c>
    </row>
    <row r="5" customFormat="false" ht="90.75" hidden="false" customHeight="true" outlineLevel="0" collapsed="false">
      <c r="A5" s="10" t="s">
        <v>0</v>
      </c>
      <c r="B5" s="4" t="str">
        <f aca="false">VLOOKUP($B$1,'PARASTATAL Questions'!$A:$J,5,0)&amp;""</f>
        <v>Does the ULG have representation on the parastatal's governing board?</v>
      </c>
    </row>
    <row r="6" customFormat="false" ht="15" hidden="false" customHeight="true" outlineLevel="0" collapsed="false">
      <c r="A6" s="10" t="s">
        <v>592</v>
      </c>
      <c r="B6" s="4" t="n">
        <f aca="false">VLOOKUP($B$1,'PARASTATAL Questions'!$A:$J,6,0)</f>
        <v>5</v>
      </c>
    </row>
    <row r="7" customFormat="false" ht="23.25" hidden="false" customHeight="true" outlineLevel="0" collapsed="false">
      <c r="A7" s="10" t="s">
        <v>591</v>
      </c>
      <c r="B7" s="4" t="str">
        <f aca="false">VLOOKUP($B$1,'PARASTATAL Questions'!$A:$J,7,0)&amp;""</f>
        <v>Institutional Design</v>
      </c>
    </row>
    <row r="8" customFormat="false" ht="45.75" hidden="false" customHeight="true" outlineLevel="0" collapsed="false">
      <c r="A8" s="10" t="s">
        <v>623</v>
      </c>
      <c r="B8" s="4" t="str">
        <f aca="false">VLOOKUP($B$1,'PARASTATAL Questions'!$A:$J,8,0)&amp;""</f>
        <v>Common — all parastatal types.</v>
      </c>
    </row>
    <row r="9" customFormat="false" ht="303" hidden="false" customHeight="true" outlineLevel="0" collapsed="false">
      <c r="A9" s="10" t="s">
        <v>624</v>
      </c>
      <c r="B9" s="4" t="str">
        <f aca="false">VLOOKUP($B$1,'PARASTATAL Questions'!$A:$J,9,0)&amp;""</f>
        <v>Review the relevant Parastatal Act and Municipal Act for composition.Score 5 if ULG-elected representatives sit on the board with voting rights. Score 2.5 if represented without voting rights or only as invitees. Score 0 if no representation.</v>
      </c>
    </row>
    <row r="10" customFormat="false" ht="102" hidden="false" customHeight="true" outlineLevel="0" collapsed="false">
      <c r="A10" s="10" t="s">
        <v>625</v>
      </c>
      <c r="B10" s="4" t="str">
        <f aca="false">VLOOKUP($B$1,'PARASTATAL Questions'!$A:$J,10,0)&amp;""</f>
        <v>Composition clause of enabling Act; current board member list</v>
      </c>
    </row>
    <row r="11" customFormat="false" ht="15" hidden="false" customHeight="true" outlineLevel="0" collapsed="false">
      <c r="B11" s="14" t="s">
        <v>839</v>
      </c>
      <c r="I11" s="14" t="s">
        <v>840</v>
      </c>
      <c r="J11" s="14" t="s">
        <v>841</v>
      </c>
      <c r="L11" s="8" t="s">
        <v>842</v>
      </c>
    </row>
    <row r="12" customFormat="false" ht="51.75" hidden="false" customHeight="true" outlineLevel="0" collapsed="false">
      <c r="A12" s="1" t="s">
        <v>612</v>
      </c>
      <c r="B12" s="1" t="s">
        <v>843</v>
      </c>
      <c r="C12" s="1" t="s">
        <v>844</v>
      </c>
      <c r="D12" s="1" t="s">
        <v>845</v>
      </c>
      <c r="E12" s="1" t="s">
        <v>846</v>
      </c>
      <c r="F12" s="1" t="s">
        <v>847</v>
      </c>
      <c r="G12" s="1" t="s">
        <v>848</v>
      </c>
      <c r="H12" s="1" t="s">
        <v>14</v>
      </c>
      <c r="I12" s="1" t="s">
        <v>849</v>
      </c>
      <c r="J12" s="1" t="s">
        <v>850</v>
      </c>
      <c r="K12" s="1" t="s">
        <v>851</v>
      </c>
      <c r="L12" s="8" t="s">
        <v>852</v>
      </c>
    </row>
    <row r="13" customFormat="false" ht="370.5" hidden="false" customHeight="true" outlineLevel="0" collapsed="false">
      <c r="A13" s="8" t="s">
        <v>19</v>
      </c>
      <c r="B13" s="8" t="s">
        <v>853</v>
      </c>
      <c r="C13" s="8" t="s">
        <v>23</v>
      </c>
      <c r="D13" s="8" t="s">
        <v>1011</v>
      </c>
      <c r="E13" s="8" t="s">
        <v>1012</v>
      </c>
      <c r="F13" s="8" t="s">
        <v>1013</v>
      </c>
      <c r="G13" s="8" t="s">
        <v>1014</v>
      </c>
      <c r="H13" s="8" t="s">
        <v>24</v>
      </c>
      <c r="I13" s="15" t="n">
        <v>0</v>
      </c>
      <c r="J13" s="8" t="n">
        <f aca="false">IF(COUNTIFS('Scores (start here)'!$A:$A,$B$1,'Scores (start here)'!$B:$B,$A13,'Scores (start here)'!$F:$F,"&gt;=0")&gt;0,SUMIFS('Scores (start here)'!$F:$F,'Scores (start here)'!$A:$A,$B$1,'Scores (start here)'!$B:$B,$A13),L13)</f>
        <v>0</v>
      </c>
      <c r="K13" s="12" t="s">
        <v>1015</v>
      </c>
      <c r="L13" s="8" t="n">
        <f aca="false">IF($B13="NO","NA",IF(I13="","",MIN(I13,$B$6)))</f>
        <v>0</v>
      </c>
    </row>
    <row r="14" customFormat="false" ht="303" hidden="false" customHeight="true" outlineLevel="0" collapsed="false">
      <c r="A14" s="8" t="s">
        <v>28</v>
      </c>
      <c r="B14" s="8" t="s">
        <v>853</v>
      </c>
      <c r="C14" s="8" t="s">
        <v>159</v>
      </c>
      <c r="D14" s="8" t="s">
        <v>1016</v>
      </c>
      <c r="E14" s="8" t="s">
        <v>1017</v>
      </c>
      <c r="F14" s="8" t="s">
        <v>1018</v>
      </c>
      <c r="G14" s="8" t="s">
        <v>990</v>
      </c>
      <c r="H14" s="8" t="s">
        <v>160</v>
      </c>
      <c r="I14" s="15"/>
      <c r="J14" s="8" t="str">
        <f aca="false">IF(COUNTIFS('Scores (start here)'!$A:$A,$B$1,'Scores (start here)'!$B:$B,$A14,'Scores (start here)'!$F:$F,"&gt;=0")&gt;0,SUMIFS('Scores (start here)'!$F:$F,'Scores (start here)'!$A:$A,$B$1,'Scores (start here)'!$B:$B,$A14),L14)</f>
        <v/>
      </c>
      <c r="K14" s="12" t="s">
        <v>1019</v>
      </c>
      <c r="L14" s="8" t="str">
        <f aca="false">IF($B14="NO","NA",IF(I14="","",MIN(I14,$B$6)))</f>
        <v/>
      </c>
    </row>
    <row r="15" customFormat="false" ht="370.5" hidden="false" customHeight="true" outlineLevel="0" collapsed="false">
      <c r="A15" s="8" t="s">
        <v>34</v>
      </c>
      <c r="B15" s="8" t="s">
        <v>853</v>
      </c>
      <c r="C15" s="8" t="s">
        <v>36</v>
      </c>
      <c r="D15" s="8" t="s">
        <v>1020</v>
      </c>
      <c r="E15" s="8" t="s">
        <v>1021</v>
      </c>
      <c r="F15" s="8" t="s">
        <v>1022</v>
      </c>
      <c r="G15" s="8" t="s">
        <v>910</v>
      </c>
      <c r="H15" s="8" t="s">
        <v>37</v>
      </c>
      <c r="I15" s="15" t="n">
        <v>5</v>
      </c>
      <c r="J15" s="8" t="n">
        <f aca="false">IF(COUNTIFS('Scores (start here)'!$A:$A,$B$1,'Scores (start here)'!$B:$B,$A15,'Scores (start here)'!$F:$F,"&gt;=0")&gt;0,SUMIFS('Scores (start here)'!$F:$F,'Scores (start here)'!$A:$A,$B$1,'Scores (start here)'!$B:$B,$A15),L15)</f>
        <v>5</v>
      </c>
      <c r="K15" s="12" t="s">
        <v>1023</v>
      </c>
      <c r="L15" s="8" t="n">
        <f aca="false">IF($B15="NO","NA",IF(I15="","",MIN(I15,$B$6)))</f>
        <v>5</v>
      </c>
    </row>
    <row r="16" customFormat="false" ht="124.5" hidden="false" customHeight="true" outlineLevel="0" collapsed="false">
      <c r="A16" s="8" t="s">
        <v>40</v>
      </c>
      <c r="B16" s="8" t="s">
        <v>853</v>
      </c>
      <c r="C16" s="8" t="s">
        <v>188</v>
      </c>
      <c r="D16" s="8" t="s">
        <v>1024</v>
      </c>
      <c r="E16" s="8" t="s">
        <v>1025</v>
      </c>
      <c r="F16" s="8" t="s">
        <v>1026</v>
      </c>
      <c r="G16" s="8" t="s">
        <v>1027</v>
      </c>
      <c r="H16" s="8" t="s">
        <v>189</v>
      </c>
      <c r="I16" s="15" t="n">
        <v>0</v>
      </c>
      <c r="J16" s="8" t="n">
        <f aca="false">IF(COUNTIFS('Scores (start here)'!$A:$A,$B$1,'Scores (start here)'!$B:$B,$A16,'Scores (start here)'!$F:$F,"&gt;=0")&gt;0,SUMIFS('Scores (start here)'!$F:$F,'Scores (start here)'!$A:$A,$B$1,'Scores (start here)'!$B:$B,$A16),L16)</f>
        <v>0</v>
      </c>
      <c r="K16" s="12" t="s">
        <v>1028</v>
      </c>
      <c r="L16" s="8" t="n">
        <f aca="false">IF($B16="NO","NA",IF(I16="","",MIN(I16,$B$6)))</f>
        <v>0</v>
      </c>
    </row>
    <row r="17" customFormat="false" ht="314.25" hidden="false" customHeight="true" outlineLevel="0" collapsed="false">
      <c r="A17" s="8" t="s">
        <v>45</v>
      </c>
      <c r="B17" s="8" t="s">
        <v>853</v>
      </c>
      <c r="C17" s="8" t="s">
        <v>47</v>
      </c>
      <c r="D17" s="8" t="s">
        <v>1029</v>
      </c>
      <c r="E17" s="8" t="s">
        <v>1030</v>
      </c>
      <c r="F17" s="8" t="s">
        <v>1031</v>
      </c>
      <c r="G17" s="8" t="s">
        <v>875</v>
      </c>
      <c r="H17" s="8" t="s">
        <v>48</v>
      </c>
      <c r="I17" s="15" t="n">
        <v>5</v>
      </c>
      <c r="J17" s="8" t="n">
        <f aca="false">IF(COUNTIFS('Scores (start here)'!$A:$A,$B$1,'Scores (start here)'!$B:$B,$A17,'Scores (start here)'!$F:$F,"&gt;=0")&gt;0,SUMIFS('Scores (start here)'!$F:$F,'Scores (start here)'!$A:$A,$B$1,'Scores (start here)'!$B:$B,$A17),L17)</f>
        <v>5</v>
      </c>
      <c r="K17" s="12" t="s">
        <v>1032</v>
      </c>
      <c r="L17" s="8" t="n">
        <f aca="false">IF($B17="NO","NA",IF(I17="","",MIN(I17,$B$6)))</f>
        <v>5</v>
      </c>
    </row>
    <row r="18" customFormat="false" ht="15" hidden="false" customHeight="true" outlineLevel="0" collapsed="false">
      <c r="A18" s="8" t="s">
        <v>51</v>
      </c>
      <c r="B18" s="8" t="s">
        <v>853</v>
      </c>
      <c r="C18" s="8" t="s">
        <v>64</v>
      </c>
      <c r="D18" s="8" t="s">
        <v>1033</v>
      </c>
      <c r="E18" s="8" t="s">
        <v>1034</v>
      </c>
      <c r="F18" s="8" t="s">
        <v>1035</v>
      </c>
      <c r="G18" s="8" t="s">
        <v>1036</v>
      </c>
      <c r="H18" s="8" t="s">
        <v>65</v>
      </c>
      <c r="I18" s="15"/>
      <c r="J18" s="8" t="str">
        <f aca="false">IF(COUNTIFS('Scores (start here)'!$A:$A,$B$1,'Scores (start here)'!$B:$B,$A18,'Scores (start here)'!$F:$F,"&gt;=0")&gt;0,SUMIFS('Scores (start here)'!$F:$F,'Scores (start here)'!$A:$A,$B$1,'Scores (start here)'!$B:$B,$A18),L18)</f>
        <v/>
      </c>
      <c r="K18" s="12" t="s">
        <v>1037</v>
      </c>
      <c r="L18" s="8" t="str">
        <f aca="false">IF($B18="NO","NA",IF(I18="","",MIN(I18,$B$6)))</f>
        <v/>
      </c>
    </row>
    <row r="19" customFormat="false" ht="15" hidden="false" customHeight="true" outlineLevel="0" collapsed="false">
      <c r="A19" s="8" t="s">
        <v>54</v>
      </c>
      <c r="B19" s="8" t="s">
        <v>853</v>
      </c>
      <c r="C19" s="8" t="s">
        <v>199</v>
      </c>
      <c r="D19" s="8" t="s">
        <v>1038</v>
      </c>
      <c r="E19" s="8" t="s">
        <v>1039</v>
      </c>
      <c r="F19" s="8" t="s">
        <v>1040</v>
      </c>
      <c r="H19" s="8" t="s">
        <v>200</v>
      </c>
      <c r="I19" s="15"/>
      <c r="J19" s="8" t="str">
        <f aca="false">IF(COUNTIFS('Scores (start here)'!$A:$A,$B$1,'Scores (start here)'!$B:$B,$A19,'Scores (start here)'!$F:$F,"&gt;=0")&gt;0,SUMIFS('Scores (start here)'!$F:$F,'Scores (start here)'!$A:$A,$B$1,'Scores (start here)'!$B:$B,$A19),L19)</f>
        <v/>
      </c>
      <c r="K19" s="12" t="s">
        <v>1041</v>
      </c>
      <c r="L19" s="8" t="str">
        <f aca="false">IF($B19="NO","NA",IF(I19="","",MIN(I19,$B$6)))</f>
        <v/>
      </c>
    </row>
  </sheetData>
  <dataValidations count="1">
    <dataValidation allowBlank="true" error="See the instruction above the 'Score' column." errorStyle="stop" operator="between" showDropDown="false" showErrorMessage="true" showInputMessage="false" sqref="I13:I19" type="decimal">
      <formula1>0</formula1>
      <formula2>5</formula2>
    </dataValidation>
  </dataValidations>
  <hyperlinks>
    <hyperlink ref="J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8" width="28"/>
    <col collapsed="false" customWidth="true" hidden="false" outlineLevel="0" max="2" min="2" style="8" width="10"/>
    <col collapsed="false" customWidth="true" hidden="false" outlineLevel="0" max="3" min="3" style="8" width="30"/>
    <col collapsed="false" customWidth="true" hidden="false" outlineLevel="0" max="8" min="8" style="8" width="10"/>
    <col collapsed="false" customWidth="true" hidden="false" outlineLevel="0" max="9" min="9" style="8" width="40"/>
  </cols>
  <sheetData>
    <row r="1" customFormat="false" ht="15" hidden="false" customHeight="true" outlineLevel="0" collapsed="false">
      <c r="A1" s="8" t="s">
        <v>836</v>
      </c>
      <c r="B1" s="8" t="s">
        <v>203</v>
      </c>
      <c r="C1" s="8" t="s">
        <v>837</v>
      </c>
      <c r="J1" s="13" t="s">
        <v>838</v>
      </c>
    </row>
    <row r="2" customFormat="false" ht="68.25" hidden="false" customHeight="true" outlineLevel="0" collapsed="false">
      <c r="A2" s="10" t="s">
        <v>589</v>
      </c>
      <c r="B2" s="4" t="str">
        <f aca="false">VLOOKUP($B$1,'PARASTATAL Questions'!$A:$J,3,0)&amp;""</f>
        <v>Decentralised Participatory Governance</v>
      </c>
    </row>
    <row r="3" customFormat="false" ht="15" hidden="false" customHeight="true" outlineLevel="0" collapsed="false">
      <c r="A3" s="10" t="s">
        <v>622</v>
      </c>
      <c r="B3" s="4" t="str">
        <f aca="false">VLOOKUP($B$1,'PARASTATAL Questions'!$A:$J,2,0)&amp;""</f>
        <v>DPG-2b</v>
      </c>
    </row>
    <row r="4" customFormat="false" ht="15" hidden="false" customHeight="true" outlineLevel="0" collapsed="false">
      <c r="A4" s="10" t="s">
        <v>590</v>
      </c>
      <c r="B4" s="4" t="str">
        <f aca="false">VLOOKUP($B$1,'PARASTATAL Questions'!$A:$J,4,0)&amp;""</f>
        <v>SQ</v>
      </c>
    </row>
    <row r="5" customFormat="false" ht="113.25" hidden="false" customHeight="true" outlineLevel="0" collapsed="false">
      <c r="A5" s="10" t="s">
        <v>0</v>
      </c>
      <c r="B5" s="4" t="str">
        <f aca="false">VLOOKUP($B$1,'PARASTATAL Questions'!$A:$J,5,0)&amp;""</f>
        <v>Is the parastatal mandated to submit its plans, budgets or reports to the ULG/council?</v>
      </c>
    </row>
    <row r="6" customFormat="false" ht="15" hidden="false" customHeight="true" outlineLevel="0" collapsed="false">
      <c r="A6" s="10" t="s">
        <v>592</v>
      </c>
      <c r="B6" s="4" t="n">
        <f aca="false">VLOOKUP($B$1,'PARASTATAL Questions'!$A:$J,6,0)</f>
        <v>5</v>
      </c>
    </row>
    <row r="7" customFormat="false" ht="15" hidden="false" customHeight="true" outlineLevel="0" collapsed="false">
      <c r="A7" s="10" t="s">
        <v>591</v>
      </c>
      <c r="B7" s="4" t="str">
        <f aca="false">VLOOKUP($B$1,'PARASTATAL Questions'!$A:$J,7,0)&amp;""</f>
        <v>Law/Policy</v>
      </c>
    </row>
    <row r="8" customFormat="false" ht="45.75" hidden="false" customHeight="true" outlineLevel="0" collapsed="false">
      <c r="A8" s="10" t="s">
        <v>623</v>
      </c>
      <c r="B8" s="4" t="str">
        <f aca="false">VLOOKUP($B$1,'PARASTATAL Questions'!$A:$J,8,0)&amp;""</f>
        <v>Common — all parastatal types.</v>
      </c>
    </row>
    <row r="9" customFormat="false" ht="1053" hidden="false" customHeight="true" outlineLevel="0" collapsed="false">
      <c r="A9" s="10" t="s">
        <v>624</v>
      </c>
      <c r="B9" s="4" t="str">
        <f aca="false">VLOOKUP($B$1,'PARASTATAL Questions'!$A:$J,9,0)&amp;""</f>
        <v>Review the relevant Parastatal Act and Municipal Act for provisions requiring the parastatal to submit or table its plans, budgets and reports before the ULG/council. The requirement may be provided through a general provision covering these documents or through specific provisions for each.Award 1.67 points each where:1. plans are required to be submitted/tabled;2. budgets are required to be submitted/tabled; and3. annual/performance reports are required to be submitted/tabled.Score 0 for each component where no such requirement exists. Where all three are provided for, award the full score of 5.Record the relevant provision and the documents covered in the evidence column. Submission only to the State Government or another authority should not be counted as submission to the ULG/council.</v>
      </c>
    </row>
    <row r="10" customFormat="false" ht="135.75" hidden="false" customHeight="true" outlineLevel="0" collapsed="false">
      <c r="A10" s="10" t="s">
        <v>625</v>
      </c>
      <c r="B10" s="4" t="str">
        <f aca="false">VLOOKUP($B$1,'PARASTATAL Questions'!$A:$J,10,0)&amp;""</f>
        <v>Plan/Budget preparation/Annual report preparation clause of the enabling Act of the relevant parastatal</v>
      </c>
    </row>
    <row r="11" customFormat="false" ht="15" hidden="false" customHeight="true" outlineLevel="0" collapsed="false">
      <c r="B11" s="14" t="s">
        <v>839</v>
      </c>
      <c r="I11" s="14" t="s">
        <v>840</v>
      </c>
      <c r="J11" s="14" t="s">
        <v>841</v>
      </c>
      <c r="L11" s="8" t="s">
        <v>842</v>
      </c>
    </row>
    <row r="12" customFormat="false" ht="51.75" hidden="false" customHeight="true" outlineLevel="0" collapsed="false">
      <c r="A12" s="1" t="s">
        <v>612</v>
      </c>
      <c r="B12" s="1" t="s">
        <v>843</v>
      </c>
      <c r="C12" s="1" t="s">
        <v>844</v>
      </c>
      <c r="D12" s="1" t="s">
        <v>845</v>
      </c>
      <c r="E12" s="1" t="s">
        <v>846</v>
      </c>
      <c r="F12" s="1" t="s">
        <v>847</v>
      </c>
      <c r="G12" s="1" t="s">
        <v>848</v>
      </c>
      <c r="H12" s="1" t="s">
        <v>14</v>
      </c>
      <c r="I12" s="1" t="s">
        <v>849</v>
      </c>
      <c r="J12" s="1" t="s">
        <v>850</v>
      </c>
      <c r="K12" s="1" t="s">
        <v>851</v>
      </c>
      <c r="L12" s="8" t="s">
        <v>852</v>
      </c>
    </row>
    <row r="13" customFormat="false" ht="303" hidden="false" customHeight="true" outlineLevel="0" collapsed="false">
      <c r="A13" s="8" t="s">
        <v>19</v>
      </c>
      <c r="B13" s="8" t="s">
        <v>853</v>
      </c>
      <c r="C13" s="8" t="s">
        <v>23</v>
      </c>
      <c r="D13" s="8" t="s">
        <v>1042</v>
      </c>
      <c r="E13" s="8" t="s">
        <v>1043</v>
      </c>
      <c r="F13" s="8" t="s">
        <v>1044</v>
      </c>
      <c r="G13" s="8" t="s">
        <v>1045</v>
      </c>
      <c r="H13" s="8" t="s">
        <v>24</v>
      </c>
      <c r="I13" s="15" t="n">
        <v>0</v>
      </c>
      <c r="J13" s="8" t="n">
        <f aca="false">IF(COUNTIFS('Scores (start here)'!$A:$A,$B$1,'Scores (start here)'!$B:$B,$A13,'Scores (start here)'!$F:$F,"&gt;=0")&gt;0,SUMIFS('Scores (start here)'!$F:$F,'Scores (start here)'!$A:$A,$B$1,'Scores (start here)'!$B:$B,$A13),L13)</f>
        <v>0</v>
      </c>
      <c r="K13" s="12" t="s">
        <v>1046</v>
      </c>
      <c r="L13" s="8" t="n">
        <f aca="false">IF($B13="NO","NA",IF(I13="","",MIN(I13,$B$6)))</f>
        <v>0</v>
      </c>
    </row>
    <row r="14" customFormat="false" ht="213.75" hidden="false" customHeight="true" outlineLevel="0" collapsed="false">
      <c r="A14" s="8" t="s">
        <v>28</v>
      </c>
      <c r="B14" s="8" t="s">
        <v>853</v>
      </c>
      <c r="C14" s="8" t="s">
        <v>159</v>
      </c>
      <c r="D14" s="8" t="s">
        <v>1047</v>
      </c>
      <c r="E14" s="8" t="s">
        <v>1048</v>
      </c>
      <c r="F14" s="8" t="s">
        <v>1049</v>
      </c>
      <c r="G14" s="8" t="s">
        <v>1050</v>
      </c>
      <c r="H14" s="8" t="s">
        <v>160</v>
      </c>
      <c r="I14" s="15"/>
      <c r="J14" s="8" t="str">
        <f aca="false">IF(COUNTIFS('Scores (start here)'!$A:$A,$B$1,'Scores (start here)'!$B:$B,$A14,'Scores (start here)'!$F:$F,"&gt;=0")&gt;0,SUMIFS('Scores (start here)'!$F:$F,'Scores (start here)'!$A:$A,$B$1,'Scores (start here)'!$B:$B,$A14),L14)</f>
        <v/>
      </c>
      <c r="K14" s="12" t="s">
        <v>1051</v>
      </c>
      <c r="L14" s="8" t="str">
        <f aca="false">IF($B14="NO","NA",IF(I14="","",MIN(I14,$B$6)))</f>
        <v/>
      </c>
    </row>
    <row r="15" customFormat="false" ht="292.5" hidden="false" customHeight="true" outlineLevel="0" collapsed="false">
      <c r="A15" s="8" t="s">
        <v>34</v>
      </c>
      <c r="B15" s="8" t="s">
        <v>853</v>
      </c>
      <c r="C15" s="8" t="s">
        <v>36</v>
      </c>
      <c r="D15" s="8" t="s">
        <v>1052</v>
      </c>
      <c r="E15" s="8" t="s">
        <v>1053</v>
      </c>
      <c r="F15" s="8" t="s">
        <v>1054</v>
      </c>
      <c r="G15" s="8" t="s">
        <v>867</v>
      </c>
      <c r="H15" s="8" t="s">
        <v>37</v>
      </c>
      <c r="I15" s="15" t="n">
        <v>0</v>
      </c>
      <c r="J15" s="8" t="n">
        <f aca="false">IF(COUNTIFS('Scores (start here)'!$A:$A,$B$1,'Scores (start here)'!$B:$B,$A15,'Scores (start here)'!$F:$F,"&gt;=0")&gt;0,SUMIFS('Scores (start here)'!$F:$F,'Scores (start here)'!$A:$A,$B$1,'Scores (start here)'!$B:$B,$A15),L15)</f>
        <v>0</v>
      </c>
      <c r="K15" s="12" t="s">
        <v>1055</v>
      </c>
      <c r="L15" s="8" t="n">
        <f aca="false">IF($B15="NO","NA",IF(I15="","",MIN(I15,$B$6)))</f>
        <v>0</v>
      </c>
    </row>
    <row r="16" customFormat="false" ht="292.5" hidden="false" customHeight="true" outlineLevel="0" collapsed="false">
      <c r="A16" s="8" t="s">
        <v>40</v>
      </c>
      <c r="B16" s="8" t="s">
        <v>853</v>
      </c>
      <c r="C16" s="8" t="s">
        <v>42</v>
      </c>
      <c r="D16" s="8" t="s">
        <v>859</v>
      </c>
      <c r="E16" s="8" t="s">
        <v>1056</v>
      </c>
      <c r="F16" s="8" t="s">
        <v>1057</v>
      </c>
      <c r="G16" s="8" t="s">
        <v>916</v>
      </c>
      <c r="H16" s="8" t="s">
        <v>31</v>
      </c>
      <c r="I16" s="15" t="n">
        <v>0</v>
      </c>
      <c r="J16" s="8" t="n">
        <f aca="false">IF(COUNTIFS('Scores (start here)'!$A:$A,$B$1,'Scores (start here)'!$B:$B,$A16,'Scores (start here)'!$F:$F,"&gt;=0")&gt;0,SUMIFS('Scores (start here)'!$F:$F,'Scores (start here)'!$A:$A,$B$1,'Scores (start here)'!$B:$B,$A16),L16)</f>
        <v>0</v>
      </c>
      <c r="K16" s="12" t="s">
        <v>1058</v>
      </c>
      <c r="L16" s="8" t="n">
        <f aca="false">IF($B16="NO","NA",IF(I16="","",MIN(I16,$B$6)))</f>
        <v>0</v>
      </c>
    </row>
    <row r="17" customFormat="false" ht="15" hidden="false" customHeight="true" outlineLevel="0" collapsed="false">
      <c r="A17" s="8" t="s">
        <v>45</v>
      </c>
      <c r="B17" s="8" t="s">
        <v>853</v>
      </c>
      <c r="C17" s="8" t="s">
        <v>1059</v>
      </c>
      <c r="D17" s="8" t="s">
        <v>1060</v>
      </c>
      <c r="E17" s="8" t="s">
        <v>1061</v>
      </c>
      <c r="F17" s="8" t="s">
        <v>1062</v>
      </c>
      <c r="G17" s="8" t="s">
        <v>1063</v>
      </c>
      <c r="H17" s="8" t="s">
        <v>1064</v>
      </c>
      <c r="I17" s="15" t="n">
        <v>0</v>
      </c>
      <c r="J17" s="8" t="n">
        <f aca="false">IF(COUNTIFS('Scores (start here)'!$A:$A,$B$1,'Scores (start here)'!$B:$B,$A17,'Scores (start here)'!$F:$F,"&gt;=0")&gt;0,SUMIFS('Scores (start here)'!$F:$F,'Scores (start here)'!$A:$A,$B$1,'Scores (start here)'!$B:$B,$A17),L17)</f>
        <v>0</v>
      </c>
      <c r="K17" s="8" t="s">
        <v>1065</v>
      </c>
      <c r="L17" s="8" t="n">
        <f aca="false">IF($B17="NO","NA",IF(I17="","",MIN(I17,$B$6)))</f>
        <v>0</v>
      </c>
    </row>
    <row r="18" customFormat="false" ht="15" hidden="false" customHeight="true" outlineLevel="0" collapsed="false">
      <c r="A18" s="8" t="s">
        <v>51</v>
      </c>
      <c r="B18" s="8" t="s">
        <v>853</v>
      </c>
      <c r="C18" s="8" t="s">
        <v>218</v>
      </c>
      <c r="D18" s="8" t="s">
        <v>1066</v>
      </c>
      <c r="E18" s="8" t="s">
        <v>1067</v>
      </c>
      <c r="F18" s="8" t="s">
        <v>1068</v>
      </c>
      <c r="G18" s="8" t="s">
        <v>1069</v>
      </c>
      <c r="H18" s="8" t="s">
        <v>219</v>
      </c>
      <c r="I18" s="15"/>
      <c r="J18" s="8" t="str">
        <f aca="false">IF(COUNTIFS('Scores (start here)'!$A:$A,$B$1,'Scores (start here)'!$B:$B,$A18,'Scores (start here)'!$F:$F,"&gt;=0")&gt;0,SUMIFS('Scores (start here)'!$F:$F,'Scores (start here)'!$A:$A,$B$1,'Scores (start here)'!$B:$B,$A18),L18)</f>
        <v/>
      </c>
      <c r="K18" s="12" t="s">
        <v>1070</v>
      </c>
      <c r="L18" s="8" t="str">
        <f aca="false">IF($B18="NO","NA",IF(I18="","",MIN(I18,$B$6)))</f>
        <v/>
      </c>
    </row>
    <row r="19" customFormat="false" ht="15" hidden="false" customHeight="true" outlineLevel="0" collapsed="false">
      <c r="A19" s="8" t="s">
        <v>54</v>
      </c>
      <c r="B19" s="8" t="s">
        <v>853</v>
      </c>
      <c r="I19" s="15"/>
      <c r="J19" s="8" t="str">
        <f aca="false">IF(COUNTIFS('Scores (start here)'!$A:$A,$B$1,'Scores (start here)'!$B:$B,$A19,'Scores (start here)'!$F:$F,"&gt;=0")&gt;0,SUMIFS('Scores (start here)'!$F:$F,'Scores (start here)'!$A:$A,$B$1,'Scores (start here)'!$B:$B,$A19),L19)</f>
        <v/>
      </c>
      <c r="K19" s="8" t="s">
        <v>1071</v>
      </c>
      <c r="L19" s="8" t="str">
        <f aca="false">IF($B19="NO","NA",IF(I19="","",MIN(I19,$B$6)))</f>
        <v/>
      </c>
    </row>
  </sheetData>
  <dataValidations count="1">
    <dataValidation allowBlank="true" error="See the instruction above the 'Score' column." errorStyle="stop" operator="between" showDropDown="false" showErrorMessage="true" showInputMessage="false" sqref="I13:I19" type="decimal">
      <formula1>0</formula1>
      <formula2>5</formula2>
    </dataValidation>
  </dataValidations>
  <hyperlinks>
    <hyperlink ref="J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8" width="28"/>
    <col collapsed="false" customWidth="true" hidden="false" outlineLevel="0" max="2" min="2" style="8" width="10"/>
    <col collapsed="false" customWidth="true" hidden="false" outlineLevel="0" max="3" min="3" style="8" width="30"/>
    <col collapsed="false" customWidth="true" hidden="false" outlineLevel="0" max="8" min="8" style="8" width="10"/>
    <col collapsed="false" customWidth="true" hidden="false" outlineLevel="0" max="9" min="9" style="8" width="40"/>
  </cols>
  <sheetData>
    <row r="1" customFormat="false" ht="15" hidden="false" customHeight="true" outlineLevel="0" collapsed="false">
      <c r="A1" s="8" t="s">
        <v>836</v>
      </c>
      <c r="B1" s="8" t="s">
        <v>223</v>
      </c>
      <c r="C1" s="8" t="s">
        <v>837</v>
      </c>
      <c r="J1" s="13" t="s">
        <v>838</v>
      </c>
    </row>
    <row r="2" customFormat="false" ht="68.25" hidden="false" customHeight="true" outlineLevel="0" collapsed="false">
      <c r="A2" s="10" t="s">
        <v>589</v>
      </c>
      <c r="B2" s="4" t="str">
        <f aca="false">VLOOKUP($B$1,'PARASTATAL Questions'!$A:$J,3,0)&amp;""</f>
        <v>Decentralised Participatory Governance</v>
      </c>
    </row>
    <row r="3" customFormat="false" ht="15" hidden="false" customHeight="true" outlineLevel="0" collapsed="false">
      <c r="A3" s="10" t="s">
        <v>622</v>
      </c>
      <c r="B3" s="4" t="str">
        <f aca="false">VLOOKUP($B$1,'PARASTATAL Questions'!$A:$J,2,0)&amp;""</f>
        <v>DPG 4</v>
      </c>
    </row>
    <row r="4" customFormat="false" ht="15" hidden="false" customHeight="true" outlineLevel="0" collapsed="false">
      <c r="A4" s="10" t="s">
        <v>590</v>
      </c>
      <c r="B4" s="4" t="str">
        <f aca="false">VLOOKUP($B$1,'PARASTATAL Questions'!$A:$J,4,0)&amp;""</f>
        <v>MQ</v>
      </c>
    </row>
    <row r="5" customFormat="false" ht="79.5" hidden="false" customHeight="true" outlineLevel="0" collapsed="false">
      <c r="A5" s="10" t="s">
        <v>0</v>
      </c>
      <c r="B5" s="4" t="str">
        <f aca="false">VLOOKUP($B$1,'PARASTATAL Questions'!$A:$J,5,0)&amp;""</f>
        <v>Does the parastatal maintain an active and functional website?</v>
      </c>
    </row>
    <row r="6" customFormat="false" ht="15" hidden="false" customHeight="true" outlineLevel="0" collapsed="false">
      <c r="A6" s="10" t="s">
        <v>592</v>
      </c>
      <c r="B6" s="4" t="n">
        <f aca="false">VLOOKUP($B$1,'PARASTATAL Questions'!$A:$J,6,0)</f>
        <v>10</v>
      </c>
    </row>
    <row r="7" customFormat="false" ht="23.25" hidden="false" customHeight="true" outlineLevel="0" collapsed="false">
      <c r="A7" s="10" t="s">
        <v>591</v>
      </c>
      <c r="B7" s="4" t="str">
        <f aca="false">VLOOKUP($B$1,'PARASTATAL Questions'!$A:$J,7,0)&amp;""</f>
        <v>Implementation</v>
      </c>
    </row>
    <row r="8" customFormat="false" ht="15" hidden="false" customHeight="true" outlineLevel="0" collapsed="false">
      <c r="A8" s="10" t="s">
        <v>623</v>
      </c>
      <c r="B8" s="4" t="str">
        <f aca="false">VLOOKUP($B$1,'PARASTATAL Questions'!$A:$J,8,0)&amp;""</f>
        <v>Common.</v>
      </c>
    </row>
    <row r="9" customFormat="false" ht="572.25" hidden="false" customHeight="true" outlineLevel="0" collapsed="false">
      <c r="A9" s="10" t="s">
        <v>624</v>
      </c>
      <c r="B9" s="4" t="str">
        <f aca="false">VLOOKUP($B$1,'PARASTATAL Questions'!$A:$J,9,0)&amp;""</f>
        <v>Check the official website of the relevant parastatal.Score 10 if an official website of the relevant parastatal exists, opens without error, and shows content updated within the last 12 months (verifiable "last updated" date or dated content such as a recent notice/circular). Score 0 if no official website is found. This is a point-in-time check — record the date of verification and an archived screenshot/link as evidence, since website status can change.</v>
      </c>
    </row>
    <row r="10" customFormat="false" ht="135.75" hidden="false" customHeight="true" outlineLevel="0" collapsed="false">
      <c r="A10" s="10" t="s">
        <v>625</v>
      </c>
      <c r="B10" s="4" t="str">
        <f aca="false">VLOOKUP($B$1,'PARASTATAL Questions'!$A:$J,10,0)&amp;""</f>
        <v>Live URL, screenshot/web-archive capture, date of check of the website of the relevant parastatal</v>
      </c>
    </row>
    <row r="11" customFormat="false" ht="15" hidden="false" customHeight="true" outlineLevel="0" collapsed="false">
      <c r="B11" s="14" t="s">
        <v>839</v>
      </c>
      <c r="I11" s="14" t="s">
        <v>1072</v>
      </c>
      <c r="J11" s="14" t="s">
        <v>841</v>
      </c>
      <c r="L11" s="8" t="s">
        <v>842</v>
      </c>
    </row>
    <row r="12" customFormat="false" ht="51.75" hidden="false" customHeight="true" outlineLevel="0" collapsed="false">
      <c r="A12" s="1" t="s">
        <v>612</v>
      </c>
      <c r="B12" s="1" t="s">
        <v>843</v>
      </c>
      <c r="C12" s="1" t="s">
        <v>844</v>
      </c>
      <c r="D12" s="1" t="s">
        <v>845</v>
      </c>
      <c r="E12" s="1" t="s">
        <v>846</v>
      </c>
      <c r="F12" s="1" t="s">
        <v>847</v>
      </c>
      <c r="G12" s="1" t="s">
        <v>848</v>
      </c>
      <c r="H12" s="1" t="s">
        <v>14</v>
      </c>
      <c r="I12" s="1" t="s">
        <v>849</v>
      </c>
      <c r="J12" s="1" t="s">
        <v>850</v>
      </c>
      <c r="K12" s="1" t="s">
        <v>851</v>
      </c>
      <c r="L12" s="8" t="s">
        <v>852</v>
      </c>
    </row>
    <row r="13" customFormat="false" ht="191.25" hidden="false" customHeight="true" outlineLevel="0" collapsed="false">
      <c r="A13" s="8" t="s">
        <v>19</v>
      </c>
      <c r="B13" s="8" t="s">
        <v>853</v>
      </c>
      <c r="C13" s="8" t="s">
        <v>225</v>
      </c>
      <c r="D13" s="8" t="s">
        <v>1073</v>
      </c>
      <c r="E13" s="8" t="s">
        <v>1074</v>
      </c>
      <c r="F13" s="8" t="s">
        <v>1075</v>
      </c>
      <c r="H13" s="8" t="s">
        <v>226</v>
      </c>
      <c r="I13" s="15" t="n">
        <v>10</v>
      </c>
      <c r="J13" s="8" t="n">
        <f aca="false">IF(COUNTIFS('Scores (start here)'!$A:$A,$B$1,'Scores (start here)'!$B:$B,$A13,'Scores (start here)'!$F:$F,"&gt;=0")&gt;0,SUMIFS('Scores (start here)'!$F:$F,'Scores (start here)'!$A:$A,$B$1,'Scores (start here)'!$B:$B,$A13),L13)</f>
        <v>10</v>
      </c>
      <c r="K13" s="12" t="s">
        <v>1076</v>
      </c>
      <c r="L13" s="8" t="n">
        <f aca="false">IF($B13="NO","NA",IF(I13="","",MIN(I13,$B$6)))</f>
        <v>10</v>
      </c>
    </row>
    <row r="14" customFormat="false" ht="30.75" hidden="false" customHeight="true" outlineLevel="0" collapsed="false">
      <c r="A14" s="8" t="s">
        <v>28</v>
      </c>
      <c r="B14" s="8" t="s">
        <v>853</v>
      </c>
      <c r="C14" s="8" t="s">
        <v>230</v>
      </c>
      <c r="D14" s="8" t="s">
        <v>1077</v>
      </c>
      <c r="E14" s="8" t="s">
        <v>1078</v>
      </c>
      <c r="F14" s="8" t="s">
        <v>1079</v>
      </c>
      <c r="H14" s="8" t="s">
        <v>231</v>
      </c>
      <c r="I14" s="15" t="n">
        <v>10</v>
      </c>
      <c r="J14" s="8" t="n">
        <f aca="false">IF(COUNTIFS('Scores (start here)'!$A:$A,$B$1,'Scores (start here)'!$B:$B,$A14,'Scores (start here)'!$F:$F,"&gt;=0")&gt;0,SUMIFS('Scores (start here)'!$F:$F,'Scores (start here)'!$A:$A,$B$1,'Scores (start here)'!$B:$B,$A14),L14)</f>
        <v>10</v>
      </c>
      <c r="K14" s="12" t="s">
        <v>1080</v>
      </c>
      <c r="L14" s="8" t="n">
        <f aca="false">IF($B14="NO","NA",IF(I14="","",MIN(I14,$B$6)))</f>
        <v>10</v>
      </c>
    </row>
    <row r="15" customFormat="false" ht="15" hidden="false" customHeight="true" outlineLevel="0" collapsed="false">
      <c r="A15" s="8" t="s">
        <v>34</v>
      </c>
      <c r="B15" s="8" t="s">
        <v>853</v>
      </c>
      <c r="I15" s="15"/>
      <c r="J15" s="8" t="str">
        <f aca="false">IF(COUNTIFS('Scores (start here)'!$A:$A,$B$1,'Scores (start here)'!$B:$B,$A15,'Scores (start here)'!$F:$F,"&gt;=0")&gt;0,SUMIFS('Scores (start here)'!$F:$F,'Scores (start here)'!$A:$A,$B$1,'Scores (start here)'!$B:$B,$A15),L15)</f>
        <v/>
      </c>
      <c r="K15" s="8" t="s">
        <v>1081</v>
      </c>
      <c r="L15" s="8" t="str">
        <f aca="false">IF($B15="NO","NA",IF(I15="","",MIN(I15,$B$6)))</f>
        <v/>
      </c>
    </row>
    <row r="16" customFormat="false" ht="15" hidden="false" customHeight="true" outlineLevel="0" collapsed="false">
      <c r="A16" s="8" t="s">
        <v>40</v>
      </c>
      <c r="B16" s="8" t="s">
        <v>853</v>
      </c>
      <c r="C16" s="8" t="s">
        <v>188</v>
      </c>
      <c r="D16" s="8" t="s">
        <v>1082</v>
      </c>
      <c r="E16" s="8" t="s">
        <v>1083</v>
      </c>
      <c r="F16" s="8" t="s">
        <v>1084</v>
      </c>
      <c r="G16" s="8" t="s">
        <v>1085</v>
      </c>
      <c r="H16" s="8" t="s">
        <v>189</v>
      </c>
      <c r="I16" s="15"/>
      <c r="J16" s="8" t="str">
        <f aca="false">IF(COUNTIFS('Scores (start here)'!$A:$A,$B$1,'Scores (start here)'!$B:$B,$A16,'Scores (start here)'!$F:$F,"&gt;=0")&gt;0,SUMIFS('Scores (start here)'!$F:$F,'Scores (start here)'!$A:$A,$B$1,'Scores (start here)'!$B:$B,$A16),L16)</f>
        <v/>
      </c>
      <c r="K16" s="12" t="s">
        <v>1086</v>
      </c>
      <c r="L16" s="8" t="str">
        <f aca="false">IF($B16="NO","NA",IF(I16="","",MIN(I16,$B$6)))</f>
        <v/>
      </c>
    </row>
    <row r="17" customFormat="false" ht="23.25" hidden="false" customHeight="true" outlineLevel="0" collapsed="false">
      <c r="A17" s="8" t="s">
        <v>45</v>
      </c>
      <c r="B17" s="8" t="s">
        <v>853</v>
      </c>
      <c r="C17" s="8" t="s">
        <v>239</v>
      </c>
      <c r="D17" s="8" t="s">
        <v>1087</v>
      </c>
      <c r="E17" s="8" t="s">
        <v>1088</v>
      </c>
      <c r="F17" s="8" t="s">
        <v>1089</v>
      </c>
      <c r="H17" s="8" t="s">
        <v>240</v>
      </c>
      <c r="I17" s="15" t="n">
        <v>10</v>
      </c>
      <c r="J17" s="8" t="n">
        <f aca="false">IF(COUNTIFS('Scores (start here)'!$A:$A,$B$1,'Scores (start here)'!$B:$B,$A17,'Scores (start here)'!$F:$F,"&gt;=0")&gt;0,SUMIFS('Scores (start here)'!$F:$F,'Scores (start here)'!$A:$A,$B$1,'Scores (start here)'!$B:$B,$A17),L17)</f>
        <v>10</v>
      </c>
      <c r="K17" s="12" t="s">
        <v>1090</v>
      </c>
      <c r="L17" s="8" t="n">
        <f aca="false">IF($B17="NO","NA",IF(I17="","",MIN(I17,$B$6)))</f>
        <v>10</v>
      </c>
    </row>
    <row r="18" customFormat="false" ht="15" hidden="false" customHeight="true" outlineLevel="0" collapsed="false">
      <c r="A18" s="8" t="s">
        <v>51</v>
      </c>
      <c r="B18" s="8" t="s">
        <v>853</v>
      </c>
      <c r="C18" s="8" t="s">
        <v>244</v>
      </c>
      <c r="E18" s="8" t="s">
        <v>1091</v>
      </c>
      <c r="F18" s="8" t="s">
        <v>1092</v>
      </c>
      <c r="G18" s="8" t="s">
        <v>1093</v>
      </c>
      <c r="H18" s="8" t="s">
        <v>245</v>
      </c>
      <c r="I18" s="15"/>
      <c r="J18" s="8" t="str">
        <f aca="false">IF(COUNTIFS('Scores (start here)'!$A:$A,$B$1,'Scores (start here)'!$B:$B,$A18,'Scores (start here)'!$F:$F,"&gt;=0")&gt;0,SUMIFS('Scores (start here)'!$F:$F,'Scores (start here)'!$A:$A,$B$1,'Scores (start here)'!$B:$B,$A18),L18)</f>
        <v/>
      </c>
      <c r="K18" s="12" t="s">
        <v>1094</v>
      </c>
      <c r="L18" s="8" t="str">
        <f aca="false">IF($B18="NO","NA",IF(I18="","",MIN(I18,$B$6)))</f>
        <v/>
      </c>
    </row>
    <row r="19" customFormat="false" ht="15" hidden="false" customHeight="true" outlineLevel="0" collapsed="false">
      <c r="A19" s="8" t="s">
        <v>54</v>
      </c>
      <c r="B19" s="8" t="s">
        <v>853</v>
      </c>
      <c r="C19" s="8" t="s">
        <v>249</v>
      </c>
      <c r="D19" s="8" t="s">
        <v>1095</v>
      </c>
      <c r="E19" s="8" t="s">
        <v>1096</v>
      </c>
      <c r="F19" s="8" t="s">
        <v>1097</v>
      </c>
      <c r="H19" s="8" t="s">
        <v>250</v>
      </c>
      <c r="I19" s="15" t="n">
        <v>10</v>
      </c>
      <c r="J19" s="8" t="n">
        <f aca="false">IF(COUNTIFS('Scores (start here)'!$A:$A,$B$1,'Scores (start here)'!$B:$B,$A19,'Scores (start here)'!$F:$F,"&gt;=0")&gt;0,SUMIFS('Scores (start here)'!$F:$F,'Scores (start here)'!$A:$A,$B$1,'Scores (start here)'!$B:$B,$A19),L19)</f>
        <v>10</v>
      </c>
      <c r="K19" s="12" t="s">
        <v>1098</v>
      </c>
      <c r="L19" s="8" t="n">
        <f aca="false">IF($B19="NO","NA",IF(I19="","",MIN(I19,$B$6)))</f>
        <v>10</v>
      </c>
    </row>
  </sheetData>
  <dataValidations count="1">
    <dataValidation allowBlank="true" error="See the instruction above the 'Score' column." errorStyle="stop" operator="between" showDropDown="false" showErrorMessage="true" showInputMessage="false" sqref="I13:I19" type="decimal">
      <formula1>0</formula1>
      <formula2>10</formula2>
    </dataValidation>
  </dataValidations>
  <hyperlinks>
    <hyperlink ref="J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8" width="28"/>
    <col collapsed="false" customWidth="true" hidden="false" outlineLevel="0" max="2" min="2" style="8" width="10"/>
    <col collapsed="false" customWidth="true" hidden="false" outlineLevel="0" max="3" min="3" style="8" width="30"/>
    <col collapsed="false" customWidth="true" hidden="false" outlineLevel="0" max="8" min="8" style="8" width="10"/>
    <col collapsed="false" customWidth="true" hidden="false" outlineLevel="0" max="9" min="9" style="8" width="40"/>
  </cols>
  <sheetData>
    <row r="1" customFormat="false" ht="15" hidden="false" customHeight="true" outlineLevel="0" collapsed="false">
      <c r="A1" s="8" t="s">
        <v>836</v>
      </c>
      <c r="B1" s="8" t="s">
        <v>253</v>
      </c>
      <c r="C1" s="8" t="s">
        <v>837</v>
      </c>
      <c r="J1" s="13" t="s">
        <v>838</v>
      </c>
    </row>
    <row r="2" customFormat="false" ht="68.25" hidden="false" customHeight="true" outlineLevel="0" collapsed="false">
      <c r="A2" s="10" t="s">
        <v>589</v>
      </c>
      <c r="B2" s="4" t="str">
        <f aca="false">VLOOKUP($B$1,'PARASTATAL Questions'!$A:$J,3,0)&amp;""</f>
        <v>Decentralised Participatory Governance</v>
      </c>
    </row>
    <row r="3" customFormat="false" ht="15" hidden="false" customHeight="true" outlineLevel="0" collapsed="false">
      <c r="A3" s="10" t="s">
        <v>622</v>
      </c>
      <c r="B3" s="4" t="str">
        <f aca="false">VLOOKUP($B$1,'PARASTATAL Questions'!$A:$J,2,0)&amp;""</f>
        <v>DPG5a</v>
      </c>
    </row>
    <row r="4" customFormat="false" ht="15" hidden="false" customHeight="true" outlineLevel="0" collapsed="false">
      <c r="A4" s="10" t="s">
        <v>590</v>
      </c>
      <c r="B4" s="4" t="str">
        <f aca="false">VLOOKUP($B$1,'PARASTATAL Questions'!$A:$J,4,0)&amp;""</f>
        <v>SQ</v>
      </c>
    </row>
    <row r="5" customFormat="false" ht="23.25" hidden="false" customHeight="true" outlineLevel="0" collapsed="false">
      <c r="A5" s="10" t="s">
        <v>0</v>
      </c>
      <c r="B5" s="4" t="str">
        <f aca="false">VLOOKUP($B$1,'PARASTATAL Questions'!$A:$J,5,0)&amp;""</f>
        <v>Annual budget</v>
      </c>
    </row>
    <row r="6" customFormat="false" ht="15" hidden="false" customHeight="true" outlineLevel="0" collapsed="false">
      <c r="A6" s="10" t="s">
        <v>592</v>
      </c>
      <c r="B6" s="4" t="n">
        <f aca="false">VLOOKUP($B$1,'PARASTATAL Questions'!$A:$J,6,0)</f>
        <v>1</v>
      </c>
    </row>
    <row r="7" customFormat="false" ht="23.25" hidden="false" customHeight="true" outlineLevel="0" collapsed="false">
      <c r="A7" s="10" t="s">
        <v>591</v>
      </c>
      <c r="B7" s="4" t="str">
        <f aca="false">VLOOKUP($B$1,'PARASTATAL Questions'!$A:$J,7,0)&amp;""</f>
        <v>Implementation</v>
      </c>
    </row>
    <row r="8" customFormat="false" ht="15" hidden="false" customHeight="true" outlineLevel="0" collapsed="false">
      <c r="A8" s="10" t="s">
        <v>623</v>
      </c>
      <c r="B8" s="4" t="str">
        <f aca="false">VLOOKUP($B$1,'PARASTATAL Questions'!$A:$J,8,0)&amp;""</f>
        <v>Common.</v>
      </c>
    </row>
    <row r="9" customFormat="false" ht="829.5" hidden="false" customHeight="true" outlineLevel="0" collapsed="false">
      <c r="A9" s="10" t="s">
        <v>624</v>
      </c>
      <c r="B9" s="4" t="str">
        <f aca="false">VLOOKUP($B$1,'PARASTATAL Questions'!$A:$J,9,0)&amp;""</f>
        <v>Availability and currency — 0.50.5: Budget for the current FY or immediately preceding FY is publicly available online0: Budget cannot be found/accessed online or is older than the permitted period.Record the FY/year/date of the latest information found in a separate evidence field even where the score is 0. Minimum format/accessibility — 0.50.5: Budget data available in a structured, machine-readable/reusable format (XLS/XLSX, CSV, ODS, structured HTML table, downloadable structured dataset)0: Budget data is available but does not meet that standard (Scanned PDF/image; PDF containing only tables that cannot be readily extracted/reused)</v>
      </c>
    </row>
    <row r="10" customFormat="false" ht="102" hidden="false" customHeight="true" outlineLevel="0" collapsed="false">
      <c r="A10" s="10" t="s">
        <v>625</v>
      </c>
      <c r="B10" s="4" t="str">
        <f aca="false">VLOOKUP($B$1,'PARASTATAL Questions'!$A:$J,10,0)&amp;""</f>
        <v>Website screenshots/archived URLs with date of access, for each document type</v>
      </c>
    </row>
    <row r="11" customFormat="false" ht="15" hidden="false" customHeight="true" outlineLevel="0" collapsed="false">
      <c r="B11" s="14" t="s">
        <v>839</v>
      </c>
      <c r="I11" s="14" t="s">
        <v>1099</v>
      </c>
      <c r="J11" s="14" t="s">
        <v>841</v>
      </c>
      <c r="L11" s="8" t="s">
        <v>842</v>
      </c>
    </row>
    <row r="12" customFormat="false" ht="51.75" hidden="false" customHeight="true" outlineLevel="0" collapsed="false">
      <c r="A12" s="1" t="s">
        <v>612</v>
      </c>
      <c r="B12" s="1" t="s">
        <v>843</v>
      </c>
      <c r="C12" s="1" t="s">
        <v>844</v>
      </c>
      <c r="D12" s="1" t="s">
        <v>845</v>
      </c>
      <c r="E12" s="1" t="s">
        <v>846</v>
      </c>
      <c r="F12" s="1" t="s">
        <v>847</v>
      </c>
      <c r="G12" s="1" t="s">
        <v>848</v>
      </c>
      <c r="H12" s="1" t="s">
        <v>14</v>
      </c>
      <c r="I12" s="1" t="s">
        <v>849</v>
      </c>
      <c r="J12" s="1" t="s">
        <v>850</v>
      </c>
      <c r="K12" s="1" t="s">
        <v>851</v>
      </c>
      <c r="L12" s="8" t="s">
        <v>852</v>
      </c>
    </row>
    <row r="13" customFormat="false" ht="15" hidden="false" customHeight="true" outlineLevel="0" collapsed="false">
      <c r="A13" s="8" t="s">
        <v>19</v>
      </c>
      <c r="B13" s="8" t="s">
        <v>853</v>
      </c>
      <c r="I13" s="15"/>
      <c r="J13" s="8" t="str">
        <f aca="false">IF(COUNTIFS('Scores (start here)'!$A:$A,$B$1,'Scores (start here)'!$B:$B,$A13,'Scores (start here)'!$F:$F,"&gt;=0")&gt;0,SUMIFS('Scores (start here)'!$F:$F,'Scores (start here)'!$A:$A,$B$1,'Scores (start here)'!$B:$B,$A13),L13)</f>
        <v/>
      </c>
      <c r="K13" s="8" t="s">
        <v>1100</v>
      </c>
      <c r="L13" s="8" t="str">
        <f aca="false">IF($B13="NO","NA",IF(I13="","",MIN(I13,$B$6)))</f>
        <v/>
      </c>
    </row>
    <row r="14" customFormat="false" ht="15" hidden="false" customHeight="true" outlineLevel="0" collapsed="false">
      <c r="A14" s="8" t="s">
        <v>28</v>
      </c>
      <c r="B14" s="8" t="s">
        <v>853</v>
      </c>
      <c r="I14" s="15"/>
      <c r="J14" s="8" t="str">
        <f aca="false">IF(COUNTIFS('Scores (start here)'!$A:$A,$B$1,'Scores (start here)'!$B:$B,$A14,'Scores (start here)'!$F:$F,"&gt;=0")&gt;0,SUMIFS('Scores (start here)'!$F:$F,'Scores (start here)'!$A:$A,$B$1,'Scores (start here)'!$B:$B,$A14),L14)</f>
        <v/>
      </c>
      <c r="K14" s="8" t="s">
        <v>1101</v>
      </c>
      <c r="L14" s="8" t="str">
        <f aca="false">IF($B14="NO","NA",IF(I14="","",MIN(I14,$B$6)))</f>
        <v/>
      </c>
    </row>
    <row r="15" customFormat="false" ht="15" hidden="false" customHeight="true" outlineLevel="0" collapsed="false">
      <c r="A15" s="8" t="s">
        <v>34</v>
      </c>
      <c r="B15" s="8" t="s">
        <v>853</v>
      </c>
      <c r="I15" s="15"/>
      <c r="J15" s="8" t="str">
        <f aca="false">IF(COUNTIFS('Scores (start here)'!$A:$A,$B$1,'Scores (start here)'!$B:$B,$A15,'Scores (start here)'!$F:$F,"&gt;=0")&gt;0,SUMIFS('Scores (start here)'!$F:$F,'Scores (start here)'!$A:$A,$B$1,'Scores (start here)'!$B:$B,$A15),L15)</f>
        <v/>
      </c>
      <c r="K15" s="8" t="s">
        <v>1102</v>
      </c>
      <c r="L15" s="8" t="str">
        <f aca="false">IF($B15="NO","NA",IF(I15="","",MIN(I15,$B$6)))</f>
        <v/>
      </c>
    </row>
    <row r="16" customFormat="false" ht="15" hidden="false" customHeight="true" outlineLevel="0" collapsed="false">
      <c r="A16" s="8" t="s">
        <v>40</v>
      </c>
      <c r="B16" s="8" t="s">
        <v>853</v>
      </c>
      <c r="I16" s="15"/>
      <c r="J16" s="8" t="str">
        <f aca="false">IF(COUNTIFS('Scores (start here)'!$A:$A,$B$1,'Scores (start here)'!$B:$B,$A16,'Scores (start here)'!$F:$F,"&gt;=0")&gt;0,SUMIFS('Scores (start here)'!$F:$F,'Scores (start here)'!$A:$A,$B$1,'Scores (start here)'!$B:$B,$A16),L16)</f>
        <v/>
      </c>
      <c r="K16" s="8" t="s">
        <v>1103</v>
      </c>
      <c r="L16" s="8" t="str">
        <f aca="false">IF($B16="NO","NA",IF(I16="","",MIN(I16,$B$6)))</f>
        <v/>
      </c>
    </row>
    <row r="17" customFormat="false" ht="15" hidden="false" customHeight="true" outlineLevel="0" collapsed="false">
      <c r="A17" s="8" t="s">
        <v>45</v>
      </c>
      <c r="B17" s="8" t="s">
        <v>853</v>
      </c>
      <c r="I17" s="15"/>
      <c r="J17" s="8" t="str">
        <f aca="false">IF(COUNTIFS('Scores (start here)'!$A:$A,$B$1,'Scores (start here)'!$B:$B,$A17,'Scores (start here)'!$F:$F,"&gt;=0")&gt;0,SUMIFS('Scores (start here)'!$F:$F,'Scores (start here)'!$A:$A,$B$1,'Scores (start here)'!$B:$B,$A17),L17)</f>
        <v/>
      </c>
      <c r="K17" s="8" t="s">
        <v>1104</v>
      </c>
      <c r="L17" s="8" t="str">
        <f aca="false">IF($B17="NO","NA",IF(I17="","",MIN(I17,$B$6)))</f>
        <v/>
      </c>
    </row>
    <row r="18" customFormat="false" ht="15" hidden="false" customHeight="true" outlineLevel="0" collapsed="false">
      <c r="A18" s="8" t="s">
        <v>51</v>
      </c>
      <c r="B18" s="8" t="s">
        <v>853</v>
      </c>
      <c r="I18" s="15"/>
      <c r="J18" s="8" t="str">
        <f aca="false">IF(COUNTIFS('Scores (start here)'!$A:$A,$B$1,'Scores (start here)'!$B:$B,$A18,'Scores (start here)'!$F:$F,"&gt;=0")&gt;0,SUMIFS('Scores (start here)'!$F:$F,'Scores (start here)'!$A:$A,$B$1,'Scores (start here)'!$B:$B,$A18),L18)</f>
        <v/>
      </c>
      <c r="K18" s="8" t="s">
        <v>1105</v>
      </c>
      <c r="L18" s="8" t="str">
        <f aca="false">IF($B18="NO","NA",IF(I18="","",MIN(I18,$B$6)))</f>
        <v/>
      </c>
    </row>
    <row r="19" customFormat="false" ht="15" hidden="false" customHeight="true" outlineLevel="0" collapsed="false">
      <c r="A19" s="8" t="s">
        <v>54</v>
      </c>
      <c r="B19" s="8" t="s">
        <v>853</v>
      </c>
      <c r="I19" s="15"/>
      <c r="J19" s="8" t="str">
        <f aca="false">IF(COUNTIFS('Scores (start here)'!$A:$A,$B$1,'Scores (start here)'!$B:$B,$A19,'Scores (start here)'!$F:$F,"&gt;=0")&gt;0,SUMIFS('Scores (start here)'!$F:$F,'Scores (start here)'!$A:$A,$B$1,'Scores (start here)'!$B:$B,$A19),L19)</f>
        <v/>
      </c>
      <c r="K19" s="8" t="s">
        <v>1106</v>
      </c>
      <c r="L19" s="8" t="str">
        <f aca="false">IF($B19="NO","NA",IF(I19="","",MIN(I19,$B$6)))</f>
        <v/>
      </c>
    </row>
  </sheetData>
  <dataValidations count="1">
    <dataValidation allowBlank="true" error="See the instruction above the 'Score' column." errorStyle="stop" operator="between" showDropDown="false" showErrorMessage="true" showInputMessage="false" sqref="I13:I19" type="decimal">
      <formula1>0</formula1>
      <formula2>1</formula2>
    </dataValidation>
  </dataValidations>
  <hyperlinks>
    <hyperlink ref="J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8" width="28"/>
    <col collapsed="false" customWidth="true" hidden="false" outlineLevel="0" max="2" min="2" style="8" width="10"/>
    <col collapsed="false" customWidth="true" hidden="false" outlineLevel="0" max="3" min="3" style="8" width="30"/>
    <col collapsed="false" customWidth="true" hidden="false" outlineLevel="0" max="8" min="8" style="8" width="10"/>
    <col collapsed="false" customWidth="true" hidden="false" outlineLevel="0" max="9" min="9" style="8" width="40"/>
  </cols>
  <sheetData>
    <row r="1" customFormat="false" ht="15" hidden="false" customHeight="true" outlineLevel="0" collapsed="false">
      <c r="A1" s="8" t="s">
        <v>836</v>
      </c>
      <c r="B1" s="8" t="s">
        <v>261</v>
      </c>
      <c r="C1" s="8" t="s">
        <v>837</v>
      </c>
      <c r="J1" s="13" t="s">
        <v>838</v>
      </c>
    </row>
    <row r="2" customFormat="false" ht="68.25" hidden="false" customHeight="true" outlineLevel="0" collapsed="false">
      <c r="A2" s="10" t="s">
        <v>589</v>
      </c>
      <c r="B2" s="4" t="str">
        <f aca="false">VLOOKUP($B$1,'PARASTATAL Questions'!$A:$J,3,0)&amp;""</f>
        <v>Decentralised Participatory Governance</v>
      </c>
    </row>
    <row r="3" customFormat="false" ht="15" hidden="false" customHeight="true" outlineLevel="0" collapsed="false">
      <c r="A3" s="10" t="s">
        <v>622</v>
      </c>
      <c r="B3" s="4" t="str">
        <f aca="false">VLOOKUP($B$1,'PARASTATAL Questions'!$A:$J,2,0)&amp;""</f>
        <v>DPG 5b</v>
      </c>
    </row>
    <row r="4" customFormat="false" ht="15" hidden="false" customHeight="true" outlineLevel="0" collapsed="false">
      <c r="A4" s="10" t="s">
        <v>590</v>
      </c>
      <c r="B4" s="4" t="str">
        <f aca="false">VLOOKUP($B$1,'PARASTATAL Questions'!$A:$J,4,0)&amp;""</f>
        <v>SQ</v>
      </c>
    </row>
    <row r="5" customFormat="false" ht="34.5" hidden="false" customHeight="true" outlineLevel="0" collapsed="false">
      <c r="A5" s="10" t="s">
        <v>0</v>
      </c>
      <c r="B5" s="4" t="str">
        <f aca="false">VLOOKUP($B$1,'PARASTATAL Questions'!$A:$J,5,0)&amp;""</f>
        <v>Audited annual accounts</v>
      </c>
    </row>
    <row r="6" customFormat="false" ht="15" hidden="false" customHeight="true" outlineLevel="0" collapsed="false">
      <c r="A6" s="10" t="s">
        <v>592</v>
      </c>
      <c r="B6" s="4" t="n">
        <f aca="false">VLOOKUP($B$1,'PARASTATAL Questions'!$A:$J,6,0)</f>
        <v>1</v>
      </c>
    </row>
    <row r="7" customFormat="false" ht="23.25" hidden="false" customHeight="true" outlineLevel="0" collapsed="false">
      <c r="A7" s="10" t="s">
        <v>591</v>
      </c>
      <c r="B7" s="4" t="str">
        <f aca="false">VLOOKUP($B$1,'PARASTATAL Questions'!$A:$J,7,0)&amp;""</f>
        <v>Implementation</v>
      </c>
    </row>
    <row r="8" customFormat="false" ht="15" hidden="false" customHeight="true" outlineLevel="0" collapsed="false">
      <c r="A8" s="10" t="s">
        <v>623</v>
      </c>
      <c r="B8" s="4" t="str">
        <f aca="false">VLOOKUP($B$1,'PARASTATAL Questions'!$A:$J,8,0)&amp;""</f>
        <v>Common.</v>
      </c>
    </row>
    <row r="9" customFormat="false" ht="1086.75" hidden="false" customHeight="true" outlineLevel="0" collapsed="false">
      <c r="A9" s="10" t="s">
        <v>624</v>
      </c>
      <c r="B9" s="4" t="str">
        <f aca="false">VLOOKUP($B$1,'PARASTATAL Questions'!$A:$J,9,0)&amp;""</f>
        <v>Availability and currency — 0.5Score 0.5: Audited accounts for the immediately preceding FY, or the latest FY for which audited accounts are due, are publicly available online. Allow a one-FY lag where audit timelines make preceding-year accounts not yet due.Score 0: Audited accounts cannot be found/accessed online or is older than the permitted period.Record the FY/year/date of the latest information found in a separate evidence field even where the score is 0. Minimum format/accessibility — 0.5Score 0.5: Financial statements available in a structured, machine-readable/reusable format (XLS/XLSX, CSV, ODS, structured HTML table, downloadable structured dataset)Score 0: Financial statements is available but does not meet that standard (Scanned PDF/image; PDF containing only tables that cannot be readily extracted/reused)</v>
      </c>
    </row>
    <row r="10" customFormat="false" ht="102" hidden="false" customHeight="true" outlineLevel="0" collapsed="false">
      <c r="A10" s="10" t="s">
        <v>625</v>
      </c>
      <c r="B10" s="4" t="str">
        <f aca="false">VLOOKUP($B$1,'PARASTATAL Questions'!$A:$J,10,0)&amp;""</f>
        <v>Website screenshots/archived URLs with date of access, for each document type</v>
      </c>
    </row>
    <row r="11" customFormat="false" ht="15" hidden="false" customHeight="true" outlineLevel="0" collapsed="false">
      <c r="B11" s="14" t="s">
        <v>839</v>
      </c>
      <c r="I11" s="14" t="s">
        <v>1099</v>
      </c>
      <c r="J11" s="14" t="s">
        <v>841</v>
      </c>
      <c r="L11" s="8" t="s">
        <v>842</v>
      </c>
    </row>
    <row r="12" customFormat="false" ht="51.75" hidden="false" customHeight="true" outlineLevel="0" collapsed="false">
      <c r="A12" s="1" t="s">
        <v>612</v>
      </c>
      <c r="B12" s="1" t="s">
        <v>843</v>
      </c>
      <c r="C12" s="1" t="s">
        <v>844</v>
      </c>
      <c r="D12" s="1" t="s">
        <v>845</v>
      </c>
      <c r="E12" s="1" t="s">
        <v>846</v>
      </c>
      <c r="F12" s="1" t="s">
        <v>847</v>
      </c>
      <c r="G12" s="1" t="s">
        <v>848</v>
      </c>
      <c r="H12" s="1" t="s">
        <v>14</v>
      </c>
      <c r="I12" s="1" t="s">
        <v>849</v>
      </c>
      <c r="J12" s="1" t="s">
        <v>850</v>
      </c>
      <c r="K12" s="1" t="s">
        <v>851</v>
      </c>
      <c r="L12" s="8" t="s">
        <v>852</v>
      </c>
    </row>
    <row r="13" customFormat="false" ht="15" hidden="false" customHeight="true" outlineLevel="0" collapsed="false">
      <c r="A13" s="8" t="s">
        <v>19</v>
      </c>
      <c r="B13" s="8" t="s">
        <v>853</v>
      </c>
      <c r="I13" s="15"/>
      <c r="J13" s="8" t="str">
        <f aca="false">IF(COUNTIFS('Scores (start here)'!$A:$A,$B$1,'Scores (start here)'!$B:$B,$A13,'Scores (start here)'!$F:$F,"&gt;=0")&gt;0,SUMIFS('Scores (start here)'!$F:$F,'Scores (start here)'!$A:$A,$B$1,'Scores (start here)'!$B:$B,$A13),L13)</f>
        <v/>
      </c>
      <c r="K13" s="8" t="s">
        <v>1107</v>
      </c>
      <c r="L13" s="8" t="str">
        <f aca="false">IF($B13="NO","NA",IF(I13="","",MIN(I13,$B$6)))</f>
        <v/>
      </c>
    </row>
    <row r="14" customFormat="false" ht="236.25" hidden="false" customHeight="true" outlineLevel="0" collapsed="false">
      <c r="A14" s="8" t="s">
        <v>28</v>
      </c>
      <c r="B14" s="8" t="s">
        <v>853</v>
      </c>
      <c r="C14" s="8" t="s">
        <v>264</v>
      </c>
      <c r="D14" s="8" t="s">
        <v>1108</v>
      </c>
      <c r="E14" s="8" t="s">
        <v>1109</v>
      </c>
      <c r="F14" s="8" t="s">
        <v>1110</v>
      </c>
      <c r="H14" s="8" t="s">
        <v>265</v>
      </c>
      <c r="I14" s="15"/>
      <c r="J14" s="8" t="str">
        <f aca="false">IF(COUNTIFS('Scores (start here)'!$A:$A,$B$1,'Scores (start here)'!$B:$B,$A14,'Scores (start here)'!$F:$F,"&gt;=0")&gt;0,SUMIFS('Scores (start here)'!$F:$F,'Scores (start here)'!$A:$A,$B$1,'Scores (start here)'!$B:$B,$A14),L14)</f>
        <v/>
      </c>
      <c r="K14" s="12" t="s">
        <v>1111</v>
      </c>
      <c r="L14" s="8" t="str">
        <f aca="false">IF($B14="NO","NA",IF(I14="","",MIN(I14,$B$6)))</f>
        <v/>
      </c>
    </row>
    <row r="15" customFormat="false" ht="15" hidden="false" customHeight="true" outlineLevel="0" collapsed="false">
      <c r="A15" s="8" t="s">
        <v>34</v>
      </c>
      <c r="B15" s="8" t="s">
        <v>853</v>
      </c>
      <c r="I15" s="15"/>
      <c r="J15" s="8" t="str">
        <f aca="false">IF(COUNTIFS('Scores (start here)'!$A:$A,$B$1,'Scores (start here)'!$B:$B,$A15,'Scores (start here)'!$F:$F,"&gt;=0")&gt;0,SUMIFS('Scores (start here)'!$F:$F,'Scores (start here)'!$A:$A,$B$1,'Scores (start here)'!$B:$B,$A15),L15)</f>
        <v/>
      </c>
      <c r="K15" s="8" t="s">
        <v>1112</v>
      </c>
      <c r="L15" s="8" t="str">
        <f aca="false">IF($B15="NO","NA",IF(I15="","",MIN(I15,$B$6)))</f>
        <v/>
      </c>
    </row>
    <row r="16" customFormat="false" ht="202.5" hidden="false" customHeight="true" outlineLevel="0" collapsed="false">
      <c r="A16" s="8" t="s">
        <v>40</v>
      </c>
      <c r="B16" s="8" t="s">
        <v>853</v>
      </c>
      <c r="C16" s="8" t="s">
        <v>188</v>
      </c>
      <c r="D16" s="8" t="s">
        <v>1113</v>
      </c>
      <c r="E16" s="8" t="s">
        <v>1114</v>
      </c>
      <c r="G16" s="8" t="s">
        <v>1115</v>
      </c>
      <c r="H16" s="8" t="s">
        <v>189</v>
      </c>
      <c r="I16" s="15" t="n">
        <v>0</v>
      </c>
      <c r="J16" s="8" t="n">
        <f aca="false">IF(COUNTIFS('Scores (start here)'!$A:$A,$B$1,'Scores (start here)'!$B:$B,$A16,'Scores (start here)'!$F:$F,"&gt;=0")&gt;0,SUMIFS('Scores (start here)'!$F:$F,'Scores (start here)'!$A:$A,$B$1,'Scores (start here)'!$B:$B,$A16),L16)</f>
        <v>0</v>
      </c>
      <c r="K16" s="12" t="s">
        <v>1116</v>
      </c>
      <c r="L16" s="8" t="n">
        <f aca="false">IF($B16="NO","NA",IF(I16="","",MIN(I16,$B$6)))</f>
        <v>0</v>
      </c>
    </row>
    <row r="17" customFormat="false" ht="15" hidden="false" customHeight="true" outlineLevel="0" collapsed="false">
      <c r="A17" s="8" t="s">
        <v>45</v>
      </c>
      <c r="B17" s="8" t="s">
        <v>853</v>
      </c>
      <c r="I17" s="15"/>
      <c r="J17" s="8" t="str">
        <f aca="false">IF(COUNTIFS('Scores (start here)'!$A:$A,$B$1,'Scores (start here)'!$B:$B,$A17,'Scores (start here)'!$F:$F,"&gt;=0")&gt;0,SUMIFS('Scores (start here)'!$F:$F,'Scores (start here)'!$A:$A,$B$1,'Scores (start here)'!$B:$B,$A17),L17)</f>
        <v/>
      </c>
      <c r="K17" s="8" t="s">
        <v>1117</v>
      </c>
      <c r="L17" s="8" t="str">
        <f aca="false">IF($B17="NO","NA",IF(I17="","",MIN(I17,$B$6)))</f>
        <v/>
      </c>
    </row>
    <row r="18" customFormat="false" ht="15" hidden="false" customHeight="true" outlineLevel="0" collapsed="false">
      <c r="A18" s="8" t="s">
        <v>51</v>
      </c>
      <c r="B18" s="8" t="s">
        <v>853</v>
      </c>
      <c r="I18" s="15"/>
      <c r="J18" s="8" t="str">
        <f aca="false">IF(COUNTIFS('Scores (start here)'!$A:$A,$B$1,'Scores (start here)'!$B:$B,$A18,'Scores (start here)'!$F:$F,"&gt;=0")&gt;0,SUMIFS('Scores (start here)'!$F:$F,'Scores (start here)'!$A:$A,$B$1,'Scores (start here)'!$B:$B,$A18),L18)</f>
        <v/>
      </c>
      <c r="K18" s="8" t="s">
        <v>1118</v>
      </c>
      <c r="L18" s="8" t="str">
        <f aca="false">IF($B18="NO","NA",IF(I18="","",MIN(I18,$B$6)))</f>
        <v/>
      </c>
    </row>
    <row r="19" customFormat="false" ht="15" hidden="false" customHeight="true" outlineLevel="0" collapsed="false">
      <c r="A19" s="8" t="s">
        <v>54</v>
      </c>
      <c r="B19" s="8" t="s">
        <v>853</v>
      </c>
      <c r="C19" s="8" t="s">
        <v>275</v>
      </c>
      <c r="D19" s="8" t="s">
        <v>1119</v>
      </c>
      <c r="E19" s="8" t="s">
        <v>1120</v>
      </c>
      <c r="F19" s="8" t="s">
        <v>1121</v>
      </c>
      <c r="G19" s="8" t="s">
        <v>875</v>
      </c>
      <c r="H19" s="8" t="s">
        <v>276</v>
      </c>
      <c r="I19" s="15" t="n">
        <v>0.5</v>
      </c>
      <c r="J19" s="8" t="n">
        <f aca="false">IF(COUNTIFS('Scores (start here)'!$A:$A,$B$1,'Scores (start here)'!$B:$B,$A19,'Scores (start here)'!$F:$F,"&gt;=0")&gt;0,SUMIFS('Scores (start here)'!$F:$F,'Scores (start here)'!$A:$A,$B$1,'Scores (start here)'!$B:$B,$A19),L19)</f>
        <v>0.5</v>
      </c>
      <c r="K19" s="12" t="s">
        <v>1122</v>
      </c>
      <c r="L19" s="8" t="n">
        <f aca="false">IF($B19="NO","NA",IF(I19="","",MIN(I19,$B$6)))</f>
        <v>0.5</v>
      </c>
    </row>
  </sheetData>
  <dataValidations count="1">
    <dataValidation allowBlank="true" error="See the instruction above the 'Score' column." errorStyle="stop" operator="between" showDropDown="false" showErrorMessage="true" showInputMessage="false" sqref="I13:I19" type="decimal">
      <formula1>0</formula1>
      <formula2>1</formula2>
    </dataValidation>
  </dataValidations>
  <hyperlinks>
    <hyperlink ref="J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8" width="28"/>
    <col collapsed="false" customWidth="true" hidden="false" outlineLevel="0" max="2" min="2" style="8" width="10"/>
    <col collapsed="false" customWidth="true" hidden="false" outlineLevel="0" max="3" min="3" style="8" width="30"/>
    <col collapsed="false" customWidth="true" hidden="false" outlineLevel="0" max="8" min="8" style="8" width="10"/>
    <col collapsed="false" customWidth="true" hidden="false" outlineLevel="0" max="9" min="9" style="8" width="40"/>
  </cols>
  <sheetData>
    <row r="1" customFormat="false" ht="15" hidden="false" customHeight="true" outlineLevel="0" collapsed="false">
      <c r="A1" s="8" t="s">
        <v>836</v>
      </c>
      <c r="B1" s="8" t="s">
        <v>279</v>
      </c>
      <c r="C1" s="8" t="s">
        <v>837</v>
      </c>
      <c r="J1" s="13" t="s">
        <v>838</v>
      </c>
    </row>
    <row r="2" customFormat="false" ht="68.25" hidden="false" customHeight="true" outlineLevel="0" collapsed="false">
      <c r="A2" s="10" t="s">
        <v>589</v>
      </c>
      <c r="B2" s="4" t="str">
        <f aca="false">VLOOKUP($B$1,'PARASTATAL Questions'!$A:$J,3,0)&amp;""</f>
        <v>Decentralised Participatory Governance</v>
      </c>
    </row>
    <row r="3" customFormat="false" ht="15" hidden="false" customHeight="true" outlineLevel="0" collapsed="false">
      <c r="A3" s="10" t="s">
        <v>622</v>
      </c>
      <c r="B3" s="4" t="str">
        <f aca="false">VLOOKUP($B$1,'PARASTATAL Questions'!$A:$J,2,0)&amp;""</f>
        <v>DPG 5c</v>
      </c>
    </row>
    <row r="4" customFormat="false" ht="15" hidden="false" customHeight="true" outlineLevel="0" collapsed="false">
      <c r="A4" s="10" t="s">
        <v>590</v>
      </c>
      <c r="B4" s="4" t="str">
        <f aca="false">VLOOKUP($B$1,'PARASTATAL Questions'!$A:$J,4,0)&amp;""</f>
        <v>SQ</v>
      </c>
    </row>
    <row r="5" customFormat="false" ht="23.25" hidden="false" customHeight="true" outlineLevel="0" collapsed="false">
      <c r="A5" s="10" t="s">
        <v>0</v>
      </c>
      <c r="B5" s="4" t="str">
        <f aca="false">VLOOKUP($B$1,'PARASTATAL Questions'!$A:$J,5,0)&amp;""</f>
        <v>Annual report</v>
      </c>
    </row>
    <row r="6" customFormat="false" ht="15" hidden="false" customHeight="true" outlineLevel="0" collapsed="false">
      <c r="A6" s="10" t="s">
        <v>592</v>
      </c>
      <c r="B6" s="4" t="n">
        <f aca="false">VLOOKUP($B$1,'PARASTATAL Questions'!$A:$J,6,0)</f>
        <v>1</v>
      </c>
    </row>
    <row r="7" customFormat="false" ht="23.25" hidden="false" customHeight="true" outlineLevel="0" collapsed="false">
      <c r="A7" s="10" t="s">
        <v>591</v>
      </c>
      <c r="B7" s="4" t="str">
        <f aca="false">VLOOKUP($B$1,'PARASTATAL Questions'!$A:$J,7,0)&amp;""</f>
        <v>Implementation</v>
      </c>
    </row>
    <row r="8" customFormat="false" ht="15" hidden="false" customHeight="true" outlineLevel="0" collapsed="false">
      <c r="A8" s="10" t="s">
        <v>623</v>
      </c>
      <c r="B8" s="4" t="str">
        <f aca="false">VLOOKUP($B$1,'PARASTATAL Questions'!$A:$J,8,0)&amp;""</f>
        <v>Common.</v>
      </c>
    </row>
    <row r="9" customFormat="false" ht="907.5" hidden="false" customHeight="true" outlineLevel="0" collapsed="false">
      <c r="A9" s="10" t="s">
        <v>624</v>
      </c>
      <c r="B9" s="4" t="str">
        <f aca="false">VLOOKUP($B$1,'PARASTATAL Questions'!$A:$J,9,0)&amp;""</f>
        <v>Availability and currency — 0.5Score 0.5: Annual report for the immediately preceding FY, or latest report due, is publicly available online.Score 0: Annual report cannot be found/accessed online or is older than the permitted period.Record the FY/year/date of the latest information found in a separate evidence field even where the score is 0. Minimum format/accessibility — 0.5Score 0.5: Annual report available in a searchable/text-readable and downloadable document (Searchable PDF/PDF-A, HTML, DOC/DOCX, accessible e-publication)Score 0: Annual report is available but does not meet that standard (Scanned/image-only PDF; images of report pages)</v>
      </c>
    </row>
    <row r="10" customFormat="false" ht="102" hidden="false" customHeight="true" outlineLevel="0" collapsed="false">
      <c r="A10" s="10" t="s">
        <v>625</v>
      </c>
      <c r="B10" s="4" t="str">
        <f aca="false">VLOOKUP($B$1,'PARASTATAL Questions'!$A:$J,10,0)&amp;""</f>
        <v>Website screenshots/archived URLs with date of access, for each document type</v>
      </c>
    </row>
    <row r="11" customFormat="false" ht="15" hidden="false" customHeight="true" outlineLevel="0" collapsed="false">
      <c r="B11" s="14" t="s">
        <v>839</v>
      </c>
      <c r="I11" s="14" t="s">
        <v>1099</v>
      </c>
      <c r="J11" s="14" t="s">
        <v>841</v>
      </c>
      <c r="L11" s="8" t="s">
        <v>842</v>
      </c>
    </row>
    <row r="12" customFormat="false" ht="51.75" hidden="false" customHeight="true" outlineLevel="0" collapsed="false">
      <c r="A12" s="1" t="s">
        <v>612</v>
      </c>
      <c r="B12" s="1" t="s">
        <v>843</v>
      </c>
      <c r="C12" s="1" t="s">
        <v>844</v>
      </c>
      <c r="D12" s="1" t="s">
        <v>845</v>
      </c>
      <c r="E12" s="1" t="s">
        <v>846</v>
      </c>
      <c r="F12" s="1" t="s">
        <v>847</v>
      </c>
      <c r="G12" s="1" t="s">
        <v>848</v>
      </c>
      <c r="H12" s="1" t="s">
        <v>14</v>
      </c>
      <c r="I12" s="1" t="s">
        <v>849</v>
      </c>
      <c r="J12" s="1" t="s">
        <v>850</v>
      </c>
      <c r="K12" s="1" t="s">
        <v>851</v>
      </c>
      <c r="L12" s="8" t="s">
        <v>852</v>
      </c>
    </row>
    <row r="13" customFormat="false" ht="34.5" hidden="false" customHeight="true" outlineLevel="0" collapsed="false">
      <c r="A13" s="8" t="s">
        <v>19</v>
      </c>
      <c r="B13" s="8" t="s">
        <v>853</v>
      </c>
      <c r="C13" s="8" t="s">
        <v>281</v>
      </c>
      <c r="D13" s="8" t="s">
        <v>1123</v>
      </c>
      <c r="E13" s="8" t="s">
        <v>1124</v>
      </c>
      <c r="F13" s="8" t="s">
        <v>1125</v>
      </c>
      <c r="G13" s="8" t="s">
        <v>1126</v>
      </c>
      <c r="H13" s="8" t="s">
        <v>282</v>
      </c>
      <c r="I13" s="15"/>
      <c r="J13" s="8" t="str">
        <f aca="false">IF(COUNTIFS('Scores (start here)'!$A:$A,$B$1,'Scores (start here)'!$B:$B,$A13,'Scores (start here)'!$F:$F,"&gt;=0")&gt;0,SUMIFS('Scores (start here)'!$F:$F,'Scores (start here)'!$A:$A,$B$1,'Scores (start here)'!$B:$B,$A13),L13)</f>
        <v/>
      </c>
      <c r="K13" s="12" t="s">
        <v>1127</v>
      </c>
      <c r="L13" s="8" t="str">
        <f aca="false">IF($B13="NO","NA",IF(I13="","",MIN(I13,$B$6)))</f>
        <v/>
      </c>
    </row>
    <row r="14" customFormat="false" ht="15" hidden="false" customHeight="true" outlineLevel="0" collapsed="false">
      <c r="A14" s="8" t="s">
        <v>28</v>
      </c>
      <c r="B14" s="8" t="s">
        <v>853</v>
      </c>
      <c r="I14" s="15"/>
      <c r="J14" s="8" t="str">
        <f aca="false">IF(COUNTIFS('Scores (start here)'!$A:$A,$B$1,'Scores (start here)'!$B:$B,$A14,'Scores (start here)'!$F:$F,"&gt;=0")&gt;0,SUMIFS('Scores (start here)'!$F:$F,'Scores (start here)'!$A:$A,$B$1,'Scores (start here)'!$B:$B,$A14),L14)</f>
        <v/>
      </c>
      <c r="K14" s="8" t="s">
        <v>1128</v>
      </c>
      <c r="L14" s="8" t="str">
        <f aca="false">IF($B14="NO","NA",IF(I14="","",MIN(I14,$B$6)))</f>
        <v/>
      </c>
    </row>
    <row r="15" customFormat="false" ht="15" hidden="false" customHeight="true" outlineLevel="0" collapsed="false">
      <c r="A15" s="8" t="s">
        <v>34</v>
      </c>
      <c r="B15" s="8" t="s">
        <v>853</v>
      </c>
      <c r="I15" s="15"/>
      <c r="J15" s="8" t="str">
        <f aca="false">IF(COUNTIFS('Scores (start here)'!$A:$A,$B$1,'Scores (start here)'!$B:$B,$A15,'Scores (start here)'!$F:$F,"&gt;=0")&gt;0,SUMIFS('Scores (start here)'!$F:$F,'Scores (start here)'!$A:$A,$B$1,'Scores (start here)'!$B:$B,$A15),L15)</f>
        <v/>
      </c>
      <c r="K15" s="8" t="s">
        <v>1129</v>
      </c>
      <c r="L15" s="8" t="str">
        <f aca="false">IF($B15="NO","NA",IF(I15="","",MIN(I15,$B$6)))</f>
        <v/>
      </c>
    </row>
    <row r="16" customFormat="false" ht="34.5" hidden="false" customHeight="true" outlineLevel="0" collapsed="false">
      <c r="A16" s="8" t="s">
        <v>40</v>
      </c>
      <c r="B16" s="8" t="s">
        <v>853</v>
      </c>
      <c r="C16" s="8" t="s">
        <v>188</v>
      </c>
      <c r="D16" s="8" t="s">
        <v>1130</v>
      </c>
      <c r="E16" s="8" t="s">
        <v>1131</v>
      </c>
      <c r="F16" s="8" t="s">
        <v>1132</v>
      </c>
      <c r="G16" s="8" t="s">
        <v>990</v>
      </c>
      <c r="H16" s="8" t="s">
        <v>189</v>
      </c>
      <c r="I16" s="15"/>
      <c r="J16" s="8" t="str">
        <f aca="false">IF(COUNTIFS('Scores (start here)'!$A:$A,$B$1,'Scores (start here)'!$B:$B,$A16,'Scores (start here)'!$F:$F,"&gt;=0")&gt;0,SUMIFS('Scores (start here)'!$F:$F,'Scores (start here)'!$A:$A,$B$1,'Scores (start here)'!$B:$B,$A16),L16)</f>
        <v/>
      </c>
      <c r="K16" s="12" t="s">
        <v>1133</v>
      </c>
      <c r="L16" s="8" t="str">
        <f aca="false">IF($B16="NO","NA",IF(I16="","",MIN(I16,$B$6)))</f>
        <v/>
      </c>
    </row>
    <row r="17" customFormat="false" ht="213.75" hidden="false" customHeight="true" outlineLevel="0" collapsed="false">
      <c r="A17" s="8" t="s">
        <v>45</v>
      </c>
      <c r="B17" s="8" t="s">
        <v>853</v>
      </c>
      <c r="C17" s="8" t="s">
        <v>239</v>
      </c>
      <c r="D17" s="8" t="s">
        <v>1134</v>
      </c>
      <c r="E17" s="8" t="s">
        <v>1135</v>
      </c>
      <c r="F17" s="8" t="s">
        <v>1031</v>
      </c>
      <c r="G17" s="8" t="s">
        <v>875</v>
      </c>
      <c r="H17" s="8" t="s">
        <v>240</v>
      </c>
      <c r="I17" s="15"/>
      <c r="J17" s="8" t="str">
        <f aca="false">IF(COUNTIFS('Scores (start here)'!$A:$A,$B$1,'Scores (start here)'!$B:$B,$A17,'Scores (start here)'!$F:$F,"&gt;=0")&gt;0,SUMIFS('Scores (start here)'!$F:$F,'Scores (start here)'!$A:$A,$B$1,'Scores (start here)'!$B:$B,$A17),L17)</f>
        <v/>
      </c>
      <c r="K17" s="12" t="s">
        <v>1136</v>
      </c>
      <c r="L17" s="8" t="str">
        <f aca="false">IF($B17="NO","NA",IF(I17="","",MIN(I17,$B$6)))</f>
        <v/>
      </c>
    </row>
    <row r="18" customFormat="false" ht="15" hidden="false" customHeight="true" outlineLevel="0" collapsed="false">
      <c r="A18" s="8" t="s">
        <v>51</v>
      </c>
      <c r="B18" s="8" t="s">
        <v>853</v>
      </c>
      <c r="I18" s="15"/>
      <c r="J18" s="8" t="str">
        <f aca="false">IF(COUNTIFS('Scores (start here)'!$A:$A,$B$1,'Scores (start here)'!$B:$B,$A18,'Scores (start here)'!$F:$F,"&gt;=0")&gt;0,SUMIFS('Scores (start here)'!$F:$F,'Scores (start here)'!$A:$A,$B$1,'Scores (start here)'!$B:$B,$A18),L18)</f>
        <v/>
      </c>
      <c r="K18" s="8" t="s">
        <v>1137</v>
      </c>
      <c r="L18" s="8" t="str">
        <f aca="false">IF($B18="NO","NA",IF(I18="","",MIN(I18,$B$6)))</f>
        <v/>
      </c>
    </row>
    <row r="19" customFormat="false" ht="15" hidden="false" customHeight="true" outlineLevel="0" collapsed="false">
      <c r="A19" s="8" t="s">
        <v>54</v>
      </c>
      <c r="B19" s="8" t="s">
        <v>853</v>
      </c>
      <c r="C19" s="8" t="s">
        <v>295</v>
      </c>
      <c r="D19" s="8" t="s">
        <v>1138</v>
      </c>
      <c r="E19" s="8" t="s">
        <v>1139</v>
      </c>
      <c r="F19" s="8" t="s">
        <v>1140</v>
      </c>
      <c r="H19" s="8" t="s">
        <v>296</v>
      </c>
      <c r="I19" s="15"/>
      <c r="J19" s="8" t="str">
        <f aca="false">IF(COUNTIFS('Scores (start here)'!$A:$A,$B$1,'Scores (start here)'!$B:$B,$A19,'Scores (start here)'!$F:$F,"&gt;=0")&gt;0,SUMIFS('Scores (start here)'!$F:$F,'Scores (start here)'!$A:$A,$B$1,'Scores (start here)'!$B:$B,$A19),L19)</f>
        <v/>
      </c>
      <c r="K19" s="12" t="s">
        <v>1141</v>
      </c>
      <c r="L19" s="8" t="str">
        <f aca="false">IF($B19="NO","NA",IF(I19="","",MIN(I19,$B$6)))</f>
        <v/>
      </c>
    </row>
  </sheetData>
  <dataValidations count="1">
    <dataValidation allowBlank="true" error="See the instruction above the 'Score' column." errorStyle="stop" operator="between" showDropDown="false" showErrorMessage="true" showInputMessage="false" sqref="I13:I19" type="decimal">
      <formula1>0</formula1>
      <formula2>1</formula2>
    </dataValidation>
  </dataValidations>
  <hyperlinks>
    <hyperlink ref="J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8" width="28"/>
    <col collapsed="false" customWidth="true" hidden="false" outlineLevel="0" max="2" min="2" style="8" width="10"/>
    <col collapsed="false" customWidth="true" hidden="false" outlineLevel="0" max="3" min="3" style="8" width="30"/>
    <col collapsed="false" customWidth="true" hidden="false" outlineLevel="0" max="8" min="8" style="8" width="10"/>
    <col collapsed="false" customWidth="true" hidden="false" outlineLevel="0" max="9" min="9" style="8" width="40"/>
  </cols>
  <sheetData>
    <row r="1" customFormat="false" ht="15" hidden="false" customHeight="true" outlineLevel="0" collapsed="false">
      <c r="A1" s="8" t="s">
        <v>836</v>
      </c>
      <c r="B1" s="8" t="s">
        <v>299</v>
      </c>
      <c r="C1" s="8" t="s">
        <v>837</v>
      </c>
      <c r="J1" s="13" t="s">
        <v>838</v>
      </c>
    </row>
    <row r="2" customFormat="false" ht="68.25" hidden="false" customHeight="true" outlineLevel="0" collapsed="false">
      <c r="A2" s="10" t="s">
        <v>589</v>
      </c>
      <c r="B2" s="4" t="str">
        <f aca="false">VLOOKUP($B$1,'PARASTATAL Questions'!$A:$J,3,0)&amp;""</f>
        <v>Decentralised Participatory Governance</v>
      </c>
    </row>
    <row r="3" customFormat="false" ht="15" hidden="false" customHeight="true" outlineLevel="0" collapsed="false">
      <c r="A3" s="10" t="s">
        <v>622</v>
      </c>
      <c r="B3" s="4" t="str">
        <f aca="false">VLOOKUP($B$1,'PARASTATAL Questions'!$A:$J,2,0)&amp;""</f>
        <v>DPG d</v>
      </c>
    </row>
    <row r="4" customFormat="false" ht="15" hidden="false" customHeight="true" outlineLevel="0" collapsed="false">
      <c r="A4" s="10" t="s">
        <v>590</v>
      </c>
      <c r="B4" s="4" t="str">
        <f aca="false">VLOOKUP($B$1,'PARASTATAL Questions'!$A:$J,4,0)&amp;""</f>
        <v>SQ</v>
      </c>
    </row>
    <row r="5" customFormat="false" ht="45.75" hidden="false" customHeight="true" outlineLevel="0" collapsed="false">
      <c r="A5" s="10" t="s">
        <v>0</v>
      </c>
      <c r="B5" s="4" t="str">
        <f aca="false">VLOOKUP($B$1,'PARASTATAL Questions'!$A:$J,5,0)&amp;""</f>
        <v>Meeting minutes of governing board</v>
      </c>
    </row>
    <row r="6" customFormat="false" ht="15" hidden="false" customHeight="true" outlineLevel="0" collapsed="false">
      <c r="A6" s="10" t="s">
        <v>592</v>
      </c>
      <c r="B6" s="4" t="n">
        <f aca="false">VLOOKUP($B$1,'PARASTATAL Questions'!$A:$J,6,0)</f>
        <v>1</v>
      </c>
    </row>
    <row r="7" customFormat="false" ht="23.25" hidden="false" customHeight="true" outlineLevel="0" collapsed="false">
      <c r="A7" s="10" t="s">
        <v>591</v>
      </c>
      <c r="B7" s="4" t="str">
        <f aca="false">VLOOKUP($B$1,'PARASTATAL Questions'!$A:$J,7,0)&amp;""</f>
        <v>Implementation</v>
      </c>
    </row>
    <row r="8" customFormat="false" ht="15" hidden="false" customHeight="true" outlineLevel="0" collapsed="false">
      <c r="A8" s="10" t="s">
        <v>623</v>
      </c>
      <c r="B8" s="4" t="str">
        <f aca="false">VLOOKUP($B$1,'PARASTATAL Questions'!$A:$J,8,0)&amp;""</f>
        <v>Common.</v>
      </c>
    </row>
    <row r="9" customFormat="false" ht="840.75" hidden="false" customHeight="true" outlineLevel="0" collapsed="false">
      <c r="A9" s="10" t="s">
        <v>624</v>
      </c>
      <c r="B9" s="4" t="str">
        <f aca="false">VLOOKUP($B$1,'PARASTATAL Questions'!$A:$J,9,0)&amp;""</f>
        <v>Availability and currency — 0.5Score 0.5: At least one set of minutes from the current FY or immediately preceding FY is publicly available onlineScore 0: Meeting Minutes cannot be found/accessed online or is older than the permitted period.Record the FY/year/date of the latest information found in a separate evidence field even where the score is 0. Minimum format/accessibility — 0.5Score 0.5: Meeting Minutes available in a searchable/text-readable and downloadable document (Searchable PDF, HTML, DOC/DOCX)Score 0: Meeting Minutes is available but does not meet that standard (Scanned/image-only minutes; image gallery)</v>
      </c>
    </row>
    <row r="10" customFormat="false" ht="102" hidden="false" customHeight="true" outlineLevel="0" collapsed="false">
      <c r="A10" s="10" t="s">
        <v>625</v>
      </c>
      <c r="B10" s="4" t="str">
        <f aca="false">VLOOKUP($B$1,'PARASTATAL Questions'!$A:$J,10,0)&amp;""</f>
        <v>Website screenshots/archived URLs with date of access, for each document type</v>
      </c>
    </row>
    <row r="11" customFormat="false" ht="15" hidden="false" customHeight="true" outlineLevel="0" collapsed="false">
      <c r="B11" s="14" t="s">
        <v>839</v>
      </c>
      <c r="I11" s="14" t="s">
        <v>1099</v>
      </c>
      <c r="J11" s="14" t="s">
        <v>841</v>
      </c>
      <c r="L11" s="8" t="s">
        <v>842</v>
      </c>
    </row>
    <row r="12" customFormat="false" ht="51.75" hidden="false" customHeight="true" outlineLevel="0" collapsed="false">
      <c r="A12" s="1" t="s">
        <v>612</v>
      </c>
      <c r="B12" s="1" t="s">
        <v>843</v>
      </c>
      <c r="C12" s="1" t="s">
        <v>844</v>
      </c>
      <c r="D12" s="1" t="s">
        <v>845</v>
      </c>
      <c r="E12" s="1" t="s">
        <v>846</v>
      </c>
      <c r="F12" s="1" t="s">
        <v>847</v>
      </c>
      <c r="G12" s="1" t="s">
        <v>848</v>
      </c>
      <c r="H12" s="1" t="s">
        <v>14</v>
      </c>
      <c r="I12" s="1" t="s">
        <v>849</v>
      </c>
      <c r="J12" s="1" t="s">
        <v>850</v>
      </c>
      <c r="K12" s="1" t="s">
        <v>851</v>
      </c>
      <c r="L12" s="8" t="s">
        <v>852</v>
      </c>
    </row>
    <row r="13" customFormat="false" ht="15" hidden="false" customHeight="true" outlineLevel="0" collapsed="false">
      <c r="A13" s="8" t="s">
        <v>19</v>
      </c>
      <c r="B13" s="8" t="s">
        <v>853</v>
      </c>
      <c r="I13" s="15"/>
      <c r="J13" s="8" t="str">
        <f aca="false">IF(COUNTIFS('Scores (start here)'!$A:$A,$B$1,'Scores (start here)'!$B:$B,$A13,'Scores (start here)'!$F:$F,"&gt;=0")&gt;0,SUMIFS('Scores (start here)'!$F:$F,'Scores (start here)'!$A:$A,$B$1,'Scores (start here)'!$B:$B,$A13),L13)</f>
        <v/>
      </c>
      <c r="K13" s="8" t="s">
        <v>1142</v>
      </c>
      <c r="L13" s="8" t="str">
        <f aca="false">IF($B13="NO","NA",IF(I13="","",MIN(I13,$B$6)))</f>
        <v/>
      </c>
    </row>
    <row r="14" customFormat="false" ht="15" hidden="false" customHeight="true" outlineLevel="0" collapsed="false">
      <c r="A14" s="8" t="s">
        <v>28</v>
      </c>
      <c r="B14" s="8" t="s">
        <v>853</v>
      </c>
      <c r="I14" s="15"/>
      <c r="J14" s="8" t="str">
        <f aca="false">IF(COUNTIFS('Scores (start here)'!$A:$A,$B$1,'Scores (start here)'!$B:$B,$A14,'Scores (start here)'!$F:$F,"&gt;=0")&gt;0,SUMIFS('Scores (start here)'!$F:$F,'Scores (start here)'!$A:$A,$B$1,'Scores (start here)'!$B:$B,$A14),L14)</f>
        <v/>
      </c>
      <c r="K14" s="8" t="s">
        <v>1143</v>
      </c>
      <c r="L14" s="8" t="str">
        <f aca="false">IF($B14="NO","NA",IF(I14="","",MIN(I14,$B$6)))</f>
        <v/>
      </c>
    </row>
    <row r="15" customFormat="false" ht="15" hidden="false" customHeight="true" outlineLevel="0" collapsed="false">
      <c r="A15" s="8" t="s">
        <v>34</v>
      </c>
      <c r="B15" s="8" t="s">
        <v>853</v>
      </c>
      <c r="I15" s="15"/>
      <c r="J15" s="8" t="str">
        <f aca="false">IF(COUNTIFS('Scores (start here)'!$A:$A,$B$1,'Scores (start here)'!$B:$B,$A15,'Scores (start here)'!$F:$F,"&gt;=0")&gt;0,SUMIFS('Scores (start here)'!$F:$F,'Scores (start here)'!$A:$A,$B$1,'Scores (start here)'!$B:$B,$A15),L15)</f>
        <v/>
      </c>
      <c r="K15" s="8" t="s">
        <v>1144</v>
      </c>
      <c r="L15" s="8" t="str">
        <f aca="false">IF($B15="NO","NA",IF(I15="","",MIN(I15,$B$6)))</f>
        <v/>
      </c>
    </row>
    <row r="16" customFormat="false" ht="15" hidden="false" customHeight="true" outlineLevel="0" collapsed="false">
      <c r="A16" s="8" t="s">
        <v>40</v>
      </c>
      <c r="B16" s="8" t="s">
        <v>853</v>
      </c>
      <c r="I16" s="15"/>
      <c r="J16" s="8" t="str">
        <f aca="false">IF(COUNTIFS('Scores (start here)'!$A:$A,$B$1,'Scores (start here)'!$B:$B,$A16,'Scores (start here)'!$F:$F,"&gt;=0")&gt;0,SUMIFS('Scores (start here)'!$F:$F,'Scores (start here)'!$A:$A,$B$1,'Scores (start here)'!$B:$B,$A16),L16)</f>
        <v/>
      </c>
      <c r="K16" s="8" t="s">
        <v>1145</v>
      </c>
      <c r="L16" s="8" t="str">
        <f aca="false">IF($B16="NO","NA",IF(I16="","",MIN(I16,$B$6)))</f>
        <v/>
      </c>
    </row>
    <row r="17" customFormat="false" ht="15" hidden="false" customHeight="true" outlineLevel="0" collapsed="false">
      <c r="A17" s="8" t="s">
        <v>45</v>
      </c>
      <c r="B17" s="8" t="s">
        <v>853</v>
      </c>
      <c r="I17" s="15"/>
      <c r="J17" s="8" t="str">
        <f aca="false">IF(COUNTIFS('Scores (start here)'!$A:$A,$B$1,'Scores (start here)'!$B:$B,$A17,'Scores (start here)'!$F:$F,"&gt;=0")&gt;0,SUMIFS('Scores (start here)'!$F:$F,'Scores (start here)'!$A:$A,$B$1,'Scores (start here)'!$B:$B,$A17),L17)</f>
        <v/>
      </c>
      <c r="K17" s="8" t="s">
        <v>1146</v>
      </c>
      <c r="L17" s="8" t="str">
        <f aca="false">IF($B17="NO","NA",IF(I17="","",MIN(I17,$B$6)))</f>
        <v/>
      </c>
    </row>
    <row r="18" customFormat="false" ht="15" hidden="false" customHeight="true" outlineLevel="0" collapsed="false">
      <c r="A18" s="8" t="s">
        <v>51</v>
      </c>
      <c r="B18" s="8" t="s">
        <v>853</v>
      </c>
      <c r="I18" s="15"/>
      <c r="J18" s="8" t="str">
        <f aca="false">IF(COUNTIFS('Scores (start here)'!$A:$A,$B$1,'Scores (start here)'!$B:$B,$A18,'Scores (start here)'!$F:$F,"&gt;=0")&gt;0,SUMIFS('Scores (start here)'!$F:$F,'Scores (start here)'!$A:$A,$B$1,'Scores (start here)'!$B:$B,$A18),L18)</f>
        <v/>
      </c>
      <c r="K18" s="8" t="s">
        <v>1147</v>
      </c>
      <c r="L18" s="8" t="str">
        <f aca="false">IF($B18="NO","NA",IF(I18="","",MIN(I18,$B$6)))</f>
        <v/>
      </c>
    </row>
    <row r="19" customFormat="false" ht="15" hidden="false" customHeight="true" outlineLevel="0" collapsed="false">
      <c r="A19" s="8" t="s">
        <v>54</v>
      </c>
      <c r="B19" s="8" t="s">
        <v>853</v>
      </c>
      <c r="I19" s="15"/>
      <c r="J19" s="8" t="str">
        <f aca="false">IF(COUNTIFS('Scores (start here)'!$A:$A,$B$1,'Scores (start here)'!$B:$B,$A19,'Scores (start here)'!$F:$F,"&gt;=0")&gt;0,SUMIFS('Scores (start here)'!$F:$F,'Scores (start here)'!$A:$A,$B$1,'Scores (start here)'!$B:$B,$A19),L19)</f>
        <v/>
      </c>
      <c r="K19" s="8" t="s">
        <v>1148</v>
      </c>
      <c r="L19" s="8" t="str">
        <f aca="false">IF($B19="NO","NA",IF(I19="","",MIN(I19,$B$6)))</f>
        <v/>
      </c>
    </row>
  </sheetData>
  <dataValidations count="1">
    <dataValidation allowBlank="true" error="See the instruction above the 'Score' column." errorStyle="stop" operator="between" showDropDown="false" showErrorMessage="true" showInputMessage="false" sqref="I13:I19" type="decimal">
      <formula1>0</formula1>
      <formula2>1</formula2>
    </dataValidation>
  </dataValidations>
  <hyperlinks>
    <hyperlink ref="J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8" width="28"/>
    <col collapsed="false" customWidth="true" hidden="false" outlineLevel="0" max="2" min="2" style="8" width="10"/>
    <col collapsed="false" customWidth="true" hidden="false" outlineLevel="0" max="3" min="3" style="8" width="30"/>
    <col collapsed="false" customWidth="true" hidden="false" outlineLevel="0" max="8" min="8" style="8" width="10"/>
    <col collapsed="false" customWidth="true" hidden="false" outlineLevel="0" max="9" min="9" style="8" width="40"/>
  </cols>
  <sheetData>
    <row r="1" customFormat="false" ht="15" hidden="false" customHeight="true" outlineLevel="0" collapsed="false">
      <c r="A1" s="8" t="s">
        <v>836</v>
      </c>
      <c r="B1" s="8" t="s">
        <v>307</v>
      </c>
      <c r="C1" s="8" t="s">
        <v>837</v>
      </c>
      <c r="J1" s="13" t="s">
        <v>838</v>
      </c>
    </row>
    <row r="2" customFormat="false" ht="68.25" hidden="false" customHeight="true" outlineLevel="0" collapsed="false">
      <c r="A2" s="10" t="s">
        <v>589</v>
      </c>
      <c r="B2" s="4" t="str">
        <f aca="false">VLOOKUP($B$1,'PARASTATAL Questions'!$A:$J,3,0)&amp;""</f>
        <v>Decentralised Participatory Governance</v>
      </c>
    </row>
    <row r="3" customFormat="false" ht="15" hidden="false" customHeight="true" outlineLevel="0" collapsed="false">
      <c r="A3" s="10" t="s">
        <v>622</v>
      </c>
      <c r="B3" s="4" t="str">
        <f aca="false">VLOOKUP($B$1,'PARASTATAL Questions'!$A:$J,2,0)&amp;""</f>
        <v>DPG f</v>
      </c>
    </row>
    <row r="4" customFormat="false" ht="15" hidden="false" customHeight="true" outlineLevel="0" collapsed="false">
      <c r="A4" s="10" t="s">
        <v>590</v>
      </c>
      <c r="B4" s="4" t="str">
        <f aca="false">VLOOKUP($B$1,'PARASTATAL Questions'!$A:$J,4,0)&amp;""</f>
        <v>SQ</v>
      </c>
    </row>
    <row r="5" customFormat="false" ht="57" hidden="false" customHeight="true" outlineLevel="0" collapsed="false">
      <c r="A5" s="10" t="s">
        <v>0</v>
      </c>
      <c r="B5" s="4" t="str">
        <f aca="false">VLOOKUP($B$1,'PARASTATAL Questions'!$A:$J,5,0)&amp;""</f>
        <v>Organisation and staffing information</v>
      </c>
    </row>
    <row r="6" customFormat="false" ht="15" hidden="false" customHeight="true" outlineLevel="0" collapsed="false">
      <c r="A6" s="10" t="s">
        <v>592</v>
      </c>
      <c r="B6" s="4" t="n">
        <f aca="false">VLOOKUP($B$1,'PARASTATAL Questions'!$A:$J,6,0)</f>
        <v>1</v>
      </c>
    </row>
    <row r="7" customFormat="false" ht="23.25" hidden="false" customHeight="true" outlineLevel="0" collapsed="false">
      <c r="A7" s="10" t="s">
        <v>591</v>
      </c>
      <c r="B7" s="4" t="str">
        <f aca="false">VLOOKUP($B$1,'PARASTATAL Questions'!$A:$J,7,0)&amp;""</f>
        <v>Implementation</v>
      </c>
    </row>
    <row r="8" customFormat="false" ht="15" hidden="false" customHeight="true" outlineLevel="0" collapsed="false">
      <c r="A8" s="10" t="s">
        <v>623</v>
      </c>
      <c r="B8" s="4" t="str">
        <f aca="false">VLOOKUP($B$1,'PARASTATAL Questions'!$A:$J,8,0)&amp;""</f>
        <v>Common.</v>
      </c>
    </row>
    <row r="9" customFormat="false" ht="1098" hidden="false" customHeight="true" outlineLevel="0" collapsed="false">
      <c r="A9" s="10" t="s">
        <v>624</v>
      </c>
      <c r="B9" s="4" t="str">
        <f aca="false">VLOOKUP($B$1,'PARASTATAL Questions'!$A:$J,9,0)&amp;""</f>
        <v>Availability and currency — 0.5Score 0.5: Information reflects the current organisational structure, or has evidence of being updated in the current or immediately preceding FYScore 0: Current organisational structure cannot be found/accessed online or is older than the permitted period.Record the FY/year/date of the latest information found in a separate evidence field even where the score is 0. Minimum format/accessibility — 0.5Score 0.5: Current organisational structure available in as searchable webpage or searchable/downloadable document with identifiable posts/officials/structure (HTML organisation/staff directory; searchable PDF organisation chart; XLS/CSV staff-position information)Score 0: Current organisational structure is available but does not meet that standard (Image-only organisation chart; scanned list)</v>
      </c>
    </row>
    <row r="10" customFormat="false" ht="102" hidden="false" customHeight="true" outlineLevel="0" collapsed="false">
      <c r="A10" s="10" t="s">
        <v>625</v>
      </c>
      <c r="B10" s="4" t="str">
        <f aca="false">VLOOKUP($B$1,'PARASTATAL Questions'!$A:$J,10,0)&amp;""</f>
        <v>Website screenshots/archived URLs with date of access, for each document type</v>
      </c>
    </row>
    <row r="11" customFormat="false" ht="15" hidden="false" customHeight="true" outlineLevel="0" collapsed="false">
      <c r="B11" s="14" t="s">
        <v>839</v>
      </c>
      <c r="I11" s="14" t="s">
        <v>1099</v>
      </c>
      <c r="J11" s="14" t="s">
        <v>841</v>
      </c>
      <c r="L11" s="8" t="s">
        <v>842</v>
      </c>
    </row>
    <row r="12" customFormat="false" ht="51.75" hidden="false" customHeight="true" outlineLevel="0" collapsed="false">
      <c r="A12" s="1" t="s">
        <v>612</v>
      </c>
      <c r="B12" s="1" t="s">
        <v>843</v>
      </c>
      <c r="C12" s="1" t="s">
        <v>844</v>
      </c>
      <c r="D12" s="1" t="s">
        <v>845</v>
      </c>
      <c r="E12" s="1" t="s">
        <v>846</v>
      </c>
      <c r="F12" s="1" t="s">
        <v>847</v>
      </c>
      <c r="G12" s="1" t="s">
        <v>848</v>
      </c>
      <c r="H12" s="1" t="s">
        <v>14</v>
      </c>
      <c r="I12" s="1" t="s">
        <v>849</v>
      </c>
      <c r="J12" s="1" t="s">
        <v>850</v>
      </c>
      <c r="K12" s="1" t="s">
        <v>851</v>
      </c>
      <c r="L12" s="8" t="s">
        <v>852</v>
      </c>
    </row>
    <row r="13" customFormat="false" ht="236.25" hidden="false" customHeight="true" outlineLevel="0" collapsed="false">
      <c r="A13" s="8" t="s">
        <v>19</v>
      </c>
      <c r="B13" s="8" t="s">
        <v>853</v>
      </c>
      <c r="C13" s="8" t="s">
        <v>309</v>
      </c>
      <c r="D13" s="8" t="s">
        <v>1149</v>
      </c>
      <c r="E13" s="8" t="s">
        <v>1150</v>
      </c>
      <c r="F13" s="8" t="s">
        <v>1151</v>
      </c>
      <c r="H13" s="8" t="s">
        <v>310</v>
      </c>
      <c r="I13" s="15"/>
      <c r="J13" s="8" t="str">
        <f aca="false">IF(COUNTIFS('Scores (start here)'!$A:$A,$B$1,'Scores (start here)'!$B:$B,$A13,'Scores (start here)'!$F:$F,"&gt;=0")&gt;0,SUMIFS('Scores (start here)'!$F:$F,'Scores (start here)'!$A:$A,$B$1,'Scores (start here)'!$B:$B,$A13),L13)</f>
        <v/>
      </c>
      <c r="K13" s="12" t="s">
        <v>1152</v>
      </c>
      <c r="L13" s="8" t="str">
        <f aca="false">IF($B13="NO","NA",IF(I13="","",MIN(I13,$B$6)))</f>
        <v/>
      </c>
    </row>
    <row r="14" customFormat="false" ht="202.5" hidden="false" customHeight="true" outlineLevel="0" collapsed="false">
      <c r="A14" s="8" t="s">
        <v>28</v>
      </c>
      <c r="B14" s="8" t="s">
        <v>853</v>
      </c>
      <c r="C14" s="8" t="s">
        <v>314</v>
      </c>
      <c r="D14" s="8" t="s">
        <v>1153</v>
      </c>
      <c r="E14" s="8" t="s">
        <v>1154</v>
      </c>
      <c r="F14" s="8" t="s">
        <v>1155</v>
      </c>
      <c r="H14" s="8" t="s">
        <v>315</v>
      </c>
      <c r="I14" s="15"/>
      <c r="J14" s="8" t="str">
        <f aca="false">IF(COUNTIFS('Scores (start here)'!$A:$A,$B$1,'Scores (start here)'!$B:$B,$A14,'Scores (start here)'!$F:$F,"&gt;=0")&gt;0,SUMIFS('Scores (start here)'!$F:$F,'Scores (start here)'!$A:$A,$B$1,'Scores (start here)'!$B:$B,$A14),L14)</f>
        <v/>
      </c>
      <c r="K14" s="12" t="s">
        <v>1156</v>
      </c>
      <c r="L14" s="8" t="str">
        <f aca="false">IF($B14="NO","NA",IF(I14="","",MIN(I14,$B$6)))</f>
        <v/>
      </c>
    </row>
    <row r="15" customFormat="false" ht="15" hidden="false" customHeight="true" outlineLevel="0" collapsed="false">
      <c r="A15" s="8" t="s">
        <v>34</v>
      </c>
      <c r="B15" s="8" t="s">
        <v>853</v>
      </c>
      <c r="I15" s="15"/>
      <c r="J15" s="8" t="str">
        <f aca="false">IF(COUNTIFS('Scores (start here)'!$A:$A,$B$1,'Scores (start here)'!$B:$B,$A15,'Scores (start here)'!$F:$F,"&gt;=0")&gt;0,SUMIFS('Scores (start here)'!$F:$F,'Scores (start here)'!$A:$A,$B$1,'Scores (start here)'!$B:$B,$A15),L15)</f>
        <v/>
      </c>
      <c r="K15" s="8" t="s">
        <v>1157</v>
      </c>
      <c r="L15" s="8" t="str">
        <f aca="false">IF($B15="NO","NA",IF(I15="","",MIN(I15,$B$6)))</f>
        <v/>
      </c>
    </row>
    <row r="16" customFormat="false" ht="15" hidden="false" customHeight="true" outlineLevel="0" collapsed="false">
      <c r="A16" s="8" t="s">
        <v>40</v>
      </c>
      <c r="B16" s="8" t="s">
        <v>853</v>
      </c>
      <c r="I16" s="15"/>
      <c r="J16" s="8" t="str">
        <f aca="false">IF(COUNTIFS('Scores (start here)'!$A:$A,$B$1,'Scores (start here)'!$B:$B,$A16,'Scores (start here)'!$F:$F,"&gt;=0")&gt;0,SUMIFS('Scores (start here)'!$F:$F,'Scores (start here)'!$A:$A,$B$1,'Scores (start here)'!$B:$B,$A16),L16)</f>
        <v/>
      </c>
      <c r="K16" s="8" t="s">
        <v>1158</v>
      </c>
      <c r="L16" s="8" t="str">
        <f aca="false">IF($B16="NO","NA",IF(I16="","",MIN(I16,$B$6)))</f>
        <v/>
      </c>
    </row>
    <row r="17" customFormat="false" ht="202.5" hidden="false" customHeight="true" outlineLevel="0" collapsed="false">
      <c r="A17" s="8" t="s">
        <v>45</v>
      </c>
      <c r="B17" s="8" t="s">
        <v>853</v>
      </c>
      <c r="C17" s="8" t="s">
        <v>321</v>
      </c>
      <c r="D17" s="8" t="s">
        <v>1159</v>
      </c>
      <c r="E17" s="8" t="s">
        <v>1160</v>
      </c>
      <c r="F17" s="8" t="s">
        <v>1161</v>
      </c>
      <c r="H17" s="8" t="s">
        <v>322</v>
      </c>
      <c r="I17" s="15" t="n">
        <v>1</v>
      </c>
      <c r="J17" s="8" t="n">
        <f aca="false">IF(COUNTIFS('Scores (start here)'!$A:$A,$B$1,'Scores (start here)'!$B:$B,$A17,'Scores (start here)'!$F:$F,"&gt;=0")&gt;0,SUMIFS('Scores (start here)'!$F:$F,'Scores (start here)'!$A:$A,$B$1,'Scores (start here)'!$B:$B,$A17),L17)</f>
        <v>1</v>
      </c>
      <c r="K17" s="12" t="s">
        <v>1162</v>
      </c>
      <c r="L17" s="8" t="n">
        <f aca="false">IF($B17="NO","NA",IF(I17="","",MIN(I17,$B$6)))</f>
        <v>1</v>
      </c>
    </row>
    <row r="18" customFormat="false" ht="15" hidden="false" customHeight="true" outlineLevel="0" collapsed="false">
      <c r="A18" s="8" t="s">
        <v>51</v>
      </c>
      <c r="B18" s="8" t="s">
        <v>853</v>
      </c>
      <c r="I18" s="15"/>
      <c r="J18" s="8" t="str">
        <f aca="false">IF(COUNTIFS('Scores (start here)'!$A:$A,$B$1,'Scores (start here)'!$B:$B,$A18,'Scores (start here)'!$F:$F,"&gt;=0")&gt;0,SUMIFS('Scores (start here)'!$F:$F,'Scores (start here)'!$A:$A,$B$1,'Scores (start here)'!$B:$B,$A18),L18)</f>
        <v/>
      </c>
      <c r="K18" s="8" t="s">
        <v>1163</v>
      </c>
      <c r="L18" s="8" t="str">
        <f aca="false">IF($B18="NO","NA",IF(I18="","",MIN(I18,$B$6)))</f>
        <v/>
      </c>
    </row>
    <row r="19" customFormat="false" ht="15" hidden="false" customHeight="true" outlineLevel="0" collapsed="false">
      <c r="A19" s="8" t="s">
        <v>54</v>
      </c>
      <c r="B19" s="8" t="s">
        <v>853</v>
      </c>
      <c r="C19" s="8" t="s">
        <v>199</v>
      </c>
      <c r="D19" s="8" t="s">
        <v>1164</v>
      </c>
      <c r="E19" s="8" t="s">
        <v>1165</v>
      </c>
      <c r="H19" s="8" t="s">
        <v>200</v>
      </c>
      <c r="I19" s="15"/>
      <c r="J19" s="8" t="str">
        <f aca="false">IF(COUNTIFS('Scores (start here)'!$A:$A,$B$1,'Scores (start here)'!$B:$B,$A19,'Scores (start here)'!$F:$F,"&gt;=0")&gt;0,SUMIFS('Scores (start here)'!$F:$F,'Scores (start here)'!$A:$A,$B$1,'Scores (start here)'!$B:$B,$A19),L19)</f>
        <v/>
      </c>
      <c r="K19" s="12" t="s">
        <v>1166</v>
      </c>
      <c r="L19" s="8" t="str">
        <f aca="false">IF($B19="NO","NA",IF(I19="","",MIN(I19,$B$6)))</f>
        <v/>
      </c>
    </row>
  </sheetData>
  <dataValidations count="1">
    <dataValidation allowBlank="true" error="See the instruction above the 'Score' column." errorStyle="stop" operator="between" showDropDown="false" showErrorMessage="true" showInputMessage="false" sqref="I13:I19" type="decimal">
      <formula1>0</formula1>
      <formula2>1</formula2>
    </dataValidation>
  </dataValidations>
  <hyperlinks>
    <hyperlink ref="J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8" width="28"/>
    <col collapsed="false" customWidth="true" hidden="false" outlineLevel="0" max="2" min="2" style="8" width="10"/>
    <col collapsed="false" customWidth="true" hidden="false" outlineLevel="0" max="3" min="3" style="8" width="30"/>
    <col collapsed="false" customWidth="true" hidden="false" outlineLevel="0" max="8" min="8" style="8" width="10"/>
    <col collapsed="false" customWidth="true" hidden="false" outlineLevel="0" max="9" min="9" style="8" width="40"/>
  </cols>
  <sheetData>
    <row r="1" customFormat="false" ht="15" hidden="false" customHeight="true" outlineLevel="0" collapsed="false">
      <c r="A1" s="8" t="s">
        <v>836</v>
      </c>
      <c r="B1" s="8" t="s">
        <v>329</v>
      </c>
      <c r="C1" s="8" t="s">
        <v>837</v>
      </c>
      <c r="J1" s="13" t="s">
        <v>838</v>
      </c>
    </row>
    <row r="2" customFormat="false" ht="68.25" hidden="false" customHeight="true" outlineLevel="0" collapsed="false">
      <c r="A2" s="10" t="s">
        <v>589</v>
      </c>
      <c r="B2" s="4" t="str">
        <f aca="false">VLOOKUP($B$1,'PARASTATAL Questions'!$A:$J,3,0)&amp;""</f>
        <v>Decentralised Participatory Governance</v>
      </c>
    </row>
    <row r="3" customFormat="false" ht="15" hidden="false" customHeight="true" outlineLevel="0" collapsed="false">
      <c r="A3" s="10" t="s">
        <v>622</v>
      </c>
      <c r="B3" s="4" t="str">
        <f aca="false">VLOOKUP($B$1,'PARASTATAL Questions'!$A:$J,2,0)&amp;""</f>
        <v>DPG5g</v>
      </c>
    </row>
    <row r="4" customFormat="false" ht="15" hidden="false" customHeight="true" outlineLevel="0" collapsed="false">
      <c r="A4" s="10" t="s">
        <v>590</v>
      </c>
      <c r="B4" s="4" t="str">
        <f aca="false">VLOOKUP($B$1,'PARASTATAL Questions'!$A:$J,4,0)&amp;""</f>
        <v>SQ</v>
      </c>
    </row>
    <row r="5" customFormat="false" ht="34.5" hidden="false" customHeight="true" outlineLevel="0" collapsed="false">
      <c r="A5" s="10" t="s">
        <v>0</v>
      </c>
      <c r="B5" s="4" t="str">
        <f aca="false">VLOOKUP($B$1,'PARASTATAL Questions'!$A:$J,5,0)&amp;""</f>
        <v>Major plans / projects</v>
      </c>
    </row>
    <row r="6" customFormat="false" ht="15" hidden="false" customHeight="true" outlineLevel="0" collapsed="false">
      <c r="A6" s="10" t="s">
        <v>592</v>
      </c>
      <c r="B6" s="4" t="n">
        <f aca="false">VLOOKUP($B$1,'PARASTATAL Questions'!$A:$J,6,0)</f>
        <v>1</v>
      </c>
    </row>
    <row r="7" customFormat="false" ht="23.25" hidden="false" customHeight="true" outlineLevel="0" collapsed="false">
      <c r="A7" s="10" t="s">
        <v>591</v>
      </c>
      <c r="B7" s="4" t="str">
        <f aca="false">VLOOKUP($B$1,'PARASTATAL Questions'!$A:$J,7,0)&amp;""</f>
        <v>Implementation</v>
      </c>
    </row>
    <row r="8" customFormat="false" ht="15" hidden="false" customHeight="true" outlineLevel="0" collapsed="false">
      <c r="A8" s="10" t="s">
        <v>623</v>
      </c>
      <c r="B8" s="4" t="str">
        <f aca="false">VLOOKUP($B$1,'PARASTATAL Questions'!$A:$J,8,0)&amp;""</f>
        <v>Common.</v>
      </c>
    </row>
    <row r="9" customFormat="false" ht="1233" hidden="false" customHeight="true" outlineLevel="0" collapsed="false">
      <c r="A9" s="10" t="s">
        <v>624</v>
      </c>
      <c r="B9" s="4" t="str">
        <f aca="false">VLOOKUP($B$1,'PARASTATAL Questions'!$A:$J,9,0)&amp;""</f>
        <v>Availability and currency — 0.5Score 0.5: Major plans and/or information on ongoing projects is available and relates to the current FY or immediately preceding FY, as applicableScore 0: Major plans and/or information on ongoing projects cannot be found/accessed online or is older than the permitted period.Record the FY/year/date of the latest information found in a separate evidence field even where the score is 0. Minimum format/accessibility — 0.5Score 0.5: Major plans and/or information on ongoing projects available in the following manner- Plans: searchable/text-readable downloadable document. - Project information: searchable webpage/table or structured downloadable data (Searchable plan PDF; HTML project dashboard; XLS/CSV project list)Score 0: Major plans and/or information on ongoing projects is available but does not meet that standard (Scanned plan only; project information presented only as images)</v>
      </c>
    </row>
    <row r="10" customFormat="false" ht="102" hidden="false" customHeight="true" outlineLevel="0" collapsed="false">
      <c r="A10" s="10" t="s">
        <v>625</v>
      </c>
      <c r="B10" s="4" t="str">
        <f aca="false">VLOOKUP($B$1,'PARASTATAL Questions'!$A:$J,10,0)&amp;""</f>
        <v>Website screenshots/archived URLs with date of access, for each document type</v>
      </c>
    </row>
    <row r="11" customFormat="false" ht="15" hidden="false" customHeight="true" outlineLevel="0" collapsed="false">
      <c r="B11" s="14" t="s">
        <v>839</v>
      </c>
      <c r="I11" s="14" t="s">
        <v>1099</v>
      </c>
      <c r="J11" s="14" t="s">
        <v>841</v>
      </c>
      <c r="L11" s="8" t="s">
        <v>842</v>
      </c>
    </row>
    <row r="12" customFormat="false" ht="51.75" hidden="false" customHeight="true" outlineLevel="0" collapsed="false">
      <c r="A12" s="1" t="s">
        <v>612</v>
      </c>
      <c r="B12" s="1" t="s">
        <v>843</v>
      </c>
      <c r="C12" s="1" t="s">
        <v>844</v>
      </c>
      <c r="D12" s="1" t="s">
        <v>845</v>
      </c>
      <c r="E12" s="1" t="s">
        <v>846</v>
      </c>
      <c r="F12" s="1" t="s">
        <v>847</v>
      </c>
      <c r="G12" s="1" t="s">
        <v>848</v>
      </c>
      <c r="H12" s="1" t="s">
        <v>14</v>
      </c>
      <c r="I12" s="1" t="s">
        <v>849</v>
      </c>
      <c r="J12" s="1" t="s">
        <v>850</v>
      </c>
      <c r="K12" s="1" t="s">
        <v>851</v>
      </c>
      <c r="L12" s="8" t="s">
        <v>852</v>
      </c>
    </row>
    <row r="13" customFormat="false" ht="34.5" hidden="false" customHeight="true" outlineLevel="0" collapsed="false">
      <c r="A13" s="8" t="s">
        <v>19</v>
      </c>
      <c r="B13" s="8" t="s">
        <v>853</v>
      </c>
      <c r="C13" s="8" t="s">
        <v>114</v>
      </c>
      <c r="D13" s="8" t="s">
        <v>1167</v>
      </c>
      <c r="E13" s="8" t="s">
        <v>1168</v>
      </c>
      <c r="F13" s="8" t="s">
        <v>1169</v>
      </c>
      <c r="H13" s="8" t="s">
        <v>115</v>
      </c>
      <c r="I13" s="15"/>
      <c r="J13" s="8" t="str">
        <f aca="false">IF(COUNTIFS('Scores (start here)'!$A:$A,$B$1,'Scores (start here)'!$B:$B,$A13,'Scores (start here)'!$F:$F,"&gt;=0")&gt;0,SUMIFS('Scores (start here)'!$F:$F,'Scores (start here)'!$A:$A,$B$1,'Scores (start here)'!$B:$B,$A13),L13)</f>
        <v/>
      </c>
      <c r="K13" s="12" t="s">
        <v>1170</v>
      </c>
      <c r="L13" s="8" t="str">
        <f aca="false">IF($B13="NO","NA",IF(I13="","",MIN(I13,$B$6)))</f>
        <v/>
      </c>
    </row>
    <row r="14" customFormat="false" ht="15" hidden="false" customHeight="true" outlineLevel="0" collapsed="false">
      <c r="A14" s="8" t="s">
        <v>28</v>
      </c>
      <c r="B14" s="8" t="s">
        <v>853</v>
      </c>
      <c r="I14" s="15"/>
      <c r="J14" s="8" t="str">
        <f aca="false">IF(COUNTIFS('Scores (start here)'!$A:$A,$B$1,'Scores (start here)'!$B:$B,$A14,'Scores (start here)'!$F:$F,"&gt;=0")&gt;0,SUMIFS('Scores (start here)'!$F:$F,'Scores (start here)'!$A:$A,$B$1,'Scores (start here)'!$B:$B,$A14),L14)</f>
        <v/>
      </c>
      <c r="K14" s="8" t="s">
        <v>1171</v>
      </c>
      <c r="L14" s="8" t="str">
        <f aca="false">IF($B14="NO","NA",IF(I14="","",MIN(I14,$B$6)))</f>
        <v/>
      </c>
    </row>
    <row r="15" customFormat="false" ht="15" hidden="false" customHeight="true" outlineLevel="0" collapsed="false">
      <c r="A15" s="8" t="s">
        <v>34</v>
      </c>
      <c r="B15" s="8" t="s">
        <v>853</v>
      </c>
      <c r="I15" s="15"/>
      <c r="J15" s="8" t="str">
        <f aca="false">IF(COUNTIFS('Scores (start here)'!$A:$A,$B$1,'Scores (start here)'!$B:$B,$A15,'Scores (start here)'!$F:$F,"&gt;=0")&gt;0,SUMIFS('Scores (start here)'!$F:$F,'Scores (start here)'!$A:$A,$B$1,'Scores (start here)'!$B:$B,$A15),L15)</f>
        <v/>
      </c>
      <c r="K15" s="8" t="s">
        <v>1172</v>
      </c>
      <c r="L15" s="8" t="str">
        <f aca="false">IF($B15="NO","NA",IF(I15="","",MIN(I15,$B$6)))</f>
        <v/>
      </c>
    </row>
    <row r="16" customFormat="false" ht="15" hidden="false" customHeight="true" outlineLevel="0" collapsed="false">
      <c r="A16" s="8" t="s">
        <v>40</v>
      </c>
      <c r="B16" s="8" t="s">
        <v>853</v>
      </c>
      <c r="C16" s="8" t="s">
        <v>334</v>
      </c>
      <c r="D16" s="8" t="s">
        <v>1173</v>
      </c>
      <c r="E16" s="8" t="s">
        <v>1174</v>
      </c>
      <c r="F16" s="8" t="s">
        <v>1175</v>
      </c>
      <c r="G16" s="8" t="s">
        <v>998</v>
      </c>
      <c r="H16" s="8" t="s">
        <v>335</v>
      </c>
      <c r="I16" s="15"/>
      <c r="J16" s="8" t="str">
        <f aca="false">IF(COUNTIFS('Scores (start here)'!$A:$A,$B$1,'Scores (start here)'!$B:$B,$A16,'Scores (start here)'!$F:$F,"&gt;=0")&gt;0,SUMIFS('Scores (start here)'!$F:$F,'Scores (start here)'!$A:$A,$B$1,'Scores (start here)'!$B:$B,$A16),L16)</f>
        <v/>
      </c>
      <c r="K16" s="12" t="s">
        <v>1176</v>
      </c>
      <c r="L16" s="8" t="str">
        <f aca="false">IF($B16="NO","NA",IF(I16="","",MIN(I16,$B$6)))</f>
        <v/>
      </c>
    </row>
    <row r="17" customFormat="false" ht="15" hidden="false" customHeight="true" outlineLevel="0" collapsed="false">
      <c r="A17" s="8" t="s">
        <v>45</v>
      </c>
      <c r="B17" s="8" t="s">
        <v>853</v>
      </c>
      <c r="C17" s="8" t="s">
        <v>1177</v>
      </c>
      <c r="D17" s="8" t="s">
        <v>1178</v>
      </c>
      <c r="E17" s="8" t="s">
        <v>1179</v>
      </c>
      <c r="H17" s="8" t="s">
        <v>240</v>
      </c>
      <c r="I17" s="15"/>
      <c r="J17" s="8" t="str">
        <f aca="false">IF(COUNTIFS('Scores (start here)'!$A:$A,$B$1,'Scores (start here)'!$B:$B,$A17,'Scores (start here)'!$F:$F,"&gt;=0")&gt;0,SUMIFS('Scores (start here)'!$F:$F,'Scores (start here)'!$A:$A,$B$1,'Scores (start here)'!$B:$B,$A17),L17)</f>
        <v/>
      </c>
      <c r="K17" s="8" t="s">
        <v>1180</v>
      </c>
      <c r="L17" s="8" t="str">
        <f aca="false">IF($B17="NO","NA",IF(I17="","",MIN(I17,$B$6)))</f>
        <v/>
      </c>
    </row>
    <row r="18" customFormat="false" ht="15" hidden="false" customHeight="true" outlineLevel="0" collapsed="false">
      <c r="A18" s="8" t="s">
        <v>51</v>
      </c>
      <c r="B18" s="8" t="s">
        <v>853</v>
      </c>
      <c r="C18" s="8" t="s">
        <v>64</v>
      </c>
      <c r="D18" s="8" t="s">
        <v>1181</v>
      </c>
      <c r="E18" s="8" t="s">
        <v>1182</v>
      </c>
      <c r="F18" s="8" t="s">
        <v>1183</v>
      </c>
      <c r="G18" s="8" t="s">
        <v>1184</v>
      </c>
      <c r="H18" s="8" t="s">
        <v>65</v>
      </c>
      <c r="I18" s="15"/>
      <c r="J18" s="8" t="str">
        <f aca="false">IF(COUNTIFS('Scores (start here)'!$A:$A,$B$1,'Scores (start here)'!$B:$B,$A18,'Scores (start here)'!$F:$F,"&gt;=0")&gt;0,SUMIFS('Scores (start here)'!$F:$F,'Scores (start here)'!$A:$A,$B$1,'Scores (start here)'!$B:$B,$A18),L18)</f>
        <v/>
      </c>
      <c r="K18" s="12" t="s">
        <v>1185</v>
      </c>
      <c r="L18" s="8" t="str">
        <f aca="false">IF($B18="NO","NA",IF(I18="","",MIN(I18,$B$6)))</f>
        <v/>
      </c>
    </row>
    <row r="19" customFormat="false" ht="15" hidden="false" customHeight="true" outlineLevel="0" collapsed="false">
      <c r="A19" s="8" t="s">
        <v>54</v>
      </c>
      <c r="B19" s="8" t="s">
        <v>853</v>
      </c>
      <c r="C19" s="8" t="s">
        <v>343</v>
      </c>
      <c r="D19" s="8" t="s">
        <v>1186</v>
      </c>
      <c r="E19" s="8" t="s">
        <v>1187</v>
      </c>
      <c r="F19" s="8" t="s">
        <v>1188</v>
      </c>
      <c r="H19" s="8" t="s">
        <v>344</v>
      </c>
      <c r="I19" s="15" t="n">
        <v>1</v>
      </c>
      <c r="J19" s="8" t="n">
        <f aca="false">IF(COUNTIFS('Scores (start here)'!$A:$A,$B$1,'Scores (start here)'!$B:$B,$A19,'Scores (start here)'!$F:$F,"&gt;=0")&gt;0,SUMIFS('Scores (start here)'!$F:$F,'Scores (start here)'!$A:$A,$B$1,'Scores (start here)'!$B:$B,$A19),L19)</f>
        <v>1</v>
      </c>
      <c r="K19" s="12" t="s">
        <v>1189</v>
      </c>
      <c r="L19" s="8" t="n">
        <f aca="false">IF($B19="NO","NA",IF(I19="","",MIN(I19,$B$6)))</f>
        <v>1</v>
      </c>
    </row>
  </sheetData>
  <dataValidations count="1">
    <dataValidation allowBlank="true" error="See the instruction above the 'Score' column." errorStyle="stop" operator="between" showDropDown="false" showErrorMessage="true" showInputMessage="false" sqref="I13:I19" type="decimal">
      <formula1>0</formula1>
      <formula2>1</formula2>
    </dataValidation>
  </dataValidations>
  <hyperlinks>
    <hyperlink ref="J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8" width="28"/>
    <col collapsed="false" customWidth="true" hidden="false" outlineLevel="0" max="2" min="2" style="8" width="10"/>
    <col collapsed="false" customWidth="true" hidden="false" outlineLevel="0" max="3" min="3" style="8" width="30"/>
    <col collapsed="false" customWidth="true" hidden="false" outlineLevel="0" max="8" min="8" style="8" width="10"/>
    <col collapsed="false" customWidth="true" hidden="false" outlineLevel="0" max="9" min="9" style="8" width="40"/>
  </cols>
  <sheetData>
    <row r="1" customFormat="false" ht="15" hidden="false" customHeight="true" outlineLevel="0" collapsed="false">
      <c r="A1" s="8" t="s">
        <v>836</v>
      </c>
      <c r="B1" s="8" t="s">
        <v>347</v>
      </c>
      <c r="C1" s="8" t="s">
        <v>837</v>
      </c>
      <c r="J1" s="13" t="s">
        <v>838</v>
      </c>
    </row>
    <row r="2" customFormat="false" ht="68.25" hidden="false" customHeight="true" outlineLevel="0" collapsed="false">
      <c r="A2" s="10" t="s">
        <v>589</v>
      </c>
      <c r="B2" s="4" t="str">
        <f aca="false">VLOOKUP($B$1,'PARASTATAL Questions'!$A:$J,3,0)&amp;""</f>
        <v>Decentralised Participatory Governance</v>
      </c>
    </row>
    <row r="3" customFormat="false" ht="15" hidden="false" customHeight="true" outlineLevel="0" collapsed="false">
      <c r="A3" s="10" t="s">
        <v>622</v>
      </c>
      <c r="B3" s="4" t="str">
        <f aca="false">VLOOKUP($B$1,'PARASTATAL Questions'!$A:$J,2,0)&amp;""</f>
        <v>DPG h</v>
      </c>
    </row>
    <row r="4" customFormat="false" ht="15" hidden="false" customHeight="true" outlineLevel="0" collapsed="false">
      <c r="A4" s="10" t="s">
        <v>590</v>
      </c>
      <c r="B4" s="4" t="str">
        <f aca="false">VLOOKUP($B$1,'PARASTATAL Questions'!$A:$J,4,0)&amp;""</f>
        <v>SQ</v>
      </c>
    </row>
    <row r="5" customFormat="false" ht="68.25" hidden="false" customHeight="true" outlineLevel="0" collapsed="false">
      <c r="A5" s="10" t="s">
        <v>0</v>
      </c>
      <c r="B5" s="4" t="str">
        <f aca="false">VLOOKUP($B$1,'PARASTATAL Questions'!$A:$J,5,0)&amp;""</f>
        <v>Service-level benchmarks and performance reports</v>
      </c>
    </row>
    <row r="6" customFormat="false" ht="15" hidden="false" customHeight="true" outlineLevel="0" collapsed="false">
      <c r="A6" s="10" t="s">
        <v>592</v>
      </c>
      <c r="B6" s="4" t="n">
        <f aca="false">VLOOKUP($B$1,'PARASTATAL Questions'!$A:$J,6,0)</f>
        <v>1</v>
      </c>
    </row>
    <row r="7" customFormat="false" ht="23.25" hidden="false" customHeight="true" outlineLevel="0" collapsed="false">
      <c r="A7" s="10" t="s">
        <v>591</v>
      </c>
      <c r="B7" s="4" t="str">
        <f aca="false">VLOOKUP($B$1,'PARASTATAL Questions'!$A:$J,7,0)&amp;""</f>
        <v>Implementation</v>
      </c>
    </row>
    <row r="8" customFormat="false" ht="15" hidden="false" customHeight="true" outlineLevel="0" collapsed="false">
      <c r="A8" s="10" t="s">
        <v>623</v>
      </c>
      <c r="B8" s="4" t="str">
        <f aca="false">VLOOKUP($B$1,'PARASTATAL Questions'!$A:$J,8,0)&amp;""</f>
        <v>Common.</v>
      </c>
    </row>
    <row r="9" customFormat="false" ht="986.25" hidden="false" customHeight="true" outlineLevel="0" collapsed="false">
      <c r="A9" s="10" t="s">
        <v>624</v>
      </c>
      <c r="B9" s="4" t="str">
        <f aca="false">VLOOKUP($B$1,'PARASTATAL Questions'!$A:$J,9,0)&amp;""</f>
        <v>Availability and currency — 0.5Score 0.5: Performance information for the current FY or immediately preceding FY is publicly available onlineScore 0: Performance information cannot be found/accessed online or is older than the permitted period.Record the FY/year/date of the latest information found in a separate evidence field even where the score is 0. Minimum format/accessibility — 0.5Score 0.5: Performance information available in a structured, machine-readable/reusable format (CSV, XLS/XLSX, ODS, structured HTML table/dashboard with downloadable data)Score 0: Performance information is available but does not meet that standard (Scanned performance report; image/chart with no underlying readable/reusable values)</v>
      </c>
    </row>
    <row r="10" customFormat="false" ht="102" hidden="false" customHeight="true" outlineLevel="0" collapsed="false">
      <c r="A10" s="10" t="s">
        <v>625</v>
      </c>
      <c r="B10" s="4" t="str">
        <f aca="false">VLOOKUP($B$1,'PARASTATAL Questions'!$A:$J,10,0)&amp;""</f>
        <v>Website screenshots/archived URLs with date of access, for each document type</v>
      </c>
    </row>
    <row r="11" customFormat="false" ht="15" hidden="false" customHeight="true" outlineLevel="0" collapsed="false">
      <c r="B11" s="14" t="s">
        <v>839</v>
      </c>
      <c r="I11" s="14" t="s">
        <v>1099</v>
      </c>
      <c r="J11" s="14" t="s">
        <v>841</v>
      </c>
      <c r="L11" s="8" t="s">
        <v>842</v>
      </c>
    </row>
    <row r="12" customFormat="false" ht="51.75" hidden="false" customHeight="true" outlineLevel="0" collapsed="false">
      <c r="A12" s="1" t="s">
        <v>612</v>
      </c>
      <c r="B12" s="1" t="s">
        <v>843</v>
      </c>
      <c r="C12" s="1" t="s">
        <v>844</v>
      </c>
      <c r="D12" s="1" t="s">
        <v>845</v>
      </c>
      <c r="E12" s="1" t="s">
        <v>846</v>
      </c>
      <c r="F12" s="1" t="s">
        <v>847</v>
      </c>
      <c r="G12" s="1" t="s">
        <v>848</v>
      </c>
      <c r="H12" s="1" t="s">
        <v>14</v>
      </c>
      <c r="I12" s="1" t="s">
        <v>849</v>
      </c>
      <c r="J12" s="1" t="s">
        <v>850</v>
      </c>
      <c r="K12" s="1" t="s">
        <v>851</v>
      </c>
      <c r="L12" s="8" t="s">
        <v>852</v>
      </c>
    </row>
    <row r="13" customFormat="false" ht="15" hidden="false" customHeight="true" outlineLevel="0" collapsed="false">
      <c r="A13" s="8" t="s">
        <v>19</v>
      </c>
      <c r="B13" s="8" t="s">
        <v>853</v>
      </c>
      <c r="I13" s="15"/>
      <c r="J13" s="8" t="str">
        <f aca="false">IF(COUNTIFS('Scores (start here)'!$A:$A,$B$1,'Scores (start here)'!$B:$B,$A13,'Scores (start here)'!$F:$F,"&gt;=0")&gt;0,SUMIFS('Scores (start here)'!$F:$F,'Scores (start here)'!$A:$A,$B$1,'Scores (start here)'!$B:$B,$A13),L13)</f>
        <v/>
      </c>
      <c r="K13" s="8" t="s">
        <v>1190</v>
      </c>
      <c r="L13" s="8" t="str">
        <f aca="false">IF($B13="NO","NA",IF(I13="","",MIN(I13,$B$6)))</f>
        <v/>
      </c>
    </row>
    <row r="14" customFormat="false" ht="202.5" hidden="false" customHeight="true" outlineLevel="0" collapsed="false">
      <c r="A14" s="8" t="s">
        <v>28</v>
      </c>
      <c r="B14" s="8" t="s">
        <v>853</v>
      </c>
      <c r="C14" s="8" t="s">
        <v>350</v>
      </c>
      <c r="D14" s="8" t="s">
        <v>1191</v>
      </c>
      <c r="E14" s="8" t="s">
        <v>1192</v>
      </c>
      <c r="F14" s="8" t="s">
        <v>1193</v>
      </c>
      <c r="H14" s="8" t="s">
        <v>351</v>
      </c>
      <c r="I14" s="15"/>
      <c r="J14" s="8" t="str">
        <f aca="false">IF(COUNTIFS('Scores (start here)'!$A:$A,$B$1,'Scores (start here)'!$B:$B,$A14,'Scores (start here)'!$F:$F,"&gt;=0")&gt;0,SUMIFS('Scores (start here)'!$F:$F,'Scores (start here)'!$A:$A,$B$1,'Scores (start here)'!$B:$B,$A14),L14)</f>
        <v/>
      </c>
      <c r="K14" s="12" t="s">
        <v>1194</v>
      </c>
      <c r="L14" s="8" t="str">
        <f aca="false">IF($B14="NO","NA",IF(I14="","",MIN(I14,$B$6)))</f>
        <v/>
      </c>
    </row>
    <row r="15" customFormat="false" ht="15" hidden="false" customHeight="true" outlineLevel="0" collapsed="false">
      <c r="A15" s="8" t="s">
        <v>34</v>
      </c>
      <c r="B15" s="8" t="s">
        <v>853</v>
      </c>
      <c r="I15" s="15"/>
      <c r="J15" s="8" t="str">
        <f aca="false">IF(COUNTIFS('Scores (start here)'!$A:$A,$B$1,'Scores (start here)'!$B:$B,$A15,'Scores (start here)'!$F:$F,"&gt;=0")&gt;0,SUMIFS('Scores (start here)'!$F:$F,'Scores (start here)'!$A:$A,$B$1,'Scores (start here)'!$B:$B,$A15),L15)</f>
        <v/>
      </c>
      <c r="K15" s="8" t="s">
        <v>1195</v>
      </c>
      <c r="L15" s="8" t="str">
        <f aca="false">IF($B15="NO","NA",IF(I15="","",MIN(I15,$B$6)))</f>
        <v/>
      </c>
    </row>
    <row r="16" customFormat="false" ht="15" hidden="false" customHeight="true" outlineLevel="0" collapsed="false">
      <c r="A16" s="8" t="s">
        <v>40</v>
      </c>
      <c r="B16" s="8" t="s">
        <v>853</v>
      </c>
      <c r="I16" s="15"/>
      <c r="J16" s="8" t="str">
        <f aca="false">IF(COUNTIFS('Scores (start here)'!$A:$A,$B$1,'Scores (start here)'!$B:$B,$A16,'Scores (start here)'!$F:$F,"&gt;=0")&gt;0,SUMIFS('Scores (start here)'!$F:$F,'Scores (start here)'!$A:$A,$B$1,'Scores (start here)'!$B:$B,$A16),L16)</f>
        <v/>
      </c>
      <c r="K16" s="8" t="s">
        <v>1196</v>
      </c>
      <c r="L16" s="8" t="str">
        <f aca="false">IF($B16="NO","NA",IF(I16="","",MIN(I16,$B$6)))</f>
        <v/>
      </c>
    </row>
    <row r="17" customFormat="false" ht="15" hidden="false" customHeight="true" outlineLevel="0" collapsed="false">
      <c r="A17" s="8" t="s">
        <v>45</v>
      </c>
      <c r="B17" s="8" t="s">
        <v>853</v>
      </c>
      <c r="C17" s="8" t="s">
        <v>239</v>
      </c>
      <c r="D17" s="8" t="s">
        <v>1197</v>
      </c>
      <c r="E17" s="8" t="s">
        <v>1198</v>
      </c>
      <c r="F17" s="8" t="s">
        <v>1199</v>
      </c>
      <c r="H17" s="8" t="s">
        <v>240</v>
      </c>
      <c r="I17" s="15" t="n">
        <v>0</v>
      </c>
      <c r="J17" s="8" t="n">
        <f aca="false">IF(COUNTIFS('Scores (start here)'!$A:$A,$B$1,'Scores (start here)'!$B:$B,$A17,'Scores (start here)'!$F:$F,"&gt;=0")&gt;0,SUMIFS('Scores (start here)'!$F:$F,'Scores (start here)'!$A:$A,$B$1,'Scores (start here)'!$B:$B,$A17),L17)</f>
        <v>0</v>
      </c>
      <c r="K17" s="12" t="s">
        <v>1200</v>
      </c>
      <c r="L17" s="8" t="n">
        <f aca="false">IF($B17="NO","NA",IF(I17="","",MIN(I17,$B$6)))</f>
        <v>0</v>
      </c>
    </row>
    <row r="18" customFormat="false" ht="15" hidden="false" customHeight="true" outlineLevel="0" collapsed="false">
      <c r="A18" s="8" t="s">
        <v>51</v>
      </c>
      <c r="B18" s="8" t="s">
        <v>853</v>
      </c>
      <c r="I18" s="15"/>
      <c r="J18" s="8" t="str">
        <f aca="false">IF(COUNTIFS('Scores (start here)'!$A:$A,$B$1,'Scores (start here)'!$B:$B,$A18,'Scores (start here)'!$F:$F,"&gt;=0")&gt;0,SUMIFS('Scores (start here)'!$F:$F,'Scores (start here)'!$A:$A,$B$1,'Scores (start here)'!$B:$B,$A18),L18)</f>
        <v/>
      </c>
      <c r="K18" s="8" t="s">
        <v>1201</v>
      </c>
      <c r="L18" s="8" t="str">
        <f aca="false">IF($B18="NO","NA",IF(I18="","",MIN(I18,$B$6)))</f>
        <v/>
      </c>
    </row>
    <row r="19" customFormat="false" ht="15" hidden="false" customHeight="true" outlineLevel="0" collapsed="false">
      <c r="A19" s="8" t="s">
        <v>54</v>
      </c>
      <c r="B19" s="8" t="s">
        <v>853</v>
      </c>
      <c r="I19" s="15"/>
      <c r="J19" s="8" t="str">
        <f aca="false">IF(COUNTIFS('Scores (start here)'!$A:$A,$B$1,'Scores (start here)'!$B:$B,$A19,'Scores (start here)'!$F:$F,"&gt;=0")&gt;0,SUMIFS('Scores (start here)'!$F:$F,'Scores (start here)'!$A:$A,$B$1,'Scores (start here)'!$B:$B,$A19),L19)</f>
        <v/>
      </c>
      <c r="K19" s="8" t="s">
        <v>1202</v>
      </c>
      <c r="L19" s="8" t="str">
        <f aca="false">IF($B19="NO","NA",IF(I19="","",MIN(I19,$B$6)))</f>
        <v/>
      </c>
    </row>
  </sheetData>
  <dataValidations count="1">
    <dataValidation allowBlank="true" error="See the instruction above the 'Score' column." errorStyle="stop" operator="between" showDropDown="false" showErrorMessage="true" showInputMessage="false" sqref="I13:I19" type="decimal">
      <formula1>0</formula1>
      <formula2>1</formula2>
    </dataValidation>
  </dataValidations>
  <hyperlinks>
    <hyperlink ref="J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8" width="28"/>
    <col collapsed="false" customWidth="true" hidden="false" outlineLevel="0" max="2" min="2" style="8" width="10"/>
    <col collapsed="false" customWidth="true" hidden="false" outlineLevel="0" max="3" min="3" style="8" width="30"/>
    <col collapsed="false" customWidth="true" hidden="false" outlineLevel="0" max="8" min="8" style="8" width="10"/>
    <col collapsed="false" customWidth="true" hidden="false" outlineLevel="0" max="9" min="9" style="8" width="40"/>
  </cols>
  <sheetData>
    <row r="1" customFormat="false" ht="15" hidden="false" customHeight="true" outlineLevel="0" collapsed="false">
      <c r="A1" s="8" t="s">
        <v>836</v>
      </c>
      <c r="B1" s="8" t="s">
        <v>359</v>
      </c>
      <c r="C1" s="8" t="s">
        <v>837</v>
      </c>
      <c r="J1" s="13" t="s">
        <v>838</v>
      </c>
    </row>
    <row r="2" customFormat="false" ht="68.25" hidden="false" customHeight="true" outlineLevel="0" collapsed="false">
      <c r="A2" s="10" t="s">
        <v>589</v>
      </c>
      <c r="B2" s="4" t="str">
        <f aca="false">VLOOKUP($B$1,'PARASTATAL Questions'!$A:$J,3,0)&amp;""</f>
        <v>Decentralised Participatory Governance</v>
      </c>
    </row>
    <row r="3" customFormat="false" ht="15" hidden="false" customHeight="true" outlineLevel="0" collapsed="false">
      <c r="A3" s="10" t="s">
        <v>622</v>
      </c>
      <c r="B3" s="4" t="str">
        <f aca="false">VLOOKUP($B$1,'PARASTATAL Questions'!$A:$J,2,0)&amp;""</f>
        <v>DPG5i</v>
      </c>
    </row>
    <row r="4" customFormat="false" ht="15" hidden="false" customHeight="true" outlineLevel="0" collapsed="false">
      <c r="A4" s="10" t="s">
        <v>590</v>
      </c>
      <c r="B4" s="4" t="str">
        <f aca="false">VLOOKUP($B$1,'PARASTATAL Questions'!$A:$J,4,0)&amp;""</f>
        <v>SQ</v>
      </c>
    </row>
    <row r="5" customFormat="false" ht="34.5" hidden="false" customHeight="true" outlineLevel="0" collapsed="false">
      <c r="A5" s="10" t="s">
        <v>0</v>
      </c>
      <c r="B5" s="4" t="str">
        <f aca="false">VLOOKUP($B$1,'PARASTATAL Questions'!$A:$J,5,0)&amp;""</f>
        <v>Citizen / Service Charter</v>
      </c>
    </row>
    <row r="6" customFormat="false" ht="15" hidden="false" customHeight="true" outlineLevel="0" collapsed="false">
      <c r="A6" s="10" t="s">
        <v>592</v>
      </c>
      <c r="B6" s="4" t="n">
        <f aca="false">VLOOKUP($B$1,'PARASTATAL Questions'!$A:$J,6,0)</f>
        <v>1</v>
      </c>
    </row>
    <row r="7" customFormat="false" ht="23.25" hidden="false" customHeight="true" outlineLevel="0" collapsed="false">
      <c r="A7" s="10" t="s">
        <v>591</v>
      </c>
      <c r="B7" s="4" t="str">
        <f aca="false">VLOOKUP($B$1,'PARASTATAL Questions'!$A:$J,7,0)&amp;""</f>
        <v>Implementation</v>
      </c>
    </row>
    <row r="8" customFormat="false" ht="15" hidden="false" customHeight="true" outlineLevel="0" collapsed="false">
      <c r="A8" s="10" t="s">
        <v>623</v>
      </c>
      <c r="B8" s="4" t="str">
        <f aca="false">VLOOKUP($B$1,'PARASTATAL Questions'!$A:$J,8,0)&amp;""</f>
        <v>Common.</v>
      </c>
    </row>
    <row r="9" customFormat="false" ht="885.75" hidden="false" customHeight="true" outlineLevel="0" collapsed="false">
      <c r="A9" s="10" t="s">
        <v>624</v>
      </c>
      <c r="B9" s="4" t="str">
        <f aca="false">VLOOKUP($B$1,'PARASTATAL Questions'!$A:$J,9,0)&amp;""</f>
        <v>Availability and currency — 0.5Score 0.5: A currently applicable Charter is publicly available. No annual publication requirement; do not treat it as outdated solely because it predates the preceding FY if it remains in force.Score 0: Charter cannot be found/accessed online or is older than the permitted period.Record the FY/year/date of the latest information found in a separate evidence field even where the score is 0. Minimum format/accessibility — 0.5Score 0.5: Charter available in a searchable/text-readable webpage or downloadable document (HTML, searchable PDF/PDF-A, DOC/DOCX)Score 0: Charter is available but does not meet that standard (Scanned/image-only Charter)</v>
      </c>
    </row>
    <row r="10" customFormat="false" ht="102" hidden="false" customHeight="true" outlineLevel="0" collapsed="false">
      <c r="A10" s="10" t="s">
        <v>625</v>
      </c>
      <c r="B10" s="4" t="str">
        <f aca="false">VLOOKUP($B$1,'PARASTATAL Questions'!$A:$J,10,0)&amp;""</f>
        <v>Website screenshots/archived URLs with date of access, for each document type</v>
      </c>
    </row>
    <row r="11" customFormat="false" ht="15" hidden="false" customHeight="true" outlineLevel="0" collapsed="false">
      <c r="B11" s="14" t="s">
        <v>839</v>
      </c>
      <c r="I11" s="14" t="s">
        <v>1099</v>
      </c>
      <c r="J11" s="14" t="s">
        <v>841</v>
      </c>
      <c r="L11" s="8" t="s">
        <v>842</v>
      </c>
    </row>
    <row r="12" customFormat="false" ht="51.75" hidden="false" customHeight="true" outlineLevel="0" collapsed="false">
      <c r="A12" s="1" t="s">
        <v>612</v>
      </c>
      <c r="B12" s="1" t="s">
        <v>843</v>
      </c>
      <c r="C12" s="1" t="s">
        <v>844</v>
      </c>
      <c r="D12" s="1" t="s">
        <v>845</v>
      </c>
      <c r="E12" s="1" t="s">
        <v>846</v>
      </c>
      <c r="F12" s="1" t="s">
        <v>847</v>
      </c>
      <c r="G12" s="1" t="s">
        <v>848</v>
      </c>
      <c r="H12" s="1" t="s">
        <v>14</v>
      </c>
      <c r="I12" s="1" t="s">
        <v>849</v>
      </c>
      <c r="J12" s="1" t="s">
        <v>850</v>
      </c>
      <c r="K12" s="1" t="s">
        <v>851</v>
      </c>
      <c r="L12" s="8" t="s">
        <v>852</v>
      </c>
    </row>
    <row r="13" customFormat="false" ht="34.5" hidden="false" customHeight="true" outlineLevel="0" collapsed="false">
      <c r="A13" s="8" t="s">
        <v>19</v>
      </c>
      <c r="B13" s="8" t="s">
        <v>853</v>
      </c>
      <c r="C13" s="8" t="s">
        <v>361</v>
      </c>
      <c r="D13" s="8" t="s">
        <v>1203</v>
      </c>
      <c r="E13" s="8" t="s">
        <v>1204</v>
      </c>
      <c r="F13" s="8" t="s">
        <v>1205</v>
      </c>
      <c r="H13" s="8" t="s">
        <v>362</v>
      </c>
      <c r="I13" s="15"/>
      <c r="J13" s="8" t="str">
        <f aca="false">IF(COUNTIFS('Scores (start here)'!$A:$A,$B$1,'Scores (start here)'!$B:$B,$A13,'Scores (start here)'!$F:$F,"&gt;=0")&gt;0,SUMIFS('Scores (start here)'!$F:$F,'Scores (start here)'!$A:$A,$B$1,'Scores (start here)'!$B:$B,$A13),L13)</f>
        <v/>
      </c>
      <c r="K13" s="12" t="s">
        <v>1206</v>
      </c>
      <c r="L13" s="8" t="str">
        <f aca="false">IF($B13="NO","NA",IF(I13="","",MIN(I13,$B$6)))</f>
        <v/>
      </c>
    </row>
    <row r="14" customFormat="false" ht="15" hidden="false" customHeight="true" outlineLevel="0" collapsed="false">
      <c r="A14" s="8" t="s">
        <v>28</v>
      </c>
      <c r="B14" s="8" t="s">
        <v>853</v>
      </c>
      <c r="I14" s="15"/>
      <c r="J14" s="8" t="str">
        <f aca="false">IF(COUNTIFS('Scores (start here)'!$A:$A,$B$1,'Scores (start here)'!$B:$B,$A14,'Scores (start here)'!$F:$F,"&gt;=0")&gt;0,SUMIFS('Scores (start here)'!$F:$F,'Scores (start here)'!$A:$A,$B$1,'Scores (start here)'!$B:$B,$A14),L14)</f>
        <v/>
      </c>
      <c r="K14" s="8" t="s">
        <v>1207</v>
      </c>
      <c r="L14" s="8" t="str">
        <f aca="false">IF($B14="NO","NA",IF(I14="","",MIN(I14,$B$6)))</f>
        <v/>
      </c>
    </row>
    <row r="15" customFormat="false" ht="15" hidden="false" customHeight="true" outlineLevel="0" collapsed="false">
      <c r="A15" s="8" t="s">
        <v>34</v>
      </c>
      <c r="B15" s="8" t="s">
        <v>853</v>
      </c>
      <c r="I15" s="15"/>
      <c r="J15" s="8" t="str">
        <f aca="false">IF(COUNTIFS('Scores (start here)'!$A:$A,$B$1,'Scores (start here)'!$B:$B,$A15,'Scores (start here)'!$F:$F,"&gt;=0")&gt;0,SUMIFS('Scores (start here)'!$F:$F,'Scores (start here)'!$A:$A,$B$1,'Scores (start here)'!$B:$B,$A15),L15)</f>
        <v/>
      </c>
      <c r="K15" s="8" t="s">
        <v>1208</v>
      </c>
      <c r="L15" s="8" t="str">
        <f aca="false">IF($B15="NO","NA",IF(I15="","",MIN(I15,$B$6)))</f>
        <v/>
      </c>
    </row>
    <row r="16" customFormat="false" ht="15" hidden="false" customHeight="true" outlineLevel="0" collapsed="false">
      <c r="A16" s="8" t="s">
        <v>40</v>
      </c>
      <c r="B16" s="8" t="s">
        <v>853</v>
      </c>
      <c r="I16" s="15"/>
      <c r="J16" s="8" t="str">
        <f aca="false">IF(COUNTIFS('Scores (start here)'!$A:$A,$B$1,'Scores (start here)'!$B:$B,$A16,'Scores (start here)'!$F:$F,"&gt;=0")&gt;0,SUMIFS('Scores (start here)'!$F:$F,'Scores (start here)'!$A:$A,$B$1,'Scores (start here)'!$B:$B,$A16),L16)</f>
        <v/>
      </c>
      <c r="K16" s="8" t="s">
        <v>1209</v>
      </c>
      <c r="L16" s="8" t="str">
        <f aca="false">IF($B16="NO","NA",IF(I16="","",MIN(I16,$B$6)))</f>
        <v/>
      </c>
    </row>
    <row r="17" customFormat="false" ht="38.25" hidden="false" customHeight="true" outlineLevel="0" collapsed="false">
      <c r="A17" s="8" t="s">
        <v>45</v>
      </c>
      <c r="B17" s="8" t="s">
        <v>853</v>
      </c>
      <c r="C17" s="8" t="s">
        <v>239</v>
      </c>
      <c r="D17" s="8" t="s">
        <v>1210</v>
      </c>
      <c r="E17" s="8" t="s">
        <v>1211</v>
      </c>
      <c r="F17" s="8" t="s">
        <v>1212</v>
      </c>
      <c r="H17" s="8" t="s">
        <v>240</v>
      </c>
      <c r="I17" s="15"/>
      <c r="J17" s="8" t="str">
        <f aca="false">IF(COUNTIFS('Scores (start here)'!$A:$A,$B$1,'Scores (start here)'!$B:$B,$A17,'Scores (start here)'!$F:$F,"&gt;=0")&gt;0,SUMIFS('Scores (start here)'!$F:$F,'Scores (start here)'!$A:$A,$B$1,'Scores (start here)'!$B:$B,$A17),L17)</f>
        <v/>
      </c>
      <c r="K17" s="12" t="s">
        <v>1213</v>
      </c>
      <c r="L17" s="8" t="str">
        <f aca="false">IF($B17="NO","NA",IF(I17="","",MIN(I17,$B$6)))</f>
        <v/>
      </c>
    </row>
    <row r="18" customFormat="false" ht="15" hidden="false" customHeight="true" outlineLevel="0" collapsed="false">
      <c r="A18" s="8" t="s">
        <v>51</v>
      </c>
      <c r="B18" s="8" t="s">
        <v>853</v>
      </c>
      <c r="I18" s="15"/>
      <c r="J18" s="8" t="str">
        <f aca="false">IF(COUNTIFS('Scores (start here)'!$A:$A,$B$1,'Scores (start here)'!$B:$B,$A18,'Scores (start here)'!$F:$F,"&gt;=0")&gt;0,SUMIFS('Scores (start here)'!$F:$F,'Scores (start here)'!$A:$A,$B$1,'Scores (start here)'!$B:$B,$A18),L18)</f>
        <v/>
      </c>
      <c r="K18" s="8" t="s">
        <v>1214</v>
      </c>
      <c r="L18" s="8" t="str">
        <f aca="false">IF($B18="NO","NA",IF(I18="","",MIN(I18,$B$6)))</f>
        <v/>
      </c>
    </row>
    <row r="19" customFormat="false" ht="15" hidden="false" customHeight="true" outlineLevel="0" collapsed="false">
      <c r="A19" s="8" t="s">
        <v>54</v>
      </c>
      <c r="B19" s="8" t="s">
        <v>853</v>
      </c>
      <c r="I19" s="15"/>
      <c r="J19" s="8" t="str">
        <f aca="false">IF(COUNTIFS('Scores (start here)'!$A:$A,$B$1,'Scores (start here)'!$B:$B,$A19,'Scores (start here)'!$F:$F,"&gt;=0")&gt;0,SUMIFS('Scores (start here)'!$F:$F,'Scores (start here)'!$A:$A,$B$1,'Scores (start here)'!$B:$B,$A19),L19)</f>
        <v/>
      </c>
      <c r="K19" s="8" t="s">
        <v>1215</v>
      </c>
      <c r="L19" s="8" t="str">
        <f aca="false">IF($B19="NO","NA",IF(I19="","",MIN(I19,$B$6)))</f>
        <v/>
      </c>
    </row>
  </sheetData>
  <dataValidations count="1">
    <dataValidation allowBlank="true" error="See the instruction above the 'Score' column." errorStyle="stop" operator="between" showDropDown="false" showErrorMessage="true" showInputMessage="false" sqref="I13:I19" type="decimal">
      <formula1>0</formula1>
      <formula2>1</formula2>
    </dataValidation>
  </dataValidations>
  <hyperlinks>
    <hyperlink ref="J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8" width="28"/>
    <col collapsed="false" customWidth="true" hidden="false" outlineLevel="0" max="2" min="2" style="8" width="10"/>
    <col collapsed="false" customWidth="true" hidden="false" outlineLevel="0" max="3" min="3" style="8" width="30"/>
    <col collapsed="false" customWidth="true" hidden="false" outlineLevel="0" max="8" min="8" style="8" width="10"/>
    <col collapsed="false" customWidth="true" hidden="false" outlineLevel="0" max="9" min="9" style="8" width="40"/>
  </cols>
  <sheetData>
    <row r="1" customFormat="false" ht="15" hidden="false" customHeight="true" outlineLevel="0" collapsed="false">
      <c r="A1" s="8" t="s">
        <v>836</v>
      </c>
      <c r="B1" s="8" t="s">
        <v>373</v>
      </c>
      <c r="C1" s="8" t="s">
        <v>837</v>
      </c>
      <c r="J1" s="13" t="s">
        <v>838</v>
      </c>
    </row>
    <row r="2" customFormat="false" ht="68.25" hidden="false" customHeight="true" outlineLevel="0" collapsed="false">
      <c r="A2" s="10" t="s">
        <v>589</v>
      </c>
      <c r="B2" s="4" t="str">
        <f aca="false">VLOOKUP($B$1,'PARASTATAL Questions'!$A:$J,3,0)&amp;""</f>
        <v>Decentralised Participatory Governance</v>
      </c>
    </row>
    <row r="3" customFormat="false" ht="15" hidden="false" customHeight="true" outlineLevel="0" collapsed="false">
      <c r="A3" s="10" t="s">
        <v>622</v>
      </c>
      <c r="B3" s="4" t="str">
        <f aca="false">VLOOKUP($B$1,'PARASTATAL Questions'!$A:$J,2,0)&amp;""</f>
        <v>DPG5j</v>
      </c>
    </row>
    <row r="4" customFormat="false" ht="15" hidden="false" customHeight="true" outlineLevel="0" collapsed="false">
      <c r="A4" s="10" t="s">
        <v>590</v>
      </c>
      <c r="B4" s="4" t="str">
        <f aca="false">VLOOKUP($B$1,'PARASTATAL Questions'!$A:$J,4,0)&amp;""</f>
        <v>SQ</v>
      </c>
    </row>
    <row r="5" customFormat="false" ht="90.75" hidden="false" customHeight="true" outlineLevel="0" collapsed="false">
      <c r="A5" s="10" t="s">
        <v>0</v>
      </c>
      <c r="B5" s="4" t="str">
        <f aca="false">VLOOKUP($B$1,'PARASTATAL Questions'!$A:$J,5,0)&amp;""</f>
        <v>RTI details and designated Public Information Officer contact/procedure</v>
      </c>
    </row>
    <row r="6" customFormat="false" ht="15" hidden="false" customHeight="true" outlineLevel="0" collapsed="false">
      <c r="A6" s="10" t="s">
        <v>592</v>
      </c>
      <c r="B6" s="4" t="n">
        <f aca="false">VLOOKUP($B$1,'PARASTATAL Questions'!$A:$J,6,0)</f>
        <v>1</v>
      </c>
    </row>
    <row r="7" customFormat="false" ht="23.25" hidden="false" customHeight="true" outlineLevel="0" collapsed="false">
      <c r="A7" s="10" t="s">
        <v>591</v>
      </c>
      <c r="B7" s="4" t="str">
        <f aca="false">VLOOKUP($B$1,'PARASTATAL Questions'!$A:$J,7,0)&amp;""</f>
        <v>Implementation</v>
      </c>
    </row>
    <row r="8" customFormat="false" ht="15" hidden="false" customHeight="true" outlineLevel="0" collapsed="false">
      <c r="A8" s="10" t="s">
        <v>623</v>
      </c>
      <c r="B8" s="4" t="str">
        <f aca="false">VLOOKUP($B$1,'PARASTATAL Questions'!$A:$J,8,0)&amp;""</f>
        <v>Common.</v>
      </c>
    </row>
    <row r="9" customFormat="false" ht="975" hidden="false" customHeight="true" outlineLevel="0" collapsed="false">
      <c r="A9" s="10" t="s">
        <v>624</v>
      </c>
      <c r="B9" s="4" t="str">
        <f aca="false">VLOOKUP($B$1,'PARASTATAL Questions'!$A:$J,9,0)&amp;""</f>
        <v>Availability and currency — 0.5Score 0.5: Current PIO/APIO details and RTI procedure are publicly available; information should be treated as current where the named office-holder/contact details remain validScore 0: Information cannot be found/accessed online or ithe named office-holder/contact details are invalid.Record the FY/year/date of the latest information found in a separate evidence field even where the score is 0. Minimum format/accessibility — 0.5Score 0.5: Information available in a searchable webpage or searchable/downloadable document (HTML RTI page; searchable PDF/DOC containing PIO/contact details)Score 0: Information is available but does not meet that standard (Image-only notice; scanned PDF)</v>
      </c>
    </row>
    <row r="10" customFormat="false" ht="102" hidden="false" customHeight="true" outlineLevel="0" collapsed="false">
      <c r="A10" s="10" t="s">
        <v>625</v>
      </c>
      <c r="B10" s="4" t="str">
        <f aca="false">VLOOKUP($B$1,'PARASTATAL Questions'!$A:$J,10,0)&amp;""</f>
        <v>Website screenshots/archived URLs with date of access, for each document type</v>
      </c>
    </row>
    <row r="11" customFormat="false" ht="15" hidden="false" customHeight="true" outlineLevel="0" collapsed="false">
      <c r="B11" s="14" t="s">
        <v>839</v>
      </c>
      <c r="I11" s="14" t="s">
        <v>1099</v>
      </c>
      <c r="J11" s="14" t="s">
        <v>841</v>
      </c>
      <c r="L11" s="8" t="s">
        <v>842</v>
      </c>
    </row>
    <row r="12" customFormat="false" ht="51.75" hidden="false" customHeight="true" outlineLevel="0" collapsed="false">
      <c r="A12" s="1" t="s">
        <v>612</v>
      </c>
      <c r="B12" s="1" t="s">
        <v>843</v>
      </c>
      <c r="C12" s="1" t="s">
        <v>844</v>
      </c>
      <c r="D12" s="1" t="s">
        <v>845</v>
      </c>
      <c r="E12" s="1" t="s">
        <v>846</v>
      </c>
      <c r="F12" s="1" t="s">
        <v>847</v>
      </c>
      <c r="G12" s="1" t="s">
        <v>848</v>
      </c>
      <c r="H12" s="1" t="s">
        <v>14</v>
      </c>
      <c r="I12" s="1" t="s">
        <v>849</v>
      </c>
      <c r="J12" s="1" t="s">
        <v>850</v>
      </c>
      <c r="K12" s="1" t="s">
        <v>851</v>
      </c>
      <c r="L12" s="8" t="s">
        <v>852</v>
      </c>
    </row>
    <row r="13" customFormat="false" ht="336.75" hidden="false" customHeight="true" outlineLevel="0" collapsed="false">
      <c r="A13" s="8" t="s">
        <v>19</v>
      </c>
      <c r="B13" s="8" t="s">
        <v>853</v>
      </c>
      <c r="C13" s="8" t="s">
        <v>361</v>
      </c>
      <c r="D13" s="8" t="s">
        <v>1216</v>
      </c>
      <c r="E13" s="8" t="s">
        <v>1217</v>
      </c>
      <c r="F13" s="8" t="s">
        <v>1218</v>
      </c>
      <c r="H13" s="8" t="s">
        <v>362</v>
      </c>
      <c r="I13" s="15"/>
      <c r="J13" s="8" t="str">
        <f aca="false">IF(COUNTIFS('Scores (start here)'!$A:$A,$B$1,'Scores (start here)'!$B:$B,$A13,'Scores (start here)'!$F:$F,"&gt;=0")&gt;0,SUMIFS('Scores (start here)'!$F:$F,'Scores (start here)'!$A:$A,$B$1,'Scores (start here)'!$B:$B,$A13),L13)</f>
        <v/>
      </c>
      <c r="K13" s="12" t="s">
        <v>1219</v>
      </c>
      <c r="L13" s="8" t="str">
        <f aca="false">IF($B13="NO","NA",IF(I13="","",MIN(I13,$B$6)))</f>
        <v/>
      </c>
    </row>
    <row r="14" customFormat="false" ht="15" hidden="false" customHeight="true" outlineLevel="0" collapsed="false">
      <c r="A14" s="8" t="s">
        <v>28</v>
      </c>
      <c r="B14" s="8" t="s">
        <v>853</v>
      </c>
      <c r="C14" s="8" t="s">
        <v>264</v>
      </c>
      <c r="D14" s="8" t="s">
        <v>1220</v>
      </c>
      <c r="E14" s="8" t="s">
        <v>1221</v>
      </c>
      <c r="F14" s="8" t="s">
        <v>1222</v>
      </c>
      <c r="H14" s="8" t="s">
        <v>265</v>
      </c>
      <c r="I14" s="15"/>
      <c r="J14" s="8" t="str">
        <f aca="false">IF(COUNTIFS('Scores (start here)'!$A:$A,$B$1,'Scores (start here)'!$B:$B,$A14,'Scores (start here)'!$F:$F,"&gt;=0")&gt;0,SUMIFS('Scores (start here)'!$F:$F,'Scores (start here)'!$A:$A,$B$1,'Scores (start here)'!$B:$B,$A14),L14)</f>
        <v/>
      </c>
      <c r="K14" s="12" t="s">
        <v>1223</v>
      </c>
      <c r="L14" s="8" t="str">
        <f aca="false">IF($B14="NO","NA",IF(I14="","",MIN(I14,$B$6)))</f>
        <v/>
      </c>
    </row>
    <row r="15" customFormat="false" ht="15" hidden="false" customHeight="true" outlineLevel="0" collapsed="false">
      <c r="A15" s="8" t="s">
        <v>34</v>
      </c>
      <c r="B15" s="8" t="s">
        <v>853</v>
      </c>
      <c r="I15" s="15"/>
      <c r="J15" s="8" t="str">
        <f aca="false">IF(COUNTIFS('Scores (start here)'!$A:$A,$B$1,'Scores (start here)'!$B:$B,$A15,'Scores (start here)'!$F:$F,"&gt;=0")&gt;0,SUMIFS('Scores (start here)'!$F:$F,'Scores (start here)'!$A:$A,$B$1,'Scores (start here)'!$B:$B,$A15),L15)</f>
        <v/>
      </c>
      <c r="K15" s="8" t="s">
        <v>1224</v>
      </c>
      <c r="L15" s="8" t="str">
        <f aca="false">IF($B15="NO","NA",IF(I15="","",MIN(I15,$B$6)))</f>
        <v/>
      </c>
    </row>
    <row r="16" customFormat="false" ht="15" hidden="false" customHeight="true" outlineLevel="0" collapsed="false">
      <c r="A16" s="8" t="s">
        <v>40</v>
      </c>
      <c r="B16" s="8" t="s">
        <v>853</v>
      </c>
      <c r="I16" s="15"/>
      <c r="J16" s="8" t="str">
        <f aca="false">IF(COUNTIFS('Scores (start here)'!$A:$A,$B$1,'Scores (start here)'!$B:$B,$A16,'Scores (start here)'!$F:$F,"&gt;=0")&gt;0,SUMIFS('Scores (start here)'!$F:$F,'Scores (start here)'!$A:$A,$B$1,'Scores (start here)'!$B:$B,$A16),L16)</f>
        <v/>
      </c>
      <c r="K16" s="8" t="s">
        <v>1225</v>
      </c>
      <c r="L16" s="8" t="str">
        <f aca="false">IF($B16="NO","NA",IF(I16="","",MIN(I16,$B$6)))</f>
        <v/>
      </c>
    </row>
    <row r="17" customFormat="false" ht="168.75" hidden="false" customHeight="true" outlineLevel="0" collapsed="false">
      <c r="A17" s="8" t="s">
        <v>45</v>
      </c>
      <c r="B17" s="8" t="s">
        <v>853</v>
      </c>
      <c r="C17" s="8" t="s">
        <v>47</v>
      </c>
      <c r="D17" s="8" t="s">
        <v>1226</v>
      </c>
      <c r="E17" s="8" t="s">
        <v>1227</v>
      </c>
      <c r="F17" s="8" t="s">
        <v>1228</v>
      </c>
      <c r="G17" s="8" t="s">
        <v>972</v>
      </c>
      <c r="H17" s="8" t="s">
        <v>48</v>
      </c>
      <c r="I17" s="15"/>
      <c r="J17" s="8" t="str">
        <f aca="false">IF(COUNTIFS('Scores (start here)'!$A:$A,$B$1,'Scores (start here)'!$B:$B,$A17,'Scores (start here)'!$F:$F,"&gt;=0")&gt;0,SUMIFS('Scores (start here)'!$F:$F,'Scores (start here)'!$A:$A,$B$1,'Scores (start here)'!$B:$B,$A17),L17)</f>
        <v/>
      </c>
      <c r="K17" s="12" t="s">
        <v>1229</v>
      </c>
      <c r="L17" s="8" t="str">
        <f aca="false">IF($B17="NO","NA",IF(I17="","",MIN(I17,$B$6)))</f>
        <v/>
      </c>
    </row>
    <row r="18" customFormat="false" ht="15" hidden="false" customHeight="true" outlineLevel="0" collapsed="false">
      <c r="A18" s="8" t="s">
        <v>51</v>
      </c>
      <c r="B18" s="8" t="s">
        <v>853</v>
      </c>
      <c r="I18" s="15"/>
      <c r="J18" s="8" t="str">
        <f aca="false">IF(COUNTIFS('Scores (start here)'!$A:$A,$B$1,'Scores (start here)'!$B:$B,$A18,'Scores (start here)'!$F:$F,"&gt;=0")&gt;0,SUMIFS('Scores (start here)'!$F:$F,'Scores (start here)'!$A:$A,$B$1,'Scores (start here)'!$B:$B,$A18),L18)</f>
        <v/>
      </c>
      <c r="K18" s="8" t="s">
        <v>1230</v>
      </c>
      <c r="L18" s="8" t="str">
        <f aca="false">IF($B18="NO","NA",IF(I18="","",MIN(I18,$B$6)))</f>
        <v/>
      </c>
    </row>
    <row r="19" customFormat="false" ht="15" hidden="false" customHeight="true" outlineLevel="0" collapsed="false">
      <c r="A19" s="8" t="s">
        <v>54</v>
      </c>
      <c r="B19" s="8" t="s">
        <v>853</v>
      </c>
      <c r="C19" s="8" t="s">
        <v>387</v>
      </c>
      <c r="D19" s="8" t="s">
        <v>1231</v>
      </c>
      <c r="E19" s="8" t="s">
        <v>1232</v>
      </c>
      <c r="F19" s="8" t="s">
        <v>1233</v>
      </c>
      <c r="H19" s="8" t="s">
        <v>388</v>
      </c>
      <c r="I19" s="15" t="n">
        <v>1</v>
      </c>
      <c r="J19" s="8" t="n">
        <f aca="false">IF(COUNTIFS('Scores (start here)'!$A:$A,$B$1,'Scores (start here)'!$B:$B,$A19,'Scores (start here)'!$F:$F,"&gt;=0")&gt;0,SUMIFS('Scores (start here)'!$F:$F,'Scores (start here)'!$A:$A,$B$1,'Scores (start here)'!$B:$B,$A19),L19)</f>
        <v>1</v>
      </c>
      <c r="K19" s="12" t="s">
        <v>1234</v>
      </c>
      <c r="L19" s="8" t="n">
        <f aca="false">IF($B19="NO","NA",IF(I19="","",MIN(I19,$B$6)))</f>
        <v>1</v>
      </c>
    </row>
  </sheetData>
  <dataValidations count="1">
    <dataValidation allowBlank="true" error="See the instruction above the 'Score' column." errorStyle="stop" operator="between" showDropDown="false" showErrorMessage="true" showInputMessage="false" sqref="I13:I19" type="decimal">
      <formula1>0</formula1>
      <formula2>1</formula2>
    </dataValidation>
  </dataValidations>
  <hyperlinks>
    <hyperlink ref="J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8" width="28"/>
    <col collapsed="false" customWidth="true" hidden="false" outlineLevel="0" max="2" min="2" style="8" width="10"/>
    <col collapsed="false" customWidth="true" hidden="false" outlineLevel="0" max="3" min="3" style="8" width="30"/>
    <col collapsed="false" customWidth="true" hidden="false" outlineLevel="0" max="8" min="8" style="8" width="10"/>
    <col collapsed="false" customWidth="true" hidden="false" outlineLevel="0" max="9" min="9" style="8" width="40"/>
  </cols>
  <sheetData>
    <row r="1" customFormat="false" ht="15" hidden="false" customHeight="true" outlineLevel="0" collapsed="false">
      <c r="A1" s="8" t="s">
        <v>836</v>
      </c>
      <c r="B1" s="8" t="s">
        <v>391</v>
      </c>
      <c r="C1" s="8" t="s">
        <v>837</v>
      </c>
      <c r="J1" s="13" t="s">
        <v>838</v>
      </c>
    </row>
    <row r="2" customFormat="false" ht="68.25" hidden="false" customHeight="true" outlineLevel="0" collapsed="false">
      <c r="A2" s="10" t="s">
        <v>589</v>
      </c>
      <c r="B2" s="4" t="str">
        <f aca="false">VLOOKUP($B$1,'PARASTATAL Questions'!$A:$J,3,0)&amp;""</f>
        <v>Decentralised Participatory Governance</v>
      </c>
    </row>
    <row r="3" customFormat="false" ht="15" hidden="false" customHeight="true" outlineLevel="0" collapsed="false">
      <c r="A3" s="10" t="s">
        <v>622</v>
      </c>
      <c r="B3" s="4" t="str">
        <f aca="false">VLOOKUP($B$1,'PARASTATAL Questions'!$A:$J,2,0)&amp;""</f>
        <v>DPG5k</v>
      </c>
    </row>
    <row r="4" customFormat="false" ht="15" hidden="false" customHeight="true" outlineLevel="0" collapsed="false">
      <c r="A4" s="10" t="s">
        <v>590</v>
      </c>
      <c r="B4" s="4" t="str">
        <f aca="false">VLOOKUP($B$1,'PARASTATAL Questions'!$A:$J,4,0)&amp;""</f>
        <v>SQ</v>
      </c>
    </row>
    <row r="5" customFormat="false" ht="79.5" hidden="false" customHeight="true" outlineLevel="0" collapsed="false">
      <c r="A5" s="10" t="s">
        <v>0</v>
      </c>
      <c r="B5" s="4" t="str">
        <f aca="false">VLOOKUP($B$1,'PARASTATAL Questions'!$A:$J,5,0)&amp;""</f>
        <v>Procurement / tender notices and awarded-contract details</v>
      </c>
    </row>
    <row r="6" customFormat="false" ht="15" hidden="false" customHeight="true" outlineLevel="0" collapsed="false">
      <c r="A6" s="10" t="s">
        <v>592</v>
      </c>
      <c r="B6" s="4" t="n">
        <f aca="false">VLOOKUP($B$1,'PARASTATAL Questions'!$A:$J,6,0)</f>
        <v>1</v>
      </c>
    </row>
    <row r="7" customFormat="false" ht="23.25" hidden="false" customHeight="true" outlineLevel="0" collapsed="false">
      <c r="A7" s="10" t="s">
        <v>591</v>
      </c>
      <c r="B7" s="4" t="str">
        <f aca="false">VLOOKUP($B$1,'PARASTATAL Questions'!$A:$J,7,0)&amp;""</f>
        <v>Implementation</v>
      </c>
    </row>
    <row r="8" customFormat="false" ht="15" hidden="false" customHeight="true" outlineLevel="0" collapsed="false">
      <c r="A8" s="10" t="s">
        <v>623</v>
      </c>
      <c r="B8" s="4" t="str">
        <f aca="false">VLOOKUP($B$1,'PARASTATAL Questions'!$A:$J,8,0)&amp;""</f>
        <v>Common.</v>
      </c>
    </row>
    <row r="9" customFormat="false" ht="1008.75" hidden="false" customHeight="true" outlineLevel="0" collapsed="false">
      <c r="A9" s="10" t="s">
        <v>624</v>
      </c>
      <c r="B9" s="4" t="str">
        <f aca="false">VLOOKUP($B$1,'PARASTATAL Questions'!$A:$J,9,0)&amp;""</f>
        <v>Availability and currency — 0.5Score 0.5: Procurement information includes tenders/awards from the current FY or immediately preceding FYScore 0: Information cannot be found/accessed online or is older than the permitted period.Record the FY/year/date of the latest information found in a separate evidence field even where the score is 0. Minimum format/accessibility — 0.5Score 0.5: Tender/award information available as a searchable structured webpage/table or machine-readable/reusable dataset (Searchable e-procurement table, HTML contract register, CSV/XLS/XLSX/ODS download)Score 0: Information is available but does not meet that standard (Scanned tender lists; image-only notices; individual PDFs with no searchable/indexed tender/award register)</v>
      </c>
    </row>
    <row r="10" customFormat="false" ht="102" hidden="false" customHeight="true" outlineLevel="0" collapsed="false">
      <c r="A10" s="10" t="s">
        <v>625</v>
      </c>
      <c r="B10" s="4" t="str">
        <f aca="false">VLOOKUP($B$1,'PARASTATAL Questions'!$A:$J,10,0)&amp;""</f>
        <v>Website screenshots/archived URLs with date of access, for each document type</v>
      </c>
    </row>
    <row r="11" customFormat="false" ht="15" hidden="false" customHeight="true" outlineLevel="0" collapsed="false">
      <c r="B11" s="14" t="s">
        <v>839</v>
      </c>
      <c r="I11" s="14" t="s">
        <v>1099</v>
      </c>
      <c r="J11" s="14" t="s">
        <v>841</v>
      </c>
      <c r="L11" s="8" t="s">
        <v>842</v>
      </c>
    </row>
    <row r="12" customFormat="false" ht="51.75" hidden="false" customHeight="true" outlineLevel="0" collapsed="false">
      <c r="A12" s="1" t="s">
        <v>612</v>
      </c>
      <c r="B12" s="1" t="s">
        <v>843</v>
      </c>
      <c r="C12" s="1" t="s">
        <v>844</v>
      </c>
      <c r="D12" s="1" t="s">
        <v>845</v>
      </c>
      <c r="E12" s="1" t="s">
        <v>846</v>
      </c>
      <c r="F12" s="1" t="s">
        <v>847</v>
      </c>
      <c r="G12" s="1" t="s">
        <v>848</v>
      </c>
      <c r="H12" s="1" t="s">
        <v>14</v>
      </c>
      <c r="I12" s="1" t="s">
        <v>849</v>
      </c>
      <c r="J12" s="1" t="s">
        <v>850</v>
      </c>
      <c r="K12" s="1" t="s">
        <v>851</v>
      </c>
      <c r="L12" s="8" t="s">
        <v>852</v>
      </c>
    </row>
    <row r="13" customFormat="false" ht="34.5" hidden="false" customHeight="true" outlineLevel="0" collapsed="false">
      <c r="A13" s="8" t="s">
        <v>19</v>
      </c>
      <c r="B13" s="8" t="s">
        <v>853</v>
      </c>
      <c r="C13" s="8" t="s">
        <v>426</v>
      </c>
      <c r="E13" s="8" t="s">
        <v>1235</v>
      </c>
      <c r="F13" s="8" t="s">
        <v>1236</v>
      </c>
      <c r="H13" s="8" t="s">
        <v>427</v>
      </c>
      <c r="I13" s="15"/>
      <c r="J13" s="8" t="str">
        <f aca="false">IF(COUNTIFS('Scores (start here)'!$A:$A,$B$1,'Scores (start here)'!$B:$B,$A13,'Scores (start here)'!$F:$F,"&gt;=0")&gt;0,SUMIFS('Scores (start here)'!$F:$F,'Scores (start here)'!$A:$A,$B$1,'Scores (start here)'!$B:$B,$A13),L13)</f>
        <v/>
      </c>
      <c r="K13" s="12" t="s">
        <v>1237</v>
      </c>
      <c r="L13" s="8" t="str">
        <f aca="false">IF($B13="NO","NA",IF(I13="","",MIN(I13,$B$6)))</f>
        <v/>
      </c>
    </row>
    <row r="14" customFormat="false" ht="225" hidden="false" customHeight="true" outlineLevel="0" collapsed="false">
      <c r="A14" s="8" t="s">
        <v>28</v>
      </c>
      <c r="B14" s="8" t="s">
        <v>853</v>
      </c>
      <c r="C14" s="8" t="s">
        <v>230</v>
      </c>
      <c r="D14" s="8" t="s">
        <v>1238</v>
      </c>
      <c r="E14" s="8" t="s">
        <v>1239</v>
      </c>
      <c r="F14" s="8" t="s">
        <v>1240</v>
      </c>
      <c r="H14" s="8" t="s">
        <v>231</v>
      </c>
      <c r="I14" s="15"/>
      <c r="J14" s="8" t="str">
        <f aca="false">IF(COUNTIFS('Scores (start here)'!$A:$A,$B$1,'Scores (start here)'!$B:$B,$A14,'Scores (start here)'!$F:$F,"&gt;=0")&gt;0,SUMIFS('Scores (start here)'!$F:$F,'Scores (start here)'!$A:$A,$B$1,'Scores (start here)'!$B:$B,$A14),L14)</f>
        <v/>
      </c>
      <c r="K14" s="12" t="s">
        <v>1241</v>
      </c>
      <c r="L14" s="8" t="str">
        <f aca="false">IF($B14="NO","NA",IF(I14="","",MIN(I14,$B$6)))</f>
        <v/>
      </c>
    </row>
    <row r="15" customFormat="false" ht="15" hidden="false" customHeight="true" outlineLevel="0" collapsed="false">
      <c r="A15" s="8" t="s">
        <v>34</v>
      </c>
      <c r="B15" s="8" t="s">
        <v>853</v>
      </c>
      <c r="I15" s="15"/>
      <c r="J15" s="8" t="str">
        <f aca="false">IF(COUNTIFS('Scores (start here)'!$A:$A,$B$1,'Scores (start here)'!$B:$B,$A15,'Scores (start here)'!$F:$F,"&gt;=0")&gt;0,SUMIFS('Scores (start here)'!$F:$F,'Scores (start here)'!$A:$A,$B$1,'Scores (start here)'!$B:$B,$A15),L15)</f>
        <v/>
      </c>
      <c r="K15" s="8" t="s">
        <v>1242</v>
      </c>
      <c r="L15" s="8" t="str">
        <f aca="false">IF($B15="NO","NA",IF(I15="","",MIN(I15,$B$6)))</f>
        <v/>
      </c>
    </row>
    <row r="16" customFormat="false" ht="15" hidden="false" customHeight="true" outlineLevel="0" collapsed="false">
      <c r="A16" s="8" t="s">
        <v>40</v>
      </c>
      <c r="B16" s="8" t="s">
        <v>853</v>
      </c>
      <c r="C16" s="8" t="s">
        <v>397</v>
      </c>
      <c r="D16" s="8" t="s">
        <v>1243</v>
      </c>
      <c r="E16" s="8" t="s">
        <v>1244</v>
      </c>
      <c r="F16" s="8" t="s">
        <v>1245</v>
      </c>
      <c r="H16" s="8" t="s">
        <v>398</v>
      </c>
      <c r="I16" s="15"/>
      <c r="J16" s="8" t="str">
        <f aca="false">IF(COUNTIFS('Scores (start here)'!$A:$A,$B$1,'Scores (start here)'!$B:$B,$A16,'Scores (start here)'!$F:$F,"&gt;=0")&gt;0,SUMIFS('Scores (start here)'!$F:$F,'Scores (start here)'!$A:$A,$B$1,'Scores (start here)'!$B:$B,$A16),L16)</f>
        <v/>
      </c>
      <c r="K16" s="12" t="s">
        <v>1246</v>
      </c>
      <c r="L16" s="8" t="str">
        <f aca="false">IF($B16="NO","NA",IF(I16="","",MIN(I16,$B$6)))</f>
        <v/>
      </c>
    </row>
    <row r="17" customFormat="false" ht="15" hidden="false" customHeight="true" outlineLevel="0" collapsed="false">
      <c r="A17" s="8" t="s">
        <v>45</v>
      </c>
      <c r="B17" s="8" t="s">
        <v>853</v>
      </c>
      <c r="I17" s="15"/>
      <c r="J17" s="8" t="str">
        <f aca="false">IF(COUNTIFS('Scores (start here)'!$A:$A,$B$1,'Scores (start here)'!$B:$B,$A17,'Scores (start here)'!$F:$F,"&gt;=0")&gt;0,SUMIFS('Scores (start here)'!$F:$F,'Scores (start here)'!$A:$A,$B$1,'Scores (start here)'!$B:$B,$A17),L17)</f>
        <v/>
      </c>
      <c r="K17" s="8" t="s">
        <v>1247</v>
      </c>
      <c r="L17" s="8" t="str">
        <f aca="false">IF($B17="NO","NA",IF(I17="","",MIN(I17,$B$6)))</f>
        <v/>
      </c>
    </row>
    <row r="18" customFormat="false" ht="15" hidden="false" customHeight="true" outlineLevel="0" collapsed="false">
      <c r="A18" s="8" t="s">
        <v>51</v>
      </c>
      <c r="B18" s="8" t="s">
        <v>853</v>
      </c>
      <c r="I18" s="15"/>
      <c r="J18" s="8" t="str">
        <f aca="false">IF(COUNTIFS('Scores (start here)'!$A:$A,$B$1,'Scores (start here)'!$B:$B,$A18,'Scores (start here)'!$F:$F,"&gt;=0")&gt;0,SUMIFS('Scores (start here)'!$F:$F,'Scores (start here)'!$A:$A,$B$1,'Scores (start here)'!$B:$B,$A18),L18)</f>
        <v/>
      </c>
      <c r="K18" s="8" t="s">
        <v>1248</v>
      </c>
      <c r="L18" s="8" t="str">
        <f aca="false">IF($B18="NO","NA",IF(I18="","",MIN(I18,$B$6)))</f>
        <v/>
      </c>
    </row>
    <row r="19" customFormat="false" ht="15" hidden="false" customHeight="true" outlineLevel="0" collapsed="false">
      <c r="A19" s="8" t="s">
        <v>54</v>
      </c>
      <c r="B19" s="8" t="s">
        <v>853</v>
      </c>
      <c r="C19" s="8" t="s">
        <v>404</v>
      </c>
      <c r="D19" s="8" t="s">
        <v>1249</v>
      </c>
      <c r="E19" s="8" t="s">
        <v>1250</v>
      </c>
      <c r="F19" s="8" t="s">
        <v>1251</v>
      </c>
      <c r="H19" s="8" t="s">
        <v>405</v>
      </c>
      <c r="I19" s="15" t="n">
        <v>1</v>
      </c>
      <c r="J19" s="8" t="n">
        <f aca="false">IF(COUNTIFS('Scores (start here)'!$A:$A,$B$1,'Scores (start here)'!$B:$B,$A19,'Scores (start here)'!$F:$F,"&gt;=0")&gt;0,SUMIFS('Scores (start here)'!$F:$F,'Scores (start here)'!$A:$A,$B$1,'Scores (start here)'!$B:$B,$A19),L19)</f>
        <v>1</v>
      </c>
      <c r="K19" s="12" t="s">
        <v>1252</v>
      </c>
      <c r="L19" s="8" t="n">
        <f aca="false">IF($B19="NO","NA",IF(I19="","",MIN(I19,$B$6)))</f>
        <v>1</v>
      </c>
    </row>
  </sheetData>
  <dataValidations count="1">
    <dataValidation allowBlank="true" error="See the instruction above the 'Score' column." errorStyle="stop" operator="between" showDropDown="false" showErrorMessage="true" showInputMessage="false" sqref="I13:I19" type="decimal">
      <formula1>0</formula1>
      <formula2>1</formula2>
    </dataValidation>
  </dataValidations>
  <hyperlinks>
    <hyperlink ref="J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8" width="28"/>
    <col collapsed="false" customWidth="true" hidden="false" outlineLevel="0" max="2" min="2" style="8" width="10"/>
    <col collapsed="false" customWidth="true" hidden="false" outlineLevel="0" max="3" min="3" style="8" width="30"/>
    <col collapsed="false" customWidth="true" hidden="false" outlineLevel="0" max="8" min="8" style="8" width="10"/>
    <col collapsed="false" customWidth="true" hidden="false" outlineLevel="0" max="9" min="9" style="8" width="40"/>
  </cols>
  <sheetData>
    <row r="1" customFormat="false" ht="15" hidden="false" customHeight="true" outlineLevel="0" collapsed="false">
      <c r="A1" s="8" t="s">
        <v>836</v>
      </c>
      <c r="B1" s="8" t="s">
        <v>408</v>
      </c>
      <c r="C1" s="8" t="s">
        <v>837</v>
      </c>
      <c r="J1" s="13" t="s">
        <v>838</v>
      </c>
    </row>
    <row r="2" customFormat="false" ht="68.25" hidden="false" customHeight="true" outlineLevel="0" collapsed="false">
      <c r="A2" s="10" t="s">
        <v>589</v>
      </c>
      <c r="B2" s="4" t="str">
        <f aca="false">VLOOKUP($B$1,'PARASTATAL Questions'!$A:$J,3,0)&amp;""</f>
        <v>Decentralised Participatory Governance</v>
      </c>
    </row>
    <row r="3" customFormat="false" ht="15" hidden="false" customHeight="true" outlineLevel="0" collapsed="false">
      <c r="A3" s="10" t="s">
        <v>622</v>
      </c>
      <c r="B3" s="4" t="str">
        <f aca="false">VLOOKUP($B$1,'PARASTATAL Questions'!$A:$J,2,0)&amp;""</f>
        <v>DPG 6a</v>
      </c>
    </row>
    <row r="4" customFormat="false" ht="15" hidden="false" customHeight="true" outlineLevel="0" collapsed="false">
      <c r="A4" s="10" t="s">
        <v>590</v>
      </c>
      <c r="B4" s="4" t="str">
        <f aca="false">VLOOKUP($B$1,'PARASTATAL Questions'!$A:$J,4,0)&amp;""</f>
        <v>SQ</v>
      </c>
    </row>
    <row r="5" customFormat="false" ht="102" hidden="false" customHeight="true" outlineLevel="0" collapsed="false">
      <c r="A5" s="10" t="s">
        <v>0</v>
      </c>
      <c r="B5" s="4" t="str">
        <f aca="false">VLOOKUP($B$1,'PARASTATAL Questions'!$A:$J,5,0)&amp;""</f>
        <v>Is the parastatal mandated to provide a grievance-redressal mechanism?</v>
      </c>
    </row>
    <row r="6" customFormat="false" ht="15" hidden="false" customHeight="true" outlineLevel="0" collapsed="false">
      <c r="A6" s="10" t="s">
        <v>592</v>
      </c>
      <c r="B6" s="4" t="n">
        <f aca="false">VLOOKUP($B$1,'PARASTATAL Questions'!$A:$J,6,0)</f>
        <v>5</v>
      </c>
    </row>
    <row r="7" customFormat="false" ht="15" hidden="false" customHeight="true" outlineLevel="0" collapsed="false">
      <c r="A7" s="10" t="s">
        <v>591</v>
      </c>
      <c r="B7" s="4" t="str">
        <f aca="false">VLOOKUP($B$1,'PARASTATAL Questions'!$A:$J,7,0)&amp;""</f>
        <v>Law/Policy</v>
      </c>
    </row>
    <row r="8" customFormat="false" ht="15" hidden="false" customHeight="true" outlineLevel="0" collapsed="false">
      <c r="A8" s="10" t="s">
        <v>623</v>
      </c>
      <c r="B8" s="4" t="str">
        <f aca="false">VLOOKUP($B$1,'PARASTATAL Questions'!$A:$J,8,0)&amp;""</f>
        <v>Common.</v>
      </c>
    </row>
    <row r="9" customFormat="false" ht="213.75" hidden="false" customHeight="true" outlineLevel="0" collapsed="false">
      <c r="A9" s="10" t="s">
        <v>624</v>
      </c>
      <c r="B9" s="4" t="str">
        <f aca="false">VLOOKUP($B$1,'PARASTATAL Questions'!$A:$J,9,0)&amp;""</f>
        <v>Score 5 if  the Parastatal Act/ corresponding subordinate legislation/ citizen or service charter requires a grievance-redressal mechanism (any channel); 0 if not.</v>
      </c>
    </row>
    <row r="10" customFormat="false" ht="113.25" hidden="false" customHeight="true" outlineLevel="0" collapsed="false">
      <c r="A10" s="10" t="s">
        <v>625</v>
      </c>
      <c r="B10" s="4" t="str">
        <f aca="false">VLOOKUP($B$1,'PARASTATAL Questions'!$A:$J,10,0)&amp;""</f>
        <v>Parastatal Act/ corresponding subordinate legislation/ citizen or service charter</v>
      </c>
    </row>
    <row r="11" customFormat="false" ht="15" hidden="false" customHeight="true" outlineLevel="0" collapsed="false">
      <c r="B11" s="14" t="s">
        <v>839</v>
      </c>
      <c r="I11" s="14" t="s">
        <v>840</v>
      </c>
      <c r="J11" s="14" t="s">
        <v>841</v>
      </c>
      <c r="L11" s="8" t="s">
        <v>842</v>
      </c>
    </row>
    <row r="12" customFormat="false" ht="51.75" hidden="false" customHeight="true" outlineLevel="0" collapsed="false">
      <c r="A12" s="1" t="s">
        <v>612</v>
      </c>
      <c r="B12" s="1" t="s">
        <v>843</v>
      </c>
      <c r="C12" s="1" t="s">
        <v>844</v>
      </c>
      <c r="D12" s="1" t="s">
        <v>845</v>
      </c>
      <c r="E12" s="1" t="s">
        <v>846</v>
      </c>
      <c r="F12" s="1" t="s">
        <v>847</v>
      </c>
      <c r="G12" s="1" t="s">
        <v>848</v>
      </c>
      <c r="H12" s="1" t="s">
        <v>14</v>
      </c>
      <c r="I12" s="1" t="s">
        <v>849</v>
      </c>
      <c r="J12" s="1" t="s">
        <v>850</v>
      </c>
      <c r="K12" s="1" t="s">
        <v>851</v>
      </c>
      <c r="L12" s="8" t="s">
        <v>852</v>
      </c>
    </row>
    <row r="13" customFormat="false" ht="147" hidden="false" customHeight="true" outlineLevel="0" collapsed="false">
      <c r="A13" s="8" t="s">
        <v>19</v>
      </c>
      <c r="B13" s="8" t="s">
        <v>853</v>
      </c>
      <c r="C13" s="8" t="s">
        <v>23</v>
      </c>
      <c r="D13" s="8" t="s">
        <v>1253</v>
      </c>
      <c r="E13" s="8" t="s">
        <v>1254</v>
      </c>
      <c r="F13" s="8" t="s">
        <v>1255</v>
      </c>
      <c r="G13" s="8" t="s">
        <v>1256</v>
      </c>
      <c r="H13" s="8" t="s">
        <v>24</v>
      </c>
      <c r="I13" s="15" t="n">
        <v>5</v>
      </c>
      <c r="J13" s="8" t="n">
        <f aca="false">IF(COUNTIFS('Scores (start here)'!$A:$A,$B$1,'Scores (start here)'!$B:$B,$A13,'Scores (start here)'!$F:$F,"&gt;=0")&gt;0,SUMIFS('Scores (start here)'!$F:$F,'Scores (start here)'!$A:$A,$B$1,'Scores (start here)'!$B:$B,$A13),L13)</f>
        <v>5</v>
      </c>
      <c r="K13" s="12" t="s">
        <v>1257</v>
      </c>
      <c r="L13" s="8" t="n">
        <f aca="false">IF($B13="NO","NA",IF(I13="","",MIN(I13,$B$6)))</f>
        <v>5</v>
      </c>
    </row>
    <row r="14" customFormat="false" ht="15" hidden="false" customHeight="true" outlineLevel="0" collapsed="false">
      <c r="A14" s="8" t="s">
        <v>28</v>
      </c>
      <c r="B14" s="8" t="s">
        <v>853</v>
      </c>
      <c r="I14" s="15"/>
      <c r="J14" s="8" t="str">
        <f aca="false">IF(COUNTIFS('Scores (start here)'!$A:$A,$B$1,'Scores (start here)'!$B:$B,$A14,'Scores (start here)'!$F:$F,"&gt;=0")&gt;0,SUMIFS('Scores (start here)'!$F:$F,'Scores (start here)'!$A:$A,$B$1,'Scores (start here)'!$B:$B,$A14),L14)</f>
        <v/>
      </c>
      <c r="K14" s="8" t="s">
        <v>1258</v>
      </c>
      <c r="L14" s="8" t="str">
        <f aca="false">IF($B14="NO","NA",IF(I14="","",MIN(I14,$B$6)))</f>
        <v/>
      </c>
    </row>
    <row r="15" customFormat="false" ht="258.75" hidden="false" customHeight="true" outlineLevel="0" collapsed="false">
      <c r="A15" s="8" t="s">
        <v>34</v>
      </c>
      <c r="B15" s="8" t="s">
        <v>853</v>
      </c>
      <c r="C15" s="8" t="s">
        <v>36</v>
      </c>
      <c r="D15" s="8" t="s">
        <v>1259</v>
      </c>
      <c r="E15" s="8" t="s">
        <v>1260</v>
      </c>
      <c r="F15" s="8" t="s">
        <v>1261</v>
      </c>
      <c r="G15" s="8" t="s">
        <v>1262</v>
      </c>
      <c r="H15" s="8" t="s">
        <v>37</v>
      </c>
      <c r="I15" s="15" t="n">
        <v>0</v>
      </c>
      <c r="J15" s="8" t="n">
        <f aca="false">IF(COUNTIFS('Scores (start here)'!$A:$A,$B$1,'Scores (start here)'!$B:$B,$A15,'Scores (start here)'!$F:$F,"&gt;=0")&gt;0,SUMIFS('Scores (start here)'!$F:$F,'Scores (start here)'!$A:$A,$B$1,'Scores (start here)'!$B:$B,$A15),L15)</f>
        <v>0</v>
      </c>
      <c r="K15" s="12" t="s">
        <v>1263</v>
      </c>
      <c r="L15" s="8" t="n">
        <f aca="false">IF($B15="NO","NA",IF(I15="","",MIN(I15,$B$6)))</f>
        <v>0</v>
      </c>
    </row>
    <row r="16" customFormat="false" ht="15" hidden="false" customHeight="true" outlineLevel="0" collapsed="false">
      <c r="A16" s="8" t="s">
        <v>40</v>
      </c>
      <c r="B16" s="8" t="s">
        <v>853</v>
      </c>
      <c r="C16" s="8" t="s">
        <v>334</v>
      </c>
      <c r="D16" s="8" t="s">
        <v>1264</v>
      </c>
      <c r="E16" s="8" t="s">
        <v>1265</v>
      </c>
      <c r="F16" s="8" t="s">
        <v>1266</v>
      </c>
      <c r="G16" s="8" t="s">
        <v>916</v>
      </c>
      <c r="H16" s="8" t="s">
        <v>335</v>
      </c>
      <c r="I16" s="15"/>
      <c r="J16" s="8" t="str">
        <f aca="false">IF(COUNTIFS('Scores (start here)'!$A:$A,$B$1,'Scores (start here)'!$B:$B,$A16,'Scores (start here)'!$F:$F,"&gt;=0")&gt;0,SUMIFS('Scores (start here)'!$F:$F,'Scores (start here)'!$A:$A,$B$1,'Scores (start here)'!$B:$B,$A16),L16)</f>
        <v/>
      </c>
      <c r="K16" s="12" t="s">
        <v>1267</v>
      </c>
      <c r="L16" s="8" t="str">
        <f aca="false">IF($B16="NO","NA",IF(I16="","",MIN(I16,$B$6)))</f>
        <v/>
      </c>
    </row>
    <row r="17" customFormat="false" ht="15" hidden="false" customHeight="true" outlineLevel="0" collapsed="false">
      <c r="A17" s="8" t="s">
        <v>45</v>
      </c>
      <c r="B17" s="8" t="s">
        <v>853</v>
      </c>
      <c r="C17" s="8" t="s">
        <v>1059</v>
      </c>
      <c r="D17" s="8" t="s">
        <v>1268</v>
      </c>
      <c r="E17" s="8" t="s">
        <v>1269</v>
      </c>
      <c r="F17" s="8" t="s">
        <v>1270</v>
      </c>
      <c r="G17" s="8" t="s">
        <v>1271</v>
      </c>
      <c r="H17" s="8" t="s">
        <v>1064</v>
      </c>
      <c r="I17" s="15"/>
      <c r="J17" s="8" t="str">
        <f aca="false">IF(COUNTIFS('Scores (start here)'!$A:$A,$B$1,'Scores (start here)'!$B:$B,$A17,'Scores (start here)'!$F:$F,"&gt;=0")&gt;0,SUMIFS('Scores (start here)'!$F:$F,'Scores (start here)'!$A:$A,$B$1,'Scores (start here)'!$B:$B,$A17),L17)</f>
        <v/>
      </c>
      <c r="K17" s="8" t="s">
        <v>1272</v>
      </c>
      <c r="L17" s="8" t="str">
        <f aca="false">IF($B17="NO","NA",IF(I17="","",MIN(I17,$B$6)))</f>
        <v/>
      </c>
    </row>
    <row r="18" customFormat="false" ht="15" hidden="false" customHeight="true" outlineLevel="0" collapsed="false">
      <c r="A18" s="8" t="s">
        <v>51</v>
      </c>
      <c r="B18" s="8" t="s">
        <v>853</v>
      </c>
      <c r="C18" s="8" t="s">
        <v>419</v>
      </c>
      <c r="D18" s="8" t="s">
        <v>1273</v>
      </c>
      <c r="E18" s="8" t="s">
        <v>1274</v>
      </c>
      <c r="F18" s="8" t="s">
        <v>1275</v>
      </c>
      <c r="G18" s="8" t="s">
        <v>1276</v>
      </c>
      <c r="H18" s="8" t="s">
        <v>420</v>
      </c>
      <c r="I18" s="15"/>
      <c r="J18" s="8" t="str">
        <f aca="false">IF(COUNTIFS('Scores (start here)'!$A:$A,$B$1,'Scores (start here)'!$B:$B,$A18,'Scores (start here)'!$F:$F,"&gt;=0")&gt;0,SUMIFS('Scores (start here)'!$F:$F,'Scores (start here)'!$A:$A,$B$1,'Scores (start here)'!$B:$B,$A18),L18)</f>
        <v/>
      </c>
      <c r="K18" s="12" t="s">
        <v>1277</v>
      </c>
      <c r="L18" s="8" t="str">
        <f aca="false">IF($B18="NO","NA",IF(I18="","",MIN(I18,$B$6)))</f>
        <v/>
      </c>
    </row>
    <row r="19" customFormat="false" ht="15" hidden="false" customHeight="true" outlineLevel="0" collapsed="false">
      <c r="A19" s="8" t="s">
        <v>54</v>
      </c>
      <c r="B19" s="8" t="s">
        <v>853</v>
      </c>
      <c r="C19" s="8" t="s">
        <v>1278</v>
      </c>
      <c r="D19" s="8" t="s">
        <v>1279</v>
      </c>
      <c r="E19" s="8" t="s">
        <v>1280</v>
      </c>
      <c r="G19" s="8" t="s">
        <v>1184</v>
      </c>
      <c r="H19" s="8" t="s">
        <v>1281</v>
      </c>
      <c r="I19" s="15"/>
      <c r="J19" s="8" t="str">
        <f aca="false">IF(COUNTIFS('Scores (start here)'!$A:$A,$B$1,'Scores (start here)'!$B:$B,$A19,'Scores (start here)'!$F:$F,"&gt;=0")&gt;0,SUMIFS('Scores (start here)'!$F:$F,'Scores (start here)'!$A:$A,$B$1,'Scores (start here)'!$B:$B,$A19),L19)</f>
        <v/>
      </c>
      <c r="K19" s="12" t="s">
        <v>1282</v>
      </c>
      <c r="L19" s="8" t="str">
        <f aca="false">IF($B19="NO","NA",IF(I19="","",MIN(I19,$B$6)))</f>
        <v/>
      </c>
    </row>
  </sheetData>
  <dataValidations count="1">
    <dataValidation allowBlank="true" error="See the instruction above the 'Score' column." errorStyle="stop" operator="between" showDropDown="false" showErrorMessage="true" showInputMessage="false" sqref="I13:I19" type="decimal">
      <formula1>0</formula1>
      <formula2>5</formula2>
    </dataValidation>
  </dataValidations>
  <hyperlinks>
    <hyperlink ref="J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8" width="28"/>
    <col collapsed="false" customWidth="true" hidden="false" outlineLevel="0" max="2" min="2" style="8" width="10"/>
    <col collapsed="false" customWidth="true" hidden="false" outlineLevel="0" max="3" min="3" style="8" width="30"/>
    <col collapsed="false" customWidth="true" hidden="false" outlineLevel="0" max="8" min="8" style="8" width="10"/>
    <col collapsed="false" customWidth="true" hidden="false" outlineLevel="0" max="9" min="9" style="8" width="40"/>
  </cols>
  <sheetData>
    <row r="1" customFormat="false" ht="15" hidden="false" customHeight="true" outlineLevel="0" collapsed="false">
      <c r="A1" s="8" t="s">
        <v>836</v>
      </c>
      <c r="B1" s="8" t="s">
        <v>424</v>
      </c>
      <c r="C1" s="8" t="s">
        <v>837</v>
      </c>
      <c r="J1" s="13" t="s">
        <v>838</v>
      </c>
    </row>
    <row r="2" customFormat="false" ht="68.25" hidden="false" customHeight="true" outlineLevel="0" collapsed="false">
      <c r="A2" s="10" t="s">
        <v>589</v>
      </c>
      <c r="B2" s="4" t="str">
        <f aca="false">VLOOKUP($B$1,'PARASTATAL Questions'!$A:$J,3,0)&amp;""</f>
        <v>Decentralised Participatory Governance</v>
      </c>
    </row>
    <row r="3" customFormat="false" ht="15" hidden="false" customHeight="true" outlineLevel="0" collapsed="false">
      <c r="A3" s="10" t="s">
        <v>622</v>
      </c>
      <c r="B3" s="4" t="str">
        <f aca="false">VLOOKUP($B$1,'PARASTATAL Questions'!$A:$J,2,0)&amp;""</f>
        <v>DPG 6b</v>
      </c>
    </row>
    <row r="4" customFormat="false" ht="15" hidden="false" customHeight="true" outlineLevel="0" collapsed="false">
      <c r="A4" s="10" t="s">
        <v>590</v>
      </c>
      <c r="B4" s="4" t="str">
        <f aca="false">VLOOKUP($B$1,'PARASTATAL Questions'!$A:$J,4,0)&amp;""</f>
        <v>SQ</v>
      </c>
    </row>
    <row r="5" customFormat="false" ht="113.25" hidden="false" customHeight="true" outlineLevel="0" collapsed="false">
      <c r="A5" s="10" t="s">
        <v>0</v>
      </c>
      <c r="B5" s="4" t="str">
        <f aca="false">VLOOKUP($B$1,'PARASTATAL Questions'!$A:$J,5,0)&amp;""</f>
        <v>Are accessible grievance-redressal channels available and functional in practice?</v>
      </c>
    </row>
    <row r="6" customFormat="false" ht="15" hidden="false" customHeight="true" outlineLevel="0" collapsed="false">
      <c r="A6" s="10" t="s">
        <v>592</v>
      </c>
      <c r="B6" s="4" t="n">
        <f aca="false">VLOOKUP($B$1,'PARASTATAL Questions'!$A:$J,6,0)</f>
        <v>5</v>
      </c>
    </row>
    <row r="7" customFormat="false" ht="23.25" hidden="false" customHeight="true" outlineLevel="0" collapsed="false">
      <c r="A7" s="10" t="s">
        <v>591</v>
      </c>
      <c r="B7" s="4" t="str">
        <f aca="false">VLOOKUP($B$1,'PARASTATAL Questions'!$A:$J,7,0)&amp;""</f>
        <v>Implementation</v>
      </c>
    </row>
    <row r="8" customFormat="false" ht="15" hidden="false" customHeight="true" outlineLevel="0" collapsed="false">
      <c r="A8" s="10" t="s">
        <v>623</v>
      </c>
      <c r="B8" s="4" t="str">
        <f aca="false">VLOOKUP($B$1,'PARASTATAL Questions'!$A:$J,8,0)&amp;""</f>
        <v>Common.</v>
      </c>
    </row>
    <row r="9" customFormat="false" ht="2397.75" hidden="false" customHeight="true" outlineLevel="0" collapsed="false">
      <c r="A9" s="10" t="s">
        <v>624</v>
      </c>
      <c r="B9" s="4" t="str">
        <f aca="false">VLOOKUP($B$1,'PARASTATAL Questions'!$A:$J,9,0)&amp;""</f>
        <v>Score out of 5 based on the following components - Score 1.00 if a Web-based grievance channel existsQualification - An official website/portal provides a functioning mechanism through which a grievance can be lodged online. A dedicated grievance form, integrated government grievance portal or equivalent qualifies.Evidence - Live URL + dated screenshot showing grievance-submission functionality. Where the parastatal redirects users to a State/common grievance portal, capture both the parastatal link/reference and the relevant portal page.Score 1.00 if a Mobile / electronic grievance channel existsQualification - A currently operational mobile app, designated grievance email, WhatsApp or other officially notified electronic channel is provided for lodging grievancesEvidence - Official website listing the channel; official app listing or screenshot Score 1.00  if a telephone grievance channel existsQualification - A dedicated or clearly designated helpline/call centre/telephone number is provided for complaints or grievances. A generic office switchboard does not qualify unless it is explicitly identified as accepting grievances.Evidence - Official website showing the grievance/helpline number.Score 1.00 if an in-person grievance channel existsQualification - Citizens can lodge grievances through an identified helpdesk, grievance counter, designated office/officer or other physical mechanism.Evidence - Citizen/Service Charter, official website, office notice/order or other official document identifying where/how an in-person grievance can be lodged.Score 1.00 if an in-person grievance channelQualification - The mechanism provides evidence that a registered grievance can be acknowledged and subsequently tracked, through a complaint/reference number, status-tracking facility or equivalent process.Evidence - Portal screenshot showing acknowledgement/tracking functionality; Where all five are provided for, award the full score of 5.</v>
      </c>
    </row>
    <row r="10" customFormat="false" ht="135.75" hidden="false" customHeight="true" outlineLevel="0" collapsed="false">
      <c r="A10" s="10" t="s">
        <v>625</v>
      </c>
      <c r="B10" s="4" t="str">
        <f aca="false">VLOOKUP($B$1,'PARASTATAL Questions'!$A:$J,10,0)&amp;""</f>
        <v>Relevant parastatal's official website Detailed evidence information provided in the methodology column (I 33)</v>
      </c>
    </row>
    <row r="11" customFormat="false" ht="15" hidden="false" customHeight="true" outlineLevel="0" collapsed="false">
      <c r="B11" s="14" t="s">
        <v>839</v>
      </c>
      <c r="I11" s="14" t="s">
        <v>840</v>
      </c>
      <c r="J11" s="14" t="s">
        <v>841</v>
      </c>
      <c r="L11" s="8" t="s">
        <v>842</v>
      </c>
    </row>
    <row r="12" customFormat="false" ht="51.75" hidden="false" customHeight="true" outlineLevel="0" collapsed="false">
      <c r="A12" s="1" t="s">
        <v>612</v>
      </c>
      <c r="B12" s="1" t="s">
        <v>843</v>
      </c>
      <c r="C12" s="1" t="s">
        <v>844</v>
      </c>
      <c r="D12" s="1" t="s">
        <v>845</v>
      </c>
      <c r="E12" s="1" t="s">
        <v>846</v>
      </c>
      <c r="F12" s="1" t="s">
        <v>847</v>
      </c>
      <c r="G12" s="1" t="s">
        <v>848</v>
      </c>
      <c r="H12" s="1" t="s">
        <v>14</v>
      </c>
      <c r="I12" s="1" t="s">
        <v>849</v>
      </c>
      <c r="J12" s="1" t="s">
        <v>850</v>
      </c>
      <c r="K12" s="1" t="s">
        <v>851</v>
      </c>
      <c r="L12" s="8" t="s">
        <v>852</v>
      </c>
    </row>
    <row r="13" customFormat="false" ht="38.25" hidden="false" customHeight="true" outlineLevel="0" collapsed="false">
      <c r="A13" s="8" t="s">
        <v>19</v>
      </c>
      <c r="B13" s="8" t="s">
        <v>853</v>
      </c>
      <c r="C13" s="8" t="s">
        <v>426</v>
      </c>
      <c r="D13" s="8" t="s">
        <v>1283</v>
      </c>
      <c r="E13" s="8" t="s">
        <v>1284</v>
      </c>
      <c r="F13" s="8" t="s">
        <v>1285</v>
      </c>
      <c r="H13" s="8" t="s">
        <v>427</v>
      </c>
      <c r="I13" s="15"/>
      <c r="J13" s="8" t="str">
        <f aca="false">IF(COUNTIFS('Scores (start here)'!$A:$A,$B$1,'Scores (start here)'!$B:$B,$A13,'Scores (start here)'!$F:$F,"&gt;=0")&gt;0,SUMIFS('Scores (start here)'!$F:$F,'Scores (start here)'!$A:$A,$B$1,'Scores (start here)'!$B:$B,$A13),L13)</f>
        <v/>
      </c>
      <c r="K13" s="12" t="s">
        <v>1286</v>
      </c>
      <c r="L13" s="8" t="str">
        <f aca="false">IF($B13="NO","NA",IF(I13="","",MIN(I13,$B$6)))</f>
        <v/>
      </c>
    </row>
    <row r="14" customFormat="false" ht="303" hidden="false" customHeight="true" outlineLevel="0" collapsed="false">
      <c r="A14" s="8" t="s">
        <v>28</v>
      </c>
      <c r="B14" s="8" t="s">
        <v>853</v>
      </c>
      <c r="C14" s="8" t="s">
        <v>431</v>
      </c>
      <c r="D14" s="8" t="s">
        <v>1287</v>
      </c>
      <c r="E14" s="8" t="s">
        <v>1288</v>
      </c>
      <c r="F14" s="8" t="s">
        <v>1289</v>
      </c>
      <c r="H14" s="8" t="s">
        <v>432</v>
      </c>
      <c r="I14" s="15"/>
      <c r="J14" s="8" t="str">
        <f aca="false">IF(COUNTIFS('Scores (start here)'!$A:$A,$B$1,'Scores (start here)'!$B:$B,$A14,'Scores (start here)'!$F:$F,"&gt;=0")&gt;0,SUMIFS('Scores (start here)'!$F:$F,'Scores (start here)'!$A:$A,$B$1,'Scores (start here)'!$B:$B,$A14),L14)</f>
        <v/>
      </c>
      <c r="K14" s="12" t="s">
        <v>1290</v>
      </c>
      <c r="L14" s="8" t="str">
        <f aca="false">IF($B14="NO","NA",IF(I14="","",MIN(I14,$B$6)))</f>
        <v/>
      </c>
    </row>
    <row r="15" customFormat="false" ht="15" hidden="false" customHeight="true" outlineLevel="0" collapsed="false">
      <c r="A15" s="8" t="s">
        <v>34</v>
      </c>
      <c r="B15" s="8" t="s">
        <v>853</v>
      </c>
      <c r="I15" s="15"/>
      <c r="J15" s="8" t="str">
        <f aca="false">IF(COUNTIFS('Scores (start here)'!$A:$A,$B$1,'Scores (start here)'!$B:$B,$A15,'Scores (start here)'!$F:$F,"&gt;=0")&gt;0,SUMIFS('Scores (start here)'!$F:$F,'Scores (start here)'!$A:$A,$B$1,'Scores (start here)'!$B:$B,$A15),L15)</f>
        <v/>
      </c>
      <c r="K15" s="8" t="s">
        <v>1291</v>
      </c>
      <c r="L15" s="8" t="str">
        <f aca="false">IF($B15="NO","NA",IF(I15="","",MIN(I15,$B$6)))</f>
        <v/>
      </c>
    </row>
    <row r="16" customFormat="false" ht="15" hidden="false" customHeight="true" outlineLevel="0" collapsed="false">
      <c r="A16" s="8" t="s">
        <v>40</v>
      </c>
      <c r="B16" s="8" t="s">
        <v>853</v>
      </c>
      <c r="I16" s="15"/>
      <c r="J16" s="8" t="str">
        <f aca="false">IF(COUNTIFS('Scores (start here)'!$A:$A,$B$1,'Scores (start here)'!$B:$B,$A16,'Scores (start here)'!$F:$F,"&gt;=0")&gt;0,SUMIFS('Scores (start here)'!$F:$F,'Scores (start here)'!$A:$A,$B$1,'Scores (start here)'!$B:$B,$A16),L16)</f>
        <v/>
      </c>
      <c r="K16" s="8" t="s">
        <v>1292</v>
      </c>
      <c r="L16" s="8" t="str">
        <f aca="false">IF($B16="NO","NA",IF(I16="","",MIN(I16,$B$6)))</f>
        <v/>
      </c>
    </row>
    <row r="17" customFormat="false" ht="262.5" hidden="false" customHeight="true" outlineLevel="0" collapsed="false">
      <c r="A17" s="8" t="s">
        <v>45</v>
      </c>
      <c r="B17" s="8" t="s">
        <v>853</v>
      </c>
      <c r="C17" s="8" t="s">
        <v>47</v>
      </c>
      <c r="D17" s="8" t="s">
        <v>1293</v>
      </c>
      <c r="E17" s="8" t="s">
        <v>1294</v>
      </c>
      <c r="G17" s="8" t="s">
        <v>862</v>
      </c>
      <c r="H17" s="8" t="s">
        <v>48</v>
      </c>
      <c r="I17" s="15"/>
      <c r="J17" s="8" t="str">
        <f aca="false">IF(COUNTIFS('Scores (start here)'!$A:$A,$B$1,'Scores (start here)'!$B:$B,$A17,'Scores (start here)'!$F:$F,"&gt;=0")&gt;0,SUMIFS('Scores (start here)'!$F:$F,'Scores (start here)'!$A:$A,$B$1,'Scores (start here)'!$B:$B,$A17),L17)</f>
        <v/>
      </c>
      <c r="K17" s="12" t="s">
        <v>1295</v>
      </c>
      <c r="L17" s="8" t="str">
        <f aca="false">IF($B17="NO","NA",IF(I17="","",MIN(I17,$B$6)))</f>
        <v/>
      </c>
    </row>
    <row r="18" customFormat="false" ht="15" hidden="false" customHeight="true" outlineLevel="0" collapsed="false">
      <c r="A18" s="8" t="s">
        <v>51</v>
      </c>
      <c r="B18" s="8" t="s">
        <v>853</v>
      </c>
      <c r="I18" s="15"/>
      <c r="J18" s="8" t="str">
        <f aca="false">IF(COUNTIFS('Scores (start here)'!$A:$A,$B$1,'Scores (start here)'!$B:$B,$A18,'Scores (start here)'!$F:$F,"&gt;=0")&gt;0,SUMIFS('Scores (start here)'!$F:$F,'Scores (start here)'!$A:$A,$B$1,'Scores (start here)'!$B:$B,$A18),L18)</f>
        <v/>
      </c>
      <c r="K18" s="8" t="s">
        <v>1296</v>
      </c>
      <c r="L18" s="8" t="str">
        <f aca="false">IF($B18="NO","NA",IF(I18="","",MIN(I18,$B$6)))</f>
        <v/>
      </c>
    </row>
    <row r="19" customFormat="false" ht="15" hidden="false" customHeight="true" outlineLevel="0" collapsed="false">
      <c r="A19" s="8" t="s">
        <v>54</v>
      </c>
      <c r="B19" s="8" t="s">
        <v>853</v>
      </c>
      <c r="C19" s="8" t="s">
        <v>441</v>
      </c>
      <c r="D19" s="8" t="s">
        <v>1297</v>
      </c>
      <c r="E19" s="8" t="s">
        <v>1298</v>
      </c>
      <c r="F19" s="8" t="s">
        <v>1299</v>
      </c>
      <c r="G19" s="8" t="s">
        <v>862</v>
      </c>
      <c r="H19" s="8" t="s">
        <v>442</v>
      </c>
      <c r="I19" s="15"/>
      <c r="J19" s="8" t="str">
        <f aca="false">IF(COUNTIFS('Scores (start here)'!$A:$A,$B$1,'Scores (start here)'!$B:$B,$A19,'Scores (start here)'!$F:$F,"&gt;=0")&gt;0,SUMIFS('Scores (start here)'!$F:$F,'Scores (start here)'!$A:$A,$B$1,'Scores (start here)'!$B:$B,$A19),L19)</f>
        <v/>
      </c>
      <c r="K19" s="12" t="s">
        <v>1300</v>
      </c>
      <c r="L19" s="8" t="str">
        <f aca="false">IF($B19="NO","NA",IF(I19="","",MIN(I19,$B$6)))</f>
        <v/>
      </c>
    </row>
  </sheetData>
  <dataValidations count="1">
    <dataValidation allowBlank="true" error="See the instruction above the 'Score' column." errorStyle="stop" operator="between" showDropDown="false" showErrorMessage="true" showInputMessage="false" sqref="I13:I19" type="decimal">
      <formula1>0</formula1>
      <formula2>5</formula2>
    </dataValidation>
  </dataValidations>
  <hyperlinks>
    <hyperlink ref="J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8" width="28"/>
    <col collapsed="false" customWidth="true" hidden="false" outlineLevel="0" max="2" min="2" style="8" width="10"/>
    <col collapsed="false" customWidth="true" hidden="false" outlineLevel="0" max="3" min="3" style="8" width="30"/>
    <col collapsed="false" customWidth="true" hidden="false" outlineLevel="0" max="8" min="8" style="8" width="10"/>
    <col collapsed="false" customWidth="true" hidden="false" outlineLevel="0" max="9" min="9" style="8" width="40"/>
  </cols>
  <sheetData>
    <row r="1" customFormat="false" ht="15" hidden="false" customHeight="true" outlineLevel="0" collapsed="false">
      <c r="A1" s="8" t="s">
        <v>836</v>
      </c>
      <c r="B1" s="8" t="s">
        <v>445</v>
      </c>
      <c r="C1" s="8" t="s">
        <v>837</v>
      </c>
      <c r="J1" s="13" t="s">
        <v>838</v>
      </c>
    </row>
    <row r="2" customFormat="false" ht="68.25" hidden="false" customHeight="true" outlineLevel="0" collapsed="false">
      <c r="A2" s="10" t="s">
        <v>589</v>
      </c>
      <c r="B2" s="4" t="str">
        <f aca="false">VLOOKUP($B$1,'PARASTATAL Questions'!$A:$J,3,0)&amp;""</f>
        <v>Decentralised Participatory Governance</v>
      </c>
    </row>
    <row r="3" customFormat="false" ht="15" hidden="false" customHeight="true" outlineLevel="0" collapsed="false">
      <c r="A3" s="10" t="s">
        <v>622</v>
      </c>
      <c r="B3" s="4" t="str">
        <f aca="false">VLOOKUP($B$1,'PARASTATAL Questions'!$A:$J,2,0)&amp;""</f>
        <v>DPG 7a</v>
      </c>
    </row>
    <row r="4" customFormat="false" ht="15" hidden="false" customHeight="true" outlineLevel="0" collapsed="false">
      <c r="A4" s="10" t="s">
        <v>590</v>
      </c>
      <c r="B4" s="4" t="str">
        <f aca="false">VLOOKUP($B$1,'PARASTATAL Questions'!$A:$J,4,0)&amp;""</f>
        <v>SQ</v>
      </c>
    </row>
    <row r="5" customFormat="false" ht="102" hidden="false" customHeight="true" outlineLevel="0" collapsed="false">
      <c r="A5" s="10" t="s">
        <v>0</v>
      </c>
      <c r="B5" s="4" t="str">
        <f aca="false">VLOOKUP($B$1,'PARASTATAL Questions'!$A:$J,5,0)&amp;""</f>
        <v>Is citizen participation in the preparation of the parastatal's plans mandated?</v>
      </c>
    </row>
    <row r="6" customFormat="false" ht="15" hidden="false" customHeight="true" outlineLevel="0" collapsed="false">
      <c r="A6" s="10" t="s">
        <v>592</v>
      </c>
      <c r="B6" s="4" t="n">
        <f aca="false">VLOOKUP($B$1,'PARASTATAL Questions'!$A:$J,6,0)</f>
        <v>5</v>
      </c>
    </row>
    <row r="7" customFormat="false" ht="15" hidden="false" customHeight="true" outlineLevel="0" collapsed="false">
      <c r="A7" s="10" t="s">
        <v>591</v>
      </c>
      <c r="B7" s="4" t="str">
        <f aca="false">VLOOKUP($B$1,'PARASTATAL Questions'!$A:$J,7,0)&amp;""</f>
        <v>Law/Policy</v>
      </c>
    </row>
    <row r="8" customFormat="false" ht="68.25" hidden="false" customHeight="true" outlineLevel="0" collapsed="false">
      <c r="A8" s="10" t="s">
        <v>623</v>
      </c>
      <c r="B8" s="4" t="str">
        <f aca="false">VLOOKUP($B$1,'PARASTATAL Questions'!$A:$J,8,0)&amp;""</f>
        <v>All parastatals excluding Development Authorities</v>
      </c>
    </row>
    <row r="9" customFormat="false" ht="1031.25" hidden="false" customHeight="true" outlineLevel="0" collapsed="false">
      <c r="A9" s="10" t="s">
        <v>624</v>
      </c>
      <c r="B9" s="4" t="str">
        <f aca="false">VLOOKUP($B$1,'PARASTATAL Questions'!$A:$J,9,0)&amp;""</f>
        <v>Review the parastatal Act and rules first. Also review the applicable T&amp;CP/planning Act, Municipal Act  to identify whether a citizen-participation requirement applies to the parastatal directly or to all authorities preparing the relevant category of plan. Score 5 if the applicable law/rules mandate a defined citizen-participation process before finalisation/approval of the plan, including publication of a draft plan and invitation of objections/suggestions, public hearing, consultation or equivalent. Score 2.5 if participation is provided for but is discretionary, or applies only to specified plan types/stages. Score 0 if no applicable requirement is found. Record the legal provision, plan type, form of participation prescribed, and whether the provision uses mandatory or discretionary language.</v>
      </c>
    </row>
    <row r="10" customFormat="false" ht="90.75" hidden="false" customHeight="true" outlineLevel="0" collapsed="false">
      <c r="A10" s="10" t="s">
        <v>625</v>
      </c>
      <c r="B10" s="4" t="str">
        <f aca="false">VLOOKUP($B$1,'PARASTATAL Questions'!$A:$J,10,0)&amp;""</f>
        <v>Parastatal Act and rules; applicable T&amp;CP Act; State Municipal Act.</v>
      </c>
    </row>
    <row r="11" customFormat="false" ht="15" hidden="false" customHeight="true" outlineLevel="0" collapsed="false">
      <c r="B11" s="14" t="s">
        <v>839</v>
      </c>
      <c r="I11" s="14" t="s">
        <v>840</v>
      </c>
      <c r="J11" s="14" t="s">
        <v>841</v>
      </c>
      <c r="L11" s="8" t="s">
        <v>842</v>
      </c>
    </row>
    <row r="12" customFormat="false" ht="51.75" hidden="false" customHeight="true" outlineLevel="0" collapsed="false">
      <c r="A12" s="1" t="s">
        <v>612</v>
      </c>
      <c r="B12" s="1" t="s">
        <v>843</v>
      </c>
      <c r="C12" s="1" t="s">
        <v>844</v>
      </c>
      <c r="D12" s="1" t="s">
        <v>845</v>
      </c>
      <c r="E12" s="1" t="s">
        <v>846</v>
      </c>
      <c r="F12" s="1" t="s">
        <v>847</v>
      </c>
      <c r="G12" s="1" t="s">
        <v>848</v>
      </c>
      <c r="H12" s="1" t="s">
        <v>14</v>
      </c>
      <c r="I12" s="1" t="s">
        <v>849</v>
      </c>
      <c r="J12" s="1" t="s">
        <v>850</v>
      </c>
      <c r="K12" s="1" t="s">
        <v>851</v>
      </c>
      <c r="L12" s="8" t="s">
        <v>852</v>
      </c>
    </row>
    <row r="13" customFormat="false" ht="381.75" hidden="false" customHeight="true" outlineLevel="0" collapsed="false">
      <c r="A13" s="8" t="s">
        <v>19</v>
      </c>
      <c r="B13" s="8" t="s">
        <v>853</v>
      </c>
      <c r="C13" s="8" t="s">
        <v>23</v>
      </c>
      <c r="D13" s="8" t="s">
        <v>1301</v>
      </c>
      <c r="E13" s="8" t="s">
        <v>1302</v>
      </c>
      <c r="F13" s="8" t="s">
        <v>1303</v>
      </c>
      <c r="G13" s="8" t="s">
        <v>857</v>
      </c>
      <c r="H13" s="8" t="s">
        <v>24</v>
      </c>
      <c r="I13" s="15" t="n">
        <v>0</v>
      </c>
      <c r="J13" s="8" t="n">
        <f aca="false">IF(COUNTIFS('Scores (start here)'!$A:$A,$B$1,'Scores (start here)'!$B:$B,$A13,'Scores (start here)'!$F:$F,"&gt;=0")&gt;0,SUMIFS('Scores (start here)'!$F:$F,'Scores (start here)'!$A:$A,$B$1,'Scores (start here)'!$B:$B,$A13),L13)</f>
        <v>0</v>
      </c>
      <c r="K13" s="12" t="s">
        <v>1304</v>
      </c>
      <c r="L13" s="8" t="n">
        <f aca="false">IF($B13="NO","NA",IF(I13="","",MIN(I13,$B$6)))</f>
        <v>0</v>
      </c>
    </row>
    <row r="14" customFormat="false" ht="191.25" hidden="false" customHeight="true" outlineLevel="0" collapsed="false">
      <c r="A14" s="8" t="s">
        <v>28</v>
      </c>
      <c r="B14" s="8" t="s">
        <v>853</v>
      </c>
      <c r="C14" s="8" t="s">
        <v>82</v>
      </c>
      <c r="D14" s="8" t="s">
        <v>1305</v>
      </c>
      <c r="E14" s="8" t="s">
        <v>1306</v>
      </c>
      <c r="F14" s="8" t="s">
        <v>1307</v>
      </c>
      <c r="G14" s="8" t="s">
        <v>916</v>
      </c>
      <c r="H14" s="8" t="s">
        <v>83</v>
      </c>
      <c r="I14" s="15" t="n">
        <v>2.5</v>
      </c>
      <c r="J14" s="8" t="n">
        <f aca="false">IF(COUNTIFS('Scores (start here)'!$A:$A,$B$1,'Scores (start here)'!$B:$B,$A14,'Scores (start here)'!$F:$F,"&gt;=0")&gt;0,SUMIFS('Scores (start here)'!$F:$F,'Scores (start here)'!$A:$A,$B$1,'Scores (start here)'!$B:$B,$A14),L14)</f>
        <v>2.5</v>
      </c>
      <c r="K14" s="12" t="s">
        <v>1308</v>
      </c>
      <c r="L14" s="8" t="n">
        <f aca="false">IF($B14="NO","NA",IF(I14="","",MIN(I14,$B$6)))</f>
        <v>2.5</v>
      </c>
    </row>
    <row r="15" customFormat="false" ht="15" hidden="false" customHeight="true" outlineLevel="0" collapsed="false">
      <c r="A15" s="16" t="s">
        <v>34</v>
      </c>
      <c r="B15" s="16" t="s">
        <v>905</v>
      </c>
      <c r="C15" s="16"/>
      <c r="D15" s="16"/>
      <c r="E15" s="16"/>
      <c r="F15" s="16"/>
      <c r="G15" s="16"/>
      <c r="H15" s="16"/>
      <c r="I15" s="17"/>
      <c r="J15" s="16" t="str">
        <f aca="false">IF(COUNTIFS('Scores (start here)'!$A:$A,$B$1,'Scores (start here)'!$B:$B,$A15,'Scores (start here)'!$F:$F,"&gt;=0")&gt;0,SUMIFS('Scores (start here)'!$F:$F,'Scores (start here)'!$A:$A,$B$1,'Scores (start here)'!$B:$B,$A15),L15)</f>
        <v>NA</v>
      </c>
      <c r="K15" s="16"/>
      <c r="L15" s="8" t="str">
        <f aca="false">IF($B15="NO","NA",IF(I15="","",MIN(I15,$B$6)))</f>
        <v>NA</v>
      </c>
    </row>
    <row r="16" customFormat="false" ht="370.5" hidden="false" customHeight="true" outlineLevel="0" collapsed="false">
      <c r="A16" s="8" t="s">
        <v>40</v>
      </c>
      <c r="B16" s="8" t="s">
        <v>853</v>
      </c>
      <c r="C16" s="8" t="s">
        <v>453</v>
      </c>
      <c r="D16" s="8" t="s">
        <v>1309</v>
      </c>
      <c r="E16" s="8" t="s">
        <v>1310</v>
      </c>
      <c r="F16" s="8" t="s">
        <v>1311</v>
      </c>
      <c r="G16" s="8" t="s">
        <v>916</v>
      </c>
      <c r="H16" s="8" t="s">
        <v>83</v>
      </c>
      <c r="I16" s="15" t="n">
        <v>2.5</v>
      </c>
      <c r="J16" s="8" t="n">
        <f aca="false">IF(COUNTIFS('Scores (start here)'!$A:$A,$B$1,'Scores (start here)'!$B:$B,$A16,'Scores (start here)'!$F:$F,"&gt;=0")&gt;0,SUMIFS('Scores (start here)'!$F:$F,'Scores (start here)'!$A:$A,$B$1,'Scores (start here)'!$B:$B,$A16),L16)</f>
        <v>2.5</v>
      </c>
      <c r="K16" s="12" t="s">
        <v>1312</v>
      </c>
      <c r="L16" s="8" t="n">
        <f aca="false">IF($B16="NO","NA",IF(I16="","",MIN(I16,$B$6)))</f>
        <v>2.5</v>
      </c>
    </row>
    <row r="17" customFormat="false" ht="15" hidden="false" customHeight="true" outlineLevel="0" collapsed="false">
      <c r="A17" s="16" t="s">
        <v>45</v>
      </c>
      <c r="B17" s="16" t="s">
        <v>905</v>
      </c>
      <c r="C17" s="16"/>
      <c r="D17" s="16"/>
      <c r="E17" s="16"/>
      <c r="F17" s="16"/>
      <c r="G17" s="16"/>
      <c r="H17" s="16"/>
      <c r="I17" s="17"/>
      <c r="J17" s="16" t="str">
        <f aca="false">IF(COUNTIFS('Scores (start here)'!$A:$A,$B$1,'Scores (start here)'!$B:$B,$A17,'Scores (start here)'!$F:$F,"&gt;=0")&gt;0,SUMIFS('Scores (start here)'!$F:$F,'Scores (start here)'!$A:$A,$B$1,'Scores (start here)'!$B:$B,$A17),L17)</f>
        <v>NA</v>
      </c>
      <c r="K17" s="16"/>
      <c r="L17" s="8" t="str">
        <f aca="false">IF($B17="NO","NA",IF(I17="","",MIN(I17,$B$6)))</f>
        <v>NA</v>
      </c>
    </row>
    <row r="18" customFormat="false" ht="15" hidden="false" customHeight="true" outlineLevel="0" collapsed="false">
      <c r="A18" s="16" t="s">
        <v>51</v>
      </c>
      <c r="B18" s="16" t="s">
        <v>905</v>
      </c>
      <c r="C18" s="16"/>
      <c r="D18" s="16"/>
      <c r="E18" s="16"/>
      <c r="F18" s="16"/>
      <c r="G18" s="16"/>
      <c r="H18" s="16"/>
      <c r="I18" s="17"/>
      <c r="J18" s="16" t="str">
        <f aca="false">IF(COUNTIFS('Scores (start here)'!$A:$A,$B$1,'Scores (start here)'!$B:$B,$A18,'Scores (start here)'!$F:$F,"&gt;=0")&gt;0,SUMIFS('Scores (start here)'!$F:$F,'Scores (start here)'!$A:$A,$B$1,'Scores (start here)'!$B:$B,$A18),L18)</f>
        <v>NA</v>
      </c>
      <c r="K18" s="16"/>
      <c r="L18" s="8" t="str">
        <f aca="false">IF($B18="NO","NA",IF(I18="","",MIN(I18,$B$6)))</f>
        <v>NA</v>
      </c>
    </row>
    <row r="19" customFormat="false" ht="15" hidden="false" customHeight="true" outlineLevel="0" collapsed="false">
      <c r="A19" s="8" t="s">
        <v>54</v>
      </c>
      <c r="B19" s="8" t="s">
        <v>853</v>
      </c>
      <c r="I19" s="15"/>
      <c r="J19" s="8" t="str">
        <f aca="false">IF(COUNTIFS('Scores (start here)'!$A:$A,$B$1,'Scores (start here)'!$B:$B,$A19,'Scores (start here)'!$F:$F,"&gt;=0")&gt;0,SUMIFS('Scores (start here)'!$F:$F,'Scores (start here)'!$A:$A,$B$1,'Scores (start here)'!$B:$B,$A19),L19)</f>
        <v/>
      </c>
      <c r="K19" s="8" t="s">
        <v>1313</v>
      </c>
      <c r="L19" s="8" t="str">
        <f aca="false">IF($B19="NO","NA",IF(I19="","",MIN(I19,$B$6)))</f>
        <v/>
      </c>
    </row>
  </sheetData>
  <dataValidations count="1">
    <dataValidation allowBlank="true" error="See the instruction above the 'Score' column." errorStyle="stop" operator="between" showDropDown="false" showErrorMessage="true" showInputMessage="false" sqref="I13:I19" type="decimal">
      <formula1>0</formula1>
      <formula2>5</formula2>
    </dataValidation>
  </dataValidations>
  <hyperlinks>
    <hyperlink ref="J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8" width="28"/>
    <col collapsed="false" customWidth="true" hidden="false" outlineLevel="0" max="2" min="2" style="8" width="10"/>
    <col collapsed="false" customWidth="true" hidden="false" outlineLevel="0" max="3" min="3" style="8" width="30"/>
    <col collapsed="false" customWidth="true" hidden="false" outlineLevel="0" max="8" min="8" style="8" width="10"/>
    <col collapsed="false" customWidth="true" hidden="false" outlineLevel="0" max="9" min="9" style="8" width="40"/>
  </cols>
  <sheetData>
    <row r="1" customFormat="false" ht="15" hidden="false" customHeight="true" outlineLevel="0" collapsed="false">
      <c r="A1" s="8" t="s">
        <v>836</v>
      </c>
      <c r="B1" s="8" t="s">
        <v>457</v>
      </c>
      <c r="C1" s="8" t="s">
        <v>837</v>
      </c>
      <c r="J1" s="13" t="s">
        <v>838</v>
      </c>
    </row>
    <row r="2" customFormat="false" ht="68.25" hidden="false" customHeight="true" outlineLevel="0" collapsed="false">
      <c r="A2" s="10" t="s">
        <v>589</v>
      </c>
      <c r="B2" s="4" t="str">
        <f aca="false">VLOOKUP($B$1,'PARASTATAL Questions'!$A:$J,3,0)&amp;""</f>
        <v>Decentralised Participatory Governance</v>
      </c>
    </row>
    <row r="3" customFormat="false" ht="15" hidden="false" customHeight="true" outlineLevel="0" collapsed="false">
      <c r="A3" s="10" t="s">
        <v>622</v>
      </c>
      <c r="B3" s="4" t="str">
        <f aca="false">VLOOKUP($B$1,'PARASTATAL Questions'!$A:$J,2,0)&amp;""</f>
        <v>DPG 7b</v>
      </c>
    </row>
    <row r="4" customFormat="false" ht="15" hidden="false" customHeight="true" outlineLevel="0" collapsed="false">
      <c r="A4" s="10" t="s">
        <v>590</v>
      </c>
      <c r="B4" s="4" t="str">
        <f aca="false">VLOOKUP($B$1,'PARASTATAL Questions'!$A:$J,4,0)&amp;""</f>
        <v>SQ</v>
      </c>
    </row>
    <row r="5" customFormat="false" ht="113.25" hidden="false" customHeight="true" outlineLevel="0" collapsed="false">
      <c r="A5" s="10" t="s">
        <v>0</v>
      </c>
      <c r="B5" s="4" t="str">
        <f aca="false">VLOOKUP($B$1,'PARASTATAL Questions'!$A:$J,5,0)&amp;""</f>
        <v>Are citizens consulted in practice in the preparation of plans by the parastatal?</v>
      </c>
    </row>
    <row r="6" customFormat="false" ht="15" hidden="false" customHeight="true" outlineLevel="0" collapsed="false">
      <c r="A6" s="10" t="s">
        <v>592</v>
      </c>
      <c r="B6" s="4" t="n">
        <f aca="false">VLOOKUP($B$1,'PARASTATAL Questions'!$A:$J,6,0)</f>
        <v>5</v>
      </c>
    </row>
    <row r="7" customFormat="false" ht="15" hidden="false" customHeight="true" outlineLevel="0" collapsed="false">
      <c r="A7" s="10" t="s">
        <v>591</v>
      </c>
      <c r="B7" s="4" t="str">
        <f aca="false">VLOOKUP($B$1,'PARASTATAL Questions'!$A:$J,7,0)&amp;""</f>
        <v>Law/Policy</v>
      </c>
    </row>
    <row r="8" customFormat="false" ht="68.25" hidden="false" customHeight="true" outlineLevel="0" collapsed="false">
      <c r="A8" s="10" t="s">
        <v>623</v>
      </c>
      <c r="B8" s="4" t="str">
        <f aca="false">VLOOKUP($B$1,'PARASTATAL Questions'!$A:$J,8,0)&amp;""</f>
        <v>All parastatals excluding Development Authorities</v>
      </c>
    </row>
    <row r="9" customFormat="false" ht="1008.75" hidden="false" customHeight="true" outlineLevel="0" collapsed="false">
      <c r="A9" s="10" t="s">
        <v>624</v>
      </c>
      <c r="B9" s="4" t="str">
        <f aca="false">VLOOKUP($B$1,'PARASTATAL Questions'!$A:$J,9,0)&amp;""</f>
        <v>Review the parastatal’s official website and the latest applicable plan/planning exercise. Check the plan document, consultation reports, public notices, minutes/proceedings of consultations or public hearings, and other relevant records available on the website. Score 5 if there is publicly verifiable evidence that citizens were provided an opportunity to participate through objections/suggestions, public hearings, consultations or an equivalent process before the plan was finalised. Score 2.5 if there is credible evidence that consultation took place, but the process cannot be fully verified from official records—for example, where only a consultation notice, minutes/proceedings, a reference in the final plan, media reports, or other partial documentation is available.</v>
      </c>
    </row>
    <row r="10" customFormat="false" ht="202.5" hidden="false" customHeight="true" outlineLevel="0" collapsed="false">
      <c r="A10" s="10" t="s">
        <v>625</v>
      </c>
      <c r="B10" s="4" t="str">
        <f aca="false">VLOOKUP($B$1,'PARASTATAL Questions'!$A:$J,10,0)&amp;""</f>
        <v>Plan document; consultation reports; public notices; minutes/proceedings of consultations or hearings on the parastatal's official website; media reports.</v>
      </c>
    </row>
    <row r="11" customFormat="false" ht="15" hidden="false" customHeight="true" outlineLevel="0" collapsed="false">
      <c r="B11" s="14" t="s">
        <v>839</v>
      </c>
      <c r="I11" s="14" t="s">
        <v>840</v>
      </c>
      <c r="J11" s="14" t="s">
        <v>841</v>
      </c>
      <c r="L11" s="8" t="s">
        <v>842</v>
      </c>
    </row>
    <row r="12" customFormat="false" ht="51.75" hidden="false" customHeight="true" outlineLevel="0" collapsed="false">
      <c r="A12" s="1" t="s">
        <v>612</v>
      </c>
      <c r="B12" s="1" t="s">
        <v>843</v>
      </c>
      <c r="C12" s="1" t="s">
        <v>844</v>
      </c>
      <c r="D12" s="1" t="s">
        <v>845</v>
      </c>
      <c r="E12" s="1" t="s">
        <v>846</v>
      </c>
      <c r="F12" s="1" t="s">
        <v>847</v>
      </c>
      <c r="G12" s="1" t="s">
        <v>848</v>
      </c>
      <c r="H12" s="1" t="s">
        <v>14</v>
      </c>
      <c r="I12" s="1" t="s">
        <v>849</v>
      </c>
      <c r="J12" s="1" t="s">
        <v>850</v>
      </c>
      <c r="K12" s="1" t="s">
        <v>851</v>
      </c>
      <c r="L12" s="8" t="s">
        <v>852</v>
      </c>
    </row>
    <row r="13" customFormat="false" ht="15" hidden="false" customHeight="true" outlineLevel="0" collapsed="false">
      <c r="A13" s="8" t="s">
        <v>19</v>
      </c>
      <c r="B13" s="8" t="s">
        <v>853</v>
      </c>
      <c r="C13" s="8" t="s">
        <v>1314</v>
      </c>
      <c r="D13" s="8" t="s">
        <v>1315</v>
      </c>
      <c r="E13" s="8" t="s">
        <v>1316</v>
      </c>
      <c r="F13" s="8" t="s">
        <v>1317</v>
      </c>
      <c r="G13" s="8" t="s">
        <v>1318</v>
      </c>
      <c r="H13" s="8" t="s">
        <v>1319</v>
      </c>
      <c r="I13" s="15" t="n">
        <v>2.5</v>
      </c>
      <c r="J13" s="8" t="n">
        <f aca="false">IF(COUNTIFS('Scores (start here)'!$A:$A,$B$1,'Scores (start here)'!$B:$B,$A13,'Scores (start here)'!$F:$F,"&gt;=0")&gt;0,SUMIFS('Scores (start here)'!$F:$F,'Scores (start here)'!$A:$A,$B$1,'Scores (start here)'!$B:$B,$A13),L13)</f>
        <v>2.5</v>
      </c>
      <c r="K13" s="8" t="s">
        <v>1320</v>
      </c>
      <c r="L13" s="8" t="n">
        <f aca="false">IF($B13="NO","NA",IF(I13="","",MIN(I13,$B$6)))</f>
        <v>2.5</v>
      </c>
    </row>
    <row r="14" customFormat="false" ht="15" hidden="false" customHeight="true" outlineLevel="0" collapsed="false">
      <c r="A14" s="8" t="s">
        <v>28</v>
      </c>
      <c r="B14" s="8" t="s">
        <v>853</v>
      </c>
      <c r="I14" s="15"/>
      <c r="J14" s="8" t="str">
        <f aca="false">IF(COUNTIFS('Scores (start here)'!$A:$A,$B$1,'Scores (start here)'!$B:$B,$A14,'Scores (start here)'!$F:$F,"&gt;=0")&gt;0,SUMIFS('Scores (start here)'!$F:$F,'Scores (start here)'!$A:$A,$B$1,'Scores (start here)'!$B:$B,$A14),L14)</f>
        <v/>
      </c>
      <c r="K14" s="8" t="s">
        <v>1321</v>
      </c>
      <c r="L14" s="8" t="str">
        <f aca="false">IF($B14="NO","NA",IF(I14="","",MIN(I14,$B$6)))</f>
        <v/>
      </c>
    </row>
    <row r="15" customFormat="false" ht="15" hidden="false" customHeight="true" outlineLevel="0" collapsed="false">
      <c r="A15" s="16" t="s">
        <v>34</v>
      </c>
      <c r="B15" s="16" t="s">
        <v>905</v>
      </c>
      <c r="C15" s="16"/>
      <c r="D15" s="16"/>
      <c r="E15" s="16"/>
      <c r="F15" s="16"/>
      <c r="G15" s="16"/>
      <c r="H15" s="16"/>
      <c r="I15" s="17"/>
      <c r="J15" s="16" t="str">
        <f aca="false">IF(COUNTIFS('Scores (start here)'!$A:$A,$B$1,'Scores (start here)'!$B:$B,$A15,'Scores (start here)'!$F:$F,"&gt;=0")&gt;0,SUMIFS('Scores (start here)'!$F:$F,'Scores (start here)'!$A:$A,$B$1,'Scores (start here)'!$B:$B,$A15),L15)</f>
        <v>NA</v>
      </c>
      <c r="K15" s="16"/>
      <c r="L15" s="8" t="str">
        <f aca="false">IF($B15="NO","NA",IF(I15="","",MIN(I15,$B$6)))</f>
        <v>NA</v>
      </c>
    </row>
    <row r="16" customFormat="false" ht="15" hidden="false" customHeight="true" outlineLevel="0" collapsed="false">
      <c r="A16" s="8" t="s">
        <v>40</v>
      </c>
      <c r="B16" s="8" t="s">
        <v>853</v>
      </c>
      <c r="C16" s="8" t="s">
        <v>1322</v>
      </c>
      <c r="D16" s="8" t="s">
        <v>1323</v>
      </c>
      <c r="E16" s="8" t="s">
        <v>1324</v>
      </c>
      <c r="F16" s="8" t="s">
        <v>1325</v>
      </c>
      <c r="G16" s="8" t="s">
        <v>1326</v>
      </c>
      <c r="H16" s="8" t="s">
        <v>1327</v>
      </c>
      <c r="I16" s="15" t="n">
        <v>2.5</v>
      </c>
      <c r="J16" s="8" t="n">
        <f aca="false">IF(COUNTIFS('Scores (start here)'!$A:$A,$B$1,'Scores (start here)'!$B:$B,$A16,'Scores (start here)'!$F:$F,"&gt;=0")&gt;0,SUMIFS('Scores (start here)'!$F:$F,'Scores (start here)'!$A:$A,$B$1,'Scores (start here)'!$B:$B,$A16),L16)</f>
        <v>2.5</v>
      </c>
      <c r="K16" s="8" t="s">
        <v>1328</v>
      </c>
      <c r="L16" s="8" t="n">
        <f aca="false">IF($B16="NO","NA",IF(I16="","",MIN(I16,$B$6)))</f>
        <v>2.5</v>
      </c>
    </row>
    <row r="17" customFormat="false" ht="15" hidden="false" customHeight="true" outlineLevel="0" collapsed="false">
      <c r="A17" s="16" t="s">
        <v>45</v>
      </c>
      <c r="B17" s="16" t="s">
        <v>905</v>
      </c>
      <c r="C17" s="16"/>
      <c r="D17" s="16"/>
      <c r="E17" s="16"/>
      <c r="F17" s="16"/>
      <c r="G17" s="16"/>
      <c r="H17" s="16"/>
      <c r="I17" s="17"/>
      <c r="J17" s="16" t="str">
        <f aca="false">IF(COUNTIFS('Scores (start here)'!$A:$A,$B$1,'Scores (start here)'!$B:$B,$A17,'Scores (start here)'!$F:$F,"&gt;=0")&gt;0,SUMIFS('Scores (start here)'!$F:$F,'Scores (start here)'!$A:$A,$B$1,'Scores (start here)'!$B:$B,$A17),L17)</f>
        <v>NA</v>
      </c>
      <c r="K17" s="16"/>
      <c r="L17" s="8" t="str">
        <f aca="false">IF($B17="NO","NA",IF(I17="","",MIN(I17,$B$6)))</f>
        <v>NA</v>
      </c>
    </row>
    <row r="18" customFormat="false" ht="15" hidden="false" customHeight="true" outlineLevel="0" collapsed="false">
      <c r="A18" s="16" t="s">
        <v>51</v>
      </c>
      <c r="B18" s="16" t="s">
        <v>905</v>
      </c>
      <c r="C18" s="16"/>
      <c r="D18" s="16"/>
      <c r="E18" s="16"/>
      <c r="F18" s="16"/>
      <c r="G18" s="16"/>
      <c r="H18" s="16"/>
      <c r="I18" s="17"/>
      <c r="J18" s="16" t="str">
        <f aca="false">IF(COUNTIFS('Scores (start here)'!$A:$A,$B$1,'Scores (start here)'!$B:$B,$A18,'Scores (start here)'!$F:$F,"&gt;=0")&gt;0,SUMIFS('Scores (start here)'!$F:$F,'Scores (start here)'!$A:$A,$B$1,'Scores (start here)'!$B:$B,$A18),L18)</f>
        <v>NA</v>
      </c>
      <c r="K18" s="16"/>
      <c r="L18" s="8" t="str">
        <f aca="false">IF($B18="NO","NA",IF(I18="","",MIN(I18,$B$6)))</f>
        <v>NA</v>
      </c>
    </row>
    <row r="19" customFormat="false" ht="15" hidden="false" customHeight="true" outlineLevel="0" collapsed="false">
      <c r="A19" s="8" t="s">
        <v>54</v>
      </c>
      <c r="B19" s="8" t="s">
        <v>853</v>
      </c>
      <c r="C19" s="8" t="s">
        <v>462</v>
      </c>
      <c r="D19" s="8" t="s">
        <v>1329</v>
      </c>
      <c r="E19" s="8" t="s">
        <v>1330</v>
      </c>
      <c r="F19" s="8" t="s">
        <v>1331</v>
      </c>
      <c r="G19" s="8" t="s">
        <v>1332</v>
      </c>
      <c r="H19" s="8" t="s">
        <v>463</v>
      </c>
      <c r="I19" s="15" t="n">
        <v>2.5</v>
      </c>
      <c r="J19" s="8" t="n">
        <f aca="false">IF(COUNTIFS('Scores (start here)'!$A:$A,$B$1,'Scores (start here)'!$B:$B,$A19,'Scores (start here)'!$F:$F,"&gt;=0")&gt;0,SUMIFS('Scores (start here)'!$F:$F,'Scores (start here)'!$A:$A,$B$1,'Scores (start here)'!$B:$B,$A19),L19)</f>
        <v>2.5</v>
      </c>
      <c r="K19" s="12" t="s">
        <v>1333</v>
      </c>
      <c r="L19" s="8" t="n">
        <f aca="false">IF($B19="NO","NA",IF(I19="","",MIN(I19,$B$6)))</f>
        <v>2.5</v>
      </c>
    </row>
  </sheetData>
  <dataValidations count="1">
    <dataValidation allowBlank="true" error="See the instruction above the 'Score' column." errorStyle="stop" operator="between" showDropDown="false" showErrorMessage="true" showInputMessage="false" sqref="I13:I19" type="decimal">
      <formula1>0</formula1>
      <formula2>5</formula2>
    </dataValidation>
  </dataValidations>
  <hyperlinks>
    <hyperlink ref="J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8" width="28"/>
    <col collapsed="false" customWidth="true" hidden="false" outlineLevel="0" max="2" min="2" style="8" width="10"/>
    <col collapsed="false" customWidth="true" hidden="false" outlineLevel="0" max="3" min="3" style="8" width="30"/>
    <col collapsed="false" customWidth="true" hidden="false" outlineLevel="0" max="8" min="8" style="8" width="10"/>
    <col collapsed="false" customWidth="true" hidden="false" outlineLevel="0" max="9" min="9" style="8" width="40"/>
  </cols>
  <sheetData>
    <row r="1" customFormat="false" ht="15" hidden="false" customHeight="true" outlineLevel="0" collapsed="false">
      <c r="A1" s="8" t="s">
        <v>836</v>
      </c>
      <c r="B1" s="8" t="s">
        <v>466</v>
      </c>
      <c r="C1" s="8" t="s">
        <v>837</v>
      </c>
      <c r="J1" s="13" t="s">
        <v>838</v>
      </c>
    </row>
    <row r="2" customFormat="false" ht="23.25" hidden="false" customHeight="true" outlineLevel="0" collapsed="false">
      <c r="A2" s="10" t="s">
        <v>589</v>
      </c>
      <c r="B2" s="4" t="str">
        <f aca="false">VLOOKUP($B$1,'PARASTATAL Questions'!$A:$J,3,0)&amp;""</f>
        <v>State Capacities</v>
      </c>
    </row>
    <row r="3" customFormat="false" ht="15" hidden="false" customHeight="true" outlineLevel="0" collapsed="false">
      <c r="A3" s="10" t="s">
        <v>622</v>
      </c>
      <c r="B3" s="4" t="str">
        <f aca="false">VLOOKUP($B$1,'PARASTATAL Questions'!$A:$J,2,0)&amp;""</f>
        <v>SC-1</v>
      </c>
    </row>
    <row r="4" customFormat="false" ht="15" hidden="false" customHeight="true" outlineLevel="0" collapsed="false">
      <c r="A4" s="10" t="s">
        <v>590</v>
      </c>
      <c r="B4" s="4" t="str">
        <f aca="false">VLOOKUP($B$1,'PARASTATAL Questions'!$A:$J,4,0)&amp;""</f>
        <v>MQ</v>
      </c>
    </row>
    <row r="5" customFormat="false" ht="124.5" hidden="false" customHeight="true" outlineLevel="0" collapsed="false">
      <c r="A5" s="10" t="s">
        <v>0</v>
      </c>
      <c r="B5" s="4" t="str">
        <f aca="false">VLOOKUP($B$1,'PARASTATAL Questions'!$A:$J,5,0)&amp;""</f>
        <v>What proportion of the parastatal's total expenditure is financed through its own revenues?</v>
      </c>
    </row>
    <row r="6" customFormat="false" ht="15" hidden="false" customHeight="true" outlineLevel="0" collapsed="false">
      <c r="A6" s="10" t="s">
        <v>592</v>
      </c>
      <c r="B6" s="4" t="n">
        <f aca="false">VLOOKUP($B$1,'PARASTATAL Questions'!$A:$J,6,0)</f>
        <v>10</v>
      </c>
    </row>
    <row r="7" customFormat="false" ht="34.5" hidden="false" customHeight="true" outlineLevel="0" collapsed="false">
      <c r="A7" s="10" t="s">
        <v>591</v>
      </c>
      <c r="B7" s="4" t="str">
        <f aca="false">VLOOKUP($B$1,'PARASTATAL Questions'!$A:$J,7,0)&amp;""</f>
        <v>Implementation (Numeric)</v>
      </c>
    </row>
    <row r="8" customFormat="false" ht="45.75" hidden="false" customHeight="true" outlineLevel="0" collapsed="false">
      <c r="A8" s="10" t="s">
        <v>623</v>
      </c>
      <c r="B8" s="4" t="str">
        <f aca="false">VLOOKUP($B$1,'PARASTATAL Questions'!$A:$J,8,0)&amp;""</f>
        <v>Revenue-raising parastatals only</v>
      </c>
    </row>
    <row r="9" customFormat="false" ht="336.75" hidden="false" customHeight="true" outlineLevel="0" collapsed="false">
      <c r="A9" s="10" t="s">
        <v>624</v>
      </c>
      <c r="B9" s="4" t="str">
        <f aca="false">VLOOKUP($B$1,'PARASTATAL Questions'!$A:$J,9,0)&amp;""</f>
        <v>Compute Own Revenue (Tax and Non-Tax revenue excluding any government grants) and use 3 years average wherever available (at least 2 years but not more than 5 years). Score is own revenue percentage as a proportion of 10 marks i.e. 50% gets 5 out of 10.</v>
      </c>
    </row>
    <row r="10" customFormat="false" ht="102" hidden="false" customHeight="true" outlineLevel="0" collapsed="false">
      <c r="A10" s="10" t="s">
        <v>625</v>
      </c>
      <c r="B10" s="4" t="str">
        <f aca="false">VLOOKUP($B$1,'PARASTATAL Questions'!$A:$J,10,0)&amp;""</f>
        <v>Annual budget of the last three financial years of the relevant parastatal.</v>
      </c>
    </row>
    <row r="11" customFormat="false" ht="15" hidden="false" customHeight="true" outlineLevel="0" collapsed="false">
      <c r="B11" s="14" t="s">
        <v>839</v>
      </c>
      <c r="I11" s="14" t="s">
        <v>1072</v>
      </c>
      <c r="J11" s="14" t="s">
        <v>841</v>
      </c>
      <c r="L11" s="8" t="s">
        <v>842</v>
      </c>
    </row>
    <row r="12" customFormat="false" ht="51.75" hidden="false" customHeight="true" outlineLevel="0" collapsed="false">
      <c r="A12" s="1" t="s">
        <v>612</v>
      </c>
      <c r="B12" s="1" t="s">
        <v>843</v>
      </c>
      <c r="C12" s="1" t="s">
        <v>844</v>
      </c>
      <c r="D12" s="1" t="s">
        <v>845</v>
      </c>
      <c r="E12" s="1" t="s">
        <v>846</v>
      </c>
      <c r="F12" s="1" t="s">
        <v>847</v>
      </c>
      <c r="G12" s="1" t="s">
        <v>848</v>
      </c>
      <c r="H12" s="1" t="s">
        <v>14</v>
      </c>
      <c r="I12" s="1" t="s">
        <v>849</v>
      </c>
      <c r="J12" s="1" t="s">
        <v>850</v>
      </c>
      <c r="K12" s="1" t="s">
        <v>851</v>
      </c>
      <c r="L12" s="8" t="s">
        <v>852</v>
      </c>
    </row>
    <row r="13" customFormat="false" ht="15" hidden="false" customHeight="true" outlineLevel="0" collapsed="false">
      <c r="A13" s="8" t="s">
        <v>19</v>
      </c>
      <c r="B13" s="8" t="s">
        <v>853</v>
      </c>
      <c r="C13" s="8" t="s">
        <v>281</v>
      </c>
      <c r="D13" s="8" t="s">
        <v>1334</v>
      </c>
      <c r="E13" s="8" t="s">
        <v>1335</v>
      </c>
      <c r="F13" s="8" t="s">
        <v>1336</v>
      </c>
      <c r="G13" s="8" t="s">
        <v>1256</v>
      </c>
      <c r="H13" s="8" t="s">
        <v>282</v>
      </c>
      <c r="I13" s="15"/>
      <c r="J13" s="8" t="str">
        <f aca="false">IF(COUNTIFS('Scores (start here)'!$A:$A,$B$1,'Scores (start here)'!$B:$B,$A13,'Scores (start here)'!$F:$F,"&gt;=0")&gt;0,SUMIFS('Scores (start here)'!$F:$F,'Scores (start here)'!$A:$A,$B$1,'Scores (start here)'!$B:$B,$A13),L13)</f>
        <v/>
      </c>
      <c r="K13" s="12" t="s">
        <v>1337</v>
      </c>
      <c r="L13" s="8" t="str">
        <f aca="false">IF($B13="NO","NA",IF(I13="","",MIN(I13,$B$6)))</f>
        <v/>
      </c>
    </row>
    <row r="14" customFormat="false" ht="15" hidden="false" customHeight="true" outlineLevel="0" collapsed="false">
      <c r="A14" s="8" t="s">
        <v>28</v>
      </c>
      <c r="B14" s="8" t="s">
        <v>853</v>
      </c>
      <c r="I14" s="15"/>
      <c r="J14" s="8" t="str">
        <f aca="false">IF(COUNTIFS('Scores (start here)'!$A:$A,$B$1,'Scores (start here)'!$B:$B,$A14,'Scores (start here)'!$F:$F,"&gt;=0")&gt;0,SUMIFS('Scores (start here)'!$F:$F,'Scores (start here)'!$A:$A,$B$1,'Scores (start here)'!$B:$B,$A14),L14)</f>
        <v/>
      </c>
      <c r="K14" s="8" t="s">
        <v>1338</v>
      </c>
      <c r="L14" s="8" t="str">
        <f aca="false">IF($B14="NO","NA",IF(I14="","",MIN(I14,$B$6)))</f>
        <v/>
      </c>
    </row>
    <row r="15" customFormat="false" ht="15" hidden="false" customHeight="true" outlineLevel="0" collapsed="false">
      <c r="A15" s="8" t="s">
        <v>34</v>
      </c>
      <c r="B15" s="8" t="s">
        <v>853</v>
      </c>
      <c r="I15" s="15"/>
      <c r="J15" s="8" t="str">
        <f aca="false">IF(COUNTIFS('Scores (start here)'!$A:$A,$B$1,'Scores (start here)'!$B:$B,$A15,'Scores (start here)'!$F:$F,"&gt;=0")&gt;0,SUMIFS('Scores (start here)'!$F:$F,'Scores (start here)'!$A:$A,$B$1,'Scores (start here)'!$B:$B,$A15),L15)</f>
        <v/>
      </c>
      <c r="K15" s="8" t="s">
        <v>1339</v>
      </c>
      <c r="L15" s="8" t="str">
        <f aca="false">IF($B15="NO","NA",IF(I15="","",MIN(I15,$B$6)))</f>
        <v/>
      </c>
    </row>
    <row r="16" customFormat="false" ht="15" hidden="false" customHeight="true" outlineLevel="0" collapsed="false">
      <c r="A16" s="16" t="s">
        <v>40</v>
      </c>
      <c r="B16" s="16" t="s">
        <v>905</v>
      </c>
      <c r="C16" s="16"/>
      <c r="D16" s="16"/>
      <c r="E16" s="16"/>
      <c r="F16" s="16"/>
      <c r="G16" s="16"/>
      <c r="H16" s="16"/>
      <c r="I16" s="17"/>
      <c r="J16" s="16" t="str">
        <f aca="false">IF(COUNTIFS('Scores (start here)'!$A:$A,$B$1,'Scores (start here)'!$B:$B,$A16,'Scores (start here)'!$F:$F,"&gt;=0")&gt;0,SUMIFS('Scores (start here)'!$F:$F,'Scores (start here)'!$A:$A,$B$1,'Scores (start here)'!$B:$B,$A16),L16)</f>
        <v>NA</v>
      </c>
      <c r="K16" s="16"/>
      <c r="L16" s="8" t="str">
        <f aca="false">IF($B16="NO","NA",IF(I16="","",MIN(I16,$B$6)))</f>
        <v>NA</v>
      </c>
    </row>
    <row r="17" customFormat="false" ht="15" hidden="false" customHeight="true" outlineLevel="0" collapsed="false">
      <c r="A17" s="16" t="s">
        <v>45</v>
      </c>
      <c r="B17" s="16" t="s">
        <v>905</v>
      </c>
      <c r="C17" s="16"/>
      <c r="D17" s="16"/>
      <c r="E17" s="16"/>
      <c r="F17" s="16"/>
      <c r="G17" s="16"/>
      <c r="H17" s="16"/>
      <c r="I17" s="17"/>
      <c r="J17" s="16" t="str">
        <f aca="false">IF(COUNTIFS('Scores (start here)'!$A:$A,$B$1,'Scores (start here)'!$B:$B,$A17,'Scores (start here)'!$F:$F,"&gt;=0")&gt;0,SUMIFS('Scores (start here)'!$F:$F,'Scores (start here)'!$A:$A,$B$1,'Scores (start here)'!$B:$B,$A17),L17)</f>
        <v>NA</v>
      </c>
      <c r="K17" s="16"/>
      <c r="L17" s="8" t="str">
        <f aca="false">IF($B17="NO","NA",IF(I17="","",MIN(I17,$B$6)))</f>
        <v>NA</v>
      </c>
    </row>
    <row r="18" customFormat="false" ht="15" hidden="false" customHeight="true" outlineLevel="0" collapsed="false">
      <c r="A18" s="16" t="s">
        <v>51</v>
      </c>
      <c r="B18" s="16" t="s">
        <v>905</v>
      </c>
      <c r="C18" s="16"/>
      <c r="D18" s="16"/>
      <c r="E18" s="16"/>
      <c r="F18" s="16"/>
      <c r="G18" s="16"/>
      <c r="H18" s="16"/>
      <c r="I18" s="17"/>
      <c r="J18" s="16" t="str">
        <f aca="false">IF(COUNTIFS('Scores (start here)'!$A:$A,$B$1,'Scores (start here)'!$B:$B,$A18,'Scores (start here)'!$F:$F,"&gt;=0")&gt;0,SUMIFS('Scores (start here)'!$F:$F,'Scores (start here)'!$A:$A,$B$1,'Scores (start here)'!$B:$B,$A18),L18)</f>
        <v>NA</v>
      </c>
      <c r="K18" s="16"/>
      <c r="L18" s="8" t="str">
        <f aca="false">IF($B18="NO","NA",IF(I18="","",MIN(I18,$B$6)))</f>
        <v>NA</v>
      </c>
    </row>
    <row r="19" customFormat="false" ht="15" hidden="false" customHeight="true" outlineLevel="0" collapsed="false">
      <c r="A19" s="16" t="s">
        <v>54</v>
      </c>
      <c r="B19" s="16" t="s">
        <v>905</v>
      </c>
      <c r="C19" s="16"/>
      <c r="D19" s="16"/>
      <c r="E19" s="16"/>
      <c r="F19" s="16"/>
      <c r="G19" s="16"/>
      <c r="H19" s="16"/>
      <c r="I19" s="17"/>
      <c r="J19" s="16" t="str">
        <f aca="false">IF(COUNTIFS('Scores (start here)'!$A:$A,$B$1,'Scores (start here)'!$B:$B,$A19,'Scores (start here)'!$F:$F,"&gt;=0")&gt;0,SUMIFS('Scores (start here)'!$F:$F,'Scores (start here)'!$A:$A,$B$1,'Scores (start here)'!$B:$B,$A19),L19)</f>
        <v>NA</v>
      </c>
      <c r="K19" s="16"/>
      <c r="L19" s="8" t="str">
        <f aca="false">IF($B19="NO","NA",IF(I19="","",MIN(I19,$B$6)))</f>
        <v>NA</v>
      </c>
    </row>
  </sheetData>
  <dataValidations count="1">
    <dataValidation allowBlank="true" error="See the instruction above the 'Score' column." errorStyle="stop" operator="between" showDropDown="false" showErrorMessage="true" showInputMessage="false" sqref="I13:I19" type="decimal">
      <formula1>0</formula1>
      <formula2>10</formula2>
    </dataValidation>
  </dataValidations>
  <hyperlinks>
    <hyperlink ref="J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8" width="28"/>
    <col collapsed="false" customWidth="true" hidden="false" outlineLevel="0" max="2" min="2" style="8" width="10"/>
    <col collapsed="false" customWidth="true" hidden="false" outlineLevel="0" max="3" min="3" style="8" width="30"/>
    <col collapsed="false" customWidth="true" hidden="false" outlineLevel="0" max="8" min="8" style="8" width="10"/>
    <col collapsed="false" customWidth="true" hidden="false" outlineLevel="0" max="9" min="9" style="8" width="40"/>
  </cols>
  <sheetData>
    <row r="1" customFormat="false" ht="15" hidden="false" customHeight="true" outlineLevel="0" collapsed="false">
      <c r="A1" s="8" t="s">
        <v>836</v>
      </c>
      <c r="B1" s="8" t="s">
        <v>472</v>
      </c>
      <c r="C1" s="8" t="s">
        <v>837</v>
      </c>
      <c r="J1" s="13" t="s">
        <v>838</v>
      </c>
    </row>
    <row r="2" customFormat="false" ht="23.25" hidden="false" customHeight="true" outlineLevel="0" collapsed="false">
      <c r="A2" s="10" t="s">
        <v>589</v>
      </c>
      <c r="B2" s="4" t="str">
        <f aca="false">VLOOKUP($B$1,'PARASTATAL Questions'!$A:$J,3,0)&amp;""</f>
        <v>State Capacities</v>
      </c>
    </row>
    <row r="3" customFormat="false" ht="15" hidden="false" customHeight="true" outlineLevel="0" collapsed="false">
      <c r="A3" s="10" t="s">
        <v>622</v>
      </c>
      <c r="B3" s="4" t="str">
        <f aca="false">VLOOKUP($B$1,'PARASTATAL Questions'!$A:$J,2,0)&amp;""</f>
        <v>SC-2</v>
      </c>
    </row>
    <row r="4" customFormat="false" ht="15" hidden="false" customHeight="true" outlineLevel="0" collapsed="false">
      <c r="A4" s="10" t="s">
        <v>590</v>
      </c>
      <c r="B4" s="4" t="str">
        <f aca="false">VLOOKUP($B$1,'PARASTATAL Questions'!$A:$J,4,0)&amp;""</f>
        <v>MQ</v>
      </c>
    </row>
    <row r="5" customFormat="false" ht="90.75" hidden="false" customHeight="true" outlineLevel="0" collapsed="false">
      <c r="A5" s="10" t="s">
        <v>0</v>
      </c>
      <c r="B5" s="4" t="str">
        <f aca="false">VLOOKUP($B$1,'PARASTATAL Questions'!$A:$J,5,0)&amp;""</f>
        <v>What is the parastatal's per-capita capital expenditure?</v>
      </c>
    </row>
    <row r="6" customFormat="false" ht="15" hidden="false" customHeight="true" outlineLevel="0" collapsed="false">
      <c r="A6" s="10" t="s">
        <v>592</v>
      </c>
      <c r="B6" s="4" t="n">
        <f aca="false">VLOOKUP($B$1,'PARASTATAL Questions'!$A:$J,6,0)</f>
        <v>10</v>
      </c>
    </row>
    <row r="7" customFormat="false" ht="34.5" hidden="false" customHeight="true" outlineLevel="0" collapsed="false">
      <c r="A7" s="10" t="s">
        <v>591</v>
      </c>
      <c r="B7" s="4" t="str">
        <f aca="false">VLOOKUP($B$1,'PARASTATAL Questions'!$A:$J,7,0)&amp;""</f>
        <v>Implementation (Numeric)</v>
      </c>
    </row>
    <row r="8" customFormat="false" ht="102" hidden="false" customHeight="true" outlineLevel="0" collapsed="false">
      <c r="A8" s="10" t="s">
        <v>623</v>
      </c>
      <c r="B8" s="4" t="str">
        <f aca="false">VLOOKUP($B$1,'PARASTATAL Questions'!$A:$J,8,0)&amp;""</f>
        <v>Parastatals with an infrastructure-delivery/capital-expenditure mandate.</v>
      </c>
    </row>
    <row r="9" customFormat="false" ht="605.25" hidden="false" customHeight="true" outlineLevel="0" collapsed="false">
      <c r="A9" s="10" t="s">
        <v>624</v>
      </c>
      <c r="B9" s="4" t="str">
        <f aca="false">VLOOKUP($B$1,'PARASTATAL Questions'!$A:$J,9,0)&amp;""</f>
        <v>Per-capita capital expenditure = capital expenditure (latest completed FY) ÷ population of the jurisdiction served (latest Census or most recent official projection, source cited). Report the absolute figure; for a composite score convert to a percentile/decile rank against other assessed parastatals of the same type only. Do not pool figures across dissimilar parastatal types (e.g. a transport corporation vs. a development authority) — the comparison is not meaningful.</v>
      </c>
    </row>
    <row r="10" customFormat="false" ht="147" hidden="false" customHeight="true" outlineLevel="0" collapsed="false">
      <c r="A10" s="10" t="s">
        <v>625</v>
      </c>
      <c r="B10" s="4" t="str">
        <f aca="false">VLOOKUP($B$1,'PARASTATAL Questions'!$A:$J,10,0)&amp;""</f>
        <v>Latest annual budget and capital-expenditure accounts of the relevant parastatal; population figure with source.</v>
      </c>
    </row>
    <row r="11" customFormat="false" ht="15" hidden="false" customHeight="true" outlineLevel="0" collapsed="false">
      <c r="B11" s="14" t="s">
        <v>839</v>
      </c>
      <c r="I11" s="14" t="s">
        <v>1072</v>
      </c>
      <c r="J11" s="14" t="s">
        <v>841</v>
      </c>
      <c r="L11" s="8" t="s">
        <v>842</v>
      </c>
    </row>
    <row r="12" customFormat="false" ht="51.75" hidden="false" customHeight="true" outlineLevel="0" collapsed="false">
      <c r="A12" s="1" t="s">
        <v>612</v>
      </c>
      <c r="B12" s="1" t="s">
        <v>843</v>
      </c>
      <c r="C12" s="1" t="s">
        <v>844</v>
      </c>
      <c r="D12" s="1" t="s">
        <v>845</v>
      </c>
      <c r="E12" s="1" t="s">
        <v>846</v>
      </c>
      <c r="F12" s="1" t="s">
        <v>847</v>
      </c>
      <c r="G12" s="1" t="s">
        <v>848</v>
      </c>
      <c r="H12" s="1" t="s">
        <v>14</v>
      </c>
      <c r="I12" s="1" t="s">
        <v>849</v>
      </c>
      <c r="J12" s="1" t="s">
        <v>850</v>
      </c>
      <c r="K12" s="1" t="s">
        <v>851</v>
      </c>
      <c r="L12" s="8" t="s">
        <v>852</v>
      </c>
    </row>
    <row r="13" customFormat="false" ht="15" hidden="false" customHeight="true" outlineLevel="0" collapsed="false">
      <c r="A13" s="8" t="s">
        <v>19</v>
      </c>
      <c r="B13" s="8" t="s">
        <v>853</v>
      </c>
      <c r="C13" s="8" t="s">
        <v>281</v>
      </c>
      <c r="D13" s="8" t="s">
        <v>1340</v>
      </c>
      <c r="E13" s="8" t="s">
        <v>1341</v>
      </c>
      <c r="F13" s="8" t="s">
        <v>1342</v>
      </c>
      <c r="G13" s="8" t="s">
        <v>1085</v>
      </c>
      <c r="H13" s="8" t="s">
        <v>282</v>
      </c>
      <c r="I13" s="15"/>
      <c r="J13" s="8" t="str">
        <f aca="false">IF(COUNTIFS('Scores (start here)'!$A:$A,$B$1,'Scores (start here)'!$B:$B,$A13,'Scores (start here)'!$F:$F,"&gt;=0")&gt;0,SUMIFS('Scores (start here)'!$F:$F,'Scores (start here)'!$A:$A,$B$1,'Scores (start here)'!$B:$B,$A13),L13)</f>
        <v/>
      </c>
      <c r="K13" s="12" t="s">
        <v>1343</v>
      </c>
      <c r="L13" s="8" t="str">
        <f aca="false">IF($B13="NO","NA",IF(I13="","",MIN(I13,$B$6)))</f>
        <v/>
      </c>
    </row>
    <row r="14" customFormat="false" ht="15" hidden="false" customHeight="true" outlineLevel="0" collapsed="false">
      <c r="A14" s="8" t="s">
        <v>28</v>
      </c>
      <c r="B14" s="8" t="s">
        <v>853</v>
      </c>
      <c r="I14" s="15"/>
      <c r="J14" s="8" t="str">
        <f aca="false">IF(COUNTIFS('Scores (start here)'!$A:$A,$B$1,'Scores (start here)'!$B:$B,$A14,'Scores (start here)'!$F:$F,"&gt;=0")&gt;0,SUMIFS('Scores (start here)'!$F:$F,'Scores (start here)'!$A:$A,$B$1,'Scores (start here)'!$B:$B,$A14),L14)</f>
        <v/>
      </c>
      <c r="K14" s="8" t="s">
        <v>1344</v>
      </c>
      <c r="L14" s="8" t="str">
        <f aca="false">IF($B14="NO","NA",IF(I14="","",MIN(I14,$B$6)))</f>
        <v/>
      </c>
    </row>
    <row r="15" customFormat="false" ht="15" hidden="false" customHeight="true" outlineLevel="0" collapsed="false">
      <c r="A15" s="8" t="s">
        <v>34</v>
      </c>
      <c r="B15" s="8" t="s">
        <v>853</v>
      </c>
      <c r="I15" s="15"/>
      <c r="J15" s="8" t="str">
        <f aca="false">IF(COUNTIFS('Scores (start here)'!$A:$A,$B$1,'Scores (start here)'!$B:$B,$A15,'Scores (start here)'!$F:$F,"&gt;=0")&gt;0,SUMIFS('Scores (start here)'!$F:$F,'Scores (start here)'!$A:$A,$B$1,'Scores (start here)'!$B:$B,$A15),L15)</f>
        <v/>
      </c>
      <c r="K15" s="8" t="s">
        <v>1345</v>
      </c>
      <c r="L15" s="8" t="str">
        <f aca="false">IF($B15="NO","NA",IF(I15="","",MIN(I15,$B$6)))</f>
        <v/>
      </c>
    </row>
    <row r="16" customFormat="false" ht="213.75" hidden="false" customHeight="true" outlineLevel="0" collapsed="false">
      <c r="A16" s="8" t="s">
        <v>40</v>
      </c>
      <c r="B16" s="8" t="s">
        <v>853</v>
      </c>
      <c r="C16" s="8" t="s">
        <v>188</v>
      </c>
      <c r="D16" s="8" t="s">
        <v>1346</v>
      </c>
      <c r="E16" s="8" t="s">
        <v>1347</v>
      </c>
      <c r="F16" s="8" t="s">
        <v>1348</v>
      </c>
      <c r="G16" s="8" t="s">
        <v>1349</v>
      </c>
      <c r="H16" s="8" t="s">
        <v>189</v>
      </c>
      <c r="I16" s="15"/>
      <c r="J16" s="8" t="str">
        <f aca="false">IF(COUNTIFS('Scores (start here)'!$A:$A,$B$1,'Scores (start here)'!$B:$B,$A16,'Scores (start here)'!$F:$F,"&gt;=0")&gt;0,SUMIFS('Scores (start here)'!$F:$F,'Scores (start here)'!$A:$A,$B$1,'Scores (start here)'!$B:$B,$A16),L16)</f>
        <v/>
      </c>
      <c r="K16" s="12" t="s">
        <v>1350</v>
      </c>
      <c r="L16" s="8" t="str">
        <f aca="false">IF($B16="NO","NA",IF(I16="","",MIN(I16,$B$6)))</f>
        <v/>
      </c>
    </row>
    <row r="17" customFormat="false" ht="15" hidden="false" customHeight="true" outlineLevel="0" collapsed="false">
      <c r="A17" s="16" t="s">
        <v>45</v>
      </c>
      <c r="B17" s="16" t="s">
        <v>905</v>
      </c>
      <c r="C17" s="16"/>
      <c r="D17" s="16"/>
      <c r="E17" s="16"/>
      <c r="F17" s="16"/>
      <c r="G17" s="16"/>
      <c r="H17" s="16"/>
      <c r="I17" s="17"/>
      <c r="J17" s="16" t="str">
        <f aca="false">IF(COUNTIFS('Scores (start here)'!$A:$A,$B$1,'Scores (start here)'!$B:$B,$A17,'Scores (start here)'!$F:$F,"&gt;=0")&gt;0,SUMIFS('Scores (start here)'!$F:$F,'Scores (start here)'!$A:$A,$B$1,'Scores (start here)'!$B:$B,$A17),L17)</f>
        <v>NA</v>
      </c>
      <c r="K17" s="16"/>
      <c r="L17" s="8" t="str">
        <f aca="false">IF($B17="NO","NA",IF(I17="","",MIN(I17,$B$6)))</f>
        <v>NA</v>
      </c>
    </row>
    <row r="18" customFormat="false" ht="15" hidden="false" customHeight="true" outlineLevel="0" collapsed="false">
      <c r="A18" s="16" t="s">
        <v>51</v>
      </c>
      <c r="B18" s="16" t="s">
        <v>905</v>
      </c>
      <c r="C18" s="16"/>
      <c r="D18" s="16"/>
      <c r="E18" s="16"/>
      <c r="F18" s="16"/>
      <c r="G18" s="16"/>
      <c r="H18" s="16"/>
      <c r="I18" s="17"/>
      <c r="J18" s="16" t="str">
        <f aca="false">IF(COUNTIFS('Scores (start here)'!$A:$A,$B$1,'Scores (start here)'!$B:$B,$A18,'Scores (start here)'!$F:$F,"&gt;=0")&gt;0,SUMIFS('Scores (start here)'!$F:$F,'Scores (start here)'!$A:$A,$B$1,'Scores (start here)'!$B:$B,$A18),L18)</f>
        <v>NA</v>
      </c>
      <c r="K18" s="16"/>
      <c r="L18" s="8" t="str">
        <f aca="false">IF($B18="NO","NA",IF(I18="","",MIN(I18,$B$6)))</f>
        <v>NA</v>
      </c>
    </row>
    <row r="19" customFormat="false" ht="15" hidden="false" customHeight="true" outlineLevel="0" collapsed="false">
      <c r="A19" s="8" t="s">
        <v>54</v>
      </c>
      <c r="B19" s="8" t="s">
        <v>853</v>
      </c>
      <c r="C19" s="8" t="s">
        <v>275</v>
      </c>
      <c r="D19" s="8" t="s">
        <v>1351</v>
      </c>
      <c r="E19" s="8" t="s">
        <v>1352</v>
      </c>
      <c r="F19" s="8" t="s">
        <v>1353</v>
      </c>
      <c r="G19" s="8" t="s">
        <v>875</v>
      </c>
      <c r="H19" s="8" t="s">
        <v>276</v>
      </c>
      <c r="I19" s="15"/>
      <c r="J19" s="8" t="str">
        <f aca="false">IF(COUNTIFS('Scores (start here)'!$A:$A,$B$1,'Scores (start here)'!$B:$B,$A19,'Scores (start here)'!$F:$F,"&gt;=0")&gt;0,SUMIFS('Scores (start here)'!$F:$F,'Scores (start here)'!$A:$A,$B$1,'Scores (start here)'!$B:$B,$A19),L19)</f>
        <v/>
      </c>
      <c r="K19" s="12" t="s">
        <v>1354</v>
      </c>
      <c r="L19" s="8" t="str">
        <f aca="false">IF($B19="NO","NA",IF(I19="","",MIN(I19,$B$6)))</f>
        <v/>
      </c>
    </row>
  </sheetData>
  <dataValidations count="1">
    <dataValidation allowBlank="true" error="See the instruction above the 'Score' column." errorStyle="stop" operator="between" showDropDown="false" showErrorMessage="true" showInputMessage="false" sqref="I13:I19" type="decimal">
      <formula1>0</formula1>
      <formula2>10</formula2>
    </dataValidation>
  </dataValidations>
  <hyperlinks>
    <hyperlink ref="J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8" width="28"/>
    <col collapsed="false" customWidth="true" hidden="false" outlineLevel="0" max="2" min="2" style="8" width="10"/>
    <col collapsed="false" customWidth="true" hidden="false" outlineLevel="0" max="3" min="3" style="8" width="30"/>
    <col collapsed="false" customWidth="true" hidden="false" outlineLevel="0" max="8" min="8" style="8" width="10"/>
    <col collapsed="false" customWidth="true" hidden="false" outlineLevel="0" max="9" min="9" style="8" width="40"/>
  </cols>
  <sheetData>
    <row r="1" customFormat="false" ht="15" hidden="false" customHeight="true" outlineLevel="0" collapsed="false">
      <c r="A1" s="8" t="s">
        <v>836</v>
      </c>
      <c r="B1" s="8" t="s">
        <v>482</v>
      </c>
      <c r="C1" s="8" t="s">
        <v>837</v>
      </c>
      <c r="J1" s="13" t="s">
        <v>838</v>
      </c>
    </row>
    <row r="2" customFormat="false" ht="23.25" hidden="false" customHeight="true" outlineLevel="0" collapsed="false">
      <c r="A2" s="10" t="s">
        <v>589</v>
      </c>
      <c r="B2" s="4" t="str">
        <f aca="false">VLOOKUP($B$1,'PARASTATAL Questions'!$A:$J,3,0)&amp;""</f>
        <v>State Capacities</v>
      </c>
    </row>
    <row r="3" customFormat="false" ht="15" hidden="false" customHeight="true" outlineLevel="0" collapsed="false">
      <c r="A3" s="10" t="s">
        <v>622</v>
      </c>
      <c r="B3" s="4" t="str">
        <f aca="false">VLOOKUP($B$1,'PARASTATAL Questions'!$A:$J,2,0)&amp;""</f>
        <v>SC-3</v>
      </c>
    </row>
    <row r="4" customFormat="false" ht="15" hidden="false" customHeight="true" outlineLevel="0" collapsed="false">
      <c r="A4" s="10" t="s">
        <v>590</v>
      </c>
      <c r="B4" s="4" t="str">
        <f aca="false">VLOOKUP($B$1,'PARASTATAL Questions'!$A:$J,4,0)&amp;""</f>
        <v>MQ</v>
      </c>
    </row>
    <row r="5" customFormat="false" ht="68.25" hidden="false" customHeight="true" outlineLevel="0" collapsed="false">
      <c r="A5" s="10" t="s">
        <v>0</v>
      </c>
      <c r="B5" s="4" t="str">
        <f aca="false">VLOOKUP($B$1,'PARASTATAL Questions'!$A:$J,5,0)&amp;""</f>
        <v>How realistic is the parastatal's annual budget?</v>
      </c>
    </row>
    <row r="6" customFormat="false" ht="15" hidden="false" customHeight="true" outlineLevel="0" collapsed="false">
      <c r="A6" s="10" t="s">
        <v>592</v>
      </c>
      <c r="B6" s="4" t="n">
        <f aca="false">VLOOKUP($B$1,'PARASTATAL Questions'!$A:$J,6,0)</f>
        <v>10</v>
      </c>
    </row>
    <row r="7" customFormat="false" ht="34.5" hidden="false" customHeight="true" outlineLevel="0" collapsed="false">
      <c r="A7" s="10" t="s">
        <v>591</v>
      </c>
      <c r="B7" s="4" t="str">
        <f aca="false">VLOOKUP($B$1,'PARASTATAL Questions'!$A:$J,7,0)&amp;""</f>
        <v>Implementation (Numeric)</v>
      </c>
    </row>
    <row r="8" customFormat="false" ht="68.25" hidden="false" customHeight="true" outlineLevel="0" collapsed="false">
      <c r="A8" s="10" t="s">
        <v>623</v>
      </c>
      <c r="B8" s="4" t="str">
        <f aca="false">VLOOKUP($B$1,'PARASTATAL Questions'!$A:$J,8,0)&amp;""</f>
        <v>Common — all parastatal types with an annual budget.</v>
      </c>
    </row>
    <row r="9" customFormat="false" ht="225" hidden="false" customHeight="true" outlineLevel="0" collapsed="false">
      <c r="A9" s="10" t="s">
        <v>624</v>
      </c>
      <c r="B9" s="4" t="str">
        <f aca="false">VLOOKUP($B$1,'PARASTATAL Questions'!$A:$J,9,0)&amp;""</f>
        <v>3 year average of budget variance wherever available (at least 2 years but not more than 5 years); If variance is within 15%, the score will be 10 but anything over 15% will score 0 out of 10</v>
      </c>
    </row>
    <row r="10" customFormat="false" ht="135.75" hidden="false" customHeight="true" outlineLevel="0" collapsed="false">
      <c r="A10" s="10" t="s">
        <v>625</v>
      </c>
      <c r="B10" s="4" t="str">
        <f aca="false">VLOOKUP($B$1,'PARASTATAL Questions'!$A:$J,10,0)&amp;""</f>
        <v>Budget documents and audited accounts for the same financial year, compared side by side</v>
      </c>
    </row>
    <row r="11" customFormat="false" ht="15" hidden="false" customHeight="true" outlineLevel="0" collapsed="false">
      <c r="B11" s="14" t="s">
        <v>839</v>
      </c>
      <c r="I11" s="14" t="s">
        <v>1072</v>
      </c>
      <c r="J11" s="14" t="s">
        <v>841</v>
      </c>
      <c r="L11" s="8" t="s">
        <v>842</v>
      </c>
    </row>
    <row r="12" customFormat="false" ht="51.75" hidden="false" customHeight="true" outlineLevel="0" collapsed="false">
      <c r="A12" s="1" t="s">
        <v>612</v>
      </c>
      <c r="B12" s="1" t="s">
        <v>843</v>
      </c>
      <c r="C12" s="1" t="s">
        <v>844</v>
      </c>
      <c r="D12" s="1" t="s">
        <v>845</v>
      </c>
      <c r="E12" s="1" t="s">
        <v>846</v>
      </c>
      <c r="F12" s="1" t="s">
        <v>847</v>
      </c>
      <c r="G12" s="1" t="s">
        <v>848</v>
      </c>
      <c r="H12" s="1" t="s">
        <v>14</v>
      </c>
      <c r="I12" s="1" t="s">
        <v>849</v>
      </c>
      <c r="J12" s="1" t="s">
        <v>850</v>
      </c>
      <c r="K12" s="1" t="s">
        <v>851</v>
      </c>
      <c r="L12" s="8" t="s">
        <v>852</v>
      </c>
    </row>
    <row r="13" customFormat="false" ht="15" hidden="false" customHeight="true" outlineLevel="0" collapsed="false">
      <c r="A13" s="8" t="s">
        <v>19</v>
      </c>
      <c r="B13" s="8" t="s">
        <v>853</v>
      </c>
      <c r="C13" s="8" t="s">
        <v>281</v>
      </c>
      <c r="D13" s="8" t="s">
        <v>1355</v>
      </c>
      <c r="E13" s="8" t="s">
        <v>1356</v>
      </c>
      <c r="F13" s="8" t="s">
        <v>1357</v>
      </c>
      <c r="G13" s="8" t="s">
        <v>1358</v>
      </c>
      <c r="H13" s="8" t="s">
        <v>282</v>
      </c>
      <c r="I13" s="15"/>
      <c r="J13" s="8" t="str">
        <f aca="false">IF(COUNTIFS('Scores (start here)'!$A:$A,$B$1,'Scores (start here)'!$B:$B,$A13,'Scores (start here)'!$F:$F,"&gt;=0")&gt;0,SUMIFS('Scores (start here)'!$F:$F,'Scores (start here)'!$A:$A,$B$1,'Scores (start here)'!$B:$B,$A13),L13)</f>
        <v/>
      </c>
      <c r="K13" s="12" t="s">
        <v>1359</v>
      </c>
      <c r="L13" s="8" t="str">
        <f aca="false">IF($B13="NO","NA",IF(I13="","",MIN(I13,$B$6)))</f>
        <v/>
      </c>
    </row>
    <row r="14" customFormat="false" ht="15" hidden="false" customHeight="true" outlineLevel="0" collapsed="false">
      <c r="A14" s="8" t="s">
        <v>28</v>
      </c>
      <c r="B14" s="8" t="s">
        <v>853</v>
      </c>
      <c r="I14" s="15"/>
      <c r="J14" s="8" t="str">
        <f aca="false">IF(COUNTIFS('Scores (start here)'!$A:$A,$B$1,'Scores (start here)'!$B:$B,$A14,'Scores (start here)'!$F:$F,"&gt;=0")&gt;0,SUMIFS('Scores (start here)'!$F:$F,'Scores (start here)'!$A:$A,$B$1,'Scores (start here)'!$B:$B,$A14),L14)</f>
        <v/>
      </c>
      <c r="K14" s="8" t="s">
        <v>1360</v>
      </c>
      <c r="L14" s="8" t="str">
        <f aca="false">IF($B14="NO","NA",IF(I14="","",MIN(I14,$B$6)))</f>
        <v/>
      </c>
    </row>
    <row r="15" customFormat="false" ht="15" hidden="false" customHeight="true" outlineLevel="0" collapsed="false">
      <c r="A15" s="8" t="s">
        <v>34</v>
      </c>
      <c r="B15" s="8" t="s">
        <v>853</v>
      </c>
      <c r="I15" s="15"/>
      <c r="J15" s="8" t="str">
        <f aca="false">IF(COUNTIFS('Scores (start here)'!$A:$A,$B$1,'Scores (start here)'!$B:$B,$A15,'Scores (start here)'!$F:$F,"&gt;=0")&gt;0,SUMIFS('Scores (start here)'!$F:$F,'Scores (start here)'!$A:$A,$B$1,'Scores (start here)'!$B:$B,$A15),L15)</f>
        <v/>
      </c>
      <c r="K15" s="8" t="s">
        <v>1361</v>
      </c>
      <c r="L15" s="8" t="str">
        <f aca="false">IF($B15="NO","NA",IF(I15="","",MIN(I15,$B$6)))</f>
        <v/>
      </c>
    </row>
    <row r="16" customFormat="false" ht="15" hidden="false" customHeight="true" outlineLevel="0" collapsed="false">
      <c r="A16" s="8" t="s">
        <v>40</v>
      </c>
      <c r="B16" s="8" t="s">
        <v>853</v>
      </c>
      <c r="I16" s="15"/>
      <c r="J16" s="8" t="str">
        <f aca="false">IF(COUNTIFS('Scores (start here)'!$A:$A,$B$1,'Scores (start here)'!$B:$B,$A16,'Scores (start here)'!$F:$F,"&gt;=0")&gt;0,SUMIFS('Scores (start here)'!$F:$F,'Scores (start here)'!$A:$A,$B$1,'Scores (start here)'!$B:$B,$A16),L16)</f>
        <v/>
      </c>
      <c r="K16" s="8" t="s">
        <v>1362</v>
      </c>
      <c r="L16" s="8" t="str">
        <f aca="false">IF($B16="NO","NA",IF(I16="","",MIN(I16,$B$6)))</f>
        <v/>
      </c>
    </row>
    <row r="17" customFormat="false" ht="15" hidden="false" customHeight="true" outlineLevel="0" collapsed="false">
      <c r="A17" s="8" t="s">
        <v>45</v>
      </c>
      <c r="B17" s="8" t="s">
        <v>853</v>
      </c>
      <c r="I17" s="15"/>
      <c r="J17" s="8" t="str">
        <f aca="false">IF(COUNTIFS('Scores (start here)'!$A:$A,$B$1,'Scores (start here)'!$B:$B,$A17,'Scores (start here)'!$F:$F,"&gt;=0")&gt;0,SUMIFS('Scores (start here)'!$F:$F,'Scores (start here)'!$A:$A,$B$1,'Scores (start here)'!$B:$B,$A17),L17)</f>
        <v/>
      </c>
      <c r="K17" s="8" t="s">
        <v>1363</v>
      </c>
      <c r="L17" s="8" t="str">
        <f aca="false">IF($B17="NO","NA",IF(I17="","",MIN(I17,$B$6)))</f>
        <v/>
      </c>
    </row>
    <row r="18" customFormat="false" ht="15" hidden="false" customHeight="true" outlineLevel="0" collapsed="false">
      <c r="A18" s="8" t="s">
        <v>51</v>
      </c>
      <c r="B18" s="8" t="s">
        <v>853</v>
      </c>
      <c r="I18" s="15"/>
      <c r="J18" s="8" t="str">
        <f aca="false">IF(COUNTIFS('Scores (start here)'!$A:$A,$B$1,'Scores (start here)'!$B:$B,$A18,'Scores (start here)'!$F:$F,"&gt;=0")&gt;0,SUMIFS('Scores (start here)'!$F:$F,'Scores (start here)'!$A:$A,$B$1,'Scores (start here)'!$B:$B,$A18),L18)</f>
        <v/>
      </c>
      <c r="K18" s="8" t="s">
        <v>1364</v>
      </c>
      <c r="L18" s="8" t="str">
        <f aca="false">IF($B18="NO","NA",IF(I18="","",MIN(I18,$B$6)))</f>
        <v/>
      </c>
    </row>
    <row r="19" customFormat="false" ht="15" hidden="false" customHeight="true" outlineLevel="0" collapsed="false">
      <c r="A19" s="8" t="s">
        <v>54</v>
      </c>
      <c r="B19" s="8" t="s">
        <v>853</v>
      </c>
      <c r="I19" s="15"/>
      <c r="J19" s="8" t="str">
        <f aca="false">IF(COUNTIFS('Scores (start here)'!$A:$A,$B$1,'Scores (start here)'!$B:$B,$A19,'Scores (start here)'!$F:$F,"&gt;=0")&gt;0,SUMIFS('Scores (start here)'!$F:$F,'Scores (start here)'!$A:$A,$B$1,'Scores (start here)'!$B:$B,$A19),L19)</f>
        <v/>
      </c>
      <c r="K19" s="8" t="s">
        <v>1365</v>
      </c>
      <c r="L19" s="8" t="str">
        <f aca="false">IF($B19="NO","NA",IF(I19="","",MIN(I19,$B$6)))</f>
        <v/>
      </c>
    </row>
  </sheetData>
  <dataValidations count="1">
    <dataValidation allowBlank="true" error="See the instruction above the 'Score' column." errorStyle="stop" operator="between" showDropDown="false" showErrorMessage="true" showInputMessage="false" sqref="I13:I19" type="decimal">
      <formula1>0</formula1>
      <formula2>10</formula2>
    </dataValidation>
  </dataValidations>
  <hyperlinks>
    <hyperlink ref="J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8" width="28"/>
    <col collapsed="false" customWidth="true" hidden="false" outlineLevel="0" max="2" min="2" style="8" width="10"/>
    <col collapsed="false" customWidth="true" hidden="false" outlineLevel="0" max="3" min="3" style="8" width="30"/>
    <col collapsed="false" customWidth="true" hidden="false" outlineLevel="0" max="8" min="8" style="8" width="10"/>
    <col collapsed="false" customWidth="true" hidden="false" outlineLevel="0" max="9" min="9" style="8" width="40"/>
  </cols>
  <sheetData>
    <row r="1" customFormat="false" ht="15" hidden="false" customHeight="true" outlineLevel="0" collapsed="false">
      <c r="A1" s="8" t="s">
        <v>836</v>
      </c>
      <c r="B1" s="8" t="s">
        <v>492</v>
      </c>
      <c r="C1" s="8" t="s">
        <v>837</v>
      </c>
      <c r="J1" s="13" t="s">
        <v>838</v>
      </c>
    </row>
    <row r="2" customFormat="false" ht="23.25" hidden="false" customHeight="true" outlineLevel="0" collapsed="false">
      <c r="A2" s="10" t="s">
        <v>589</v>
      </c>
      <c r="B2" s="4" t="str">
        <f aca="false">VLOOKUP($B$1,'PARASTATAL Questions'!$A:$J,3,0)&amp;""</f>
        <v>State Capacities</v>
      </c>
    </row>
    <row r="3" customFormat="false" ht="15" hidden="false" customHeight="true" outlineLevel="0" collapsed="false">
      <c r="A3" s="10" t="s">
        <v>622</v>
      </c>
      <c r="B3" s="4" t="str">
        <f aca="false">VLOOKUP($B$1,'PARASTATAL Questions'!$A:$J,2,0)&amp;""</f>
        <v>SC-4a</v>
      </c>
    </row>
    <row r="4" customFormat="false" ht="15" hidden="false" customHeight="true" outlineLevel="0" collapsed="false">
      <c r="A4" s="10" t="s">
        <v>590</v>
      </c>
      <c r="B4" s="4" t="str">
        <f aca="false">VLOOKUP($B$1,'PARASTATAL Questions'!$A:$J,4,0)&amp;""</f>
        <v>SQ</v>
      </c>
    </row>
    <row r="5" customFormat="false" ht="124.5" hidden="false" customHeight="true" outlineLevel="0" collapsed="false">
      <c r="A5" s="10" t="s">
        <v>0</v>
      </c>
      <c r="B5" s="4" t="str">
        <f aca="false">VLOOKUP($B$1,'PARASTATAL Questions'!$A:$J,5,0)&amp;""</f>
        <v>Is a medium-term (3-5 year) and/or long-term (&gt;5 year) fiscal plan legally mandated?</v>
      </c>
    </row>
    <row r="6" customFormat="false" ht="15" hidden="false" customHeight="true" outlineLevel="0" collapsed="false">
      <c r="A6" s="10" t="s">
        <v>592</v>
      </c>
      <c r="B6" s="4" t="n">
        <f aca="false">VLOOKUP($B$1,'PARASTATAL Questions'!$A:$J,6,0)</f>
        <v>5</v>
      </c>
    </row>
    <row r="7" customFormat="false" ht="15" hidden="false" customHeight="true" outlineLevel="0" collapsed="false">
      <c r="A7" s="10" t="s">
        <v>591</v>
      </c>
      <c r="B7" s="4" t="str">
        <f aca="false">VLOOKUP($B$1,'PARASTATAL Questions'!$A:$J,7,0)&amp;""</f>
        <v>Law/Policy</v>
      </c>
    </row>
    <row r="8" customFormat="false" ht="15" hidden="false" customHeight="true" outlineLevel="0" collapsed="false">
      <c r="A8" s="10" t="s">
        <v>623</v>
      </c>
      <c r="B8" s="4" t="str">
        <f aca="false">VLOOKUP($B$1,'PARASTATAL Questions'!$A:$J,8,0)&amp;""</f>
        <v>Common.</v>
      </c>
    </row>
    <row r="9" customFormat="false" ht="213.75" hidden="false" customHeight="true" outlineLevel="0" collapsed="false">
      <c r="A9" s="10" t="s">
        <v>624</v>
      </c>
      <c r="B9" s="4" t="str">
        <f aca="false">VLOOKUP($B$1,'PARASTATAL Questions'!$A:$J,9,0)&amp;""</f>
        <v>Score 5 if enabling act of the relevant parastatal require a fiscal plan of defined horizon (Medium term at 3-5 years and long term at &gt;5 years). Score 0 if no such requirement.</v>
      </c>
    </row>
    <row r="10" customFormat="false" ht="45.75" hidden="false" customHeight="true" outlineLevel="0" collapsed="false">
      <c r="A10" s="10" t="s">
        <v>625</v>
      </c>
      <c r="B10" s="4" t="str">
        <f aca="false">VLOOKUP($B$1,'PARASTATAL Questions'!$A:$J,10,0)&amp;""</f>
        <v>Enabling act of the relevant parastatal</v>
      </c>
    </row>
    <row r="11" customFormat="false" ht="15" hidden="false" customHeight="true" outlineLevel="0" collapsed="false">
      <c r="B11" s="14" t="s">
        <v>839</v>
      </c>
      <c r="I11" s="14" t="s">
        <v>840</v>
      </c>
      <c r="J11" s="14" t="s">
        <v>841</v>
      </c>
      <c r="L11" s="8" t="s">
        <v>842</v>
      </c>
    </row>
    <row r="12" customFormat="false" ht="51.75" hidden="false" customHeight="true" outlineLevel="0" collapsed="false">
      <c r="A12" s="1" t="s">
        <v>612</v>
      </c>
      <c r="B12" s="1" t="s">
        <v>843</v>
      </c>
      <c r="C12" s="1" t="s">
        <v>844</v>
      </c>
      <c r="D12" s="1" t="s">
        <v>845</v>
      </c>
      <c r="E12" s="1" t="s">
        <v>846</v>
      </c>
      <c r="F12" s="1" t="s">
        <v>847</v>
      </c>
      <c r="G12" s="1" t="s">
        <v>848</v>
      </c>
      <c r="H12" s="1" t="s">
        <v>14</v>
      </c>
      <c r="I12" s="1" t="s">
        <v>849</v>
      </c>
      <c r="J12" s="1" t="s">
        <v>850</v>
      </c>
      <c r="K12" s="1" t="s">
        <v>851</v>
      </c>
      <c r="L12" s="8" t="s">
        <v>852</v>
      </c>
    </row>
    <row r="13" customFormat="false" ht="281.25" hidden="false" customHeight="true" outlineLevel="0" collapsed="false">
      <c r="A13" s="8" t="s">
        <v>19</v>
      </c>
      <c r="B13" s="8" t="s">
        <v>853</v>
      </c>
      <c r="C13" s="8" t="s">
        <v>23</v>
      </c>
      <c r="D13" s="8" t="s">
        <v>1366</v>
      </c>
      <c r="E13" s="8" t="s">
        <v>1367</v>
      </c>
      <c r="F13" s="8" t="s">
        <v>1368</v>
      </c>
      <c r="G13" s="8" t="s">
        <v>1369</v>
      </c>
      <c r="H13" s="8" t="s">
        <v>24</v>
      </c>
      <c r="I13" s="15" t="n">
        <v>0</v>
      </c>
      <c r="J13" s="8" t="n">
        <f aca="false">IF(COUNTIFS('Scores (start here)'!$A:$A,$B$1,'Scores (start here)'!$B:$B,$A13,'Scores (start here)'!$F:$F,"&gt;=0")&gt;0,SUMIFS('Scores (start here)'!$F:$F,'Scores (start here)'!$A:$A,$B$1,'Scores (start here)'!$B:$B,$A13),L13)</f>
        <v>0</v>
      </c>
      <c r="K13" s="12" t="s">
        <v>1370</v>
      </c>
      <c r="L13" s="8" t="n">
        <f aca="false">IF($B13="NO","NA",IF(I13="","",MIN(I13,$B$6)))</f>
        <v>0</v>
      </c>
    </row>
    <row r="14" customFormat="false" ht="236.25" hidden="false" customHeight="true" outlineLevel="0" collapsed="false">
      <c r="A14" s="8" t="s">
        <v>28</v>
      </c>
      <c r="B14" s="8" t="s">
        <v>853</v>
      </c>
      <c r="C14" s="8" t="s">
        <v>159</v>
      </c>
      <c r="D14" s="8" t="s">
        <v>1371</v>
      </c>
      <c r="E14" s="8" t="s">
        <v>1372</v>
      </c>
      <c r="F14" s="8" t="s">
        <v>1373</v>
      </c>
      <c r="G14" s="8" t="s">
        <v>1050</v>
      </c>
      <c r="H14" s="8" t="s">
        <v>160</v>
      </c>
      <c r="I14" s="15" t="n">
        <v>0</v>
      </c>
      <c r="J14" s="8" t="n">
        <f aca="false">IF(COUNTIFS('Scores (start here)'!$A:$A,$B$1,'Scores (start here)'!$B:$B,$A14,'Scores (start here)'!$F:$F,"&gt;=0")&gt;0,SUMIFS('Scores (start here)'!$F:$F,'Scores (start here)'!$A:$A,$B$1,'Scores (start here)'!$B:$B,$A14),L14)</f>
        <v>0</v>
      </c>
      <c r="K14" s="12" t="s">
        <v>1374</v>
      </c>
      <c r="L14" s="8" t="n">
        <f aca="false">IF($B14="NO","NA",IF(I14="","",MIN(I14,$B$6)))</f>
        <v>0</v>
      </c>
    </row>
    <row r="15" customFormat="false" ht="202.5" hidden="false" customHeight="true" outlineLevel="0" collapsed="false">
      <c r="A15" s="8" t="s">
        <v>34</v>
      </c>
      <c r="B15" s="8" t="s">
        <v>853</v>
      </c>
      <c r="C15" s="8" t="s">
        <v>36</v>
      </c>
      <c r="D15" s="8" t="s">
        <v>1375</v>
      </c>
      <c r="E15" s="8" t="s">
        <v>1376</v>
      </c>
      <c r="F15" s="8" t="s">
        <v>1377</v>
      </c>
      <c r="G15" s="8" t="s">
        <v>1378</v>
      </c>
      <c r="H15" s="8" t="s">
        <v>37</v>
      </c>
      <c r="I15" s="15" t="n">
        <v>0</v>
      </c>
      <c r="J15" s="8" t="n">
        <f aca="false">IF(COUNTIFS('Scores (start here)'!$A:$A,$B$1,'Scores (start here)'!$B:$B,$A15,'Scores (start here)'!$F:$F,"&gt;=0")&gt;0,SUMIFS('Scores (start here)'!$F:$F,'Scores (start here)'!$A:$A,$B$1,'Scores (start here)'!$B:$B,$A15),L15)</f>
        <v>0</v>
      </c>
      <c r="K15" s="12" t="s">
        <v>1379</v>
      </c>
      <c r="L15" s="8" t="n">
        <f aca="false">IF($B15="NO","NA",IF(I15="","",MIN(I15,$B$6)))</f>
        <v>0</v>
      </c>
    </row>
    <row r="16" customFormat="false" ht="15" hidden="false" customHeight="true" outlineLevel="0" collapsed="false">
      <c r="A16" s="8" t="s">
        <v>40</v>
      </c>
      <c r="B16" s="8" t="s">
        <v>853</v>
      </c>
      <c r="C16" s="8" t="s">
        <v>530</v>
      </c>
      <c r="D16" s="8" t="s">
        <v>1380</v>
      </c>
      <c r="E16" s="8" t="s">
        <v>1381</v>
      </c>
      <c r="F16" s="8" t="s">
        <v>1382</v>
      </c>
      <c r="G16" s="8" t="s">
        <v>1383</v>
      </c>
      <c r="H16" s="8" t="s">
        <v>531</v>
      </c>
      <c r="I16" s="15" t="n">
        <v>0</v>
      </c>
      <c r="J16" s="8" t="n">
        <f aca="false">IF(COUNTIFS('Scores (start here)'!$A:$A,$B$1,'Scores (start here)'!$B:$B,$A16,'Scores (start here)'!$F:$F,"&gt;=0")&gt;0,SUMIFS('Scores (start here)'!$F:$F,'Scores (start here)'!$A:$A,$B$1,'Scores (start here)'!$B:$B,$A16),L16)</f>
        <v>0</v>
      </c>
      <c r="K16" s="12" t="s">
        <v>1384</v>
      </c>
      <c r="L16" s="8" t="n">
        <f aca="false">IF($B16="NO","NA",IF(I16="","",MIN(I16,$B$6)))</f>
        <v>0</v>
      </c>
    </row>
    <row r="17" customFormat="false" ht="15" hidden="false" customHeight="true" outlineLevel="0" collapsed="false">
      <c r="A17" s="8" t="s">
        <v>45</v>
      </c>
      <c r="B17" s="8" t="s">
        <v>853</v>
      </c>
      <c r="C17" s="8" t="s">
        <v>1059</v>
      </c>
      <c r="D17" s="8" t="s">
        <v>1385</v>
      </c>
      <c r="E17" s="8" t="s">
        <v>1386</v>
      </c>
      <c r="G17" s="8" t="s">
        <v>1063</v>
      </c>
      <c r="H17" s="8" t="s">
        <v>1064</v>
      </c>
      <c r="I17" s="15" t="n">
        <v>0</v>
      </c>
      <c r="J17" s="8" t="n">
        <f aca="false">IF(COUNTIFS('Scores (start here)'!$A:$A,$B$1,'Scores (start here)'!$B:$B,$A17,'Scores (start here)'!$F:$F,"&gt;=0")&gt;0,SUMIFS('Scores (start here)'!$F:$F,'Scores (start here)'!$A:$A,$B$1,'Scores (start here)'!$B:$B,$A17),L17)</f>
        <v>0</v>
      </c>
      <c r="K17" s="8" t="s">
        <v>1387</v>
      </c>
      <c r="L17" s="8" t="n">
        <f aca="false">IF($B17="NO","NA",IF(I17="","",MIN(I17,$B$6)))</f>
        <v>0</v>
      </c>
    </row>
    <row r="18" customFormat="false" ht="15" hidden="false" customHeight="true" outlineLevel="0" collapsed="false">
      <c r="A18" s="8" t="s">
        <v>51</v>
      </c>
      <c r="B18" s="8" t="s">
        <v>853</v>
      </c>
      <c r="C18" s="8" t="s">
        <v>218</v>
      </c>
      <c r="D18" s="8" t="s">
        <v>1388</v>
      </c>
      <c r="E18" s="8" t="s">
        <v>1389</v>
      </c>
      <c r="F18" s="8" t="s">
        <v>1390</v>
      </c>
      <c r="G18" s="8" t="s">
        <v>910</v>
      </c>
      <c r="H18" s="8" t="s">
        <v>219</v>
      </c>
      <c r="I18" s="15"/>
      <c r="J18" s="8" t="str">
        <f aca="false">IF(COUNTIFS('Scores (start here)'!$A:$A,$B$1,'Scores (start here)'!$B:$B,$A18,'Scores (start here)'!$F:$F,"&gt;=0")&gt;0,SUMIFS('Scores (start here)'!$F:$F,'Scores (start here)'!$A:$A,$B$1,'Scores (start here)'!$B:$B,$A18),L18)</f>
        <v/>
      </c>
      <c r="K18" s="12" t="s">
        <v>1391</v>
      </c>
      <c r="L18" s="8" t="str">
        <f aca="false">IF($B18="NO","NA",IF(I18="","",MIN(I18,$B$6)))</f>
        <v/>
      </c>
    </row>
    <row r="19" customFormat="false" ht="15" hidden="false" customHeight="true" outlineLevel="0" collapsed="false">
      <c r="A19" s="8" t="s">
        <v>54</v>
      </c>
      <c r="B19" s="8" t="s">
        <v>853</v>
      </c>
      <c r="I19" s="15"/>
      <c r="J19" s="8" t="str">
        <f aca="false">IF(COUNTIFS('Scores (start here)'!$A:$A,$B$1,'Scores (start here)'!$B:$B,$A19,'Scores (start here)'!$F:$F,"&gt;=0")&gt;0,SUMIFS('Scores (start here)'!$F:$F,'Scores (start here)'!$A:$A,$B$1,'Scores (start here)'!$B:$B,$A19),L19)</f>
        <v/>
      </c>
      <c r="K19" s="8" t="s">
        <v>1392</v>
      </c>
      <c r="L19" s="8" t="str">
        <f aca="false">IF($B19="NO","NA",IF(I19="","",MIN(I19,$B$6)))</f>
        <v/>
      </c>
    </row>
  </sheetData>
  <dataValidations count="1">
    <dataValidation allowBlank="true" error="See the instruction above the 'Score' column." errorStyle="stop" operator="between" showDropDown="false" showErrorMessage="true" showInputMessage="false" sqref="I13:I19" type="decimal">
      <formula1>0</formula1>
      <formula2>5</formula2>
    </dataValidation>
  </dataValidations>
  <hyperlinks>
    <hyperlink ref="J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8" width="28"/>
    <col collapsed="false" customWidth="true" hidden="false" outlineLevel="0" max="2" min="2" style="8" width="10"/>
    <col collapsed="false" customWidth="true" hidden="false" outlineLevel="0" max="3" min="3" style="8" width="30"/>
    <col collapsed="false" customWidth="true" hidden="false" outlineLevel="0" max="8" min="8" style="8" width="10"/>
    <col collapsed="false" customWidth="true" hidden="false" outlineLevel="0" max="9" min="9" style="8" width="40"/>
  </cols>
  <sheetData>
    <row r="1" customFormat="false" ht="15" hidden="false" customHeight="true" outlineLevel="0" collapsed="false">
      <c r="A1" s="8" t="s">
        <v>836</v>
      </c>
      <c r="B1" s="8" t="s">
        <v>507</v>
      </c>
      <c r="C1" s="8" t="s">
        <v>837</v>
      </c>
      <c r="J1" s="13" t="s">
        <v>838</v>
      </c>
    </row>
    <row r="2" customFormat="false" ht="23.25" hidden="false" customHeight="true" outlineLevel="0" collapsed="false">
      <c r="A2" s="10" t="s">
        <v>589</v>
      </c>
      <c r="B2" s="4" t="str">
        <f aca="false">VLOOKUP($B$1,'PARASTATAL Questions'!$A:$J,3,0)&amp;""</f>
        <v>State Capacities</v>
      </c>
    </row>
    <row r="3" customFormat="false" ht="15" hidden="false" customHeight="true" outlineLevel="0" collapsed="false">
      <c r="A3" s="10" t="s">
        <v>622</v>
      </c>
      <c r="B3" s="4" t="str">
        <f aca="false">VLOOKUP($B$1,'PARASTATAL Questions'!$A:$J,2,0)&amp;""</f>
        <v>SC-4b</v>
      </c>
    </row>
    <row r="4" customFormat="false" ht="15" hidden="false" customHeight="true" outlineLevel="0" collapsed="false">
      <c r="A4" s="10" t="s">
        <v>590</v>
      </c>
      <c r="B4" s="4" t="str">
        <f aca="false">VLOOKUP($B$1,'PARASTATAL Questions'!$A:$J,4,0)&amp;""</f>
        <v>SQ</v>
      </c>
    </row>
    <row r="5" customFormat="false" ht="68.25" hidden="false" customHeight="true" outlineLevel="0" collapsed="false">
      <c r="A5" s="10" t="s">
        <v>0</v>
      </c>
      <c r="B5" s="4" t="str">
        <f aca="false">VLOOKUP($B$1,'PARASTATAL Questions'!$A:$J,5,0)&amp;""</f>
        <v>Is the medium/long-term fiscal plan publicly available?</v>
      </c>
    </row>
    <row r="6" customFormat="false" ht="15" hidden="false" customHeight="true" outlineLevel="0" collapsed="false">
      <c r="A6" s="10" t="s">
        <v>592</v>
      </c>
      <c r="B6" s="4" t="n">
        <f aca="false">VLOOKUP($B$1,'PARASTATAL Questions'!$A:$J,6,0)</f>
        <v>5</v>
      </c>
    </row>
    <row r="7" customFormat="false" ht="23.25" hidden="false" customHeight="true" outlineLevel="0" collapsed="false">
      <c r="A7" s="10" t="s">
        <v>591</v>
      </c>
      <c r="B7" s="4" t="str">
        <f aca="false">VLOOKUP($B$1,'PARASTATAL Questions'!$A:$J,7,0)&amp;""</f>
        <v>Implementation</v>
      </c>
    </row>
    <row r="8" customFormat="false" ht="15" hidden="false" customHeight="true" outlineLevel="0" collapsed="false">
      <c r="A8" s="10" t="s">
        <v>623</v>
      </c>
      <c r="B8" s="4" t="str">
        <f aca="false">VLOOKUP($B$1,'PARASTATAL Questions'!$A:$J,8,0)&amp;""</f>
        <v>Common.</v>
      </c>
    </row>
    <row r="9" customFormat="false" ht="135.75" hidden="false" customHeight="true" outlineLevel="0" collapsed="false">
      <c r="A9" s="10" t="s">
        <v>624</v>
      </c>
      <c r="B9" s="4" t="str">
        <f aca="false">VLOOKUP($B$1,'PARASTATAL Questions'!$A:$J,9,0)&amp;""</f>
        <v>Score 5 if the fiscal plan is published online on the relevant parastatal's website. Score 0 if not available.</v>
      </c>
    </row>
    <row r="10" customFormat="false" ht="45.75" hidden="false" customHeight="true" outlineLevel="0" collapsed="false">
      <c r="A10" s="10" t="s">
        <v>625</v>
      </c>
      <c r="B10" s="4" t="str">
        <f aca="false">VLOOKUP($B$1,'PARASTATAL Questions'!$A:$J,10,0)&amp;""</f>
        <v>Website of the relevant parastatal</v>
      </c>
    </row>
    <row r="11" customFormat="false" ht="15" hidden="false" customHeight="true" outlineLevel="0" collapsed="false">
      <c r="B11" s="14" t="s">
        <v>839</v>
      </c>
      <c r="I11" s="14" t="s">
        <v>840</v>
      </c>
      <c r="J11" s="14" t="s">
        <v>841</v>
      </c>
      <c r="L11" s="8" t="s">
        <v>842</v>
      </c>
    </row>
    <row r="12" customFormat="false" ht="51.75" hidden="false" customHeight="true" outlineLevel="0" collapsed="false">
      <c r="A12" s="1" t="s">
        <v>612</v>
      </c>
      <c r="B12" s="1" t="s">
        <v>843</v>
      </c>
      <c r="C12" s="1" t="s">
        <v>844</v>
      </c>
      <c r="D12" s="1" t="s">
        <v>845</v>
      </c>
      <c r="E12" s="1" t="s">
        <v>846</v>
      </c>
      <c r="F12" s="1" t="s">
        <v>847</v>
      </c>
      <c r="G12" s="1" t="s">
        <v>848</v>
      </c>
      <c r="H12" s="1" t="s">
        <v>14</v>
      </c>
      <c r="I12" s="1" t="s">
        <v>849</v>
      </c>
      <c r="J12" s="1" t="s">
        <v>850</v>
      </c>
      <c r="K12" s="1" t="s">
        <v>851</v>
      </c>
      <c r="L12" s="8" t="s">
        <v>852</v>
      </c>
    </row>
    <row r="13" customFormat="false" ht="15" hidden="false" customHeight="true" outlineLevel="0" collapsed="false">
      <c r="A13" s="8" t="s">
        <v>19</v>
      </c>
      <c r="B13" s="8" t="s">
        <v>853</v>
      </c>
      <c r="I13" s="15"/>
      <c r="J13" s="8" t="str">
        <f aca="false">IF(COUNTIFS('Scores (start here)'!$A:$A,$B$1,'Scores (start here)'!$B:$B,$A13,'Scores (start here)'!$F:$F,"&gt;=0")&gt;0,SUMIFS('Scores (start here)'!$F:$F,'Scores (start here)'!$A:$A,$B$1,'Scores (start here)'!$B:$B,$A13),L13)</f>
        <v/>
      </c>
      <c r="K13" s="8" t="s">
        <v>1393</v>
      </c>
      <c r="L13" s="8" t="str">
        <f aca="false">IF($B13="NO","NA",IF(I13="","",MIN(I13,$B$6)))</f>
        <v/>
      </c>
    </row>
    <row r="14" customFormat="false" ht="15" hidden="false" customHeight="true" outlineLevel="0" collapsed="false">
      <c r="A14" s="8" t="s">
        <v>28</v>
      </c>
      <c r="B14" s="8" t="s">
        <v>853</v>
      </c>
      <c r="I14" s="15"/>
      <c r="J14" s="8" t="str">
        <f aca="false">IF(COUNTIFS('Scores (start here)'!$A:$A,$B$1,'Scores (start here)'!$B:$B,$A14,'Scores (start here)'!$F:$F,"&gt;=0")&gt;0,SUMIFS('Scores (start here)'!$F:$F,'Scores (start here)'!$A:$A,$B$1,'Scores (start here)'!$B:$B,$A14),L14)</f>
        <v/>
      </c>
      <c r="K14" s="8" t="s">
        <v>1394</v>
      </c>
      <c r="L14" s="8" t="str">
        <f aca="false">IF($B14="NO","NA",IF(I14="","",MIN(I14,$B$6)))</f>
        <v/>
      </c>
    </row>
    <row r="15" customFormat="false" ht="15" hidden="false" customHeight="true" outlineLevel="0" collapsed="false">
      <c r="A15" s="8" t="s">
        <v>34</v>
      </c>
      <c r="B15" s="8" t="s">
        <v>853</v>
      </c>
      <c r="I15" s="15"/>
      <c r="J15" s="8" t="str">
        <f aca="false">IF(COUNTIFS('Scores (start here)'!$A:$A,$B$1,'Scores (start here)'!$B:$B,$A15,'Scores (start here)'!$F:$F,"&gt;=0")&gt;0,SUMIFS('Scores (start here)'!$F:$F,'Scores (start here)'!$A:$A,$B$1,'Scores (start here)'!$B:$B,$A15),L15)</f>
        <v/>
      </c>
      <c r="K15" s="8" t="s">
        <v>1395</v>
      </c>
      <c r="L15" s="8" t="str">
        <f aca="false">IF($B15="NO","NA",IF(I15="","",MIN(I15,$B$6)))</f>
        <v/>
      </c>
    </row>
    <row r="16" customFormat="false" ht="15" hidden="false" customHeight="true" outlineLevel="0" collapsed="false">
      <c r="A16" s="8" t="s">
        <v>40</v>
      </c>
      <c r="B16" s="8" t="s">
        <v>853</v>
      </c>
      <c r="I16" s="15"/>
      <c r="J16" s="8" t="str">
        <f aca="false">IF(COUNTIFS('Scores (start here)'!$A:$A,$B$1,'Scores (start here)'!$B:$B,$A16,'Scores (start here)'!$F:$F,"&gt;=0")&gt;0,SUMIFS('Scores (start here)'!$F:$F,'Scores (start here)'!$A:$A,$B$1,'Scores (start here)'!$B:$B,$A16),L16)</f>
        <v/>
      </c>
      <c r="K16" s="8" t="s">
        <v>1396</v>
      </c>
      <c r="L16" s="8" t="str">
        <f aca="false">IF($B16="NO","NA",IF(I16="","",MIN(I16,$B$6)))</f>
        <v/>
      </c>
    </row>
    <row r="17" customFormat="false" ht="15" hidden="false" customHeight="true" outlineLevel="0" collapsed="false">
      <c r="A17" s="8" t="s">
        <v>45</v>
      </c>
      <c r="B17" s="8" t="s">
        <v>853</v>
      </c>
      <c r="C17" s="8" t="s">
        <v>1177</v>
      </c>
      <c r="D17" s="8" t="s">
        <v>1397</v>
      </c>
      <c r="E17" s="8" t="s">
        <v>1398</v>
      </c>
      <c r="H17" s="8" t="s">
        <v>240</v>
      </c>
      <c r="I17" s="15"/>
      <c r="J17" s="8" t="str">
        <f aca="false">IF(COUNTIFS('Scores (start here)'!$A:$A,$B$1,'Scores (start here)'!$B:$B,$A17,'Scores (start here)'!$F:$F,"&gt;=0")&gt;0,SUMIFS('Scores (start here)'!$F:$F,'Scores (start here)'!$A:$A,$B$1,'Scores (start here)'!$B:$B,$A17),L17)</f>
        <v/>
      </c>
      <c r="K17" s="8" t="s">
        <v>1399</v>
      </c>
      <c r="L17" s="8" t="str">
        <f aca="false">IF($B17="NO","NA",IF(I17="","",MIN(I17,$B$6)))</f>
        <v/>
      </c>
    </row>
    <row r="18" customFormat="false" ht="15" hidden="false" customHeight="true" outlineLevel="0" collapsed="false">
      <c r="A18" s="8" t="s">
        <v>51</v>
      </c>
      <c r="B18" s="8" t="s">
        <v>853</v>
      </c>
      <c r="C18" s="8" t="s">
        <v>64</v>
      </c>
      <c r="D18" s="8" t="s">
        <v>1400</v>
      </c>
      <c r="E18" s="8" t="s">
        <v>1401</v>
      </c>
      <c r="F18" s="8" t="s">
        <v>1402</v>
      </c>
      <c r="G18" s="8" t="s">
        <v>1403</v>
      </c>
      <c r="H18" s="8" t="s">
        <v>65</v>
      </c>
      <c r="I18" s="15"/>
      <c r="J18" s="8" t="str">
        <f aca="false">IF(COUNTIFS('Scores (start here)'!$A:$A,$B$1,'Scores (start here)'!$B:$B,$A18,'Scores (start here)'!$F:$F,"&gt;=0")&gt;0,SUMIFS('Scores (start here)'!$F:$F,'Scores (start here)'!$A:$A,$B$1,'Scores (start here)'!$B:$B,$A18),L18)</f>
        <v/>
      </c>
      <c r="K18" s="12" t="s">
        <v>1404</v>
      </c>
      <c r="L18" s="8" t="str">
        <f aca="false">IF($B18="NO","NA",IF(I18="","",MIN(I18,$B$6)))</f>
        <v/>
      </c>
    </row>
    <row r="19" customFormat="false" ht="15" hidden="false" customHeight="true" outlineLevel="0" collapsed="false">
      <c r="A19" s="8" t="s">
        <v>54</v>
      </c>
      <c r="B19" s="8" t="s">
        <v>853</v>
      </c>
      <c r="C19" s="8" t="s">
        <v>69</v>
      </c>
      <c r="D19" s="8" t="s">
        <v>1405</v>
      </c>
      <c r="E19" s="8" t="s">
        <v>1406</v>
      </c>
      <c r="F19" s="8" t="s">
        <v>1407</v>
      </c>
      <c r="G19" s="8" t="s">
        <v>1408</v>
      </c>
      <c r="H19" s="8" t="s">
        <v>70</v>
      </c>
      <c r="I19" s="15"/>
      <c r="J19" s="8" t="str">
        <f aca="false">IF(COUNTIFS('Scores (start here)'!$A:$A,$B$1,'Scores (start here)'!$B:$B,$A19,'Scores (start here)'!$F:$F,"&gt;=0")&gt;0,SUMIFS('Scores (start here)'!$F:$F,'Scores (start here)'!$A:$A,$B$1,'Scores (start here)'!$B:$B,$A19),L19)</f>
        <v/>
      </c>
      <c r="K19" s="12" t="s">
        <v>1409</v>
      </c>
      <c r="L19" s="8" t="str">
        <f aca="false">IF($B19="NO","NA",IF(I19="","",MIN(I19,$B$6)))</f>
        <v/>
      </c>
    </row>
  </sheetData>
  <dataValidations count="1">
    <dataValidation allowBlank="true" error="See the instruction above the 'Score' column." errorStyle="stop" operator="between" showDropDown="false" showErrorMessage="true" showInputMessage="false" sqref="I13:I19" type="decimal">
      <formula1>0</formula1>
      <formula2>5</formula2>
    </dataValidation>
  </dataValidations>
  <hyperlinks>
    <hyperlink ref="J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8" width="28"/>
    <col collapsed="false" customWidth="true" hidden="false" outlineLevel="0" max="2" min="2" style="8" width="10"/>
    <col collapsed="false" customWidth="true" hidden="false" outlineLevel="0" max="3" min="3" style="8" width="30"/>
    <col collapsed="false" customWidth="true" hidden="false" outlineLevel="0" max="8" min="8" style="8" width="10"/>
    <col collapsed="false" customWidth="true" hidden="false" outlineLevel="0" max="9" min="9" style="8" width="40"/>
  </cols>
  <sheetData>
    <row r="1" customFormat="false" ht="15" hidden="false" customHeight="true" outlineLevel="0" collapsed="false">
      <c r="A1" s="8" t="s">
        <v>836</v>
      </c>
      <c r="B1" s="8" t="s">
        <v>519</v>
      </c>
      <c r="C1" s="8" t="s">
        <v>837</v>
      </c>
      <c r="J1" s="13" t="s">
        <v>838</v>
      </c>
    </row>
    <row r="2" customFormat="false" ht="23.25" hidden="false" customHeight="true" outlineLevel="0" collapsed="false">
      <c r="A2" s="10" t="s">
        <v>589</v>
      </c>
      <c r="B2" s="4" t="str">
        <f aca="false">VLOOKUP($B$1,'PARASTATAL Questions'!$A:$J,3,0)&amp;""</f>
        <v>State Capacities</v>
      </c>
    </row>
    <row r="3" customFormat="false" ht="15" hidden="false" customHeight="true" outlineLevel="0" collapsed="false">
      <c r="A3" s="10" t="s">
        <v>622</v>
      </c>
      <c r="B3" s="4" t="str">
        <f aca="false">VLOOKUP($B$1,'PARASTATAL Questions'!$A:$J,2,0)&amp;""</f>
        <v>SC-5</v>
      </c>
    </row>
    <row r="4" customFormat="false" ht="15" hidden="false" customHeight="true" outlineLevel="0" collapsed="false">
      <c r="A4" s="10" t="s">
        <v>590</v>
      </c>
      <c r="B4" s="4" t="str">
        <f aca="false">VLOOKUP($B$1,'PARASTATAL Questions'!$A:$J,4,0)&amp;""</f>
        <v>MQ</v>
      </c>
    </row>
    <row r="5" customFormat="false" ht="124.5" hidden="false" customHeight="true" outlineLevel="0" collapsed="false">
      <c r="A5" s="10" t="s">
        <v>0</v>
      </c>
      <c r="B5" s="4" t="str">
        <f aca="false">VLOOKUP($B$1,'PARASTATAL Questions'!$A:$J,5,0)&amp;""</f>
        <v>Does the law mandate a minimum tenure for the executive authority of the parastatal?</v>
      </c>
    </row>
    <row r="6" customFormat="false" ht="15" hidden="false" customHeight="true" outlineLevel="0" collapsed="false">
      <c r="A6" s="10" t="s">
        <v>592</v>
      </c>
      <c r="B6" s="4" t="n">
        <f aca="false">VLOOKUP($B$1,'PARASTATAL Questions'!$A:$J,6,0)</f>
        <v>10</v>
      </c>
    </row>
    <row r="7" customFormat="false" ht="15" hidden="false" customHeight="true" outlineLevel="0" collapsed="false">
      <c r="A7" s="10" t="s">
        <v>591</v>
      </c>
      <c r="B7" s="4" t="str">
        <f aca="false">VLOOKUP($B$1,'PARASTATAL Questions'!$A:$J,7,0)&amp;""</f>
        <v>Law/Policy</v>
      </c>
    </row>
    <row r="8" customFormat="false" ht="15" hidden="false" customHeight="true" outlineLevel="0" collapsed="false">
      <c r="A8" s="10" t="s">
        <v>623</v>
      </c>
      <c r="B8" s="4" t="str">
        <f aca="false">VLOOKUP($B$1,'PARASTATAL Questions'!$A:$J,8,0)&amp;""</f>
        <v>Common.</v>
      </c>
    </row>
    <row r="9" customFormat="false" ht="885.75" hidden="false" customHeight="true" outlineLevel="0" collapsed="false">
      <c r="A9" s="10" t="s">
        <v>624</v>
      </c>
      <c r="B9" s="4" t="str">
        <f aca="false">VLOOKUP($B$1,'PARASTATAL Questions'!$A:$J,9,0)&amp;""</f>
        <v>Review the relevant Parastatal Act and rules governing the appointment of the chief executive/executive authority.Score 10 — the law mandates a minimum tenure of two years (or more) for the executive authority, with removal permitted only on defined grounds (e.g. misconduct, incapacity) rather than at unrestricted discretion.Score 5 — the law mandates a minimum tenure of less than two years.Score 0 — no minimum tenure is prescribed in law.This refers to the bureaucratic/administrative head of the parastatal — for example, the Managing Director, Commissioner, Chief Executive Officer or equivalent executive authority — and not to the Chairperson or political head.</v>
      </c>
    </row>
    <row r="10" customFormat="false" ht="147" hidden="false" customHeight="true" outlineLevel="0" collapsed="false">
      <c r="A10" s="10" t="s">
        <v>625</v>
      </c>
      <c r="B10" s="4" t="str">
        <f aca="false">VLOOKUP($B$1,'PARASTATAL Questions'!$A:$J,10,0)&amp;""</f>
        <v>Relevant Parastatal Act; rules governing appointment, tenure and removal of the executive authority/chief executive.</v>
      </c>
    </row>
    <row r="11" customFormat="false" ht="15" hidden="false" customHeight="true" outlineLevel="0" collapsed="false">
      <c r="B11" s="14" t="s">
        <v>839</v>
      </c>
      <c r="I11" s="14" t="s">
        <v>1072</v>
      </c>
      <c r="J11" s="14" t="s">
        <v>841</v>
      </c>
      <c r="L11" s="8" t="s">
        <v>842</v>
      </c>
    </row>
    <row r="12" customFormat="false" ht="51.75" hidden="false" customHeight="true" outlineLevel="0" collapsed="false">
      <c r="A12" s="1" t="s">
        <v>612</v>
      </c>
      <c r="B12" s="1" t="s">
        <v>843</v>
      </c>
      <c r="C12" s="1" t="s">
        <v>844</v>
      </c>
      <c r="D12" s="1" t="s">
        <v>845</v>
      </c>
      <c r="E12" s="1" t="s">
        <v>846</v>
      </c>
      <c r="F12" s="1" t="s">
        <v>847</v>
      </c>
      <c r="G12" s="1" t="s">
        <v>848</v>
      </c>
      <c r="H12" s="1" t="s">
        <v>14</v>
      </c>
      <c r="I12" s="1" t="s">
        <v>849</v>
      </c>
      <c r="J12" s="1" t="s">
        <v>850</v>
      </c>
      <c r="K12" s="1" t="s">
        <v>851</v>
      </c>
      <c r="L12" s="8" t="s">
        <v>852</v>
      </c>
    </row>
    <row r="13" customFormat="false" ht="348" hidden="false" customHeight="true" outlineLevel="0" collapsed="false">
      <c r="A13" s="8" t="s">
        <v>19</v>
      </c>
      <c r="B13" s="8" t="s">
        <v>853</v>
      </c>
      <c r="C13" s="8" t="s">
        <v>23</v>
      </c>
      <c r="D13" s="8" t="s">
        <v>931</v>
      </c>
      <c r="E13" s="8" t="s">
        <v>1410</v>
      </c>
      <c r="F13" s="8" t="s">
        <v>1411</v>
      </c>
      <c r="G13" s="8" t="s">
        <v>972</v>
      </c>
      <c r="H13" s="8" t="s">
        <v>24</v>
      </c>
      <c r="I13" s="15" t="n">
        <v>0</v>
      </c>
      <c r="J13" s="8" t="n">
        <f aca="false">IF(COUNTIFS('Scores (start here)'!$A:$A,$B$1,'Scores (start here)'!$B:$B,$A13,'Scores (start here)'!$F:$F,"&gt;=0")&gt;0,SUMIFS('Scores (start here)'!$F:$F,'Scores (start here)'!$A:$A,$B$1,'Scores (start here)'!$B:$B,$A13),L13)</f>
        <v>0</v>
      </c>
      <c r="K13" s="12" t="s">
        <v>1412</v>
      </c>
      <c r="L13" s="8" t="n">
        <f aca="false">IF($B13="NO","NA",IF(I13="","",MIN(I13,$B$6)))</f>
        <v>0</v>
      </c>
    </row>
    <row r="14" customFormat="false" ht="15" hidden="false" customHeight="true" outlineLevel="0" collapsed="false">
      <c r="A14" s="8" t="s">
        <v>28</v>
      </c>
      <c r="B14" s="8" t="s">
        <v>853</v>
      </c>
      <c r="C14" s="8" t="s">
        <v>159</v>
      </c>
      <c r="D14" s="8" t="s">
        <v>1413</v>
      </c>
      <c r="E14" s="8" t="s">
        <v>1414</v>
      </c>
      <c r="F14" s="8" t="s">
        <v>1415</v>
      </c>
      <c r="G14" s="8" t="s">
        <v>1416</v>
      </c>
      <c r="H14" s="8" t="s">
        <v>160</v>
      </c>
      <c r="I14" s="15"/>
      <c r="J14" s="8" t="str">
        <f aca="false">IF(COUNTIFS('Scores (start here)'!$A:$A,$B$1,'Scores (start here)'!$B:$B,$A14,'Scores (start here)'!$F:$F,"&gt;=0")&gt;0,SUMIFS('Scores (start here)'!$F:$F,'Scores (start here)'!$A:$A,$B$1,'Scores (start here)'!$B:$B,$A14),L14)</f>
        <v/>
      </c>
      <c r="K14" s="12" t="s">
        <v>1417</v>
      </c>
      <c r="L14" s="8" t="str">
        <f aca="false">IF($B14="NO","NA",IF(I14="","",MIN(I14,$B$6)))</f>
        <v/>
      </c>
    </row>
    <row r="15" customFormat="false" ht="34.5" hidden="false" customHeight="true" outlineLevel="0" collapsed="false">
      <c r="A15" s="8" t="s">
        <v>34</v>
      </c>
      <c r="B15" s="8" t="s">
        <v>853</v>
      </c>
      <c r="C15" s="8" t="s">
        <v>36</v>
      </c>
      <c r="D15" s="8" t="s">
        <v>1418</v>
      </c>
      <c r="E15" s="8" t="s">
        <v>1419</v>
      </c>
      <c r="F15" s="8" t="s">
        <v>1420</v>
      </c>
      <c r="G15" s="8" t="s">
        <v>1421</v>
      </c>
      <c r="H15" s="8" t="s">
        <v>37</v>
      </c>
      <c r="I15" s="15" t="n">
        <v>0</v>
      </c>
      <c r="J15" s="8" t="n">
        <f aca="false">IF(COUNTIFS('Scores (start here)'!$A:$A,$B$1,'Scores (start here)'!$B:$B,$A15,'Scores (start here)'!$F:$F,"&gt;=0")&gt;0,SUMIFS('Scores (start here)'!$F:$F,'Scores (start here)'!$A:$A,$B$1,'Scores (start here)'!$B:$B,$A15),L15)</f>
        <v>0</v>
      </c>
      <c r="K15" s="12" t="s">
        <v>1422</v>
      </c>
      <c r="L15" s="8" t="n">
        <f aca="false">IF($B15="NO","NA",IF(I15="","",MIN(I15,$B$6)))</f>
        <v>0</v>
      </c>
    </row>
    <row r="16" customFormat="false" ht="202.5" hidden="false" customHeight="true" outlineLevel="0" collapsed="false">
      <c r="A16" s="8" t="s">
        <v>40</v>
      </c>
      <c r="B16" s="8" t="s">
        <v>853</v>
      </c>
      <c r="C16" s="8" t="s">
        <v>530</v>
      </c>
      <c r="D16" s="8" t="s">
        <v>1423</v>
      </c>
      <c r="E16" s="8" t="s">
        <v>1424</v>
      </c>
      <c r="F16" s="8" t="s">
        <v>1425</v>
      </c>
      <c r="G16" s="8" t="s">
        <v>1426</v>
      </c>
      <c r="H16" s="8" t="s">
        <v>531</v>
      </c>
      <c r="I16" s="15" t="n">
        <v>0</v>
      </c>
      <c r="J16" s="8" t="n">
        <f aca="false">IF(COUNTIFS('Scores (start here)'!$A:$A,$B$1,'Scores (start here)'!$B:$B,$A16,'Scores (start here)'!$F:$F,"&gt;=0")&gt;0,SUMIFS('Scores (start here)'!$F:$F,'Scores (start here)'!$A:$A,$B$1,'Scores (start here)'!$B:$B,$A16),L16)</f>
        <v>0</v>
      </c>
      <c r="K16" s="12" t="s">
        <v>1427</v>
      </c>
      <c r="L16" s="8" t="n">
        <f aca="false">IF($B16="NO","NA",IF(I16="","",MIN(I16,$B$6)))</f>
        <v>0</v>
      </c>
    </row>
    <row r="17" customFormat="false" ht="15" hidden="false" customHeight="true" outlineLevel="0" collapsed="false">
      <c r="A17" s="8" t="s">
        <v>45</v>
      </c>
      <c r="B17" s="8" t="s">
        <v>853</v>
      </c>
      <c r="I17" s="15"/>
      <c r="J17" s="8" t="str">
        <f aca="false">IF(COUNTIFS('Scores (start here)'!$A:$A,$B$1,'Scores (start here)'!$B:$B,$A17,'Scores (start here)'!$F:$F,"&gt;=0")&gt;0,SUMIFS('Scores (start here)'!$F:$F,'Scores (start here)'!$A:$A,$B$1,'Scores (start here)'!$B:$B,$A17),L17)</f>
        <v/>
      </c>
      <c r="K17" s="8" t="s">
        <v>1428</v>
      </c>
      <c r="L17" s="8" t="str">
        <f aca="false">IF($B17="NO","NA",IF(I17="","",MIN(I17,$B$6)))</f>
        <v/>
      </c>
    </row>
    <row r="18" customFormat="false" ht="15" hidden="false" customHeight="true" outlineLevel="0" collapsed="false">
      <c r="A18" s="8" t="s">
        <v>51</v>
      </c>
      <c r="B18" s="8" t="s">
        <v>853</v>
      </c>
      <c r="I18" s="15"/>
      <c r="J18" s="8" t="str">
        <f aca="false">IF(COUNTIFS('Scores (start here)'!$A:$A,$B$1,'Scores (start here)'!$B:$B,$A18,'Scores (start here)'!$F:$F,"&gt;=0")&gt;0,SUMIFS('Scores (start here)'!$F:$F,'Scores (start here)'!$A:$A,$B$1,'Scores (start here)'!$B:$B,$A18),L18)</f>
        <v/>
      </c>
      <c r="K18" s="8" t="s">
        <v>1429</v>
      </c>
      <c r="L18" s="8" t="str">
        <f aca="false">IF($B18="NO","NA",IF(I18="","",MIN(I18,$B$6)))</f>
        <v/>
      </c>
    </row>
    <row r="19" customFormat="false" ht="15" hidden="false" customHeight="true" outlineLevel="0" collapsed="false">
      <c r="A19" s="8" t="s">
        <v>54</v>
      </c>
      <c r="B19" s="8" t="s">
        <v>853</v>
      </c>
      <c r="I19" s="15"/>
      <c r="J19" s="8" t="str">
        <f aca="false">IF(COUNTIFS('Scores (start here)'!$A:$A,$B$1,'Scores (start here)'!$B:$B,$A19,'Scores (start here)'!$F:$F,"&gt;=0")&gt;0,SUMIFS('Scores (start here)'!$F:$F,'Scores (start here)'!$A:$A,$B$1,'Scores (start here)'!$B:$B,$A19),L19)</f>
        <v/>
      </c>
      <c r="K19" s="8" t="s">
        <v>1430</v>
      </c>
      <c r="L19" s="8" t="str">
        <f aca="false">IF($B19="NO","NA",IF(I19="","",MIN(I19,$B$6)))</f>
        <v/>
      </c>
    </row>
  </sheetData>
  <dataValidations count="1">
    <dataValidation allowBlank="true" error="See the instruction above the 'Score' column." errorStyle="stop" operator="between" showDropDown="false" showErrorMessage="true" showInputMessage="false" sqref="I13:I19" type="decimal">
      <formula1>0</formula1>
      <formula2>10</formula2>
    </dataValidation>
  </dataValidations>
  <hyperlinks>
    <hyperlink ref="J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8" width="28"/>
    <col collapsed="false" customWidth="true" hidden="false" outlineLevel="0" max="2" min="2" style="8" width="10"/>
    <col collapsed="false" customWidth="true" hidden="false" outlineLevel="0" max="3" min="3" style="8" width="30"/>
    <col collapsed="false" customWidth="true" hidden="false" outlineLevel="0" max="8" min="8" style="8" width="10"/>
    <col collapsed="false" customWidth="true" hidden="false" outlineLevel="0" max="9" min="9" style="8" width="40"/>
  </cols>
  <sheetData>
    <row r="1" customFormat="false" ht="15" hidden="false" customHeight="true" outlineLevel="0" collapsed="false">
      <c r="A1" s="8" t="s">
        <v>836</v>
      </c>
      <c r="B1" s="8" t="s">
        <v>537</v>
      </c>
      <c r="C1" s="8" t="s">
        <v>837</v>
      </c>
      <c r="J1" s="13" t="s">
        <v>838</v>
      </c>
    </row>
    <row r="2" customFormat="false" ht="23.25" hidden="false" customHeight="true" outlineLevel="0" collapsed="false">
      <c r="A2" s="10" t="s">
        <v>589</v>
      </c>
      <c r="B2" s="4" t="str">
        <f aca="false">VLOOKUP($B$1,'PARASTATAL Questions'!$A:$J,3,0)&amp;""</f>
        <v>State Capacities</v>
      </c>
    </row>
    <row r="3" customFormat="false" ht="15" hidden="false" customHeight="true" outlineLevel="0" collapsed="false">
      <c r="A3" s="10" t="s">
        <v>622</v>
      </c>
      <c r="B3" s="4" t="str">
        <f aca="false">VLOOKUP($B$1,'PARASTATAL Questions'!$A:$J,2,0)&amp;""</f>
        <v>SC-6</v>
      </c>
    </row>
    <row r="4" customFormat="false" ht="15" hidden="false" customHeight="true" outlineLevel="0" collapsed="false">
      <c r="A4" s="10" t="s">
        <v>590</v>
      </c>
      <c r="B4" s="4" t="str">
        <f aca="false">VLOOKUP($B$1,'PARASTATAL Questions'!$A:$J,4,0)&amp;""</f>
        <v>MQ</v>
      </c>
    </row>
    <row r="5" customFormat="false" ht="124.5" hidden="false" customHeight="true" outlineLevel="0" collapsed="false">
      <c r="A5" s="10" t="s">
        <v>0</v>
      </c>
      <c r="B5" s="4" t="str">
        <f aca="false">VLOOKUP($B$1,'PARASTATAL Questions'!$A:$J,5,0)&amp;""</f>
        <v>What is the average tenure of the chief executive/executive authority of the parastatal?</v>
      </c>
    </row>
    <row r="6" customFormat="false" ht="15" hidden="false" customHeight="true" outlineLevel="0" collapsed="false">
      <c r="A6" s="10" t="s">
        <v>592</v>
      </c>
      <c r="B6" s="4" t="n">
        <f aca="false">VLOOKUP($B$1,'PARASTATAL Questions'!$A:$J,6,0)</f>
        <v>10</v>
      </c>
    </row>
    <row r="7" customFormat="false" ht="34.5" hidden="false" customHeight="true" outlineLevel="0" collapsed="false">
      <c r="A7" s="10" t="s">
        <v>591</v>
      </c>
      <c r="B7" s="4" t="str">
        <f aca="false">VLOOKUP($B$1,'PARASTATAL Questions'!$A:$J,7,0)&amp;""</f>
        <v>Implementation (Numeric)</v>
      </c>
    </row>
    <row r="8" customFormat="false" ht="124.5" hidden="false" customHeight="true" outlineLevel="0" collapsed="false">
      <c r="A8" s="10" t="s">
        <v>623</v>
      </c>
      <c r="B8" s="4" t="str">
        <f aca="false">VLOOKUP($B$1,'PARASTATAL Questions'!$A:$J,8,0)&amp;""</f>
        <v>Common — all parastatal types with a designated chief executive/executive authority post.</v>
      </c>
    </row>
    <row r="9" customFormat="false" ht="415.5" hidden="false" customHeight="true" outlineLevel="0" collapsed="false">
      <c r="A9" s="10" t="s">
        <v>624</v>
      </c>
      <c r="B9" s="4" t="str">
        <f aca="false">VLOOKUP($B$1,'PARASTATAL Questions'!$A:$J,9,0)&amp;""</f>
        <v>Review appointments/transfers of the chief executive or executive authority over the last five years. Score 10 if one chief executive has served during the periodScore 5 if 2–3 chief executives have servedScore 0 if more than 3 chief executives have served. Where an officer has held only additional/acting charge, record this separately.</v>
      </c>
    </row>
    <row r="10" customFormat="false" ht="124.5" hidden="false" customHeight="true" outlineLevel="0" collapsed="false">
      <c r="A10" s="10" t="s">
        <v>625</v>
      </c>
      <c r="B10" s="4" t="str">
        <f aca="false">VLOOKUP($B$1,'PARASTATAL Questions'!$A:$J,10,0)&amp;""</f>
        <v>Newspaper reports, Gazette notifications of appointment/transfer and website of relevant parastatal</v>
      </c>
    </row>
    <row r="11" customFormat="false" ht="15" hidden="false" customHeight="true" outlineLevel="0" collapsed="false">
      <c r="B11" s="14" t="s">
        <v>839</v>
      </c>
      <c r="I11" s="14" t="s">
        <v>1072</v>
      </c>
      <c r="J11" s="14" t="s">
        <v>841</v>
      </c>
      <c r="L11" s="8" t="s">
        <v>842</v>
      </c>
    </row>
    <row r="12" customFormat="false" ht="51.75" hidden="false" customHeight="true" outlineLevel="0" collapsed="false">
      <c r="A12" s="1" t="s">
        <v>612</v>
      </c>
      <c r="B12" s="1" t="s">
        <v>843</v>
      </c>
      <c r="C12" s="1" t="s">
        <v>844</v>
      </c>
      <c r="D12" s="1" t="s">
        <v>845</v>
      </c>
      <c r="E12" s="1" t="s">
        <v>846</v>
      </c>
      <c r="F12" s="1" t="s">
        <v>847</v>
      </c>
      <c r="G12" s="1" t="s">
        <v>848</v>
      </c>
      <c r="H12" s="1" t="s">
        <v>14</v>
      </c>
      <c r="I12" s="1" t="s">
        <v>849</v>
      </c>
      <c r="J12" s="1" t="s">
        <v>850</v>
      </c>
      <c r="K12" s="1" t="s">
        <v>851</v>
      </c>
      <c r="L12" s="8" t="s">
        <v>852</v>
      </c>
    </row>
    <row r="13" customFormat="false" ht="15" hidden="false" customHeight="true" outlineLevel="0" collapsed="false">
      <c r="A13" s="8" t="s">
        <v>19</v>
      </c>
      <c r="B13" s="8" t="s">
        <v>853</v>
      </c>
      <c r="I13" s="15"/>
      <c r="J13" s="8" t="str">
        <f aca="false">IF(COUNTIFS('Scores (start here)'!$A:$A,$B$1,'Scores (start here)'!$B:$B,$A13,'Scores (start here)'!$F:$F,"&gt;=0")&gt;0,SUMIFS('Scores (start here)'!$F:$F,'Scores (start here)'!$A:$A,$B$1,'Scores (start here)'!$B:$B,$A13),L13)</f>
        <v/>
      </c>
      <c r="K13" s="8" t="s">
        <v>1431</v>
      </c>
      <c r="L13" s="8" t="str">
        <f aca="false">IF($B13="NO","NA",IF(I13="","",MIN(I13,$B$6)))</f>
        <v/>
      </c>
    </row>
    <row r="14" customFormat="false" ht="34.5" hidden="false" customHeight="true" outlineLevel="0" collapsed="false">
      <c r="A14" s="8" t="s">
        <v>28</v>
      </c>
      <c r="B14" s="8" t="s">
        <v>853</v>
      </c>
      <c r="C14" s="8" t="s">
        <v>540</v>
      </c>
      <c r="D14" s="8" t="s">
        <v>1432</v>
      </c>
      <c r="E14" s="8" t="s">
        <v>1433</v>
      </c>
      <c r="H14" s="8" t="s">
        <v>541</v>
      </c>
      <c r="I14" s="15"/>
      <c r="J14" s="8" t="str">
        <f aca="false">IF(COUNTIFS('Scores (start here)'!$A:$A,$B$1,'Scores (start here)'!$B:$B,$A14,'Scores (start here)'!$F:$F,"&gt;=0")&gt;0,SUMIFS('Scores (start here)'!$F:$F,'Scores (start here)'!$A:$A,$B$1,'Scores (start here)'!$B:$B,$A14),L14)</f>
        <v/>
      </c>
      <c r="K14" s="12" t="s">
        <v>1434</v>
      </c>
      <c r="L14" s="8" t="str">
        <f aca="false">IF($B14="NO","NA",IF(I14="","",MIN(I14,$B$6)))</f>
        <v/>
      </c>
    </row>
    <row r="15" customFormat="false" ht="15" hidden="false" customHeight="true" outlineLevel="0" collapsed="false">
      <c r="A15" s="8" t="s">
        <v>34</v>
      </c>
      <c r="B15" s="8" t="s">
        <v>853</v>
      </c>
      <c r="I15" s="15"/>
      <c r="J15" s="8" t="str">
        <f aca="false">IF(COUNTIFS('Scores (start here)'!$A:$A,$B$1,'Scores (start here)'!$B:$B,$A15,'Scores (start here)'!$F:$F,"&gt;=0")&gt;0,SUMIFS('Scores (start here)'!$F:$F,'Scores (start here)'!$A:$A,$B$1,'Scores (start here)'!$B:$B,$A15),L15)</f>
        <v/>
      </c>
      <c r="K15" s="8" t="s">
        <v>1435</v>
      </c>
      <c r="L15" s="8" t="str">
        <f aca="false">IF($B15="NO","NA",IF(I15="","",MIN(I15,$B$6)))</f>
        <v/>
      </c>
    </row>
    <row r="16" customFormat="false" ht="15" hidden="false" customHeight="true" outlineLevel="0" collapsed="false">
      <c r="A16" s="8" t="s">
        <v>40</v>
      </c>
      <c r="B16" s="8" t="s">
        <v>853</v>
      </c>
      <c r="C16" s="8" t="s">
        <v>188</v>
      </c>
      <c r="D16" s="8" t="s">
        <v>1436</v>
      </c>
      <c r="E16" s="8" t="s">
        <v>1437</v>
      </c>
      <c r="F16" s="8" t="s">
        <v>1438</v>
      </c>
      <c r="G16" s="8" t="s">
        <v>1439</v>
      </c>
      <c r="H16" s="8" t="s">
        <v>189</v>
      </c>
      <c r="I16" s="15"/>
      <c r="J16" s="8" t="str">
        <f aca="false">IF(COUNTIFS('Scores (start here)'!$A:$A,$B$1,'Scores (start here)'!$B:$B,$A16,'Scores (start here)'!$F:$F,"&gt;=0")&gt;0,SUMIFS('Scores (start here)'!$F:$F,'Scores (start here)'!$A:$A,$B$1,'Scores (start here)'!$B:$B,$A16),L16)</f>
        <v/>
      </c>
      <c r="K16" s="12" t="s">
        <v>1440</v>
      </c>
      <c r="L16" s="8" t="str">
        <f aca="false">IF($B16="NO","NA",IF(I16="","",MIN(I16,$B$6)))</f>
        <v/>
      </c>
    </row>
    <row r="17" customFormat="false" ht="38.25" hidden="false" customHeight="true" outlineLevel="0" collapsed="false">
      <c r="A17" s="8" t="s">
        <v>45</v>
      </c>
      <c r="B17" s="8" t="s">
        <v>853</v>
      </c>
      <c r="C17" s="8" t="s">
        <v>47</v>
      </c>
      <c r="D17" s="8" t="s">
        <v>1441</v>
      </c>
      <c r="E17" s="8" t="s">
        <v>1442</v>
      </c>
      <c r="F17" s="8" t="s">
        <v>1443</v>
      </c>
      <c r="G17" s="8" t="s">
        <v>875</v>
      </c>
      <c r="H17" s="8" t="s">
        <v>48</v>
      </c>
      <c r="I17" s="15"/>
      <c r="J17" s="8" t="str">
        <f aca="false">IF(COUNTIFS('Scores (start here)'!$A:$A,$B$1,'Scores (start here)'!$B:$B,$A17,'Scores (start here)'!$F:$F,"&gt;=0")&gt;0,SUMIFS('Scores (start here)'!$F:$F,'Scores (start here)'!$A:$A,$B$1,'Scores (start here)'!$B:$B,$A17),L17)</f>
        <v/>
      </c>
      <c r="K17" s="12" t="s">
        <v>1444</v>
      </c>
      <c r="L17" s="8" t="str">
        <f aca="false">IF($B17="NO","NA",IF(I17="","",MIN(I17,$B$6)))</f>
        <v/>
      </c>
    </row>
    <row r="18" customFormat="false" ht="15" hidden="false" customHeight="true" outlineLevel="0" collapsed="false">
      <c r="A18" s="8" t="s">
        <v>51</v>
      </c>
      <c r="B18" s="8" t="s">
        <v>853</v>
      </c>
      <c r="I18" s="15"/>
      <c r="J18" s="8" t="str">
        <f aca="false">IF(COUNTIFS('Scores (start here)'!$A:$A,$B$1,'Scores (start here)'!$B:$B,$A18,'Scores (start here)'!$F:$F,"&gt;=0")&gt;0,SUMIFS('Scores (start here)'!$F:$F,'Scores (start here)'!$A:$A,$B$1,'Scores (start here)'!$B:$B,$A18),L18)</f>
        <v/>
      </c>
      <c r="K18" s="8" t="s">
        <v>1445</v>
      </c>
      <c r="L18" s="8" t="str">
        <f aca="false">IF($B18="NO","NA",IF(I18="","",MIN(I18,$B$6)))</f>
        <v/>
      </c>
    </row>
    <row r="19" customFormat="false" ht="15" hidden="false" customHeight="true" outlineLevel="0" collapsed="false">
      <c r="A19" s="8" t="s">
        <v>54</v>
      </c>
      <c r="B19" s="8" t="s">
        <v>853</v>
      </c>
      <c r="C19" s="8" t="s">
        <v>553</v>
      </c>
      <c r="D19" s="8" t="s">
        <v>1446</v>
      </c>
      <c r="E19" s="8" t="s">
        <v>1447</v>
      </c>
      <c r="F19" s="8" t="s">
        <v>1448</v>
      </c>
      <c r="G19" s="8" t="s">
        <v>1358</v>
      </c>
      <c r="H19" s="8" t="s">
        <v>554</v>
      </c>
      <c r="I19" s="15"/>
      <c r="J19" s="8" t="str">
        <f aca="false">IF(COUNTIFS('Scores (start here)'!$A:$A,$B$1,'Scores (start here)'!$B:$B,$A19,'Scores (start here)'!$F:$F,"&gt;=0")&gt;0,SUMIFS('Scores (start here)'!$F:$F,'Scores (start here)'!$A:$A,$B$1,'Scores (start here)'!$B:$B,$A19),L19)</f>
        <v/>
      </c>
      <c r="K19" s="12" t="s">
        <v>1449</v>
      </c>
      <c r="L19" s="8" t="str">
        <f aca="false">IF($B19="NO","NA",IF(I19="","",MIN(I19,$B$6)))</f>
        <v/>
      </c>
    </row>
  </sheetData>
  <dataValidations count="1">
    <dataValidation allowBlank="true" error="See the instruction above the 'Score' column." errorStyle="stop" operator="between" showDropDown="false" showErrorMessage="true" showInputMessage="false" sqref="I13:I19" type="decimal">
      <formula1>0</formula1>
      <formula2>10</formula2>
    </dataValidation>
  </dataValidations>
  <hyperlinks>
    <hyperlink ref="J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8" width="28"/>
    <col collapsed="false" customWidth="true" hidden="false" outlineLevel="0" max="2" min="2" style="8" width="10"/>
    <col collapsed="false" customWidth="true" hidden="false" outlineLevel="0" max="3" min="3" style="8" width="30"/>
    <col collapsed="false" customWidth="true" hidden="false" outlineLevel="0" max="8" min="8" style="8" width="10"/>
    <col collapsed="false" customWidth="true" hidden="false" outlineLevel="0" max="9" min="9" style="8" width="40"/>
  </cols>
  <sheetData>
    <row r="1" customFormat="false" ht="15" hidden="false" customHeight="true" outlineLevel="0" collapsed="false">
      <c r="A1" s="8" t="s">
        <v>836</v>
      </c>
      <c r="B1" s="8" t="s">
        <v>557</v>
      </c>
      <c r="C1" s="8" t="s">
        <v>837</v>
      </c>
      <c r="J1" s="13" t="s">
        <v>838</v>
      </c>
    </row>
    <row r="2" customFormat="false" ht="23.25" hidden="false" customHeight="true" outlineLevel="0" collapsed="false">
      <c r="A2" s="10" t="s">
        <v>589</v>
      </c>
      <c r="B2" s="4" t="str">
        <f aca="false">VLOOKUP($B$1,'PARASTATAL Questions'!$A:$J,3,0)&amp;""</f>
        <v>State Capacities</v>
      </c>
    </row>
    <row r="3" customFormat="false" ht="15" hidden="false" customHeight="true" outlineLevel="0" collapsed="false">
      <c r="A3" s="10" t="s">
        <v>622</v>
      </c>
      <c r="B3" s="4" t="str">
        <f aca="false">VLOOKUP($B$1,'PARASTATAL Questions'!$A:$J,2,0)&amp;""</f>
        <v>SC-7a</v>
      </c>
    </row>
    <row r="4" customFormat="false" ht="15" hidden="false" customHeight="true" outlineLevel="0" collapsed="false">
      <c r="A4" s="10" t="s">
        <v>590</v>
      </c>
      <c r="B4" s="4" t="str">
        <f aca="false">VLOOKUP($B$1,'PARASTATAL Questions'!$A:$J,4,0)&amp;""</f>
        <v>SQ</v>
      </c>
    </row>
    <row r="5" customFormat="false" ht="102" hidden="false" customHeight="true" outlineLevel="0" collapsed="false">
      <c r="A5" s="10" t="s">
        <v>0</v>
      </c>
      <c r="B5" s="4" t="str">
        <f aca="false">VLOOKUP($B$1,'PARASTATAL Questions'!$A:$J,5,0)&amp;""</f>
        <v>Does the parastatal have adequate staffing capacity to discharge its mandate?</v>
      </c>
    </row>
    <row r="6" customFormat="false" ht="15" hidden="false" customHeight="true" outlineLevel="0" collapsed="false">
      <c r="A6" s="10" t="s">
        <v>592</v>
      </c>
      <c r="B6" s="4" t="n">
        <f aca="false">VLOOKUP($B$1,'PARASTATAL Questions'!$A:$J,6,0)</f>
        <v>5</v>
      </c>
    </row>
    <row r="7" customFormat="false" ht="34.5" hidden="false" customHeight="true" outlineLevel="0" collapsed="false">
      <c r="A7" s="10" t="s">
        <v>591</v>
      </c>
      <c r="B7" s="4" t="str">
        <f aca="false">VLOOKUP($B$1,'PARASTATAL Questions'!$A:$J,7,0)&amp;""</f>
        <v>Implementation (Numeric)</v>
      </c>
    </row>
    <row r="8" customFormat="false" ht="45.75" hidden="false" customHeight="true" outlineLevel="0" collapsed="false">
      <c r="A8" s="10" t="s">
        <v>623</v>
      </c>
      <c r="B8" s="4" t="str">
        <f aca="false">VLOOKUP($B$1,'PARASTATAL Questions'!$A:$J,8,0)&amp;""</f>
        <v>Common — all parastatal types.</v>
      </c>
    </row>
    <row r="9" customFormat="false" ht="538.5" hidden="false" customHeight="true" outlineLevel="0" collapsed="false">
      <c r="A9" s="10" t="s">
        <v>624</v>
      </c>
      <c r="B9" s="4" t="str">
        <f aca="false">VLOOKUP($B$1,'PARASTATAL Questions'!$A:$J,9,0)&amp;""</f>
        <v>Collect the parastatal’s sanctioned and filled positions, including permanent and contractual staff where they form part of the approved staffing structure. Calculate the proportion of sanctioned positions that are filled.Score 5 – 90% or more of sanctioned positions filledScore 4 – 75%–89%Score 3 – 60%–74%Score 2 – 40%–59%Score 1 – below 40%Score 0 – no staffing data available / no evidence of sanctioned staffing structure</v>
      </c>
    </row>
    <row r="10" customFormat="false" ht="135.75" hidden="false" customHeight="true" outlineLevel="0" collapsed="false">
      <c r="A10" s="10" t="s">
        <v>625</v>
      </c>
      <c r="B10" s="4" t="str">
        <f aca="false">VLOOKUP($B$1,'PARASTATAL Questions'!$A:$J,10,0)&amp;""</f>
        <v>Staffing records on the website/ RTI  and/or formal data request with the parastatal/ annual report</v>
      </c>
    </row>
    <row r="11" customFormat="false" ht="15" hidden="false" customHeight="true" outlineLevel="0" collapsed="false">
      <c r="B11" s="14" t="s">
        <v>839</v>
      </c>
      <c r="I11" s="14" t="s">
        <v>840</v>
      </c>
      <c r="J11" s="14" t="s">
        <v>841</v>
      </c>
      <c r="L11" s="8" t="s">
        <v>842</v>
      </c>
    </row>
    <row r="12" customFormat="false" ht="51.75" hidden="false" customHeight="true" outlineLevel="0" collapsed="false">
      <c r="A12" s="1" t="s">
        <v>612</v>
      </c>
      <c r="B12" s="1" t="s">
        <v>843</v>
      </c>
      <c r="C12" s="1" t="s">
        <v>844</v>
      </c>
      <c r="D12" s="1" t="s">
        <v>845</v>
      </c>
      <c r="E12" s="1" t="s">
        <v>846</v>
      </c>
      <c r="F12" s="1" t="s">
        <v>847</v>
      </c>
      <c r="G12" s="1" t="s">
        <v>848</v>
      </c>
      <c r="H12" s="1" t="s">
        <v>14</v>
      </c>
      <c r="I12" s="1" t="s">
        <v>849</v>
      </c>
      <c r="J12" s="1" t="s">
        <v>850</v>
      </c>
      <c r="K12" s="1" t="s">
        <v>851</v>
      </c>
      <c r="L12" s="8" t="s">
        <v>852</v>
      </c>
    </row>
    <row r="13" customFormat="false" ht="15" hidden="false" customHeight="true" outlineLevel="0" collapsed="false">
      <c r="A13" s="8" t="s">
        <v>19</v>
      </c>
      <c r="B13" s="8" t="s">
        <v>853</v>
      </c>
      <c r="C13" s="8" t="s">
        <v>879</v>
      </c>
      <c r="D13" s="8" t="s">
        <v>1450</v>
      </c>
      <c r="E13" s="8" t="s">
        <v>1451</v>
      </c>
      <c r="F13" s="8" t="s">
        <v>1452</v>
      </c>
      <c r="G13" s="8" t="s">
        <v>1453</v>
      </c>
      <c r="H13" s="8" t="s">
        <v>884</v>
      </c>
      <c r="I13" s="15" t="n">
        <v>3</v>
      </c>
      <c r="J13" s="8" t="n">
        <f aca="false">IF(COUNTIFS('Scores (start here)'!$A:$A,$B$1,'Scores (start here)'!$B:$B,$A13,'Scores (start here)'!$F:$F,"&gt;=0")&gt;0,SUMIFS('Scores (start here)'!$F:$F,'Scores (start here)'!$A:$A,$B$1,'Scores (start here)'!$B:$B,$A13),L13)</f>
        <v>3</v>
      </c>
      <c r="K13" s="8" t="s">
        <v>1454</v>
      </c>
      <c r="L13" s="8" t="n">
        <f aca="false">IF($B13="NO","NA",IF(I13="","",MIN(I13,$B$6)))</f>
        <v>3</v>
      </c>
    </row>
    <row r="14" customFormat="false" ht="15" hidden="false" customHeight="true" outlineLevel="0" collapsed="false">
      <c r="A14" s="8" t="s">
        <v>28</v>
      </c>
      <c r="B14" s="8" t="s">
        <v>853</v>
      </c>
      <c r="I14" s="15"/>
      <c r="J14" s="8" t="str">
        <f aca="false">IF(COUNTIFS('Scores (start here)'!$A:$A,$B$1,'Scores (start here)'!$B:$B,$A14,'Scores (start here)'!$F:$F,"&gt;=0")&gt;0,SUMIFS('Scores (start here)'!$F:$F,'Scores (start here)'!$A:$A,$B$1,'Scores (start here)'!$B:$B,$A14),L14)</f>
        <v/>
      </c>
      <c r="K14" s="8" t="s">
        <v>1455</v>
      </c>
      <c r="L14" s="8" t="str">
        <f aca="false">IF($B14="NO","NA",IF(I14="","",MIN(I14,$B$6)))</f>
        <v/>
      </c>
    </row>
    <row r="15" customFormat="false" ht="15" hidden="false" customHeight="true" outlineLevel="0" collapsed="false">
      <c r="A15" s="8" t="s">
        <v>34</v>
      </c>
      <c r="B15" s="8" t="s">
        <v>853</v>
      </c>
      <c r="I15" s="15"/>
      <c r="J15" s="8" t="str">
        <f aca="false">IF(COUNTIFS('Scores (start here)'!$A:$A,$B$1,'Scores (start here)'!$B:$B,$A15,'Scores (start here)'!$F:$F,"&gt;=0")&gt;0,SUMIFS('Scores (start here)'!$F:$F,'Scores (start here)'!$A:$A,$B$1,'Scores (start here)'!$B:$B,$A15),L15)</f>
        <v/>
      </c>
      <c r="K15" s="8" t="s">
        <v>1456</v>
      </c>
      <c r="L15" s="8" t="str">
        <f aca="false">IF($B15="NO","NA",IF(I15="","",MIN(I15,$B$6)))</f>
        <v/>
      </c>
    </row>
    <row r="16" customFormat="false" ht="15" hidden="false" customHeight="true" outlineLevel="0" collapsed="false">
      <c r="A16" s="8" t="s">
        <v>40</v>
      </c>
      <c r="B16" s="8" t="s">
        <v>853</v>
      </c>
      <c r="I16" s="15"/>
      <c r="J16" s="8" t="str">
        <f aca="false">IF(COUNTIFS('Scores (start here)'!$A:$A,$B$1,'Scores (start here)'!$B:$B,$A16,'Scores (start here)'!$F:$F,"&gt;=0")&gt;0,SUMIFS('Scores (start here)'!$F:$F,'Scores (start here)'!$A:$A,$B$1,'Scores (start here)'!$B:$B,$A16),L16)</f>
        <v/>
      </c>
      <c r="K16" s="8" t="s">
        <v>1457</v>
      </c>
      <c r="L16" s="8" t="str">
        <f aca="false">IF($B16="NO","NA",IF(I16="","",MIN(I16,$B$6)))</f>
        <v/>
      </c>
    </row>
    <row r="17" customFormat="false" ht="236.25" hidden="false" customHeight="true" outlineLevel="0" collapsed="false">
      <c r="A17" s="8" t="s">
        <v>45</v>
      </c>
      <c r="B17" s="8" t="s">
        <v>853</v>
      </c>
      <c r="C17" s="8" t="s">
        <v>47</v>
      </c>
      <c r="D17" s="8" t="s">
        <v>1458</v>
      </c>
      <c r="E17" s="8" t="s">
        <v>1459</v>
      </c>
      <c r="F17" s="8" t="s">
        <v>1460</v>
      </c>
      <c r="G17" s="8" t="s">
        <v>862</v>
      </c>
      <c r="H17" s="8" t="s">
        <v>48</v>
      </c>
      <c r="I17" s="15"/>
      <c r="J17" s="8" t="str">
        <f aca="false">IF(COUNTIFS('Scores (start here)'!$A:$A,$B$1,'Scores (start here)'!$B:$B,$A17,'Scores (start here)'!$F:$F,"&gt;=0")&gt;0,SUMIFS('Scores (start here)'!$F:$F,'Scores (start here)'!$A:$A,$B$1,'Scores (start here)'!$B:$B,$A17),L17)</f>
        <v/>
      </c>
      <c r="K17" s="12" t="s">
        <v>1461</v>
      </c>
      <c r="L17" s="8" t="str">
        <f aca="false">IF($B17="NO","NA",IF(I17="","",MIN(I17,$B$6)))</f>
        <v/>
      </c>
    </row>
    <row r="18" customFormat="false" ht="15" hidden="false" customHeight="true" outlineLevel="0" collapsed="false">
      <c r="A18" s="8" t="s">
        <v>51</v>
      </c>
      <c r="B18" s="8" t="s">
        <v>853</v>
      </c>
      <c r="I18" s="15"/>
      <c r="J18" s="8" t="str">
        <f aca="false">IF(COUNTIFS('Scores (start here)'!$A:$A,$B$1,'Scores (start here)'!$B:$B,$A18,'Scores (start here)'!$F:$F,"&gt;=0")&gt;0,SUMIFS('Scores (start here)'!$F:$F,'Scores (start here)'!$A:$A,$B$1,'Scores (start here)'!$B:$B,$A18),L18)</f>
        <v/>
      </c>
      <c r="K18" s="8" t="s">
        <v>1462</v>
      </c>
      <c r="L18" s="8" t="str">
        <f aca="false">IF($B18="NO","NA",IF(I18="","",MIN(I18,$B$6)))</f>
        <v/>
      </c>
    </row>
    <row r="19" customFormat="false" ht="15" hidden="false" customHeight="true" outlineLevel="0" collapsed="false">
      <c r="A19" s="8" t="s">
        <v>54</v>
      </c>
      <c r="B19" s="8" t="s">
        <v>853</v>
      </c>
      <c r="I19" s="15"/>
      <c r="J19" s="8" t="str">
        <f aca="false">IF(COUNTIFS('Scores (start here)'!$A:$A,$B$1,'Scores (start here)'!$B:$B,$A19,'Scores (start here)'!$F:$F,"&gt;=0")&gt;0,SUMIFS('Scores (start here)'!$F:$F,'Scores (start here)'!$A:$A,$B$1,'Scores (start here)'!$B:$B,$A19),L19)</f>
        <v/>
      </c>
      <c r="K19" s="8" t="s">
        <v>1463</v>
      </c>
      <c r="L19" s="8" t="str">
        <f aca="false">IF($B19="NO","NA",IF(I19="","",MIN(I19,$B$6)))</f>
        <v/>
      </c>
    </row>
  </sheetData>
  <dataValidations count="1">
    <dataValidation allowBlank="true" error="See the instruction above the 'Score' column." errorStyle="stop" operator="between" showDropDown="false" showErrorMessage="true" showInputMessage="false" sqref="I13:I19" type="decimal">
      <formula1>0</formula1>
      <formula2>5</formula2>
    </dataValidation>
  </dataValidations>
  <hyperlinks>
    <hyperlink ref="J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BFBF"/>
    <pageSetUpPr fitToPage="false"/>
  </sheetPr>
  <dimension ref="A1:L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2" topLeftCell="B13" activePane="bottomRight" state="frozen"/>
      <selection pane="topLeft" activeCell="A1" activeCellId="0" sqref="A1"/>
      <selection pane="topRight" activeCell="B1" activeCellId="0" sqref="B1"/>
      <selection pane="bottomLeft" activeCell="A13" activeCellId="0" sqref="A13"/>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8" width="28"/>
    <col collapsed="false" customWidth="true" hidden="false" outlineLevel="0" max="2" min="2" style="8" width="10"/>
    <col collapsed="false" customWidth="true" hidden="false" outlineLevel="0" max="3" min="3" style="8" width="30"/>
    <col collapsed="false" customWidth="true" hidden="false" outlineLevel="0" max="8" min="8" style="8" width="10"/>
    <col collapsed="false" customWidth="true" hidden="false" outlineLevel="0" max="9" min="9" style="8" width="40"/>
  </cols>
  <sheetData>
    <row r="1" customFormat="false" ht="15" hidden="false" customHeight="true" outlineLevel="0" collapsed="false">
      <c r="A1" s="8" t="s">
        <v>836</v>
      </c>
      <c r="B1" s="8" t="s">
        <v>567</v>
      </c>
      <c r="C1" s="8" t="s">
        <v>837</v>
      </c>
      <c r="J1" s="13" t="s">
        <v>838</v>
      </c>
    </row>
    <row r="2" customFormat="false" ht="23.25" hidden="false" customHeight="true" outlineLevel="0" collapsed="false">
      <c r="A2" s="10" t="s">
        <v>589</v>
      </c>
      <c r="B2" s="4" t="str">
        <f aca="false">VLOOKUP($B$1,'PARASTATAL Questions'!$A:$J,3,0)&amp;""</f>
        <v>State Capacities</v>
      </c>
    </row>
    <row r="3" customFormat="false" ht="15" hidden="false" customHeight="true" outlineLevel="0" collapsed="false">
      <c r="A3" s="10" t="s">
        <v>622</v>
      </c>
      <c r="B3" s="4" t="str">
        <f aca="false">VLOOKUP($B$1,'PARASTATAL Questions'!$A:$J,2,0)&amp;""</f>
        <v>SC-7b</v>
      </c>
    </row>
    <row r="4" customFormat="false" ht="15" hidden="false" customHeight="true" outlineLevel="0" collapsed="false">
      <c r="A4" s="10" t="s">
        <v>590</v>
      </c>
      <c r="B4" s="4" t="str">
        <f aca="false">VLOOKUP($B$1,'PARASTATAL Questions'!$A:$J,4,0)&amp;""</f>
        <v>SQ</v>
      </c>
    </row>
    <row r="5" customFormat="false" ht="79.5" hidden="false" customHeight="true" outlineLevel="0" collapsed="false">
      <c r="A5" s="10" t="s">
        <v>0</v>
      </c>
      <c r="B5" s="4" t="str">
        <f aca="false">VLOOKUP($B$1,'PARASTATAL Questions'!$A:$J,5,0)&amp;""</f>
        <v>What proportion of the parastatal's workforce is women?</v>
      </c>
    </row>
    <row r="6" customFormat="false" ht="15" hidden="false" customHeight="true" outlineLevel="0" collapsed="false">
      <c r="A6" s="10" t="s">
        <v>592</v>
      </c>
      <c r="B6" s="4" t="n">
        <f aca="false">VLOOKUP($B$1,'PARASTATAL Questions'!$A:$J,6,0)</f>
        <v>5</v>
      </c>
    </row>
    <row r="7" customFormat="false" ht="34.5" hidden="false" customHeight="true" outlineLevel="0" collapsed="false">
      <c r="A7" s="10" t="s">
        <v>591</v>
      </c>
      <c r="B7" s="4" t="str">
        <f aca="false">VLOOKUP($B$1,'PARASTATAL Questions'!$A:$J,7,0)&amp;""</f>
        <v>Implementation (Numeric)</v>
      </c>
    </row>
    <row r="8" customFormat="false" ht="45.75" hidden="false" customHeight="true" outlineLevel="0" collapsed="false">
      <c r="A8" s="10" t="s">
        <v>623</v>
      </c>
      <c r="B8" s="4" t="str">
        <f aca="false">VLOOKUP($B$1,'PARASTATAL Questions'!$A:$J,8,0)&amp;""</f>
        <v>Common — all parastatal types.</v>
      </c>
    </row>
    <row r="9" customFormat="false" ht="684" hidden="false" customHeight="true" outlineLevel="0" collapsed="false">
      <c r="A9" s="10" t="s">
        <v>624</v>
      </c>
      <c r="B9" s="4" t="str">
        <f aca="false">VLOOKUP($B$1,'PARASTATAL Questions'!$A:$J,9,0)&amp;""</f>
        <v>Compute women employees as a proportion of total filled posts using the latest available staffing data. % women in workforce = (Number of women employees ÷ Total filled posts) × 100, using the latest available staffing data.Scoring bands:Score 5 — women constitute ≥33% of the workforceScore 2.5 — women constitute 15–32% of the workforceScore 0 — women constitute &lt;15% of the workforceAlso record, wherever available, the proportion of women in senior/decision-making positions and technical/professional cadres.</v>
      </c>
    </row>
    <row r="10" customFormat="false" ht="135.75" hidden="false" customHeight="true" outlineLevel="0" collapsed="false">
      <c r="A10" s="10" t="s">
        <v>625</v>
      </c>
      <c r="B10" s="4" t="str">
        <f aca="false">VLOOKUP($B$1,'PARASTATAL Questions'!$A:$J,10,0)&amp;""</f>
        <v>Staffing records on the website/ RTI  and/or formal data request with the parastatal/ annual report</v>
      </c>
    </row>
    <row r="11" customFormat="false" ht="15" hidden="false" customHeight="true" outlineLevel="0" collapsed="false">
      <c r="B11" s="14" t="s">
        <v>839</v>
      </c>
      <c r="I11" s="14" t="s">
        <v>840</v>
      </c>
      <c r="J11" s="14" t="s">
        <v>841</v>
      </c>
      <c r="L11" s="8" t="s">
        <v>842</v>
      </c>
    </row>
    <row r="12" customFormat="false" ht="51.75" hidden="false" customHeight="true" outlineLevel="0" collapsed="false">
      <c r="A12" s="1" t="s">
        <v>612</v>
      </c>
      <c r="B12" s="1" t="s">
        <v>843</v>
      </c>
      <c r="C12" s="1" t="s">
        <v>844</v>
      </c>
      <c r="D12" s="1" t="s">
        <v>845</v>
      </c>
      <c r="E12" s="1" t="s">
        <v>846</v>
      </c>
      <c r="F12" s="1" t="s">
        <v>847</v>
      </c>
      <c r="G12" s="1" t="s">
        <v>848</v>
      </c>
      <c r="H12" s="1" t="s">
        <v>14</v>
      </c>
      <c r="I12" s="1" t="s">
        <v>849</v>
      </c>
      <c r="J12" s="1" t="s">
        <v>850</v>
      </c>
      <c r="K12" s="1" t="s">
        <v>851</v>
      </c>
      <c r="L12" s="8" t="s">
        <v>852</v>
      </c>
    </row>
    <row r="13" customFormat="false" ht="15" hidden="false" customHeight="true" outlineLevel="0" collapsed="false">
      <c r="A13" s="8" t="s">
        <v>19</v>
      </c>
      <c r="B13" s="8" t="s">
        <v>853</v>
      </c>
      <c r="I13" s="15"/>
      <c r="J13" s="8" t="str">
        <f aca="false">IF(COUNTIFS('Scores (start here)'!$A:$A,$B$1,'Scores (start here)'!$B:$B,$A13,'Scores (start here)'!$F:$F,"&gt;=0")&gt;0,SUMIFS('Scores (start here)'!$F:$F,'Scores (start here)'!$A:$A,$B$1,'Scores (start here)'!$B:$B,$A13),L13)</f>
        <v/>
      </c>
      <c r="K13" s="8" t="s">
        <v>1464</v>
      </c>
      <c r="L13" s="8" t="str">
        <f aca="false">IF($B13="NO","NA",IF(I13="","",MIN(I13,$B$6)))</f>
        <v/>
      </c>
    </row>
    <row r="14" customFormat="false" ht="15" hidden="false" customHeight="true" outlineLevel="0" collapsed="false">
      <c r="A14" s="8" t="s">
        <v>28</v>
      </c>
      <c r="B14" s="8" t="s">
        <v>853</v>
      </c>
      <c r="I14" s="15"/>
      <c r="J14" s="8" t="str">
        <f aca="false">IF(COUNTIFS('Scores (start here)'!$A:$A,$B$1,'Scores (start here)'!$B:$B,$A14,'Scores (start here)'!$F:$F,"&gt;=0")&gt;0,SUMIFS('Scores (start here)'!$F:$F,'Scores (start here)'!$A:$A,$B$1,'Scores (start here)'!$B:$B,$A14),L14)</f>
        <v/>
      </c>
      <c r="K14" s="8" t="s">
        <v>1465</v>
      </c>
      <c r="L14" s="8" t="str">
        <f aca="false">IF($B14="NO","NA",IF(I14="","",MIN(I14,$B$6)))</f>
        <v/>
      </c>
    </row>
    <row r="15" customFormat="false" ht="15" hidden="false" customHeight="true" outlineLevel="0" collapsed="false">
      <c r="A15" s="8" t="s">
        <v>34</v>
      </c>
      <c r="B15" s="8" t="s">
        <v>853</v>
      </c>
      <c r="I15" s="15"/>
      <c r="J15" s="8" t="str">
        <f aca="false">IF(COUNTIFS('Scores (start here)'!$A:$A,$B$1,'Scores (start here)'!$B:$B,$A15,'Scores (start here)'!$F:$F,"&gt;=0")&gt;0,SUMIFS('Scores (start here)'!$F:$F,'Scores (start here)'!$A:$A,$B$1,'Scores (start here)'!$B:$B,$A15),L15)</f>
        <v/>
      </c>
      <c r="K15" s="8" t="s">
        <v>1466</v>
      </c>
      <c r="L15" s="8" t="str">
        <f aca="false">IF($B15="NO","NA",IF(I15="","",MIN(I15,$B$6)))</f>
        <v/>
      </c>
    </row>
    <row r="16" customFormat="false" ht="15" hidden="false" customHeight="true" outlineLevel="0" collapsed="false">
      <c r="A16" s="8" t="s">
        <v>40</v>
      </c>
      <c r="B16" s="8" t="s">
        <v>853</v>
      </c>
      <c r="I16" s="15"/>
      <c r="J16" s="8" t="str">
        <f aca="false">IF(COUNTIFS('Scores (start here)'!$A:$A,$B$1,'Scores (start here)'!$B:$B,$A16,'Scores (start here)'!$F:$F,"&gt;=0")&gt;0,SUMIFS('Scores (start here)'!$F:$F,'Scores (start here)'!$A:$A,$B$1,'Scores (start here)'!$B:$B,$A16),L16)</f>
        <v/>
      </c>
      <c r="K16" s="8" t="s">
        <v>1467</v>
      </c>
      <c r="L16" s="8" t="str">
        <f aca="false">IF($B16="NO","NA",IF(I16="","",MIN(I16,$B$6)))</f>
        <v/>
      </c>
    </row>
    <row r="17" customFormat="false" ht="15" hidden="false" customHeight="true" outlineLevel="0" collapsed="false">
      <c r="A17" s="8" t="s">
        <v>45</v>
      </c>
      <c r="B17" s="8" t="s">
        <v>853</v>
      </c>
      <c r="C17" s="8" t="s">
        <v>47</v>
      </c>
      <c r="D17" s="8" t="s">
        <v>1468</v>
      </c>
      <c r="E17" s="8" t="s">
        <v>1469</v>
      </c>
      <c r="G17" s="8" t="s">
        <v>862</v>
      </c>
      <c r="H17" s="8" t="s">
        <v>48</v>
      </c>
      <c r="I17" s="15"/>
      <c r="J17" s="8" t="str">
        <f aca="false">IF(COUNTIFS('Scores (start here)'!$A:$A,$B$1,'Scores (start here)'!$B:$B,$A17,'Scores (start here)'!$F:$F,"&gt;=0")&gt;0,SUMIFS('Scores (start here)'!$F:$F,'Scores (start here)'!$A:$A,$B$1,'Scores (start here)'!$B:$B,$A17),L17)</f>
        <v/>
      </c>
      <c r="K17" s="12" t="s">
        <v>1470</v>
      </c>
      <c r="L17" s="8" t="str">
        <f aca="false">IF($B17="NO","NA",IF(I17="","",MIN(I17,$B$6)))</f>
        <v/>
      </c>
    </row>
    <row r="18" customFormat="false" ht="15" hidden="false" customHeight="true" outlineLevel="0" collapsed="false">
      <c r="A18" s="8" t="s">
        <v>51</v>
      </c>
      <c r="B18" s="8" t="s">
        <v>853</v>
      </c>
      <c r="I18" s="15"/>
      <c r="J18" s="8" t="str">
        <f aca="false">IF(COUNTIFS('Scores (start here)'!$A:$A,$B$1,'Scores (start here)'!$B:$B,$A18,'Scores (start here)'!$F:$F,"&gt;=0")&gt;0,SUMIFS('Scores (start here)'!$F:$F,'Scores (start here)'!$A:$A,$B$1,'Scores (start here)'!$B:$B,$A18),L18)</f>
        <v/>
      </c>
      <c r="K18" s="8" t="s">
        <v>1471</v>
      </c>
      <c r="L18" s="8" t="str">
        <f aca="false">IF($B18="NO","NA",IF(I18="","",MIN(I18,$B$6)))</f>
        <v/>
      </c>
    </row>
    <row r="19" customFormat="false" ht="15" hidden="false" customHeight="true" outlineLevel="0" collapsed="false">
      <c r="A19" s="8" t="s">
        <v>54</v>
      </c>
      <c r="B19" s="8" t="s">
        <v>853</v>
      </c>
      <c r="I19" s="15"/>
      <c r="J19" s="8" t="str">
        <f aca="false">IF(COUNTIFS('Scores (start here)'!$A:$A,$B$1,'Scores (start here)'!$B:$B,$A19,'Scores (start here)'!$F:$F,"&gt;=0")&gt;0,SUMIFS('Scores (start here)'!$F:$F,'Scores (start here)'!$A:$A,$B$1,'Scores (start here)'!$B:$B,$A19),L19)</f>
        <v/>
      </c>
      <c r="K19" s="8" t="s">
        <v>1472</v>
      </c>
      <c r="L19" s="8" t="str">
        <f aca="false">IF($B19="NO","NA",IF(I19="","",MIN(I19,$B$6)))</f>
        <v/>
      </c>
    </row>
  </sheetData>
  <dataValidations count="1">
    <dataValidation allowBlank="true" error="See the instruction above the 'Score' column." errorStyle="stop" operator="between" showDropDown="false" showErrorMessage="true" showInputMessage="false" sqref="I13:I19" type="decimal">
      <formula1>0</formula1>
      <formula2>5</formula2>
    </dataValidation>
  </dataValidations>
  <hyperlinks>
    <hyperlink ref="J1" location="'Scores (start here)'!A1" display="← Back to Scores (start here)"/>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LibreOffice/26.8.1.1$MacOSX_AARCH64 LibreOffice_project/bf6ef2662401c7d6dce671ab4deb26ee0af3a7c1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2026-10-08T11:34:51Z</dcterms:created>
  <dc:creator>openpyxl</dc:creator>
  <dc:description/>
  <dc:language>en-IN</dc:language>
  <cp:lastModifiedBy/>
  <dcterms:modified xsi:type="dcterms:W3CDTF">2026-10-14T08:33:32Z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