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25.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5.xml" ContentType="application/vnd.openxmlformats-officedocument.spreadsheetml.worksheet+xml"/>
  <Override PartName="/xl/worksheets/sheet28.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69.xml" ContentType="application/vnd.openxmlformats-officedocument.spreadsheetml.worksheet+xml"/>
  <Override PartName="/xl/worksheets/sheet8.xml" ContentType="application/vnd.openxmlformats-officedocument.spreadsheetml.worksheet+xml"/>
  <Override PartName="/xl/worksheets/sheet60.xml" ContentType="application/vnd.openxmlformats-officedocument.spreadsheetml.worksheet+xml"/>
  <Override PartName="/xl/worksheets/sheet13.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79.xml" ContentType="application/vnd.openxmlformats-officedocument.spreadsheetml.worksheet+xml"/>
  <Override PartName="/xl/worksheets/sheet2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1.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35.xml" ContentType="application/vnd.openxmlformats-officedocument.spreadsheetml.worksheet+xml"/>
  <Override PartName="/xl/worksheets/sheet29.xml" ContentType="application/vnd.openxmlformats-officedocument.spreadsheetml.worksheet+xml"/>
  <Override PartName="/xl/worksheets/sheet37.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2.xml" ContentType="application/vnd.openxmlformats-officedocument.spreadsheetml.worksheet+xml"/>
  <Override PartName="/xl/worksheets/sheet38.xml" ContentType="application/vnd.openxmlformats-officedocument.spreadsheetml.worksheet+xml"/>
  <Override PartName="/xl/worksheets/sheet36.xml" ContentType="application/vnd.openxmlformats-officedocument.spreadsheetml.worksheet+xml"/>
  <Override PartName="/xl/worksheets/sheet3.xml" ContentType="application/vnd.openxmlformats-officedocument.spreadsheetml.worksheet+xml"/>
  <Override PartName="/xl/worksheets/sheet77.xml" ContentType="application/vnd.openxmlformats-officedocument.spreadsheetml.worksheet+xml"/>
  <Override PartName="/xl/worksheets/sheet40.xml" ContentType="application/vnd.openxmlformats-officedocument.spreadsheetml.worksheet+xml"/>
  <Override PartName="/xl/worksheets/sheet42.xml" ContentType="application/vnd.openxmlformats-officedocument.spreadsheetml.worksheet+xml"/>
  <Override PartName="/xl/worksheets/sheet32.xml" ContentType="application/vnd.openxmlformats-officedocument.spreadsheetml.worksheet+xml"/>
  <Override PartName="/xl/worksheets/sheet46.xml" ContentType="application/vnd.openxmlformats-officedocument.spreadsheetml.worksheet+xml"/>
  <Override PartName="/xl/worksheets/sheet43.xml" ContentType="application/vnd.openxmlformats-officedocument.spreadsheetml.worksheet+xml"/>
  <Override PartName="/xl/worksheets/sheet63.xml" ContentType="application/vnd.openxmlformats-officedocument.spreadsheetml.worksheet+xml"/>
  <Override PartName="/xl/worksheets/sheet48.xml" ContentType="application/vnd.openxmlformats-officedocument.spreadsheetml.worksheet+xml"/>
  <Override PartName="/xl/worksheets/sheet50.xml" ContentType="application/vnd.openxmlformats-officedocument.spreadsheetml.worksheet+xml"/>
  <Override PartName="/xl/worksheets/sheet72.xml" ContentType="application/vnd.openxmlformats-officedocument.spreadsheetml.worksheet+xml"/>
  <Override PartName="/xl/worksheets/sheet65.xml" ContentType="application/vnd.openxmlformats-officedocument.spreadsheetml.worksheet+xml"/>
  <Override PartName="/xl/worksheets/sheet51.xml" ContentType="application/vnd.openxmlformats-officedocument.spreadsheetml.worksheet+xml"/>
  <Override PartName="/xl/worksheets/sheet55.xml" ContentType="application/vnd.openxmlformats-officedocument.spreadsheetml.worksheet+xml"/>
  <Override PartName="/xl/worksheets/sheet19.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62.xml" ContentType="application/vnd.openxmlformats-officedocument.spreadsheetml.worksheet+xml"/>
  <Override PartName="/xl/worksheets/sheet5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worksheets/sheet61.xml" ContentType="application/vnd.openxmlformats-officedocument.spreadsheetml.worksheet+xml"/>
  <Override PartName="/xl/worksheets/sheet71.xml" ContentType="application/vnd.openxmlformats-officedocument.spreadsheetml.worksheet+xml"/>
  <Override PartName="/xl/worksheets/sheet66.xml" ContentType="application/vnd.openxmlformats-officedocument.spreadsheetml.worksheet+xml"/>
  <Override PartName="/xl/worksheets/sheet53.xml" ContentType="application/vnd.openxmlformats-officedocument.spreadsheetml.worksheet+xml"/>
  <Override PartName="/xl/worksheets/sheet9.xml" ContentType="application/vnd.openxmlformats-officedocument.spreadsheetml.worksheet+xml"/>
  <Override PartName="/xl/worksheets/sheet67.xml" ContentType="application/vnd.openxmlformats-officedocument.spreadsheetml.worksheet+xml"/>
  <Override PartName="/xl/worksheets/sheet59.xml" ContentType="application/vnd.openxmlformats-officedocument.spreadsheetml.worksheet+xml"/>
  <Override PartName="/xl/worksheets/sheet15.xml" ContentType="application/vnd.openxmlformats-officedocument.spreadsheetml.worksheet+xml"/>
  <Override PartName="/xl/worksheets/sheet39.xml" ContentType="application/vnd.openxmlformats-officedocument.spreadsheetml.worksheet+xml"/>
  <Override PartName="/xl/worksheets/sheet6.xml" ContentType="application/vnd.openxmlformats-officedocument.spreadsheetml.worksheet+xml"/>
  <Override PartName="/xl/worksheets/sheet41.xml" ContentType="application/vnd.openxmlformats-officedocument.spreadsheetml.worksheet+xml"/>
  <Override PartName="/xl/worksheets/sheet76.xml" ContentType="application/vnd.openxmlformats-officedocument.spreadsheetml.worksheet+xml"/>
  <Override PartName="/xl/worksheets/sheet12.xml" ContentType="application/vnd.openxmlformats-officedocument.spreadsheetml.worksheet+xml"/>
  <Override PartName="/xl/worksheets/sheet73.xml" ContentType="application/vnd.openxmlformats-officedocument.spreadsheetml.worksheet+xml"/>
  <Override PartName="/xl/worksheets/sheet68.xml" ContentType="application/vnd.openxmlformats-officedocument.spreadsheetml.worksheet+xml"/>
  <Override PartName="/xl/worksheets/sheet74.xml" ContentType="application/vnd.openxmlformats-officedocument.spreadsheetml.worksheet+xml"/>
  <Override PartName="/xl/worksheets/sheet44.xml" ContentType="application/vnd.openxmlformats-officedocument.spreadsheetml.worksheet+xml"/>
  <Override PartName="/xl/worksheets/sheet56.xml" ContentType="application/vnd.openxmlformats-officedocument.spreadsheetml.worksheet+xml"/>
  <Override PartName="/xl/worksheets/sheet70.xml" ContentType="application/vnd.openxmlformats-officedocument.spreadsheetml.worksheet+xml"/>
  <Override PartName="/xl/worksheets/sheet75.xml" ContentType="application/vnd.openxmlformats-officedocument.spreadsheetml.worksheet+xml"/>
  <Override PartName="/xl/worksheets/sheet54.xml" ContentType="application/vnd.openxmlformats-officedocument.spreadsheetml.worksheet+xml"/>
  <Override PartName="/xl/worksheets/sheet64.xml" ContentType="application/vnd.openxmlformats-officedocument.spreadsheetml.worksheet+xml"/>
  <Override PartName="/xl/worksheets/sheet45.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47.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PD Questions_290926 " sheetId="1" state="visible" r:id="rId3"/>
    <sheet name="UPD_SUMMARY_RAW" sheetId="2" state="visible" r:id="rId4"/>
    <sheet name="UPD Questions_240926  (2)" sheetId="3" state="hidden" r:id="rId5"/>
    <sheet name="Sheet1" sheetId="4" state="hidden" r:id="rId6"/>
    <sheet name="UPD Questions_230926 " sheetId="5" state="hidden" r:id="rId7"/>
    <sheet name="UPD1" sheetId="6" state="visible" r:id="rId8"/>
    <sheet name="UPD2" sheetId="7" state="visible" r:id="rId9"/>
    <sheet name="UPD3a" sheetId="8" state="visible" r:id="rId10"/>
    <sheet name="UPD3b" sheetId="9" state="visible" r:id="rId11"/>
    <sheet name="UPD3c" sheetId="10" state="visible" r:id="rId12"/>
    <sheet name="UPD4" sheetId="11" state="visible" r:id="rId13"/>
    <sheet name="UPD5a" sheetId="12" state="visible" r:id="rId14"/>
    <sheet name="UPD5b" sheetId="13" state="visible" r:id="rId15"/>
    <sheet name="UPD5c" sheetId="14" state="visible" r:id="rId16"/>
    <sheet name="UPD6" sheetId="15" state="visible" r:id="rId17"/>
    <sheet name="UPD7a" sheetId="16" state="visible" r:id="rId18"/>
    <sheet name="UPD7b" sheetId="17" state="visible" r:id="rId19"/>
    <sheet name="UPD8" sheetId="18" state="visible" r:id="rId20"/>
    <sheet name="UPD9" sheetId="19" state="visible" r:id="rId21"/>
    <sheet name="UPD10" sheetId="20" state="visible" r:id="rId22"/>
    <sheet name="UPD11a" sheetId="21" state="visible" r:id="rId23"/>
    <sheet name="UPD11b" sheetId="22" state="visible" r:id="rId24"/>
    <sheet name="UPD12" sheetId="23" state="visible" r:id="rId25"/>
    <sheet name="UPD13a" sheetId="24" state="visible" r:id="rId26"/>
    <sheet name="UPD13b" sheetId="25" state="visible" r:id="rId27"/>
    <sheet name="UPD13c" sheetId="26" state="visible" r:id="rId28"/>
    <sheet name="UPD13d" sheetId="27" state="visible" r:id="rId29"/>
    <sheet name="UPD13e" sheetId="28" state="visible" r:id="rId30"/>
    <sheet name="UPD13f" sheetId="29" state="visible" r:id="rId31"/>
    <sheet name="UPD14a" sheetId="30" state="visible" r:id="rId32"/>
    <sheet name="UPD14b" sheetId="31" state="visible" r:id="rId33"/>
    <sheet name="UPD14c" sheetId="32" state="visible" r:id="rId34"/>
    <sheet name="UPD15" sheetId="33" state="visible" r:id="rId35"/>
    <sheet name="UPD16a" sheetId="34" state="visible" r:id="rId36"/>
    <sheet name="UPD16b" sheetId="35" state="visible" r:id="rId37"/>
    <sheet name="UPD17" sheetId="36" state="visible" r:id="rId38"/>
    <sheet name="UPD18" sheetId="37" state="visible" r:id="rId39"/>
    <sheet name="UPD19a" sheetId="38" state="visible" r:id="rId40"/>
    <sheet name="UPD19b" sheetId="39" state="visible" r:id="rId41"/>
    <sheet name="UPD20a" sheetId="40" state="visible" r:id="rId42"/>
    <sheet name="UPD20b" sheetId="41" state="visible" r:id="rId43"/>
    <sheet name="UPD20c" sheetId="42" state="visible" r:id="rId44"/>
    <sheet name="UPD21" sheetId="43" state="visible" r:id="rId45"/>
    <sheet name="UPD22" sheetId="44" state="visible" r:id="rId46"/>
    <sheet name="UPD23a" sheetId="45" state="visible" r:id="rId47"/>
    <sheet name="UPD23b" sheetId="46" state="visible" r:id="rId48"/>
    <sheet name="UPD23c" sheetId="47" state="visible" r:id="rId49"/>
    <sheet name="UPD24a" sheetId="48" state="visible" r:id="rId50"/>
    <sheet name="UPD24b" sheetId="49" state="visible" r:id="rId51"/>
    <sheet name="UPD24c" sheetId="50" state="visible" r:id="rId52"/>
    <sheet name="UPD25a" sheetId="51" state="visible" r:id="rId53"/>
    <sheet name="UPD25b" sheetId="52" state="visible" r:id="rId54"/>
    <sheet name="UPD25c" sheetId="53" state="visible" r:id="rId55"/>
    <sheet name="UPD26a" sheetId="54" state="visible" r:id="rId56"/>
    <sheet name="UPD26b" sheetId="55" state="visible" r:id="rId57"/>
    <sheet name="UPD26c" sheetId="56" state="visible" r:id="rId58"/>
    <sheet name="UPD27a" sheetId="57" state="visible" r:id="rId59"/>
    <sheet name="UPD27b" sheetId="58" state="visible" r:id="rId60"/>
    <sheet name="UPD28a" sheetId="59" state="visible" r:id="rId61"/>
    <sheet name="UPD28b" sheetId="60" state="visible" r:id="rId62"/>
    <sheet name="UPD28c" sheetId="61" state="visible" r:id="rId63"/>
    <sheet name="UPD28d" sheetId="62" state="visible" r:id="rId64"/>
    <sheet name="UPD29a" sheetId="63" state="visible" r:id="rId65"/>
    <sheet name="UPD29b" sheetId="64" state="visible" r:id="rId66"/>
    <sheet name="UPD30a" sheetId="65" state="visible" r:id="rId67"/>
    <sheet name="UPD30b" sheetId="66" state="visible" r:id="rId68"/>
    <sheet name="UPD31" sheetId="67" state="visible" r:id="rId69"/>
    <sheet name="UPD32a" sheetId="68" state="visible" r:id="rId70"/>
    <sheet name="UPD32b" sheetId="69" state="visible" r:id="rId71"/>
    <sheet name="UPD32c" sheetId="70" state="visible" r:id="rId72"/>
    <sheet name="UPD32d" sheetId="71" state="visible" r:id="rId73"/>
    <sheet name="UPD32e" sheetId="72" state="visible" r:id="rId74"/>
    <sheet name="UPD33a" sheetId="73" state="visible" r:id="rId75"/>
    <sheet name="UPD33b" sheetId="74" state="visible" r:id="rId76"/>
    <sheet name="UPD34" sheetId="75" state="visible" r:id="rId77"/>
    <sheet name="UPD35" sheetId="76" state="visible" r:id="rId78"/>
    <sheet name="UPD36" sheetId="77" state="visible" r:id="rId79"/>
    <sheet name="UPD37" sheetId="78" state="visible" r:id="rId80"/>
    <sheet name="UPD38a" sheetId="79" state="visible" r:id="rId81"/>
    <sheet name="UPD38b" sheetId="80" state="visible" r:id="rId82"/>
    <sheet name="UPD39" sheetId="81" state="visible" r:id="rId83"/>
  </sheets>
  <definedNames>
    <definedName function="false" hidden="true" localSheetId="2" name="_xlnm._FilterDatabase" vbProcedure="false">'UPD Questions_240926  (2)'!$A$1:$N$109</definedName>
    <definedName function="false" hidden="true" localSheetId="0" name="_xlnm._FilterDatabase" vbProcedure="false">'UPD Questions_290926 '!$A$1:$N$106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<sst xmlns="http://schemas.openxmlformats.org/spreadsheetml/2006/main" count="7876" uniqueCount="882">
  <si>
    <t xml:space="preserve">S_No</t>
  </si>
  <si>
    <t xml:space="preserve">ASICS_2017_Report_Q_No</t>
  </si>
  <si>
    <t xml:space="preserve">ASICS 2023 Question number</t>
  </si>
  <si>
    <t xml:space="preserve">New City-Systems</t>
  </si>
  <si>
    <t xml:space="preserve">ASICS 2027_Report_Q No</t>
  </si>
  <si>
    <t xml:space="preserve">Group</t>
  </si>
  <si>
    <t xml:space="preserve">Thematic questions</t>
  </si>
  <si>
    <t xml:space="preserve">Sub-themes</t>
  </si>
  <si>
    <t xml:space="preserve">Question</t>
  </si>
  <si>
    <t xml:space="preserve">MQ_SQ</t>
  </si>
  <si>
    <t xml:space="preserve">Max Score</t>
  </si>
  <si>
    <t xml:space="preserve">Assessment level</t>
  </si>
  <si>
    <t xml:space="preserve">Detailed Methodology</t>
  </si>
  <si>
    <t xml:space="preserve">Notes for scorers</t>
  </si>
  <si>
    <t xml:space="preserve">1</t>
  </si>
  <si>
    <t xml:space="preserve">UPD1</t>
  </si>
  <si>
    <t xml:space="preserve">UPD</t>
  </si>
  <si>
    <t xml:space="preserve">Planning </t>
  </si>
  <si>
    <t xml:space="preserve">Legal and institutional planning architecture
</t>
  </si>
  <si>
    <t xml:space="preserve">State-level planning framework</t>
  </si>
  <si>
    <t xml:space="preserve">Is there a provision for a State Spatial Planning Board which is mandated with planning policies and reforms for the state?</t>
  </si>
  <si>
    <t xml:space="preserve">MQ</t>
  </si>
  <si>
    <t xml:space="preserve">Law or Policy</t>
  </si>
  <si>
    <t xml:space="preserve">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
Part B - If Part A is scored as 'Yes', check whether the body has an explicit mandate to advise on or formulate state-level spatial planning policies and reforms. if yes, score 5. 
</t>
  </si>
  <si>
    <t xml:space="preserve">Please note that the name of the body need not be identical, provided its statutory functions correspond to the intent of the question.</t>
  </si>
  <si>
    <t xml:space="preserve">2</t>
  </si>
  <si>
    <t xml:space="preserve">UPD9</t>
  </si>
  <si>
    <t xml:space="preserve">UPD6</t>
  </si>
  <si>
    <t xml:space="preserve">UPD2</t>
  </si>
  <si>
    <t xml:space="preserve">Is there a provision for the establishment of Planning Authorities for notified new towns or special developments?</t>
  </si>
  <si>
    <t xml:space="preserve">Check if the T&amp;CP Act has provisions for establishing a planning authority for new areas/towns notified. The state can also be considered, if the provision mandates the existing planning authority to develop a plan for the notified new area. </t>
  </si>
  <si>
    <t xml:space="preserve">3</t>
  </si>
  <si>
    <t xml:space="preserve">UPD3</t>
  </si>
  <si>
    <t xml:space="preserve">Spatial planning hierarchy</t>
  </si>
  <si>
    <t xml:space="preserve">Does the Act require three levels of spatial plans for cities: Metropolitan/Regional, Municipal and Ward(s) /Local</t>
  </si>
  <si>
    <t xml:space="preserve">The T&amp;CP Act should mandate three levels of spatial plans. </t>
  </si>
  <si>
    <t xml:space="preserve">3a</t>
  </si>
  <si>
    <t xml:space="preserve">UPD2a</t>
  </si>
  <si>
    <t xml:space="preserve">UPD3a</t>
  </si>
  <si>
    <t xml:space="preserve">Metropolitan/ Regional Plan</t>
  </si>
  <si>
    <t xml:space="preserve">SQ</t>
  </si>
  <si>
    <t xml:space="preserve">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t>
  </si>
  <si>
    <t xml:space="preserve">3b</t>
  </si>
  <si>
    <t xml:space="preserve">UPD2b</t>
  </si>
  <si>
    <t xml:space="preserve">UPD3b</t>
  </si>
  <si>
    <t xml:space="preserve">Municipal/city plan</t>
  </si>
  <si>
    <t xml:space="preserve">Check the T&amp;CP Act for provisions that mandate the creation of a municipal/city plan. Relevant urban areas development authority act can also be considered for evidence. </t>
  </si>
  <si>
    <t xml:space="preserve">3c</t>
  </si>
  <si>
    <t xml:space="preserve">UPD2c</t>
  </si>
  <si>
    <t xml:space="preserve">UPD3c</t>
  </si>
  <si>
    <t xml:space="preserve">Ward(s)/local plan</t>
  </si>
  <si>
    <t xml:space="preserve">Check the T&amp;CP Act for provisions that mandate the creation of a third tier of plan at the zone/ward level. Town planning schemes that are developed within the framework of the municipal/city plan shall not be considered. </t>
  </si>
  <si>
    <t xml:space="preserve">Note: Please capture in the comments if the mandate is for a zonal/ward/local area plan, mention the type.</t>
  </si>
  <si>
    <t xml:space="preserve">4</t>
  </si>
  <si>
    <t xml:space="preserve">NA</t>
  </si>
  <si>
    <t xml:space="preserve">UPD4</t>
  </si>
  <si>
    <t xml:space="preserve">Is the planning boundary of the municipal/city plan aligned with political and administrative boundaries?</t>
  </si>
  <si>
    <t xml:space="preserve">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</si>
  <si>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 xml:space="preserve">5</t>
  </si>
  <si>
    <t xml:space="preserve">UPD5</t>
  </si>
  <si>
    <t xml:space="preserve">Is there a clear decentralised procedure for approvals of each level of plans?</t>
  </si>
  <si>
    <t xml:space="preserve">Check the state T&amp;CP Act for provisions that delineate a decentralised plan approval process. </t>
  </si>
  <si>
    <t xml:space="preserve">5a</t>
  </si>
  <si>
    <t xml:space="preserve">UPD5a</t>
  </si>
  <si>
    <t xml:space="preserve">Does the law mandate that the metropolitan/regional plan be approved by the state government?</t>
  </si>
  <si>
    <t xml:space="preserve">Check if the T&amp;CP Act/metropolitan planning act mandates the metropolitan/regional plan to be approved by the state government.</t>
  </si>
  <si>
    <t xml:space="preserve">5b</t>
  </si>
  <si>
    <t xml:space="preserve">UPD5b</t>
  </si>
  <si>
    <t xml:space="preserve">Does the law mandate that the municipal/city plan be approved by the MPC (Metropolitan Planning Committee)  for metropolitan cities or by DPC (District Planning Committee) for non-metropolitan cities?</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</si>
  <si>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t>
  </si>
  <si>
    <t xml:space="preserve">5c</t>
  </si>
  <si>
    <t xml:space="preserve">UPD5c</t>
  </si>
  <si>
    <t xml:space="preserve">Does the law mandate that the ward(s)/local plan be approved by the ULG?</t>
  </si>
  <si>
    <t xml:space="preserve">Check if the T&amp;CP Act mandates the zonal/ward plans to be approved by the ULG. </t>
  </si>
  <si>
    <t xml:space="preserve">6</t>
  </si>
  <si>
    <t xml:space="preserve">Objectives of each level of Municipal/City Plans</t>
  </si>
  <si>
    <t xml:space="preserve">Does the Act clearly define the objectives/contents of each level of spatial plan?</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</si>
  <si>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</si>
  <si>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 xml:space="preserve">7</t>
  </si>
  <si>
    <t xml:space="preserve">UPD16</t>
  </si>
  <si>
    <t xml:space="preserve">UPD7</t>
  </si>
  <si>
    <t xml:space="preserve">Metropolitan and district planning institutions</t>
  </si>
  <si>
    <t xml:space="preserve">Does the city have a functional MPC/DPC?</t>
  </si>
  <si>
    <t xml:space="preserve">Law/Policy &amp; Implementation</t>
  </si>
  <si>
    <t xml:space="preserve">Sum of the sub-questions</t>
  </si>
  <si>
    <t xml:space="preserve">7a</t>
  </si>
  <si>
    <t xml:space="preserve">UPD16a</t>
  </si>
  <si>
    <t xml:space="preserve">UPD9a</t>
  </si>
  <si>
    <t xml:space="preserve">UPD7a</t>
  </si>
  <si>
    <t xml:space="preserve">Does the law provide for the constitution of an MPC/DPC?</t>
  </si>
  <si>
    <t xml:space="preserve">Law/Policy</t>
  </si>
  <si>
    <t xml:space="preserve">Part A:  Check whether there is a mandate in the Municipal or T&amp;CP Act for the constitution of MPC/DPC. If yes, score 2.5                                                                                                                                                                   Part B: Check whether the State has notified the rules for the MPC/DPC applicable to the city. If yes, score 2.5.
MPC applies to metropolitan cities (46 cities); DPC applies for non-metropolitan cities</t>
  </si>
  <si>
    <t xml:space="preserve">7b</t>
  </si>
  <si>
    <t xml:space="preserve">UPD16b</t>
  </si>
  <si>
    <t xml:space="preserve">UPD9b</t>
  </si>
  <si>
    <t xml:space="preserve">UPD7b</t>
  </si>
  <si>
    <t xml:space="preserve">Have they met at least once in the past two years?</t>
  </si>
  <si>
    <t xml:space="preserve">Implementation</t>
  </si>
  <si>
    <t xml:space="preserve">Check whether the MPC/DPC has met at least once in the past two years. Score 5 where there is evidence of meeting in the last two years.
Evidence: State UD/Municipal Administration department notifications/constitution orders/website; MPC/DPC meeting minutes, agendas or resolutions; MPC/DPC and metropolitan planning authority/development authority websites and RTIs.
</t>
  </si>
  <si>
    <t xml:space="preserve">8</t>
  </si>
  <si>
    <t xml:space="preserve">UPD8</t>
  </si>
  <si>
    <t xml:space="preserve">Does the city (million-plus) have a Metropolitan Authority?</t>
  </si>
  <si>
    <t xml:space="preserve">Law or Policy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</si>
  <si>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</si>
  <si>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 xml:space="preserve">9</t>
  </si>
  <si>
    <t xml:space="preserve">Municipal/City Plan preparation, participation and review</t>
  </si>
  <si>
    <t xml:space="preserve">Inter-agency participation</t>
  </si>
  <si>
    <t xml:space="preserve">Does the law mandate participation of all parastatals/ agencies /ULGs in creation of Spatial plans (metro/municipal/ward)?</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</si>
  <si>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</si>
  <si>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 xml:space="preserve">10</t>
  </si>
  <si>
    <t xml:space="preserve">UPD33</t>
  </si>
  <si>
    <t xml:space="preserve">UPD18</t>
  </si>
  <si>
    <t xml:space="preserve">UPD10</t>
  </si>
  <si>
    <t xml:space="preserve">Public participation and scrutiny</t>
  </si>
  <si>
    <t xml:space="preserve">Does the law mandate public participation in preparation of the municipal plan through Area Sabhas / Ward Sabhas and other means?</t>
  </si>
  <si>
    <t xml:space="preserve">Check if the T&amp;CP Act mandates public participation in preparation of municipal/city plan through:
Part A: Formal platforms such as ward committees and area sabhas. If yes, score 5.
Part B: Other means* for municipal/city plan. If yes, score 5.
*Even if the provision alludes to 'public participation/consultation or consolidation of suggestions and objections without specifying the mode for the same
</t>
  </si>
  <si>
    <t xml:space="preserve">11</t>
  </si>
  <si>
    <t xml:space="preserve">UPD34</t>
  </si>
  <si>
    <t xml:space="preserve">UPD19</t>
  </si>
  <si>
    <t xml:space="preserve">UPD11</t>
  </si>
  <si>
    <t xml:space="preserve">Is there public scrutiny for (including objections and responses) municipal/city plan?</t>
  </si>
  <si>
    <t xml:space="preserve">11a</t>
  </si>
  <si>
    <t xml:space="preserve">UPD34a</t>
  </si>
  <si>
    <t xml:space="preserve">UPD11a</t>
  </si>
  <si>
    <t xml:space="preserve">Does the law mandate public scrutiny for (including objections and responses) municipal/city plan through Area Sabhas / Ward Sabhas and other means?</t>
  </si>
  <si>
    <t xml:space="preserve">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</si>
  <si>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 xml:space="preserve">11b</t>
  </si>
  <si>
    <t xml:space="preserve">UPD34b</t>
  </si>
  <si>
    <t xml:space="preserve">UPD11b</t>
  </si>
  <si>
    <t xml:space="preserve">Was the public scrutiny undertaken for (including objections and responses) municipal/city plan?</t>
  </si>
  <si>
    <t xml:space="preserve">Check Development Authority/ULG websites (as applicable) for consultation minutes/details/notifcations for inviting suggestions; newspaper reports; and the municipal/city plan for evidence of public scrutiny. If such evidence is found, score 5.</t>
  </si>
  <si>
    <t xml:space="preserve">12</t>
  </si>
  <si>
    <t xml:space="preserve">UPD12</t>
  </si>
  <si>
    <t xml:space="preserve">Plan modification and implementation review</t>
  </si>
  <si>
    <t xml:space="preserve">Does the law mandate periodic review and revision of the notified municipal/city plan, including corresponding revisions to the Development Control Regulations (DCRs)?</t>
  </si>
  <si>
    <t xml:space="preserve">Review the applicable State Town Planning Act.
Score 10: The law mandates periodic review and revision of the municipal/city plan, specifies a review/revision timeline and responsible authority, and requires corresponding review and revision of the DCRs, where necessary, following municipal/city plan revision.
Score 2.5 for each component and enter the sum if there are multiple components - 
1. The law mandates periodic review and revision of the municipal/city plan ((alluding to the revision or creation of a new plan say after ten years) to the municipal/city plans shall not be considered).
2. Specifies a review/revision timeline 
3. Specifies for responsible authority
4. Requires corresponding review and revision of the DCRs following municipal/city plan revision</t>
  </si>
  <si>
    <t xml:space="preserve">13</t>
  </si>
  <si>
    <t xml:space="preserve">UPD13</t>
  </si>
  <si>
    <t xml:space="preserve">Municipal/City Plan objectives and contents</t>
  </si>
  <si>
    <t xml:space="preserve">Statutory requirements for plan content</t>
  </si>
  <si>
    <t xml:space="preserve">Does the T&amp;CP Act mandate the planning for:  </t>
  </si>
  <si>
    <t xml:space="preserve">NA- question already covered in ASICS 2017</t>
  </si>
  <si>
    <t xml:space="preserve">Check the T&amp;CP and other relevant acts as prescribed below:</t>
  </si>
  <si>
    <t xml:space="preserve">13a</t>
  </si>
  <si>
    <t xml:space="preserve">UPD13a</t>
  </si>
  <si>
    <t xml:space="preserve">a) Water Supply/ Sewerage, Sanitation and Solid Waste Management </t>
  </si>
  <si>
    <t xml:space="preserve">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
Provisions that make such a plan optional with 'may' provision shall not be considered. </t>
  </si>
  <si>
    <t xml:space="preserve">13b</t>
  </si>
  <si>
    <t xml:space="preserve">UPD13b</t>
  </si>
  <si>
    <t xml:space="preserve">b) Disaster Resilience</t>
  </si>
  <si>
    <t xml:space="preserve">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t>
  </si>
  <si>
    <t xml:space="preserve">13c</t>
  </si>
  <si>
    <t xml:space="preserve">UPD13c</t>
  </si>
  <si>
    <t xml:space="preserve">c) Comprehensive mobility</t>
  </si>
  <si>
    <t xml:space="preserve">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t>
  </si>
  <si>
    <t xml:space="preserve">13d</t>
  </si>
  <si>
    <t xml:space="preserve">UPD13d</t>
  </si>
  <si>
    <t xml:space="preserve">d) Sustainability/Climate/Environmental conservation</t>
  </si>
  <si>
    <t xml:space="preserve">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t>
  </si>
  <si>
    <t xml:space="preserve">13e</t>
  </si>
  <si>
    <t xml:space="preserve">UPD13e</t>
  </si>
  <si>
    <t xml:space="preserve">e) Heritage conservation</t>
  </si>
  <si>
    <t xml:space="preserve">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t>
  </si>
  <si>
    <t xml:space="preserve">13f</t>
  </si>
  <si>
    <t xml:space="preserve">UPD13f</t>
  </si>
  <si>
    <t xml:space="preserve">f) Social Development        </t>
  </si>
  <si>
    <t xml:space="preserve">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</si>
  <si>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 xml:space="preserve">14</t>
  </si>
  <si>
    <t xml:space="preserve">UPD14</t>
  </si>
  <si>
    <t xml:space="preserve">Municipal/City Plan status, hierarchy and coordination</t>
  </si>
  <si>
    <t xml:space="preserve">Existence of Municipal/City Plans at each level</t>
  </si>
  <si>
    <t xml:space="preserve">Are the spatial plans at the Metropolitan/Regional, Municipal and Ward(s) /Local level notified?</t>
  </si>
  <si>
    <t xml:space="preserve">The existence of such a document or map should be notified in respective state gazettes</t>
  </si>
  <si>
    <t xml:space="preserve">14a</t>
  </si>
  <si>
    <t xml:space="preserve">UPD14a</t>
  </si>
  <si>
    <t xml:space="preserve">Is there a Metropolitan/Regional Plan?</t>
  </si>
  <si>
    <t xml:space="preserve">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t>
  </si>
  <si>
    <t xml:space="preserve">Note: Please ensure an existence of a notified document of the plan. Maps alone will not make the cut</t>
  </si>
  <si>
    <t xml:space="preserve">14b</t>
  </si>
  <si>
    <t xml:space="preserve">UPD14b</t>
  </si>
  <si>
    <t xml:space="preserve">Is there Municipal/City Plan?</t>
  </si>
  <si>
    <t xml:space="preserve">Document should mention the word municipal/development/city plan or municipal/city plan. Check the website of the urban development authority or ULG website or T&amp;CP Dept. Score 3.33 if any of these apply, else, 0. </t>
  </si>
  <si>
    <t xml:space="preserve">14c</t>
  </si>
  <si>
    <t xml:space="preserve">UPD14c</t>
  </si>
  <si>
    <t xml:space="preserve">Is there a Ward(s) /Local area/ neighbourhood Plan?</t>
  </si>
  <si>
    <t xml:space="preserve"> Document should mention the word ward development plan/zonal plan/local area plan. This can exist as a standalone document or spatial plans or map.  Score 3.33 if any of these apply, else, 0. </t>
  </si>
  <si>
    <t xml:space="preserve">15</t>
  </si>
  <si>
    <t xml:space="preserve">UPD15</t>
  </si>
  <si>
    <t xml:space="preserve">Validity of Municipal/City Plans</t>
  </si>
  <si>
    <t xml:space="preserve">Does the city have a municipal/city plan that is currently in force and within its prescribed validity period?</t>
  </si>
  <si>
    <t xml:space="preserve">Review the applicable municipal/ city plan to identify the valid period, and the gazette notification date of the current and immediately preceding municipal/city plan 
Score 10 — notified within the statutory period
Score 0 — municipal/city plans that have lapsed and have not been replaced by a new municipal/city plan should be  treated as ‘no municipal/city plans/inactive municipal/city plans.
The scorer to capture in the scoring sheet the amount of time (in months) that has been passed since the end of the validity period
</t>
  </si>
  <si>
    <t xml:space="preserve">16</t>
  </si>
  <si>
    <t xml:space="preserve">Alignment across planning levels</t>
  </si>
  <si>
    <t xml:space="preserve"> Are the spatial plans at the Metropolitan/Regional, Municipal and Ward(s) /Local level in a concurrent or nested timeline of validity?</t>
  </si>
  <si>
    <t xml:space="preserve">Check whether the validity periods of the metropolitan/regional, municipal/city, and ward/zonal/local area/neighbourhood-level spatial plans align, ensuring that lower-level plans do not extend beyond the metropolitan/regional plan's validity.</t>
  </si>
  <si>
    <t xml:space="preserve">16a</t>
  </si>
  <si>
    <t xml:space="preserve">Is the Metropolitan/Regional plan in a concurrent or nested timeline of validity with municipal plan?</t>
  </si>
  <si>
    <t xml:space="preserve">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t>
  </si>
  <si>
    <t xml:space="preserve">16b</t>
  </si>
  <si>
    <t xml:space="preserve">Is the Municipal municipal/city plan in a concurrent or nested timeline of validity with Ward municipal/city plan?</t>
  </si>
  <si>
    <t xml:space="preserve">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t>
  </si>
  <si>
    <t xml:space="preserve">17</t>
  </si>
  <si>
    <t xml:space="preserve">UPD17</t>
  </si>
  <si>
    <t xml:space="preserve">Inter-agency coordination and integration</t>
  </si>
  <si>
    <t xml:space="preserve">Do the municipal/city plans at each level, integrate the plans and priorities of various sectoral public departments and agencies? </t>
  </si>
  <si>
    <t xml:space="preserve">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t>
  </si>
  <si>
    <t xml:space="preserve">18</t>
  </si>
  <si>
    <t xml:space="preserve">UPD27</t>
  </si>
  <si>
    <t xml:space="preserve">Objectives of the Municipal/City Plan</t>
  </si>
  <si>
    <t xml:space="preserve">Does the municipal/city plan include objectives on jobs and economy?</t>
  </si>
  <si>
    <t xml:space="preserve">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</si>
  <si>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 xml:space="preserve">19</t>
  </si>
  <si>
    <t xml:space="preserve">UPD28</t>
  </si>
  <si>
    <t xml:space="preserve">Does the municipal/city plan include objectives on environment and heritage conservation?</t>
  </si>
  <si>
    <t xml:space="preserve">Sum of the sub-questions below - </t>
  </si>
  <si>
    <t xml:space="preserve">19a</t>
  </si>
  <si>
    <t xml:space="preserve">UPD19a</t>
  </si>
  <si>
    <t xml:space="preserve">a) Environmental Conservation </t>
  </si>
  <si>
    <t xml:space="preserve">Check whether the municipal/city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</si>
  <si>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19b</t>
  </si>
  <si>
    <t xml:space="preserve">UPD19b</t>
  </si>
  <si>
    <t xml:space="preserve">b) Heritage Conservation </t>
  </si>
  <si>
    <t xml:space="preserve">Check whether the municipal/city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t>
  </si>
  <si>
    <t xml:space="preserve">20</t>
  </si>
  <si>
    <t xml:space="preserve">UPD29</t>
  </si>
  <si>
    <t xml:space="preserve">UPD 11f</t>
  </si>
  <si>
    <t xml:space="preserve">UPD20</t>
  </si>
  <si>
    <t xml:space="preserve">Does the municipal/city plan include objectives on social development (health care, education)?</t>
  </si>
  <si>
    <t xml:space="preserve">Check whether the municipal/city plan identifies clear priorities, interventions and measurable targets/outcomes across the following three components:</t>
  </si>
  <si>
    <t xml:space="preserve">20a</t>
  </si>
  <si>
    <t xml:space="preserve">UPD20a</t>
  </si>
  <si>
    <t xml:space="preserve">a) Education </t>
  </si>
  <si>
    <t xml:space="preserve">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</si>
  <si>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20b</t>
  </si>
  <si>
    <t xml:space="preserve">UPD20b</t>
  </si>
  <si>
    <t xml:space="preserve">b) Healthcare</t>
  </si>
  <si>
    <t xml:space="preserve">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</si>
  <si>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20c</t>
  </si>
  <si>
    <t xml:space="preserve">UPD20c</t>
  </si>
  <si>
    <t xml:space="preserve">c) Affordable housing </t>
  </si>
  <si>
    <t xml:space="preserve">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</si>
  <si>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21</t>
  </si>
  <si>
    <t xml:space="preserve"> NA</t>
  </si>
  <si>
    <t xml:space="preserve">UPD21</t>
  </si>
  <si>
    <t xml:space="preserve">Does the municipal/city plan include objectives for women?</t>
  </si>
  <si>
    <t xml:space="preserve">Check whether the municipal/city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
Score 5: The municipal/city identifies  atleast two or more clear priorities relating to women’s inclusion and associated interventions/actions, but does not provide measurable targets/outcome indicators.
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</si>
  <si>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 xml:space="preserve">22</t>
  </si>
  <si>
    <t xml:space="preserve">UPD22</t>
  </si>
  <si>
    <t xml:space="preserve">Shared spatial information and data coordination</t>
  </si>
  <si>
    <t xml:space="preserve">Is there a common digital base municipal/city plan Map shared among Planning Authorities, and data updated through GIS with fixed periodicity by the relevent sectoral agencies (transport, network infrastructure, land use changes)</t>
  </si>
  <si>
    <t xml:space="preserve">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t>
  </si>
  <si>
    <t xml:space="preserve">23</t>
  </si>
  <si>
    <t xml:space="preserve">UPD23</t>
  </si>
  <si>
    <t xml:space="preserve">Sectoral planning</t>
  </si>
  <si>
    <t xml:space="preserve">Water supply and sewerage, sanitation, solid waste management </t>
  </si>
  <si>
    <t xml:space="preserve">Does the city have a Water Supply and Sewerage Plan, City Sanitation Plan, and Solid Waste Management Plan  that clearly articulates development priorities, measurable objectives, and the roles and responsibilities of the ULG?</t>
  </si>
  <si>
    <t xml:space="preserve">Sum of the sub-questions below </t>
  </si>
  <si>
    <t xml:space="preserve">23a</t>
  </si>
  <si>
    <t xml:space="preserve">UPD23a</t>
  </si>
  <si>
    <t xml:space="preserve">Does the city have a notified and active Plan?</t>
  </si>
  <si>
    <t xml:space="preserve">Check the ULG website, relevant parastatal/sectoral agency website, master plan and other official government sources for the existence of the relevant plan.
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t>
  </si>
  <si>
    <t xml:space="preserve">23a1</t>
  </si>
  <si>
    <t xml:space="preserve">UPD23a1</t>
  </si>
  <si>
    <t xml:space="preserve">a) Water Supply and Sewerage Plan</t>
  </si>
  <si>
    <t xml:space="preserve">SQ1</t>
  </si>
  <si>
    <t xml:space="preserve">Use the methodology provided above</t>
  </si>
  <si>
    <t xml:space="preserve">23a2</t>
  </si>
  <si>
    <t xml:space="preserve">UPD23a2</t>
  </si>
  <si>
    <t xml:space="preserve">b) Solid Waste Management Plan </t>
  </si>
  <si>
    <t xml:space="preserve">SQ2</t>
  </si>
  <si>
    <t xml:space="preserve">23a3</t>
  </si>
  <si>
    <t xml:space="preserve">UPD23a3</t>
  </si>
  <si>
    <t xml:space="preserve">c)  City Sanitation Plan</t>
  </si>
  <si>
    <t xml:space="preserve">SQ3</t>
  </si>
  <si>
    <t xml:space="preserve">23b</t>
  </si>
  <si>
    <t xml:space="preserve">UPD23b</t>
  </si>
  <si>
    <t xml:space="preserve">Does the plan have development priorities and measureable objectives?</t>
  </si>
  <si>
    <t xml:space="preserve">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t>
  </si>
  <si>
    <t xml:space="preserve">23b1</t>
  </si>
  <si>
    <t xml:space="preserve">UPD23b1</t>
  </si>
  <si>
    <t xml:space="preserve">23b2</t>
  </si>
  <si>
    <t xml:space="preserve">UPD23b2</t>
  </si>
  <si>
    <t xml:space="preserve">23b3</t>
  </si>
  <si>
    <t xml:space="preserve">UPD23b3</t>
  </si>
  <si>
    <t xml:space="preserve">23c</t>
  </si>
  <si>
    <t xml:space="preserve">UPD23c</t>
  </si>
  <si>
    <t xml:space="preserve">Does the plan clearly articulate the role of the ULG?</t>
  </si>
  <si>
    <t xml:space="preserve">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</si>
  <si>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 xml:space="preserve">23c1</t>
  </si>
  <si>
    <t xml:space="preserve">UPD23c1</t>
  </si>
  <si>
    <t xml:space="preserve">23c2</t>
  </si>
  <si>
    <t xml:space="preserve">UPD23c2</t>
  </si>
  <si>
    <t xml:space="preserve">23c3</t>
  </si>
  <si>
    <t xml:space="preserve">UPD23c3</t>
  </si>
  <si>
    <t xml:space="preserve">24</t>
  </si>
  <si>
    <t xml:space="preserve">UPD24</t>
  </si>
  <si>
    <t xml:space="preserve">Sustainability, resilience and climate action</t>
  </si>
  <si>
    <t xml:space="preserve">Does your city have a Sustainability/ Resilience Strategy/Climate Action Plan that clearly articulates development priorities, measurable objectives, and the roles and responsibilities of the ULG?</t>
  </si>
  <si>
    <t xml:space="preserve">24a</t>
  </si>
  <si>
    <t xml:space="preserve">UPD24a</t>
  </si>
  <si>
    <t xml:space="preserve">Does the city have a notified and active Sustainability/Resilience Strategy?</t>
  </si>
  <si>
    <t xml:space="preserve">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t>
  </si>
  <si>
    <t xml:space="preserve">Note: Independent consultant's report/academic reports will not be considered.</t>
  </si>
  <si>
    <t xml:space="preserve">24b</t>
  </si>
  <si>
    <t xml:space="preserve">UPD24b</t>
  </si>
  <si>
    <t xml:space="preserve">Does the plan have development priorities and measurable objectives?</t>
  </si>
  <si>
    <t xml:space="preserve">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3.33 if the plan identifies atleast two or more clear priorities and includes measurable objectives or targets against those priorities; score 0 otherwise.</t>
  </si>
  <si>
    <t xml:space="preserve">24c</t>
  </si>
  <si>
    <t xml:space="preserve">UPD24c</t>
  </si>
  <si>
    <t xml:space="preserve">Score 3.33 where the plan clearly articulates the role/responsibilities of the ULG in its preparation/implementation; score 0 otherwise.</t>
  </si>
  <si>
    <t xml:space="preserve">25</t>
  </si>
  <si>
    <t xml:space="preserve">UPD25</t>
  </si>
  <si>
    <t xml:space="preserve">Comprehensive mobility planning</t>
  </si>
  <si>
    <t xml:space="preserve">Does your city have a Comprehensive Mobility Plan that clearly articulates development priorities, measurable objectives, and the roles and responsibilities of the ULG?</t>
  </si>
  <si>
    <t xml:space="preserve">25a</t>
  </si>
  <si>
    <t xml:space="preserve">UPD25a</t>
  </si>
  <si>
    <t xml:space="preserve">Does the city have a notified and active Comprehensive Mobility Plan?</t>
  </si>
  <si>
    <t xml:space="preserve">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</si>
  <si>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 xml:space="preserve">25b</t>
  </si>
  <si>
    <t xml:space="preserve">UPD25b</t>
  </si>
  <si>
    <t xml:space="preserve">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
A general statement of intent, such as improving mobility, promoting public transport or reducing congestion, without identifiable priorities and measurable objectives or targets, shall not qualify.
Score 3.33 if the CMP identifies atleast two or more clear priorities and includes measurable objectives or targets against those priorities; score 0 otherwise.</t>
  </si>
  <si>
    <t xml:space="preserve">25c</t>
  </si>
  <si>
    <t xml:space="preserve">UPD25c</t>
  </si>
  <si>
    <t xml:space="preserve">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
A passing mention of the ULG as a stakeholder, or a general reference to coordination among agencies, without specifying the ULG's role or responsibilities, shall not qualify.
Score 3.3 if the CMP clearly articulates the roles and responsibilities of the ULG in its preparation and/or implementation; score 0 otherwise.</t>
  </si>
  <si>
    <t xml:space="preserve">26</t>
  </si>
  <si>
    <t xml:space="preserve">UPD26</t>
  </si>
  <si>
    <t xml:space="preserve">Economic development planning</t>
  </si>
  <si>
    <t xml:space="preserve">Does your city have an Economic Vision Plan that clearly articulates development priorities, measurable objectives, and the roles and responsibilities of the ULG?</t>
  </si>
  <si>
    <t xml:space="preserve">26a</t>
  </si>
  <si>
    <t xml:space="preserve">UPD26a</t>
  </si>
  <si>
    <t xml:space="preserve">Does the city have a notified and active Economic Vision Plan?</t>
  </si>
  <si>
    <t xml:space="preserve">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municipal/city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</si>
  <si>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 xml:space="preserve">26b</t>
  </si>
  <si>
    <t xml:space="preserve">UPD26b</t>
  </si>
  <si>
    <t xml:space="preserve">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t>
  </si>
  <si>
    <t xml:space="preserve">26c</t>
  </si>
  <si>
    <t xml:space="preserve">UPD26c</t>
  </si>
  <si>
    <t xml:space="preserve">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t>
  </si>
  <si>
    <t xml:space="preserve">27</t>
  </si>
  <si>
    <t xml:space="preserve">Specialised institutional capacity</t>
  </si>
  <si>
    <t xml:space="preserve">Does the city have adequate and representative professional town-planning capacity?</t>
  </si>
  <si>
    <t xml:space="preserve">27a</t>
  </si>
  <si>
    <t xml:space="preserve">UPD27a</t>
  </si>
  <si>
    <t xml:space="preserve">Does the city have adequate professional town-planning capacity?</t>
  </si>
  <si>
    <t xml:space="preserve">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
Score = (Town planners per lakh population in the city ÷ Highest town planners per lakh population among cities assessed) × 5
For example, if the highest-performing city has 2 planners/lakh, a city with 1.5 planners/lakh scores 3.75, and one with 1 planner/lakh scores 2.5.</t>
  </si>
  <si>
    <t xml:space="preserve">Scorer comment - 
Record in the score sheet, separately for the ULG and Development/Planning Authority: total sanctioned town-planner positions; total filled positions; vacancies and vacancy rate; women and men among filled positions; and town planners per lakh population.</t>
  </si>
  <si>
    <t xml:space="preserve">27b</t>
  </si>
  <si>
    <t xml:space="preserve">UPD27b</t>
  </si>
  <si>
    <t xml:space="preserve">What proportion of the city's professional town-planning workforce is women?</t>
  </si>
  <si>
    <t xml:space="preserve">Compute women town planners as a proportion of the total filled qualified town-planner positions across the ULG and, where applicable, the Development/Planning Authority staff attributable to the city, using the latest available staffing data.
% women town planners = (Number of women town planners ÷ Total filled qualified town-planner positions) × 100
Scoring bands:
Score 5 — women constitute ≥33% of the professional town-planning workforce
Score 2.5 — women constitute 15–32%
Score 0 — women constitute &lt;15%</t>
  </si>
  <si>
    <t xml:space="preserve">Note: Record, wherever available, the proportion of women among senior/decision-making town-planning positions.</t>
  </si>
  <si>
    <t xml:space="preserve">28</t>
  </si>
  <si>
    <t xml:space="preserve">Does the city have dedicated institutional cells/units for specialised functions?</t>
  </si>
  <si>
    <t xml:space="preserve">Score 10, assessed through 4 sub-questions of 2.5 each: an Urban Design Cell; a Climate Action/Sustainability/Disaster Management Cell; an Economic Development Cell; and a dedicated Women's Welfare/Development Cell</t>
  </si>
  <si>
    <t xml:space="preserve">28a</t>
  </si>
  <si>
    <t xml:space="preserve">UPD28a</t>
  </si>
  <si>
    <t xml:space="preserve">Urban design</t>
  </si>
  <si>
    <t xml:space="preserve">Does the city have an Urban Design Cell?</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</si>
  <si>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t>
  </si>
  <si>
    <t xml:space="preserve">28b</t>
  </si>
  <si>
    <t xml:space="preserve">UPD28b</t>
  </si>
  <si>
    <t xml:space="preserve">Does the city have dedicated institutional capacity to undertake specialised planning and development functions?</t>
  </si>
  <si>
    <t xml:space="preserve">Climate</t>
  </si>
  <si>
    <t xml:space="preserve">Does the city have a Climate Action/Sustainability/Disaster Management Cell?</t>
  </si>
  <si>
    <t xml:space="preserve">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t>
  </si>
  <si>
    <t xml:space="preserve">28c</t>
  </si>
  <si>
    <t xml:space="preserve">UPD28c</t>
  </si>
  <si>
    <t xml:space="preserve">Economic development</t>
  </si>
  <si>
    <t xml:space="preserve">Does the city have an Economic Develepment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</si>
  <si>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t>
  </si>
  <si>
    <t xml:space="preserve">28d</t>
  </si>
  <si>
    <t xml:space="preserve">UPD28d</t>
  </si>
  <si>
    <t xml:space="preserve">Women's welfare or development</t>
  </si>
  <si>
    <t xml:space="preserve">Does the city have a dedicated Women's Welfare/Development Cell?</t>
  </si>
  <si>
    <t xml:space="preserve">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t>
  </si>
  <si>
    <t xml:space="preserve">29</t>
  </si>
  <si>
    <t xml:space="preserve">Urban design, accessibility and parking</t>
  </si>
  <si>
    <t xml:space="preserve">Urban design standards and universal accessibility</t>
  </si>
  <si>
    <t xml:space="preserve">Are there prescribed urban design standards to guide the execution of urban projects, including standards for universal accessibility?</t>
  </si>
  <si>
    <t xml:space="preserve">29a</t>
  </si>
  <si>
    <t xml:space="preserve">UPD29a</t>
  </si>
  <si>
    <t xml:space="preserve">Does the law mandate comprehensive urban design standards and universal accessibility?</t>
  </si>
  <si>
    <t xml:space="preserve">Check whether the applicable T&amp;CP Act or Municipal Act provides for urban design standards/guidelines for the planning, design or execution of urban development across the following four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For each of the five categories, check whether the applicable law mandates or enables urban design standards/guidelines for the planning, design or execution of urban development.
For each category, score as follows:
Score 1: Where the law uses mandatory language (e.g., “shall”) requiring the preparation, prescription, adoption or application of urban design standards/guidelines.
Score 0.5: Where the law uses enabling/discretionary language (e.g., “may”) permitting the preparation, prescription, adoption or application of such standards/guidelines.
Score 0: Where there is no such provision.
Maximum score: 5 points (5 categories × 1 point).
A general power to regulate development, without a specific provision for relevant design standards/guidelines, shall not qualify.</t>
  </si>
  <si>
    <t xml:space="preserve">29b</t>
  </si>
  <si>
    <t xml:space="preserve">UPD29b</t>
  </si>
  <si>
    <t xml:space="preserve">Does the city have urban design standards to guide the execution of urban projects?</t>
  </si>
  <si>
    <t xml:space="preserve">Check whether the city has adopted/notified urban design standards or guidelines for the planning, design or execution of urban development across the following five categories:
1. Roads and streetscapes – including different categories/hierarchies of urban roads.
2. Footpaths/pedestrian infrastructure.
3. Underground public utilities – including water supply, sewerage, storm-water drainage, electricity, telecommunications/internet and gas.
4. Buit form based codes - build to line, minimum frontage, floor heights, building material etc.
5. Universal accessibility
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t>
  </si>
  <si>
    <t xml:space="preserve">30</t>
  </si>
  <si>
    <t xml:space="preserve">UPD30</t>
  </si>
  <si>
    <t xml:space="preserve">Parking policy</t>
  </si>
  <si>
    <t xml:space="preserve">Does the city have a parking policy? </t>
  </si>
  <si>
    <t xml:space="preserve">30a</t>
  </si>
  <si>
    <t xml:space="preserve">UPD30a</t>
  </si>
  <si>
    <t xml:space="preserve">Is there a clear mandate in the law for a parking policy?</t>
  </si>
  <si>
    <t xml:space="preserve">Check whether the applicable T&amp;CP Act or Municipal Act mandates the ULG to prepare and/or adopt a standalone parking policy or parking management policy.
A general provision prescribing parking standards for individual buildings/developments, or empowering the ULG to regulate parking, shall not qualify. The law must specifically provide for the preparation/adoption of a city-level parking policy.
Distinguish between mandatory and enabling provisions:
Score 5 where the law uses mandatory language (e.g., “shall”) requiring the ULG/city to prepare or adopt a standalone Parking Policy/Parking Management Policy.
Score 2.5 where the law uses enabling/discretionary language (e.g., “may”) permitting the ULG/city to prepare or adopt such a policy.
Score 0 where there is no such statutory provision.</t>
  </si>
  <si>
    <t xml:space="preserve">30b</t>
  </si>
  <si>
    <t xml:space="preserve">UPD30b</t>
  </si>
  <si>
    <t xml:space="preserve">Has the parking policy been implemented?</t>
  </si>
  <si>
    <t xml:space="preserve">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t>
  </si>
  <si>
    <t xml:space="preserve">Note: Score this question independently of the legal mandate. A city may score 5 on this question even where there is no legal mandate for a parking policy.</t>
  </si>
  <si>
    <t xml:space="preserve">31</t>
  </si>
  <si>
    <t xml:space="preserve">UPD31</t>
  </si>
  <si>
    <t xml:space="preserve">Development Control Regulations and land-management instruments</t>
  </si>
  <si>
    <t xml:space="preserve">Applicability and currency of DCRs</t>
  </si>
  <si>
    <t xml:space="preserve">Does the city have a city-specific Development Control Regulation (DCR)?</t>
  </si>
  <si>
    <t xml:space="preserve">Law or Policy &amp; Implementation</t>
  </si>
  <si>
    <t xml:space="preserve">Check the applicable DCR to determine whether a city-specific DCR applies. Evidence can be present on the websites of the ULG/Development Authority/T&amp;CP/UDD Department.
Score 10 — A city-specific DCR is applicable to the city.
Score 0 — The city relies on a generic/state-wide DCR and does not have a city-specific DCR.
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t>
  </si>
  <si>
    <t xml:space="preserve">32</t>
  </si>
  <si>
    <t xml:space="preserve">UPD32</t>
  </si>
  <si>
    <t xml:space="preserve">DCR revision and public consultation</t>
  </si>
  <si>
    <t xml:space="preserve">Does the city’s DCR provide development controls, standards or incentives that enable positive economic, environmental, public health, heritage, and inclusion outcomes?</t>
  </si>
  <si>
    <t xml:space="preserve">For each dimension, assess whether the DCR contains specific development controls, standards, relaxations, permissions or incentives that enable or promote the identified outcome.
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
Total score = sum of the five sub-question scores (2*5=10).
</t>
  </si>
  <si>
    <t xml:space="preserve">32a</t>
  </si>
  <si>
    <t xml:space="preserve">UPD32a</t>
  </si>
  <si>
    <t xml:space="preserve">Do the DCRs provide development controls, standards or incentives that enable different types and scales of economic activity?</t>
  </si>
  <si>
    <t xml:space="preserve">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
Score 1: Two or more Economic activities are provided for through conventional land-use zoning/permissible-use provisions, but no specific enabling or incentivising development provision is found.
Score 0: No relevant provision addressing economic activity is found.
(For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t>
  </si>
  <si>
    <t xml:space="preserve">32b</t>
  </si>
  <si>
    <t xml:space="preserve">UPD32b</t>
  </si>
  <si>
    <t xml:space="preserve">Do the DCRs provide development controls, standards or incentives that improve access, safety, affordability and development outcomes for women and the urban poor?</t>
  </si>
  <si>
    <t xml:space="preserve">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
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
For example: Additional FAR/FSI or relaxed development standards for EWS/affordable housing would qualify as a provision for the urban poor. Specific design requirements addressing women's safety or access would qualify as a provision for women.
Keywords for scorer:
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
Women: women; woman; female; gender; gender responsive; gender sensitive; women safety; safety; safe access; lighting; visibility; toilet for women; female toilet; sanitary facility; childcare; crèche; public space; public realm.</t>
  </si>
  <si>
    <t xml:space="preserve">Note: Please capture the text that mentions the broad provisions related to the theme and the incentives it offers clearly </t>
  </si>
  <si>
    <t xml:space="preserve">32c</t>
  </si>
  <si>
    <t xml:space="preserve">UPD32c</t>
  </si>
  <si>
    <t xml:space="preserve">Do the DCRs provide development controls, standards or incentives that promote environmental sustainability and climate resilience?</t>
  </si>
  <si>
    <t xml:space="preserve">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
Score 1: The DCR protects environmentally sensitive/climate-vulnerable areas or imposes environmental restrictions, but does not contain a clear enabling/incentive provision.
Score 0 — No relevant environmental or climate-related development provision is found.
Note: A generic requirement to obtain environmental clearance based on project size does not, by itself, qualify as an enabling environmental/climate provision.
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t>
  </si>
  <si>
    <t xml:space="preserve">Note: Capture the text that mentions the broad provisions related to the theme and the incentives it offers</t>
  </si>
  <si>
    <t xml:space="preserve">32d</t>
  </si>
  <si>
    <t xml:space="preserve">UPD32d</t>
  </si>
  <si>
    <t xml:space="preserve">Do the DCRs provide development controls or standards that promote positive public-health outcomes?</t>
  </si>
  <si>
    <t xml:space="preserve">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
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
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
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t>
  </si>
  <si>
    <t xml:space="preserve">32e</t>
  </si>
  <si>
    <t xml:space="preserve">UPD32e</t>
  </si>
  <si>
    <t xml:space="preserve">Do the DCRs provide development controls, standards or incentives that enable the conservation and adaptive reuse of heritage buildings, precincts or historic areas?</t>
  </si>
  <si>
    <t xml:space="preserve">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t>
  </si>
  <si>
    <t xml:space="preserve">33</t>
  </si>
  <si>
    <t xml:space="preserve">Green-building incentives</t>
  </si>
  <si>
    <t xml:space="preserve">Does the city have a mandate to provide incentives for green buildings, and are these incentives operationalised?</t>
  </si>
  <si>
    <t xml:space="preserve">Sum of the sub-questions below</t>
  </si>
  <si>
    <t xml:space="preserve">33a</t>
  </si>
  <si>
    <t xml:space="preserve">UPD33a</t>
  </si>
  <si>
    <t xml:space="preserve">Does the law mandate incentives for green buildings ?</t>
  </si>
  <si>
    <t xml:space="preserve">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
Score 5 if the Act provides a clear mandate or enabling provision for green-building incentives, even if the specific incentives are to be prescribed subsequently through rules, regulations or other instruments. Score 0 otherwise.</t>
  </si>
  <si>
    <t xml:space="preserve">33b</t>
  </si>
  <si>
    <t xml:space="preserve">UPD33b</t>
  </si>
  <si>
    <t xml:space="preserve">Does your city give incentives for green buildings ?</t>
  </si>
  <si>
    <t xml:space="preserve">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</si>
  <si>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 xml:space="preserve">34</t>
  </si>
  <si>
    <t xml:space="preserve">Land-management instruments</t>
  </si>
  <si>
    <t xml:space="preserve">Does the law enable a guaranteed land titling system ?</t>
  </si>
  <si>
    <t xml:space="preserve">Part A – Legal/Policy Provision
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
Where the framework is provided through an Act, check whether the rules/regulations necessary to operationalise the land titling framework have been notified.
Scoring:
Score 10: Land titling is provided through an Act and the necessary rules/regulations have been notified; OR an applicable Government Order/circular/notification establishes an operational framework that does not require separate rules.
Score 5: A land titling Act has been enacted, but the necessary rules/regulations have not been notified.
Score 0: No land titling law or applicable Government Order/circular/notification exists.</t>
  </si>
  <si>
    <t xml:space="preserve">35</t>
  </si>
  <si>
    <t xml:space="preserve">UPD35</t>
  </si>
  <si>
    <t xml:space="preserve">Does the law enable a guaranteed land pooling system ?</t>
  </si>
  <si>
    <t xml:space="preserve">Part A – Legal/Policy Provision
Check whether the State has enacted legislation or issued a Government Order/circular/notification providing for a land assembly/reconstitution mechanism such as:
a. Town Planning Scheme (TPS)/land reconstitution; or
b. Land pooling.
Score 5 if at least one such mechanism is formally provided for through legislation or an applicable Government Order/circular/notification. Score 0 otherwise.
Part B – Operationalisation
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t>
  </si>
  <si>
    <t xml:space="preserve">Note: Record separately whether the applicable mechanism is TPS/land reconstitution, land pooling, or both. </t>
  </si>
  <si>
    <t xml:space="preserve">36</t>
  </si>
  <si>
    <t xml:space="preserve">UPD36</t>
  </si>
  <si>
    <t xml:space="preserve">Development Compliance</t>
  </si>
  <si>
    <t xml:space="preserve">Development approvals</t>
  </si>
  <si>
    <t xml:space="preserve">Does your city have a single window clearance process in place for  development projects that are in conformity with municipal/city plans?</t>
  </si>
  <si>
    <t xml:space="preserve">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t>
  </si>
  <si>
    <t xml:space="preserve">37</t>
  </si>
  <si>
    <t xml:space="preserve">UPD37</t>
  </si>
  <si>
    <t xml:space="preserve">Enforcement</t>
  </si>
  <si>
    <t xml:space="preserve">Is there an effective system to prevent approval of plans that are not in conformity with municipal/city plan?</t>
  </si>
  <si>
    <t xml:space="preserve">Law or Policy/Implementation</t>
  </si>
  <si>
    <t xml:space="preserve">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10 only if all four of the above aspects are met
Score 0 otherwise.</t>
  </si>
  <si>
    <t xml:space="preserve">38</t>
  </si>
  <si>
    <t xml:space="preserve">UPD38</t>
  </si>
  <si>
    <t xml:space="preserve">Construction monitoring</t>
  </si>
  <si>
    <t xml:space="preserve">Does the law mandate mechanisms for monitoring ongoing construction/development projects for compliance with approved plans and permissions?  </t>
  </si>
  <si>
    <t xml:space="preserve">38a</t>
  </si>
  <si>
    <t xml:space="preserve">UPD38a</t>
  </si>
  <si>
    <t xml:space="preserve">Does the law mandate a system for monitoring ongoing construction/projects for possible violations?</t>
  </si>
  <si>
    <t xml:space="preserve">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</si>
  <si>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 xml:space="preserve">38b</t>
  </si>
  <si>
    <t xml:space="preserve">UPD38b</t>
  </si>
  <si>
    <t xml:space="preserve">Has a system for monitoring ongoing construction/projects for possible violations been implemented?</t>
  </si>
  <si>
    <t xml:space="preserve">Check the ULG/Development Authority websites whether the monitoring process includes all of the following:
1.Online self-assessment/reporting of construction progress, including uploading photographs and requisite compliance documents
2. Periodic ground surveys/inspections of approved projects, covering either all projects or a defined sample
3. Public disclosure of monitoring information, including compliance numbers/status, violations registered and action taken.
Score 5 if all three elements are operational.
Score 0 otherwise.</t>
  </si>
  <si>
    <t xml:space="preserve">39</t>
  </si>
  <si>
    <t xml:space="preserve">UPD39</t>
  </si>
  <si>
    <t xml:space="preserve">Corrective action</t>
  </si>
  <si>
    <t xml:space="preserve">Are there provisions to penalise violating plans?</t>
  </si>
  <si>
    <t xml:space="preserve">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</si>
  <si>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Please give the text of the provisions in the scorer comment's column in the scoresheet</t>
  </si>
  <si>
    <t xml:space="preserve"> </t>
  </si>
  <si>
    <t xml:space="preserve">Ahmedabad</t>
  </si>
  <si>
    <t xml:space="preserve">Bangalore</t>
  </si>
  <si>
    <t xml:space="preserve">Bhopal</t>
  </si>
  <si>
    <t xml:space="preserve">Bhubaneswar</t>
  </si>
  <si>
    <t xml:space="preserve">Chandigarh</t>
  </si>
  <si>
    <t xml:space="preserve">Chennai</t>
  </si>
  <si>
    <t xml:space="preserve">Dehradun</t>
  </si>
  <si>
    <t xml:space="preserve">Delhi</t>
  </si>
  <si>
    <t xml:space="preserve">Guwahati</t>
  </si>
  <si>
    <t xml:space="preserve">Hyderabad</t>
  </si>
  <si>
    <t xml:space="preserve">Jaipur</t>
  </si>
  <si>
    <t xml:space="preserve">Kanpur</t>
  </si>
  <si>
    <t xml:space="preserve">Kolkata</t>
  </si>
  <si>
    <t xml:space="preserve">Lucknow</t>
  </si>
  <si>
    <t xml:space="preserve">Ludhiana</t>
  </si>
  <si>
    <t xml:space="preserve">Mumbai</t>
  </si>
  <si>
    <t xml:space="preserve">Patna</t>
  </si>
  <si>
    <t xml:space="preserve">Pune</t>
  </si>
  <si>
    <t xml:space="preserve">Raipur</t>
  </si>
  <si>
    <t xml:space="preserve">Ranchi</t>
  </si>
  <si>
    <t xml:space="preserve">Surat</t>
  </si>
  <si>
    <t xml:space="preserve">Thiruvananthapuram</t>
  </si>
  <si>
    <t xml:space="preserve">Visakhapatnam</t>
  </si>
  <si>
    <t xml:space="preserve">Solan</t>
  </si>
  <si>
    <t xml:space="preserve">Panaji</t>
  </si>
  <si>
    <t xml:space="preserve">Agartala</t>
  </si>
  <si>
    <t xml:space="preserve">New York</t>
  </si>
  <si>
    <t xml:space="preserve">London</t>
  </si>
  <si>
    <t xml:space="preserve">Johannesburg</t>
  </si>
  <si>
    <t xml:space="preserve">ENTER</t>
  </si>
  <si>
    <t xml:space="preserve">Derived</t>
  </si>
  <si>
    <t xml:space="preserve">UPD_Scores</t>
  </si>
  <si>
    <t xml:space="preserve">UPD_OVERALL_SCORE</t>
  </si>
  <si>
    <t xml:space="preserve">No. of MQs not yet scored ("?") - overall score is provisional while &gt; 0</t>
  </si>
  <si>
    <t xml:space="preserve">No. of MQs marked NA (excluded from overall score)</t>
  </si>
  <si>
    <t xml:space="preserve">Is there a provision for the establishment of Planning Authorties for notified new towns or special developments?</t>
  </si>
  <si>
    <t xml:space="preserve">Check if the T&amp;CP act has provisions for establishing a planning authority for new areas/towns notified. The state can also be considered, if the provision mandates the existing planning authority to develop a plan for the notified new area. </t>
  </si>
  <si>
    <t xml:space="preserve">The T&amp;CP act should mandate three levels of master plans. </t>
  </si>
  <si>
    <t xml:space="preserve">4a</t>
  </si>
  <si>
    <t xml:space="preserve">UPD4a</t>
  </si>
  <si>
    <t xml:space="preserve">4b</t>
  </si>
  <si>
    <t xml:space="preserve">UPD4b</t>
  </si>
  <si>
    <t xml:space="preserve">Check the T&amp;CP act for provisions that mandate the creation of a municipal/city master plan. Relevant urban areas development authority act can also be considered for evidence. </t>
  </si>
  <si>
    <t xml:space="preserve">4c</t>
  </si>
  <si>
    <t xml:space="preserve">UPD4c</t>
  </si>
  <si>
    <t xml:space="preserve">Check the T&amp;CP act for provisions that mandate the creation of a third tier of plan at the zone/ward level. Town planning schemes that are developed within the framework of the master plan shall not be considered. </t>
  </si>
  <si>
    <t xml:space="preserve">
 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
For example:
Entire ULG only = Score 10
Entire ULG + 10 complete Gram Panchayats = Score 10
Entire ULG + 15 complete revenue villages = Score 10
Entire ULG + 2 complete taluks = Score 10
ULG + only part of a Gram Panchayat/revenue village = Score 0
Planning boundary itself divides the ULG, leaving part of the ULG outside the plan = Score 0
Use the notification/text defining the planning area as the primary source.
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t>
  </si>
  <si>
    <t xml:space="preserve">Check with Shreya on the methodology and relevancy of the question </t>
  </si>
  <si>
    <t xml:space="preserve">Check the state T&amp;CP act for provisions that delineate a decentralised plan approval process. </t>
  </si>
  <si>
    <t xml:space="preserve">8a</t>
  </si>
  <si>
    <t xml:space="preserve">Check if the T&amp;CP act/metropolitan planning act mandates the metropolitan/regional plan to be approved by the state government.</t>
  </si>
  <si>
    <t xml:space="preserve">8b</t>
  </si>
  <si>
    <t xml:space="preserve">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master plan is to be approved by the state. </t>
  </si>
  <si>
    <t xml:space="preserve">8c</t>
  </si>
  <si>
    <t xml:space="preserve">Check if the T&amp;CP act mandates the zonal/ward plans to be approved by the ULG. </t>
  </si>
  <si>
    <t xml:space="preserve">Objectives of each level of master plans</t>
  </si>
  <si>
    <t xml:space="preserve">Check the T&amp;CP act for provisions that detail the objectives and contents of each level of spatial plan. The Act should broadly mention what each level of spatial plan should cover. 
Score 3.33 each for the objectives and contents of - 
1. Metropolitan/regional plan
2. Municipal/city plan
3. Ward(s)/local plan 
If the T&amp;CP act provides for all three, score 10. </t>
  </si>
  <si>
    <t xml:space="preserve">Check whether the State has notified the rules for the MPC/DPC applicable to the city. If yes, score 5.
MPC applies to metropolitan cities (~46 cities); DPC applies for non-metropolitan cities</t>
  </si>
  <si>
    <t xml:space="preserve">Split methodology into Part A - mandate (municipal act or T&amp;CP act) Part B  - Constitution of MPC, rules </t>
  </si>
  <si>
    <t xml:space="preserve">Have they met at least once a year?</t>
  </si>
  <si>
    <t xml:space="preserve">Check whether the MPC/DPC has met at least once in the past two years. Score 5 where there is evidence of meeting in the last two year.
Evidence: State UD/Municipal Administration department notifications/constitution orders/website; MPC/DPC meeting minutes, agendas or resolutions; MPC/DPC and metropolitan planning authority/development authority websites and RTIs.
</t>
  </si>
  <si>
    <t xml:space="preserve">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t>
  </si>
  <si>
    <t xml:space="preserve">Master plan preparation, participation and review</t>
  </si>
  <si>
    <t xml:space="preserve">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t>
  </si>
  <si>
    <t xml:space="preserve">Check if the T&amp;CP act mandates public participation in preparation of municipal/city plan through:
Part A: Formal platforms such as ward committees and area sabhas. If yes, score 2.50.
Part B: Other means* for municipal/city plan. If yes, score 2.50
*Even if the provision alludes to 'public participation/consultation or consolidation of suggestions and objections without specifying the mode for the same
</t>
  </si>
  <si>
    <t xml:space="preserve">Check if the T&amp;CP act mandates public scrutiny (including objections and responses) through:
Part A: Formal platforms such as ward committees and area sabhas. If yes, score 2.50.
Part B: Other means* for municipal/city plan. If yes, score 2.50
*Even if the provision alludes to 'public scrutiny/consultation or consolidation of suggestions and objections without specifying the mode for the same</t>
  </si>
  <si>
    <t xml:space="preserve">Check Development Authority/ULG websites (as applicable) for consultation minutes/details/notifcations for inviting suggestions; newspaper reports; and the municipal/city master plan for evidence of public scrutiny. If such evidence is found, score 5.</t>
  </si>
  <si>
    <t xml:space="preserve">Does the law mandate periodic review and revision of the notified Master Plan, including corresponding revisions to the Development Control Regulations (DCRs)?</t>
  </si>
  <si>
    <t xml:space="preserve">Review the applicable State Town Planning Act.
Score 10: The law mandates periodic review and revision of the Master Plan, specifies a review/revision timeline and responsible authority, and requires corresponding review and revision of the DCRs, where necessary, following Master Plan revision.
Score 2.5 for each component and enter the sum if there are multiple components - 
1. The law mandates periodic review and revision of the Master Plan ((alluding to the revision or creation of a new master plan say after ten years) to the master plans shall not be considered).
2. Specifies a review/revision timeline 
3. Specifies for responsible authority
4. Requires corresponding review and revision of the DCRs following master plan revision</t>
  </si>
  <si>
    <t xml:space="preserve">Master plan objectives and contents</t>
  </si>
  <si>
    <t xml:space="preserve">Does the TCP act mandate the planning for:  </t>
  </si>
  <si>
    <t xml:space="preserve">Check the T&amp;CP/Urban Development Authority (UDA)/allied acts for provisions that mandate the planning authority to prepare:                                                                                                                   1.Water Supply/sewerage plan or mandate to have a water supply component as part of the municipal/city master plan. Score: 0.55                                                                                                             2. City sanitation plan or mandate to have a sanitation component as part of the municipal/city master plan. Score: 0.55                                                                                                                                                                                                                                                            3.Solid Waste Management Plan or mandate to have a solid waste management as part of the municipal/city master plan Score: 0.55
Provisions that make such a plan optional with 'may' provision shall not be considered. </t>
  </si>
  <si>
    <t xml:space="preserve">11c</t>
  </si>
  <si>
    <t xml:space="preserve">UPD11c</t>
  </si>
  <si>
    <t xml:space="preserve">11d</t>
  </si>
  <si>
    <t xml:space="preserve">UPD11d</t>
  </si>
  <si>
    <t xml:space="preserve">11e</t>
  </si>
  <si>
    <t xml:space="preserve">UPD11e</t>
  </si>
  <si>
    <t xml:space="preserve">11f</t>
  </si>
  <si>
    <t xml:space="preserve">UPD11f</t>
  </si>
  <si>
    <t xml:space="preserve">Check the T&amp;CP/Urban Development Authority (UDA)/allied acts for provisions that mandate the planning authority to prepare a social development plan or mandate to have a social development component as part of the master plan. Provisions that make such a plan optional with 'may' provision shall not be considered. Check if the social development plan includes components on planning for health, education and affordable housing. Score each component in the following manner:
1.Public health. Score: 0.55                                                                                                             
2. Education. Score: 0.55                                                                                                                                                                                                                                                            3. Affordable housing Score: 0.55</t>
  </si>
  <si>
    <t xml:space="preserve">Master plan status, hierarchy and coordination</t>
  </si>
  <si>
    <t xml:space="preserve">Existence of master plans at each level</t>
  </si>
  <si>
    <t xml:space="preserve">Document should mention the word municipal/development/city plan or master plan. Check the website of the urban development authority or ULG website or T&amp;CP Dept. Score 3.33 if any of these apply, else, 0. </t>
  </si>
  <si>
    <t xml:space="preserve">Validity of master plans</t>
  </si>
  <si>
    <t xml:space="preserve">Review the applicable municipal/ city plan to identify the valid period, and the gazette notification date of the current and immediately preceding master plan 
Score 10 — notified within the statutory period
Score 0 — Master plans that have lapsed and have not been replaced by a new master plan should be  treated as ‘no master plans/inactive master plans.
The scorer to capture in the scoring sheet the amount of time (in months) that has been passed since the end of the validity period
</t>
  </si>
  <si>
    <t xml:space="preserve">22a</t>
  </si>
  <si>
    <t xml:space="preserve">UPD22a</t>
  </si>
  <si>
    <t xml:space="preserve">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Master plan should not extend beyond 2021. </t>
  </si>
  <si>
    <t xml:space="preserve">22b</t>
  </si>
  <si>
    <t xml:space="preserve">UPD22b</t>
  </si>
  <si>
    <t xml:space="preserve">Is the Municipal master plan in a concurrent or nested timeline of validity with Ward master plan?</t>
  </si>
  <si>
    <t xml:space="preserve">Check whether the validity periods of the municipal/city master plan and ward/local-level plans overlap and are aligned, such that the validity of the ward/local-level plan does not extend beyond that of the municipal/city master plan. 
For example: if the municipal master plan is valid from 2021–2041, the applicable ward/zonal/local-level plan should fall within and not extend beyond 2041.</t>
  </si>
  <si>
    <t xml:space="preserve">Do the master plans at each level, integrate the plans and priorities of various sectoral public departments and agencies? </t>
  </si>
  <si>
    <t xml:space="preserve">Check if creation of the master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master plan, or as MoM / notes on the planning authority's website. </t>
  </si>
  <si>
    <t xml:space="preserve">Objectives of the master plan</t>
  </si>
  <si>
    <t xml:space="preserve">Does the Master Plan include objectives on jobs and economy?</t>
  </si>
  <si>
    <t xml:space="preserve">Check whether the municipal/city plan identifies key economic development priorities and provides measurable targets/outcomes for them. These may include:
Increase in workforce participation.
Number of jobs to be generated across economic sectors.
Land identified/allocated for economic activities.
Number/area of enterprises, industries or commercial activities to be facilitated.
Provision of designated spaces/facilities for street vendors and other informal livelihoods.
Score based on whether the municipal/city plan contains both:
1. A clearly stated objective or priority in the Master Plan relating to the city’s economy, employment or livelihoods. This could include job creation, workforce participation, industrial/commercial development, informal livelihoods, economic clusters, markets, tourism, or allocating land/infrastructure to support economic activity.
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master plan does not identify clear economic development priorities and associated interventions. General or aspirational references to economic development, employment, jobs or livelihoods without clearly identified priorities and interventions shall not be considered for scoring.</t>
  </si>
  <si>
    <t xml:space="preserve">Does the Master Plan include objectives on environment and heritage conservation?</t>
  </si>
  <si>
    <t xml:space="preserve">Check whether the municipal/city master plan identifies clear priorities, interventions and measurable targets/outcomes across the following two components:
Natural Environment and Climate Resilience
These may include:
Protection, enhancement or increase of recreational and non-recreational green spaces, urban forests and natural habitats.
Conservation, restoration or revival of lakes, wetlands and other water bodies.
Protection of environmentally sensitive areas and natural assets through appropriate zoning, buffers or other development controls.
Increase in green cover, afforestation or reforestation.
Protection/restoration of biodiversity and ecologically significant areas.
Reduction in air, water and soil pollution.
Climate-change mitigation and adaptation, including reduction in greenhouse gas emissions.
Promotion of renewable energy and clean technologies.
Disaster-risk reduction and resilience of natural systems.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</si>
  <si>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Check whether the municipal/city master plan identifies clear priorities, interventions and measurable targets/outcomes across the following two components:                                                                       Heritage Conservation
These may include:
Identification and protection of heritage buildings, precincts, sites and other heritage assets.
Identification and protection of natural heritage and culturally significant landscapes.
Conservation, restoration or adaptive reuse of heritage buildings/sites.
Designation of heritage zones/precincts and appropriate development controls or buffer areas.
Protection of the character and built form of heritage areas.
Integration of heritage conservation with redevelopment and other development proposals.
Measurable targets for conservation, restoration or protection of identified heritage assets/precincts. 
For each component, score as follows:
Score 5: The municipal/city master plan identifies clear priorities and associated interventions/actions and provides measurable/quantifiable targets or outcome indicators.
Score 2.5: The municipal/city master plan identifies clear priorities and associated interventions/actions, but does not provide measurable targets/outcome indicators.
Score 0: The component is absent, or is referred to only in general/aspirational terms without clearly identified priorities and associated interventions.</t>
  </si>
  <si>
    <t xml:space="preserve">Does the Master Plan include objectives on social development (health care, education)?</t>
  </si>
  <si>
    <t xml:space="preserve">Check whether the municipal/city master plan identifies clear priorities, interventions and measurable targets/outcomes across the following three components:</t>
  </si>
  <si>
    <t xml:space="preserve">Education
These may include:
Coverage/accessibility of anganwadis and pre-primary facilities.
Availability of schools relative to population/service standards.
Accessibility of educational facilities, including for persons with disabilities.
Other measurable education-related service or accessibility outcomes.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</si>
  <si>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Healthcare
These may include:
Coverage/accessibility of dispensaries and primary healthcare facilities.
Coverage/accessibility of hospitals, maternity/child welfare centres, rehabilitation or diagnostic facilities.
Improvements in access to healthcare.
Public-health outcomes, including reduction in vector-borne diseases or other locally relevant health risks.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</si>
  <si>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Affordable housing
These may include:
Assessment of existing and projected affordable housing requirements.
Number/percentage of slums or inadequate settlements proposed for rehabilitation/upgradation.
Provision of affordable housing - Identification of land parcels.
Increase in affordable housing as a proportion of housing stock.
Access to livelihood opportunities, public transport and basic services.
For each component, score as follows:
Score: 3.33 - The municipal/city master plan identifies clear priorities and associated interventions/actions and provides measurable/quantifiable targets or outcome indicators.
Score: 1.67 -  If the municipal/city master plan identifies clear priorities and associated interventions/actions, but does not provide measurable targets/outcome indicators.
Score 0 if the component is absent, or is referred to only in general/aspirational terms without clearly identified priorities and associated interventions.</t>
  </si>
  <si>
    <t xml:space="preserve">Does the master plan include objectives for women?</t>
  </si>
  <si>
    <t xml:space="preserve">Check whether the municipal/city master plan identifies clear priorities, interventions and measurable targets/outcomes relating to women’s inclusion and access to the city.
These may include:
Economic participation and livelihoods: Measures to support women’s participation in formal and informal employment, including access to employment centres, markets, vending spaces and other livelihood opportunities.
Access to infrastructure and basic services: Equitable access to housing, water and sanitation, healthcare, education, childcare and other public services.
Mobility and accessibility: Safe and accessible public transport, walking and cycling infrastructure, and improved connectivity to employment and essential services.
Safety and public spaces: Measures to improve women’s safety and access to streets, public spaces, parks and other public facilities.
Care infrastructure: Provision and accessibility of childcare, care facilities and other infrastructure that supports women’s participation in economic and public life.
Score 10: The municipal/city master plan identifies clear priorities relating to women’s inclusion and associated interventions/actions and provides measurable/quantifiable targets or outcome indicators.
Score 5: The municipal/city master plan identifies clear priorities relating to women’s inclusion and associated interventions/actions, but does not provide measurable targets/outcome indicators.
Score 0: The municipal/city master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t>
  </si>
  <si>
    <t xml:space="preserve">Is there a common digital base master plan Map shared among Planning Authorities, and data updated through GIS with fixed periodicity by the relevent sectoral agencies (transport, network infrastructure, land use changes)</t>
  </si>
  <si>
    <t xml:space="preserve">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If the plan identifies atleast two of the above points score 3.3, else score 0. 
General statements of intent, such as improving sanitation, achieving universal water supply or creating a clean city, without identifiable priorities/interventions and measurable objectives or targets, shall not qualify.   </t>
  </si>
  <si>
    <t xml:space="preserve">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
A general reference to the ULG as a stakeholder or participating institution, without identifiable responsibilities, shall not qualify</t>
  </si>
  <si>
    <t xml:space="preserve">Check the master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master plan/DP) to be scored.  A Disaster Management Plan may also be considered as evidence.  If the plan/ strategy does exist  score 3.3, or score 0 otherwise.                                                                                                                                Note: A draft document. Independent consultant's report/academic /NGO reports will not be considered.</t>
  </si>
  <si>
    <t xml:space="preserve">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
A general statement of intent, such as becoming climate-resilient, sustainable or reducing emissions, without identifiable priorities and measurable objectives or targets, shall not qualify.
Score 3.3 if the plan identifies atleast two or more clear priorities and includes measurable objectives or targets against those priorities; score 0 otherwise.</t>
  </si>
  <si>
    <t xml:space="preserve">29c</t>
  </si>
  <si>
    <t xml:space="preserve">UPD29c</t>
  </si>
  <si>
    <t xml:space="preserve">Score 3.3 where the plan clearly articulates the role/responsibilities of the ULG in its preparation/implementation; score 0 otherwise.</t>
  </si>
  <si>
    <t xml:space="preserve">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
Check whether the city has a Comprehensive Mobility Plan (CMP) that has been formally adopted or approved by the competent authority, such as the UMTA, the Urban Development Department, Transport Department or the ULG/Council through a resolution. Sources may include the master plan, the ULB website, parastatal websites, and the UMTA or State Transport Department website.
A draft CMP, a consultant's report, or an unadopted study, without evidence of formal adoption or approval, shall not qualify.
Score 3.33 if the city has a CMP formally adopted or approved by the competent authority; score 0 otherwise.</t>
  </si>
  <si>
    <t xml:space="preserve">30c</t>
  </si>
  <si>
    <t xml:space="preserve">UPD30c</t>
  </si>
  <si>
    <t xml:space="preserve">31a</t>
  </si>
  <si>
    <t xml:space="preserve">UPD31a</t>
  </si>
  <si>
    <t xml:space="preserve">Check the municipal/city plan, ULG website, relevant parastatal website, or city/district website for the existence of an Economic Vision, Economic Development Plan or equivalent city-level economic strategy. The document must:
Be a final document; draft documents shall not be considered.
Be formally adopted/approved by the competent authority, evidenced through a Municipal Corporation/Council resolution, Government Order, formal approval by the competent authority, or integration into the statutory Master Plan/Development Plan.
Be currently active/applicable. Where the document specifies a validity or implementation period, the city must be within that period at the time of assessment. An expired or superseded plan shall not be considered.
Independent consultant reports, academic studies/reports, background studies or other documents that have not been formally adopted/approved by the competent authority shall not be considered.
Score 3.3 if the city has a final, formally adopted/approved and currently active/applicable Economic Vision, Economic Development Plan or equivalent city-level economic strategy that meets all the above conditions; score 0 otherwise.</t>
  </si>
  <si>
    <t xml:space="preserve">31b</t>
  </si>
  <si>
    <t xml:space="preserve">UPD31b</t>
  </si>
  <si>
    <t xml:space="preserve">31c</t>
  </si>
  <si>
    <t xml:space="preserve">UPD31c</t>
  </si>
  <si>
    <t xml:space="preserve">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10 if there is evidence that an Urban Design Cell/Unit/Vertical exists, including a qualifying shared State/district-level resource for towns below five lakh; score 0 otherwise.
 </t>
  </si>
  <si>
    <t xml:space="preserve">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10 if there is evidence that such a cell/unit/vertical exists and is functional for the city, including a qualifying shared state/district-level resource for towns below five lakh; score 0 otherwise.</t>
  </si>
  <si>
    <t xml:space="preserve">Does the city have an Economic Develeopment Cell ?</t>
  </si>
  <si>
    <t xml:space="preserve">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an economic development cell/unit/vertical exists and is functional for the city; score 0 otherwise.
Applicability: this indicator is applicable only to million-plus cities (population of 10 lakh or more). For all other cities, score NA. </t>
  </si>
  <si>
    <t xml:space="preserve">25d</t>
  </si>
  <si>
    <t xml:space="preserve">UPD25d</t>
  </si>
  <si>
    <t xml:space="preserve">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10 if there is evidence that a dedicated women’s welfare/development cell/unit/vertical exists and is functional for the city; score 0 otherwise.
Applicability: This indicator is applicable only to million-plus cities. For all non-million-plus cities, score NA.</t>
  </si>
  <si>
    <t xml:space="preserve">37a</t>
  </si>
  <si>
    <t xml:space="preserve">UPD37a</t>
  </si>
  <si>
    <t xml:space="preserve">37b</t>
  </si>
  <si>
    <t xml:space="preserve">UPD37b</t>
  </si>
  <si>
    <t xml:space="preserve">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
Score 5 if a city-level parking policy exists or its formal adoption can be established through reliable evidence. Score 0 otherwise.
Note: Score this question independently of the legal mandate. A city may score 5 on this question even where there is no legal mandate for a parking policy.</t>
  </si>
  <si>
    <t xml:space="preserve">Is there an effective system to monitor ongoing construction/projects for possible violations?</t>
  </si>
  <si>
    <t xml:space="preserve">Check the applicable T&amp;CP Act or the allied Act, and municipal act for provisions for the following:
1. Authority to inspect ongoing construction/projects.
2. Stage-wise inspections or monitoring during construction, including, where applicable, commencement, plinth, intermediate stages and/or completion.
3. Power to issue notices or stop-work directions where unauthorised or non-conforming construction is identified. Score 5 if all three of the aspects are met. 
Score 0 otherwise.</t>
  </si>
  <si>
    <t xml:space="preserve">Check the ULG/Development Authority websites whether the monitoring process includes all of the following:
Online self-assessment/reporting of construction progress, including uploading photographs and requisite compliance documents
Periodic ground surveys/inspections of approved projects, covering either all projects or a defined sample
Public disclosure of monitoring information, including compliance numbers/status, violations registered and action taken.
Score 5 if all three elements are operational.
Score 0 otherwise.</t>
  </si>
  <si>
    <t xml:space="preserve">Check the applicable Master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
Score 5 if at least one green-building incentive is operational in the city, based on an official source or reliable secondary evidence.
Score 0 if no such incentive can be established.</t>
  </si>
  <si>
    <t xml:space="preserve">Does your city have a single window clearance process in place for  development projects that are in conformity with Master Plans?</t>
  </si>
  <si>
    <t xml:space="preserve">40</t>
  </si>
  <si>
    <t xml:space="preserve">UPD40</t>
  </si>
  <si>
    <t xml:space="preserve">Is there an effective system to prevent approval of plans that are not in conformity with Master Plan?</t>
  </si>
  <si>
    <t xml:space="preserve">Check whether there is a system with all of the following aspects:
1. An approval authority for projects at each level, as defined under the T&amp;CP Act or allied Act and/or the MPC Act
2. A defined process for rejection and/or variance approvals for plans that are not in conformity with the SDP, as provided under the T&amp;CP Act or allied Act and/or the MPC Act
3. A registry of public projects (bus terminals, metro stations, railway stations, protected heritage buildings) and private projects. Evidence can be present on ULG/Development Authority websites
4. Disclosure of all approvals, denials and variance approvals in the public domain. Evidence can be present on ULG/Development Authority websites
Score 5 only if all four of the above aspects are met
Score 0 otherwise.</t>
  </si>
  <si>
    <t xml:space="preserve">41</t>
  </si>
  <si>
    <t xml:space="preserve">UPD41</t>
  </si>
  <si>
    <t xml:space="preserve">42</t>
  </si>
  <si>
    <t xml:space="preserve">UPD42</t>
  </si>
  <si>
    <t xml:space="preserve">corrective action</t>
  </si>
  <si>
    <t xml:space="preserve">Check if the T&amp;CP act mentions the penal provisions under the following heads (at least five of the below to mark as 'Yes'):
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</si>
  <si>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1. DCR (Development Control Regulations) violations:                                  
a. Zoning/ land use
b. Permitted uses (including change in building use eg; dwelling to commercial use; warehouse to office space etc.)
c. Setbacks (setbacks are the minimum space required between the plot boundary and building), 
d. Building height (maximum permissible height according to the location)
e. Floor Area Ratio (FAR)/ Floor Space Index (FSI)
f. Parking 
g. Heritage conservation (violations occur if such areas/structures are recognised to be of historical importance)
i. Environmental conservation
etc
2. Building code violations: (at plan approval stage, these codes dictate the following details)
a. Fire norms (primarily important at both plan approval level and again at Occupancy Certificate (OC) level)
b. Provision of lifts and staircases
c. Corridor length
d. Earthquake/flood/tsunami/flood resistance (in disaster prone areas)
e. Plot access (the points of entry/exit to your building/plot in accordance with the road)
f. Loading/ unloading bays (for commercial and industrial buildings, service access, safety etc. as detailed out by building code)
etc
3. NOC violations
a. Fire safety
b. Water supply and sewerage (absence of rainwater harvesting systems, discharge of waste into any public land, alley, waterbody, sidewalk etc.)
c. Electricity (particularly for large-scale/commercial buildings)
d. Pollution
e. Solid waste management
f. Height (near airports)
4. Encroachment of land
5. Building refurbishment without permit/ approvals (addition/demolition/remodeling etc.)
6. Urban design regulations vioations (includes signages, dispaly boards, streetscapes, pedestrian circulation, open areas, plazas, arcades etc.)</t>
  </si>
  <si>
    <t xml:space="preserve">Defintions/notes/list </t>
  </si>
  <si>
    <t xml:space="preserve">Spatial plans</t>
  </si>
  <si>
    <t xml:space="preserve">Metropolitan plan </t>
  </si>
  <si>
    <t xml:space="preserve">City Plan/Municipal Plan</t>
  </si>
  <si>
    <t xml:space="preserve">Ward level/local area Plan </t>
  </si>
  <si>
    <t xml:space="preserve">Zonal development plans, planning district plans or equivalent sub-city plans may be considered in place of ward-level plans where applicable.</t>
  </si>
  <si>
    <t xml:space="preserve">Scorer comments</t>
  </si>
  <si>
    <t xml:space="preserve">Implementation needs to be checked for all questions  irrespective of the score on mandate</t>
  </si>
  <si>
    <t xml:space="preserve">Change score from 3.30 to 3.33</t>
  </si>
  <si>
    <t xml:space="preserve">DCR </t>
  </si>
  <si>
    <t xml:space="preserve">Different normenclature of DCR - check with Meghamala</t>
  </si>
  <si>
    <t xml:space="preserve">How 'NA' is marked/treated in ASICS 2027 </t>
  </si>
  <si>
    <t xml:space="preserve">Is there a provision for a State Spatial Planning Board which is mandated with planning policies and reforms for the state, and is the final approving authority for Regional and Municipal Master Plans ?</t>
  </si>
  <si>
    <t xml:space="preserve">Part A: Check for the existence of a town planning body with the mandate for state spatial planning and reform. Check if the state Town and Country Planning (T&amp;CP) act has a provision for the constitution of state town planning board/trust/commission/advisory council. If the act provides for such a body with a 'may' provision (for ex. - "State may constitute..."), also, check for the constitution of a state town planning body.  Part B: Check if such a body is the final approving authority for regional plan.</t>
  </si>
  <si>
    <t xml:space="preserve">Does the Act require 3 levels of Master Plans for Metropolitian cities: Regional, Municipal and Ward(s) /Local</t>
  </si>
  <si>
    <t xml:space="preserve">Metropolitan Master Plan</t>
  </si>
  <si>
    <t xml:space="preserve">Check the T&amp;CP/Metropolitan Planning Act for provisions that mandate the creation of a metropolitan plan for the metropolitan region. Relevant metropolitan authority act/urban areas development authority act can also be considered for evidence. In the case of states that do not have a metropolitan area, the act should mandate the creation of a regional plan.</t>
  </si>
  <si>
    <t xml:space="preserve">Municipal Master Plan</t>
  </si>
  <si>
    <t xml:space="preserve">Check the T&amp;CP act for provisions that mandate the creation of a municipal master plan. Relevant urban areas development authority act can also be considered for evidence. </t>
  </si>
  <si>
    <t xml:space="preserve">Ward Master Plan</t>
  </si>
  <si>
    <t xml:space="preserve">Check the T&amp;CP act for provisions that mandate the creation of a third tier of plan at the zone/ward level. Town planning schemes that are developed within the framework of the master plan shall not be considered.</t>
  </si>
  <si>
    <t xml:space="preserve">Are planning boundaries for Metropolitian master plan, Municipal master plan and Ward(s) master plan clearly defined in accordance with political, planning, and administrative structures ?</t>
  </si>
  <si>
    <t xml:space="preserve">Planning boundary for a metropolitan plan should include entire district boundaries with no part districts included/excluded. Consider administrative district boundaries. Metro cities not having a metro plan would be scored 0 and non-metro cities to be scored NA. </t>
  </si>
  <si>
    <t xml:space="preserve">Institutional responsibility for master plan preparation and approval</t>
  </si>
  <si>
    <t xml:space="preserve">Does the law clearly assign institutional responsibility for preparing and approving master plans at each level?</t>
  </si>
  <si>
    <t xml:space="preserve">Review the applicable T&amp;CP/Planning Act, Metropolitan/Regional Planning Act, Development Authority Act, and relevant rules/regulations.
Part A: Preparation – 1.67 marks 
Look for an express provision or allied provision that clearly assigns responsibility for preparing, making, drawing up, formulating, or causing the Metropolitan/Regional master plan to be prepared. Score 1.67 if responsibility for preparation is clearly assigned to a specified institution/authority.
Score 0 if responsibility is not clearly assigned or can only be inferred from a general planning function.
Part B: Approval – 1.67 marks
Look for an express provision or allied provision that clearly assigns final approval, sanction or adoption authority for the Metropolitan/Regional master plan. For a Metropolitan/Regional or District-level plan, the final approving authority should be the State Government or a State-level authority/body legally empowered to exercise this function.
Score 1.67 if the final approving authority is clearly specified as the State Government or an appropriately empowered State-level body.
Score 0 otherwise.
Note: Score 0 for the entire sub-question where the same institution is both the sole preparer and final approving authority, without an independent statutory approval/scrutiny layer. Record separately in the score sheet where such an arrangement exists and identify the institutions involved.
The score sheet should also record, without separate scoring, the respective roles of the MPC/DPC, Development Authority/Regional Planning Authority, ULG, and State Government, including any role in preparation, consultation, recommendation, adoption, scrutiny, or approval.</t>
  </si>
  <si>
    <t xml:space="preserve">6a</t>
  </si>
  <si>
    <t xml:space="preserve">UPD8a</t>
  </si>
  <si>
    <t xml:space="preserve">UPD6a</t>
  </si>
  <si>
    <t xml:space="preserve">Does the law clearly identify the authority responsible for preparation and approval of the Metropolitan/Regional master plan?</t>
  </si>
  <si>
    <t xml:space="preserve">Replicate as applicable from above</t>
  </si>
  <si>
    <t xml:space="preserve">6b</t>
  </si>
  <si>
    <t xml:space="preserve">UPD8b</t>
  </si>
  <si>
    <t xml:space="preserve">UPD6b</t>
  </si>
  <si>
    <t xml:space="preserve">Does the law clearly identify the authority responsible for preparation and approval of the Municipal master plan, including the role of the ULG?</t>
  </si>
  <si>
    <t xml:space="preserve">6c</t>
  </si>
  <si>
    <t xml:space="preserve">UPD8c</t>
  </si>
  <si>
    <t xml:space="preserve">UPD6c</t>
  </si>
  <si>
    <t xml:space="preserve">Does the law clearly identify the authority responsible for preparation and approval of the Ward/Local master plan, with an appropriate role for the ULG/Ward Committee?</t>
  </si>
  <si>
    <t xml:space="preserve">Check if the T&amp;CP act mandates the zonal/ward master plans to be approved by the ULG. </t>
  </si>
  <si>
    <t xml:space="preserve">Does the Act define clearly the Objectives and Contents of each level of master plan?</t>
  </si>
  <si>
    <t xml:space="preserve">Check the T&amp;CP act for provisions that detail the contents/objectives of each level of plan. Act should broadly mention what the master plan should cover at each or at any level; details of a master plan/comprehensive development plan prescribed by the law can also be considered. </t>
  </si>
  <si>
    <t xml:space="preserve">Is there a clear provision for a competent technical cell to enable preparation of the master plan for each level?</t>
  </si>
  <si>
    <t xml:space="preserve">Check if the T&amp;CP act/urban development authorities act provides for a body (like a development authority) at each level of master plan, which would function as the technical arm for planning the city.</t>
  </si>
  <si>
    <t xml:space="preserve">Does the city have an MPC/DPC?</t>
  </si>
  <si>
    <t xml:space="preserve"> Constitution (5): Check whether the State has notified the rules for, and has actually constituted, the MPC/DPC applicable to the city. Score 5 where the committee is duly constituted per the notified rules; score 0 otherwise. MPC applies to metropolitan areas (~46 cities); DPC applies at the district level - assess whichever is applicable to the city, and mark NA only where neither is legally applicable</t>
  </si>
  <si>
    <t xml:space="preserve">Functioning (5): Check whether the constituted MPC/DPC has met at least once in the past year. Score 5 where a meeting in the last year can be evidenced; score 0 otherwise.
Evidence: State UD/Municipal Administration department notifications and constitution orders; MPC/DPC meeting minutes, agendas or resolutions; city/committee websites. Note: MPC/DPC proceedings are frequently not published online, so the functioning sub-question may require primary/RTI-based verification.</t>
  </si>
  <si>
    <t xml:space="preserve">Check whether the city has a statutory metropolitan-level authority constituted under a dedicated law - for example the Greater Bengaluru Authority (GBA) under the Greater Bengaluru Governance Act, 2024. Score 10 where such a metropolitan authority has been established by law and constituted for the city; score 0 otherwise.                                             Note: The question is NA for non-metropolitan cities (cities not falling within a notified metropolitan area/region).                                                                     Evidence: the relevant metropolitan authority Act and constitution notification/Government Order, State Urban Development department notifications, and the authority's official website</t>
  </si>
  <si>
    <t xml:space="preserve">Does the law mandate participation of all parastatals/ agencies /ULGs  in creation of metropolitan master plans?</t>
  </si>
  <si>
    <t xml:space="preserve">Check the T&amp;CP act for provisions that mandate the participation of all parastatals/agencies/ULGs in creation of master plans at all three levels with respect to its jurisdiction. The clause may either state verbatim "all parastatals/agencies/ULBs"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t>
  </si>
  <si>
    <t xml:space="preserve">Does the law mandate public participation in preparation of the municipal plan  through Area Sabhas / Ward Sabhas and other means?</t>
  </si>
  <si>
    <t xml:space="preserve">"Part A: Check if the T&amp;CP act mandates public participation in preparation of each level of the plan.
Part B: Check if such participation is mandated through formal platforms such as ward committees and area sabhas."</t>
  </si>
  <si>
    <t xml:space="preserve">Questions split into implementation and policy </t>
  </si>
  <si>
    <t xml:space="preserve">Does the law mandate public scrutiny at (including objections and responses) municipal plan through Area Sabhas / Ward Sabhas and other means?</t>
  </si>
  <si>
    <t xml:space="preserve">"Part A: Check if the T&amp;CP act mandates public scrutiny (including objections and responses) at each level of the plan.
Part B: Check if such scrutiny is mandated through formal platforms such as ward committees and area sabhas."</t>
  </si>
  <si>
    <t xml:space="preserve">Are there provisions in the Act for modifications to notified master plans?</t>
  </si>
  <si>
    <t xml:space="preserve">Check if the T&amp;CP act/urban development act has provisions to make modifications for the master plans after it is notified. Provisions that enable the planning authority/state to make periodic changes (alluding to the revision or creation of a new master plan say after ten years) to the master plans shall not be considered. </t>
  </si>
  <si>
    <t xml:space="preserve">Does the law mandate a periodic implementation review of the master plan against its stated targets?</t>
  </si>
  <si>
    <t xml:space="preserve">Review the applicable State Town Planning Act/Rules.
Score 10 — the Act/Rules mandate a periodic (e.g., annual/bi-annual/5 years) review of master plan implementation against stated targets and a named responsible authority/reporting mechanism.
Score 5 — the Act refers generally to “monitoring” or “review” of the master plan and specify either one, periodicity or a responsible authority.
Score 2.5 — the Act refers generally to “monitoring” or “review” of the master plan without specifying periodicity or a responsible authority.
Score 0 — the Act/Rules are silent on implementation review.</t>
  </si>
  <si>
    <t xml:space="preserve">11. Check the T&amp;CP and other relevant acts as prescribed below:</t>
  </si>
  <si>
    <t xml:space="preserve">a) Sanitation</t>
  </si>
  <si>
    <t xml:space="preserve">11(a) Check the T&amp;CP/Urban Development Authority (UDA)/Municipal acts for provisions that mandate the planning authority to prepare a city sanitation plan or mandate to have a sanitation component as part of the master plan. Provisions that make such a plan optional with 'may' provision shall not be considered. In the absence of such mandates in T&amp;CP/relevant UDA act/municipal act, check if the state has adopted a state sanitation strategy/policy that mandates ULGs to draw up a city sanitation plan.</t>
  </si>
  <si>
    <t xml:space="preserve">b) Resilience</t>
  </si>
  <si>
    <t xml:space="preserve">11(b) Check the T&amp;CP/UDA/municipal act for provisions that mandate the planning authority to prepare a disaster management/resilience plan or mandate to have a disaster management component as a part of the master plan. Provisions that make such a plan optional with 'may' provision shall not be considered. In the absence of such mandates in T&amp;CP/relevant UDA act/municipal act, check if the state has adopted a state disaster management act/rules that mandate ULGs to draw up a disaster management/resilience plan.</t>
  </si>
  <si>
    <t xml:space="preserve">11(c) Check the T&amp;CP/UDA/municipal acts for provisions that mandate the planning authority to prepare a mobility plan or mandate to have a mobility component as part of the master plan. Provisions that make such a plan optional with 'may' provision shall not be considered. In the absence of such mandates in T&amp;CP/relevant UDA act/municipal act, check if the state has adopted a state urban transportation policy/strategy that mandates ULGs to draw up a comprehensive mobility plan.</t>
  </si>
  <si>
    <t xml:space="preserve">d) Sustainability</t>
  </si>
  <si>
    <t xml:space="preserve">11(d) Check the T&amp;CP/UDA/municipal acts for provisions that mandate the planning authority to prepare a sustainability plan or mandate to have a sustainability component as part of the master plan. Provisions that make such a plan optional with 'may' provision shall not be considered.</t>
  </si>
  <si>
    <t xml:space="preserve">11(e) Check the T&amp;CP/UDA/municipal acts for provisions that mandate the planning authority to prepare a heritage conservation plan or mandate to have a heritage conservation component as part of the master plan.  Provisions that make such a plan optional with 'may' provision shall not be considered.</t>
  </si>
  <si>
    <t xml:space="preserve">11(f) Check the T&amp;CP/UDA/municipal acts for provisions that mandate the planning authority to prepare a social development plan or mandate to have a social development component as part of the master plan. Provisions that make such a plan optional with 'may' provision shall not be considered. Social development plan should include planning for health, education and affordable housing. </t>
  </si>
  <si>
    <t xml:space="preserve">Are there three levels of currently notified master plans?</t>
  </si>
  <si>
    <t xml:space="preserve">Is there a Metropolitan Region Master Plan?</t>
  </si>
  <si>
    <t xml:space="preserve">Document should mention the words metropolitan regional plan or any word that can be safely assumed to be a synonym for a metropolitan region. Check the website of the metro region development authority or urban development authority or ULB website. </t>
  </si>
  <si>
    <t xml:space="preserve">Is there a Municipal Master Plan?</t>
  </si>
  <si>
    <t xml:space="preserve">Document should mention the word municipal plan or the metropolitan plan should have a section on the municipal plan . Check the website of the urban development authority or ULB website or T&amp;CP Dept. Municipal master plan can be a part of the Metro master plan as well.</t>
  </si>
  <si>
    <t xml:space="preserve">Is there a Ward(s) /Local area/ neighbourhood Master Plan?</t>
  </si>
  <si>
    <t xml:space="preserve">If the document has spatial planning districts, which are formed for planning purpose at local level with contiguity, can also be considered for scoring. Ward master plan / Planning Districts / zonal master plans will mostly be a part of the municipal master plan document. Merely zonal divisions in the map shouldn't be scored and detailed plans should be there.</t>
  </si>
  <si>
    <t xml:space="preserve">Does the city have a master plan that is currently in force and within its prescribed validity period?</t>
  </si>
  <si>
    <t xml:space="preserve">Review the applicable master plan to identify the valid period, and the gazette notification date of the current and immediately preceding master plan (or the date the Act came into force, if this is the city's first master plan).
Score 10 — notified within the statutory period
Score 0 — no master plan has ever been notified, or the master plan is overdue by more than one full statutory cycle with no evidence of a revision process underway.
The scorer to capture in the scoring sheet the amount of time (in months) that has been passed since the end of the validity period
</t>
  </si>
  <si>
    <t xml:space="preserve">Are all master plans in a concurrent or nested timeline of validity?</t>
  </si>
  <si>
    <t xml:space="preserve">Check that timelines of the metropolitan and municipal level master plans, including ward level plans overlap (not exceeding the timeline of metropolitan plan)</t>
  </si>
  <si>
    <t xml:space="preserve">Is the Metropolitan master plan in a concurrent or nested timeline of validity with Municipal master plan?</t>
  </si>
  <si>
    <t xml:space="preserve">Check that timelines of the metropolitan and municipal level master plans/Master Plans, including ward level plans overlap (not exceeding the timeline of metropolitan plan). For example, If Metro plan is for 2001 to 2021, then municipal plan timeline should not exceed 2021. In case the city is not a metro region, it should be scored NA. </t>
  </si>
  <si>
    <t xml:space="preserve">Check that timelines of the metropolitan and municipal level master plans/Master Plans, including ward level plans overlap (not exceeding the timeline of metropolitan plan). Zonal development plans / planning districts can also be considered in place of ward development plans</t>
  </si>
  <si>
    <t xml:space="preserve">The Master Plan must have mention of 1) key development drivers for the sector - at least Jobs generated (both formal and informal), factories/compnaies started, increase in revenue and 2) quantitative and qualitative impact/outcome metrics for each driver. Some of the below metrics can be used for scoring:
• Increase workforce participation rate from current rate
• Total area of subsidised land that is to be set aside for development/redevelopment for primary/ secondary/Tertiary sector over the plan periods
• Number of jobs to be generated over the plan period from primary sector/ secondary and tertiary sector
• Number of street vendors serviced with hawker areas</t>
  </si>
  <si>
    <t xml:space="preserve">The Master Plan must have mention of 1) key development drivers for the sector - at least recreational + non recreational green spaces, urban forests, lakes, wetlands and other water bodies, climate change and pollution and 2) quantitative and qualitative impact/outcome metrics for each driver. Some of the below metrics can be used for scoring:
b) Environment and Disaster Management:
• Number of lakes and water bodies revived
• % of deforestation/reforestation during plan period
• Number of water bodies targeted to be revived/filled up for urban development
• % land area to be allocated to natural habitation for diverse ecology
• Number of projects developed on revival of natural habitats/increase in ecological diversity
• % reduction of pollution of all air, water, soil
• Number of natural environment assets – forests, hills, water bodies, dunes – with protective zoning buffers
• number of natural environment assets where protective buffer zone is violated
• Increase in successful initiatives on increasing solar/biogas energy usage in public utilities
• Number of successful initiatives on clean-tech innovation for public services
• Reduce the city’s greenhouse gas emissions </t>
  </si>
  <si>
    <t xml:space="preserve">"The Master Plan must have mention of 1) key development drivers for the sector - at least hygiene systems, healthcare quality and coverage, education quality and coverage, safety and security and 2) quantitative and qualitative impact/outcome metrics for each driver. some of the metrics can be used for scoring:
a) Education
• Increase in the coverage of anganwadi
• All four-year-olds receive access to free, full-day, high quality pre-kindergarten
• Ratio of primary schools to population to be serviced
• % of students graduating with job offers
• Improve access to school for physically and mentally challenged
b) Health care:
• Increase the coverage of dispensaries to population serviced
• Increase the coverage of home/child welfare/maternity centres to population serviced
• Increase the coverage of  hospitals to population serviced
• Increase the coverage of rehabilitation centres
• Increase the coverage of diagnostic centres
• Increase the percentage of public high school students who report meeting recommended levels of aerobic physical activity
• Reduce the spread of vector borne disease
• Increase the percentage of adult city dwellers who feel that they received the medical care they needed
• Reduce the number of traffic fatalities to zero
c) Affordable Housing :
• Number of notified slums to be rehabilitated/upgraded with infrastructure and services
• Estimating present and future housing shortage for the urban poor,  Financing new construction of affordable units and its preservation
• Increase the ratio of affordable housing supply to total housing stock
• % of affordable housing with easy access to livelihood opportunities
• % of affordable housing with easy access to transport networks"</t>
  </si>
  <si>
    <t xml:space="preserve">Check if the master plan mentions the following:
1) Key development drivers, for example, women's participation in the economy (both formal and informal), access to infrastructure and services
2) Quantitative and qualitative impact/outcome metrics for each driver.</t>
  </si>
  <si>
    <t xml:space="preserve">The MAP must be 1) A State Spatial Data Centre with a map available for use by all agencies and parastatals in the state and 2) must possess 7 key  layers - topography, geological hazards and sensitivities, green and agri land, water drainage system, street networks and block footprints, peripheral rural parcels and political and admin boundaries  + layers for all parastatals operating in the city (roads and allied infra, traffic, water and sewerage, Storm Water Drains, electricity, other underground utilities, land use, planning zone)</t>
  </si>
  <si>
    <t xml:space="preserve">Do the applicable Development Control/Zoning Regulations provide differentiated development controls appropriate to different spatial contexts within the city?</t>
  </si>
  <si>
    <t xml:space="preserve">Do not award credit merely because permissible land uses differ by zone. Score only where development-intensity/form controls — FAR/FSI, density, height, setbacks, plot coverage, mixed use, parking, street interface, or other built-form controls — are differentiated by spatial context.
Million-plus cities — identify which of the following contexts are applicable to the city: (a) core/old city, (b) peripheral/growth areas, (c) heritage/special areas, (d) TOD/transit-influence zones. Score out of 10 in components of 2.5 per applicable context in which the DCR prescribes a differentiated development-intensity/form standard. Where fewer than four contexts are applicable to the city, re-base the score to the applicable contexts only (e.g., 3 applicable contexts → score out of 7.5, rescaled × 10/7.5) and record the calculation used.
Other cities — Score 10 if the State framework differentiates development-intensity/form controls by at least two distinct city/town categories or planning contexts; Score 5 if such differentiation exists but is limited to a single parameter (e.g., only FAR varies); Score 0 if a uniform DCR/byelaw applies statewide with no contextual variation.
Not Applicable only if the city has no DCR/zoning-regulation instrument in force at all.</t>
  </si>
  <si>
    <t xml:space="preserve">Does the legal framework provide a defined mechanism for revision/amendment of DCRs, including when the Master Plan is revised?</t>
  </si>
  <si>
    <t xml:space="preserve">Review the applicable State Town Planning Act/Rules.
Score 10 — the Act/Rules specify a period revision/amending DCRs, AND explicitly require DCRs to be reviewed/aligned/updated consequent to master plan revision.
Score 5 — a mechanism for DCR amendment exists, but the law is wholly silent on any linkage to master plan revision.
Score 0 — no defined statutory mechanism for DCR revision/amendment exists.</t>
  </si>
  <si>
    <t xml:space="preserve">City Sanitation Plan</t>
  </si>
  <si>
    <t xml:space="preserve">Does the city have a City Sanitation Plan that clearly articulates development priorities, measurable objectives, and the roles and responsibilities of the ULG?</t>
  </si>
  <si>
    <t xml:space="preserve">UPD18a</t>
  </si>
  <si>
    <t xml:space="preserve">Does the city have a notified and active City Sanitation Plan?</t>
  </si>
  <si>
    <t xml:space="preserve">Check the master plan/ULB website/Parastatl website / Master plan document for the existence of a detailed CSP document. A one-pager drafted by cities for Swachh Bharat mission will not be considered</t>
  </si>
  <si>
    <t xml:space="preserve">UPD18b</t>
  </si>
  <si>
    <t xml:space="preserve">Check if it specifies measurable objectives or targets against the identified priorities, including quantitative or qualitative indicators, as appropriate. In the case of CSP, Examples may include targets relating to sanitation coverage, wastewater treatment, safe disposal of faecal sludge, reduction in untreated sewage discharge or elimination of identified sanitation service gaps. A general statement of intent, such as improving sanitation or achieving a clean city, without identifiable priorities and measurable objectives or targets, should not qualify.</t>
  </si>
  <si>
    <t xml:space="preserve">Score 3.3 where the CSP clearly articulates the role/responsibilities of the ULG in its preparation/implementation; score 0 otherwise.</t>
  </si>
  <si>
    <t xml:space="preserve">Check the master plan/ULB website/parastatal website/city website (including networks such as 100 Resilient Cities or C40) for the existence of a Climate Action Plan, City Resilience Strategy or Sustainability Strategy. The document must be formally adopted or approved by the competent authority (a Municipal Corporation/Council resolution, a Government Order, or integration into the statutory master plan/DP) to be scored.  Note:  draft, a consultant's report or an unadopted study will not be considered. Assess on content, not title: any of the three document types qualifies. A Disaster Management Plan may be considered as partial supporting evidence only, not as a full substitute.</t>
  </si>
  <si>
    <t xml:space="preserve">Check if it specifies measurable objectives or targets against the identified priorities, including quantitative or qualitative indicators, as appropriate. Examples may include greenhouse-gas emission-reduction or net-zero targets, targets for reducing exposure to heat, flooding or other climate hazards, and adaptation/resilience targets such as green cover, flood mitigation or water security. A general statement of intent, such as becoming climate-resilient or sustainable, without identifiable priorities and measurable objectives or targets, should not qualify.</t>
  </si>
  <si>
    <t xml:space="preserve">Check the master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t>
  </si>
  <si>
    <t xml:space="preserve">Check if it specifies measurable objectives or targets against the identified priorities, including quantitative or qualitative indicators, as appropriate. Examples may include a target to shift to a sustainable mode-share (public transport, walking and cycling), and actionable projects with measurable timelines, budget estimates and a phasing plan; other examples include targets for road safety or transport-related emissions. A general statement of intent, without identifiable priorities and measurable objectives or targets, should not qualify.</t>
  </si>
  <si>
    <t xml:space="preserve">Score 3.3 where the CMP clearly articulates the role/responsibilities of the ULG in its preparation/implementation; score 0 otherwise.</t>
  </si>
  <si>
    <t xml:space="preserve">Check the master plan/ULB website/parastatal website/city or district website for the existence of an Economic Vision or Economic Development Plan for the city. The plan must be formally adopted or approved by the competent authority (a Municipal Corporation/Council resolution, a Government Order, or integration into the statutory master plan/DP) to be scored - a draft, a consultant's report or an unadopted study will not be considered. &lt;need to confirm&gt;</t>
  </si>
  <si>
    <t xml:space="preserve">Check if it specifies measurable objectives or targets against the identified priorities, including quantitative or qualitative indicators, as appropriate. Examples may include targets for employment or job creation, growth in output or Gross Value Added (GVA), sector-specific development targets, or investment to be mobilised. A general statement of intent, such as making the city an economic hub, without identifiable priorities and measurable objectives or targets, should not qualify. &lt;need to confirm&gt;</t>
  </si>
  <si>
    <t xml:space="preserve"> For each, score 2.5 where the city has a dedicated cell/unit that is (i) formally constituted through a Government Order/notification, (ii) staffed - drawn from State/city/district government - with relevant subject-matter experts, and (iii) dedicated to that function for the city; score 0 otherwise. The cell may be housed within the ULG or within a city-level parastatal/agency. For towns with a population under one lakh, a shared cell/resource made available for the city at the State or district level qualifies for the full 2.5 for that sub-question. Evidence: constitution/Government Orders and staffing details on the ULG/parastatal/State websites, supplemented where necessary by RTI or email requests</t>
  </si>
  <si>
    <t xml:space="preserve">Does the city have  a dedicated Women's Welfare/Development Cell?</t>
  </si>
  <si>
    <t xml:space="preserve">Check if the T&amp;CP/municipal act mandates/has created design guidelines for executing projects for: </t>
  </si>
  <si>
    <t xml:space="preserve">1. Roads (all types: arterial, sub-arterial, collector, access, alleys etc.) and streetscapes (including over ground traffic);</t>
  </si>
  <si>
    <t xml:space="preserve">2. Footpaths;</t>
  </si>
  <si>
    <t xml:space="preserve">3. Underground public utilities (water, sewerage, SWD, electricity, internet, gas);</t>
  </si>
  <si>
    <t xml:space="preserve">4. Residential units; and</t>
  </si>
  <si>
    <t xml:space="preserve">5. Commercial buildings.</t>
  </si>
  <si>
    <t xml:space="preserve">Check whether the T&amp;CP/municipal Act (or rules, regulations or notified guidelines made under it) mandates urban design standards/guidelines for the execution of urban projects across five categories: (1) roads (all types) and streetscapes; (2) footpaths; (3) underground public utilities (water, sewerage, storm-water drainage, electricity, internet, gas); (4) residential units; and (5) commercial buildings. Award 1 point for each category for which such standards are mandated (5 categories x 1 = 5); score 0 for a category where none are mandated.</t>
  </si>
  <si>
    <t xml:space="preserve">Check whether the city has actually adopted/created urban design standards or guidelines to guide the execution of urban projects across the same five categories: (1) roads and streetscapes; (2) footpaths; (3) underground public utilities; (4) residential units; and (5) commercial buildings. Award 1 point for each category for which the city has adopted such standards (5 x 1 = 5); score 0 for a category where none exist. Evidence: notified bye-laws/design guidelines, the master plan/DP, and ULB/Development Authority/parastatal websites.</t>
  </si>
  <si>
    <t xml:space="preserve">Assessed through 2 sub-questions of 5 each. To qualify, the city must have a separate, standalone parking policy - parking provisions contained within the master plan, or other documents will not be considered</t>
  </si>
  <si>
    <t xml:space="preserve">Is there a clear mandate for a parking policy?</t>
  </si>
  <si>
    <t xml:space="preserve">Score 5 where there is a clear statutory or policy mandate for the city to prepare/adopt a standalone parking policy (for example in the municipal/T&amp;CP Act, a State urban transport or parking policy, or notified rules); score 0 otherwise.</t>
  </si>
  <si>
    <t xml:space="preserve"> Score 5 where the city's standalone parking policy has been adopted and implemented - evidenced by measures such as designated/notified parking-management areas, priced or regulated on-street parking, active enforcement, or a parking-management authority/plan; score 0 where the policy exists only on paper or is absent. Evidence: the adopted parking policy, and ULB/traffic-police/parastatal notifications and websites.</t>
  </si>
  <si>
    <t xml:space="preserve">Does the ULG have a Development Control Regulation (DCR) that is current and appropriately tailored to the city?</t>
  </si>
  <si>
    <t xml:space="preserve">Sum of the sub-questions below.</t>
  </si>
  <si>
    <t xml:space="preserve">For million-plus cities, is the DCR specific to the ULG?</t>
  </si>
  <si>
    <t xml:space="preserve">Review the applicable State Town &amp; Country Planning Act/Rules and the DCR itself.
Score 5 — the ULG has its own DCR, distinct from the generic state DCR, tailored to its built environment/master plan.
Score 2.5 — a city-specific DCR exists but is largely a copy of the state DCR with minimal ULG-specific modification.
Score 0 — the ULG relies entirely on the generic state DCR, with no city-specific version.</t>
  </si>
  <si>
    <t xml:space="preserve">Has the DCR been revised within the last 5 years?</t>
  </si>
  <si>
    <t xml:space="preserve">Review the DCR's notification date and any gazette notifications of subsequent amendments.
Score 5 — the DCR (or a substantive amendment) was notified within the last 5 years.
Score 2.5 — last substantively revised 5–10 years ago.
Score 0 — not revised in over 10 years, or no revision date can be established.</t>
  </si>
  <si>
    <t xml:space="preserve">Are DCR preparation and amendments required to go through public consultation before notification?</t>
  </si>
  <si>
    <t xml:space="preserve">Review the applicable State Town Planning Act/Rules governing DCR amendment.
Score 10 — public consultation is mandatory for ALL amendments to DCRs/zoning regulations, with a specified minimum notice period (e.g., 30/60 days), AND a requirement that objections be considered/responded to before final notification.
Score 7.5 — mandatory consultation with a specified minimum notice period, but no requirement to consider or respond to objections received.
Score 5 — mandatory consultation, but no minimum notice period is specified.
Score 2.5 — consultation is discretionary (“may invite objections”), or mandated only for certain categories of amendment (e.g., only “substantial” modifications).
Score 0 — no statutory requirement for public consultation before notifying DCR amendments; amendments may be notified solely by executive/government order.
Where consultation is required for master plan amendments generally, but a separate provision empowers government to amend DCRs directly without consultation, score against the DCR-specific provision.</t>
  </si>
  <si>
    <t xml:space="preserve">Check the T&amp;CP act or any publicly available policy document (state govt/Urban Development Department (UDD)/T&amp;CP Dept. website)/newspaper reports/Green Rating for Integrated Habitat Assessments (GRIHA)/Leadership in Energy and Environmental Design (LEED)/Confederation of Indian Industry (CII) websites for incentives such as rebate in property tax or charges connected to building permission/development charges or other such incentives for construction of green buildings. </t>
  </si>
  <si>
    <t xml:space="preserve">Part A: Check if the state has passed a land titling law OR passed an order/circular to certify land titles.
Part B: If there is a mandate by act, check if the rules for the same are notified.</t>
  </si>
  <si>
    <t xml:space="preserve">Part A: Check if the state has passed a land pooling OR passed an order/circular to certify land titles.
Part B: If there is a mandate by act, check if the rules for the same are notified.  Scoresheet to also capture : What form of land assembly/reconstitution mechanism does the framework provide? (A full TPS model and a standalone land-pooling model are not necessarily the same.)</t>
  </si>
  <si>
    <t xml:space="preserve">Check for the existence of an online portal / platform that acts as a one-stop solution for filing complete application for development projects (education, health, affordable housing) and provides option for tracking status of application. Availability of any 2 out of the 3 project types can also be considered for scoring. </t>
  </si>
  <si>
    <t xml:space="preserve">"Check if the T&amp;CP act/relevant UDA act/rules corresponding to such relevant provisions of the act, mandates the following aspects.
1. Registry of public projects
2. An approval authority for projects at each level defined within the MPC Act or the T&amp;CP act
3. A defined process for rejections/variance approvals for plans not in conformity with Master Plan defined in the MPC Act or the T&amp;CP act; and
4. Disclosure of all approvals, denials and variance approvals in the public domain.
Mark 'Yes' only if all four conditions apply."</t>
  </si>
  <si>
    <t xml:space="preserve">Is there an effective system to monitor ongoing constructions/projects  for possible violations?</t>
  </si>
  <si>
    <t xml:space="preserve">"Check if the T&amp;CP act/relevant UDA act/rules corresponding to such relevant provisions of the act, mandates the following processes.
1. Online self-assessment of progress including uploading of photographs and requisite compliance documents
2. Periodic ground surveys of approved projects (all/sample); and
3. Disclosure of all information (compliance numbers, violations registered and action taken) collected in survey in the public domain
Mark 'Yes' only if all three conditions apply."</t>
  </si>
  <si>
    <t xml:space="preserve">"Check if the T&amp;CP act mentions the penal provisions under the following heads (at least five of the below to mark as 'Yes'):
1. Building code violations (at plan approval stage, these codes dictate details such as electric, water, door/window dimensions etc.)
2. Plumbing and sewage violations (discharge of waste into any public land, alley, stream, sidewalk etc.)
3. Setback violations (setbacks are the minimum space required between the plot boundary and building)
4. Building height violations (maximum permissible height according to the location)
5. Energy efficiency/consumption violations (particularly for large-scale/commercial buildings)
6. Absence of rainwater harvesting systems
7. Plot access violations (the points of entry/exit to your building/plot in accordance with the road)
8. Parking violations (with respect to your building and the road)
9. Fire code violations (primarily important at both plan approval level and again at Occupancy Certificate (OC) level)
10. Requirements for earthquake/flood/tsunami/flood resistance (in disaster prone areas)
11. Building refurbishment without permit (addition/demolition/remodeling etc.)
12. Change in building use/function/occupancy without permits (dwelling to commercial use; warehouse to office space etc.)
13. Violations in floor area ratio (far) or floor space index (fish) (in accordance with zoning codes of the area)
14. Business signage/outdoor display boards (zoning codes dictate permissible size/location of these on top of buildings etc.)
15. Non-permitted uses (some zones strictly dictate only residential/only commercial/uses)
16. Nuisance violations (these might be advertisements, banners, pamphlets on buildings, flyovers, etc.)
17. loading/unloading regulations (for commercial and industrial buildings, service access, safety etc. as detailed out by building code)
18. Urban design regulations (includes streetscapes, pedestrian circulation, open areas, plazas, arcades etc.)
19. Flight obstruction areas (around major airports)
20. Historical conservation/preservation of buildings/areas of the city. (violations occur if such areas/structures are recognised to be of historical importance)
21. Junk and thrash violations (designated areas as described in the zoning code)"</t>
  </si>
  <si>
    <t xml:space="preserve">Question Code</t>
  </si>
  <si>
    <t xml:space="preserve">&lt;Enter Question Code only&gt;</t>
  </si>
  <si>
    <t xml:space="preserve">&lt;CHECK IF EXCEL TAB NAME IS SAME AS QUESTION CODE: IF NOT, ENTER TAB NAME AS QUESTION CODE&gt;</t>
  </si>
  <si>
    <t xml:space="preserve">DO NOT ALTER FORMULA BELOW</t>
  </si>
  <si>
    <t xml:space="preserve">Second column counts only if the first is YES: first YES = half marks, both YES = full marks.</t>
  </si>
  <si>
    <t xml:space="preserve">SELECT YES / NO</t>
  </si>
  <si>
    <t xml:space="preserve">DO NOT ALTER FORMULA</t>
  </si>
  <si>
    <t xml:space="preserve">City</t>
  </si>
  <si>
    <t xml:space="preserve">Act Name/Web name/Doc name</t>
  </si>
  <si>
    <t xml:space="preserve">Chapter</t>
  </si>
  <si>
    <t xml:space="preserve">Provision</t>
  </si>
  <si>
    <t xml:space="preserve">Clause</t>
  </si>
  <si>
    <t xml:space="preserve">Page Number</t>
  </si>
  <si>
    <t xml:space="preserve">Link</t>
  </si>
  <si>
    <t xml:space="preserve">Points (Auto-generate)</t>
  </si>
  <si>
    <t xml:space="preserve">SCORER COMMENTS</t>
  </si>
  <si>
    <t xml:space="preserve">The Gujarat Town Planning and Urban Development Act, 1976 (President's Act No. 27 of 1976), Government of Gujarat, Legislative and Parliamentary Affairs Department printed edition, 'As modified upto the 31st May, 2000'</t>
  </si>
  <si>
    <t xml:space="preserve">Whole Act checked: Chapters I–VIII (Preliminary; Development Area and Constitution of Area Development Authorities; Urban Development Areas and Authorities; Control of Development; Town Planning Schemes; Finance; Development Charges; Miscellaneous). The only 'Board' is the Board of Appeal in Chapter V.</t>
  </si>
  <si>
    <t xml:space="preserve">No section sets up a state-level town and country / spatial planning board. Section 5 (area development authority) and Section 22 (urban development authority) set up area-level bodies. Section 55 sets up a Board of Appeal for town planning scheme appeals.</t>
  </si>
  <si>
    <t xml:space="preserve">Section 55(1)(a) (Board of Appeal, for appeals only); Section 5(1) (area development authority)</t>
  </si>
  <si>
    <t xml:space="preserve">Contents pp. (i)–(iii) (PDF pp. 2–3); Section 5 on p. 5 of the Act; Section 55 in Chapter V (about p. 31 of the Act, per the contents)</t>
  </si>
  <si>
    <t xml:space="preserve">https://www.cmlarr.org/pdf/landpooling/3.pdf</t>
  </si>
  <si>
    <t xml:space="preserve">NO</t>
  </si>
  <si>
    <t xml:space="preserve">AI (high confidence): Gujarat's planning law is the Gujarat Town Planning and Urban Development Act, 1976 (GTPUDA). I read the full text of the Act and searched it for 'Board', 'Council' and 'Committee'. It has no state-level town and country planning board, spatial planning board or similar body, whether as a 'shall' or a 'may' provision. The bodies it does set up are: (a) area development authorities (s.5) and urban development authorities (s.22), each for one area; (b) the Planning Committee of a local authority acting as an area development authority (s.6); (c) a Board of Appeal (s.54–61) that only hears appeals against Town Planning Officer decisions on town planning schemes and is dissolved once it has decided an appeal (s.55(2)); and (d) a committee for joint-ownership plots added by later amendment. None of these is a state-level body with a mandate on planning policy or reform. The State Government and the Chief Town Planner do the state-level work themselves, such as approving development plans and town planning schemes; the Act does not create a board for it. Because Part A is NO, Part B cannot score; it is set to NO. I also searched for any Gujarat state town planning or spatial planning board set up by notification and found none. Gujarat's general development-planning bodies, such as the former State Planning Board or GRIT, are not set up under the planning Act and have no spatial planning mandate, so they do not count. Source notes: (1) The linked PDF is the government-printed edition 'as modified upto 31 May 2000'. It is hosted on cmlarr.org, which is not an official government site. I used it because it is the only full-text copy that passed the accessibility check. (2) I also reviewed the current consolidated text on Indian Kanoon, which includes the Gujarat Act 11 of 2014 amendments that add references to the Gujarat Metropolitan Planning Committee Act, 2008. It still has no state planning board. That page failed the accessibility check, so it is not cited. (3) Other copies could not be used: the India Code PDF (tpudact.pdf) timed out; the townplanning.gujarat.gov.in Act page returned 404; and the PRS PDF, which includes amendments up to 2019, opens but is a scan with no readable text. A reviewer may want to confirm against the 2019 consolidated version on PRS or India Code, but none of the amendment titles suggest a state board was added.
Quote: "The State Government shall, from time to time by an order published in the Official Gazette, constitute a Board of Appeal for hearing and deciding appeals under section 54."</t>
  </si>
  <si>
    <t xml:space="preserve">Answer</t>
  </si>
  <si>
    <t xml:space="preserve">Type of plan mandated (zonal / ward / local area)</t>
  </si>
  <si>
    <t xml:space="preserve">https://kgis.ksrsac.in/kgisdocuments/PDF_KML_SHP1/PDF/pdf/District_Bengaluru%20(Urban).pdf
https://bdakarnataka.in/jurisdiction-map/
https://data.opencity.in/dataset/3ba2ed19-5d9a-4c1a-999c-f48f7574684d/resource/e13a6495-687a-4b76-af54-15eea1370186/download/670880fa-b7f1-40b7-a19d-dc6d945c76a5.pdf
https://kgis.ksrsac.in/kgisdocuments/PDF_KML_SHP1/PDF/pdf/District_Bengaluru%20(Urban).pdf
</t>
  </si>
  <si>
    <t xml:space="preserve">YES</t>
  </si>
  <si>
    <t xml:space="preserve">From the RMP 2015, evidence is found for the planning boundary extending beyond ULG boundary. Local Planning Area consists of 47 planning districts. Planning districts for areas outside the corporation boundary, follow the village, taluk boundaries. </t>
  </si>
  <si>
    <t xml:space="preserve">Points = share of YES answers x Max Score (each part carries an equal share).</t>
  </si>
  <si>
    <t xml:space="preserve">NA ONLY FOR NON-METROPOLITAN CITIES</t>
  </si>
  <si>
    <t xml:space="preserve">SELECT YES / NO / NA</t>
  </si>
  <si>
    <t xml:space="preserve">Months elapsed since end of validity period</t>
  </si>
  <si>
    <t xml:space="preserve">NA ONLY WHERE THE CITY HAS NO WARD/LOCAL PLAN</t>
  </si>
  <si>
    <t xml:space="preserve">https://bdakarnataka.in/
https://data.opencity.in/dataset/bda-revised-master-plan-2015/resource/dc23b4ae-e020-4499-b18d-8e4ed2f86a24
</t>
  </si>
  <si>
    <t xml:space="preserve">Scored 0 as there is no mention of involvement of all sectoral public departments and agencies in RMP 2015. There is no evidence of such MoM/ Meeting notice or notes on the BDA, BWSSB, BMTC websites. GBA website is not functional.</t>
  </si>
  <si>
    <t xml:space="preserve">https://data.opencity.in/dataset/bda-revised-master-plan-2015/resource/dc23b4ae-e020-4499-b18d-8e4ed2f86a24</t>
  </si>
  <si>
    <t xml:space="preserve">RMP 2015 does not identify clear economic development priorities and associated interventions. </t>
  </si>
  <si>
    <t xml:space="preserve">Environmental conservation and related aspects are not mentioned in RMP 2015. </t>
  </si>
  <si>
    <t xml:space="preserve">The term heritage conservation is mentioned, without identified priorities and associated interventions.</t>
  </si>
  <si>
    <t xml:space="preserve">The component is absent in RMP 2015.</t>
  </si>
  <si>
    <t xml:space="preserve">https://ksrsac.karnataka.gov.in/map.aspx</t>
  </si>
  <si>
    <t xml:space="preserve">The Karnataka State Remote Sensing Centre has data on land-use, transport, ward boundaries etc.</t>
  </si>
  <si>
    <t xml:space="preserve">https://bwssb.karnataka.gov.in/storage/pdf-files/documents/Vision%20Document%202050%20%20new.pdf</t>
  </si>
  <si>
    <t xml:space="preserve">BWSSB has published a Vision document with Strategic Plan for 2050 on its website. No evidence of SWM plan on the BSWML website. No evidence of a city sanitation plan for Bengaluru. GBA website is not functional. </t>
  </si>
  <si>
    <t xml:space="preserve">The plan has specific priorities/ interventions and objectives against identified projects.</t>
  </si>
  <si>
    <t xml:space="preserve">No evidence of clearly defined role of ULG in the BWSSB plan.</t>
  </si>
  <si>
    <t xml:space="preserve">https://apps.bbmpgov.in/bcap/
https://apps.bbmpgov.in/bcap/PDF/BCAP_FullReport_091224.pdf
https://apps.bbmpgov.in/bcap/images/Executive%20summary_English_cover%20page%20english%2017072025.jpg
https://apps.bbmpgov.in/bcap/PDF/BCAP_Sector%20Actions_01042024.pdf
</t>
  </si>
  <si>
    <t xml:space="preserve">BCAP was launched by BBMP and climate action cell was established in BBMP, now GBA. There is a climate action plan and a roadmap but formal adoption/ notification could not be confirmed. </t>
  </si>
  <si>
    <t xml:space="preserve">https://apps.bbmpgov.in/bcap/PDF/BCAP_FullReport_091224.pdf
https://apps.bbmpgov.in/bcap/PDF/BCAP_Sector%20Actions_01042024.pdf</t>
  </si>
  <si>
    <t xml:space="preserve">The plan has clearly defined targets and objectives.</t>
  </si>
  <si>
    <t xml:space="preserve">The plan clearly articulates the responsibilities of the ULG. </t>
  </si>
  <si>
    <t xml:space="preserve">https://dult.karnataka.gov.in/assets/front/pdf/Comprehensive_Mobility_Plan.pdf</t>
  </si>
  <si>
    <t xml:space="preserve">Bengaluru Comprehensive Mobility Plan 2020, published on the Directorate of Urban Land Transport website. </t>
  </si>
  <si>
    <t xml:space="preserve">Bengaluru CMP 2020 has a clearly defined target – “Aim to increase the share of public transport in Bengaluru to at least 60% by 2031 and to 70% beyond that.”</t>
  </si>
  <si>
    <t xml:space="preserve">CMP clearly articulates the roles and responsibilities of the ULG in implementation.</t>
  </si>
  <si>
    <t xml:space="preserve">https://www.thehindu.com/news/cities/bangalore/proposed-economic-masterplan-for-bengaluru-metropolitan-region-targets-75-public-transport/article71420718.ece</t>
  </si>
  <si>
    <t xml:space="preserve">No evidence of a published Economic Vision Plan for Bengaluru. GBA website is not functional. There is a mention of a draft economic masterplan presented to the government but the draft is not in public domain.</t>
  </si>
  <si>
    <t xml:space="preserve">No evidence of a published Economic Vision Plan for Bengaluru. </t>
  </si>
  <si>
    <t xml:space="preserve">Points = (city planners per lakh / highest planners per lakh among cities assessed) x 5. Every city's score updates as other cities are entered.</t>
  </si>
  <si>
    <t xml:space="preserve">ENTER A WHOLE NUMBER</t>
  </si>
  <si>
    <t xml:space="preserve">ENTER POPULATION</t>
  </si>
  <si>
    <t xml:space="preserve">AUTO - DO NOT ENTER</t>
  </si>
  <si>
    <t xml:space="preserve">Filled town planners - ULG</t>
  </si>
  <si>
    <t xml:space="preserve">Filled town planners - Development/Planning Authority</t>
  </si>
  <si>
    <t xml:space="preserve">Census 2011 population</t>
  </si>
  <si>
    <t xml:space="preserve">Town planners per lakh (auto)</t>
  </si>
  <si>
    <t xml:space="preserve">Sanctioned positions - ULG</t>
  </si>
  <si>
    <t xml:space="preserve">Sanctioned positions - Development/Planning Authority</t>
  </si>
  <si>
    <t xml:space="preserve">Vacancies &amp; vacancy rate</t>
  </si>
  <si>
    <t xml:space="preserve">Women among filled positions</t>
  </si>
  <si>
    <t xml:space="preserve">Men among filled positions</t>
  </si>
  <si>
    <t xml:space="preserve">Points: &gt;= 33% = 5; 15% to below 33% = 2.5; below 15% = 0.</t>
  </si>
  <si>
    <t xml:space="preserve">ENTER %, e.g. 25%</t>
  </si>
  <si>
    <t xml:space="preserve">% women in town-planning workforce (enter %)</t>
  </si>
  <si>
    <t xml:space="preserve">Share of women in senior / decision-making posts</t>
  </si>
  <si>
    <t xml:space="preserve">NA ONLY FOR NON-MILLION-PLUS CITIES</t>
  </si>
  <si>
    <t xml:space="preserve">Per category: SHALL = full share, MAY = half share, NONE = 0.</t>
  </si>
  <si>
    <t xml:space="preserve">SHALL / MAY / NONE</t>
  </si>
  <si>
    <t xml:space="preserve">SHALL = full marks, MAY = half marks, NONE = 0.</t>
  </si>
  <si>
    <t xml:space="preserve">Mandate for city parking policy in law</t>
  </si>
  <si>
    <t xml:space="preserve">NA ONLY FOR CITIES BELOW ONE MILLION</t>
  </si>
  <si>
    <t xml:space="preserve">DCR applicable to the city &amp; its status</t>
  </si>
  <si>
    <t xml:space="preserve">SELECT 2 / 1 / 0</t>
  </si>
  <si>
    <t xml:space="preserve">Score (select 2 / 1 / 0)</t>
  </si>
  <si>
    <t xml:space="preserve">No evidence of provision of development controls, standards or incentives to enable different types and scales of economic activity.</t>
  </si>
  <si>
    <t xml:space="preserve">Text of relevant provisions &amp; incentives</t>
  </si>
  <si>
    <t xml:space="preserve">No evidence of provision of development controls, standards or incentives to improve access, safety, affordability and development outcomes for women and the urban poor.</t>
  </si>
  <si>
    <t xml:space="preserve">No evidence of provision of development controls, standards or incentives to promote environmental sustainability and climate resilience.</t>
  </si>
  <si>
    <t xml:space="preserve">No evidence of provision of development controls, standards to promote positive public health outcomes.</t>
  </si>
  <si>
    <t xml:space="preserve">There is a mention of heritage conservation but there is no evidence of provision of development controls, standards or incentives to enable the conservation and adaptive reuse of heritage buildings, precincts or historic areas.</t>
  </si>
  <si>
    <t xml:space="preserve">Mechanism: TPS / land pooling / both</t>
  </si>
  <si>
    <t xml:space="preserve">Full marks only if ALL columns are YES; otherwise 0.</t>
  </si>
  <si>
    <t xml:space="preserve">Approval authority at each level</t>
  </si>
  <si>
    <t xml:space="preserve">Process for rejection / variance approvals</t>
  </si>
  <si>
    <t xml:space="preserve">Registry of public &amp; private projects</t>
  </si>
  <si>
    <t xml:space="preserve">Public disclosure of approvals / denials / variances</t>
  </si>
  <si>
    <t xml:space="preserve">Authority to inspect ongoing construction</t>
  </si>
  <si>
    <t xml:space="preserve">Stage-wise inspections / monitoring</t>
  </si>
  <si>
    <t xml:space="preserve">Power to issue notices / stop-work directions</t>
  </si>
  <si>
    <t xml:space="preserve">Online self-reporting with photos / documents</t>
  </si>
  <si>
    <t xml:space="preserve">Periodic ground surveys / inspections</t>
  </si>
  <si>
    <t xml:space="preserve">Public disclosure of monitoring information</t>
  </si>
  <si>
    <t xml:space="preserve">Points = 2 per provision, capped at 10 (5 or more provisions = 10)</t>
  </si>
  <si>
    <t xml:space="preserve">No. of penalty provisions found</t>
  </si>
</sst>
</file>

<file path=xl/styles.xml><?xml version="1.0" encoding="utf-8"?>
<styleSheet xmlns="http://schemas.openxmlformats.org/spreadsheetml/2006/main">
  <numFmts count="4">
    <numFmt numFmtId="164" formatCode="General"/>
    <numFmt numFmtId="165" formatCode="0.00"/>
    <numFmt numFmtId="166" formatCode="0"/>
    <numFmt numFmtId="167" formatCode="0%"/>
  </numFmts>
  <fonts count="40">
    <font>
      <sz val="11"/>
      <color theme="1"/>
      <name val="Calibri"/>
      <family val="2"/>
      <charset val="1"/>
    </font>
    <font>
      <sz val="10"/>
      <name val="Arial"/>
      <family val="0"/>
    </font>
    <font>
      <sz val="10"/>
      <name val="Arial"/>
      <family val="0"/>
    </font>
    <font>
      <sz val="10"/>
      <name val="Arial"/>
      <family val="0"/>
    </font>
    <font>
      <sz val="10"/>
      <color theme="1"/>
      <name val="Verdana"/>
      <family val="2"/>
      <charset val="1"/>
    </font>
    <font>
      <i val="true"/>
      <sz val="10"/>
      <color theme="1"/>
      <name val="Verdana"/>
      <family val="2"/>
      <charset val="1"/>
    </font>
    <font>
      <b val="true"/>
      <sz val="10"/>
      <color rgb="FF000000"/>
      <name val="Verdana"/>
      <family val="2"/>
      <charset val="1"/>
    </font>
    <font>
      <b val="true"/>
      <sz val="10"/>
      <color theme="1"/>
      <name val="Verdana"/>
      <family val="2"/>
      <charset val="1"/>
    </font>
    <font>
      <b val="true"/>
      <i val="true"/>
      <sz val="10"/>
      <color rgb="FF000000"/>
      <name val="Verdana"/>
      <family val="2"/>
      <charset val="1"/>
    </font>
    <font>
      <sz val="10"/>
      <color rgb="FF000000"/>
      <name val="Verdana"/>
      <family val="2"/>
      <charset val="1"/>
    </font>
    <font>
      <i val="true"/>
      <sz val="10"/>
      <color rgb="FF000000"/>
      <name val="Verdana"/>
      <family val="2"/>
      <charset val="1"/>
    </font>
    <font>
      <sz val="10"/>
      <name val="Verdana"/>
      <family val="2"/>
      <charset val="1"/>
    </font>
    <font>
      <b val="true"/>
      <sz val="10"/>
      <name val="Verdana"/>
      <family val="2"/>
      <charset val="1"/>
    </font>
    <font>
      <i val="true"/>
      <sz val="10"/>
      <name val="Verdana"/>
      <family val="2"/>
      <charset val="1"/>
    </font>
    <font>
      <b val="true"/>
      <sz val="10"/>
      <name val="Calibri"/>
      <family val="0"/>
      <charset val="1"/>
    </font>
    <font>
      <b val="true"/>
      <sz val="11"/>
      <color rgb="FF0070C0"/>
      <name val="Calibri"/>
      <family val="0"/>
      <charset val="1"/>
    </font>
    <font>
      <b val="true"/>
      <sz val="11"/>
      <color rgb="FFC00000"/>
      <name val="Calibri"/>
      <family val="0"/>
      <charset val="1"/>
    </font>
    <font>
      <sz val="10"/>
      <name val="Calibri"/>
      <family val="0"/>
      <charset val="1"/>
    </font>
    <font>
      <sz val="11"/>
      <name val="Calibri"/>
      <family val="0"/>
      <charset val="1"/>
    </font>
    <font>
      <b val="true"/>
      <sz val="11"/>
      <name val="Calibri"/>
      <family val="0"/>
      <charset val="1"/>
    </font>
    <font>
      <sz val="10"/>
      <color theme="1"/>
      <name val="Calibri"/>
      <family val="2"/>
      <charset val="1"/>
    </font>
    <font>
      <sz val="11"/>
      <color theme="1"/>
      <name val="Verdana"/>
      <family val="0"/>
      <charset val="1"/>
    </font>
    <font>
      <b val="true"/>
      <sz val="10"/>
      <color rgb="FF000000"/>
      <name val="Verdana"/>
      <family val="0"/>
      <charset val="1"/>
    </font>
    <font>
      <b val="true"/>
      <sz val="10"/>
      <color theme="1"/>
      <name val="Verdana"/>
      <family val="0"/>
      <charset val="1"/>
    </font>
    <font>
      <sz val="10"/>
      <color rgb="FF000000"/>
      <name val="Verdana"/>
      <family val="0"/>
      <charset val="1"/>
    </font>
    <font>
      <sz val="10"/>
      <color theme="1"/>
      <name val="Verdana"/>
      <family val="0"/>
      <charset val="1"/>
    </font>
    <font>
      <i val="true"/>
      <sz val="10"/>
      <color rgb="FF000000"/>
      <name val="Verdana"/>
      <family val="0"/>
      <charset val="1"/>
    </font>
    <font>
      <i val="true"/>
      <sz val="10"/>
      <color rgb="FFFF0000"/>
      <name val="Verdana"/>
      <family val="2"/>
      <charset val="1"/>
    </font>
    <font>
      <sz val="11"/>
      <color rgb="FF000000"/>
      <name val="Verdana"/>
      <family val="0"/>
      <charset val="1"/>
    </font>
    <font>
      <sz val="10"/>
      <name val="Verdana"/>
      <family val="0"/>
      <charset val="1"/>
    </font>
    <font>
      <b val="true"/>
      <sz val="11"/>
      <color theme="1"/>
      <name val="Calibri"/>
      <family val="2"/>
      <charset val="1"/>
    </font>
    <font>
      <sz val="10"/>
      <color rgb="FFFF0000"/>
      <name val="Verdana"/>
      <family val="2"/>
      <charset val="1"/>
    </font>
    <font>
      <i val="true"/>
      <sz val="9"/>
      <color rgb="FF000000"/>
      <name val="Verdana"/>
      <family val="0"/>
      <charset val="1"/>
    </font>
    <font>
      <i val="true"/>
      <sz val="12"/>
      <color rgb="FF000000"/>
      <name val="Verdana"/>
      <family val="0"/>
      <charset val="1"/>
    </font>
    <font>
      <sz val="11"/>
      <color rgb="FFFF0000"/>
      <name val="Calibri"/>
      <family val="2"/>
      <charset val="1"/>
    </font>
    <font>
      <b val="true"/>
      <sz val="10"/>
      <color rgb="FFFF0000"/>
      <name val="Verdana"/>
      <family val="2"/>
      <charset val="1"/>
    </font>
    <font>
      <i val="true"/>
      <sz val="10"/>
      <color theme="1"/>
      <name val="Verdana"/>
      <family val="0"/>
      <charset val="1"/>
    </font>
    <font>
      <i val="true"/>
      <sz val="11"/>
      <color rgb="FF000000"/>
      <name val="Verdana"/>
      <family val="0"/>
      <charset val="1"/>
    </font>
    <font>
      <b val="true"/>
      <sz val="9"/>
      <name val="Calibri"/>
      <family val="0"/>
      <charset val="1"/>
    </font>
    <font>
      <u val="single"/>
      <sz val="11"/>
      <color theme="1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theme="0"/>
        <bgColor rgb="FFE7E6E6"/>
      </patternFill>
    </fill>
    <fill>
      <patternFill patternType="solid">
        <fgColor rgb="FFBDD6EE"/>
        <bgColor rgb="FFB4C7E7"/>
      </patternFill>
    </fill>
    <fill>
      <patternFill patternType="solid">
        <fgColor rgb="FFA8D08D"/>
        <bgColor rgb="FFC5E0B3"/>
      </patternFill>
    </fill>
    <fill>
      <patternFill patternType="solid">
        <fgColor theme="4" tint="0.5998"/>
        <bgColor rgb="FFBDD6EE"/>
      </patternFill>
    </fill>
    <fill>
      <patternFill patternType="solid">
        <fgColor rgb="FFC00000"/>
        <bgColor rgb="FFFF0000"/>
      </patternFill>
    </fill>
    <fill>
      <patternFill patternType="solid">
        <fgColor rgb="FFC5E0B3"/>
        <bgColor rgb="FFBDD6EE"/>
      </patternFill>
    </fill>
    <fill>
      <patternFill patternType="solid">
        <fgColor rgb="FFE7E6E6"/>
        <bgColor rgb="FFFFFFFF"/>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2" borderId="2" xfId="0" applyFont="true" applyBorder="true" applyAlignment="true" applyProtection="false">
      <alignment horizontal="center" vertical="top" textRotation="0" wrapText="fals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4" fillId="3"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5" fontId="13" fillId="0"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3" borderId="2" xfId="0" applyFont="true" applyBorder="true" applyAlignment="true" applyProtection="false">
      <alignment horizontal="general" vertical="top" textRotation="0" wrapText="false" indent="0" shrinkToFit="false"/>
      <protection locked="true" hidden="false"/>
    </xf>
    <xf numFmtId="164" fontId="10" fillId="3" borderId="2"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center" vertical="top" textRotation="0" wrapText="fals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4" fillId="0" borderId="3" xfId="0" applyFont="true" applyBorder="true" applyAlignment="true" applyProtection="false">
      <alignment horizontal="general" vertical="top" textRotation="0" wrapText="fals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5" fontId="9" fillId="0" borderId="3" xfId="0" applyFont="true" applyBorder="true" applyAlignment="true" applyProtection="false">
      <alignment horizontal="center" vertical="top" textRotation="0" wrapText="fals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center"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90" wrapText="false" indent="0" shrinkToFit="false"/>
      <protection locked="true" hidden="false"/>
    </xf>
    <xf numFmtId="164" fontId="15" fillId="2"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5" fontId="17" fillId="0" borderId="1" xfId="0" applyFont="true" applyBorder="true" applyAlignment="true" applyProtection="false">
      <alignment horizontal="right" vertical="center" textRotation="0" wrapText="false" indent="0" shrinkToFit="false"/>
      <protection locked="true" hidden="false"/>
    </xf>
    <xf numFmtId="165" fontId="18" fillId="0" borderId="1" xfId="0" applyFont="true" applyBorder="true" applyAlignment="true" applyProtection="false">
      <alignment horizontal="right" vertical="center"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6" fontId="18"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22" fillId="2" borderId="1" xfId="0" applyFont="true" applyBorder="true" applyAlignment="true" applyProtection="false">
      <alignment horizontal="center" vertical="top" textRotation="0" wrapText="true" indent="0" shrinkToFit="false"/>
      <protection locked="true" hidden="false"/>
    </xf>
    <xf numFmtId="164" fontId="23" fillId="2" borderId="1" xfId="0" applyFont="true" applyBorder="true" applyAlignment="true" applyProtection="false">
      <alignment horizontal="center" vertical="top" textRotation="0" wrapText="true" indent="0" shrinkToFit="false"/>
      <protection locked="true" hidden="false"/>
    </xf>
    <xf numFmtId="164" fontId="22" fillId="2" borderId="2" xfId="0" applyFont="true" applyBorder="true" applyAlignment="true" applyProtection="false">
      <alignment horizontal="center" vertical="top" textRotation="0" wrapText="true" indent="0" shrinkToFit="false"/>
      <protection locked="true" hidden="false"/>
    </xf>
    <xf numFmtId="164" fontId="22" fillId="2" borderId="1" xfId="0" applyFont="true" applyBorder="true" applyAlignment="true" applyProtection="false">
      <alignment horizontal="center" vertical="top" textRotation="0" wrapText="false" indent="0" shrinkToFit="false"/>
      <protection locked="true" hidden="false"/>
    </xf>
    <xf numFmtId="164" fontId="24" fillId="0" borderId="1" xfId="0" applyFont="true" applyBorder="true" applyAlignment="true" applyProtection="false">
      <alignment horizontal="center"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false" indent="0" shrinkToFit="false"/>
      <protection locked="true" hidden="false"/>
    </xf>
    <xf numFmtId="165" fontId="24" fillId="0" borderId="1" xfId="0" applyFont="true" applyBorder="true" applyAlignment="true" applyProtection="false">
      <alignment horizontal="center" vertical="top" textRotation="0" wrapText="tru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center" vertical="top"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5" fontId="26" fillId="0" borderId="1" xfId="0" applyFont="true" applyBorder="true" applyAlignment="true" applyProtection="false">
      <alignment horizontal="center" vertical="top" textRotation="0" wrapText="true" indent="0" shrinkToFit="false"/>
      <protection locked="true" hidden="false"/>
    </xf>
    <xf numFmtId="164" fontId="26" fillId="0" borderId="2" xfId="0" applyFont="true" applyBorder="true" applyAlignment="true" applyProtection="false">
      <alignment horizontal="general" vertical="top" textRotation="0" wrapText="true" indent="0" shrinkToFit="false"/>
      <protection locked="true" hidden="false"/>
    </xf>
    <xf numFmtId="164" fontId="26" fillId="0" borderId="3" xfId="0" applyFont="true" applyBorder="true" applyAlignment="true" applyProtection="false">
      <alignment horizontal="general" vertical="top" textRotation="0" wrapText="true" indent="0" shrinkToFit="false"/>
      <protection locked="true" hidden="false"/>
    </xf>
    <xf numFmtId="164" fontId="26" fillId="0" borderId="3" xfId="0" applyFont="true" applyBorder="true" applyAlignment="true" applyProtection="false">
      <alignment horizontal="center" vertical="top" textRotation="0" wrapText="true" indent="0" shrinkToFit="false"/>
      <protection locked="true" hidden="false"/>
    </xf>
    <xf numFmtId="164" fontId="26" fillId="0" borderId="4" xfId="0" applyFont="true" applyBorder="true" applyAlignment="true" applyProtection="false">
      <alignment horizontal="general" vertical="top" textRotation="0" wrapText="true" indent="0" shrinkToFit="false"/>
      <protection locked="true" hidden="false"/>
    </xf>
    <xf numFmtId="164" fontId="24" fillId="0" borderId="3" xfId="0" applyFont="true" applyBorder="true" applyAlignment="true" applyProtection="false">
      <alignment horizontal="general" vertical="top" textRotation="0" wrapText="true" indent="0" shrinkToFit="false"/>
      <protection locked="true" hidden="false"/>
    </xf>
    <xf numFmtId="164" fontId="25" fillId="0" borderId="3"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0" fillId="0" borderId="5" xfId="0" applyFont="false" applyBorder="true" applyAlignment="true" applyProtection="false">
      <alignment horizontal="general" vertical="top" textRotation="0" wrapText="true" indent="0" shrinkToFit="false"/>
      <protection locked="true" hidden="false"/>
    </xf>
    <xf numFmtId="164" fontId="11" fillId="0" borderId="6" xfId="0" applyFont="true" applyBorder="true" applyAlignment="true" applyProtection="false">
      <alignment horizontal="center" vertical="top" textRotation="0" wrapText="false" indent="0" shrinkToFit="false"/>
      <protection locked="true" hidden="false"/>
    </xf>
    <xf numFmtId="164" fontId="11" fillId="0" borderId="7" xfId="0" applyFont="tru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25" fillId="0" borderId="5"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1" fillId="0" borderId="8" xfId="0" applyFont="true" applyBorder="true" applyAlignment="true" applyProtection="false">
      <alignment horizontal="general" vertical="top" textRotation="0" wrapText="true" indent="0" shrinkToFit="false"/>
      <protection locked="true" hidden="false"/>
    </xf>
    <xf numFmtId="164" fontId="11" fillId="0" borderId="7" xfId="0" applyFont="true" applyBorder="tru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24" fillId="0" borderId="6" xfId="0" applyFont="true" applyBorder="true" applyAlignment="true" applyProtection="false">
      <alignment horizontal="general" vertical="top" textRotation="0" wrapText="true" indent="0" shrinkToFit="false"/>
      <protection locked="true" hidden="false"/>
    </xf>
    <xf numFmtId="164" fontId="25" fillId="0" borderId="6" xfId="0" applyFont="true" applyBorder="true" applyAlignment="true" applyProtection="false">
      <alignment horizontal="general" vertical="top" textRotation="0" wrapText="fals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24" fillId="0" borderId="4"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center" vertical="top" textRotation="0" wrapText="false" indent="0" shrinkToFit="false"/>
      <protection locked="true" hidden="false"/>
    </xf>
    <xf numFmtId="165" fontId="24" fillId="0" borderId="2" xfId="0" applyFont="true" applyBorder="true" applyAlignment="true" applyProtection="false">
      <alignment horizontal="center" vertical="top" textRotation="0" wrapText="false" indent="0" shrinkToFit="false"/>
      <protection locked="true" hidden="false"/>
    </xf>
    <xf numFmtId="165" fontId="24" fillId="0" borderId="1" xfId="0" applyFont="true" applyBorder="true" applyAlignment="true" applyProtection="false">
      <alignment horizontal="center" vertical="top" textRotation="0" wrapText="false" indent="0" shrinkToFit="false"/>
      <protection locked="true" hidden="false"/>
    </xf>
    <xf numFmtId="164" fontId="24" fillId="0" borderId="9" xfId="0" applyFont="true" applyBorder="true" applyAlignment="true" applyProtection="false">
      <alignment horizontal="general" vertical="top" textRotation="0" wrapText="true" indent="0" shrinkToFit="false"/>
      <protection locked="true" hidden="false"/>
    </xf>
    <xf numFmtId="164" fontId="26" fillId="0" borderId="6"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false" indent="0" shrinkToFit="false"/>
      <protection locked="true" hidden="false"/>
    </xf>
    <xf numFmtId="164" fontId="28" fillId="0" borderId="1" xfId="0" applyFont="true" applyBorder="true" applyAlignment="true" applyProtection="false">
      <alignment horizontal="general" vertical="top" textRotation="0" wrapText="false" indent="0" shrinkToFit="false"/>
      <protection locked="true" hidden="false"/>
    </xf>
    <xf numFmtId="164" fontId="29" fillId="0" borderId="1" xfId="0" applyFont="true" applyBorder="tru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general" vertical="top" textRotation="0" wrapText="true" indent="0" shrinkToFit="false"/>
      <protection locked="true" hidden="false"/>
    </xf>
    <xf numFmtId="165" fontId="22" fillId="0" borderId="2" xfId="0" applyFont="true" applyBorder="true" applyAlignment="true" applyProtection="false">
      <alignment horizontal="center" vertical="top" textRotation="0" wrapText="true" indent="0" shrinkToFit="false"/>
      <protection locked="true" hidden="false"/>
    </xf>
    <xf numFmtId="165" fontId="26" fillId="0" borderId="2" xfId="0" applyFont="true" applyBorder="true" applyAlignment="true" applyProtection="false">
      <alignment horizontal="center"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5" fontId="24" fillId="0" borderId="2"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false" indent="0" shrinkToFit="false"/>
      <protection locked="true" hidden="false"/>
    </xf>
    <xf numFmtId="164" fontId="0" fillId="0" borderId="10" xfId="0" applyFont="false" applyBorder="true" applyAlignment="true" applyProtection="false">
      <alignment horizontal="general" vertical="top" textRotation="0" wrapText="true" indent="0" shrinkToFit="false"/>
      <protection locked="true" hidden="false"/>
    </xf>
    <xf numFmtId="164" fontId="0" fillId="0" borderId="8" xfId="0" applyFont="false" applyBorder="true" applyAlignment="true" applyProtection="false">
      <alignment horizontal="general" vertical="top" textRotation="0" wrapText="true" indent="0" shrinkToFit="false"/>
      <protection locked="true" hidden="false"/>
    </xf>
    <xf numFmtId="164" fontId="22" fillId="0" borderId="9"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24" fillId="0" borderId="1" xfId="0" applyFont="true" applyBorder="true" applyAlignment="true" applyProtection="false">
      <alignment horizontal="general" vertical="top" textRotation="0" wrapText="false" indent="0" shrinkToFit="false"/>
      <protection locked="true" hidden="false"/>
    </xf>
    <xf numFmtId="164" fontId="24" fillId="0" borderId="2" xfId="0" applyFont="true" applyBorder="tru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5" fontId="22" fillId="0" borderId="1" xfId="0" applyFont="true" applyBorder="true" applyAlignment="true" applyProtection="false">
      <alignment horizontal="center" vertical="top" textRotation="0" wrapText="false" indent="0" shrinkToFit="false"/>
      <protection locked="true" hidden="false"/>
    </xf>
    <xf numFmtId="164" fontId="26" fillId="2" borderId="1" xfId="0" applyFont="true" applyBorder="true" applyAlignment="true" applyProtection="false">
      <alignment horizontal="center" vertical="top" textRotation="0" wrapText="false" indent="0" shrinkToFit="false"/>
      <protection locked="true" hidden="false"/>
    </xf>
    <xf numFmtId="164" fontId="28" fillId="2" borderId="1" xfId="0" applyFont="true" applyBorder="true" applyAlignment="true" applyProtection="false">
      <alignment horizontal="general" vertical="top" textRotation="0" wrapText="false" indent="0" shrinkToFit="false"/>
      <protection locked="true" hidden="false"/>
    </xf>
    <xf numFmtId="164" fontId="20" fillId="2" borderId="1" xfId="0" applyFont="true" applyBorder="true" applyAlignment="true" applyProtection="false">
      <alignment horizontal="general" vertical="top" textRotation="0" wrapText="false" indent="0" shrinkToFit="false"/>
      <protection locked="true" hidden="false"/>
    </xf>
    <xf numFmtId="164" fontId="25" fillId="2"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30" fillId="2" borderId="0" xfId="0" applyFont="true" applyBorder="false" applyAlignment="true" applyProtection="false">
      <alignment horizontal="general" vertical="top" textRotation="0" wrapText="true" indent="0" shrinkToFit="false"/>
      <protection locked="true" hidden="false"/>
    </xf>
    <xf numFmtId="164" fontId="24" fillId="2" borderId="1" xfId="0" applyFont="true" applyBorder="true" applyAlignment="true" applyProtection="false">
      <alignment horizontal="center" vertical="top" textRotation="0" wrapText="false" indent="0" shrinkToFit="false"/>
      <protection locked="true" hidden="false"/>
    </xf>
    <xf numFmtId="165" fontId="24" fillId="2" borderId="1" xfId="0" applyFont="true" applyBorder="true" applyAlignment="true" applyProtection="false">
      <alignment horizontal="center" vertical="top" textRotation="0" wrapText="false" indent="0" shrinkToFit="false"/>
      <protection locked="true" hidden="false"/>
    </xf>
    <xf numFmtId="164" fontId="24" fillId="2" borderId="2" xfId="0" applyFont="true" applyBorder="true" applyAlignment="true" applyProtection="false">
      <alignment horizontal="general" vertical="top" textRotation="0" wrapText="true" indent="0" shrinkToFit="false"/>
      <protection locked="true" hidden="false"/>
    </xf>
    <xf numFmtId="164" fontId="29" fillId="2" borderId="1" xfId="0" applyFont="true" applyBorder="true" applyAlignment="true" applyProtection="false">
      <alignment horizontal="general" vertical="top" textRotation="0" wrapText="true" indent="0" shrinkToFit="false"/>
      <protection locked="true" hidden="false"/>
    </xf>
    <xf numFmtId="164" fontId="0" fillId="2" borderId="1"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31" fillId="2" borderId="1" xfId="0" applyFont="true" applyBorder="true" applyAlignment="true" applyProtection="false">
      <alignment horizontal="general" vertical="top" textRotation="0" wrapText="fals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5" fontId="24" fillId="2" borderId="5" xfId="0" applyFont="true" applyBorder="true" applyAlignment="true" applyProtection="false">
      <alignment horizontal="center" vertical="top" textRotation="0" wrapText="false" indent="0" shrinkToFit="false"/>
      <protection locked="true" hidden="false"/>
    </xf>
    <xf numFmtId="164" fontId="26" fillId="3" borderId="1" xfId="0" applyFont="true" applyBorder="true" applyAlignment="true" applyProtection="false">
      <alignment horizontal="center" vertical="top" textRotation="0" wrapText="false" indent="0" shrinkToFit="false"/>
      <protection locked="true" hidden="false"/>
    </xf>
    <xf numFmtId="164" fontId="28" fillId="3" borderId="1" xfId="0" applyFont="true" applyBorder="true" applyAlignment="true" applyProtection="false">
      <alignment horizontal="general" vertical="top" textRotation="0" wrapText="false" indent="0" shrinkToFit="false"/>
      <protection locked="true" hidden="false"/>
    </xf>
    <xf numFmtId="164" fontId="20" fillId="3" borderId="1" xfId="0" applyFont="true" applyBorder="true" applyAlignment="true" applyProtection="false">
      <alignment horizontal="general" vertical="top" textRotation="0" wrapText="false" indent="0" shrinkToFit="false"/>
      <protection locked="true" hidden="false"/>
    </xf>
    <xf numFmtId="164" fontId="31" fillId="3" borderId="1" xfId="0" applyFont="true" applyBorder="true" applyAlignment="true" applyProtection="false">
      <alignment horizontal="general" vertical="top" textRotation="0" wrapText="false" indent="0" shrinkToFit="false"/>
      <protection locked="true" hidden="false"/>
    </xf>
    <xf numFmtId="164" fontId="12" fillId="0" borderId="5" xfId="0" applyFont="true" applyBorder="true" applyAlignment="true" applyProtection="false">
      <alignment horizontal="center"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false" indent="0" shrinkToFit="false"/>
      <protection locked="true" hidden="false"/>
    </xf>
    <xf numFmtId="164" fontId="25" fillId="0" borderId="6" xfId="0" applyFont="true" applyBorder="true" applyAlignment="true" applyProtection="false">
      <alignment horizontal="general" vertical="top" textRotation="0" wrapText="true" indent="0" shrinkToFit="false"/>
      <protection locked="true" hidden="false"/>
    </xf>
    <xf numFmtId="164" fontId="12" fillId="0" borderId="8" xfId="0" applyFont="true" applyBorder="true" applyAlignment="true" applyProtection="false">
      <alignment horizontal="center" vertical="top" textRotation="0" wrapText="true" indent="0" shrinkToFit="false"/>
      <protection locked="true" hidden="false"/>
    </xf>
    <xf numFmtId="164" fontId="11" fillId="0" borderId="6" xfId="0" applyFont="true" applyBorder="true" applyAlignment="true" applyProtection="false">
      <alignment horizontal="general" vertical="top" textRotation="0" wrapText="true" indent="0" shrinkToFit="false"/>
      <protection locked="true" hidden="false"/>
    </xf>
    <xf numFmtId="164" fontId="10" fillId="3" borderId="6" xfId="0" applyFont="true" applyBorder="true" applyAlignment="true" applyProtection="false">
      <alignment horizontal="general" vertical="top" textRotation="0" wrapText="true" indent="0" shrinkToFit="false"/>
      <protection locked="true" hidden="false"/>
    </xf>
    <xf numFmtId="164" fontId="13" fillId="0" borderId="6" xfId="0" applyFont="true" applyBorder="true" applyAlignment="true" applyProtection="false">
      <alignment horizontal="general" vertical="top" textRotation="0" wrapText="true" indent="0" shrinkToFit="false"/>
      <protection locked="true" hidden="false"/>
    </xf>
    <xf numFmtId="164" fontId="13" fillId="0" borderId="8" xfId="0" applyFont="true" applyBorder="true" applyAlignment="true" applyProtection="false">
      <alignment horizontal="center" vertical="top" textRotation="0" wrapText="true" indent="0" shrinkToFit="false"/>
      <protection locked="true" hidden="false"/>
    </xf>
    <xf numFmtId="164" fontId="13" fillId="0" borderId="6" xfId="0" applyFont="true" applyBorder="true" applyAlignment="true" applyProtection="false">
      <alignment horizontal="general" vertical="bottom" textRotation="0" wrapText="true" indent="0" shrinkToFit="false"/>
      <protection locked="true" hidden="false"/>
    </xf>
    <xf numFmtId="164" fontId="26" fillId="3" borderId="6" xfId="0" applyFont="true" applyBorder="true" applyAlignment="true" applyProtection="false">
      <alignment horizontal="general" vertical="top" textRotation="0" wrapText="true" indent="0" shrinkToFit="false"/>
      <protection locked="true" hidden="false"/>
    </xf>
    <xf numFmtId="164" fontId="22" fillId="3" borderId="1" xfId="0" applyFont="true" applyBorder="true" applyAlignment="true" applyProtection="false">
      <alignment horizontal="general" vertical="top" textRotation="0" wrapText="true" indent="0" shrinkToFit="false"/>
      <protection locked="true" hidden="false"/>
    </xf>
    <xf numFmtId="164" fontId="26" fillId="3" borderId="1" xfId="0" applyFont="true" applyBorder="true" applyAlignment="true" applyProtection="false">
      <alignment horizontal="general" vertical="top" textRotation="0" wrapText="true" indent="0" shrinkToFit="false"/>
      <protection locked="true" hidden="false"/>
    </xf>
    <xf numFmtId="164" fontId="24" fillId="3" borderId="1" xfId="0" applyFont="true" applyBorder="true" applyAlignment="true" applyProtection="false">
      <alignment horizontal="general" vertical="top" textRotation="0" wrapText="true" indent="0" shrinkToFit="false"/>
      <protection locked="true" hidden="false"/>
    </xf>
    <xf numFmtId="165" fontId="22" fillId="0" borderId="2" xfId="0" applyFont="true" applyBorder="true" applyAlignment="true" applyProtection="false">
      <alignment horizontal="center" vertical="top" textRotation="0" wrapText="false" indent="0" shrinkToFit="false"/>
      <protection locked="true" hidden="false"/>
    </xf>
    <xf numFmtId="164" fontId="25" fillId="3" borderId="0" xfId="0" applyFont="true" applyBorder="false" applyAlignment="true" applyProtection="false">
      <alignment horizontal="general" vertical="top" textRotation="0" wrapText="false" indent="0" shrinkToFit="false"/>
      <protection locked="true" hidden="false"/>
    </xf>
    <xf numFmtId="164" fontId="24" fillId="3" borderId="9" xfId="0" applyFont="true" applyBorder="true" applyAlignment="true" applyProtection="false">
      <alignment horizontal="general" vertical="top" textRotation="0" wrapText="true" indent="0" shrinkToFit="false"/>
      <protection locked="true" hidden="false"/>
    </xf>
    <xf numFmtId="164" fontId="24" fillId="3" borderId="2"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center" vertical="top"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general" vertical="top" textRotation="0" wrapText="fals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24" fillId="2" borderId="1" xfId="0" applyFont="true" applyBorder="true" applyAlignment="true" applyProtection="false">
      <alignment horizontal="center" vertical="top" textRotation="0" wrapText="true" indent="0" shrinkToFit="false"/>
      <protection locked="true" hidden="false"/>
    </xf>
    <xf numFmtId="164" fontId="24" fillId="2" borderId="1" xfId="0" applyFont="true" applyBorder="true" applyAlignment="true" applyProtection="false">
      <alignment horizontal="general" vertical="top" textRotation="0" wrapText="true" indent="0" shrinkToFit="false"/>
      <protection locked="true" hidden="false"/>
    </xf>
    <xf numFmtId="164" fontId="25" fillId="2" borderId="1" xfId="0" applyFont="true" applyBorder="true" applyAlignment="true" applyProtection="false">
      <alignment horizontal="general" vertical="top" textRotation="0" wrapText="false" indent="0" shrinkToFit="false"/>
      <protection locked="true" hidden="false"/>
    </xf>
    <xf numFmtId="164" fontId="22" fillId="2" borderId="1" xfId="0" applyFont="true" applyBorder="true" applyAlignment="true" applyProtection="false">
      <alignment horizontal="general" vertical="top" textRotation="0" wrapText="true" indent="0" shrinkToFit="false"/>
      <protection locked="true" hidden="false"/>
    </xf>
    <xf numFmtId="165" fontId="24" fillId="2" borderId="1" xfId="0" applyFont="true" applyBorder="true" applyAlignment="true" applyProtection="false">
      <alignment horizontal="center" vertical="top" textRotation="0" wrapText="true" indent="0" shrinkToFit="false"/>
      <protection locked="true" hidden="false"/>
    </xf>
    <xf numFmtId="164" fontId="26" fillId="2"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false" indent="0" shrinkToFit="false"/>
      <protection locked="true" hidden="false"/>
    </xf>
    <xf numFmtId="164" fontId="31" fillId="2" borderId="1" xfId="0" applyFont="true" applyBorder="true" applyAlignment="true" applyProtection="false">
      <alignment horizontal="general" vertical="top" textRotation="0" wrapText="true" indent="0" shrinkToFit="false"/>
      <protection locked="true" hidden="false"/>
    </xf>
    <xf numFmtId="165" fontId="22" fillId="2" borderId="1" xfId="0" applyFont="true" applyBorder="true" applyAlignment="true" applyProtection="false">
      <alignment horizontal="center" vertical="top" textRotation="0" wrapText="true" indent="0" shrinkToFit="false"/>
      <protection locked="true" hidden="false"/>
    </xf>
    <xf numFmtId="164" fontId="26" fillId="2" borderId="1" xfId="0" applyFont="true" applyBorder="true" applyAlignment="true" applyProtection="false">
      <alignment horizontal="center" vertical="top" textRotation="0" wrapText="true" indent="0" shrinkToFit="false"/>
      <protection locked="true" hidden="false"/>
    </xf>
    <xf numFmtId="165" fontId="26" fillId="2" borderId="1" xfId="0" applyFont="true" applyBorder="true" applyAlignment="true" applyProtection="false">
      <alignment horizontal="center" vertical="top" textRotation="0" wrapText="true" indent="0" shrinkToFit="false"/>
      <protection locked="true" hidden="false"/>
    </xf>
    <xf numFmtId="164" fontId="26" fillId="6" borderId="1" xfId="0" applyFont="true" applyBorder="true" applyAlignment="true" applyProtection="false">
      <alignment horizontal="center" vertical="top" textRotation="0" wrapText="false" indent="0" shrinkToFit="false"/>
      <protection locked="true" hidden="false"/>
    </xf>
    <xf numFmtId="164" fontId="28" fillId="6" borderId="1" xfId="0" applyFont="true" applyBorder="true" applyAlignment="true" applyProtection="false">
      <alignment horizontal="general" vertical="top" textRotation="0" wrapText="false" indent="0" shrinkToFit="false"/>
      <protection locked="true" hidden="false"/>
    </xf>
    <xf numFmtId="164" fontId="20" fillId="6" borderId="1" xfId="0" applyFont="true" applyBorder="true" applyAlignment="true" applyProtection="false">
      <alignment horizontal="general" vertical="top" textRotation="0" wrapText="false" indent="0" shrinkToFit="false"/>
      <protection locked="true" hidden="false"/>
    </xf>
    <xf numFmtId="164" fontId="25" fillId="6" borderId="1" xfId="0" applyFont="true" applyBorder="true" applyAlignment="true" applyProtection="false">
      <alignment horizontal="general" vertical="top" textRotation="0" wrapText="false" indent="0" shrinkToFit="false"/>
      <protection locked="true" hidden="false"/>
    </xf>
    <xf numFmtId="164" fontId="36" fillId="6" borderId="1" xfId="0" applyFont="true" applyBorder="true" applyAlignment="true" applyProtection="false">
      <alignment horizontal="general" vertical="top" textRotation="0" wrapText="false" indent="0" shrinkToFit="false"/>
      <protection locked="true" hidden="false"/>
    </xf>
    <xf numFmtId="164" fontId="36" fillId="6" borderId="1" xfId="0" applyFont="true" applyBorder="true" applyAlignment="true" applyProtection="false">
      <alignment horizontal="general" vertical="top" textRotation="0" wrapText="true" indent="0" shrinkToFit="false"/>
      <protection locked="true" hidden="false"/>
    </xf>
    <xf numFmtId="164" fontId="29" fillId="6" borderId="1" xfId="0" applyFont="true" applyBorder="true" applyAlignment="true" applyProtection="false">
      <alignment horizontal="general" vertical="top" textRotation="0" wrapText="true" indent="0" shrinkToFit="false"/>
      <protection locked="true" hidden="false"/>
    </xf>
    <xf numFmtId="164" fontId="24" fillId="6" borderId="1" xfId="0" applyFont="true" applyBorder="true" applyAlignment="true" applyProtection="false">
      <alignment horizontal="center" vertical="top" textRotation="0" wrapText="false" indent="0" shrinkToFit="false"/>
      <protection locked="true" hidden="false"/>
    </xf>
    <xf numFmtId="165" fontId="24" fillId="6" borderId="1" xfId="0" applyFont="true" applyBorder="true" applyAlignment="true" applyProtection="false">
      <alignment horizontal="center" vertical="top" textRotation="0" wrapText="false" indent="0" shrinkToFit="false"/>
      <protection locked="true" hidden="false"/>
    </xf>
    <xf numFmtId="164" fontId="24" fillId="6" borderId="1" xfId="0" applyFont="true" applyBorder="true" applyAlignment="true" applyProtection="false">
      <alignment horizontal="left" vertical="top" textRotation="0" wrapText="false" indent="0" shrinkToFit="false"/>
      <protection locked="true" hidden="false"/>
    </xf>
    <xf numFmtId="164" fontId="0" fillId="6" borderId="0" xfId="0" applyFont="false" applyBorder="false" applyAlignment="true" applyProtection="false">
      <alignment horizontal="general" vertical="top" textRotation="0" wrapText="false" indent="0" shrinkToFit="false"/>
      <protection locked="true" hidden="false"/>
    </xf>
    <xf numFmtId="164" fontId="26" fillId="0" borderId="1" xfId="0" applyFont="true" applyBorder="true" applyAlignment="true" applyProtection="false">
      <alignment horizontal="general" vertical="top" textRotation="0" wrapText="false" indent="0" shrinkToFit="false"/>
      <protection locked="true" hidden="false"/>
    </xf>
    <xf numFmtId="164" fontId="27" fillId="0" borderId="1" xfId="0" applyFont="true" applyBorder="true" applyAlignment="true" applyProtection="false">
      <alignment horizontal="general" vertical="top" textRotation="0" wrapText="false" indent="0" shrinkToFit="false"/>
      <protection locked="true" hidden="false"/>
    </xf>
    <xf numFmtId="164" fontId="37" fillId="0" borderId="1" xfId="0" applyFont="true" applyBorder="true" applyAlignment="true" applyProtection="false">
      <alignment horizontal="general" vertical="top" textRotation="0" wrapText="false" indent="0" shrinkToFit="false"/>
      <protection locked="true" hidden="false"/>
    </xf>
    <xf numFmtId="164" fontId="36" fillId="0" borderId="1" xfId="0" applyFont="true" applyBorder="true" applyAlignment="true" applyProtection="false">
      <alignment horizontal="general" vertical="top" textRotation="0" wrapText="false" indent="0" shrinkToFit="false"/>
      <protection locked="true" hidden="false"/>
    </xf>
    <xf numFmtId="165" fontId="26" fillId="0"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38" fillId="0" borderId="1"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39" fillId="0" borderId="1" xfId="0" applyFont="true" applyBorder="true" applyAlignment="true" applyProtection="false">
      <alignment horizontal="general" vertical="center" textRotation="0" wrapText="false" indent="0" shrinkToFit="false"/>
      <protection locked="true" hidden="false"/>
    </xf>
    <xf numFmtId="164" fontId="34" fillId="0" borderId="1" xfId="0" applyFont="true" applyBorder="true" applyAlignment="true" applyProtection="false">
      <alignment horizontal="general"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5" fontId="0" fillId="9"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bgColor rgb="FFFFC7CE"/>
        </patternFill>
      </fill>
    </dxf>
    <dxf>
      <font>
        <i val="1"/>
        <color rgb="FF7F7F7F"/>
      </font>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B4C7E7"/>
      <rgbColor rgb="FF7F7F7F"/>
      <rgbColor rgb="FF9999FF"/>
      <rgbColor rgb="FF993366"/>
      <rgbColor rgb="FFE7E6E6"/>
      <rgbColor rgb="FFCCFFFF"/>
      <rgbColor rgb="FF660066"/>
      <rgbColor rgb="FFFF8080"/>
      <rgbColor rgb="FF0563C1"/>
      <rgbColor rgb="FFBDD6EE"/>
      <rgbColor rgb="FF000080"/>
      <rgbColor rgb="FFFF00FF"/>
      <rgbColor rgb="FFFFFF00"/>
      <rgbColor rgb="FF00FFFF"/>
      <rgbColor rgb="FF800080"/>
      <rgbColor rgb="FF800000"/>
      <rgbColor rgb="FF008080"/>
      <rgbColor rgb="FF0000FF"/>
      <rgbColor rgb="FF00CCFF"/>
      <rgbColor rgb="FFCCFFFF"/>
      <rgbColor rgb="FFC5E0B3"/>
      <rgbColor rgb="FFFFFF99"/>
      <rgbColor rgb="FFA8D08D"/>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37.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38.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39.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0.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1.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2.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3.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44.xml.rels><?xml version="1.0" encoding="UTF-8"?>
<Relationships xmlns="http://schemas.openxmlformats.org/package/2006/relationships"><Relationship Id="rId1" Type="http://schemas.openxmlformats.org/officeDocument/2006/relationships/hyperlink" Target="https://ksrsac.karnataka.gov.in/map.aspx" TargetMode="External"/>
</Relationships>
</file>

<file path=xl/worksheets/_rels/sheet45.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46.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47.xml.rels><?xml version="1.0" encoding="UTF-8"?>
<Relationships xmlns="http://schemas.openxmlformats.org/package/2006/relationships"><Relationship Id="rId1" Type="http://schemas.openxmlformats.org/officeDocument/2006/relationships/hyperlink" Target="https://bwssb.karnataka.gov.in/storage/pdf-files/documents/Vision%20Document%202050%20%20new.pdf" TargetMode="External"/>
</Relationships>
</file>

<file path=xl/worksheets/_rels/sheet51.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2.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3.xml.rels><?xml version="1.0" encoding="UTF-8"?>
<Relationships xmlns="http://schemas.openxmlformats.org/package/2006/relationships"><Relationship Id="rId1" Type="http://schemas.openxmlformats.org/officeDocument/2006/relationships/hyperlink" Target="https://dult.karnataka.gov.in/assets/front/pdf/Comprehensive_Mobility_Plan.pdf" TargetMode="External"/>
</Relationships>
</file>

<file path=xl/worksheets/_rels/sheet54.xml.rels><?xml version="1.0" encoding="UTF-8"?>
<Relationships xmlns="http://schemas.openxmlformats.org/package/2006/relationships"><Relationship Id="rId1" Type="http://schemas.openxmlformats.org/officeDocument/2006/relationships/hyperlink" Target="https://www.thehindu.com/news/cities/bangalore/proposed-economic-masterplan-for-bengaluru-metropolitan-region-targets-75-public-transport/article71420718.ece" TargetMode="External"/>
</Relationships>
</file>

<file path=xl/worksheets/_rels/sheet68.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69.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0.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1.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_rels/sheet72.xml.rels><?xml version="1.0" encoding="UTF-8"?>
<Relationships xmlns="http://schemas.openxmlformats.org/package/2006/relationships"><Relationship Id="rId1" Type="http://schemas.openxmlformats.org/officeDocument/2006/relationships/hyperlink" Target="https://data.opencity.in/dataset/bda-revised-master-plan-2015/resource/dc23b4ae-e020-4499-b18d-8e4ed2f86a2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6"/>
  <sheetViews>
    <sheetView showFormulas="false" showGridLines="true" showRowColHeaders="true" showZeros="true" rightToLeft="false" tabSelected="true" showOutlineSymbols="true" defaultGridColor="true" view="normal" topLeftCell="G2" colorId="64" zoomScale="62" zoomScaleNormal="62" zoomScalePageLayoutView="100" workbookViewId="0">
      <selection pane="topLeft" activeCell="M5" activeCellId="0" sqref="M5"/>
    </sheetView>
  </sheetViews>
  <sheetFormatPr defaultColWidth="9.1484375" defaultRowHeight="13.5" customHeight="false" zeroHeight="false" outlineLevelRow="0" outlineLevelCol="0"/>
  <cols>
    <col collapsed="false" customWidth="false" hidden="false" outlineLevel="0" max="1" min="1" style="1" width="9.14"/>
    <col collapsed="false" customWidth="false" hidden="true" outlineLevel="0" max="2" min="2" style="2" width="9.14"/>
    <col collapsed="false" customWidth="true" hidden="true" outlineLevel="0" max="3" min="3" style="2" width="7.57"/>
    <col collapsed="false" customWidth="true" hidden="true" outlineLevel="0" max="4" min="4" style="2" width="5.14"/>
    <col collapsed="false" customWidth="true" hidden="false" outlineLevel="0" max="5" min="5" style="2" width="12.86"/>
    <col collapsed="false" customWidth="true" hidden="false" outlineLevel="0" max="6" min="6" style="2" width="15"/>
    <col collapsed="false" customWidth="true" hidden="false" outlineLevel="0" max="7" min="7" style="2" width="22.29"/>
    <col collapsed="false" customWidth="true" hidden="false" outlineLevel="0" max="8" min="8" style="3" width="19.14"/>
    <col collapsed="false" customWidth="true" hidden="false" outlineLevel="0" max="9" min="9" style="2" width="79.86"/>
    <col collapsed="false" customWidth="true" hidden="false" outlineLevel="0" max="10" min="10" style="1" width="10.42"/>
    <col collapsed="false" customWidth="true" hidden="false" outlineLevel="0" max="11" min="11" style="1" width="19.57"/>
    <col collapsed="false" customWidth="true" hidden="false" outlineLevel="0" max="12" min="12" style="2" width="18.29"/>
    <col collapsed="false" customWidth="true" hidden="false" outlineLevel="0" max="13" min="13" style="4" width="98.29"/>
    <col collapsed="false" customWidth="true" hidden="false" outlineLevel="0" max="14" min="14" style="5" width="109.42"/>
    <col collapsed="false" customWidth="false" hidden="false" outlineLevel="0" max="16384" min="15" style="2" width="9.14"/>
  </cols>
  <sheetData>
    <row r="1" s="1" customFormat="true" ht="42.75" hidden="false" customHeight="true" outlineLevel="0" collapsed="false">
      <c r="A1" s="6" t="s">
        <v>0</v>
      </c>
      <c r="B1" s="6" t="s">
        <v>1</v>
      </c>
      <c r="C1" s="6" t="s">
        <v>2</v>
      </c>
      <c r="D1" s="6" t="s">
        <v>3</v>
      </c>
      <c r="E1" s="7" t="s">
        <v>4</v>
      </c>
      <c r="F1" s="7" t="s">
        <v>5</v>
      </c>
      <c r="G1" s="7" t="s">
        <v>6</v>
      </c>
      <c r="H1" s="7" t="s">
        <v>7</v>
      </c>
      <c r="I1" s="6" t="s">
        <v>8</v>
      </c>
      <c r="J1" s="6" t="s">
        <v>9</v>
      </c>
      <c r="K1" s="6" t="s">
        <v>10</v>
      </c>
      <c r="L1" s="6" t="s">
        <v>11</v>
      </c>
      <c r="M1" s="8" t="s">
        <v>12</v>
      </c>
      <c r="N1" s="9" t="s">
        <v>13</v>
      </c>
    </row>
    <row r="2" customFormat="false" ht="117" hidden="false" customHeight="true" outlineLevel="0" collapsed="false">
      <c r="A2" s="10" t="s">
        <v>14</v>
      </c>
      <c r="B2" s="11" t="s">
        <v>15</v>
      </c>
      <c r="C2" s="11" t="s">
        <v>15</v>
      </c>
      <c r="D2" s="11" t="s">
        <v>16</v>
      </c>
      <c r="E2" s="12" t="s">
        <v>15</v>
      </c>
      <c r="F2" s="12" t="s">
        <v>17</v>
      </c>
      <c r="G2" s="13" t="s">
        <v>18</v>
      </c>
      <c r="H2" s="13" t="s">
        <v>19</v>
      </c>
      <c r="I2" s="11" t="s">
        <v>20</v>
      </c>
      <c r="J2" s="10" t="s">
        <v>21</v>
      </c>
      <c r="K2" s="14" t="n">
        <v>10</v>
      </c>
      <c r="L2" s="11" t="s">
        <v>22</v>
      </c>
      <c r="M2" s="15" t="s">
        <v>23</v>
      </c>
      <c r="N2" s="16" t="s">
        <v>24</v>
      </c>
    </row>
    <row r="3" customFormat="false" ht="40.5" hidden="false" customHeight="true" outlineLevel="0" collapsed="false">
      <c r="A3" s="10" t="s">
        <v>25</v>
      </c>
      <c r="B3" s="11" t="s">
        <v>26</v>
      </c>
      <c r="C3" s="11" t="s">
        <v>27</v>
      </c>
      <c r="D3" s="11" t="s">
        <v>16</v>
      </c>
      <c r="E3" s="12" t="s">
        <v>28</v>
      </c>
      <c r="F3" s="12" t="s">
        <v>17</v>
      </c>
      <c r="G3" s="13" t="s">
        <v>18</v>
      </c>
      <c r="H3" s="13" t="s">
        <v>19</v>
      </c>
      <c r="I3" s="11" t="s">
        <v>29</v>
      </c>
      <c r="J3" s="10" t="s">
        <v>21</v>
      </c>
      <c r="K3" s="14" t="n">
        <v>10</v>
      </c>
      <c r="L3" s="11" t="s">
        <v>22</v>
      </c>
      <c r="M3" s="15" t="s">
        <v>30</v>
      </c>
      <c r="N3" s="16"/>
    </row>
    <row r="4" customFormat="false" ht="40.5" hidden="false" customHeight="true" outlineLevel="0" collapsed="false">
      <c r="A4" s="17" t="s">
        <v>31</v>
      </c>
      <c r="B4" s="18" t="s">
        <v>28</v>
      </c>
      <c r="C4" s="11" t="s">
        <v>28</v>
      </c>
      <c r="D4" s="11" t="s">
        <v>16</v>
      </c>
      <c r="E4" s="12" t="s">
        <v>32</v>
      </c>
      <c r="F4" s="12" t="s">
        <v>17</v>
      </c>
      <c r="G4" s="13" t="s">
        <v>18</v>
      </c>
      <c r="H4" s="13" t="s">
        <v>33</v>
      </c>
      <c r="I4" s="18" t="s">
        <v>34</v>
      </c>
      <c r="J4" s="17" t="s">
        <v>21</v>
      </c>
      <c r="K4" s="19" t="n">
        <v>10</v>
      </c>
      <c r="L4" s="18" t="s">
        <v>22</v>
      </c>
      <c r="M4" s="15" t="s">
        <v>35</v>
      </c>
      <c r="N4" s="16"/>
    </row>
    <row r="5" customFormat="false" ht="53.25" hidden="false" customHeight="true" outlineLevel="0" collapsed="false">
      <c r="A5" s="20" t="s">
        <v>36</v>
      </c>
      <c r="B5" s="21" t="s">
        <v>37</v>
      </c>
      <c r="C5" s="21" t="s">
        <v>37</v>
      </c>
      <c r="D5" s="11" t="s">
        <v>16</v>
      </c>
      <c r="E5" s="12" t="s">
        <v>38</v>
      </c>
      <c r="F5" s="12" t="s">
        <v>17</v>
      </c>
      <c r="G5" s="13" t="s">
        <v>18</v>
      </c>
      <c r="H5" s="13" t="s">
        <v>33</v>
      </c>
      <c r="I5" s="21" t="s">
        <v>39</v>
      </c>
      <c r="J5" s="20" t="s">
        <v>40</v>
      </c>
      <c r="K5" s="22" t="n">
        <v>3.33</v>
      </c>
      <c r="L5" s="21" t="s">
        <v>22</v>
      </c>
      <c r="M5" s="15" t="s">
        <v>41</v>
      </c>
      <c r="N5" s="16"/>
    </row>
    <row r="6" customFormat="false" ht="40.5" hidden="false" customHeight="true" outlineLevel="0" collapsed="false">
      <c r="A6" s="20" t="s">
        <v>42</v>
      </c>
      <c r="B6" s="21" t="s">
        <v>43</v>
      </c>
      <c r="C6" s="21" t="s">
        <v>43</v>
      </c>
      <c r="D6" s="11" t="s">
        <v>16</v>
      </c>
      <c r="E6" s="12" t="s">
        <v>44</v>
      </c>
      <c r="F6" s="12" t="s">
        <v>17</v>
      </c>
      <c r="G6" s="13" t="s">
        <v>18</v>
      </c>
      <c r="H6" s="13" t="s">
        <v>33</v>
      </c>
      <c r="I6" s="21" t="s">
        <v>45</v>
      </c>
      <c r="J6" s="20" t="s">
        <v>40</v>
      </c>
      <c r="K6" s="22" t="n">
        <v>3.33</v>
      </c>
      <c r="L6" s="21" t="s">
        <v>22</v>
      </c>
      <c r="M6" s="15" t="s">
        <v>46</v>
      </c>
      <c r="N6" s="16"/>
    </row>
    <row r="7" customFormat="false" ht="40.5" hidden="false" customHeight="true" outlineLevel="0" collapsed="false">
      <c r="A7" s="20" t="s">
        <v>47</v>
      </c>
      <c r="B7" s="21" t="s">
        <v>48</v>
      </c>
      <c r="C7" s="21" t="s">
        <v>48</v>
      </c>
      <c r="D7" s="11" t="s">
        <v>16</v>
      </c>
      <c r="E7" s="12" t="s">
        <v>49</v>
      </c>
      <c r="F7" s="12" t="s">
        <v>17</v>
      </c>
      <c r="G7" s="13" t="s">
        <v>18</v>
      </c>
      <c r="H7" s="13" t="s">
        <v>33</v>
      </c>
      <c r="I7" s="21" t="s">
        <v>50</v>
      </c>
      <c r="J7" s="20" t="s">
        <v>40</v>
      </c>
      <c r="K7" s="22" t="n">
        <v>3.33</v>
      </c>
      <c r="L7" s="21" t="s">
        <v>22</v>
      </c>
      <c r="M7" s="15" t="s">
        <v>51</v>
      </c>
      <c r="N7" s="16" t="s">
        <v>52</v>
      </c>
    </row>
    <row r="8" customFormat="false" ht="391.5" hidden="false" customHeight="true" outlineLevel="0" collapsed="false">
      <c r="A8" s="10" t="s">
        <v>53</v>
      </c>
      <c r="B8" s="11" t="s">
        <v>27</v>
      </c>
      <c r="C8" s="11" t="s">
        <v>54</v>
      </c>
      <c r="D8" s="11" t="s">
        <v>16</v>
      </c>
      <c r="E8" s="12" t="s">
        <v>55</v>
      </c>
      <c r="F8" s="12" t="s">
        <v>17</v>
      </c>
      <c r="G8" s="13" t="s">
        <v>18</v>
      </c>
      <c r="H8" s="13" t="s">
        <v>33</v>
      </c>
      <c r="I8" s="11" t="s">
        <v>56</v>
      </c>
      <c r="J8" s="10" t="s">
        <v>21</v>
      </c>
      <c r="K8" s="14" t="n">
        <v>10</v>
      </c>
      <c r="L8" s="11" t="s">
        <v>22</v>
      </c>
      <c r="M8" s="23" t="s">
        <v>57</v>
      </c>
      <c r="N8" s="16"/>
    </row>
    <row r="9" customFormat="false" ht="40.5" hidden="false" customHeight="true" outlineLevel="0" collapsed="false">
      <c r="A9" s="24" t="s">
        <v>58</v>
      </c>
      <c r="B9" s="24" t="s">
        <v>16</v>
      </c>
      <c r="C9" s="11" t="s">
        <v>54</v>
      </c>
      <c r="D9" s="11" t="s">
        <v>16</v>
      </c>
      <c r="E9" s="12" t="s">
        <v>59</v>
      </c>
      <c r="F9" s="12" t="s">
        <v>17</v>
      </c>
      <c r="G9" s="13" t="s">
        <v>18</v>
      </c>
      <c r="H9" s="13" t="s">
        <v>33</v>
      </c>
      <c r="I9" s="25" t="s">
        <v>60</v>
      </c>
      <c r="J9" s="26" t="s">
        <v>21</v>
      </c>
      <c r="K9" s="19" t="n">
        <v>10</v>
      </c>
      <c r="L9" s="18" t="s">
        <v>22</v>
      </c>
      <c r="M9" s="23" t="s">
        <v>61</v>
      </c>
      <c r="N9" s="27"/>
      <c r="O9" s="28"/>
      <c r="P9" s="29"/>
      <c r="R9" s="30"/>
      <c r="S9" s="31"/>
    </row>
    <row r="10" customFormat="false" ht="40.5" hidden="false" customHeight="true" outlineLevel="0" collapsed="false">
      <c r="A10" s="24" t="s">
        <v>62</v>
      </c>
      <c r="B10" s="24" t="s">
        <v>16</v>
      </c>
      <c r="C10" s="11" t="s">
        <v>54</v>
      </c>
      <c r="D10" s="11" t="s">
        <v>16</v>
      </c>
      <c r="E10" s="12" t="s">
        <v>63</v>
      </c>
      <c r="F10" s="12" t="s">
        <v>17</v>
      </c>
      <c r="G10" s="13" t="s">
        <v>18</v>
      </c>
      <c r="H10" s="13" t="s">
        <v>33</v>
      </c>
      <c r="I10" s="21" t="s">
        <v>64</v>
      </c>
      <c r="J10" s="24" t="s">
        <v>40</v>
      </c>
      <c r="K10" s="24" t="n">
        <v>3.33</v>
      </c>
      <c r="L10" s="11" t="s">
        <v>22</v>
      </c>
      <c r="M10" s="23" t="s">
        <v>65</v>
      </c>
      <c r="N10" s="27"/>
      <c r="P10" s="29"/>
      <c r="R10" s="30"/>
      <c r="S10" s="31"/>
    </row>
    <row r="11" customFormat="false" ht="54" hidden="false" customHeight="true" outlineLevel="0" collapsed="false">
      <c r="A11" s="24" t="s">
        <v>66</v>
      </c>
      <c r="B11" s="24" t="s">
        <v>16</v>
      </c>
      <c r="C11" s="11" t="s">
        <v>54</v>
      </c>
      <c r="D11" s="11" t="s">
        <v>16</v>
      </c>
      <c r="E11" s="12" t="s">
        <v>67</v>
      </c>
      <c r="F11" s="12" t="s">
        <v>17</v>
      </c>
      <c r="G11" s="13" t="s">
        <v>18</v>
      </c>
      <c r="H11" s="13" t="s">
        <v>33</v>
      </c>
      <c r="I11" s="21" t="s">
        <v>68</v>
      </c>
      <c r="J11" s="24" t="s">
        <v>40</v>
      </c>
      <c r="K11" s="24" t="n">
        <v>3.33</v>
      </c>
      <c r="L11" s="11" t="s">
        <v>22</v>
      </c>
      <c r="M11" s="23" t="s">
        <v>69</v>
      </c>
      <c r="N11" s="27"/>
      <c r="P11" s="29"/>
      <c r="R11" s="30"/>
      <c r="S11" s="31"/>
    </row>
    <row r="12" customFormat="false" ht="40.5" hidden="false" customHeight="true" outlineLevel="0" collapsed="false">
      <c r="A12" s="24" t="s">
        <v>70</v>
      </c>
      <c r="B12" s="24" t="s">
        <v>16</v>
      </c>
      <c r="C12" s="11" t="s">
        <v>54</v>
      </c>
      <c r="D12" s="11" t="s">
        <v>16</v>
      </c>
      <c r="E12" s="12" t="s">
        <v>71</v>
      </c>
      <c r="F12" s="12" t="s">
        <v>17</v>
      </c>
      <c r="G12" s="13" t="s">
        <v>18</v>
      </c>
      <c r="H12" s="13" t="s">
        <v>33</v>
      </c>
      <c r="I12" s="21" t="s">
        <v>72</v>
      </c>
      <c r="J12" s="24" t="s">
        <v>40</v>
      </c>
      <c r="K12" s="24" t="n">
        <v>3.33</v>
      </c>
      <c r="L12" s="11" t="s">
        <v>22</v>
      </c>
      <c r="M12" s="23" t="s">
        <v>73</v>
      </c>
      <c r="N12" s="27"/>
      <c r="P12" s="29"/>
      <c r="R12" s="30"/>
      <c r="S12" s="31"/>
    </row>
    <row r="13" customFormat="false" ht="121.5" hidden="false" customHeight="true" outlineLevel="0" collapsed="false">
      <c r="A13" s="10" t="s">
        <v>74</v>
      </c>
      <c r="B13" s="11" t="s">
        <v>59</v>
      </c>
      <c r="C13" s="11" t="s">
        <v>55</v>
      </c>
      <c r="D13" s="11" t="s">
        <v>16</v>
      </c>
      <c r="E13" s="12" t="s">
        <v>27</v>
      </c>
      <c r="F13" s="12" t="s">
        <v>17</v>
      </c>
      <c r="G13" s="13" t="s">
        <v>18</v>
      </c>
      <c r="H13" s="13" t="s">
        <v>75</v>
      </c>
      <c r="I13" s="11" t="s">
        <v>76</v>
      </c>
      <c r="J13" s="10" t="s">
        <v>21</v>
      </c>
      <c r="K13" s="14" t="n">
        <v>10</v>
      </c>
      <c r="L13" s="11" t="s">
        <v>22</v>
      </c>
      <c r="M13" s="15" t="s">
        <v>77</v>
      </c>
      <c r="N13" s="16"/>
    </row>
    <row r="14" customFormat="false" ht="40.5" hidden="false" customHeight="true" outlineLevel="0" collapsed="false">
      <c r="A14" s="10" t="s">
        <v>78</v>
      </c>
      <c r="B14" s="11" t="s">
        <v>79</v>
      </c>
      <c r="C14" s="11" t="s">
        <v>26</v>
      </c>
      <c r="D14" s="11" t="s">
        <v>16</v>
      </c>
      <c r="E14" s="12" t="s">
        <v>80</v>
      </c>
      <c r="F14" s="12" t="s">
        <v>17</v>
      </c>
      <c r="G14" s="13" t="s">
        <v>18</v>
      </c>
      <c r="H14" s="13" t="s">
        <v>81</v>
      </c>
      <c r="I14" s="11" t="s">
        <v>82</v>
      </c>
      <c r="J14" s="10" t="s">
        <v>21</v>
      </c>
      <c r="K14" s="14" t="n">
        <v>10</v>
      </c>
      <c r="L14" s="11" t="s">
        <v>83</v>
      </c>
      <c r="M14" s="15" t="s">
        <v>84</v>
      </c>
      <c r="N14" s="16"/>
    </row>
    <row r="15" customFormat="false" ht="67.5" hidden="false" customHeight="true" outlineLevel="0" collapsed="false">
      <c r="A15" s="20" t="s">
        <v>85</v>
      </c>
      <c r="B15" s="21" t="s">
        <v>86</v>
      </c>
      <c r="C15" s="21" t="s">
        <v>87</v>
      </c>
      <c r="D15" s="11" t="s">
        <v>16</v>
      </c>
      <c r="E15" s="12" t="s">
        <v>88</v>
      </c>
      <c r="F15" s="12" t="s">
        <v>17</v>
      </c>
      <c r="G15" s="13" t="s">
        <v>18</v>
      </c>
      <c r="H15" s="13" t="s">
        <v>81</v>
      </c>
      <c r="I15" s="21" t="s">
        <v>89</v>
      </c>
      <c r="J15" s="20" t="s">
        <v>40</v>
      </c>
      <c r="K15" s="22" t="n">
        <v>5</v>
      </c>
      <c r="L15" s="11" t="s">
        <v>90</v>
      </c>
      <c r="M15" s="15" t="s">
        <v>91</v>
      </c>
      <c r="N15" s="16"/>
    </row>
    <row r="16" customFormat="false" ht="94.5" hidden="false" customHeight="true" outlineLevel="0" collapsed="false">
      <c r="A16" s="20" t="s">
        <v>92</v>
      </c>
      <c r="B16" s="21" t="s">
        <v>93</v>
      </c>
      <c r="C16" s="21" t="s">
        <v>94</v>
      </c>
      <c r="D16" s="11" t="s">
        <v>16</v>
      </c>
      <c r="E16" s="12" t="s">
        <v>95</v>
      </c>
      <c r="F16" s="12" t="s">
        <v>17</v>
      </c>
      <c r="G16" s="13" t="s">
        <v>18</v>
      </c>
      <c r="H16" s="13" t="s">
        <v>81</v>
      </c>
      <c r="I16" s="21" t="s">
        <v>96</v>
      </c>
      <c r="J16" s="20" t="s">
        <v>40</v>
      </c>
      <c r="K16" s="22" t="n">
        <v>5</v>
      </c>
      <c r="L16" s="11" t="s">
        <v>97</v>
      </c>
      <c r="M16" s="15" t="s">
        <v>98</v>
      </c>
      <c r="N16" s="16"/>
    </row>
    <row r="17" customFormat="false" ht="81" hidden="false" customHeight="true" outlineLevel="0" collapsed="false">
      <c r="A17" s="20" t="s">
        <v>99</v>
      </c>
      <c r="B17" s="27" t="s">
        <v>54</v>
      </c>
      <c r="C17" s="27" t="s">
        <v>54</v>
      </c>
      <c r="D17" s="11" t="s">
        <v>16</v>
      </c>
      <c r="E17" s="32" t="s">
        <v>100</v>
      </c>
      <c r="F17" s="32" t="s">
        <v>17</v>
      </c>
      <c r="G17" s="13" t="s">
        <v>18</v>
      </c>
      <c r="H17" s="13" t="s">
        <v>81</v>
      </c>
      <c r="I17" s="11" t="s">
        <v>101</v>
      </c>
      <c r="J17" s="10" t="s">
        <v>21</v>
      </c>
      <c r="K17" s="22" t="n">
        <v>10</v>
      </c>
      <c r="L17" s="11" t="s">
        <v>102</v>
      </c>
      <c r="M17" s="15" t="s">
        <v>103</v>
      </c>
      <c r="N17" s="16"/>
    </row>
    <row r="18" customFormat="false" ht="81" hidden="false" customHeight="true" outlineLevel="0" collapsed="false">
      <c r="A18" s="10" t="s">
        <v>104</v>
      </c>
      <c r="B18" s="11" t="s">
        <v>55</v>
      </c>
      <c r="C18" s="11" t="s">
        <v>32</v>
      </c>
      <c r="D18" s="11" t="s">
        <v>16</v>
      </c>
      <c r="E18" s="12" t="s">
        <v>26</v>
      </c>
      <c r="F18" s="12" t="s">
        <v>17</v>
      </c>
      <c r="G18" s="13" t="s">
        <v>105</v>
      </c>
      <c r="H18" s="13" t="s">
        <v>106</v>
      </c>
      <c r="I18" s="11" t="s">
        <v>107</v>
      </c>
      <c r="J18" s="10" t="s">
        <v>21</v>
      </c>
      <c r="K18" s="14" t="n">
        <v>10</v>
      </c>
      <c r="L18" s="11" t="s">
        <v>22</v>
      </c>
      <c r="M18" s="15" t="s">
        <v>108</v>
      </c>
      <c r="N18" s="16"/>
    </row>
    <row r="19" customFormat="false" ht="94.5" hidden="false" customHeight="true" outlineLevel="0" collapsed="false">
      <c r="A19" s="33" t="s">
        <v>109</v>
      </c>
      <c r="B19" s="11" t="s">
        <v>110</v>
      </c>
      <c r="C19" s="11" t="s">
        <v>111</v>
      </c>
      <c r="D19" s="11" t="s">
        <v>16</v>
      </c>
      <c r="E19" s="12" t="s">
        <v>112</v>
      </c>
      <c r="F19" s="12" t="s">
        <v>17</v>
      </c>
      <c r="G19" s="13" t="s">
        <v>105</v>
      </c>
      <c r="H19" s="13" t="s">
        <v>113</v>
      </c>
      <c r="I19" s="11" t="s">
        <v>114</v>
      </c>
      <c r="J19" s="33" t="s">
        <v>21</v>
      </c>
      <c r="K19" s="34" t="n">
        <v>10</v>
      </c>
      <c r="L19" s="11" t="s">
        <v>22</v>
      </c>
      <c r="M19" s="15" t="s">
        <v>115</v>
      </c>
      <c r="N19" s="21"/>
    </row>
    <row r="20" customFormat="false" ht="54" hidden="false" customHeight="true" outlineLevel="0" collapsed="false">
      <c r="A20" s="33" t="s">
        <v>116</v>
      </c>
      <c r="B20" s="11" t="s">
        <v>117</v>
      </c>
      <c r="C20" s="11" t="s">
        <v>118</v>
      </c>
      <c r="D20" s="11" t="s">
        <v>16</v>
      </c>
      <c r="E20" s="12" t="s">
        <v>119</v>
      </c>
      <c r="F20" s="12" t="s">
        <v>17</v>
      </c>
      <c r="G20" s="13" t="s">
        <v>105</v>
      </c>
      <c r="H20" s="13" t="s">
        <v>113</v>
      </c>
      <c r="I20" s="11" t="s">
        <v>120</v>
      </c>
      <c r="J20" s="33" t="s">
        <v>21</v>
      </c>
      <c r="K20" s="34" t="n">
        <v>10</v>
      </c>
      <c r="L20" s="11" t="s">
        <v>83</v>
      </c>
      <c r="M20" s="15" t="s">
        <v>84</v>
      </c>
      <c r="N20" s="16"/>
    </row>
    <row r="21" customFormat="false" ht="94.5" hidden="false" customHeight="true" outlineLevel="0" collapsed="false">
      <c r="A21" s="33" t="s">
        <v>121</v>
      </c>
      <c r="B21" s="11" t="s">
        <v>122</v>
      </c>
      <c r="C21" s="11" t="s">
        <v>54</v>
      </c>
      <c r="D21" s="11" t="s">
        <v>16</v>
      </c>
      <c r="E21" s="12" t="s">
        <v>123</v>
      </c>
      <c r="F21" s="12" t="s">
        <v>17</v>
      </c>
      <c r="G21" s="13" t="s">
        <v>105</v>
      </c>
      <c r="H21" s="13" t="s">
        <v>113</v>
      </c>
      <c r="I21" s="11" t="s">
        <v>124</v>
      </c>
      <c r="J21" s="33" t="s">
        <v>40</v>
      </c>
      <c r="K21" s="34" t="n">
        <v>5</v>
      </c>
      <c r="L21" s="11" t="s">
        <v>90</v>
      </c>
      <c r="M21" s="15" t="s">
        <v>125</v>
      </c>
      <c r="N21" s="16"/>
    </row>
    <row r="22" customFormat="false" ht="45" hidden="false" customHeight="true" outlineLevel="0" collapsed="false">
      <c r="A22" s="33" t="s">
        <v>126</v>
      </c>
      <c r="B22" s="11" t="s">
        <v>127</v>
      </c>
      <c r="C22" s="11" t="s">
        <v>54</v>
      </c>
      <c r="D22" s="11" t="s">
        <v>16</v>
      </c>
      <c r="E22" s="12" t="s">
        <v>128</v>
      </c>
      <c r="F22" s="12" t="s">
        <v>17</v>
      </c>
      <c r="G22" s="13" t="s">
        <v>105</v>
      </c>
      <c r="H22" s="13" t="s">
        <v>113</v>
      </c>
      <c r="I22" s="11" t="s">
        <v>129</v>
      </c>
      <c r="J22" s="33" t="s">
        <v>40</v>
      </c>
      <c r="K22" s="34" t="n">
        <v>5</v>
      </c>
      <c r="L22" s="11" t="s">
        <v>97</v>
      </c>
      <c r="M22" s="15" t="s">
        <v>130</v>
      </c>
      <c r="N22" s="16"/>
    </row>
    <row r="23" customFormat="false" ht="162" hidden="false" customHeight="true" outlineLevel="0" collapsed="false">
      <c r="A23" s="35" t="s">
        <v>131</v>
      </c>
      <c r="B23" s="32" t="s">
        <v>54</v>
      </c>
      <c r="C23" s="11" t="s">
        <v>54</v>
      </c>
      <c r="D23" s="11" t="s">
        <v>16</v>
      </c>
      <c r="E23" s="12" t="s">
        <v>132</v>
      </c>
      <c r="F23" s="12" t="s">
        <v>17</v>
      </c>
      <c r="G23" s="13" t="s">
        <v>105</v>
      </c>
      <c r="H23" s="13" t="s">
        <v>133</v>
      </c>
      <c r="I23" s="36" t="s">
        <v>134</v>
      </c>
      <c r="J23" s="33" t="s">
        <v>21</v>
      </c>
      <c r="K23" s="34" t="n">
        <v>10</v>
      </c>
      <c r="L23" s="11" t="s">
        <v>22</v>
      </c>
      <c r="M23" s="37" t="s">
        <v>135</v>
      </c>
      <c r="N23" s="16"/>
    </row>
    <row r="24" customFormat="false" ht="40.5" hidden="false" customHeight="true" outlineLevel="0" collapsed="false">
      <c r="A24" s="10" t="s">
        <v>136</v>
      </c>
      <c r="B24" s="11" t="s">
        <v>54</v>
      </c>
      <c r="C24" s="11" t="s">
        <v>119</v>
      </c>
      <c r="D24" s="11" t="s">
        <v>16</v>
      </c>
      <c r="E24" s="12" t="s">
        <v>137</v>
      </c>
      <c r="F24" s="12" t="s">
        <v>17</v>
      </c>
      <c r="G24" s="13" t="s">
        <v>138</v>
      </c>
      <c r="H24" s="13" t="s">
        <v>139</v>
      </c>
      <c r="I24" s="11" t="s">
        <v>140</v>
      </c>
      <c r="J24" s="10" t="s">
        <v>21</v>
      </c>
      <c r="K24" s="14" t="n">
        <v>10</v>
      </c>
      <c r="L24" s="11" t="s">
        <v>141</v>
      </c>
      <c r="M24" s="15" t="s">
        <v>142</v>
      </c>
      <c r="N24" s="16"/>
    </row>
    <row r="25" customFormat="false" ht="112.5" hidden="false" customHeight="true" outlineLevel="0" collapsed="false">
      <c r="A25" s="33" t="s">
        <v>143</v>
      </c>
      <c r="B25" s="11" t="s">
        <v>54</v>
      </c>
      <c r="C25" s="11" t="s">
        <v>54</v>
      </c>
      <c r="D25" s="11" t="s">
        <v>16</v>
      </c>
      <c r="E25" s="12" t="s">
        <v>144</v>
      </c>
      <c r="F25" s="12" t="s">
        <v>17</v>
      </c>
      <c r="G25" s="13" t="s">
        <v>138</v>
      </c>
      <c r="H25" s="13" t="s">
        <v>139</v>
      </c>
      <c r="I25" s="11" t="s">
        <v>145</v>
      </c>
      <c r="J25" s="10" t="s">
        <v>40</v>
      </c>
      <c r="K25" s="14" t="n">
        <v>1.67</v>
      </c>
      <c r="L25" s="11" t="s">
        <v>90</v>
      </c>
      <c r="M25" s="15" t="s">
        <v>146</v>
      </c>
      <c r="N25" s="16"/>
    </row>
    <row r="26" customFormat="false" ht="54" hidden="false" customHeight="true" outlineLevel="0" collapsed="false">
      <c r="A26" s="33" t="s">
        <v>147</v>
      </c>
      <c r="B26" s="11" t="s">
        <v>54</v>
      </c>
      <c r="C26" s="11" t="s">
        <v>54</v>
      </c>
      <c r="D26" s="11" t="s">
        <v>16</v>
      </c>
      <c r="E26" s="12" t="s">
        <v>148</v>
      </c>
      <c r="F26" s="12" t="s">
        <v>17</v>
      </c>
      <c r="G26" s="13" t="s">
        <v>138</v>
      </c>
      <c r="H26" s="13" t="s">
        <v>139</v>
      </c>
      <c r="I26" s="11" t="s">
        <v>149</v>
      </c>
      <c r="J26" s="10" t="s">
        <v>40</v>
      </c>
      <c r="K26" s="14" t="n">
        <v>1.67</v>
      </c>
      <c r="L26" s="11" t="s">
        <v>90</v>
      </c>
      <c r="M26" s="15" t="s">
        <v>150</v>
      </c>
      <c r="N26" s="16"/>
    </row>
    <row r="27" customFormat="false" ht="63.75" hidden="false" customHeight="true" outlineLevel="0" collapsed="false">
      <c r="A27" s="33" t="s">
        <v>151</v>
      </c>
      <c r="B27" s="11" t="s">
        <v>54</v>
      </c>
      <c r="C27" s="11" t="s">
        <v>54</v>
      </c>
      <c r="D27" s="11" t="s">
        <v>16</v>
      </c>
      <c r="E27" s="12" t="s">
        <v>152</v>
      </c>
      <c r="F27" s="12" t="s">
        <v>17</v>
      </c>
      <c r="G27" s="13" t="s">
        <v>138</v>
      </c>
      <c r="H27" s="13" t="s">
        <v>139</v>
      </c>
      <c r="I27" s="11" t="s">
        <v>153</v>
      </c>
      <c r="J27" s="10" t="s">
        <v>40</v>
      </c>
      <c r="K27" s="14" t="n">
        <v>1.67</v>
      </c>
      <c r="L27" s="11" t="s">
        <v>90</v>
      </c>
      <c r="M27" s="15" t="s">
        <v>154</v>
      </c>
      <c r="N27" s="16"/>
    </row>
    <row r="28" customFormat="false" ht="54" hidden="false" customHeight="true" outlineLevel="0" collapsed="false">
      <c r="A28" s="33" t="s">
        <v>155</v>
      </c>
      <c r="B28" s="11" t="s">
        <v>54</v>
      </c>
      <c r="C28" s="11" t="s">
        <v>54</v>
      </c>
      <c r="D28" s="11" t="s">
        <v>16</v>
      </c>
      <c r="E28" s="12" t="s">
        <v>156</v>
      </c>
      <c r="F28" s="12" t="s">
        <v>17</v>
      </c>
      <c r="G28" s="13" t="s">
        <v>138</v>
      </c>
      <c r="H28" s="13" t="s">
        <v>139</v>
      </c>
      <c r="I28" s="11" t="s">
        <v>157</v>
      </c>
      <c r="J28" s="10" t="s">
        <v>40</v>
      </c>
      <c r="K28" s="14" t="n">
        <v>1.67</v>
      </c>
      <c r="L28" s="11" t="s">
        <v>90</v>
      </c>
      <c r="M28" s="15" t="s">
        <v>158</v>
      </c>
      <c r="N28" s="16"/>
    </row>
    <row r="29" customFormat="false" ht="54" hidden="false" customHeight="true" outlineLevel="0" collapsed="false">
      <c r="A29" s="33" t="s">
        <v>159</v>
      </c>
      <c r="B29" s="11" t="s">
        <v>54</v>
      </c>
      <c r="C29" s="11" t="s">
        <v>54</v>
      </c>
      <c r="D29" s="11" t="s">
        <v>16</v>
      </c>
      <c r="E29" s="12" t="s">
        <v>160</v>
      </c>
      <c r="F29" s="12" t="s">
        <v>17</v>
      </c>
      <c r="G29" s="13" t="s">
        <v>138</v>
      </c>
      <c r="H29" s="13" t="s">
        <v>139</v>
      </c>
      <c r="I29" s="11" t="s">
        <v>161</v>
      </c>
      <c r="J29" s="10" t="s">
        <v>40</v>
      </c>
      <c r="K29" s="14" t="n">
        <v>1.67</v>
      </c>
      <c r="L29" s="11" t="s">
        <v>90</v>
      </c>
      <c r="M29" s="15" t="s">
        <v>162</v>
      </c>
      <c r="N29" s="16"/>
    </row>
    <row r="30" customFormat="false" ht="121.5" hidden="false" customHeight="true" outlineLevel="0" collapsed="false">
      <c r="A30" s="33" t="s">
        <v>163</v>
      </c>
      <c r="B30" s="11" t="s">
        <v>54</v>
      </c>
      <c r="C30" s="11" t="s">
        <v>54</v>
      </c>
      <c r="D30" s="11" t="s">
        <v>16</v>
      </c>
      <c r="E30" s="12" t="s">
        <v>164</v>
      </c>
      <c r="F30" s="12" t="s">
        <v>17</v>
      </c>
      <c r="G30" s="13" t="s">
        <v>138</v>
      </c>
      <c r="H30" s="13" t="s">
        <v>139</v>
      </c>
      <c r="I30" s="11" t="s">
        <v>165</v>
      </c>
      <c r="J30" s="10" t="s">
        <v>40</v>
      </c>
      <c r="K30" s="14" t="n">
        <v>1.67</v>
      </c>
      <c r="L30" s="11" t="s">
        <v>90</v>
      </c>
      <c r="M30" s="15" t="s">
        <v>166</v>
      </c>
      <c r="N30" s="16"/>
    </row>
    <row r="31" customFormat="false" ht="40.5" hidden="false" customHeight="true" outlineLevel="0" collapsed="false">
      <c r="A31" s="17" t="s">
        <v>167</v>
      </c>
      <c r="B31" s="18" t="s">
        <v>32</v>
      </c>
      <c r="C31" s="18" t="s">
        <v>54</v>
      </c>
      <c r="D31" s="11" t="s">
        <v>16</v>
      </c>
      <c r="E31" s="12" t="s">
        <v>168</v>
      </c>
      <c r="F31" s="12" t="s">
        <v>97</v>
      </c>
      <c r="G31" s="13" t="s">
        <v>169</v>
      </c>
      <c r="H31" s="13" t="s">
        <v>170</v>
      </c>
      <c r="I31" s="18" t="s">
        <v>171</v>
      </c>
      <c r="J31" s="17" t="s">
        <v>21</v>
      </c>
      <c r="K31" s="19" t="n">
        <v>10</v>
      </c>
      <c r="L31" s="18" t="s">
        <v>97</v>
      </c>
      <c r="M31" s="15" t="s">
        <v>172</v>
      </c>
      <c r="N31" s="16"/>
    </row>
    <row r="32" customFormat="false" ht="54" hidden="false" customHeight="true" outlineLevel="0" collapsed="false">
      <c r="A32" s="20" t="s">
        <v>173</v>
      </c>
      <c r="B32" s="21" t="s">
        <v>38</v>
      </c>
      <c r="C32" s="18" t="s">
        <v>54</v>
      </c>
      <c r="D32" s="11" t="s">
        <v>16</v>
      </c>
      <c r="E32" s="12" t="s">
        <v>174</v>
      </c>
      <c r="F32" s="12" t="s">
        <v>97</v>
      </c>
      <c r="G32" s="13" t="s">
        <v>169</v>
      </c>
      <c r="H32" s="13" t="s">
        <v>170</v>
      </c>
      <c r="I32" s="21" t="s">
        <v>175</v>
      </c>
      <c r="J32" s="20" t="s">
        <v>40</v>
      </c>
      <c r="K32" s="22" t="n">
        <v>3.33</v>
      </c>
      <c r="L32" s="21" t="s">
        <v>97</v>
      </c>
      <c r="M32" s="15" t="s">
        <v>176</v>
      </c>
      <c r="N32" s="16" t="s">
        <v>177</v>
      </c>
    </row>
    <row r="33" customFormat="false" ht="40.5" hidden="false" customHeight="true" outlineLevel="0" collapsed="false">
      <c r="A33" s="20" t="s">
        <v>178</v>
      </c>
      <c r="B33" s="21" t="s">
        <v>44</v>
      </c>
      <c r="C33" s="18" t="s">
        <v>54</v>
      </c>
      <c r="D33" s="11" t="s">
        <v>16</v>
      </c>
      <c r="E33" s="12" t="s">
        <v>179</v>
      </c>
      <c r="F33" s="12" t="s">
        <v>97</v>
      </c>
      <c r="G33" s="13" t="s">
        <v>169</v>
      </c>
      <c r="H33" s="13" t="s">
        <v>170</v>
      </c>
      <c r="I33" s="21" t="s">
        <v>180</v>
      </c>
      <c r="J33" s="20" t="s">
        <v>40</v>
      </c>
      <c r="K33" s="22" t="n">
        <v>3.33</v>
      </c>
      <c r="L33" s="21" t="s">
        <v>97</v>
      </c>
      <c r="M33" s="15" t="s">
        <v>181</v>
      </c>
      <c r="N33" s="16" t="s">
        <v>177</v>
      </c>
    </row>
    <row r="34" customFormat="false" ht="40.5" hidden="false" customHeight="true" outlineLevel="0" collapsed="false">
      <c r="A34" s="20" t="s">
        <v>182</v>
      </c>
      <c r="B34" s="21" t="s">
        <v>49</v>
      </c>
      <c r="C34" s="18" t="s">
        <v>54</v>
      </c>
      <c r="D34" s="11" t="s">
        <v>16</v>
      </c>
      <c r="E34" s="12" t="s">
        <v>183</v>
      </c>
      <c r="F34" s="12" t="s">
        <v>97</v>
      </c>
      <c r="G34" s="13" t="s">
        <v>169</v>
      </c>
      <c r="H34" s="13" t="s">
        <v>170</v>
      </c>
      <c r="I34" s="21" t="s">
        <v>184</v>
      </c>
      <c r="J34" s="20" t="s">
        <v>40</v>
      </c>
      <c r="K34" s="22" t="n">
        <v>3.33</v>
      </c>
      <c r="L34" s="21" t="s">
        <v>97</v>
      </c>
      <c r="M34" s="15" t="s">
        <v>185</v>
      </c>
      <c r="N34" s="16"/>
    </row>
    <row r="35" customFormat="false" ht="135" hidden="false" customHeight="true" outlineLevel="0" collapsed="false">
      <c r="A35" s="35" t="s">
        <v>186</v>
      </c>
      <c r="B35" s="32" t="s">
        <v>54</v>
      </c>
      <c r="C35" s="32" t="s">
        <v>54</v>
      </c>
      <c r="D35" s="11" t="s">
        <v>16</v>
      </c>
      <c r="E35" s="12" t="s">
        <v>187</v>
      </c>
      <c r="F35" s="12" t="s">
        <v>97</v>
      </c>
      <c r="G35" s="13" t="s">
        <v>169</v>
      </c>
      <c r="H35" s="13" t="s">
        <v>188</v>
      </c>
      <c r="I35" s="11" t="s">
        <v>189</v>
      </c>
      <c r="J35" s="33" t="s">
        <v>21</v>
      </c>
      <c r="K35" s="34" t="n">
        <v>10</v>
      </c>
      <c r="L35" s="11" t="s">
        <v>97</v>
      </c>
      <c r="M35" s="37" t="s">
        <v>190</v>
      </c>
      <c r="N35" s="16"/>
    </row>
    <row r="36" customFormat="false" ht="40.5" hidden="false" customHeight="true" outlineLevel="0" collapsed="false">
      <c r="A36" s="17" t="s">
        <v>191</v>
      </c>
      <c r="B36" s="18" t="s">
        <v>80</v>
      </c>
      <c r="C36" s="18" t="s">
        <v>54</v>
      </c>
      <c r="D36" s="11" t="s">
        <v>16</v>
      </c>
      <c r="E36" s="12" t="s">
        <v>79</v>
      </c>
      <c r="F36" s="12" t="s">
        <v>97</v>
      </c>
      <c r="G36" s="13" t="s">
        <v>169</v>
      </c>
      <c r="H36" s="13" t="s">
        <v>192</v>
      </c>
      <c r="I36" s="18" t="s">
        <v>193</v>
      </c>
      <c r="J36" s="17" t="s">
        <v>21</v>
      </c>
      <c r="K36" s="19" t="n">
        <v>10</v>
      </c>
      <c r="L36" s="18" t="s">
        <v>97</v>
      </c>
      <c r="M36" s="37" t="s">
        <v>194</v>
      </c>
      <c r="N36" s="16"/>
    </row>
    <row r="37" customFormat="false" ht="54" hidden="false" customHeight="true" outlineLevel="0" collapsed="false">
      <c r="A37" s="20" t="s">
        <v>195</v>
      </c>
      <c r="B37" s="21" t="s">
        <v>88</v>
      </c>
      <c r="C37" s="18" t="s">
        <v>54</v>
      </c>
      <c r="D37" s="11" t="s">
        <v>16</v>
      </c>
      <c r="E37" s="12" t="s">
        <v>86</v>
      </c>
      <c r="F37" s="12" t="s">
        <v>97</v>
      </c>
      <c r="G37" s="13" t="s">
        <v>169</v>
      </c>
      <c r="H37" s="13" t="s">
        <v>192</v>
      </c>
      <c r="I37" s="21" t="s">
        <v>196</v>
      </c>
      <c r="J37" s="20" t="s">
        <v>40</v>
      </c>
      <c r="K37" s="22" t="n">
        <v>5</v>
      </c>
      <c r="L37" s="11" t="s">
        <v>97</v>
      </c>
      <c r="M37" s="37" t="s">
        <v>197</v>
      </c>
      <c r="N37" s="16"/>
    </row>
    <row r="38" customFormat="false" ht="67.5" hidden="false" customHeight="true" outlineLevel="0" collapsed="false">
      <c r="A38" s="20" t="s">
        <v>198</v>
      </c>
      <c r="B38" s="21" t="s">
        <v>95</v>
      </c>
      <c r="C38" s="18" t="s">
        <v>54</v>
      </c>
      <c r="D38" s="11" t="s">
        <v>16</v>
      </c>
      <c r="E38" s="12" t="s">
        <v>93</v>
      </c>
      <c r="F38" s="12" t="s">
        <v>97</v>
      </c>
      <c r="G38" s="13" t="s">
        <v>169</v>
      </c>
      <c r="H38" s="13" t="s">
        <v>192</v>
      </c>
      <c r="I38" s="21" t="s">
        <v>199</v>
      </c>
      <c r="J38" s="20" t="s">
        <v>40</v>
      </c>
      <c r="K38" s="22" t="n">
        <v>5</v>
      </c>
      <c r="L38" s="11" t="s">
        <v>97</v>
      </c>
      <c r="M38" s="15" t="s">
        <v>200</v>
      </c>
      <c r="N38" s="16"/>
    </row>
    <row r="39" customFormat="false" ht="67.5" hidden="false" customHeight="true" outlineLevel="0" collapsed="false">
      <c r="A39" s="10" t="s">
        <v>201</v>
      </c>
      <c r="B39" s="11" t="s">
        <v>132</v>
      </c>
      <c r="C39" s="11" t="s">
        <v>54</v>
      </c>
      <c r="D39" s="11" t="s">
        <v>16</v>
      </c>
      <c r="E39" s="12" t="s">
        <v>202</v>
      </c>
      <c r="F39" s="12" t="s">
        <v>97</v>
      </c>
      <c r="G39" s="13" t="s">
        <v>169</v>
      </c>
      <c r="H39" s="13" t="s">
        <v>203</v>
      </c>
      <c r="I39" s="11" t="s">
        <v>204</v>
      </c>
      <c r="J39" s="10" t="s">
        <v>21</v>
      </c>
      <c r="K39" s="14" t="n">
        <v>10</v>
      </c>
      <c r="L39" s="11" t="s">
        <v>97</v>
      </c>
      <c r="M39" s="15" t="s">
        <v>205</v>
      </c>
      <c r="N39" s="16"/>
    </row>
    <row r="40" customFormat="false" ht="351" hidden="false" customHeight="true" outlineLevel="0" collapsed="false">
      <c r="A40" s="33" t="s">
        <v>206</v>
      </c>
      <c r="B40" s="11" t="s">
        <v>207</v>
      </c>
      <c r="C40" s="11" t="s">
        <v>54</v>
      </c>
      <c r="D40" s="11" t="s">
        <v>16</v>
      </c>
      <c r="E40" s="12" t="s">
        <v>111</v>
      </c>
      <c r="F40" s="13" t="s">
        <v>97</v>
      </c>
      <c r="G40" s="13" t="s">
        <v>169</v>
      </c>
      <c r="H40" s="13" t="s">
        <v>208</v>
      </c>
      <c r="I40" s="11" t="s">
        <v>209</v>
      </c>
      <c r="J40" s="33" t="s">
        <v>21</v>
      </c>
      <c r="K40" s="34" t="n">
        <v>10</v>
      </c>
      <c r="L40" s="11" t="s">
        <v>97</v>
      </c>
      <c r="M40" s="15" t="s">
        <v>210</v>
      </c>
      <c r="N40" s="16"/>
    </row>
    <row r="41" customFormat="false" ht="40.5" hidden="false" customHeight="true" outlineLevel="0" collapsed="false">
      <c r="A41" s="33" t="s">
        <v>211</v>
      </c>
      <c r="B41" s="11" t="s">
        <v>212</v>
      </c>
      <c r="C41" s="11" t="s">
        <v>54</v>
      </c>
      <c r="D41" s="11" t="s">
        <v>16</v>
      </c>
      <c r="E41" s="12" t="s">
        <v>118</v>
      </c>
      <c r="F41" s="13" t="s">
        <v>97</v>
      </c>
      <c r="G41" s="13" t="s">
        <v>169</v>
      </c>
      <c r="H41" s="13" t="s">
        <v>208</v>
      </c>
      <c r="I41" s="11" t="s">
        <v>213</v>
      </c>
      <c r="J41" s="33" t="s">
        <v>21</v>
      </c>
      <c r="K41" s="34" t="n">
        <v>10</v>
      </c>
      <c r="L41" s="11" t="s">
        <v>97</v>
      </c>
      <c r="M41" s="15" t="s">
        <v>214</v>
      </c>
      <c r="N41" s="16"/>
    </row>
    <row r="42" customFormat="false" ht="337.5" hidden="false" customHeight="true" outlineLevel="0" collapsed="false">
      <c r="A42" s="33" t="s">
        <v>215</v>
      </c>
      <c r="B42" s="11" t="s">
        <v>54</v>
      </c>
      <c r="C42" s="11" t="s">
        <v>54</v>
      </c>
      <c r="D42" s="11" t="s">
        <v>16</v>
      </c>
      <c r="E42" s="12" t="s">
        <v>216</v>
      </c>
      <c r="F42" s="13" t="s">
        <v>97</v>
      </c>
      <c r="G42" s="13" t="s">
        <v>169</v>
      </c>
      <c r="H42" s="13" t="s">
        <v>208</v>
      </c>
      <c r="I42" s="11" t="s">
        <v>217</v>
      </c>
      <c r="J42" s="33" t="s">
        <v>40</v>
      </c>
      <c r="K42" s="34" t="n">
        <v>5</v>
      </c>
      <c r="L42" s="11" t="s">
        <v>97</v>
      </c>
      <c r="M42" s="15" t="s">
        <v>218</v>
      </c>
      <c r="N42" s="16"/>
    </row>
    <row r="43" customFormat="false" ht="270" hidden="false" customHeight="true" outlineLevel="0" collapsed="false">
      <c r="A43" s="33" t="s">
        <v>219</v>
      </c>
      <c r="B43" s="11" t="s">
        <v>54</v>
      </c>
      <c r="C43" s="11" t="s">
        <v>54</v>
      </c>
      <c r="D43" s="11" t="s">
        <v>16</v>
      </c>
      <c r="E43" s="12" t="s">
        <v>220</v>
      </c>
      <c r="F43" s="13" t="s">
        <v>97</v>
      </c>
      <c r="G43" s="13" t="s">
        <v>169</v>
      </c>
      <c r="H43" s="13" t="s">
        <v>208</v>
      </c>
      <c r="I43" s="11" t="s">
        <v>221</v>
      </c>
      <c r="J43" s="33" t="s">
        <v>40</v>
      </c>
      <c r="K43" s="34" t="n">
        <v>5</v>
      </c>
      <c r="L43" s="11" t="s">
        <v>97</v>
      </c>
      <c r="M43" s="15" t="s">
        <v>222</v>
      </c>
      <c r="N43" s="16"/>
    </row>
    <row r="44" customFormat="false" ht="40.5" hidden="false" customHeight="true" outlineLevel="0" collapsed="false">
      <c r="A44" s="33" t="s">
        <v>223</v>
      </c>
      <c r="B44" s="11" t="s">
        <v>224</v>
      </c>
      <c r="C44" s="11" t="s">
        <v>225</v>
      </c>
      <c r="D44" s="11" t="s">
        <v>16</v>
      </c>
      <c r="E44" s="12" t="s">
        <v>226</v>
      </c>
      <c r="F44" s="13" t="s">
        <v>97</v>
      </c>
      <c r="G44" s="13" t="s">
        <v>169</v>
      </c>
      <c r="H44" s="13" t="s">
        <v>208</v>
      </c>
      <c r="I44" s="11" t="s">
        <v>227</v>
      </c>
      <c r="J44" s="33" t="s">
        <v>21</v>
      </c>
      <c r="K44" s="34" t="n">
        <v>10</v>
      </c>
      <c r="L44" s="11" t="s">
        <v>97</v>
      </c>
      <c r="M44" s="15" t="s">
        <v>228</v>
      </c>
      <c r="N44" s="16"/>
    </row>
    <row r="45" customFormat="false" ht="202.5" hidden="false" customHeight="true" outlineLevel="0" collapsed="false">
      <c r="A45" s="33" t="s">
        <v>229</v>
      </c>
      <c r="B45" s="11" t="s">
        <v>54</v>
      </c>
      <c r="C45" s="11" t="s">
        <v>54</v>
      </c>
      <c r="D45" s="11" t="s">
        <v>16</v>
      </c>
      <c r="E45" s="12" t="s">
        <v>230</v>
      </c>
      <c r="F45" s="13" t="s">
        <v>97</v>
      </c>
      <c r="G45" s="13" t="s">
        <v>169</v>
      </c>
      <c r="H45" s="13" t="s">
        <v>208</v>
      </c>
      <c r="I45" s="11" t="s">
        <v>231</v>
      </c>
      <c r="J45" s="33" t="s">
        <v>40</v>
      </c>
      <c r="K45" s="34" t="n">
        <v>3.33</v>
      </c>
      <c r="L45" s="11" t="s">
        <v>97</v>
      </c>
      <c r="M45" s="15" t="s">
        <v>232</v>
      </c>
      <c r="N45" s="16"/>
    </row>
    <row r="46" customFormat="false" ht="229.5" hidden="false" customHeight="true" outlineLevel="0" collapsed="false">
      <c r="A46" s="33" t="s">
        <v>233</v>
      </c>
      <c r="B46" s="11" t="s">
        <v>54</v>
      </c>
      <c r="C46" s="11" t="s">
        <v>54</v>
      </c>
      <c r="D46" s="11" t="s">
        <v>16</v>
      </c>
      <c r="E46" s="12" t="s">
        <v>234</v>
      </c>
      <c r="F46" s="13" t="s">
        <v>97</v>
      </c>
      <c r="G46" s="13" t="s">
        <v>169</v>
      </c>
      <c r="H46" s="13" t="s">
        <v>208</v>
      </c>
      <c r="I46" s="11" t="s">
        <v>235</v>
      </c>
      <c r="J46" s="33" t="s">
        <v>40</v>
      </c>
      <c r="K46" s="34" t="n">
        <v>3.33</v>
      </c>
      <c r="L46" s="11" t="s">
        <v>97</v>
      </c>
      <c r="M46" s="15" t="s">
        <v>236</v>
      </c>
      <c r="N46" s="16"/>
    </row>
    <row r="47" customFormat="false" ht="229.5" hidden="false" customHeight="true" outlineLevel="0" collapsed="false">
      <c r="A47" s="33" t="s">
        <v>237</v>
      </c>
      <c r="B47" s="11" t="s">
        <v>54</v>
      </c>
      <c r="C47" s="11" t="s">
        <v>54</v>
      </c>
      <c r="D47" s="11" t="s">
        <v>16</v>
      </c>
      <c r="E47" s="12" t="s">
        <v>238</v>
      </c>
      <c r="F47" s="13" t="s">
        <v>97</v>
      </c>
      <c r="G47" s="13" t="s">
        <v>169</v>
      </c>
      <c r="H47" s="13" t="s">
        <v>208</v>
      </c>
      <c r="I47" s="11" t="s">
        <v>239</v>
      </c>
      <c r="J47" s="33" t="s">
        <v>40</v>
      </c>
      <c r="K47" s="34" t="n">
        <v>3.33</v>
      </c>
      <c r="L47" s="11" t="s">
        <v>97</v>
      </c>
      <c r="M47" s="15" t="s">
        <v>240</v>
      </c>
      <c r="N47" s="16"/>
    </row>
    <row r="48" customFormat="false" ht="305.25" hidden="false" customHeight="true" outlineLevel="0" collapsed="false">
      <c r="A48" s="33" t="s">
        <v>241</v>
      </c>
      <c r="B48" s="11" t="s">
        <v>242</v>
      </c>
      <c r="C48" s="11" t="s">
        <v>54</v>
      </c>
      <c r="D48" s="11" t="s">
        <v>16</v>
      </c>
      <c r="E48" s="12" t="s">
        <v>243</v>
      </c>
      <c r="F48" s="13" t="s">
        <v>97</v>
      </c>
      <c r="G48" s="13" t="s">
        <v>169</v>
      </c>
      <c r="H48" s="13" t="s">
        <v>208</v>
      </c>
      <c r="I48" s="11" t="s">
        <v>244</v>
      </c>
      <c r="J48" s="33" t="s">
        <v>21</v>
      </c>
      <c r="K48" s="34" t="n">
        <v>10</v>
      </c>
      <c r="L48" s="11" t="s">
        <v>97</v>
      </c>
      <c r="M48" s="15" t="s">
        <v>245</v>
      </c>
      <c r="N48" s="16"/>
    </row>
    <row r="49" customFormat="false" ht="81" hidden="false" customHeight="true" outlineLevel="0" collapsed="false">
      <c r="A49" s="10" t="s">
        <v>246</v>
      </c>
      <c r="B49" s="11" t="s">
        <v>137</v>
      </c>
      <c r="C49" s="11" t="s">
        <v>54</v>
      </c>
      <c r="D49" s="11" t="s">
        <v>16</v>
      </c>
      <c r="E49" s="12" t="s">
        <v>247</v>
      </c>
      <c r="F49" s="13" t="s">
        <v>97</v>
      </c>
      <c r="G49" s="13" t="s">
        <v>169</v>
      </c>
      <c r="H49" s="13" t="s">
        <v>248</v>
      </c>
      <c r="I49" s="11" t="s">
        <v>249</v>
      </c>
      <c r="J49" s="10" t="s">
        <v>21</v>
      </c>
      <c r="K49" s="14" t="n">
        <v>10</v>
      </c>
      <c r="L49" s="11" t="s">
        <v>97</v>
      </c>
      <c r="M49" s="15" t="s">
        <v>250</v>
      </c>
      <c r="N49" s="16"/>
    </row>
    <row r="50" customFormat="false" ht="54" hidden="false" customHeight="true" outlineLevel="0" collapsed="false">
      <c r="A50" s="10" t="s">
        <v>251</v>
      </c>
      <c r="B50" s="11" t="s">
        <v>54</v>
      </c>
      <c r="C50" s="11" t="s">
        <v>54</v>
      </c>
      <c r="D50" s="11" t="s">
        <v>16</v>
      </c>
      <c r="E50" s="12" t="s">
        <v>252</v>
      </c>
      <c r="F50" s="13" t="s">
        <v>97</v>
      </c>
      <c r="G50" s="13" t="s">
        <v>253</v>
      </c>
      <c r="H50" s="13" t="s">
        <v>254</v>
      </c>
      <c r="I50" s="18" t="s">
        <v>255</v>
      </c>
      <c r="J50" s="10" t="s">
        <v>21</v>
      </c>
      <c r="K50" s="14" t="n">
        <v>10</v>
      </c>
      <c r="L50" s="11" t="s">
        <v>97</v>
      </c>
      <c r="M50" s="38" t="s">
        <v>256</v>
      </c>
      <c r="N50" s="16"/>
    </row>
    <row r="51" customFormat="false" ht="102" hidden="false" customHeight="true" outlineLevel="0" collapsed="false">
      <c r="A51" s="10" t="s">
        <v>257</v>
      </c>
      <c r="B51" s="11" t="s">
        <v>54</v>
      </c>
      <c r="C51" s="11" t="s">
        <v>54</v>
      </c>
      <c r="D51" s="11" t="s">
        <v>16</v>
      </c>
      <c r="E51" s="12" t="s">
        <v>258</v>
      </c>
      <c r="F51" s="13" t="s">
        <v>97</v>
      </c>
      <c r="G51" s="13" t="s">
        <v>253</v>
      </c>
      <c r="H51" s="13" t="s">
        <v>254</v>
      </c>
      <c r="I51" s="21" t="s">
        <v>259</v>
      </c>
      <c r="J51" s="20" t="s">
        <v>40</v>
      </c>
      <c r="K51" s="22" t="n">
        <v>3.33</v>
      </c>
      <c r="L51" s="18" t="s">
        <v>97</v>
      </c>
      <c r="M51" s="15" t="s">
        <v>260</v>
      </c>
      <c r="N51" s="16"/>
    </row>
    <row r="52" customFormat="false" ht="67.5" hidden="false" customHeight="true" outlineLevel="0" collapsed="false">
      <c r="A52" s="10" t="s">
        <v>261</v>
      </c>
      <c r="B52" s="11" t="s">
        <v>54</v>
      </c>
      <c r="C52" s="11" t="s">
        <v>54</v>
      </c>
      <c r="D52" s="11" t="s">
        <v>16</v>
      </c>
      <c r="E52" s="12" t="s">
        <v>262</v>
      </c>
      <c r="F52" s="13" t="s">
        <v>97</v>
      </c>
      <c r="G52" s="13" t="s">
        <v>253</v>
      </c>
      <c r="H52" s="13" t="s">
        <v>254</v>
      </c>
      <c r="I52" s="21" t="s">
        <v>263</v>
      </c>
      <c r="J52" s="20" t="s">
        <v>264</v>
      </c>
      <c r="K52" s="22" t="n">
        <v>1.11</v>
      </c>
      <c r="L52" s="18" t="s">
        <v>97</v>
      </c>
      <c r="M52" s="15" t="s">
        <v>265</v>
      </c>
      <c r="N52" s="16"/>
    </row>
    <row r="53" customFormat="false" ht="67.5" hidden="false" customHeight="true" outlineLevel="0" collapsed="false">
      <c r="A53" s="10" t="s">
        <v>266</v>
      </c>
      <c r="B53" s="11" t="s">
        <v>54</v>
      </c>
      <c r="C53" s="11" t="s">
        <v>54</v>
      </c>
      <c r="D53" s="11" t="s">
        <v>16</v>
      </c>
      <c r="E53" s="12" t="s">
        <v>267</v>
      </c>
      <c r="F53" s="13" t="s">
        <v>97</v>
      </c>
      <c r="G53" s="13" t="s">
        <v>253</v>
      </c>
      <c r="H53" s="13" t="s">
        <v>254</v>
      </c>
      <c r="I53" s="21" t="s">
        <v>268</v>
      </c>
      <c r="J53" s="20" t="s">
        <v>269</v>
      </c>
      <c r="K53" s="22" t="n">
        <v>1.11</v>
      </c>
      <c r="L53" s="18" t="s">
        <v>97</v>
      </c>
      <c r="M53" s="15" t="s">
        <v>265</v>
      </c>
      <c r="N53" s="16"/>
    </row>
    <row r="54" customFormat="false" ht="67.5" hidden="false" customHeight="true" outlineLevel="0" collapsed="false">
      <c r="A54" s="10" t="s">
        <v>270</v>
      </c>
      <c r="B54" s="11" t="s">
        <v>54</v>
      </c>
      <c r="C54" s="11" t="s">
        <v>54</v>
      </c>
      <c r="D54" s="11" t="s">
        <v>16</v>
      </c>
      <c r="E54" s="12" t="s">
        <v>271</v>
      </c>
      <c r="F54" s="13" t="s">
        <v>97</v>
      </c>
      <c r="G54" s="13" t="s">
        <v>253</v>
      </c>
      <c r="H54" s="13" t="s">
        <v>254</v>
      </c>
      <c r="I54" s="21" t="s">
        <v>272</v>
      </c>
      <c r="J54" s="20" t="s">
        <v>273</v>
      </c>
      <c r="K54" s="22" t="n">
        <v>1.11</v>
      </c>
      <c r="L54" s="18" t="s">
        <v>97</v>
      </c>
      <c r="M54" s="15" t="s">
        <v>265</v>
      </c>
      <c r="N54" s="16"/>
    </row>
    <row r="55" customFormat="false" ht="135" hidden="false" customHeight="true" outlineLevel="0" collapsed="false">
      <c r="A55" s="10" t="s">
        <v>274</v>
      </c>
      <c r="B55" s="11" t="s">
        <v>54</v>
      </c>
      <c r="C55" s="11" t="s">
        <v>54</v>
      </c>
      <c r="D55" s="11" t="s">
        <v>16</v>
      </c>
      <c r="E55" s="12" t="s">
        <v>275</v>
      </c>
      <c r="F55" s="13" t="s">
        <v>97</v>
      </c>
      <c r="G55" s="13" t="s">
        <v>253</v>
      </c>
      <c r="H55" s="13" t="s">
        <v>254</v>
      </c>
      <c r="I55" s="21" t="s">
        <v>276</v>
      </c>
      <c r="J55" s="20" t="s">
        <v>40</v>
      </c>
      <c r="K55" s="22" t="n">
        <v>3.33</v>
      </c>
      <c r="L55" s="18" t="s">
        <v>97</v>
      </c>
      <c r="M55" s="15" t="s">
        <v>277</v>
      </c>
      <c r="N55" s="16"/>
    </row>
    <row r="56" customFormat="false" ht="67.5" hidden="false" customHeight="true" outlineLevel="0" collapsed="false">
      <c r="A56" s="10" t="s">
        <v>278</v>
      </c>
      <c r="B56" s="11" t="s">
        <v>54</v>
      </c>
      <c r="C56" s="11" t="s">
        <v>54</v>
      </c>
      <c r="D56" s="11" t="s">
        <v>16</v>
      </c>
      <c r="E56" s="12" t="s">
        <v>279</v>
      </c>
      <c r="F56" s="13" t="s">
        <v>97</v>
      </c>
      <c r="G56" s="13" t="s">
        <v>253</v>
      </c>
      <c r="H56" s="13" t="s">
        <v>254</v>
      </c>
      <c r="I56" s="21" t="s">
        <v>263</v>
      </c>
      <c r="J56" s="20" t="s">
        <v>264</v>
      </c>
      <c r="K56" s="22" t="n">
        <v>1.11</v>
      </c>
      <c r="L56" s="18" t="s">
        <v>97</v>
      </c>
      <c r="M56" s="15" t="s">
        <v>265</v>
      </c>
      <c r="N56" s="16"/>
    </row>
    <row r="57" customFormat="false" ht="67.5" hidden="false" customHeight="true" outlineLevel="0" collapsed="false">
      <c r="A57" s="10" t="s">
        <v>280</v>
      </c>
      <c r="B57" s="11" t="s">
        <v>54</v>
      </c>
      <c r="C57" s="11" t="s">
        <v>54</v>
      </c>
      <c r="D57" s="11" t="s">
        <v>16</v>
      </c>
      <c r="E57" s="12" t="s">
        <v>281</v>
      </c>
      <c r="F57" s="13" t="s">
        <v>97</v>
      </c>
      <c r="G57" s="13" t="s">
        <v>253</v>
      </c>
      <c r="H57" s="13" t="s">
        <v>254</v>
      </c>
      <c r="I57" s="21" t="s">
        <v>268</v>
      </c>
      <c r="J57" s="20" t="s">
        <v>269</v>
      </c>
      <c r="K57" s="22" t="n">
        <v>1.11</v>
      </c>
      <c r="L57" s="18" t="s">
        <v>97</v>
      </c>
      <c r="M57" s="15" t="s">
        <v>265</v>
      </c>
      <c r="N57" s="16"/>
    </row>
    <row r="58" customFormat="false" ht="67.5" hidden="false" customHeight="true" outlineLevel="0" collapsed="false">
      <c r="A58" s="10" t="s">
        <v>282</v>
      </c>
      <c r="B58" s="11" t="s">
        <v>54</v>
      </c>
      <c r="C58" s="11" t="s">
        <v>54</v>
      </c>
      <c r="D58" s="11" t="s">
        <v>16</v>
      </c>
      <c r="E58" s="12" t="s">
        <v>283</v>
      </c>
      <c r="F58" s="13" t="s">
        <v>97</v>
      </c>
      <c r="G58" s="13" t="s">
        <v>253</v>
      </c>
      <c r="H58" s="13" t="s">
        <v>254</v>
      </c>
      <c r="I58" s="21" t="s">
        <v>272</v>
      </c>
      <c r="J58" s="20" t="s">
        <v>273</v>
      </c>
      <c r="K58" s="22" t="n">
        <v>1.11</v>
      </c>
      <c r="L58" s="18" t="s">
        <v>97</v>
      </c>
      <c r="M58" s="15" t="s">
        <v>265</v>
      </c>
      <c r="N58" s="16"/>
    </row>
    <row r="59" customFormat="false" ht="81" hidden="false" customHeight="true" outlineLevel="0" collapsed="false">
      <c r="A59" s="10" t="s">
        <v>284</v>
      </c>
      <c r="B59" s="11" t="s">
        <v>54</v>
      </c>
      <c r="C59" s="11" t="s">
        <v>54</v>
      </c>
      <c r="D59" s="11" t="s">
        <v>16</v>
      </c>
      <c r="E59" s="12" t="s">
        <v>285</v>
      </c>
      <c r="F59" s="13" t="s">
        <v>97</v>
      </c>
      <c r="G59" s="13" t="s">
        <v>253</v>
      </c>
      <c r="H59" s="13" t="s">
        <v>254</v>
      </c>
      <c r="I59" s="21" t="s">
        <v>286</v>
      </c>
      <c r="J59" s="20" t="s">
        <v>40</v>
      </c>
      <c r="K59" s="22" t="n">
        <v>3.33</v>
      </c>
      <c r="L59" s="18" t="s">
        <v>97</v>
      </c>
      <c r="M59" s="15" t="s">
        <v>287</v>
      </c>
      <c r="N59" s="16"/>
    </row>
    <row r="60" customFormat="false" ht="67.5" hidden="false" customHeight="true" outlineLevel="0" collapsed="false">
      <c r="A60" s="10" t="s">
        <v>288</v>
      </c>
      <c r="B60" s="11" t="s">
        <v>54</v>
      </c>
      <c r="C60" s="11" t="s">
        <v>54</v>
      </c>
      <c r="D60" s="11" t="s">
        <v>16</v>
      </c>
      <c r="E60" s="12" t="s">
        <v>289</v>
      </c>
      <c r="F60" s="13" t="s">
        <v>97</v>
      </c>
      <c r="G60" s="13" t="s">
        <v>253</v>
      </c>
      <c r="H60" s="13" t="s">
        <v>254</v>
      </c>
      <c r="I60" s="21" t="s">
        <v>263</v>
      </c>
      <c r="J60" s="20" t="s">
        <v>264</v>
      </c>
      <c r="K60" s="22" t="n">
        <v>1.11</v>
      </c>
      <c r="L60" s="18" t="s">
        <v>97</v>
      </c>
      <c r="M60" s="15" t="s">
        <v>265</v>
      </c>
      <c r="N60" s="16"/>
    </row>
    <row r="61" customFormat="false" ht="67.5" hidden="false" customHeight="true" outlineLevel="0" collapsed="false">
      <c r="A61" s="10" t="s">
        <v>290</v>
      </c>
      <c r="B61" s="11" t="s">
        <v>54</v>
      </c>
      <c r="C61" s="11" t="s">
        <v>54</v>
      </c>
      <c r="D61" s="11" t="s">
        <v>16</v>
      </c>
      <c r="E61" s="12" t="s">
        <v>291</v>
      </c>
      <c r="F61" s="13" t="s">
        <v>97</v>
      </c>
      <c r="G61" s="13" t="s">
        <v>253</v>
      </c>
      <c r="H61" s="13" t="s">
        <v>254</v>
      </c>
      <c r="I61" s="21" t="s">
        <v>268</v>
      </c>
      <c r="J61" s="20" t="s">
        <v>269</v>
      </c>
      <c r="K61" s="22" t="n">
        <v>1.11</v>
      </c>
      <c r="L61" s="18" t="s">
        <v>97</v>
      </c>
      <c r="M61" s="15" t="s">
        <v>265</v>
      </c>
      <c r="N61" s="16"/>
    </row>
    <row r="62" customFormat="false" ht="67.5" hidden="false" customHeight="true" outlineLevel="0" collapsed="false">
      <c r="A62" s="10" t="s">
        <v>292</v>
      </c>
      <c r="B62" s="11" t="s">
        <v>54</v>
      </c>
      <c r="C62" s="11" t="s">
        <v>54</v>
      </c>
      <c r="D62" s="11" t="s">
        <v>16</v>
      </c>
      <c r="E62" s="12" t="s">
        <v>293</v>
      </c>
      <c r="F62" s="13" t="s">
        <v>97</v>
      </c>
      <c r="G62" s="13" t="s">
        <v>253</v>
      </c>
      <c r="H62" s="13" t="s">
        <v>254</v>
      </c>
      <c r="I62" s="21" t="s">
        <v>272</v>
      </c>
      <c r="J62" s="20" t="s">
        <v>273</v>
      </c>
      <c r="K62" s="22" t="n">
        <v>1.11</v>
      </c>
      <c r="L62" s="18" t="s">
        <v>97</v>
      </c>
      <c r="M62" s="15" t="s">
        <v>265</v>
      </c>
      <c r="N62" s="16"/>
    </row>
    <row r="63" customFormat="false" ht="40.5" hidden="false" customHeight="true" outlineLevel="0" collapsed="false">
      <c r="A63" s="10" t="s">
        <v>294</v>
      </c>
      <c r="B63" s="11" t="s">
        <v>118</v>
      </c>
      <c r="C63" s="11" t="s">
        <v>54</v>
      </c>
      <c r="D63" s="11" t="s">
        <v>16</v>
      </c>
      <c r="E63" s="12" t="s">
        <v>295</v>
      </c>
      <c r="F63" s="13" t="s">
        <v>97</v>
      </c>
      <c r="G63" s="13" t="s">
        <v>253</v>
      </c>
      <c r="H63" s="13" t="s">
        <v>296</v>
      </c>
      <c r="I63" s="18" t="s">
        <v>297</v>
      </c>
      <c r="J63" s="10" t="s">
        <v>21</v>
      </c>
      <c r="K63" s="14" t="n">
        <v>10</v>
      </c>
      <c r="L63" s="18" t="s">
        <v>97</v>
      </c>
      <c r="M63" s="15" t="s">
        <v>54</v>
      </c>
      <c r="N63" s="16"/>
    </row>
    <row r="64" customFormat="false" ht="108" hidden="false" customHeight="true" outlineLevel="0" collapsed="false">
      <c r="A64" s="20" t="s">
        <v>298</v>
      </c>
      <c r="B64" s="21" t="s">
        <v>216</v>
      </c>
      <c r="C64" s="21" t="s">
        <v>54</v>
      </c>
      <c r="D64" s="11" t="s">
        <v>16</v>
      </c>
      <c r="E64" s="12" t="s">
        <v>299</v>
      </c>
      <c r="F64" s="13" t="s">
        <v>97</v>
      </c>
      <c r="G64" s="13" t="s">
        <v>253</v>
      </c>
      <c r="H64" s="13" t="s">
        <v>296</v>
      </c>
      <c r="I64" s="21" t="s">
        <v>300</v>
      </c>
      <c r="J64" s="20" t="s">
        <v>40</v>
      </c>
      <c r="K64" s="14" t="n">
        <v>3.33</v>
      </c>
      <c r="L64" s="11" t="s">
        <v>97</v>
      </c>
      <c r="M64" s="15" t="s">
        <v>301</v>
      </c>
      <c r="N64" s="16" t="s">
        <v>302</v>
      </c>
    </row>
    <row r="65" customFormat="false" ht="135" hidden="false" customHeight="true" outlineLevel="0" collapsed="false">
      <c r="A65" s="20" t="s">
        <v>303</v>
      </c>
      <c r="B65" s="21" t="s">
        <v>220</v>
      </c>
      <c r="C65" s="21" t="s">
        <v>54</v>
      </c>
      <c r="D65" s="11" t="s">
        <v>16</v>
      </c>
      <c r="E65" s="12" t="s">
        <v>304</v>
      </c>
      <c r="F65" s="13" t="s">
        <v>97</v>
      </c>
      <c r="G65" s="13" t="s">
        <v>253</v>
      </c>
      <c r="H65" s="13" t="s">
        <v>296</v>
      </c>
      <c r="I65" s="21" t="s">
        <v>305</v>
      </c>
      <c r="J65" s="20" t="s">
        <v>40</v>
      </c>
      <c r="K65" s="14" t="n">
        <v>3.33</v>
      </c>
      <c r="L65" s="11" t="s">
        <v>97</v>
      </c>
      <c r="M65" s="15" t="s">
        <v>306</v>
      </c>
      <c r="N65" s="16"/>
    </row>
    <row r="66" customFormat="false" ht="40.5" hidden="false" customHeight="true" outlineLevel="0" collapsed="false">
      <c r="A66" s="20" t="s">
        <v>307</v>
      </c>
      <c r="B66" s="21" t="s">
        <v>54</v>
      </c>
      <c r="C66" s="21" t="s">
        <v>54</v>
      </c>
      <c r="D66" s="11" t="s">
        <v>16</v>
      </c>
      <c r="E66" s="12" t="s">
        <v>308</v>
      </c>
      <c r="F66" s="13" t="s">
        <v>97</v>
      </c>
      <c r="G66" s="13" t="s">
        <v>253</v>
      </c>
      <c r="H66" s="13" t="s">
        <v>296</v>
      </c>
      <c r="I66" s="21" t="s">
        <v>286</v>
      </c>
      <c r="J66" s="20" t="s">
        <v>40</v>
      </c>
      <c r="K66" s="14" t="n">
        <v>3.33</v>
      </c>
      <c r="L66" s="18" t="s">
        <v>97</v>
      </c>
      <c r="M66" s="15" t="s">
        <v>309</v>
      </c>
      <c r="N66" s="16"/>
    </row>
    <row r="67" customFormat="false" ht="40.5" hidden="false" customHeight="true" outlineLevel="0" collapsed="false">
      <c r="A67" s="10" t="s">
        <v>310</v>
      </c>
      <c r="B67" s="11" t="s">
        <v>226</v>
      </c>
      <c r="C67" s="11" t="s">
        <v>54</v>
      </c>
      <c r="D67" s="11" t="s">
        <v>16</v>
      </c>
      <c r="E67" s="12" t="s">
        <v>311</v>
      </c>
      <c r="F67" s="13" t="s">
        <v>97</v>
      </c>
      <c r="G67" s="13" t="s">
        <v>253</v>
      </c>
      <c r="H67" s="13" t="s">
        <v>312</v>
      </c>
      <c r="I67" s="18" t="s">
        <v>313</v>
      </c>
      <c r="J67" s="10" t="s">
        <v>21</v>
      </c>
      <c r="K67" s="14" t="n">
        <v>10</v>
      </c>
      <c r="L67" s="11" t="s">
        <v>97</v>
      </c>
      <c r="M67" s="15" t="s">
        <v>54</v>
      </c>
      <c r="N67" s="16"/>
    </row>
    <row r="68" customFormat="false" ht="216" hidden="false" customHeight="true" outlineLevel="0" collapsed="false">
      <c r="A68" s="10" t="s">
        <v>314</v>
      </c>
      <c r="B68" s="11" t="s">
        <v>54</v>
      </c>
      <c r="C68" s="11" t="s">
        <v>54</v>
      </c>
      <c r="D68" s="11" t="s">
        <v>16</v>
      </c>
      <c r="E68" s="12" t="s">
        <v>315</v>
      </c>
      <c r="F68" s="13" t="s">
        <v>97</v>
      </c>
      <c r="G68" s="13" t="s">
        <v>253</v>
      </c>
      <c r="H68" s="13" t="s">
        <v>312</v>
      </c>
      <c r="I68" s="21" t="s">
        <v>316</v>
      </c>
      <c r="J68" s="20" t="s">
        <v>40</v>
      </c>
      <c r="K68" s="14" t="n">
        <v>3.33</v>
      </c>
      <c r="L68" s="18" t="s">
        <v>97</v>
      </c>
      <c r="M68" s="15" t="s">
        <v>317</v>
      </c>
      <c r="N68" s="16"/>
    </row>
    <row r="69" customFormat="false" ht="148.5" hidden="false" customHeight="true" outlineLevel="0" collapsed="false">
      <c r="A69" s="10" t="s">
        <v>318</v>
      </c>
      <c r="B69" s="11" t="s">
        <v>54</v>
      </c>
      <c r="C69" s="11" t="s">
        <v>54</v>
      </c>
      <c r="D69" s="11" t="s">
        <v>16</v>
      </c>
      <c r="E69" s="12" t="s">
        <v>319</v>
      </c>
      <c r="F69" s="13" t="s">
        <v>97</v>
      </c>
      <c r="G69" s="13" t="s">
        <v>253</v>
      </c>
      <c r="H69" s="13" t="s">
        <v>312</v>
      </c>
      <c r="I69" s="21" t="s">
        <v>305</v>
      </c>
      <c r="J69" s="20" t="s">
        <v>40</v>
      </c>
      <c r="K69" s="14" t="n">
        <v>3.33</v>
      </c>
      <c r="L69" s="18" t="s">
        <v>97</v>
      </c>
      <c r="M69" s="15" t="s">
        <v>320</v>
      </c>
      <c r="N69" s="16"/>
    </row>
    <row r="70" customFormat="false" ht="162" hidden="false" customHeight="true" outlineLevel="0" collapsed="false">
      <c r="A70" s="10" t="s">
        <v>321</v>
      </c>
      <c r="B70" s="11" t="s">
        <v>54</v>
      </c>
      <c r="C70" s="11" t="s">
        <v>54</v>
      </c>
      <c r="D70" s="11" t="s">
        <v>16</v>
      </c>
      <c r="E70" s="12" t="s">
        <v>322</v>
      </c>
      <c r="F70" s="13" t="s">
        <v>97</v>
      </c>
      <c r="G70" s="13" t="s">
        <v>253</v>
      </c>
      <c r="H70" s="13" t="s">
        <v>312</v>
      </c>
      <c r="I70" s="21" t="s">
        <v>286</v>
      </c>
      <c r="J70" s="20" t="s">
        <v>40</v>
      </c>
      <c r="K70" s="14" t="n">
        <v>3.33</v>
      </c>
      <c r="L70" s="18" t="s">
        <v>97</v>
      </c>
      <c r="M70" s="15" t="s">
        <v>323</v>
      </c>
      <c r="N70" s="16"/>
    </row>
    <row r="71" customFormat="false" ht="40.5" hidden="false" customHeight="true" outlineLevel="0" collapsed="false">
      <c r="A71" s="10" t="s">
        <v>324</v>
      </c>
      <c r="B71" s="11" t="s">
        <v>54</v>
      </c>
      <c r="C71" s="11" t="s">
        <v>54</v>
      </c>
      <c r="D71" s="11" t="s">
        <v>16</v>
      </c>
      <c r="E71" s="12" t="s">
        <v>325</v>
      </c>
      <c r="F71" s="13" t="s">
        <v>97</v>
      </c>
      <c r="G71" s="13" t="s">
        <v>253</v>
      </c>
      <c r="H71" s="13" t="s">
        <v>326</v>
      </c>
      <c r="I71" s="18" t="s">
        <v>327</v>
      </c>
      <c r="J71" s="10" t="s">
        <v>21</v>
      </c>
      <c r="K71" s="14" t="n">
        <v>10</v>
      </c>
      <c r="L71" s="18" t="s">
        <v>97</v>
      </c>
      <c r="M71" s="15" t="s">
        <v>54</v>
      </c>
      <c r="N71" s="16"/>
    </row>
    <row r="72" customFormat="false" ht="202.5" hidden="false" customHeight="true" outlineLevel="0" collapsed="false">
      <c r="A72" s="10" t="s">
        <v>328</v>
      </c>
      <c r="B72" s="11" t="s">
        <v>54</v>
      </c>
      <c r="C72" s="11" t="s">
        <v>54</v>
      </c>
      <c r="D72" s="11" t="s">
        <v>16</v>
      </c>
      <c r="E72" s="12" t="s">
        <v>329</v>
      </c>
      <c r="F72" s="13" t="s">
        <v>97</v>
      </c>
      <c r="G72" s="13" t="s">
        <v>253</v>
      </c>
      <c r="H72" s="13" t="s">
        <v>326</v>
      </c>
      <c r="I72" s="21" t="s">
        <v>330</v>
      </c>
      <c r="J72" s="20" t="s">
        <v>40</v>
      </c>
      <c r="K72" s="14" t="n">
        <v>3.33</v>
      </c>
      <c r="L72" s="11" t="s">
        <v>97</v>
      </c>
      <c r="M72" s="15" t="s">
        <v>331</v>
      </c>
      <c r="N72" s="16"/>
    </row>
    <row r="73" customFormat="false" ht="162" hidden="false" customHeight="true" outlineLevel="0" collapsed="false">
      <c r="A73" s="10" t="s">
        <v>332</v>
      </c>
      <c r="B73" s="11" t="s">
        <v>54</v>
      </c>
      <c r="C73" s="11" t="s">
        <v>54</v>
      </c>
      <c r="D73" s="11" t="s">
        <v>16</v>
      </c>
      <c r="E73" s="12" t="s">
        <v>333</v>
      </c>
      <c r="F73" s="13" t="s">
        <v>97</v>
      </c>
      <c r="G73" s="13" t="s">
        <v>253</v>
      </c>
      <c r="H73" s="13" t="s">
        <v>326</v>
      </c>
      <c r="I73" s="21" t="s">
        <v>305</v>
      </c>
      <c r="J73" s="20" t="s">
        <v>40</v>
      </c>
      <c r="K73" s="14" t="n">
        <v>3.33</v>
      </c>
      <c r="L73" s="11" t="s">
        <v>97</v>
      </c>
      <c r="M73" s="15" t="s">
        <v>334</v>
      </c>
      <c r="N73" s="16"/>
    </row>
    <row r="74" customFormat="false" ht="148.5" hidden="false" customHeight="true" outlineLevel="0" collapsed="false">
      <c r="A74" s="10" t="s">
        <v>335</v>
      </c>
      <c r="B74" s="11" t="s">
        <v>54</v>
      </c>
      <c r="C74" s="11" t="s">
        <v>54</v>
      </c>
      <c r="D74" s="11" t="s">
        <v>16</v>
      </c>
      <c r="E74" s="12" t="s">
        <v>336</v>
      </c>
      <c r="F74" s="13" t="s">
        <v>97</v>
      </c>
      <c r="G74" s="13" t="s">
        <v>253</v>
      </c>
      <c r="H74" s="13" t="s">
        <v>326</v>
      </c>
      <c r="I74" s="21" t="s">
        <v>286</v>
      </c>
      <c r="J74" s="20" t="s">
        <v>40</v>
      </c>
      <c r="K74" s="14" t="n">
        <v>3.33</v>
      </c>
      <c r="L74" s="11" t="s">
        <v>97</v>
      </c>
      <c r="M74" s="15" t="s">
        <v>337</v>
      </c>
      <c r="N74" s="16"/>
    </row>
    <row r="75" customFormat="false" ht="40.5" hidden="false" customHeight="true" outlineLevel="0" collapsed="false">
      <c r="A75" s="10" t="s">
        <v>338</v>
      </c>
      <c r="B75" s="11" t="s">
        <v>54</v>
      </c>
      <c r="C75" s="11" t="s">
        <v>54</v>
      </c>
      <c r="D75" s="11" t="s">
        <v>16</v>
      </c>
      <c r="E75" s="12" t="s">
        <v>207</v>
      </c>
      <c r="F75" s="12" t="s">
        <v>97</v>
      </c>
      <c r="G75" s="13" t="s">
        <v>339</v>
      </c>
      <c r="H75" s="13" t="s">
        <v>339</v>
      </c>
      <c r="I75" s="39" t="s">
        <v>340</v>
      </c>
      <c r="J75" s="20" t="s">
        <v>21</v>
      </c>
      <c r="K75" s="14" t="n">
        <v>10</v>
      </c>
      <c r="L75" s="11" t="s">
        <v>97</v>
      </c>
      <c r="M75" s="15" t="s">
        <v>256</v>
      </c>
      <c r="N75" s="16"/>
    </row>
    <row r="76" customFormat="false" ht="175.5" hidden="false" customHeight="true" outlineLevel="0" collapsed="false">
      <c r="A76" s="10" t="s">
        <v>341</v>
      </c>
      <c r="B76" s="11" t="s">
        <v>54</v>
      </c>
      <c r="C76" s="11" t="s">
        <v>54</v>
      </c>
      <c r="D76" s="11" t="s">
        <v>16</v>
      </c>
      <c r="E76" s="12" t="s">
        <v>342</v>
      </c>
      <c r="F76" s="12" t="s">
        <v>97</v>
      </c>
      <c r="G76" s="13" t="s">
        <v>339</v>
      </c>
      <c r="H76" s="13" t="s">
        <v>339</v>
      </c>
      <c r="I76" s="12" t="s">
        <v>343</v>
      </c>
      <c r="J76" s="20" t="s">
        <v>40</v>
      </c>
      <c r="K76" s="14" t="n">
        <v>5</v>
      </c>
      <c r="L76" s="11" t="s">
        <v>97</v>
      </c>
      <c r="M76" s="15" t="s">
        <v>344</v>
      </c>
      <c r="N76" s="16" t="s">
        <v>345</v>
      </c>
    </row>
    <row r="77" customFormat="false" ht="121.5" hidden="false" customHeight="true" outlineLevel="0" collapsed="false">
      <c r="A77" s="10" t="s">
        <v>346</v>
      </c>
      <c r="B77" s="11" t="s">
        <v>54</v>
      </c>
      <c r="C77" s="11" t="s">
        <v>54</v>
      </c>
      <c r="D77" s="11" t="s">
        <v>16</v>
      </c>
      <c r="E77" s="12" t="s">
        <v>347</v>
      </c>
      <c r="F77" s="12" t="s">
        <v>97</v>
      </c>
      <c r="G77" s="13" t="s">
        <v>339</v>
      </c>
      <c r="H77" s="13" t="s">
        <v>339</v>
      </c>
      <c r="I77" s="21" t="s">
        <v>348</v>
      </c>
      <c r="J77" s="20" t="s">
        <v>40</v>
      </c>
      <c r="K77" s="14" t="n">
        <v>5</v>
      </c>
      <c r="L77" s="11" t="s">
        <v>97</v>
      </c>
      <c r="M77" s="15" t="s">
        <v>349</v>
      </c>
      <c r="N77" s="16" t="s">
        <v>350</v>
      </c>
    </row>
    <row r="78" customFormat="false" ht="40.5" hidden="false" customHeight="true" outlineLevel="0" collapsed="false">
      <c r="A78" s="33" t="s">
        <v>351</v>
      </c>
      <c r="B78" s="32" t="s">
        <v>54</v>
      </c>
      <c r="C78" s="32" t="s">
        <v>54</v>
      </c>
      <c r="D78" s="11" t="s">
        <v>16</v>
      </c>
      <c r="E78" s="12" t="s">
        <v>212</v>
      </c>
      <c r="F78" s="12" t="s">
        <v>97</v>
      </c>
      <c r="G78" s="13" t="s">
        <v>339</v>
      </c>
      <c r="H78" s="13" t="s">
        <v>339</v>
      </c>
      <c r="I78" s="18" t="s">
        <v>352</v>
      </c>
      <c r="J78" s="33" t="s">
        <v>21</v>
      </c>
      <c r="K78" s="34" t="n">
        <v>10</v>
      </c>
      <c r="L78" s="32" t="s">
        <v>97</v>
      </c>
      <c r="M78" s="15" t="s">
        <v>353</v>
      </c>
      <c r="N78" s="16"/>
    </row>
    <row r="79" customFormat="false" ht="148.5" hidden="false" customHeight="true" outlineLevel="0" collapsed="false">
      <c r="A79" s="33" t="s">
        <v>354</v>
      </c>
      <c r="B79" s="32" t="s">
        <v>54</v>
      </c>
      <c r="C79" s="32" t="s">
        <v>54</v>
      </c>
      <c r="D79" s="11" t="s">
        <v>16</v>
      </c>
      <c r="E79" s="12" t="s">
        <v>355</v>
      </c>
      <c r="F79" s="12" t="s">
        <v>97</v>
      </c>
      <c r="G79" s="13" t="s">
        <v>339</v>
      </c>
      <c r="H79" s="13" t="s">
        <v>356</v>
      </c>
      <c r="I79" s="40" t="s">
        <v>357</v>
      </c>
      <c r="J79" s="33" t="s">
        <v>40</v>
      </c>
      <c r="K79" s="34" t="n">
        <v>2.5</v>
      </c>
      <c r="L79" s="32" t="s">
        <v>97</v>
      </c>
      <c r="M79" s="15" t="s">
        <v>358</v>
      </c>
      <c r="N79" s="16"/>
    </row>
    <row r="80" customFormat="false" ht="135" hidden="false" customHeight="true" outlineLevel="0" collapsed="false">
      <c r="A80" s="33" t="s">
        <v>359</v>
      </c>
      <c r="B80" s="32" t="s">
        <v>54</v>
      </c>
      <c r="C80" s="32" t="s">
        <v>54</v>
      </c>
      <c r="D80" s="11" t="s">
        <v>16</v>
      </c>
      <c r="E80" s="12" t="s">
        <v>360</v>
      </c>
      <c r="F80" s="12" t="s">
        <v>97</v>
      </c>
      <c r="G80" s="13" t="s">
        <v>361</v>
      </c>
      <c r="H80" s="13" t="s">
        <v>362</v>
      </c>
      <c r="I80" s="21" t="s">
        <v>363</v>
      </c>
      <c r="J80" s="33" t="s">
        <v>40</v>
      </c>
      <c r="K80" s="34" t="n">
        <v>2.5</v>
      </c>
      <c r="L80" s="32" t="s">
        <v>97</v>
      </c>
      <c r="M80" s="15" t="s">
        <v>364</v>
      </c>
      <c r="N80" s="16"/>
    </row>
    <row r="81" customFormat="false" ht="135" hidden="false" customHeight="true" outlineLevel="0" collapsed="false">
      <c r="A81" s="33" t="s">
        <v>365</v>
      </c>
      <c r="B81" s="32" t="s">
        <v>54</v>
      </c>
      <c r="C81" s="32" t="s">
        <v>54</v>
      </c>
      <c r="D81" s="11" t="s">
        <v>16</v>
      </c>
      <c r="E81" s="12" t="s">
        <v>366</v>
      </c>
      <c r="F81" s="12" t="s">
        <v>97</v>
      </c>
      <c r="G81" s="13" t="s">
        <v>361</v>
      </c>
      <c r="H81" s="13" t="s">
        <v>367</v>
      </c>
      <c r="I81" s="40" t="s">
        <v>368</v>
      </c>
      <c r="J81" s="33" t="s">
        <v>40</v>
      </c>
      <c r="K81" s="34" t="n">
        <v>2.5</v>
      </c>
      <c r="L81" s="32" t="s">
        <v>97</v>
      </c>
      <c r="M81" s="15" t="s">
        <v>369</v>
      </c>
      <c r="N81" s="16"/>
    </row>
    <row r="82" customFormat="false" ht="135" hidden="false" customHeight="true" outlineLevel="0" collapsed="false">
      <c r="A82" s="33" t="s">
        <v>370</v>
      </c>
      <c r="B82" s="32" t="s">
        <v>54</v>
      </c>
      <c r="C82" s="32" t="s">
        <v>54</v>
      </c>
      <c r="D82" s="11" t="s">
        <v>16</v>
      </c>
      <c r="E82" s="12" t="s">
        <v>371</v>
      </c>
      <c r="F82" s="12" t="s">
        <v>97</v>
      </c>
      <c r="G82" s="13" t="s">
        <v>361</v>
      </c>
      <c r="H82" s="13" t="s">
        <v>372</v>
      </c>
      <c r="I82" s="40" t="s">
        <v>373</v>
      </c>
      <c r="J82" s="33" t="s">
        <v>40</v>
      </c>
      <c r="K82" s="34" t="n">
        <v>2.5</v>
      </c>
      <c r="L82" s="32" t="s">
        <v>97</v>
      </c>
      <c r="M82" s="15" t="s">
        <v>374</v>
      </c>
      <c r="N82" s="16"/>
    </row>
    <row r="83" customFormat="false" ht="54" hidden="false" customHeight="true" outlineLevel="0" collapsed="false">
      <c r="A83" s="10" t="s">
        <v>375</v>
      </c>
      <c r="B83" s="11" t="s">
        <v>252</v>
      </c>
      <c r="C83" s="11" t="s">
        <v>132</v>
      </c>
      <c r="D83" s="11" t="s">
        <v>16</v>
      </c>
      <c r="E83" s="12" t="s">
        <v>224</v>
      </c>
      <c r="F83" s="13" t="s">
        <v>97</v>
      </c>
      <c r="G83" s="13" t="s">
        <v>376</v>
      </c>
      <c r="H83" s="13" t="s">
        <v>377</v>
      </c>
      <c r="I83" s="18" t="s">
        <v>378</v>
      </c>
      <c r="J83" s="10" t="s">
        <v>21</v>
      </c>
      <c r="K83" s="14" t="n">
        <v>10</v>
      </c>
      <c r="L83" s="11" t="s">
        <v>22</v>
      </c>
      <c r="M83" s="15" t="s">
        <v>256</v>
      </c>
      <c r="N83" s="16"/>
    </row>
    <row r="84" customFormat="false" ht="283.5" hidden="false" customHeight="true" outlineLevel="0" collapsed="false">
      <c r="A84" s="10" t="s">
        <v>379</v>
      </c>
      <c r="B84" s="11" t="s">
        <v>54</v>
      </c>
      <c r="C84" s="11" t="s">
        <v>54</v>
      </c>
      <c r="D84" s="11" t="s">
        <v>16</v>
      </c>
      <c r="E84" s="12" t="s">
        <v>380</v>
      </c>
      <c r="F84" s="13" t="s">
        <v>97</v>
      </c>
      <c r="G84" s="13" t="s">
        <v>376</v>
      </c>
      <c r="H84" s="13" t="s">
        <v>377</v>
      </c>
      <c r="I84" s="21" t="s">
        <v>381</v>
      </c>
      <c r="J84" s="10" t="s">
        <v>40</v>
      </c>
      <c r="K84" s="14" t="n">
        <v>5</v>
      </c>
      <c r="L84" s="18" t="s">
        <v>22</v>
      </c>
      <c r="M84" s="15" t="s">
        <v>382</v>
      </c>
      <c r="N84" s="16"/>
    </row>
    <row r="85" customFormat="false" ht="391.5" hidden="false" customHeight="true" outlineLevel="0" collapsed="false">
      <c r="A85" s="10" t="s">
        <v>383</v>
      </c>
      <c r="B85" s="11" t="s">
        <v>54</v>
      </c>
      <c r="C85" s="11" t="s">
        <v>54</v>
      </c>
      <c r="D85" s="11" t="s">
        <v>16</v>
      </c>
      <c r="E85" s="12" t="s">
        <v>384</v>
      </c>
      <c r="F85" s="13" t="s">
        <v>97</v>
      </c>
      <c r="G85" s="13" t="s">
        <v>376</v>
      </c>
      <c r="H85" s="13" t="s">
        <v>377</v>
      </c>
      <c r="I85" s="21" t="s">
        <v>385</v>
      </c>
      <c r="J85" s="10" t="s">
        <v>40</v>
      </c>
      <c r="K85" s="14" t="n">
        <v>5</v>
      </c>
      <c r="L85" s="18" t="s">
        <v>97</v>
      </c>
      <c r="M85" s="15" t="s">
        <v>386</v>
      </c>
      <c r="N85" s="16"/>
    </row>
    <row r="86" customFormat="false" ht="40.5" hidden="false" customHeight="true" outlineLevel="0" collapsed="false">
      <c r="A86" s="10" t="s">
        <v>387</v>
      </c>
      <c r="B86" s="11" t="s">
        <v>54</v>
      </c>
      <c r="C86" s="11" t="s">
        <v>54</v>
      </c>
      <c r="D86" s="11" t="s">
        <v>16</v>
      </c>
      <c r="E86" s="12" t="s">
        <v>388</v>
      </c>
      <c r="F86" s="13" t="s">
        <v>97</v>
      </c>
      <c r="G86" s="13" t="s">
        <v>376</v>
      </c>
      <c r="H86" s="13" t="s">
        <v>389</v>
      </c>
      <c r="I86" s="11" t="s">
        <v>390</v>
      </c>
      <c r="J86" s="17" t="s">
        <v>21</v>
      </c>
      <c r="K86" s="19" t="n">
        <v>10</v>
      </c>
      <c r="L86" s="18" t="s">
        <v>97</v>
      </c>
      <c r="M86" s="15" t="s">
        <v>256</v>
      </c>
      <c r="N86" s="16"/>
    </row>
    <row r="87" customFormat="false" ht="148.5" hidden="false" customHeight="true" outlineLevel="0" collapsed="false">
      <c r="A87" s="10" t="s">
        <v>391</v>
      </c>
      <c r="B87" s="11" t="s">
        <v>54</v>
      </c>
      <c r="C87" s="11" t="s">
        <v>54</v>
      </c>
      <c r="D87" s="11" t="s">
        <v>16</v>
      </c>
      <c r="E87" s="12" t="s">
        <v>392</v>
      </c>
      <c r="F87" s="13" t="s">
        <v>97</v>
      </c>
      <c r="G87" s="13" t="s">
        <v>376</v>
      </c>
      <c r="H87" s="13" t="s">
        <v>389</v>
      </c>
      <c r="I87" s="11" t="s">
        <v>393</v>
      </c>
      <c r="J87" s="10" t="s">
        <v>40</v>
      </c>
      <c r="K87" s="14" t="n">
        <v>5</v>
      </c>
      <c r="L87" s="11" t="s">
        <v>22</v>
      </c>
      <c r="M87" s="15" t="s">
        <v>394</v>
      </c>
      <c r="N87" s="16"/>
    </row>
    <row r="88" customFormat="false" ht="89.25" hidden="false" customHeight="true" outlineLevel="0" collapsed="false">
      <c r="A88" s="10" t="s">
        <v>395</v>
      </c>
      <c r="B88" s="11" t="s">
        <v>54</v>
      </c>
      <c r="C88" s="11" t="s">
        <v>54</v>
      </c>
      <c r="D88" s="11" t="s">
        <v>16</v>
      </c>
      <c r="E88" s="12" t="s">
        <v>396</v>
      </c>
      <c r="F88" s="13" t="s">
        <v>97</v>
      </c>
      <c r="G88" s="13" t="s">
        <v>376</v>
      </c>
      <c r="H88" s="13" t="s">
        <v>389</v>
      </c>
      <c r="I88" s="11" t="s">
        <v>397</v>
      </c>
      <c r="J88" s="10" t="s">
        <v>40</v>
      </c>
      <c r="K88" s="14" t="n">
        <v>5</v>
      </c>
      <c r="L88" s="11" t="s">
        <v>97</v>
      </c>
      <c r="M88" s="15" t="s">
        <v>398</v>
      </c>
      <c r="N88" s="16" t="s">
        <v>399</v>
      </c>
    </row>
    <row r="89" customFormat="false" ht="135" hidden="false" customHeight="true" outlineLevel="0" collapsed="false">
      <c r="A89" s="33" t="s">
        <v>400</v>
      </c>
      <c r="B89" s="32" t="s">
        <v>54</v>
      </c>
      <c r="C89" s="32" t="s">
        <v>54</v>
      </c>
      <c r="D89" s="11" t="s">
        <v>16</v>
      </c>
      <c r="E89" s="12" t="s">
        <v>401</v>
      </c>
      <c r="F89" s="13" t="s">
        <v>97</v>
      </c>
      <c r="G89" s="13" t="s">
        <v>402</v>
      </c>
      <c r="H89" s="13" t="s">
        <v>403</v>
      </c>
      <c r="I89" s="12" t="s">
        <v>404</v>
      </c>
      <c r="J89" s="41" t="s">
        <v>21</v>
      </c>
      <c r="K89" s="42" t="n">
        <v>10</v>
      </c>
      <c r="L89" s="32" t="s">
        <v>405</v>
      </c>
      <c r="M89" s="15" t="s">
        <v>406</v>
      </c>
      <c r="N89" s="16"/>
    </row>
    <row r="90" s="49" customFormat="true" ht="148.5" hidden="false" customHeight="true" outlineLevel="0" collapsed="false">
      <c r="A90" s="43" t="s">
        <v>407</v>
      </c>
      <c r="B90" s="44" t="s">
        <v>54</v>
      </c>
      <c r="C90" s="44" t="s">
        <v>54</v>
      </c>
      <c r="D90" s="11" t="s">
        <v>16</v>
      </c>
      <c r="E90" s="45" t="s">
        <v>408</v>
      </c>
      <c r="F90" s="13" t="s">
        <v>97</v>
      </c>
      <c r="G90" s="13" t="s">
        <v>402</v>
      </c>
      <c r="H90" s="13" t="s">
        <v>409</v>
      </c>
      <c r="I90" s="13" t="s">
        <v>410</v>
      </c>
      <c r="J90" s="46" t="s">
        <v>21</v>
      </c>
      <c r="K90" s="47" t="n">
        <v>10</v>
      </c>
      <c r="L90" s="18" t="s">
        <v>22</v>
      </c>
      <c r="M90" s="37" t="s">
        <v>411</v>
      </c>
      <c r="N90" s="48"/>
    </row>
    <row r="91" s="49" customFormat="true" ht="283.5" hidden="false" customHeight="true" outlineLevel="0" collapsed="false">
      <c r="A91" s="43" t="s">
        <v>412</v>
      </c>
      <c r="B91" s="44" t="s">
        <v>54</v>
      </c>
      <c r="C91" s="44" t="s">
        <v>54</v>
      </c>
      <c r="D91" s="11" t="s">
        <v>16</v>
      </c>
      <c r="E91" s="45" t="s">
        <v>413</v>
      </c>
      <c r="F91" s="50" t="s">
        <v>97</v>
      </c>
      <c r="G91" s="13" t="s">
        <v>402</v>
      </c>
      <c r="H91" s="13" t="s">
        <v>409</v>
      </c>
      <c r="I91" s="13" t="s">
        <v>414</v>
      </c>
      <c r="J91" s="10" t="s">
        <v>40</v>
      </c>
      <c r="K91" s="47" t="n">
        <v>2</v>
      </c>
      <c r="L91" s="18" t="s">
        <v>22</v>
      </c>
      <c r="M91" s="37" t="s">
        <v>415</v>
      </c>
      <c r="N91" s="51"/>
    </row>
    <row r="92" s="49" customFormat="true" ht="409.5" hidden="false" customHeight="true" outlineLevel="0" collapsed="false">
      <c r="A92" s="43" t="s">
        <v>416</v>
      </c>
      <c r="B92" s="44"/>
      <c r="C92" s="44"/>
      <c r="D92" s="11" t="s">
        <v>16</v>
      </c>
      <c r="E92" s="45" t="s">
        <v>417</v>
      </c>
      <c r="F92" s="50" t="s">
        <v>97</v>
      </c>
      <c r="G92" s="13" t="s">
        <v>402</v>
      </c>
      <c r="H92" s="13" t="s">
        <v>409</v>
      </c>
      <c r="I92" s="52" t="s">
        <v>418</v>
      </c>
      <c r="J92" s="53" t="s">
        <v>40</v>
      </c>
      <c r="K92" s="54" t="n">
        <v>2</v>
      </c>
      <c r="L92" s="11" t="s">
        <v>22</v>
      </c>
      <c r="M92" s="37" t="s">
        <v>419</v>
      </c>
      <c r="N92" s="48" t="s">
        <v>420</v>
      </c>
    </row>
    <row r="93" s="49" customFormat="true" ht="283.5" hidden="false" customHeight="true" outlineLevel="0" collapsed="false">
      <c r="A93" s="43" t="s">
        <v>421</v>
      </c>
      <c r="B93" s="44"/>
      <c r="C93" s="44"/>
      <c r="D93" s="11" t="s">
        <v>16</v>
      </c>
      <c r="E93" s="45" t="s">
        <v>422</v>
      </c>
      <c r="F93" s="50" t="s">
        <v>97</v>
      </c>
      <c r="G93" s="13" t="s">
        <v>402</v>
      </c>
      <c r="H93" s="13" t="s">
        <v>409</v>
      </c>
      <c r="I93" s="52" t="s">
        <v>423</v>
      </c>
      <c r="J93" s="53" t="s">
        <v>40</v>
      </c>
      <c r="K93" s="54" t="n">
        <v>2</v>
      </c>
      <c r="L93" s="11" t="s">
        <v>22</v>
      </c>
      <c r="M93" s="37" t="s">
        <v>424</v>
      </c>
      <c r="N93" s="48" t="s">
        <v>425</v>
      </c>
    </row>
    <row r="94" s="49" customFormat="true" ht="364.5" hidden="false" customHeight="true" outlineLevel="0" collapsed="false">
      <c r="A94" s="43" t="s">
        <v>426</v>
      </c>
      <c r="B94" s="44"/>
      <c r="C94" s="44"/>
      <c r="D94" s="11" t="s">
        <v>16</v>
      </c>
      <c r="E94" s="45" t="s">
        <v>427</v>
      </c>
      <c r="F94" s="50" t="s">
        <v>97</v>
      </c>
      <c r="G94" s="13" t="s">
        <v>402</v>
      </c>
      <c r="H94" s="13" t="s">
        <v>409</v>
      </c>
      <c r="I94" s="52" t="s">
        <v>428</v>
      </c>
      <c r="J94" s="53" t="s">
        <v>40</v>
      </c>
      <c r="K94" s="54" t="n">
        <v>2</v>
      </c>
      <c r="L94" s="11" t="s">
        <v>22</v>
      </c>
      <c r="M94" s="37" t="s">
        <v>429</v>
      </c>
      <c r="N94" s="48" t="s">
        <v>420</v>
      </c>
    </row>
    <row r="95" s="49" customFormat="true" ht="351" hidden="false" customHeight="true" outlineLevel="0" collapsed="false">
      <c r="A95" s="43" t="s">
        <v>430</v>
      </c>
      <c r="B95" s="44"/>
      <c r="C95" s="44"/>
      <c r="D95" s="11" t="s">
        <v>16</v>
      </c>
      <c r="E95" s="45" t="s">
        <v>431</v>
      </c>
      <c r="F95" s="50" t="s">
        <v>97</v>
      </c>
      <c r="G95" s="13" t="s">
        <v>402</v>
      </c>
      <c r="H95" s="13" t="s">
        <v>409</v>
      </c>
      <c r="I95" s="52" t="s">
        <v>432</v>
      </c>
      <c r="J95" s="53" t="s">
        <v>40</v>
      </c>
      <c r="K95" s="54" t="n">
        <v>2</v>
      </c>
      <c r="L95" s="11" t="s">
        <v>22</v>
      </c>
      <c r="M95" s="37" t="s">
        <v>433</v>
      </c>
      <c r="N95" s="48" t="s">
        <v>420</v>
      </c>
    </row>
    <row r="96" customFormat="false" ht="54" hidden="false" customHeight="true" outlineLevel="0" collapsed="false">
      <c r="A96" s="10" t="s">
        <v>434</v>
      </c>
      <c r="B96" s="11" t="s">
        <v>202</v>
      </c>
      <c r="C96" s="11" t="s">
        <v>112</v>
      </c>
      <c r="D96" s="11" t="s">
        <v>16</v>
      </c>
      <c r="E96" s="12" t="s">
        <v>110</v>
      </c>
      <c r="F96" s="13" t="s">
        <v>97</v>
      </c>
      <c r="G96" s="13" t="s">
        <v>402</v>
      </c>
      <c r="H96" s="13" t="s">
        <v>435</v>
      </c>
      <c r="I96" s="55" t="s">
        <v>436</v>
      </c>
      <c r="J96" s="17" t="s">
        <v>21</v>
      </c>
      <c r="K96" s="19" t="n">
        <v>10</v>
      </c>
      <c r="L96" s="18" t="s">
        <v>405</v>
      </c>
      <c r="M96" s="15" t="s">
        <v>437</v>
      </c>
      <c r="N96" s="16"/>
    </row>
    <row r="97" customFormat="false" ht="108" hidden="false" customHeight="true" outlineLevel="0" collapsed="false">
      <c r="A97" s="10" t="s">
        <v>438</v>
      </c>
      <c r="B97" s="11" t="s">
        <v>54</v>
      </c>
      <c r="C97" s="11" t="s">
        <v>54</v>
      </c>
      <c r="D97" s="11" t="s">
        <v>16</v>
      </c>
      <c r="E97" s="12" t="s">
        <v>439</v>
      </c>
      <c r="F97" s="13" t="s">
        <v>97</v>
      </c>
      <c r="G97" s="13" t="s">
        <v>402</v>
      </c>
      <c r="H97" s="13" t="s">
        <v>435</v>
      </c>
      <c r="I97" s="52" t="s">
        <v>440</v>
      </c>
      <c r="J97" s="10" t="s">
        <v>40</v>
      </c>
      <c r="K97" s="14" t="n">
        <v>5</v>
      </c>
      <c r="L97" s="11" t="s">
        <v>22</v>
      </c>
      <c r="M97" s="15" t="s">
        <v>441</v>
      </c>
      <c r="N97" s="16"/>
    </row>
    <row r="98" customFormat="false" ht="135" hidden="false" customHeight="true" outlineLevel="0" collapsed="false">
      <c r="A98" s="10" t="s">
        <v>442</v>
      </c>
      <c r="B98" s="11" t="s">
        <v>54</v>
      </c>
      <c r="C98" s="11" t="s">
        <v>54</v>
      </c>
      <c r="D98" s="11" t="s">
        <v>16</v>
      </c>
      <c r="E98" s="12" t="s">
        <v>443</v>
      </c>
      <c r="F98" s="13" t="s">
        <v>97</v>
      </c>
      <c r="G98" s="13" t="s">
        <v>402</v>
      </c>
      <c r="H98" s="13" t="s">
        <v>435</v>
      </c>
      <c r="I98" s="52" t="s">
        <v>444</v>
      </c>
      <c r="J98" s="10" t="s">
        <v>40</v>
      </c>
      <c r="K98" s="14" t="n">
        <v>5</v>
      </c>
      <c r="L98" s="11" t="s">
        <v>97</v>
      </c>
      <c r="M98" s="15" t="s">
        <v>445</v>
      </c>
      <c r="N98" s="16"/>
    </row>
    <row r="99" customFormat="false" ht="256.5" hidden="false" customHeight="true" outlineLevel="0" collapsed="false">
      <c r="A99" s="33" t="s">
        <v>446</v>
      </c>
      <c r="B99" s="11" t="s">
        <v>295</v>
      </c>
      <c r="C99" s="11" t="s">
        <v>137</v>
      </c>
      <c r="D99" s="11" t="s">
        <v>16</v>
      </c>
      <c r="E99" s="12" t="s">
        <v>117</v>
      </c>
      <c r="F99" s="13" t="s">
        <v>97</v>
      </c>
      <c r="G99" s="13" t="s">
        <v>402</v>
      </c>
      <c r="H99" s="13" t="s">
        <v>447</v>
      </c>
      <c r="I99" s="56" t="s">
        <v>448</v>
      </c>
      <c r="J99" s="33" t="s">
        <v>21</v>
      </c>
      <c r="K99" s="34" t="n">
        <v>10</v>
      </c>
      <c r="L99" s="11" t="s">
        <v>22</v>
      </c>
      <c r="M99" s="15" t="s">
        <v>449</v>
      </c>
      <c r="N99" s="16"/>
    </row>
    <row r="100" customFormat="false" ht="216" hidden="false" customHeight="true" outlineLevel="0" collapsed="false">
      <c r="A100" s="33" t="s">
        <v>450</v>
      </c>
      <c r="B100" s="11" t="s">
        <v>311</v>
      </c>
      <c r="C100" s="11" t="s">
        <v>168</v>
      </c>
      <c r="D100" s="11" t="s">
        <v>16</v>
      </c>
      <c r="E100" s="12" t="s">
        <v>451</v>
      </c>
      <c r="F100" s="13" t="s">
        <v>97</v>
      </c>
      <c r="G100" s="13" t="s">
        <v>402</v>
      </c>
      <c r="H100" s="13" t="s">
        <v>447</v>
      </c>
      <c r="I100" s="56" t="s">
        <v>452</v>
      </c>
      <c r="J100" s="33" t="s">
        <v>21</v>
      </c>
      <c r="K100" s="34" t="n">
        <v>10</v>
      </c>
      <c r="L100" s="11" t="s">
        <v>22</v>
      </c>
      <c r="M100" s="15" t="s">
        <v>453</v>
      </c>
      <c r="N100" s="16" t="s">
        <v>454</v>
      </c>
    </row>
    <row r="101" customFormat="false" ht="54" hidden="false" customHeight="true" outlineLevel="0" collapsed="false">
      <c r="A101" s="33" t="s">
        <v>455</v>
      </c>
      <c r="B101" s="11" t="s">
        <v>325</v>
      </c>
      <c r="C101" s="11" t="s">
        <v>54</v>
      </c>
      <c r="D101" s="11" t="s">
        <v>16</v>
      </c>
      <c r="E101" s="12" t="s">
        <v>456</v>
      </c>
      <c r="F101" s="11" t="s">
        <v>97</v>
      </c>
      <c r="G101" s="13" t="s">
        <v>457</v>
      </c>
      <c r="H101" s="13" t="s">
        <v>458</v>
      </c>
      <c r="I101" s="11" t="s">
        <v>459</v>
      </c>
      <c r="J101" s="33" t="s">
        <v>21</v>
      </c>
      <c r="K101" s="34" t="n">
        <v>10</v>
      </c>
      <c r="L101" s="11" t="s">
        <v>97</v>
      </c>
      <c r="M101" s="15" t="s">
        <v>460</v>
      </c>
      <c r="N101" s="16"/>
    </row>
    <row r="102" customFormat="false" ht="162" hidden="false" customHeight="true" outlineLevel="0" collapsed="false">
      <c r="A102" s="33" t="s">
        <v>461</v>
      </c>
      <c r="B102" s="11" t="s">
        <v>388</v>
      </c>
      <c r="C102" s="11" t="s">
        <v>187</v>
      </c>
      <c r="D102" s="11" t="s">
        <v>16</v>
      </c>
      <c r="E102" s="12" t="s">
        <v>462</v>
      </c>
      <c r="F102" s="12" t="s">
        <v>463</v>
      </c>
      <c r="G102" s="13" t="s">
        <v>457</v>
      </c>
      <c r="H102" s="13" t="s">
        <v>458</v>
      </c>
      <c r="I102" s="11" t="s">
        <v>464</v>
      </c>
      <c r="J102" s="33" t="s">
        <v>21</v>
      </c>
      <c r="K102" s="34" t="n">
        <v>10</v>
      </c>
      <c r="L102" s="11" t="s">
        <v>465</v>
      </c>
      <c r="M102" s="15" t="s">
        <v>466</v>
      </c>
      <c r="N102" s="16"/>
    </row>
    <row r="103" customFormat="false" ht="40.5" hidden="false" customHeight="true" outlineLevel="0" collapsed="false">
      <c r="A103" s="33" t="s">
        <v>467</v>
      </c>
      <c r="B103" s="11" t="s">
        <v>401</v>
      </c>
      <c r="C103" s="11" t="s">
        <v>79</v>
      </c>
      <c r="D103" s="11" t="s">
        <v>16</v>
      </c>
      <c r="E103" s="12" t="s">
        <v>468</v>
      </c>
      <c r="F103" s="12" t="s">
        <v>463</v>
      </c>
      <c r="G103" s="13" t="s">
        <v>457</v>
      </c>
      <c r="H103" s="13" t="s">
        <v>469</v>
      </c>
      <c r="I103" s="18" t="s">
        <v>470</v>
      </c>
      <c r="J103" s="41" t="s">
        <v>21</v>
      </c>
      <c r="K103" s="42" t="n">
        <v>10</v>
      </c>
      <c r="L103" s="55" t="s">
        <v>97</v>
      </c>
      <c r="M103" s="57" t="s">
        <v>256</v>
      </c>
      <c r="N103" s="16"/>
    </row>
    <row r="104" customFormat="false" ht="121.5" hidden="false" customHeight="true" outlineLevel="0" collapsed="false">
      <c r="A104" s="33" t="s">
        <v>471</v>
      </c>
      <c r="B104" s="11" t="s">
        <v>54</v>
      </c>
      <c r="C104" s="11" t="s">
        <v>54</v>
      </c>
      <c r="D104" s="11" t="s">
        <v>16</v>
      </c>
      <c r="E104" s="12" t="s">
        <v>472</v>
      </c>
      <c r="F104" s="12" t="s">
        <v>463</v>
      </c>
      <c r="G104" s="13" t="s">
        <v>457</v>
      </c>
      <c r="H104" s="13" t="s">
        <v>469</v>
      </c>
      <c r="I104" s="21" t="s">
        <v>473</v>
      </c>
      <c r="J104" s="33" t="s">
        <v>40</v>
      </c>
      <c r="K104" s="34" t="n">
        <v>5</v>
      </c>
      <c r="L104" s="56" t="s">
        <v>97</v>
      </c>
      <c r="M104" s="58" t="s">
        <v>474</v>
      </c>
      <c r="N104" s="16"/>
    </row>
    <row r="105" customFormat="false" ht="148.5" hidden="false" customHeight="true" outlineLevel="0" collapsed="false">
      <c r="A105" s="33" t="s">
        <v>475</v>
      </c>
      <c r="B105" s="11" t="s">
        <v>54</v>
      </c>
      <c r="C105" s="11" t="s">
        <v>54</v>
      </c>
      <c r="D105" s="11" t="s">
        <v>16</v>
      </c>
      <c r="E105" s="12" t="s">
        <v>476</v>
      </c>
      <c r="F105" s="12" t="s">
        <v>463</v>
      </c>
      <c r="G105" s="13" t="s">
        <v>457</v>
      </c>
      <c r="H105" s="13" t="s">
        <v>469</v>
      </c>
      <c r="I105" s="21" t="s">
        <v>477</v>
      </c>
      <c r="J105" s="33" t="s">
        <v>40</v>
      </c>
      <c r="K105" s="34" t="n">
        <v>5</v>
      </c>
      <c r="L105" s="56" t="s">
        <v>97</v>
      </c>
      <c r="M105" s="58" t="s">
        <v>478</v>
      </c>
      <c r="N105" s="16"/>
    </row>
    <row r="106" customFormat="false" ht="409.5" hidden="false" customHeight="true" outlineLevel="0" collapsed="false">
      <c r="A106" s="59" t="s">
        <v>479</v>
      </c>
      <c r="B106" s="60" t="s">
        <v>408</v>
      </c>
      <c r="C106" s="60" t="s">
        <v>202</v>
      </c>
      <c r="D106" s="60" t="s">
        <v>16</v>
      </c>
      <c r="E106" s="61" t="s">
        <v>480</v>
      </c>
      <c r="F106" s="61" t="s">
        <v>463</v>
      </c>
      <c r="G106" s="62" t="s">
        <v>457</v>
      </c>
      <c r="H106" s="62" t="s">
        <v>481</v>
      </c>
      <c r="I106" s="11" t="s">
        <v>482</v>
      </c>
      <c r="J106" s="59" t="s">
        <v>21</v>
      </c>
      <c r="K106" s="63" t="n">
        <v>10</v>
      </c>
      <c r="L106" s="60" t="s">
        <v>22</v>
      </c>
      <c r="M106" s="64" t="s">
        <v>483</v>
      </c>
      <c r="N106" s="64" t="s">
        <v>484</v>
      </c>
      <c r="O106" s="65"/>
    </row>
    <row r="107" customFormat="false" ht="13.5" hidden="false" customHeight="true" outlineLevel="0" collapsed="false">
      <c r="A107" s="2"/>
      <c r="I107" s="49"/>
    </row>
    <row r="108" customFormat="false" ht="13.5" hidden="false" customHeight="true" outlineLevel="0" collapsed="false">
      <c r="A108" s="2"/>
    </row>
    <row r="109" customFormat="false" ht="13.5" hidden="false" customHeight="true" outlineLevel="0" collapsed="false">
      <c r="A109" s="2"/>
    </row>
    <row r="110" customFormat="false" ht="13.5" hidden="false" customHeight="true" outlineLevel="0" collapsed="false">
      <c r="A110" s="2"/>
    </row>
    <row r="111" customFormat="false" ht="13.5" hidden="false" customHeight="true" outlineLevel="0" collapsed="false">
      <c r="A111" s="2"/>
    </row>
    <row r="112" customFormat="false" ht="13.5" hidden="false" customHeight="true" outlineLevel="0" collapsed="false">
      <c r="A112" s="66"/>
      <c r="B112" s="67"/>
      <c r="C112" s="67"/>
      <c r="D112" s="67"/>
      <c r="I112" s="67"/>
      <c r="J112" s="66"/>
      <c r="K112" s="66"/>
      <c r="L112" s="67"/>
      <c r="M112" s="31"/>
    </row>
    <row r="113" customFormat="false" ht="13.5" hidden="false" customHeight="true" outlineLevel="0" collapsed="false">
      <c r="A113" s="66"/>
      <c r="B113" s="67"/>
      <c r="C113" s="67"/>
      <c r="D113" s="67"/>
      <c r="I113" s="67"/>
      <c r="J113" s="66"/>
      <c r="K113" s="66"/>
      <c r="L113" s="67"/>
      <c r="M113" s="31"/>
    </row>
    <row r="114" customFormat="false" ht="13.5" hidden="false" customHeight="true" outlineLevel="0" collapsed="false">
      <c r="A114" s="66"/>
      <c r="B114" s="67"/>
      <c r="C114" s="67"/>
      <c r="D114" s="67"/>
      <c r="I114" s="67"/>
      <c r="J114" s="66"/>
      <c r="K114" s="66"/>
      <c r="L114" s="67"/>
      <c r="M114" s="31"/>
    </row>
    <row r="115" customFormat="false" ht="13.5" hidden="false" customHeight="true" outlineLevel="0" collapsed="false">
      <c r="A115" s="66"/>
      <c r="B115" s="67"/>
      <c r="C115" s="67"/>
      <c r="D115" s="67"/>
      <c r="I115" s="67"/>
      <c r="J115" s="66"/>
      <c r="K115" s="66"/>
      <c r="L115" s="67"/>
      <c r="M115" s="31"/>
    </row>
    <row r="116" customFormat="false" ht="13.5" hidden="false" customHeight="true" outlineLevel="0" collapsed="false">
      <c r="A116" s="66"/>
      <c r="B116" s="67"/>
      <c r="C116" s="67"/>
      <c r="D116" s="67"/>
      <c r="I116" s="67"/>
      <c r="J116" s="66"/>
      <c r="K116" s="66"/>
      <c r="L116" s="67"/>
      <c r="M116" s="31"/>
    </row>
    <row r="117" customFormat="false" ht="13.5" hidden="false" customHeight="true" outlineLevel="0" collapsed="false">
      <c r="A117" s="66"/>
      <c r="B117" s="67"/>
      <c r="C117" s="67"/>
      <c r="D117" s="67"/>
      <c r="I117" s="67"/>
      <c r="J117" s="66"/>
      <c r="K117" s="66"/>
      <c r="L117" s="67"/>
      <c r="M117" s="31"/>
    </row>
    <row r="118" customFormat="false" ht="13.5" hidden="false" customHeight="true" outlineLevel="0" collapsed="false">
      <c r="A118" s="66"/>
      <c r="B118" s="67"/>
      <c r="C118" s="67"/>
      <c r="D118" s="67"/>
      <c r="I118" s="67"/>
      <c r="J118" s="66"/>
      <c r="K118" s="66"/>
      <c r="L118" s="67"/>
      <c r="M118" s="31"/>
    </row>
    <row r="119" customFormat="false" ht="13.5" hidden="false" customHeight="true" outlineLevel="0" collapsed="false">
      <c r="A119" s="66"/>
      <c r="B119" s="67"/>
      <c r="C119" s="67"/>
      <c r="D119" s="67"/>
      <c r="I119" s="67"/>
      <c r="J119" s="66"/>
      <c r="K119" s="66"/>
      <c r="L119" s="67"/>
      <c r="M119" s="31"/>
    </row>
    <row r="120" customFormat="false" ht="13.5" hidden="false" customHeight="true" outlineLevel="0" collapsed="false">
      <c r="A120" s="66"/>
      <c r="B120" s="67"/>
      <c r="C120" s="67"/>
      <c r="D120" s="67"/>
      <c r="I120" s="67"/>
      <c r="J120" s="66"/>
      <c r="K120" s="66"/>
      <c r="L120" s="67"/>
      <c r="M120" s="31"/>
    </row>
    <row r="121" customFormat="false" ht="13.5" hidden="false" customHeight="true" outlineLevel="0" collapsed="false">
      <c r="A121" s="66"/>
      <c r="B121" s="67"/>
      <c r="C121" s="67"/>
      <c r="D121" s="67"/>
      <c r="I121" s="67"/>
      <c r="J121" s="66"/>
      <c r="K121" s="66"/>
      <c r="L121" s="67"/>
      <c r="M121" s="31"/>
    </row>
    <row r="122" customFormat="false" ht="13.5" hidden="false" customHeight="true" outlineLevel="0" collapsed="false">
      <c r="A122" s="66"/>
      <c r="B122" s="67"/>
      <c r="C122" s="67"/>
      <c r="D122" s="67"/>
      <c r="I122" s="67"/>
      <c r="J122" s="66"/>
      <c r="K122" s="66"/>
      <c r="L122" s="67"/>
      <c r="M122" s="31"/>
    </row>
    <row r="123" customFormat="false" ht="13.5" hidden="false" customHeight="true" outlineLevel="0" collapsed="false">
      <c r="A123" s="66"/>
      <c r="B123" s="67"/>
      <c r="C123" s="67"/>
      <c r="D123" s="67"/>
      <c r="I123" s="67"/>
      <c r="J123" s="66"/>
      <c r="K123" s="66"/>
      <c r="L123" s="67"/>
      <c r="M123" s="31"/>
    </row>
    <row r="124" customFormat="false" ht="13.5" hidden="false" customHeight="true" outlineLevel="0" collapsed="false">
      <c r="A124" s="66"/>
      <c r="B124" s="67"/>
      <c r="C124" s="67"/>
      <c r="D124" s="67"/>
      <c r="I124" s="67"/>
      <c r="J124" s="66"/>
      <c r="K124" s="66"/>
      <c r="L124" s="67"/>
      <c r="M124" s="31"/>
    </row>
    <row r="125" customFormat="false" ht="13.5" hidden="false" customHeight="true" outlineLevel="0" collapsed="false">
      <c r="A125" s="66"/>
      <c r="B125" s="67"/>
      <c r="C125" s="67"/>
      <c r="D125" s="67"/>
      <c r="I125" s="67"/>
      <c r="J125" s="66"/>
      <c r="K125" s="66"/>
      <c r="L125" s="67"/>
      <c r="M125" s="31"/>
    </row>
    <row r="126" customFormat="false" ht="13.5" hidden="false" customHeight="true" outlineLevel="0" collapsed="false">
      <c r="A126" s="66"/>
      <c r="B126" s="67"/>
      <c r="C126" s="67"/>
      <c r="D126" s="67"/>
      <c r="I126" s="67"/>
      <c r="J126" s="66"/>
      <c r="K126" s="66"/>
      <c r="L126" s="67"/>
      <c r="M126" s="31"/>
    </row>
    <row r="127" customFormat="false" ht="13.5" hidden="false" customHeight="true" outlineLevel="0" collapsed="false">
      <c r="A127" s="66"/>
      <c r="B127" s="67"/>
      <c r="C127" s="67"/>
      <c r="D127" s="67"/>
      <c r="I127" s="67"/>
      <c r="J127" s="66"/>
      <c r="K127" s="66"/>
      <c r="L127" s="67"/>
      <c r="M127" s="31"/>
    </row>
    <row r="128" customFormat="false" ht="13.5" hidden="false" customHeight="true" outlineLevel="0" collapsed="false">
      <c r="A128" s="66"/>
      <c r="B128" s="67"/>
      <c r="C128" s="67"/>
      <c r="D128" s="67"/>
      <c r="I128" s="67"/>
      <c r="J128" s="66"/>
      <c r="K128" s="66"/>
      <c r="L128" s="67"/>
      <c r="M128" s="31"/>
    </row>
    <row r="129" customFormat="false" ht="13.5" hidden="false" customHeight="true" outlineLevel="0" collapsed="false">
      <c r="A129" s="66"/>
      <c r="B129" s="67"/>
      <c r="C129" s="67"/>
      <c r="D129" s="67"/>
      <c r="I129" s="67"/>
      <c r="J129" s="66"/>
      <c r="K129" s="66"/>
      <c r="L129" s="67"/>
      <c r="M129" s="31"/>
    </row>
    <row r="130" customFormat="false" ht="13.5" hidden="false" customHeight="true" outlineLevel="0" collapsed="false">
      <c r="A130" s="66"/>
      <c r="B130" s="67"/>
      <c r="C130" s="67"/>
      <c r="D130" s="67"/>
      <c r="I130" s="67"/>
      <c r="J130" s="66"/>
      <c r="K130" s="66"/>
      <c r="L130" s="67"/>
      <c r="M130" s="31"/>
    </row>
    <row r="131" customFormat="false" ht="13.5" hidden="false" customHeight="true" outlineLevel="0" collapsed="false">
      <c r="A131" s="66"/>
      <c r="B131" s="67"/>
      <c r="C131" s="67"/>
      <c r="D131" s="67"/>
      <c r="I131" s="67"/>
      <c r="J131" s="66"/>
      <c r="K131" s="66"/>
      <c r="L131" s="67"/>
      <c r="M131" s="31"/>
    </row>
    <row r="132" customFormat="false" ht="13.5" hidden="false" customHeight="true" outlineLevel="0" collapsed="false">
      <c r="A132" s="66"/>
      <c r="B132" s="67"/>
      <c r="C132" s="67"/>
      <c r="D132" s="67"/>
      <c r="I132" s="67"/>
      <c r="J132" s="66"/>
      <c r="K132" s="66"/>
      <c r="L132" s="67"/>
      <c r="M132" s="31"/>
    </row>
    <row r="133" customFormat="false" ht="13.5" hidden="false" customHeight="true" outlineLevel="0" collapsed="false">
      <c r="A133" s="66"/>
      <c r="B133" s="67"/>
      <c r="C133" s="67"/>
      <c r="D133" s="67"/>
      <c r="I133" s="67"/>
      <c r="J133" s="66"/>
      <c r="K133" s="66"/>
      <c r="L133" s="67"/>
      <c r="M133" s="31"/>
    </row>
    <row r="134" customFormat="false" ht="13.5" hidden="false" customHeight="true" outlineLevel="0" collapsed="false">
      <c r="A134" s="66"/>
      <c r="B134" s="67"/>
      <c r="C134" s="67"/>
      <c r="D134" s="67"/>
      <c r="I134" s="67"/>
      <c r="J134" s="66"/>
      <c r="K134" s="66"/>
      <c r="L134" s="67"/>
      <c r="M134" s="31"/>
    </row>
    <row r="135" customFormat="false" ht="13.5" hidden="false" customHeight="true" outlineLevel="0" collapsed="false">
      <c r="A135" s="66"/>
      <c r="B135" s="67"/>
      <c r="C135" s="67"/>
      <c r="D135" s="67"/>
      <c r="I135" s="67"/>
      <c r="J135" s="66"/>
      <c r="K135" s="66"/>
      <c r="L135" s="67"/>
      <c r="M135" s="31"/>
    </row>
    <row r="136" customFormat="false" ht="13.5" hidden="false" customHeight="true" outlineLevel="0" collapsed="false">
      <c r="A136" s="66"/>
      <c r="B136" s="67"/>
      <c r="C136" s="67"/>
      <c r="D136" s="67"/>
      <c r="I136" s="67"/>
      <c r="J136" s="66"/>
      <c r="K136" s="66"/>
      <c r="L136" s="67"/>
      <c r="M136" s="31" t="s">
        <v>485</v>
      </c>
    </row>
    <row r="137" customFormat="false" ht="13.5" hidden="false" customHeight="true" outlineLevel="0" collapsed="false">
      <c r="A137" s="66"/>
      <c r="B137" s="67"/>
      <c r="C137" s="67"/>
      <c r="D137" s="67"/>
      <c r="I137" s="67"/>
      <c r="J137" s="66"/>
      <c r="K137" s="66"/>
      <c r="L137" s="67"/>
      <c r="M137" s="31"/>
    </row>
    <row r="138" customFormat="false" ht="13.5" hidden="false" customHeight="true" outlineLevel="0" collapsed="false">
      <c r="A138" s="66"/>
      <c r="B138" s="67"/>
      <c r="C138" s="67"/>
      <c r="D138" s="67"/>
      <c r="I138" s="67"/>
      <c r="J138" s="66"/>
      <c r="K138" s="66"/>
      <c r="L138" s="67"/>
      <c r="M138" s="31"/>
    </row>
    <row r="139" customFormat="false" ht="13.5" hidden="false" customHeight="true" outlineLevel="0" collapsed="false">
      <c r="A139" s="66"/>
      <c r="B139" s="67"/>
      <c r="C139" s="67"/>
      <c r="D139" s="67"/>
      <c r="I139" s="67"/>
      <c r="J139" s="66"/>
      <c r="K139" s="66"/>
      <c r="L139" s="67"/>
      <c r="M139" s="31"/>
    </row>
    <row r="140" customFormat="false" ht="13.5" hidden="false" customHeight="true" outlineLevel="0" collapsed="false">
      <c r="A140" s="66"/>
      <c r="B140" s="67"/>
      <c r="C140" s="67"/>
      <c r="D140" s="67"/>
      <c r="I140" s="67"/>
      <c r="J140" s="66"/>
      <c r="K140" s="66"/>
      <c r="L140" s="67"/>
      <c r="M140" s="31"/>
    </row>
    <row r="141" customFormat="false" ht="13.5" hidden="false" customHeight="true" outlineLevel="0" collapsed="false">
      <c r="A141" s="66"/>
      <c r="B141" s="67"/>
      <c r="C141" s="67"/>
      <c r="D141" s="67"/>
      <c r="I141" s="67"/>
      <c r="J141" s="66"/>
      <c r="K141" s="66"/>
      <c r="L141" s="67"/>
      <c r="M141" s="31"/>
    </row>
    <row r="142" customFormat="false" ht="13.5" hidden="false" customHeight="true" outlineLevel="0" collapsed="false">
      <c r="A142" s="66"/>
      <c r="B142" s="67"/>
      <c r="C142" s="67"/>
      <c r="D142" s="67"/>
      <c r="I142" s="67"/>
      <c r="J142" s="66"/>
      <c r="K142" s="66"/>
      <c r="L142" s="67"/>
      <c r="M142" s="31"/>
    </row>
    <row r="143" customFormat="false" ht="13.5" hidden="false" customHeight="true" outlineLevel="0" collapsed="false">
      <c r="A143" s="66"/>
      <c r="B143" s="67"/>
      <c r="C143" s="67"/>
      <c r="D143" s="67"/>
      <c r="I143" s="67"/>
      <c r="J143" s="66"/>
      <c r="K143" s="66"/>
      <c r="L143" s="67"/>
      <c r="M143" s="31" t="s">
        <v>485</v>
      </c>
    </row>
    <row r="144" customFormat="false" ht="13.5" hidden="false" customHeight="true" outlineLevel="0" collapsed="false">
      <c r="A144" s="66"/>
      <c r="B144" s="67"/>
      <c r="C144" s="67"/>
      <c r="D144" s="67"/>
      <c r="I144" s="67"/>
      <c r="J144" s="66"/>
      <c r="K144" s="66"/>
      <c r="L144" s="67"/>
      <c r="M144" s="31"/>
    </row>
    <row r="145" customFormat="false" ht="13.5" hidden="false" customHeight="true" outlineLevel="0" collapsed="false">
      <c r="A145" s="66"/>
      <c r="B145" s="67"/>
      <c r="C145" s="67"/>
      <c r="D145" s="67"/>
      <c r="I145" s="67"/>
      <c r="J145" s="66"/>
      <c r="K145" s="66"/>
      <c r="L145" s="67"/>
      <c r="M145" s="31"/>
    </row>
    <row r="146" customFormat="false" ht="13.5" hidden="false" customHeight="true" outlineLevel="0" collapsed="false">
      <c r="A146" s="66"/>
      <c r="B146" s="67"/>
      <c r="C146" s="67"/>
      <c r="D146" s="67"/>
      <c r="I146" s="67"/>
      <c r="J146" s="66"/>
      <c r="K146" s="66"/>
      <c r="L146" s="67"/>
      <c r="M146" s="31"/>
    </row>
    <row r="147" customFormat="false" ht="13.5" hidden="false" customHeight="true" outlineLevel="0" collapsed="false">
      <c r="A147" s="66"/>
      <c r="B147" s="67"/>
      <c r="C147" s="67"/>
      <c r="D147" s="67"/>
      <c r="I147" s="67"/>
      <c r="J147" s="66"/>
      <c r="K147" s="66"/>
      <c r="L147" s="67"/>
      <c r="M147" s="31"/>
    </row>
    <row r="148" customFormat="false" ht="13.5" hidden="false" customHeight="true" outlineLevel="0" collapsed="false">
      <c r="A148" s="66"/>
      <c r="B148" s="67"/>
      <c r="C148" s="67"/>
      <c r="D148" s="67"/>
      <c r="I148" s="67"/>
      <c r="J148" s="66"/>
      <c r="K148" s="66"/>
      <c r="L148" s="67"/>
      <c r="M148" s="31"/>
    </row>
    <row r="149" customFormat="false" ht="13.5" hidden="false" customHeight="true" outlineLevel="0" collapsed="false">
      <c r="A149" s="66"/>
      <c r="B149" s="67"/>
      <c r="C149" s="67"/>
      <c r="D149" s="67"/>
      <c r="I149" s="67"/>
      <c r="J149" s="66"/>
      <c r="K149" s="66"/>
      <c r="L149" s="67"/>
      <c r="M149" s="31" t="s">
        <v>485</v>
      </c>
    </row>
    <row r="150" customFormat="false" ht="13.5" hidden="false" customHeight="true" outlineLevel="0" collapsed="false">
      <c r="A150" s="66"/>
      <c r="B150" s="67"/>
      <c r="C150" s="67"/>
      <c r="D150" s="67"/>
      <c r="I150" s="67"/>
      <c r="J150" s="66"/>
      <c r="K150" s="66"/>
      <c r="L150" s="67"/>
      <c r="M150" s="31"/>
    </row>
    <row r="151" customFormat="false" ht="13.5" hidden="false" customHeight="true" outlineLevel="0" collapsed="false">
      <c r="A151" s="66"/>
      <c r="B151" s="67"/>
      <c r="C151" s="67"/>
      <c r="D151" s="67"/>
      <c r="I151" s="67"/>
      <c r="J151" s="66"/>
      <c r="K151" s="66"/>
      <c r="L151" s="67"/>
      <c r="M151" s="31"/>
    </row>
    <row r="152" customFormat="false" ht="13.5" hidden="false" customHeight="true" outlineLevel="0" collapsed="false">
      <c r="A152" s="66"/>
      <c r="B152" s="67"/>
      <c r="C152" s="67"/>
      <c r="D152" s="67"/>
      <c r="I152" s="67"/>
      <c r="J152" s="66"/>
      <c r="K152" s="66"/>
      <c r="L152" s="67"/>
      <c r="M152" s="31"/>
    </row>
    <row r="153" customFormat="false" ht="13.5" hidden="false" customHeight="true" outlineLevel="0" collapsed="false">
      <c r="A153" s="66"/>
      <c r="B153" s="67"/>
      <c r="C153" s="67"/>
      <c r="D153" s="67"/>
      <c r="I153" s="67"/>
      <c r="J153" s="66"/>
      <c r="K153" s="66"/>
      <c r="L153" s="67"/>
      <c r="M153" s="31"/>
    </row>
    <row r="154" customFormat="false" ht="13.5" hidden="false" customHeight="true" outlineLevel="0" collapsed="false">
      <c r="A154" s="66"/>
      <c r="B154" s="67"/>
      <c r="C154" s="67"/>
      <c r="D154" s="67"/>
      <c r="I154" s="67"/>
      <c r="J154" s="66"/>
      <c r="K154" s="66"/>
      <c r="L154" s="67"/>
      <c r="M154" s="31"/>
    </row>
    <row r="155" customFormat="false" ht="13.5" hidden="false" customHeight="true" outlineLevel="0" collapsed="false">
      <c r="A155" s="66"/>
      <c r="B155" s="67"/>
      <c r="C155" s="67"/>
      <c r="D155" s="67"/>
      <c r="I155" s="67"/>
      <c r="J155" s="66"/>
      <c r="K155" s="66"/>
      <c r="L155" s="67"/>
      <c r="M155" s="31"/>
    </row>
    <row r="156" customFormat="false" ht="13.5" hidden="false" customHeight="true" outlineLevel="0" collapsed="false">
      <c r="A156" s="66"/>
      <c r="B156" s="67"/>
      <c r="C156" s="67"/>
      <c r="D156" s="67"/>
      <c r="I156" s="67"/>
      <c r="J156" s="66"/>
      <c r="K156" s="66"/>
      <c r="L156" s="67"/>
      <c r="M156" s="31"/>
    </row>
    <row r="157" customFormat="false" ht="13.5" hidden="false" customHeight="true" outlineLevel="0" collapsed="false">
      <c r="A157" s="66"/>
      <c r="B157" s="67"/>
      <c r="C157" s="67"/>
      <c r="D157" s="67"/>
      <c r="I157" s="67"/>
      <c r="J157" s="66"/>
      <c r="K157" s="66"/>
      <c r="L157" s="67"/>
      <c r="M157" s="31"/>
    </row>
    <row r="158" customFormat="false" ht="13.5" hidden="false" customHeight="true" outlineLevel="0" collapsed="false">
      <c r="A158" s="66"/>
      <c r="B158" s="67"/>
      <c r="C158" s="67"/>
      <c r="D158" s="67"/>
      <c r="I158" s="67"/>
      <c r="J158" s="66"/>
      <c r="K158" s="66"/>
      <c r="L158" s="67"/>
      <c r="M158" s="31"/>
    </row>
    <row r="159" customFormat="false" ht="13.5" hidden="false" customHeight="true" outlineLevel="0" collapsed="false">
      <c r="A159" s="66"/>
      <c r="B159" s="67"/>
      <c r="C159" s="67"/>
      <c r="D159" s="67"/>
      <c r="I159" s="67"/>
      <c r="J159" s="66"/>
      <c r="K159" s="66"/>
      <c r="L159" s="67"/>
      <c r="M159" s="31"/>
    </row>
    <row r="160" customFormat="false" ht="13.5" hidden="false" customHeight="true" outlineLevel="0" collapsed="false">
      <c r="A160" s="66"/>
      <c r="B160" s="67"/>
      <c r="C160" s="67"/>
      <c r="D160" s="67"/>
      <c r="I160" s="67"/>
      <c r="J160" s="66"/>
      <c r="K160" s="66"/>
      <c r="L160" s="67"/>
      <c r="M160" s="31"/>
    </row>
    <row r="161" customFormat="false" ht="13.5" hidden="false" customHeight="true" outlineLevel="0" collapsed="false">
      <c r="A161" s="66"/>
      <c r="B161" s="67"/>
      <c r="C161" s="67"/>
      <c r="D161" s="67"/>
      <c r="I161" s="67"/>
      <c r="J161" s="66"/>
      <c r="K161" s="66"/>
      <c r="L161" s="67"/>
      <c r="M161" s="31"/>
    </row>
    <row r="162" customFormat="false" ht="13.5" hidden="false" customHeight="true" outlineLevel="0" collapsed="false">
      <c r="A162" s="66"/>
      <c r="B162" s="67"/>
      <c r="C162" s="67"/>
      <c r="D162" s="67"/>
      <c r="I162" s="67"/>
      <c r="J162" s="66"/>
      <c r="K162" s="66"/>
      <c r="L162" s="67"/>
      <c r="M162" s="31"/>
    </row>
    <row r="163" customFormat="false" ht="13.5" hidden="false" customHeight="true" outlineLevel="0" collapsed="false">
      <c r="A163" s="66"/>
      <c r="B163" s="67"/>
      <c r="C163" s="67"/>
      <c r="D163" s="67"/>
      <c r="I163" s="67"/>
      <c r="J163" s="66"/>
      <c r="K163" s="66"/>
      <c r="L163" s="67"/>
      <c r="M163" s="31"/>
    </row>
    <row r="164" customFormat="false" ht="13.5" hidden="false" customHeight="true" outlineLevel="0" collapsed="false">
      <c r="A164" s="66"/>
      <c r="B164" s="67"/>
      <c r="C164" s="67"/>
      <c r="D164" s="67"/>
      <c r="I164" s="67"/>
      <c r="J164" s="66"/>
      <c r="K164" s="66"/>
      <c r="L164" s="67"/>
      <c r="M164" s="31"/>
    </row>
    <row r="165" customFormat="false" ht="13.5" hidden="false" customHeight="true" outlineLevel="0" collapsed="false">
      <c r="A165" s="66"/>
      <c r="B165" s="67"/>
      <c r="C165" s="67"/>
      <c r="D165" s="67"/>
      <c r="I165" s="67"/>
      <c r="J165" s="66"/>
      <c r="K165" s="66"/>
      <c r="L165" s="67"/>
      <c r="M165" s="31"/>
    </row>
    <row r="166" customFormat="false" ht="13.5" hidden="false" customHeight="true" outlineLevel="0" collapsed="false">
      <c r="A166" s="66"/>
      <c r="B166" s="67"/>
      <c r="C166" s="67"/>
      <c r="D166" s="67"/>
      <c r="I166" s="67"/>
      <c r="J166" s="66"/>
      <c r="K166" s="66"/>
      <c r="L166" s="67"/>
      <c r="M166" s="31"/>
    </row>
    <row r="167" customFormat="false" ht="13.5" hidden="false" customHeight="true" outlineLevel="0" collapsed="false">
      <c r="A167" s="66"/>
      <c r="B167" s="67"/>
      <c r="C167" s="67"/>
      <c r="D167" s="67"/>
      <c r="I167" s="67"/>
      <c r="J167" s="66"/>
      <c r="K167" s="66"/>
      <c r="L167" s="67"/>
      <c r="M167" s="31"/>
    </row>
    <row r="168" customFormat="false" ht="13.5" hidden="false" customHeight="true" outlineLevel="0" collapsed="false">
      <c r="A168" s="66"/>
      <c r="B168" s="67"/>
      <c r="C168" s="67"/>
      <c r="D168" s="67"/>
      <c r="I168" s="67"/>
      <c r="J168" s="66"/>
      <c r="K168" s="66"/>
      <c r="L168" s="67"/>
      <c r="M168" s="31"/>
    </row>
    <row r="169" customFormat="false" ht="13.5" hidden="false" customHeight="true" outlineLevel="0" collapsed="false">
      <c r="A169" s="66"/>
      <c r="B169" s="67"/>
      <c r="C169" s="67"/>
      <c r="D169" s="67"/>
      <c r="I169" s="67"/>
      <c r="J169" s="66"/>
      <c r="K169" s="66"/>
      <c r="L169" s="67"/>
      <c r="M169" s="31"/>
    </row>
    <row r="170" customFormat="false" ht="13.5" hidden="false" customHeight="true" outlineLevel="0" collapsed="false">
      <c r="A170" s="66"/>
      <c r="B170" s="67"/>
      <c r="C170" s="67"/>
      <c r="D170" s="67"/>
      <c r="I170" s="67"/>
      <c r="J170" s="66"/>
      <c r="K170" s="66"/>
      <c r="L170" s="67"/>
      <c r="M170" s="31"/>
    </row>
    <row r="171" customFormat="false" ht="13.5" hidden="false" customHeight="true" outlineLevel="0" collapsed="false">
      <c r="A171" s="66"/>
      <c r="B171" s="67"/>
      <c r="C171" s="67"/>
      <c r="D171" s="67"/>
      <c r="I171" s="67"/>
      <c r="J171" s="66"/>
      <c r="K171" s="66"/>
      <c r="L171" s="67"/>
      <c r="M171" s="31" t="s">
        <v>485</v>
      </c>
    </row>
    <row r="172" customFormat="false" ht="13.5" hidden="false" customHeight="true" outlineLevel="0" collapsed="false">
      <c r="A172" s="66"/>
      <c r="B172" s="67"/>
      <c r="C172" s="67"/>
      <c r="D172" s="67"/>
      <c r="I172" s="67"/>
      <c r="J172" s="66"/>
      <c r="K172" s="66"/>
      <c r="L172" s="67"/>
      <c r="M172" s="31"/>
    </row>
    <row r="173" customFormat="false" ht="13.5" hidden="false" customHeight="true" outlineLevel="0" collapsed="false">
      <c r="A173" s="66"/>
      <c r="B173" s="67"/>
      <c r="C173" s="67"/>
      <c r="D173" s="67"/>
      <c r="I173" s="67"/>
      <c r="J173" s="66"/>
      <c r="K173" s="66"/>
      <c r="L173" s="67"/>
      <c r="M173" s="31"/>
    </row>
    <row r="174" customFormat="false" ht="13.5" hidden="false" customHeight="true" outlineLevel="0" collapsed="false">
      <c r="A174" s="66"/>
      <c r="B174" s="67"/>
      <c r="C174" s="67"/>
      <c r="D174" s="67"/>
      <c r="I174" s="67"/>
      <c r="J174" s="66"/>
      <c r="K174" s="66"/>
      <c r="L174" s="67"/>
      <c r="M174" s="31" t="s">
        <v>485</v>
      </c>
    </row>
    <row r="175" customFormat="false" ht="13.5" hidden="false" customHeight="true" outlineLevel="0" collapsed="false">
      <c r="A175" s="66"/>
      <c r="B175" s="67"/>
      <c r="C175" s="67"/>
      <c r="D175" s="67"/>
      <c r="I175" s="67"/>
      <c r="J175" s="66"/>
      <c r="K175" s="66"/>
      <c r="L175" s="67"/>
      <c r="M175" s="31"/>
    </row>
    <row r="176" customFormat="false" ht="13.5" hidden="false" customHeight="true" outlineLevel="0" collapsed="false">
      <c r="A176" s="66"/>
      <c r="B176" s="67"/>
      <c r="C176" s="67"/>
      <c r="D176" s="67"/>
      <c r="I176" s="67"/>
      <c r="J176" s="66"/>
      <c r="K176" s="66"/>
      <c r="L176" s="67"/>
      <c r="M176" s="31"/>
    </row>
  </sheetData>
  <autoFilter ref="A1:N10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2" topLeftCell="I5" activePane="bottomRight" state="frozen"/>
      <selection pane="topLeft" activeCell="A1" activeCellId="0" sqref="A1"/>
      <selection pane="topRight" activeCell="I1" activeCellId="0" sqref="I1"/>
      <selection pane="bottomLeft" activeCell="A5" activeCellId="0" sqref="A5"/>
      <selection pane="bottomRight" activeCell="F4" activeCellId="0" sqref="F4"/>
    </sheetView>
  </sheetViews>
  <sheetFormatPr defaultColWidth="8.5703125" defaultRowHeight="14.25" customHeight="false" zeroHeight="false" outlineLevelRow="0" outlineLevelCol="0"/>
  <cols>
    <col collapsed="false" customWidth="true" hidden="false" outlineLevel="0" max="1" min="1" style="68" width="11.43"/>
    <col collapsed="false" customWidth="true" hidden="false" outlineLevel="0" max="2" min="2" style="68" width="12"/>
    <col collapsed="false" customWidth="true" hidden="false" outlineLevel="0" max="3" min="3" style="68" width="18"/>
    <col collapsed="false" customWidth="true" hidden="false" outlineLevel="0" max="4" min="4" style="68" width="14"/>
    <col collapsed="false" customWidth="true" hidden="false" outlineLevel="0" max="5" min="5" style="68" width="7"/>
    <col collapsed="false" customWidth="true" hidden="false" outlineLevel="0" max="6" min="6" style="68" width="60"/>
    <col collapsed="false" customWidth="true" hidden="false" outlineLevel="0" max="7" min="7" style="68" width="12"/>
    <col collapsed="false" customWidth="true" hidden="false" outlineLevel="0" max="8" min="8" style="68" width="8"/>
    <col collapsed="false" customWidth="true" hidden="false" outlineLevel="0" max="37" min="9" style="68" width="6.57"/>
  </cols>
  <sheetData>
    <row r="1" customFormat="false" ht="93.75" hidden="false" customHeight="true" outlineLevel="0" collapsed="false">
      <c r="A1" s="69" t="s">
        <v>4</v>
      </c>
      <c r="B1" s="69" t="s">
        <v>5</v>
      </c>
      <c r="C1" s="69" t="s">
        <v>6</v>
      </c>
      <c r="D1" s="69" t="s">
        <v>7</v>
      </c>
      <c r="E1" s="69" t="s">
        <v>9</v>
      </c>
      <c r="F1" s="69" t="s">
        <v>8</v>
      </c>
      <c r="G1" s="69" t="s">
        <v>11</v>
      </c>
      <c r="H1" s="69" t="s">
        <v>10</v>
      </c>
      <c r="I1" s="70" t="s">
        <v>486</v>
      </c>
      <c r="J1" s="70" t="s">
        <v>487</v>
      </c>
      <c r="K1" s="70" t="s">
        <v>488</v>
      </c>
      <c r="L1" s="70" t="s">
        <v>489</v>
      </c>
      <c r="M1" s="70" t="s">
        <v>490</v>
      </c>
      <c r="N1" s="70" t="s">
        <v>491</v>
      </c>
      <c r="O1" s="70" t="s">
        <v>492</v>
      </c>
      <c r="P1" s="70" t="s">
        <v>493</v>
      </c>
      <c r="Q1" s="70" t="s">
        <v>494</v>
      </c>
      <c r="R1" s="70" t="s">
        <v>495</v>
      </c>
      <c r="S1" s="70" t="s">
        <v>496</v>
      </c>
      <c r="T1" s="70" t="s">
        <v>497</v>
      </c>
      <c r="U1" s="70" t="s">
        <v>498</v>
      </c>
      <c r="V1" s="70" t="s">
        <v>499</v>
      </c>
      <c r="W1" s="70" t="s">
        <v>500</v>
      </c>
      <c r="X1" s="70" t="s">
        <v>501</v>
      </c>
      <c r="Y1" s="70" t="s">
        <v>502</v>
      </c>
      <c r="Z1" s="70" t="s">
        <v>503</v>
      </c>
      <c r="AA1" s="70" t="s">
        <v>504</v>
      </c>
      <c r="AB1" s="70" t="s">
        <v>505</v>
      </c>
      <c r="AC1" s="70" t="s">
        <v>506</v>
      </c>
      <c r="AD1" s="70" t="s">
        <v>507</v>
      </c>
      <c r="AE1" s="70" t="s">
        <v>508</v>
      </c>
      <c r="AF1" s="70" t="s">
        <v>509</v>
      </c>
      <c r="AG1" s="70" t="s">
        <v>510</v>
      </c>
      <c r="AH1" s="70" t="s">
        <v>511</v>
      </c>
      <c r="AI1" s="70" t="s">
        <v>512</v>
      </c>
      <c r="AJ1" s="70" t="s">
        <v>513</v>
      </c>
      <c r="AK1" s="70" t="s">
        <v>514</v>
      </c>
    </row>
    <row r="2" customFormat="false" ht="14.25" hidden="false" customHeight="true" outlineLevel="0" collapsed="false">
      <c r="A2" s="71" t="s">
        <v>515</v>
      </c>
      <c r="B2" s="72" t="s">
        <v>516</v>
      </c>
      <c r="C2" s="72" t="s">
        <v>516</v>
      </c>
      <c r="D2" s="72" t="s">
        <v>516</v>
      </c>
      <c r="E2" s="72" t="s">
        <v>516</v>
      </c>
      <c r="F2" s="72" t="s">
        <v>516</v>
      </c>
      <c r="G2" s="72" t="s">
        <v>516</v>
      </c>
      <c r="H2" s="72" t="s">
        <v>516</v>
      </c>
      <c r="I2" s="73" t="s">
        <v>516</v>
      </c>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row>
    <row r="3" customFormat="false" ht="25.5" hidden="false" customHeight="true" outlineLevel="0" collapsed="false">
      <c r="A3" s="74" t="s">
        <v>15</v>
      </c>
      <c r="B3" s="75" t="str">
        <f aca="false">IF(ISBLANK($A3),"NO_CODE",VLOOKUP($A3,'UPD Questions_290926 '!$E$1:$N$300,MATCH(B$1,'UPD Questions_290926 '!$E$1:$N$1,0),0)&amp;"")</f>
        <v>Planning </v>
      </c>
      <c r="C3" s="76" t="str">
        <f aca="false">IF(ISBLANK($A3),"NO_CODE",VLOOKUP($A3,'UPD Questions_290926 '!$E$1:$N$300,MATCH(C$1,'UPD Questions_290926 '!$E$1:$N$1,0),0)&amp;"")</f>
        <v>Legal and institutional planning architecture</v>
      </c>
      <c r="D3" s="75" t="str">
        <f aca="false">IF(ISBLANK($A3),"NO_CODE",VLOOKUP($A3,'UPD Questions_290926 '!$E$1:$N$300,MATCH(D$1,'UPD Questions_290926 '!$E$1:$N$1,0),0)&amp;"")</f>
        <v>State-level planning framework</v>
      </c>
      <c r="E3" s="75" t="str">
        <f aca="false">IF(ISBLANK($A3),"NO_CODE",VLOOKUP($A3,'UPD Questions_290926 '!$E$1:$N$300,MATCH(E$1,'UPD Questions_290926 '!$E$1:$N$1,0),0)&amp;"")</f>
        <v>MQ</v>
      </c>
      <c r="F3" s="75" t="str">
        <f aca="false">IF(ISBLANK($A3),"NO_CODE",VLOOKUP($A3,'UPD Questions_290926 '!$E$1:$N$300,MATCH(F$1,'UPD Questions_290926 '!$E$1:$N$1,0),0)&amp;"")</f>
        <v>Is there a provision for a State Spatial Planning Board which is mandated with planning policies and reforms for the state?</v>
      </c>
      <c r="G3" s="75" t="str">
        <f aca="false">IF(ISBLANK($A3),"NO_CODE",VLOOKUP($A3,'UPD Questions_290926 '!$E$1:$N$300,MATCH(G$1,'UPD Questions_290926 '!$E$1:$N$1,0),0)&amp;"")</f>
        <v>Law or Policy</v>
      </c>
      <c r="H3" s="77" t="n">
        <f aca="false">IF(ISBLANK($A3),"NO_CODE",VLOOKUP($A3,'UPD Questions_290926 '!$E$1:$N$300,MATCH(H$1,'UPD Questions_290926 '!$E$1:$N$1,0),0))</f>
        <v>10</v>
      </c>
      <c r="I3" s="78" t="str">
        <f aca="true">IF($H3=0,"NA",IF($A3=INDIRECT("'"&amp;$A3&amp;"'!$B$1"),IF(VLOOKUP(I$1,INDIRECT("'"&amp;$A3&amp;"'!$A$12:$Z$41"),MATCH("Points (Auto-generate)",INDIRECT("'"&amp;$A3&amp;"'!$A$12:$Z$12"),0),0)="","?",VLOOKUP(I$1,INDIRECT("'"&amp;$A3&amp;"'!$A$12:$Z$41"),MATCH("Points (Auto-generate)",INDIRECT("'"&amp;$A3&amp;"'!$A$12:$Z$12"),0),0)),"ER"))</f>
        <v>?</v>
      </c>
      <c r="J3" s="78" t="str">
        <f aca="true">IF($H3=0,"NA",IF($A3=INDIRECT("'"&amp;$A3&amp;"'!$B$1"),IF(VLOOKUP(J$1,INDIRECT("'"&amp;$A3&amp;"'!$A$12:$Z$41"),MATCH("Points (Auto-generate)",INDIRECT("'"&amp;$A3&amp;"'!$A$12:$Z$12"),0),0)="","?",VLOOKUP(J$1,INDIRECT("'"&amp;$A3&amp;"'!$A$12:$Z$41"),MATCH("Points (Auto-generate)",INDIRECT("'"&amp;$A3&amp;"'!$A$12:$Z$12"),0),0)),"ER"))</f>
        <v>?</v>
      </c>
      <c r="K3" s="78" t="str">
        <f aca="true">IF($H3=0,"NA",IF($A3=INDIRECT("'"&amp;$A3&amp;"'!$B$1"),IF(VLOOKUP(K$1,INDIRECT("'"&amp;$A3&amp;"'!$A$12:$Z$41"),MATCH("Points (Auto-generate)",INDIRECT("'"&amp;$A3&amp;"'!$A$12:$Z$12"),0),0)="","?",VLOOKUP(K$1,INDIRECT("'"&amp;$A3&amp;"'!$A$12:$Z$41"),MATCH("Points (Auto-generate)",INDIRECT("'"&amp;$A3&amp;"'!$A$12:$Z$12"),0),0)),"ER"))</f>
        <v>?</v>
      </c>
      <c r="L3" s="78" t="str">
        <f aca="true">IF($H3=0,"NA",IF($A3=INDIRECT("'"&amp;$A3&amp;"'!$B$1"),IF(VLOOKUP(L$1,INDIRECT("'"&amp;$A3&amp;"'!$A$12:$Z$41"),MATCH("Points (Auto-generate)",INDIRECT("'"&amp;$A3&amp;"'!$A$12:$Z$12"),0),0)="","?",VLOOKUP(L$1,INDIRECT("'"&amp;$A3&amp;"'!$A$12:$Z$41"),MATCH("Points (Auto-generate)",INDIRECT("'"&amp;$A3&amp;"'!$A$12:$Z$12"),0),0)),"ER"))</f>
        <v>?</v>
      </c>
      <c r="M3" s="78" t="str">
        <f aca="true">IF($H3=0,"NA",IF($A3=INDIRECT("'"&amp;$A3&amp;"'!$B$1"),IF(VLOOKUP(M$1,INDIRECT("'"&amp;$A3&amp;"'!$A$12:$Z$41"),MATCH("Points (Auto-generate)",INDIRECT("'"&amp;$A3&amp;"'!$A$12:$Z$12"),0),0)="","?",VLOOKUP(M$1,INDIRECT("'"&amp;$A3&amp;"'!$A$12:$Z$41"),MATCH("Points (Auto-generate)",INDIRECT("'"&amp;$A3&amp;"'!$A$12:$Z$12"),0),0)),"ER"))</f>
        <v>?</v>
      </c>
      <c r="N3" s="78" t="str">
        <f aca="true">IF($H3=0,"NA",IF($A3=INDIRECT("'"&amp;$A3&amp;"'!$B$1"),IF(VLOOKUP(N$1,INDIRECT("'"&amp;$A3&amp;"'!$A$12:$Z$41"),MATCH("Points (Auto-generate)",INDIRECT("'"&amp;$A3&amp;"'!$A$12:$Z$12"),0),0)="","?",VLOOKUP(N$1,INDIRECT("'"&amp;$A3&amp;"'!$A$12:$Z$41"),MATCH("Points (Auto-generate)",INDIRECT("'"&amp;$A3&amp;"'!$A$12:$Z$12"),0),0)),"ER"))</f>
        <v>?</v>
      </c>
      <c r="O3" s="78" t="str">
        <f aca="true">IF($H3=0,"NA",IF($A3=INDIRECT("'"&amp;$A3&amp;"'!$B$1"),IF(VLOOKUP(O$1,INDIRECT("'"&amp;$A3&amp;"'!$A$12:$Z$41"),MATCH("Points (Auto-generate)",INDIRECT("'"&amp;$A3&amp;"'!$A$12:$Z$12"),0),0)="","?",VLOOKUP(O$1,INDIRECT("'"&amp;$A3&amp;"'!$A$12:$Z$41"),MATCH("Points (Auto-generate)",INDIRECT("'"&amp;$A3&amp;"'!$A$12:$Z$12"),0),0)),"ER"))</f>
        <v>?</v>
      </c>
      <c r="P3" s="78" t="str">
        <f aca="true">IF($H3=0,"NA",IF($A3=INDIRECT("'"&amp;$A3&amp;"'!$B$1"),IF(VLOOKUP(P$1,INDIRECT("'"&amp;$A3&amp;"'!$A$12:$Z$41"),MATCH("Points (Auto-generate)",INDIRECT("'"&amp;$A3&amp;"'!$A$12:$Z$12"),0),0)="","?",VLOOKUP(P$1,INDIRECT("'"&amp;$A3&amp;"'!$A$12:$Z$41"),MATCH("Points (Auto-generate)",INDIRECT("'"&amp;$A3&amp;"'!$A$12:$Z$12"),0),0)),"ER"))</f>
        <v>?</v>
      </c>
      <c r="Q3" s="78" t="str">
        <f aca="true">IF($H3=0,"NA",IF($A3=INDIRECT("'"&amp;$A3&amp;"'!$B$1"),IF(VLOOKUP(Q$1,INDIRECT("'"&amp;$A3&amp;"'!$A$12:$Z$41"),MATCH("Points (Auto-generate)",INDIRECT("'"&amp;$A3&amp;"'!$A$12:$Z$12"),0),0)="","?",VLOOKUP(Q$1,INDIRECT("'"&amp;$A3&amp;"'!$A$12:$Z$41"),MATCH("Points (Auto-generate)",INDIRECT("'"&amp;$A3&amp;"'!$A$12:$Z$12"),0),0)),"ER"))</f>
        <v>?</v>
      </c>
      <c r="R3" s="78" t="str">
        <f aca="true">IF($H3=0,"NA",IF($A3=INDIRECT("'"&amp;$A3&amp;"'!$B$1"),IF(VLOOKUP(R$1,INDIRECT("'"&amp;$A3&amp;"'!$A$12:$Z$41"),MATCH("Points (Auto-generate)",INDIRECT("'"&amp;$A3&amp;"'!$A$12:$Z$12"),0),0)="","?",VLOOKUP(R$1,INDIRECT("'"&amp;$A3&amp;"'!$A$12:$Z$41"),MATCH("Points (Auto-generate)",INDIRECT("'"&amp;$A3&amp;"'!$A$12:$Z$12"),0),0)),"ER"))</f>
        <v>?</v>
      </c>
      <c r="S3" s="78" t="str">
        <f aca="true">IF($H3=0,"NA",IF($A3=INDIRECT("'"&amp;$A3&amp;"'!$B$1"),IF(VLOOKUP(S$1,INDIRECT("'"&amp;$A3&amp;"'!$A$12:$Z$41"),MATCH("Points (Auto-generate)",INDIRECT("'"&amp;$A3&amp;"'!$A$12:$Z$12"),0),0)="","?",VLOOKUP(S$1,INDIRECT("'"&amp;$A3&amp;"'!$A$12:$Z$41"),MATCH("Points (Auto-generate)",INDIRECT("'"&amp;$A3&amp;"'!$A$12:$Z$12"),0),0)),"ER"))</f>
        <v>?</v>
      </c>
      <c r="T3" s="78" t="str">
        <f aca="true">IF($H3=0,"NA",IF($A3=INDIRECT("'"&amp;$A3&amp;"'!$B$1"),IF(VLOOKUP(T$1,INDIRECT("'"&amp;$A3&amp;"'!$A$12:$Z$41"),MATCH("Points (Auto-generate)",INDIRECT("'"&amp;$A3&amp;"'!$A$12:$Z$12"),0),0)="","?",VLOOKUP(T$1,INDIRECT("'"&amp;$A3&amp;"'!$A$12:$Z$41"),MATCH("Points (Auto-generate)",INDIRECT("'"&amp;$A3&amp;"'!$A$12:$Z$12"),0),0)),"ER"))</f>
        <v>?</v>
      </c>
      <c r="U3" s="78" t="str">
        <f aca="true">IF($H3=0,"NA",IF($A3=INDIRECT("'"&amp;$A3&amp;"'!$B$1"),IF(VLOOKUP(U$1,INDIRECT("'"&amp;$A3&amp;"'!$A$12:$Z$41"),MATCH("Points (Auto-generate)",INDIRECT("'"&amp;$A3&amp;"'!$A$12:$Z$12"),0),0)="","?",VLOOKUP(U$1,INDIRECT("'"&amp;$A3&amp;"'!$A$12:$Z$41"),MATCH("Points (Auto-generate)",INDIRECT("'"&amp;$A3&amp;"'!$A$12:$Z$12"),0),0)),"ER"))</f>
        <v>?</v>
      </c>
      <c r="V3" s="78" t="str">
        <f aca="true">IF($H3=0,"NA",IF($A3=INDIRECT("'"&amp;$A3&amp;"'!$B$1"),IF(VLOOKUP(V$1,INDIRECT("'"&amp;$A3&amp;"'!$A$12:$Z$41"),MATCH("Points (Auto-generate)",INDIRECT("'"&amp;$A3&amp;"'!$A$12:$Z$12"),0),0)="","?",VLOOKUP(V$1,INDIRECT("'"&amp;$A3&amp;"'!$A$12:$Z$41"),MATCH("Points (Auto-generate)",INDIRECT("'"&amp;$A3&amp;"'!$A$12:$Z$12"),0),0)),"ER"))</f>
        <v>?</v>
      </c>
      <c r="W3" s="78" t="str">
        <f aca="true">IF($H3=0,"NA",IF($A3=INDIRECT("'"&amp;$A3&amp;"'!$B$1"),IF(VLOOKUP(W$1,INDIRECT("'"&amp;$A3&amp;"'!$A$12:$Z$41"),MATCH("Points (Auto-generate)",INDIRECT("'"&amp;$A3&amp;"'!$A$12:$Z$12"),0),0)="","?",VLOOKUP(W$1,INDIRECT("'"&amp;$A3&amp;"'!$A$12:$Z$41"),MATCH("Points (Auto-generate)",INDIRECT("'"&amp;$A3&amp;"'!$A$12:$Z$12"),0),0)),"ER"))</f>
        <v>?</v>
      </c>
      <c r="X3" s="78" t="str">
        <f aca="true">IF($H3=0,"NA",IF($A3=INDIRECT("'"&amp;$A3&amp;"'!$B$1"),IF(VLOOKUP(X$1,INDIRECT("'"&amp;$A3&amp;"'!$A$12:$Z$41"),MATCH("Points (Auto-generate)",INDIRECT("'"&amp;$A3&amp;"'!$A$12:$Z$12"),0),0)="","?",VLOOKUP(X$1,INDIRECT("'"&amp;$A3&amp;"'!$A$12:$Z$41"),MATCH("Points (Auto-generate)",INDIRECT("'"&amp;$A3&amp;"'!$A$12:$Z$12"),0),0)),"ER"))</f>
        <v>?</v>
      </c>
      <c r="Y3" s="78" t="str">
        <f aca="true">IF($H3=0,"NA",IF($A3=INDIRECT("'"&amp;$A3&amp;"'!$B$1"),IF(VLOOKUP(Y$1,INDIRECT("'"&amp;$A3&amp;"'!$A$12:$Z$41"),MATCH("Points (Auto-generate)",INDIRECT("'"&amp;$A3&amp;"'!$A$12:$Z$12"),0),0)="","?",VLOOKUP(Y$1,INDIRECT("'"&amp;$A3&amp;"'!$A$12:$Z$41"),MATCH("Points (Auto-generate)",INDIRECT("'"&amp;$A3&amp;"'!$A$12:$Z$12"),0),0)),"ER"))</f>
        <v>?</v>
      </c>
      <c r="Z3" s="78" t="str">
        <f aca="true">IF($H3=0,"NA",IF($A3=INDIRECT("'"&amp;$A3&amp;"'!$B$1"),IF(VLOOKUP(Z$1,INDIRECT("'"&amp;$A3&amp;"'!$A$12:$Z$41"),MATCH("Points (Auto-generate)",INDIRECT("'"&amp;$A3&amp;"'!$A$12:$Z$12"),0),0)="","?",VLOOKUP(Z$1,INDIRECT("'"&amp;$A3&amp;"'!$A$12:$Z$41"),MATCH("Points (Auto-generate)",INDIRECT("'"&amp;$A3&amp;"'!$A$12:$Z$12"),0),0)),"ER"))</f>
        <v>?</v>
      </c>
      <c r="AA3" s="78" t="str">
        <f aca="true">IF($H3=0,"NA",IF($A3=INDIRECT("'"&amp;$A3&amp;"'!$B$1"),IF(VLOOKUP(AA$1,INDIRECT("'"&amp;$A3&amp;"'!$A$12:$Z$41"),MATCH("Points (Auto-generate)",INDIRECT("'"&amp;$A3&amp;"'!$A$12:$Z$12"),0),0)="","?",VLOOKUP(AA$1,INDIRECT("'"&amp;$A3&amp;"'!$A$12:$Z$41"),MATCH("Points (Auto-generate)",INDIRECT("'"&amp;$A3&amp;"'!$A$12:$Z$12"),0),0)),"ER"))</f>
        <v>?</v>
      </c>
      <c r="AB3" s="78" t="str">
        <f aca="true">IF($H3=0,"NA",IF($A3=INDIRECT("'"&amp;$A3&amp;"'!$B$1"),IF(VLOOKUP(AB$1,INDIRECT("'"&amp;$A3&amp;"'!$A$12:$Z$41"),MATCH("Points (Auto-generate)",INDIRECT("'"&amp;$A3&amp;"'!$A$12:$Z$12"),0),0)="","?",VLOOKUP(AB$1,INDIRECT("'"&amp;$A3&amp;"'!$A$12:$Z$41"),MATCH("Points (Auto-generate)",INDIRECT("'"&amp;$A3&amp;"'!$A$12:$Z$12"),0),0)),"ER"))</f>
        <v>?</v>
      </c>
      <c r="AC3" s="78" t="n">
        <f aca="true">IF($H3=0,"NA",IF($A3=INDIRECT("'"&amp;$A3&amp;"'!$B$1"),IF(VLOOKUP(AC$1,INDIRECT("'"&amp;$A3&amp;"'!$A$12:$Z$41"),MATCH("Points (Auto-generate)",INDIRECT("'"&amp;$A3&amp;"'!$A$12:$Z$12"),0),0)="","?",VLOOKUP(AC$1,INDIRECT("'"&amp;$A3&amp;"'!$A$12:$Z$41"),MATCH("Points (Auto-generate)",INDIRECT("'"&amp;$A3&amp;"'!$A$12:$Z$12"),0),0)),"ER"))</f>
        <v>0</v>
      </c>
      <c r="AD3" s="78" t="str">
        <f aca="true">IF($H3=0,"NA",IF($A3=INDIRECT("'"&amp;$A3&amp;"'!$B$1"),IF(VLOOKUP(AD$1,INDIRECT("'"&amp;$A3&amp;"'!$A$12:$Z$41"),MATCH("Points (Auto-generate)",INDIRECT("'"&amp;$A3&amp;"'!$A$12:$Z$12"),0),0)="","?",VLOOKUP(AD$1,INDIRECT("'"&amp;$A3&amp;"'!$A$12:$Z$41"),MATCH("Points (Auto-generate)",INDIRECT("'"&amp;$A3&amp;"'!$A$12:$Z$12"),0),0)),"ER"))</f>
        <v>?</v>
      </c>
      <c r="AE3" s="78" t="str">
        <f aca="true">IF($H3=0,"NA",IF($A3=INDIRECT("'"&amp;$A3&amp;"'!$B$1"),IF(VLOOKUP(AE$1,INDIRECT("'"&amp;$A3&amp;"'!$A$12:$Z$41"),MATCH("Points (Auto-generate)",INDIRECT("'"&amp;$A3&amp;"'!$A$12:$Z$12"),0),0)="","?",VLOOKUP(AE$1,INDIRECT("'"&amp;$A3&amp;"'!$A$12:$Z$41"),MATCH("Points (Auto-generate)",INDIRECT("'"&amp;$A3&amp;"'!$A$12:$Z$12"),0),0)),"ER"))</f>
        <v>?</v>
      </c>
      <c r="AF3" s="78" t="str">
        <f aca="true">IF($H3=0,"NA",IF($A3=INDIRECT("'"&amp;$A3&amp;"'!$B$1"),IF(VLOOKUP(AF$1,INDIRECT("'"&amp;$A3&amp;"'!$A$12:$Z$41"),MATCH("Points (Auto-generate)",INDIRECT("'"&amp;$A3&amp;"'!$A$12:$Z$12"),0),0)="","?",VLOOKUP(AF$1,INDIRECT("'"&amp;$A3&amp;"'!$A$12:$Z$41"),MATCH("Points (Auto-generate)",INDIRECT("'"&amp;$A3&amp;"'!$A$12:$Z$12"),0),0)),"ER"))</f>
        <v>?</v>
      </c>
      <c r="AG3" s="78" t="str">
        <f aca="true">IF($H3=0,"NA",IF($A3=INDIRECT("'"&amp;$A3&amp;"'!$B$1"),IF(VLOOKUP(AG$1,INDIRECT("'"&amp;$A3&amp;"'!$A$12:$Z$41"),MATCH("Points (Auto-generate)",INDIRECT("'"&amp;$A3&amp;"'!$A$12:$Z$12"),0),0)="","?",VLOOKUP(AG$1,INDIRECT("'"&amp;$A3&amp;"'!$A$12:$Z$41"),MATCH("Points (Auto-generate)",INDIRECT("'"&amp;$A3&amp;"'!$A$12:$Z$12"),0),0)),"ER"))</f>
        <v>?</v>
      </c>
      <c r="AH3" s="78" t="str">
        <f aca="true">IF($H3=0,"NA",IF($A3=INDIRECT("'"&amp;$A3&amp;"'!$B$1"),IF(VLOOKUP(AH$1,INDIRECT("'"&amp;$A3&amp;"'!$A$12:$Z$41"),MATCH("Points (Auto-generate)",INDIRECT("'"&amp;$A3&amp;"'!$A$12:$Z$12"),0),0)="","?",VLOOKUP(AH$1,INDIRECT("'"&amp;$A3&amp;"'!$A$12:$Z$41"),MATCH("Points (Auto-generate)",INDIRECT("'"&amp;$A3&amp;"'!$A$12:$Z$12"),0),0)),"ER"))</f>
        <v>?</v>
      </c>
      <c r="AI3" s="78" t="str">
        <f aca="true">IF($H3=0,"NA",IF($A3=INDIRECT("'"&amp;$A3&amp;"'!$B$1"),IF(VLOOKUP(AI$1,INDIRECT("'"&amp;$A3&amp;"'!$A$12:$Z$41"),MATCH("Points (Auto-generate)",INDIRECT("'"&amp;$A3&amp;"'!$A$12:$Z$12"),0),0)="","?",VLOOKUP(AI$1,INDIRECT("'"&amp;$A3&amp;"'!$A$12:$Z$41"),MATCH("Points (Auto-generate)",INDIRECT("'"&amp;$A3&amp;"'!$A$12:$Z$12"),0),0)),"ER"))</f>
        <v>?</v>
      </c>
      <c r="AJ3" s="78" t="str">
        <f aca="true">IF($H3=0,"NA",IF($A3=INDIRECT("'"&amp;$A3&amp;"'!$B$1"),IF(VLOOKUP(AJ$1,INDIRECT("'"&amp;$A3&amp;"'!$A$12:$Z$41"),MATCH("Points (Auto-generate)",INDIRECT("'"&amp;$A3&amp;"'!$A$12:$Z$12"),0),0)="","?",VLOOKUP(AJ$1,INDIRECT("'"&amp;$A3&amp;"'!$A$12:$Z$41"),MATCH("Points (Auto-generate)",INDIRECT("'"&amp;$A3&amp;"'!$A$12:$Z$12"),0),0)),"ER"))</f>
        <v>?</v>
      </c>
      <c r="AK3" s="78" t="str">
        <f aca="true">IF($H3=0,"NA",IF($A3=INDIRECT("'"&amp;$A3&amp;"'!$B$1"),IF(VLOOKUP(AK$1,INDIRECT("'"&amp;$A3&amp;"'!$A$12:$Z$41"),MATCH("Points (Auto-generate)",INDIRECT("'"&amp;$A3&amp;"'!$A$12:$Z$12"),0),0)="","?",VLOOKUP(AK$1,INDIRECT("'"&amp;$A3&amp;"'!$A$12:$Z$41"),MATCH("Points (Auto-generate)",INDIRECT("'"&amp;$A3&amp;"'!$A$12:$Z$12"),0),0)),"ER"))</f>
        <v>?</v>
      </c>
    </row>
    <row r="4" customFormat="false" ht="25.5" hidden="false" customHeight="true" outlineLevel="0" collapsed="false">
      <c r="A4" s="74" t="s">
        <v>28</v>
      </c>
      <c r="B4" s="75" t="str">
        <f aca="false">IF(ISBLANK($A4),"NO_CODE",VLOOKUP($A4,'UPD Questions_290926 '!$E$1:$N$300,MATCH(B$1,'UPD Questions_290926 '!$E$1:$N$1,0),0)&amp;"")</f>
        <v>Planning </v>
      </c>
      <c r="C4" s="76" t="str">
        <f aca="false">IF(ISBLANK($A4),"NO_CODE",VLOOKUP($A4,'UPD Questions_290926 '!$E$1:$N$300,MATCH(C$1,'UPD Questions_290926 '!$E$1:$N$1,0),0)&amp;"")</f>
        <v>Legal and institutional planning architecture</v>
      </c>
      <c r="D4" s="75" t="str">
        <f aca="false">IF(ISBLANK($A4),"NO_CODE",VLOOKUP($A4,'UPD Questions_290926 '!$E$1:$N$300,MATCH(D$1,'UPD Questions_290926 '!$E$1:$N$1,0),0)&amp;"")</f>
        <v>State-level planning framework</v>
      </c>
      <c r="E4" s="75" t="str">
        <f aca="false">IF(ISBLANK($A4),"NO_CODE",VLOOKUP($A4,'UPD Questions_290926 '!$E$1:$N$300,MATCH(E$1,'UPD Questions_290926 '!$E$1:$N$1,0),0)&amp;"")</f>
        <v>MQ</v>
      </c>
      <c r="F4" s="75" t="str">
        <f aca="false">IF(ISBLANK($A4),"NO_CODE",VLOOKUP($A4,'UPD Questions_290926 '!$E$1:$N$300,MATCH(F$1,'UPD Questions_290926 '!$E$1:$N$1,0),0)&amp;"")</f>
        <v>Is there a provision for the establishment of Planning Authorities for notified new towns or special developments?</v>
      </c>
      <c r="G4" s="75" t="str">
        <f aca="false">IF(ISBLANK($A4),"NO_CODE",VLOOKUP($A4,'UPD Questions_290926 '!$E$1:$N$300,MATCH(G$1,'UPD Questions_290926 '!$E$1:$N$1,0),0)&amp;"")</f>
        <v>Law or Policy</v>
      </c>
      <c r="H4" s="77" t="n">
        <f aca="false">IF(ISBLANK($A4),"NO_CODE",VLOOKUP($A4,'UPD Questions_290926 '!$E$1:$N$300,MATCH(H$1,'UPD Questions_290926 '!$E$1:$N$1,0),0))</f>
        <v>10</v>
      </c>
      <c r="I4" s="78" t="str">
        <f aca="true">IF($H4=0,"NA",IF($A4=INDIRECT("'"&amp;$A4&amp;"'!$B$1"),IF(VLOOKUP(I$1,INDIRECT("'"&amp;$A4&amp;"'!$A$12:$Z$41"),MATCH("Points (Auto-generate)",INDIRECT("'"&amp;$A4&amp;"'!$A$12:$Z$12"),0),0)="","?",VLOOKUP(I$1,INDIRECT("'"&amp;$A4&amp;"'!$A$12:$Z$41"),MATCH("Points (Auto-generate)",INDIRECT("'"&amp;$A4&amp;"'!$A$12:$Z$12"),0),0)),"ER"))</f>
        <v>?</v>
      </c>
      <c r="J4" s="78" t="str">
        <f aca="true">IF($H4=0,"NA",IF($A4=INDIRECT("'"&amp;$A4&amp;"'!$B$1"),IF(VLOOKUP(J$1,INDIRECT("'"&amp;$A4&amp;"'!$A$12:$Z$41"),MATCH("Points (Auto-generate)",INDIRECT("'"&amp;$A4&amp;"'!$A$12:$Z$12"),0),0)="","?",VLOOKUP(J$1,INDIRECT("'"&amp;$A4&amp;"'!$A$12:$Z$41"),MATCH("Points (Auto-generate)",INDIRECT("'"&amp;$A4&amp;"'!$A$12:$Z$12"),0),0)),"ER"))</f>
        <v>?</v>
      </c>
      <c r="K4" s="78" t="str">
        <f aca="true">IF($H4=0,"NA",IF($A4=INDIRECT("'"&amp;$A4&amp;"'!$B$1"),IF(VLOOKUP(K$1,INDIRECT("'"&amp;$A4&amp;"'!$A$12:$Z$41"),MATCH("Points (Auto-generate)",INDIRECT("'"&amp;$A4&amp;"'!$A$12:$Z$12"),0),0)="","?",VLOOKUP(K$1,INDIRECT("'"&amp;$A4&amp;"'!$A$12:$Z$41"),MATCH("Points (Auto-generate)",INDIRECT("'"&amp;$A4&amp;"'!$A$12:$Z$12"),0),0)),"ER"))</f>
        <v>?</v>
      </c>
      <c r="L4" s="78" t="str">
        <f aca="true">IF($H4=0,"NA",IF($A4=INDIRECT("'"&amp;$A4&amp;"'!$B$1"),IF(VLOOKUP(L$1,INDIRECT("'"&amp;$A4&amp;"'!$A$12:$Z$41"),MATCH("Points (Auto-generate)",INDIRECT("'"&amp;$A4&amp;"'!$A$12:$Z$12"),0),0)="","?",VLOOKUP(L$1,INDIRECT("'"&amp;$A4&amp;"'!$A$12:$Z$41"),MATCH("Points (Auto-generate)",INDIRECT("'"&amp;$A4&amp;"'!$A$12:$Z$12"),0),0)),"ER"))</f>
        <v>?</v>
      </c>
      <c r="M4" s="78" t="str">
        <f aca="true">IF($H4=0,"NA",IF($A4=INDIRECT("'"&amp;$A4&amp;"'!$B$1"),IF(VLOOKUP(M$1,INDIRECT("'"&amp;$A4&amp;"'!$A$12:$Z$41"),MATCH("Points (Auto-generate)",INDIRECT("'"&amp;$A4&amp;"'!$A$12:$Z$12"),0),0)="","?",VLOOKUP(M$1,INDIRECT("'"&amp;$A4&amp;"'!$A$12:$Z$41"),MATCH("Points (Auto-generate)",INDIRECT("'"&amp;$A4&amp;"'!$A$12:$Z$12"),0),0)),"ER"))</f>
        <v>?</v>
      </c>
      <c r="N4" s="78" t="str">
        <f aca="true">IF($H4=0,"NA",IF($A4=INDIRECT("'"&amp;$A4&amp;"'!$B$1"),IF(VLOOKUP(N$1,INDIRECT("'"&amp;$A4&amp;"'!$A$12:$Z$41"),MATCH("Points (Auto-generate)",INDIRECT("'"&amp;$A4&amp;"'!$A$12:$Z$12"),0),0)="","?",VLOOKUP(N$1,INDIRECT("'"&amp;$A4&amp;"'!$A$12:$Z$41"),MATCH("Points (Auto-generate)",INDIRECT("'"&amp;$A4&amp;"'!$A$12:$Z$12"),0),0)),"ER"))</f>
        <v>?</v>
      </c>
      <c r="O4" s="78" t="str">
        <f aca="true">IF($H4=0,"NA",IF($A4=INDIRECT("'"&amp;$A4&amp;"'!$B$1"),IF(VLOOKUP(O$1,INDIRECT("'"&amp;$A4&amp;"'!$A$12:$Z$41"),MATCH("Points (Auto-generate)",INDIRECT("'"&amp;$A4&amp;"'!$A$12:$Z$12"),0),0)="","?",VLOOKUP(O$1,INDIRECT("'"&amp;$A4&amp;"'!$A$12:$Z$41"),MATCH("Points (Auto-generate)",INDIRECT("'"&amp;$A4&amp;"'!$A$12:$Z$12"),0),0)),"ER"))</f>
        <v>?</v>
      </c>
      <c r="P4" s="78" t="str">
        <f aca="true">IF($H4=0,"NA",IF($A4=INDIRECT("'"&amp;$A4&amp;"'!$B$1"),IF(VLOOKUP(P$1,INDIRECT("'"&amp;$A4&amp;"'!$A$12:$Z$41"),MATCH("Points (Auto-generate)",INDIRECT("'"&amp;$A4&amp;"'!$A$12:$Z$12"),0),0)="","?",VLOOKUP(P$1,INDIRECT("'"&amp;$A4&amp;"'!$A$12:$Z$41"),MATCH("Points (Auto-generate)",INDIRECT("'"&amp;$A4&amp;"'!$A$12:$Z$12"),0),0)),"ER"))</f>
        <v>?</v>
      </c>
      <c r="Q4" s="78" t="str">
        <f aca="true">IF($H4=0,"NA",IF($A4=INDIRECT("'"&amp;$A4&amp;"'!$B$1"),IF(VLOOKUP(Q$1,INDIRECT("'"&amp;$A4&amp;"'!$A$12:$Z$41"),MATCH("Points (Auto-generate)",INDIRECT("'"&amp;$A4&amp;"'!$A$12:$Z$12"),0),0)="","?",VLOOKUP(Q$1,INDIRECT("'"&amp;$A4&amp;"'!$A$12:$Z$41"),MATCH("Points (Auto-generate)",INDIRECT("'"&amp;$A4&amp;"'!$A$12:$Z$12"),0),0)),"ER"))</f>
        <v>?</v>
      </c>
      <c r="R4" s="78" t="str">
        <f aca="true">IF($H4=0,"NA",IF($A4=INDIRECT("'"&amp;$A4&amp;"'!$B$1"),IF(VLOOKUP(R$1,INDIRECT("'"&amp;$A4&amp;"'!$A$12:$Z$41"),MATCH("Points (Auto-generate)",INDIRECT("'"&amp;$A4&amp;"'!$A$12:$Z$12"),0),0)="","?",VLOOKUP(R$1,INDIRECT("'"&amp;$A4&amp;"'!$A$12:$Z$41"),MATCH("Points (Auto-generate)",INDIRECT("'"&amp;$A4&amp;"'!$A$12:$Z$12"),0),0)),"ER"))</f>
        <v>?</v>
      </c>
      <c r="S4" s="78" t="str">
        <f aca="true">IF($H4=0,"NA",IF($A4=INDIRECT("'"&amp;$A4&amp;"'!$B$1"),IF(VLOOKUP(S$1,INDIRECT("'"&amp;$A4&amp;"'!$A$12:$Z$41"),MATCH("Points (Auto-generate)",INDIRECT("'"&amp;$A4&amp;"'!$A$12:$Z$12"),0),0)="","?",VLOOKUP(S$1,INDIRECT("'"&amp;$A4&amp;"'!$A$12:$Z$41"),MATCH("Points (Auto-generate)",INDIRECT("'"&amp;$A4&amp;"'!$A$12:$Z$12"),0),0)),"ER"))</f>
        <v>?</v>
      </c>
      <c r="T4" s="78" t="str">
        <f aca="true">IF($H4=0,"NA",IF($A4=INDIRECT("'"&amp;$A4&amp;"'!$B$1"),IF(VLOOKUP(T$1,INDIRECT("'"&amp;$A4&amp;"'!$A$12:$Z$41"),MATCH("Points (Auto-generate)",INDIRECT("'"&amp;$A4&amp;"'!$A$12:$Z$12"),0),0)="","?",VLOOKUP(T$1,INDIRECT("'"&amp;$A4&amp;"'!$A$12:$Z$41"),MATCH("Points (Auto-generate)",INDIRECT("'"&amp;$A4&amp;"'!$A$12:$Z$12"),0),0)),"ER"))</f>
        <v>?</v>
      </c>
      <c r="U4" s="78" t="str">
        <f aca="true">IF($H4=0,"NA",IF($A4=INDIRECT("'"&amp;$A4&amp;"'!$B$1"),IF(VLOOKUP(U$1,INDIRECT("'"&amp;$A4&amp;"'!$A$12:$Z$41"),MATCH("Points (Auto-generate)",INDIRECT("'"&amp;$A4&amp;"'!$A$12:$Z$12"),0),0)="","?",VLOOKUP(U$1,INDIRECT("'"&amp;$A4&amp;"'!$A$12:$Z$41"),MATCH("Points (Auto-generate)",INDIRECT("'"&amp;$A4&amp;"'!$A$12:$Z$12"),0),0)),"ER"))</f>
        <v>?</v>
      </c>
      <c r="V4" s="78" t="str">
        <f aca="true">IF($H4=0,"NA",IF($A4=INDIRECT("'"&amp;$A4&amp;"'!$B$1"),IF(VLOOKUP(V$1,INDIRECT("'"&amp;$A4&amp;"'!$A$12:$Z$41"),MATCH("Points (Auto-generate)",INDIRECT("'"&amp;$A4&amp;"'!$A$12:$Z$12"),0),0)="","?",VLOOKUP(V$1,INDIRECT("'"&amp;$A4&amp;"'!$A$12:$Z$41"),MATCH("Points (Auto-generate)",INDIRECT("'"&amp;$A4&amp;"'!$A$12:$Z$12"),0),0)),"ER"))</f>
        <v>?</v>
      </c>
      <c r="W4" s="78" t="str">
        <f aca="true">IF($H4=0,"NA",IF($A4=INDIRECT("'"&amp;$A4&amp;"'!$B$1"),IF(VLOOKUP(W$1,INDIRECT("'"&amp;$A4&amp;"'!$A$12:$Z$41"),MATCH("Points (Auto-generate)",INDIRECT("'"&amp;$A4&amp;"'!$A$12:$Z$12"),0),0)="","?",VLOOKUP(W$1,INDIRECT("'"&amp;$A4&amp;"'!$A$12:$Z$41"),MATCH("Points (Auto-generate)",INDIRECT("'"&amp;$A4&amp;"'!$A$12:$Z$12"),0),0)),"ER"))</f>
        <v>?</v>
      </c>
      <c r="X4" s="78" t="str">
        <f aca="true">IF($H4=0,"NA",IF($A4=INDIRECT("'"&amp;$A4&amp;"'!$B$1"),IF(VLOOKUP(X$1,INDIRECT("'"&amp;$A4&amp;"'!$A$12:$Z$41"),MATCH("Points (Auto-generate)",INDIRECT("'"&amp;$A4&amp;"'!$A$12:$Z$12"),0),0)="","?",VLOOKUP(X$1,INDIRECT("'"&amp;$A4&amp;"'!$A$12:$Z$41"),MATCH("Points (Auto-generate)",INDIRECT("'"&amp;$A4&amp;"'!$A$12:$Z$12"),0),0)),"ER"))</f>
        <v>?</v>
      </c>
      <c r="Y4" s="78" t="str">
        <f aca="true">IF($H4=0,"NA",IF($A4=INDIRECT("'"&amp;$A4&amp;"'!$B$1"),IF(VLOOKUP(Y$1,INDIRECT("'"&amp;$A4&amp;"'!$A$12:$Z$41"),MATCH("Points (Auto-generate)",INDIRECT("'"&amp;$A4&amp;"'!$A$12:$Z$12"),0),0)="","?",VLOOKUP(Y$1,INDIRECT("'"&amp;$A4&amp;"'!$A$12:$Z$41"),MATCH("Points (Auto-generate)",INDIRECT("'"&amp;$A4&amp;"'!$A$12:$Z$12"),0),0)),"ER"))</f>
        <v>?</v>
      </c>
      <c r="Z4" s="78" t="str">
        <f aca="true">IF($H4=0,"NA",IF($A4=INDIRECT("'"&amp;$A4&amp;"'!$B$1"),IF(VLOOKUP(Z$1,INDIRECT("'"&amp;$A4&amp;"'!$A$12:$Z$41"),MATCH("Points (Auto-generate)",INDIRECT("'"&amp;$A4&amp;"'!$A$12:$Z$12"),0),0)="","?",VLOOKUP(Z$1,INDIRECT("'"&amp;$A4&amp;"'!$A$12:$Z$41"),MATCH("Points (Auto-generate)",INDIRECT("'"&amp;$A4&amp;"'!$A$12:$Z$12"),0),0)),"ER"))</f>
        <v>?</v>
      </c>
      <c r="AA4" s="78" t="str">
        <f aca="true">IF($H4=0,"NA",IF($A4=INDIRECT("'"&amp;$A4&amp;"'!$B$1"),IF(VLOOKUP(AA$1,INDIRECT("'"&amp;$A4&amp;"'!$A$12:$Z$41"),MATCH("Points (Auto-generate)",INDIRECT("'"&amp;$A4&amp;"'!$A$12:$Z$12"),0),0)="","?",VLOOKUP(AA$1,INDIRECT("'"&amp;$A4&amp;"'!$A$12:$Z$41"),MATCH("Points (Auto-generate)",INDIRECT("'"&amp;$A4&amp;"'!$A$12:$Z$12"),0),0)),"ER"))</f>
        <v>?</v>
      </c>
      <c r="AB4" s="78" t="str">
        <f aca="true">IF($H4=0,"NA",IF($A4=INDIRECT("'"&amp;$A4&amp;"'!$B$1"),IF(VLOOKUP(AB$1,INDIRECT("'"&amp;$A4&amp;"'!$A$12:$Z$41"),MATCH("Points (Auto-generate)",INDIRECT("'"&amp;$A4&amp;"'!$A$12:$Z$12"),0),0)="","?",VLOOKUP(AB$1,INDIRECT("'"&amp;$A4&amp;"'!$A$12:$Z$41"),MATCH("Points (Auto-generate)",INDIRECT("'"&amp;$A4&amp;"'!$A$12:$Z$12"),0),0)),"ER"))</f>
        <v>?</v>
      </c>
      <c r="AC4" s="78" t="str">
        <f aca="true">IF($H4=0,"NA",IF($A4=INDIRECT("'"&amp;$A4&amp;"'!$B$1"),IF(VLOOKUP(AC$1,INDIRECT("'"&amp;$A4&amp;"'!$A$12:$Z$41"),MATCH("Points (Auto-generate)",INDIRECT("'"&amp;$A4&amp;"'!$A$12:$Z$12"),0),0)="","?",VLOOKUP(AC$1,INDIRECT("'"&amp;$A4&amp;"'!$A$12:$Z$41"),MATCH("Points (Auto-generate)",INDIRECT("'"&amp;$A4&amp;"'!$A$12:$Z$12"),0),0)),"ER"))</f>
        <v>?</v>
      </c>
      <c r="AD4" s="78" t="str">
        <f aca="true">IF($H4=0,"NA",IF($A4=INDIRECT("'"&amp;$A4&amp;"'!$B$1"),IF(VLOOKUP(AD$1,INDIRECT("'"&amp;$A4&amp;"'!$A$12:$Z$41"),MATCH("Points (Auto-generate)",INDIRECT("'"&amp;$A4&amp;"'!$A$12:$Z$12"),0),0)="","?",VLOOKUP(AD$1,INDIRECT("'"&amp;$A4&amp;"'!$A$12:$Z$41"),MATCH("Points (Auto-generate)",INDIRECT("'"&amp;$A4&amp;"'!$A$12:$Z$12"),0),0)),"ER"))</f>
        <v>?</v>
      </c>
      <c r="AE4" s="78" t="str">
        <f aca="true">IF($H4=0,"NA",IF($A4=INDIRECT("'"&amp;$A4&amp;"'!$B$1"),IF(VLOOKUP(AE$1,INDIRECT("'"&amp;$A4&amp;"'!$A$12:$Z$41"),MATCH("Points (Auto-generate)",INDIRECT("'"&amp;$A4&amp;"'!$A$12:$Z$12"),0),0)="","?",VLOOKUP(AE$1,INDIRECT("'"&amp;$A4&amp;"'!$A$12:$Z$41"),MATCH("Points (Auto-generate)",INDIRECT("'"&amp;$A4&amp;"'!$A$12:$Z$12"),0),0)),"ER"))</f>
        <v>?</v>
      </c>
      <c r="AF4" s="78" t="str">
        <f aca="true">IF($H4=0,"NA",IF($A4=INDIRECT("'"&amp;$A4&amp;"'!$B$1"),IF(VLOOKUP(AF$1,INDIRECT("'"&amp;$A4&amp;"'!$A$12:$Z$41"),MATCH("Points (Auto-generate)",INDIRECT("'"&amp;$A4&amp;"'!$A$12:$Z$12"),0),0)="","?",VLOOKUP(AF$1,INDIRECT("'"&amp;$A4&amp;"'!$A$12:$Z$41"),MATCH("Points (Auto-generate)",INDIRECT("'"&amp;$A4&amp;"'!$A$12:$Z$12"),0),0)),"ER"))</f>
        <v>?</v>
      </c>
      <c r="AG4" s="78" t="str">
        <f aca="true">IF($H4=0,"NA",IF($A4=INDIRECT("'"&amp;$A4&amp;"'!$B$1"),IF(VLOOKUP(AG$1,INDIRECT("'"&amp;$A4&amp;"'!$A$12:$Z$41"),MATCH("Points (Auto-generate)",INDIRECT("'"&amp;$A4&amp;"'!$A$12:$Z$12"),0),0)="","?",VLOOKUP(AG$1,INDIRECT("'"&amp;$A4&amp;"'!$A$12:$Z$41"),MATCH("Points (Auto-generate)",INDIRECT("'"&amp;$A4&amp;"'!$A$12:$Z$12"),0),0)),"ER"))</f>
        <v>?</v>
      </c>
      <c r="AH4" s="78" t="str">
        <f aca="true">IF($H4=0,"NA",IF($A4=INDIRECT("'"&amp;$A4&amp;"'!$B$1"),IF(VLOOKUP(AH$1,INDIRECT("'"&amp;$A4&amp;"'!$A$12:$Z$41"),MATCH("Points (Auto-generate)",INDIRECT("'"&amp;$A4&amp;"'!$A$12:$Z$12"),0),0)="","?",VLOOKUP(AH$1,INDIRECT("'"&amp;$A4&amp;"'!$A$12:$Z$41"),MATCH("Points (Auto-generate)",INDIRECT("'"&amp;$A4&amp;"'!$A$12:$Z$12"),0),0)),"ER"))</f>
        <v>?</v>
      </c>
      <c r="AI4" s="78" t="str">
        <f aca="true">IF($H4=0,"NA",IF($A4=INDIRECT("'"&amp;$A4&amp;"'!$B$1"),IF(VLOOKUP(AI$1,INDIRECT("'"&amp;$A4&amp;"'!$A$12:$Z$41"),MATCH("Points (Auto-generate)",INDIRECT("'"&amp;$A4&amp;"'!$A$12:$Z$12"),0),0)="","?",VLOOKUP(AI$1,INDIRECT("'"&amp;$A4&amp;"'!$A$12:$Z$41"),MATCH("Points (Auto-generate)",INDIRECT("'"&amp;$A4&amp;"'!$A$12:$Z$12"),0),0)),"ER"))</f>
        <v>?</v>
      </c>
      <c r="AJ4" s="78" t="str">
        <f aca="true">IF($H4=0,"NA",IF($A4=INDIRECT("'"&amp;$A4&amp;"'!$B$1"),IF(VLOOKUP(AJ$1,INDIRECT("'"&amp;$A4&amp;"'!$A$12:$Z$41"),MATCH("Points (Auto-generate)",INDIRECT("'"&amp;$A4&amp;"'!$A$12:$Z$12"),0),0)="","?",VLOOKUP(AJ$1,INDIRECT("'"&amp;$A4&amp;"'!$A$12:$Z$41"),MATCH("Points (Auto-generate)",INDIRECT("'"&amp;$A4&amp;"'!$A$12:$Z$12"),0),0)),"ER"))</f>
        <v>?</v>
      </c>
      <c r="AK4" s="78" t="str">
        <f aca="true">IF($H4=0,"NA",IF($A4=INDIRECT("'"&amp;$A4&amp;"'!$B$1"),IF(VLOOKUP(AK$1,INDIRECT("'"&amp;$A4&amp;"'!$A$12:$Z$41"),MATCH("Points (Auto-generate)",INDIRECT("'"&amp;$A4&amp;"'!$A$12:$Z$12"),0),0)="","?",VLOOKUP(AK$1,INDIRECT("'"&amp;$A4&amp;"'!$A$12:$Z$41"),MATCH("Points (Auto-generate)",INDIRECT("'"&amp;$A4&amp;"'!$A$12:$Z$12"),0),0)),"ER"))</f>
        <v>?</v>
      </c>
    </row>
    <row r="5" customFormat="false" ht="25.5" hidden="false" customHeight="true" outlineLevel="0" collapsed="false">
      <c r="A5" s="74" t="s">
        <v>32</v>
      </c>
      <c r="B5" s="75" t="str">
        <f aca="false">IF(ISBLANK($A5),"NO_CODE",VLOOKUP($A5,'UPD Questions_290926 '!$E$1:$N$300,MATCH(B$1,'UPD Questions_290926 '!$E$1:$N$1,0),0)&amp;"")</f>
        <v>Planning </v>
      </c>
      <c r="C5" s="76" t="str">
        <f aca="false">IF(ISBLANK($A5),"NO_CODE",VLOOKUP($A5,'UPD Questions_290926 '!$E$1:$N$300,MATCH(C$1,'UPD Questions_290926 '!$E$1:$N$1,0),0)&amp;"")</f>
        <v>Legal and institutional planning architecture</v>
      </c>
      <c r="D5" s="75" t="str">
        <f aca="false">IF(ISBLANK($A5),"NO_CODE",VLOOKUP($A5,'UPD Questions_290926 '!$E$1:$N$300,MATCH(D$1,'UPD Questions_290926 '!$E$1:$N$1,0),0)&amp;"")</f>
        <v>Spatial planning hierarchy</v>
      </c>
      <c r="E5" s="75" t="str">
        <f aca="false">IF(ISBLANK($A5),"NO_CODE",VLOOKUP($A5,'UPD Questions_290926 '!$E$1:$N$300,MATCH(E$1,'UPD Questions_290926 '!$E$1:$N$1,0),0)&amp;"")</f>
        <v>MQ</v>
      </c>
      <c r="F5" s="75" t="str">
        <f aca="false">IF(ISBLANK($A5),"NO_CODE",VLOOKUP($A5,'UPD Questions_290926 '!$E$1:$N$300,MATCH(F$1,'UPD Questions_290926 '!$E$1:$N$1,0),0)&amp;"")</f>
        <v>Does the Act require three levels of spatial plans for cities: Metropolitan/Regional, Municipal and Ward(s) /Local</v>
      </c>
      <c r="G5" s="75" t="str">
        <f aca="false">IF(ISBLANK($A5),"NO_CODE",VLOOKUP($A5,'UPD Questions_290926 '!$E$1:$N$300,MATCH(G$1,'UPD Questions_290926 '!$E$1:$N$1,0),0)&amp;"")</f>
        <v>Law or Policy</v>
      </c>
      <c r="H5" s="77" t="n">
        <f aca="false">IF(ISBLANK($A5),"NO_CODE",VLOOKUP($A5,'UPD Questions_290926 '!$E$1:$N$300,MATCH(H$1,'UPD Questions_290926 '!$E$1:$N$1,0),0))</f>
        <v>10</v>
      </c>
      <c r="I5" s="78" t="str">
        <f aca="false">IF(OR(I6="ER",I7="ER",I8="ER"),"ER",IF(OR(I6="?",I7="?",I8="?"),"?",IF(AND(I6="NA",I7="NA",I8="NA"),"NA",SUM(I6,I7,I8)/((I6&lt;&gt;"NA")*$H$6+(I7&lt;&gt;"NA")*$H$7+(I8&lt;&gt;"NA")*$H$8)*$H5)))</f>
        <v>?</v>
      </c>
      <c r="J5" s="78" t="str">
        <f aca="false">IF(OR(J6="ER",J7="ER",J8="ER"),"ER",IF(OR(J6="?",J7="?",J8="?"),"?",IF(AND(J6="NA",J7="NA",J8="NA"),"NA",SUM(J6,J7,J8)/((J6&lt;&gt;"NA")*$H$6+(J7&lt;&gt;"NA")*$H$7+(J8&lt;&gt;"NA")*$H$8)*$H5)))</f>
        <v>?</v>
      </c>
      <c r="K5" s="78" t="str">
        <f aca="false">IF(OR(K6="ER",K7="ER",K8="ER"),"ER",IF(OR(K6="?",K7="?",K8="?"),"?",IF(AND(K6="NA",K7="NA",K8="NA"),"NA",SUM(K6,K7,K8)/((K6&lt;&gt;"NA")*$H$6+(K7&lt;&gt;"NA")*$H$7+(K8&lt;&gt;"NA")*$H$8)*$H5)))</f>
        <v>?</v>
      </c>
      <c r="L5" s="78" t="str">
        <f aca="false">IF(OR(L6="ER",L7="ER",L8="ER"),"ER",IF(OR(L6="?",L7="?",L8="?"),"?",IF(AND(L6="NA",L7="NA",L8="NA"),"NA",SUM(L6,L7,L8)/((L6&lt;&gt;"NA")*$H$6+(L7&lt;&gt;"NA")*$H$7+(L8&lt;&gt;"NA")*$H$8)*$H5)))</f>
        <v>?</v>
      </c>
      <c r="M5" s="78" t="str">
        <f aca="false">IF(OR(M6="ER",M7="ER",M8="ER"),"ER",IF(OR(M6="?",M7="?",M8="?"),"?",IF(AND(M6="NA",M7="NA",M8="NA"),"NA",SUM(M6,M7,M8)/((M6&lt;&gt;"NA")*$H$6+(M7&lt;&gt;"NA")*$H$7+(M8&lt;&gt;"NA")*$H$8)*$H5)))</f>
        <v>?</v>
      </c>
      <c r="N5" s="78" t="str">
        <f aca="false">IF(OR(N6="ER",N7="ER",N8="ER"),"ER",IF(OR(N6="?",N7="?",N8="?"),"?",IF(AND(N6="NA",N7="NA",N8="NA"),"NA",SUM(N6,N7,N8)/((N6&lt;&gt;"NA")*$H$6+(N7&lt;&gt;"NA")*$H$7+(N8&lt;&gt;"NA")*$H$8)*$H5)))</f>
        <v>?</v>
      </c>
      <c r="O5" s="78" t="str">
        <f aca="false">IF(OR(O6="ER",O7="ER",O8="ER"),"ER",IF(OR(O6="?",O7="?",O8="?"),"?",IF(AND(O6="NA",O7="NA",O8="NA"),"NA",SUM(O6,O7,O8)/((O6&lt;&gt;"NA")*$H$6+(O7&lt;&gt;"NA")*$H$7+(O8&lt;&gt;"NA")*$H$8)*$H5)))</f>
        <v>?</v>
      </c>
      <c r="P5" s="78" t="str">
        <f aca="false">IF(OR(P6="ER",P7="ER",P8="ER"),"ER",IF(OR(P6="?",P7="?",P8="?"),"?",IF(AND(P6="NA",P7="NA",P8="NA"),"NA",SUM(P6,P7,P8)/((P6&lt;&gt;"NA")*$H$6+(P7&lt;&gt;"NA")*$H$7+(P8&lt;&gt;"NA")*$H$8)*$H5)))</f>
        <v>?</v>
      </c>
      <c r="Q5" s="78" t="str">
        <f aca="false">IF(OR(Q6="ER",Q7="ER",Q8="ER"),"ER",IF(OR(Q6="?",Q7="?",Q8="?"),"?",IF(AND(Q6="NA",Q7="NA",Q8="NA"),"NA",SUM(Q6,Q7,Q8)/((Q6&lt;&gt;"NA")*$H$6+(Q7&lt;&gt;"NA")*$H$7+(Q8&lt;&gt;"NA")*$H$8)*$H5)))</f>
        <v>?</v>
      </c>
      <c r="R5" s="78" t="str">
        <f aca="false">IF(OR(R6="ER",R7="ER",R8="ER"),"ER",IF(OR(R6="?",R7="?",R8="?"),"?",IF(AND(R6="NA",R7="NA",R8="NA"),"NA",SUM(R6,R7,R8)/((R6&lt;&gt;"NA")*$H$6+(R7&lt;&gt;"NA")*$H$7+(R8&lt;&gt;"NA")*$H$8)*$H5)))</f>
        <v>?</v>
      </c>
      <c r="S5" s="78" t="str">
        <f aca="false">IF(OR(S6="ER",S7="ER",S8="ER"),"ER",IF(OR(S6="?",S7="?",S8="?"),"?",IF(AND(S6="NA",S7="NA",S8="NA"),"NA",SUM(S6,S7,S8)/((S6&lt;&gt;"NA")*$H$6+(S7&lt;&gt;"NA")*$H$7+(S8&lt;&gt;"NA")*$H$8)*$H5)))</f>
        <v>?</v>
      </c>
      <c r="T5" s="78" t="str">
        <f aca="false">IF(OR(T6="ER",T7="ER",T8="ER"),"ER",IF(OR(T6="?",T7="?",T8="?"),"?",IF(AND(T6="NA",T7="NA",T8="NA"),"NA",SUM(T6,T7,T8)/((T6&lt;&gt;"NA")*$H$6+(T7&lt;&gt;"NA")*$H$7+(T8&lt;&gt;"NA")*$H$8)*$H5)))</f>
        <v>?</v>
      </c>
      <c r="U5" s="78" t="str">
        <f aca="false">IF(OR(U6="ER",U7="ER",U8="ER"),"ER",IF(OR(U6="?",U7="?",U8="?"),"?",IF(AND(U6="NA",U7="NA",U8="NA"),"NA",SUM(U6,U7,U8)/((U6&lt;&gt;"NA")*$H$6+(U7&lt;&gt;"NA")*$H$7+(U8&lt;&gt;"NA")*$H$8)*$H5)))</f>
        <v>?</v>
      </c>
      <c r="V5" s="78" t="str">
        <f aca="false">IF(OR(V6="ER",V7="ER",V8="ER"),"ER",IF(OR(V6="?",V7="?",V8="?"),"?",IF(AND(V6="NA",V7="NA",V8="NA"),"NA",SUM(V6,V7,V8)/((V6&lt;&gt;"NA")*$H$6+(V7&lt;&gt;"NA")*$H$7+(V8&lt;&gt;"NA")*$H$8)*$H5)))</f>
        <v>?</v>
      </c>
      <c r="W5" s="78" t="str">
        <f aca="false">IF(OR(W6="ER",W7="ER",W8="ER"),"ER",IF(OR(W6="?",W7="?",W8="?"),"?",IF(AND(W6="NA",W7="NA",W8="NA"),"NA",SUM(W6,W7,W8)/((W6&lt;&gt;"NA")*$H$6+(W7&lt;&gt;"NA")*$H$7+(W8&lt;&gt;"NA")*$H$8)*$H5)))</f>
        <v>?</v>
      </c>
      <c r="X5" s="78" t="str">
        <f aca="false">IF(OR(X6="ER",X7="ER",X8="ER"),"ER",IF(OR(X6="?",X7="?",X8="?"),"?",IF(AND(X6="NA",X7="NA",X8="NA"),"NA",SUM(X6,X7,X8)/((X6&lt;&gt;"NA")*$H$6+(X7&lt;&gt;"NA")*$H$7+(X8&lt;&gt;"NA")*$H$8)*$H5)))</f>
        <v>?</v>
      </c>
      <c r="Y5" s="78" t="str">
        <f aca="false">IF(OR(Y6="ER",Y7="ER",Y8="ER"),"ER",IF(OR(Y6="?",Y7="?",Y8="?"),"?",IF(AND(Y6="NA",Y7="NA",Y8="NA"),"NA",SUM(Y6,Y7,Y8)/((Y6&lt;&gt;"NA")*$H$6+(Y7&lt;&gt;"NA")*$H$7+(Y8&lt;&gt;"NA")*$H$8)*$H5)))</f>
        <v>?</v>
      </c>
      <c r="Z5" s="78" t="str">
        <f aca="false">IF(OR(Z6="ER",Z7="ER",Z8="ER"),"ER",IF(OR(Z6="?",Z7="?",Z8="?"),"?",IF(AND(Z6="NA",Z7="NA",Z8="NA"),"NA",SUM(Z6,Z7,Z8)/((Z6&lt;&gt;"NA")*$H$6+(Z7&lt;&gt;"NA")*$H$7+(Z8&lt;&gt;"NA")*$H$8)*$H5)))</f>
        <v>?</v>
      </c>
      <c r="AA5" s="78" t="str">
        <f aca="false">IF(OR(AA6="ER",AA7="ER",AA8="ER"),"ER",IF(OR(AA6="?",AA7="?",AA8="?"),"?",IF(AND(AA6="NA",AA7="NA",AA8="NA"),"NA",SUM(AA6,AA7,AA8)/((AA6&lt;&gt;"NA")*$H$6+(AA7&lt;&gt;"NA")*$H$7+(AA8&lt;&gt;"NA")*$H$8)*$H5)))</f>
        <v>?</v>
      </c>
      <c r="AB5" s="78" t="str">
        <f aca="false">IF(OR(AB6="ER",AB7="ER",AB8="ER"),"ER",IF(OR(AB6="?",AB7="?",AB8="?"),"?",IF(AND(AB6="NA",AB7="NA",AB8="NA"),"NA",SUM(AB6,AB7,AB8)/((AB6&lt;&gt;"NA")*$H$6+(AB7&lt;&gt;"NA")*$H$7+(AB8&lt;&gt;"NA")*$H$8)*$H5)))</f>
        <v>?</v>
      </c>
      <c r="AC5" s="78" t="str">
        <f aca="false">IF(OR(AC6="ER",AC7="ER",AC8="ER"),"ER",IF(OR(AC6="?",AC7="?",AC8="?"),"?",IF(AND(AC6="NA",AC7="NA",AC8="NA"),"NA",SUM(AC6,AC7,AC8)/((AC6&lt;&gt;"NA")*$H$6+(AC7&lt;&gt;"NA")*$H$7+(AC8&lt;&gt;"NA")*$H$8)*$H5)))</f>
        <v>?</v>
      </c>
      <c r="AD5" s="78" t="str">
        <f aca="false">IF(OR(AD6="ER",AD7="ER",AD8="ER"),"ER",IF(OR(AD6="?",AD7="?",AD8="?"),"?",IF(AND(AD6="NA",AD7="NA",AD8="NA"),"NA",SUM(AD6,AD7,AD8)/((AD6&lt;&gt;"NA")*$H$6+(AD7&lt;&gt;"NA")*$H$7+(AD8&lt;&gt;"NA")*$H$8)*$H5)))</f>
        <v>?</v>
      </c>
      <c r="AE5" s="78" t="str">
        <f aca="false">IF(OR(AE6="ER",AE7="ER",AE8="ER"),"ER",IF(OR(AE6="?",AE7="?",AE8="?"),"?",IF(AND(AE6="NA",AE7="NA",AE8="NA"),"NA",SUM(AE6,AE7,AE8)/((AE6&lt;&gt;"NA")*$H$6+(AE7&lt;&gt;"NA")*$H$7+(AE8&lt;&gt;"NA")*$H$8)*$H5)))</f>
        <v>?</v>
      </c>
      <c r="AF5" s="78" t="str">
        <f aca="false">IF(OR(AF6="ER",AF7="ER",AF8="ER"),"ER",IF(OR(AF6="?",AF7="?",AF8="?"),"?",IF(AND(AF6="NA",AF7="NA",AF8="NA"),"NA",SUM(AF6,AF7,AF8)/((AF6&lt;&gt;"NA")*$H$6+(AF7&lt;&gt;"NA")*$H$7+(AF8&lt;&gt;"NA")*$H$8)*$H5)))</f>
        <v>?</v>
      </c>
      <c r="AG5" s="78" t="str">
        <f aca="false">IF(OR(AG6="ER",AG7="ER",AG8="ER"),"ER",IF(OR(AG6="?",AG7="?",AG8="?"),"?",IF(AND(AG6="NA",AG7="NA",AG8="NA"),"NA",SUM(AG6,AG7,AG8)/((AG6&lt;&gt;"NA")*$H$6+(AG7&lt;&gt;"NA")*$H$7+(AG8&lt;&gt;"NA")*$H$8)*$H5)))</f>
        <v>?</v>
      </c>
      <c r="AH5" s="78" t="str">
        <f aca="false">IF(OR(AH6="ER",AH7="ER",AH8="ER"),"ER",IF(OR(AH6="?",AH7="?",AH8="?"),"?",IF(AND(AH6="NA",AH7="NA",AH8="NA"),"NA",SUM(AH6,AH7,AH8)/((AH6&lt;&gt;"NA")*$H$6+(AH7&lt;&gt;"NA")*$H$7+(AH8&lt;&gt;"NA")*$H$8)*$H5)))</f>
        <v>?</v>
      </c>
      <c r="AI5" s="78" t="str">
        <f aca="false">IF(OR(AI6="ER",AI7="ER",AI8="ER"),"ER",IF(OR(AI6="?",AI7="?",AI8="?"),"?",IF(AND(AI6="NA",AI7="NA",AI8="NA"),"NA",SUM(AI6,AI7,AI8)/((AI6&lt;&gt;"NA")*$H$6+(AI7&lt;&gt;"NA")*$H$7+(AI8&lt;&gt;"NA")*$H$8)*$H5)))</f>
        <v>?</v>
      </c>
      <c r="AJ5" s="78" t="str">
        <f aca="false">IF(OR(AJ6="ER",AJ7="ER",AJ8="ER"),"ER",IF(OR(AJ6="?",AJ7="?",AJ8="?"),"?",IF(AND(AJ6="NA",AJ7="NA",AJ8="NA"),"NA",SUM(AJ6,AJ7,AJ8)/((AJ6&lt;&gt;"NA")*$H$6+(AJ7&lt;&gt;"NA")*$H$7+(AJ8&lt;&gt;"NA")*$H$8)*$H5)))</f>
        <v>?</v>
      </c>
      <c r="AK5" s="78" t="str">
        <f aca="false">IF(OR(AK6="ER",AK7="ER",AK8="ER"),"ER",IF(OR(AK6="?",AK7="?",AK8="?"),"?",IF(AND(AK6="NA",AK7="NA",AK8="NA"),"NA",SUM(AK6,AK7,AK8)/((AK6&lt;&gt;"NA")*$H$6+(AK7&lt;&gt;"NA")*$H$7+(AK8&lt;&gt;"NA")*$H$8)*$H5)))</f>
        <v>?</v>
      </c>
    </row>
    <row r="6" customFormat="false" ht="25.5" hidden="false" customHeight="true" outlineLevel="0" collapsed="false">
      <c r="A6" s="74" t="s">
        <v>38</v>
      </c>
      <c r="B6" s="75" t="str">
        <f aca="false">IF(ISBLANK($A6),"NO_CODE",VLOOKUP($A6,'UPD Questions_290926 '!$E$1:$N$300,MATCH(B$1,'UPD Questions_290926 '!$E$1:$N$1,0),0)&amp;"")</f>
        <v>Planning </v>
      </c>
      <c r="C6" s="76" t="str">
        <f aca="false">IF(ISBLANK($A6),"NO_CODE",VLOOKUP($A6,'UPD Questions_290926 '!$E$1:$N$300,MATCH(C$1,'UPD Questions_290926 '!$E$1:$N$1,0),0)&amp;"")</f>
        <v>Legal and institutional planning architecture</v>
      </c>
      <c r="D6" s="75" t="str">
        <f aca="false">IF(ISBLANK($A6),"NO_CODE",VLOOKUP($A6,'UPD Questions_290926 '!$E$1:$N$300,MATCH(D$1,'UPD Questions_290926 '!$E$1:$N$1,0),0)&amp;"")</f>
        <v>Spatial planning hierarchy</v>
      </c>
      <c r="E6" s="75" t="str">
        <f aca="false">IF(ISBLANK($A6),"NO_CODE",VLOOKUP($A6,'UPD Questions_290926 '!$E$1:$N$300,MATCH(E$1,'UPD Questions_290926 '!$E$1:$N$1,0),0)&amp;"")</f>
        <v>SQ</v>
      </c>
      <c r="F6" s="75" t="str">
        <f aca="false">IF(ISBLANK($A6),"NO_CODE",VLOOKUP($A6,'UPD Questions_290926 '!$E$1:$N$300,MATCH(F$1,'UPD Questions_290926 '!$E$1:$N$1,0),0)&amp;"")</f>
        <v>Metropolitan/ Regional Plan</v>
      </c>
      <c r="G6" s="75" t="str">
        <f aca="false">IF(ISBLANK($A6),"NO_CODE",VLOOKUP($A6,'UPD Questions_290926 '!$E$1:$N$300,MATCH(G$1,'UPD Questions_290926 '!$E$1:$N$1,0),0)&amp;"")</f>
        <v>Law or Policy</v>
      </c>
      <c r="H6" s="77" t="n">
        <f aca="false">IF(ISBLANK($A6),"NO_CODE",VLOOKUP($A6,'UPD Questions_290926 '!$E$1:$N$300,MATCH(H$1,'UPD Questions_290926 '!$E$1:$N$1,0),0))</f>
        <v>3.33</v>
      </c>
      <c r="I6" s="78" t="str">
        <f aca="true">IF($H6=0,"NA",IF($A6=INDIRECT("'"&amp;$A6&amp;"'!$B$1"),IF(VLOOKUP(I$1,INDIRECT("'"&amp;$A6&amp;"'!$A$12:$Z$41"),MATCH("Points (Auto-generate)",INDIRECT("'"&amp;$A6&amp;"'!$A$12:$Z$12"),0),0)="","?",VLOOKUP(I$1,INDIRECT("'"&amp;$A6&amp;"'!$A$12:$Z$41"),MATCH("Points (Auto-generate)",INDIRECT("'"&amp;$A6&amp;"'!$A$12:$Z$12"),0),0)),"ER"))</f>
        <v>?</v>
      </c>
      <c r="J6" s="78" t="str">
        <f aca="true">IF($H6=0,"NA",IF($A6=INDIRECT("'"&amp;$A6&amp;"'!$B$1"),IF(VLOOKUP(J$1,INDIRECT("'"&amp;$A6&amp;"'!$A$12:$Z$41"),MATCH("Points (Auto-generate)",INDIRECT("'"&amp;$A6&amp;"'!$A$12:$Z$12"),0),0)="","?",VLOOKUP(J$1,INDIRECT("'"&amp;$A6&amp;"'!$A$12:$Z$41"),MATCH("Points (Auto-generate)",INDIRECT("'"&amp;$A6&amp;"'!$A$12:$Z$12"),0),0)),"ER"))</f>
        <v>?</v>
      </c>
      <c r="K6" s="78" t="str">
        <f aca="true">IF($H6=0,"NA",IF($A6=INDIRECT("'"&amp;$A6&amp;"'!$B$1"),IF(VLOOKUP(K$1,INDIRECT("'"&amp;$A6&amp;"'!$A$12:$Z$41"),MATCH("Points (Auto-generate)",INDIRECT("'"&amp;$A6&amp;"'!$A$12:$Z$12"),0),0)="","?",VLOOKUP(K$1,INDIRECT("'"&amp;$A6&amp;"'!$A$12:$Z$41"),MATCH("Points (Auto-generate)",INDIRECT("'"&amp;$A6&amp;"'!$A$12:$Z$12"),0),0)),"ER"))</f>
        <v>?</v>
      </c>
      <c r="L6" s="78" t="str">
        <f aca="true">IF($H6=0,"NA",IF($A6=INDIRECT("'"&amp;$A6&amp;"'!$B$1"),IF(VLOOKUP(L$1,INDIRECT("'"&amp;$A6&amp;"'!$A$12:$Z$41"),MATCH("Points (Auto-generate)",INDIRECT("'"&amp;$A6&amp;"'!$A$12:$Z$12"),0),0)="","?",VLOOKUP(L$1,INDIRECT("'"&amp;$A6&amp;"'!$A$12:$Z$41"),MATCH("Points (Auto-generate)",INDIRECT("'"&amp;$A6&amp;"'!$A$12:$Z$12"),0),0)),"ER"))</f>
        <v>?</v>
      </c>
      <c r="M6" s="78" t="str">
        <f aca="true">IF($H6=0,"NA",IF($A6=INDIRECT("'"&amp;$A6&amp;"'!$B$1"),IF(VLOOKUP(M$1,INDIRECT("'"&amp;$A6&amp;"'!$A$12:$Z$41"),MATCH("Points (Auto-generate)",INDIRECT("'"&amp;$A6&amp;"'!$A$12:$Z$12"),0),0)="","?",VLOOKUP(M$1,INDIRECT("'"&amp;$A6&amp;"'!$A$12:$Z$41"),MATCH("Points (Auto-generate)",INDIRECT("'"&amp;$A6&amp;"'!$A$12:$Z$12"),0),0)),"ER"))</f>
        <v>?</v>
      </c>
      <c r="N6" s="78" t="str">
        <f aca="true">IF($H6=0,"NA",IF($A6=INDIRECT("'"&amp;$A6&amp;"'!$B$1"),IF(VLOOKUP(N$1,INDIRECT("'"&amp;$A6&amp;"'!$A$12:$Z$41"),MATCH("Points (Auto-generate)",INDIRECT("'"&amp;$A6&amp;"'!$A$12:$Z$12"),0),0)="","?",VLOOKUP(N$1,INDIRECT("'"&amp;$A6&amp;"'!$A$12:$Z$41"),MATCH("Points (Auto-generate)",INDIRECT("'"&amp;$A6&amp;"'!$A$12:$Z$12"),0),0)),"ER"))</f>
        <v>?</v>
      </c>
      <c r="O6" s="78" t="str">
        <f aca="true">IF($H6=0,"NA",IF($A6=INDIRECT("'"&amp;$A6&amp;"'!$B$1"),IF(VLOOKUP(O$1,INDIRECT("'"&amp;$A6&amp;"'!$A$12:$Z$41"),MATCH("Points (Auto-generate)",INDIRECT("'"&amp;$A6&amp;"'!$A$12:$Z$12"),0),0)="","?",VLOOKUP(O$1,INDIRECT("'"&amp;$A6&amp;"'!$A$12:$Z$41"),MATCH("Points (Auto-generate)",INDIRECT("'"&amp;$A6&amp;"'!$A$12:$Z$12"),0),0)),"ER"))</f>
        <v>?</v>
      </c>
      <c r="P6" s="78" t="str">
        <f aca="true">IF($H6=0,"NA",IF($A6=INDIRECT("'"&amp;$A6&amp;"'!$B$1"),IF(VLOOKUP(P$1,INDIRECT("'"&amp;$A6&amp;"'!$A$12:$Z$41"),MATCH("Points (Auto-generate)",INDIRECT("'"&amp;$A6&amp;"'!$A$12:$Z$12"),0),0)="","?",VLOOKUP(P$1,INDIRECT("'"&amp;$A6&amp;"'!$A$12:$Z$41"),MATCH("Points (Auto-generate)",INDIRECT("'"&amp;$A6&amp;"'!$A$12:$Z$12"),0),0)),"ER"))</f>
        <v>?</v>
      </c>
      <c r="Q6" s="78" t="str">
        <f aca="true">IF($H6=0,"NA",IF($A6=INDIRECT("'"&amp;$A6&amp;"'!$B$1"),IF(VLOOKUP(Q$1,INDIRECT("'"&amp;$A6&amp;"'!$A$12:$Z$41"),MATCH("Points (Auto-generate)",INDIRECT("'"&amp;$A6&amp;"'!$A$12:$Z$12"),0),0)="","?",VLOOKUP(Q$1,INDIRECT("'"&amp;$A6&amp;"'!$A$12:$Z$41"),MATCH("Points (Auto-generate)",INDIRECT("'"&amp;$A6&amp;"'!$A$12:$Z$12"),0),0)),"ER"))</f>
        <v>?</v>
      </c>
      <c r="R6" s="78" t="str">
        <f aca="true">IF($H6=0,"NA",IF($A6=INDIRECT("'"&amp;$A6&amp;"'!$B$1"),IF(VLOOKUP(R$1,INDIRECT("'"&amp;$A6&amp;"'!$A$12:$Z$41"),MATCH("Points (Auto-generate)",INDIRECT("'"&amp;$A6&amp;"'!$A$12:$Z$12"),0),0)="","?",VLOOKUP(R$1,INDIRECT("'"&amp;$A6&amp;"'!$A$12:$Z$41"),MATCH("Points (Auto-generate)",INDIRECT("'"&amp;$A6&amp;"'!$A$12:$Z$12"),0),0)),"ER"))</f>
        <v>?</v>
      </c>
      <c r="S6" s="78" t="str">
        <f aca="true">IF($H6=0,"NA",IF($A6=INDIRECT("'"&amp;$A6&amp;"'!$B$1"),IF(VLOOKUP(S$1,INDIRECT("'"&amp;$A6&amp;"'!$A$12:$Z$41"),MATCH("Points (Auto-generate)",INDIRECT("'"&amp;$A6&amp;"'!$A$12:$Z$12"),0),0)="","?",VLOOKUP(S$1,INDIRECT("'"&amp;$A6&amp;"'!$A$12:$Z$41"),MATCH("Points (Auto-generate)",INDIRECT("'"&amp;$A6&amp;"'!$A$12:$Z$12"),0),0)),"ER"))</f>
        <v>?</v>
      </c>
      <c r="T6" s="78" t="str">
        <f aca="true">IF($H6=0,"NA",IF($A6=INDIRECT("'"&amp;$A6&amp;"'!$B$1"),IF(VLOOKUP(T$1,INDIRECT("'"&amp;$A6&amp;"'!$A$12:$Z$41"),MATCH("Points (Auto-generate)",INDIRECT("'"&amp;$A6&amp;"'!$A$12:$Z$12"),0),0)="","?",VLOOKUP(T$1,INDIRECT("'"&amp;$A6&amp;"'!$A$12:$Z$41"),MATCH("Points (Auto-generate)",INDIRECT("'"&amp;$A6&amp;"'!$A$12:$Z$12"),0),0)),"ER"))</f>
        <v>?</v>
      </c>
      <c r="U6" s="78" t="str">
        <f aca="true">IF($H6=0,"NA",IF($A6=INDIRECT("'"&amp;$A6&amp;"'!$B$1"),IF(VLOOKUP(U$1,INDIRECT("'"&amp;$A6&amp;"'!$A$12:$Z$41"),MATCH("Points (Auto-generate)",INDIRECT("'"&amp;$A6&amp;"'!$A$12:$Z$12"),0),0)="","?",VLOOKUP(U$1,INDIRECT("'"&amp;$A6&amp;"'!$A$12:$Z$41"),MATCH("Points (Auto-generate)",INDIRECT("'"&amp;$A6&amp;"'!$A$12:$Z$12"),0),0)),"ER"))</f>
        <v>?</v>
      </c>
      <c r="V6" s="78" t="str">
        <f aca="true">IF($H6=0,"NA",IF($A6=INDIRECT("'"&amp;$A6&amp;"'!$B$1"),IF(VLOOKUP(V$1,INDIRECT("'"&amp;$A6&amp;"'!$A$12:$Z$41"),MATCH("Points (Auto-generate)",INDIRECT("'"&amp;$A6&amp;"'!$A$12:$Z$12"),0),0)="","?",VLOOKUP(V$1,INDIRECT("'"&amp;$A6&amp;"'!$A$12:$Z$41"),MATCH("Points (Auto-generate)",INDIRECT("'"&amp;$A6&amp;"'!$A$12:$Z$12"),0),0)),"ER"))</f>
        <v>?</v>
      </c>
      <c r="W6" s="78" t="str">
        <f aca="true">IF($H6=0,"NA",IF($A6=INDIRECT("'"&amp;$A6&amp;"'!$B$1"),IF(VLOOKUP(W$1,INDIRECT("'"&amp;$A6&amp;"'!$A$12:$Z$41"),MATCH("Points (Auto-generate)",INDIRECT("'"&amp;$A6&amp;"'!$A$12:$Z$12"),0),0)="","?",VLOOKUP(W$1,INDIRECT("'"&amp;$A6&amp;"'!$A$12:$Z$41"),MATCH("Points (Auto-generate)",INDIRECT("'"&amp;$A6&amp;"'!$A$12:$Z$12"),0),0)),"ER"))</f>
        <v>?</v>
      </c>
      <c r="X6" s="78" t="str">
        <f aca="true">IF($H6=0,"NA",IF($A6=INDIRECT("'"&amp;$A6&amp;"'!$B$1"),IF(VLOOKUP(X$1,INDIRECT("'"&amp;$A6&amp;"'!$A$12:$Z$41"),MATCH("Points (Auto-generate)",INDIRECT("'"&amp;$A6&amp;"'!$A$12:$Z$12"),0),0)="","?",VLOOKUP(X$1,INDIRECT("'"&amp;$A6&amp;"'!$A$12:$Z$41"),MATCH("Points (Auto-generate)",INDIRECT("'"&amp;$A6&amp;"'!$A$12:$Z$12"),0),0)),"ER"))</f>
        <v>?</v>
      </c>
      <c r="Y6" s="78" t="str">
        <f aca="true">IF($H6=0,"NA",IF($A6=INDIRECT("'"&amp;$A6&amp;"'!$B$1"),IF(VLOOKUP(Y$1,INDIRECT("'"&amp;$A6&amp;"'!$A$12:$Z$41"),MATCH("Points (Auto-generate)",INDIRECT("'"&amp;$A6&amp;"'!$A$12:$Z$12"),0),0)="","?",VLOOKUP(Y$1,INDIRECT("'"&amp;$A6&amp;"'!$A$12:$Z$41"),MATCH("Points (Auto-generate)",INDIRECT("'"&amp;$A6&amp;"'!$A$12:$Z$12"),0),0)),"ER"))</f>
        <v>?</v>
      </c>
      <c r="Z6" s="78" t="str">
        <f aca="true">IF($H6=0,"NA",IF($A6=INDIRECT("'"&amp;$A6&amp;"'!$B$1"),IF(VLOOKUP(Z$1,INDIRECT("'"&amp;$A6&amp;"'!$A$12:$Z$41"),MATCH("Points (Auto-generate)",INDIRECT("'"&amp;$A6&amp;"'!$A$12:$Z$12"),0),0)="","?",VLOOKUP(Z$1,INDIRECT("'"&amp;$A6&amp;"'!$A$12:$Z$41"),MATCH("Points (Auto-generate)",INDIRECT("'"&amp;$A6&amp;"'!$A$12:$Z$12"),0),0)),"ER"))</f>
        <v>?</v>
      </c>
      <c r="AA6" s="78" t="str">
        <f aca="true">IF($H6=0,"NA",IF($A6=INDIRECT("'"&amp;$A6&amp;"'!$B$1"),IF(VLOOKUP(AA$1,INDIRECT("'"&amp;$A6&amp;"'!$A$12:$Z$41"),MATCH("Points (Auto-generate)",INDIRECT("'"&amp;$A6&amp;"'!$A$12:$Z$12"),0),0)="","?",VLOOKUP(AA$1,INDIRECT("'"&amp;$A6&amp;"'!$A$12:$Z$41"),MATCH("Points (Auto-generate)",INDIRECT("'"&amp;$A6&amp;"'!$A$12:$Z$12"),0),0)),"ER"))</f>
        <v>?</v>
      </c>
      <c r="AB6" s="78" t="str">
        <f aca="true">IF($H6=0,"NA",IF($A6=INDIRECT("'"&amp;$A6&amp;"'!$B$1"),IF(VLOOKUP(AB$1,INDIRECT("'"&amp;$A6&amp;"'!$A$12:$Z$41"),MATCH("Points (Auto-generate)",INDIRECT("'"&amp;$A6&amp;"'!$A$12:$Z$12"),0),0)="","?",VLOOKUP(AB$1,INDIRECT("'"&amp;$A6&amp;"'!$A$12:$Z$41"),MATCH("Points (Auto-generate)",INDIRECT("'"&amp;$A6&amp;"'!$A$12:$Z$12"),0),0)),"ER"))</f>
        <v>?</v>
      </c>
      <c r="AC6" s="78" t="str">
        <f aca="true">IF($H6=0,"NA",IF($A6=INDIRECT("'"&amp;$A6&amp;"'!$B$1"),IF(VLOOKUP(AC$1,INDIRECT("'"&amp;$A6&amp;"'!$A$12:$Z$41"),MATCH("Points (Auto-generate)",INDIRECT("'"&amp;$A6&amp;"'!$A$12:$Z$12"),0),0)="","?",VLOOKUP(AC$1,INDIRECT("'"&amp;$A6&amp;"'!$A$12:$Z$41"),MATCH("Points (Auto-generate)",INDIRECT("'"&amp;$A6&amp;"'!$A$12:$Z$12"),0),0)),"ER"))</f>
        <v>?</v>
      </c>
      <c r="AD6" s="78" t="str">
        <f aca="true">IF($H6=0,"NA",IF($A6=INDIRECT("'"&amp;$A6&amp;"'!$B$1"),IF(VLOOKUP(AD$1,INDIRECT("'"&amp;$A6&amp;"'!$A$12:$Z$41"),MATCH("Points (Auto-generate)",INDIRECT("'"&amp;$A6&amp;"'!$A$12:$Z$12"),0),0)="","?",VLOOKUP(AD$1,INDIRECT("'"&amp;$A6&amp;"'!$A$12:$Z$41"),MATCH("Points (Auto-generate)",INDIRECT("'"&amp;$A6&amp;"'!$A$12:$Z$12"),0),0)),"ER"))</f>
        <v>?</v>
      </c>
      <c r="AE6" s="78" t="str">
        <f aca="true">IF($H6=0,"NA",IF($A6=INDIRECT("'"&amp;$A6&amp;"'!$B$1"),IF(VLOOKUP(AE$1,INDIRECT("'"&amp;$A6&amp;"'!$A$12:$Z$41"),MATCH("Points (Auto-generate)",INDIRECT("'"&amp;$A6&amp;"'!$A$12:$Z$12"),0),0)="","?",VLOOKUP(AE$1,INDIRECT("'"&amp;$A6&amp;"'!$A$12:$Z$41"),MATCH("Points (Auto-generate)",INDIRECT("'"&amp;$A6&amp;"'!$A$12:$Z$12"),0),0)),"ER"))</f>
        <v>?</v>
      </c>
      <c r="AF6" s="78" t="str">
        <f aca="true">IF($H6=0,"NA",IF($A6=INDIRECT("'"&amp;$A6&amp;"'!$B$1"),IF(VLOOKUP(AF$1,INDIRECT("'"&amp;$A6&amp;"'!$A$12:$Z$41"),MATCH("Points (Auto-generate)",INDIRECT("'"&amp;$A6&amp;"'!$A$12:$Z$12"),0),0)="","?",VLOOKUP(AF$1,INDIRECT("'"&amp;$A6&amp;"'!$A$12:$Z$41"),MATCH("Points (Auto-generate)",INDIRECT("'"&amp;$A6&amp;"'!$A$12:$Z$12"),0),0)),"ER"))</f>
        <v>?</v>
      </c>
      <c r="AG6" s="78" t="str">
        <f aca="true">IF($H6=0,"NA",IF($A6=INDIRECT("'"&amp;$A6&amp;"'!$B$1"),IF(VLOOKUP(AG$1,INDIRECT("'"&amp;$A6&amp;"'!$A$12:$Z$41"),MATCH("Points (Auto-generate)",INDIRECT("'"&amp;$A6&amp;"'!$A$12:$Z$12"),0),0)="","?",VLOOKUP(AG$1,INDIRECT("'"&amp;$A6&amp;"'!$A$12:$Z$41"),MATCH("Points (Auto-generate)",INDIRECT("'"&amp;$A6&amp;"'!$A$12:$Z$12"),0),0)),"ER"))</f>
        <v>?</v>
      </c>
      <c r="AH6" s="78" t="str">
        <f aca="true">IF($H6=0,"NA",IF($A6=INDIRECT("'"&amp;$A6&amp;"'!$B$1"),IF(VLOOKUP(AH$1,INDIRECT("'"&amp;$A6&amp;"'!$A$12:$Z$41"),MATCH("Points (Auto-generate)",INDIRECT("'"&amp;$A6&amp;"'!$A$12:$Z$12"),0),0)="","?",VLOOKUP(AH$1,INDIRECT("'"&amp;$A6&amp;"'!$A$12:$Z$41"),MATCH("Points (Auto-generate)",INDIRECT("'"&amp;$A6&amp;"'!$A$12:$Z$12"),0),0)),"ER"))</f>
        <v>?</v>
      </c>
      <c r="AI6" s="78" t="str">
        <f aca="true">IF($H6=0,"NA",IF($A6=INDIRECT("'"&amp;$A6&amp;"'!$B$1"),IF(VLOOKUP(AI$1,INDIRECT("'"&amp;$A6&amp;"'!$A$12:$Z$41"),MATCH("Points (Auto-generate)",INDIRECT("'"&amp;$A6&amp;"'!$A$12:$Z$12"),0),0)="","?",VLOOKUP(AI$1,INDIRECT("'"&amp;$A6&amp;"'!$A$12:$Z$41"),MATCH("Points (Auto-generate)",INDIRECT("'"&amp;$A6&amp;"'!$A$12:$Z$12"),0),0)),"ER"))</f>
        <v>?</v>
      </c>
      <c r="AJ6" s="78" t="str">
        <f aca="true">IF($H6=0,"NA",IF($A6=INDIRECT("'"&amp;$A6&amp;"'!$B$1"),IF(VLOOKUP(AJ$1,INDIRECT("'"&amp;$A6&amp;"'!$A$12:$Z$41"),MATCH("Points (Auto-generate)",INDIRECT("'"&amp;$A6&amp;"'!$A$12:$Z$12"),0),0)="","?",VLOOKUP(AJ$1,INDIRECT("'"&amp;$A6&amp;"'!$A$12:$Z$41"),MATCH("Points (Auto-generate)",INDIRECT("'"&amp;$A6&amp;"'!$A$12:$Z$12"),0),0)),"ER"))</f>
        <v>?</v>
      </c>
      <c r="AK6" s="78" t="str">
        <f aca="true">IF($H6=0,"NA",IF($A6=INDIRECT("'"&amp;$A6&amp;"'!$B$1"),IF(VLOOKUP(AK$1,INDIRECT("'"&amp;$A6&amp;"'!$A$12:$Z$41"),MATCH("Points (Auto-generate)",INDIRECT("'"&amp;$A6&amp;"'!$A$12:$Z$12"),0),0)="","?",VLOOKUP(AK$1,INDIRECT("'"&amp;$A6&amp;"'!$A$12:$Z$41"),MATCH("Points (Auto-generate)",INDIRECT("'"&amp;$A6&amp;"'!$A$12:$Z$12"),0),0)),"ER"))</f>
        <v>?</v>
      </c>
    </row>
    <row r="7" customFormat="false" ht="25.5" hidden="false" customHeight="true" outlineLevel="0" collapsed="false">
      <c r="A7" s="74" t="s">
        <v>44</v>
      </c>
      <c r="B7" s="75" t="str">
        <f aca="false">IF(ISBLANK($A7),"NO_CODE",VLOOKUP($A7,'UPD Questions_290926 '!$E$1:$N$300,MATCH(B$1,'UPD Questions_290926 '!$E$1:$N$1,0),0)&amp;"")</f>
        <v>Planning </v>
      </c>
      <c r="C7" s="76" t="str">
        <f aca="false">IF(ISBLANK($A7),"NO_CODE",VLOOKUP($A7,'UPD Questions_290926 '!$E$1:$N$300,MATCH(C$1,'UPD Questions_290926 '!$E$1:$N$1,0),0)&amp;"")</f>
        <v>Legal and institutional planning architecture</v>
      </c>
      <c r="D7" s="75" t="str">
        <f aca="false">IF(ISBLANK($A7),"NO_CODE",VLOOKUP($A7,'UPD Questions_290926 '!$E$1:$N$300,MATCH(D$1,'UPD Questions_290926 '!$E$1:$N$1,0),0)&amp;"")</f>
        <v>Spatial planning hierarchy</v>
      </c>
      <c r="E7" s="75" t="str">
        <f aca="false">IF(ISBLANK($A7),"NO_CODE",VLOOKUP($A7,'UPD Questions_290926 '!$E$1:$N$300,MATCH(E$1,'UPD Questions_290926 '!$E$1:$N$1,0),0)&amp;"")</f>
        <v>SQ</v>
      </c>
      <c r="F7" s="75" t="str">
        <f aca="false">IF(ISBLANK($A7),"NO_CODE",VLOOKUP($A7,'UPD Questions_290926 '!$E$1:$N$300,MATCH(F$1,'UPD Questions_290926 '!$E$1:$N$1,0),0)&amp;"")</f>
        <v>Municipal/city plan</v>
      </c>
      <c r="G7" s="75" t="str">
        <f aca="false">IF(ISBLANK($A7),"NO_CODE",VLOOKUP($A7,'UPD Questions_290926 '!$E$1:$N$300,MATCH(G$1,'UPD Questions_290926 '!$E$1:$N$1,0),0)&amp;"")</f>
        <v>Law or Policy</v>
      </c>
      <c r="H7" s="77" t="n">
        <f aca="false">IF(ISBLANK($A7),"NO_CODE",VLOOKUP($A7,'UPD Questions_290926 '!$E$1:$N$300,MATCH(H$1,'UPD Questions_290926 '!$E$1:$N$1,0),0))</f>
        <v>3.33</v>
      </c>
      <c r="I7" s="78" t="str">
        <f aca="true">IF($H7=0,"NA",IF($A7=INDIRECT("'"&amp;$A7&amp;"'!$B$1"),IF(VLOOKUP(I$1,INDIRECT("'"&amp;$A7&amp;"'!$A$12:$Z$41"),MATCH("Points (Auto-generate)",INDIRECT("'"&amp;$A7&amp;"'!$A$12:$Z$12"),0),0)="","?",VLOOKUP(I$1,INDIRECT("'"&amp;$A7&amp;"'!$A$12:$Z$41"),MATCH("Points (Auto-generate)",INDIRECT("'"&amp;$A7&amp;"'!$A$12:$Z$12"),0),0)),"ER"))</f>
        <v>?</v>
      </c>
      <c r="J7" s="78" t="str">
        <f aca="true">IF($H7=0,"NA",IF($A7=INDIRECT("'"&amp;$A7&amp;"'!$B$1"),IF(VLOOKUP(J$1,INDIRECT("'"&amp;$A7&amp;"'!$A$12:$Z$41"),MATCH("Points (Auto-generate)",INDIRECT("'"&amp;$A7&amp;"'!$A$12:$Z$12"),0),0)="","?",VLOOKUP(J$1,INDIRECT("'"&amp;$A7&amp;"'!$A$12:$Z$41"),MATCH("Points (Auto-generate)",INDIRECT("'"&amp;$A7&amp;"'!$A$12:$Z$12"),0),0)),"ER"))</f>
        <v>?</v>
      </c>
      <c r="K7" s="78" t="str">
        <f aca="true">IF($H7=0,"NA",IF($A7=INDIRECT("'"&amp;$A7&amp;"'!$B$1"),IF(VLOOKUP(K$1,INDIRECT("'"&amp;$A7&amp;"'!$A$12:$Z$41"),MATCH("Points (Auto-generate)",INDIRECT("'"&amp;$A7&amp;"'!$A$12:$Z$12"),0),0)="","?",VLOOKUP(K$1,INDIRECT("'"&amp;$A7&amp;"'!$A$12:$Z$41"),MATCH("Points (Auto-generate)",INDIRECT("'"&amp;$A7&amp;"'!$A$12:$Z$12"),0),0)),"ER"))</f>
        <v>?</v>
      </c>
      <c r="L7" s="78" t="str">
        <f aca="true">IF($H7=0,"NA",IF($A7=INDIRECT("'"&amp;$A7&amp;"'!$B$1"),IF(VLOOKUP(L$1,INDIRECT("'"&amp;$A7&amp;"'!$A$12:$Z$41"),MATCH("Points (Auto-generate)",INDIRECT("'"&amp;$A7&amp;"'!$A$12:$Z$12"),0),0)="","?",VLOOKUP(L$1,INDIRECT("'"&amp;$A7&amp;"'!$A$12:$Z$41"),MATCH("Points (Auto-generate)",INDIRECT("'"&amp;$A7&amp;"'!$A$12:$Z$12"),0),0)),"ER"))</f>
        <v>?</v>
      </c>
      <c r="M7" s="78" t="str">
        <f aca="true">IF($H7=0,"NA",IF($A7=INDIRECT("'"&amp;$A7&amp;"'!$B$1"),IF(VLOOKUP(M$1,INDIRECT("'"&amp;$A7&amp;"'!$A$12:$Z$41"),MATCH("Points (Auto-generate)",INDIRECT("'"&amp;$A7&amp;"'!$A$12:$Z$12"),0),0)="","?",VLOOKUP(M$1,INDIRECT("'"&amp;$A7&amp;"'!$A$12:$Z$41"),MATCH("Points (Auto-generate)",INDIRECT("'"&amp;$A7&amp;"'!$A$12:$Z$12"),0),0)),"ER"))</f>
        <v>?</v>
      </c>
      <c r="N7" s="78" t="str">
        <f aca="true">IF($H7=0,"NA",IF($A7=INDIRECT("'"&amp;$A7&amp;"'!$B$1"),IF(VLOOKUP(N$1,INDIRECT("'"&amp;$A7&amp;"'!$A$12:$Z$41"),MATCH("Points (Auto-generate)",INDIRECT("'"&amp;$A7&amp;"'!$A$12:$Z$12"),0),0)="","?",VLOOKUP(N$1,INDIRECT("'"&amp;$A7&amp;"'!$A$12:$Z$41"),MATCH("Points (Auto-generate)",INDIRECT("'"&amp;$A7&amp;"'!$A$12:$Z$12"),0),0)),"ER"))</f>
        <v>?</v>
      </c>
      <c r="O7" s="78" t="str">
        <f aca="true">IF($H7=0,"NA",IF($A7=INDIRECT("'"&amp;$A7&amp;"'!$B$1"),IF(VLOOKUP(O$1,INDIRECT("'"&amp;$A7&amp;"'!$A$12:$Z$41"),MATCH("Points (Auto-generate)",INDIRECT("'"&amp;$A7&amp;"'!$A$12:$Z$12"),0),0)="","?",VLOOKUP(O$1,INDIRECT("'"&amp;$A7&amp;"'!$A$12:$Z$41"),MATCH("Points (Auto-generate)",INDIRECT("'"&amp;$A7&amp;"'!$A$12:$Z$12"),0),0)),"ER"))</f>
        <v>?</v>
      </c>
      <c r="P7" s="78" t="str">
        <f aca="true">IF($H7=0,"NA",IF($A7=INDIRECT("'"&amp;$A7&amp;"'!$B$1"),IF(VLOOKUP(P$1,INDIRECT("'"&amp;$A7&amp;"'!$A$12:$Z$41"),MATCH("Points (Auto-generate)",INDIRECT("'"&amp;$A7&amp;"'!$A$12:$Z$12"),0),0)="","?",VLOOKUP(P$1,INDIRECT("'"&amp;$A7&amp;"'!$A$12:$Z$41"),MATCH("Points (Auto-generate)",INDIRECT("'"&amp;$A7&amp;"'!$A$12:$Z$12"),0),0)),"ER"))</f>
        <v>?</v>
      </c>
      <c r="Q7" s="78" t="str">
        <f aca="true">IF($H7=0,"NA",IF($A7=INDIRECT("'"&amp;$A7&amp;"'!$B$1"),IF(VLOOKUP(Q$1,INDIRECT("'"&amp;$A7&amp;"'!$A$12:$Z$41"),MATCH("Points (Auto-generate)",INDIRECT("'"&amp;$A7&amp;"'!$A$12:$Z$12"),0),0)="","?",VLOOKUP(Q$1,INDIRECT("'"&amp;$A7&amp;"'!$A$12:$Z$41"),MATCH("Points (Auto-generate)",INDIRECT("'"&amp;$A7&amp;"'!$A$12:$Z$12"),0),0)),"ER"))</f>
        <v>?</v>
      </c>
      <c r="R7" s="78" t="str">
        <f aca="true">IF($H7=0,"NA",IF($A7=INDIRECT("'"&amp;$A7&amp;"'!$B$1"),IF(VLOOKUP(R$1,INDIRECT("'"&amp;$A7&amp;"'!$A$12:$Z$41"),MATCH("Points (Auto-generate)",INDIRECT("'"&amp;$A7&amp;"'!$A$12:$Z$12"),0),0)="","?",VLOOKUP(R$1,INDIRECT("'"&amp;$A7&amp;"'!$A$12:$Z$41"),MATCH("Points (Auto-generate)",INDIRECT("'"&amp;$A7&amp;"'!$A$12:$Z$12"),0),0)),"ER"))</f>
        <v>?</v>
      </c>
      <c r="S7" s="78" t="str">
        <f aca="true">IF($H7=0,"NA",IF($A7=INDIRECT("'"&amp;$A7&amp;"'!$B$1"),IF(VLOOKUP(S$1,INDIRECT("'"&amp;$A7&amp;"'!$A$12:$Z$41"),MATCH("Points (Auto-generate)",INDIRECT("'"&amp;$A7&amp;"'!$A$12:$Z$12"),0),0)="","?",VLOOKUP(S$1,INDIRECT("'"&amp;$A7&amp;"'!$A$12:$Z$41"),MATCH("Points (Auto-generate)",INDIRECT("'"&amp;$A7&amp;"'!$A$12:$Z$12"),0),0)),"ER"))</f>
        <v>?</v>
      </c>
      <c r="T7" s="78" t="str">
        <f aca="true">IF($H7=0,"NA",IF($A7=INDIRECT("'"&amp;$A7&amp;"'!$B$1"),IF(VLOOKUP(T$1,INDIRECT("'"&amp;$A7&amp;"'!$A$12:$Z$41"),MATCH("Points (Auto-generate)",INDIRECT("'"&amp;$A7&amp;"'!$A$12:$Z$12"),0),0)="","?",VLOOKUP(T$1,INDIRECT("'"&amp;$A7&amp;"'!$A$12:$Z$41"),MATCH("Points (Auto-generate)",INDIRECT("'"&amp;$A7&amp;"'!$A$12:$Z$12"),0),0)),"ER"))</f>
        <v>?</v>
      </c>
      <c r="U7" s="78" t="str">
        <f aca="true">IF($H7=0,"NA",IF($A7=INDIRECT("'"&amp;$A7&amp;"'!$B$1"),IF(VLOOKUP(U$1,INDIRECT("'"&amp;$A7&amp;"'!$A$12:$Z$41"),MATCH("Points (Auto-generate)",INDIRECT("'"&amp;$A7&amp;"'!$A$12:$Z$12"),0),0)="","?",VLOOKUP(U$1,INDIRECT("'"&amp;$A7&amp;"'!$A$12:$Z$41"),MATCH("Points (Auto-generate)",INDIRECT("'"&amp;$A7&amp;"'!$A$12:$Z$12"),0),0)),"ER"))</f>
        <v>?</v>
      </c>
      <c r="V7" s="78" t="str">
        <f aca="true">IF($H7=0,"NA",IF($A7=INDIRECT("'"&amp;$A7&amp;"'!$B$1"),IF(VLOOKUP(V$1,INDIRECT("'"&amp;$A7&amp;"'!$A$12:$Z$41"),MATCH("Points (Auto-generate)",INDIRECT("'"&amp;$A7&amp;"'!$A$12:$Z$12"),0),0)="","?",VLOOKUP(V$1,INDIRECT("'"&amp;$A7&amp;"'!$A$12:$Z$41"),MATCH("Points (Auto-generate)",INDIRECT("'"&amp;$A7&amp;"'!$A$12:$Z$12"),0),0)),"ER"))</f>
        <v>?</v>
      </c>
      <c r="W7" s="78" t="str">
        <f aca="true">IF($H7=0,"NA",IF($A7=INDIRECT("'"&amp;$A7&amp;"'!$B$1"),IF(VLOOKUP(W$1,INDIRECT("'"&amp;$A7&amp;"'!$A$12:$Z$41"),MATCH("Points (Auto-generate)",INDIRECT("'"&amp;$A7&amp;"'!$A$12:$Z$12"),0),0)="","?",VLOOKUP(W$1,INDIRECT("'"&amp;$A7&amp;"'!$A$12:$Z$41"),MATCH("Points (Auto-generate)",INDIRECT("'"&amp;$A7&amp;"'!$A$12:$Z$12"),0),0)),"ER"))</f>
        <v>?</v>
      </c>
      <c r="X7" s="78" t="str">
        <f aca="true">IF($H7=0,"NA",IF($A7=INDIRECT("'"&amp;$A7&amp;"'!$B$1"),IF(VLOOKUP(X$1,INDIRECT("'"&amp;$A7&amp;"'!$A$12:$Z$41"),MATCH("Points (Auto-generate)",INDIRECT("'"&amp;$A7&amp;"'!$A$12:$Z$12"),0),0)="","?",VLOOKUP(X$1,INDIRECT("'"&amp;$A7&amp;"'!$A$12:$Z$41"),MATCH("Points (Auto-generate)",INDIRECT("'"&amp;$A7&amp;"'!$A$12:$Z$12"),0),0)),"ER"))</f>
        <v>?</v>
      </c>
      <c r="Y7" s="78" t="str">
        <f aca="true">IF($H7=0,"NA",IF($A7=INDIRECT("'"&amp;$A7&amp;"'!$B$1"),IF(VLOOKUP(Y$1,INDIRECT("'"&amp;$A7&amp;"'!$A$12:$Z$41"),MATCH("Points (Auto-generate)",INDIRECT("'"&amp;$A7&amp;"'!$A$12:$Z$12"),0),0)="","?",VLOOKUP(Y$1,INDIRECT("'"&amp;$A7&amp;"'!$A$12:$Z$41"),MATCH("Points (Auto-generate)",INDIRECT("'"&amp;$A7&amp;"'!$A$12:$Z$12"),0),0)),"ER"))</f>
        <v>?</v>
      </c>
      <c r="Z7" s="78" t="str">
        <f aca="true">IF($H7=0,"NA",IF($A7=INDIRECT("'"&amp;$A7&amp;"'!$B$1"),IF(VLOOKUP(Z$1,INDIRECT("'"&amp;$A7&amp;"'!$A$12:$Z$41"),MATCH("Points (Auto-generate)",INDIRECT("'"&amp;$A7&amp;"'!$A$12:$Z$12"),0),0)="","?",VLOOKUP(Z$1,INDIRECT("'"&amp;$A7&amp;"'!$A$12:$Z$41"),MATCH("Points (Auto-generate)",INDIRECT("'"&amp;$A7&amp;"'!$A$12:$Z$12"),0),0)),"ER"))</f>
        <v>?</v>
      </c>
      <c r="AA7" s="78" t="str">
        <f aca="true">IF($H7=0,"NA",IF($A7=INDIRECT("'"&amp;$A7&amp;"'!$B$1"),IF(VLOOKUP(AA$1,INDIRECT("'"&amp;$A7&amp;"'!$A$12:$Z$41"),MATCH("Points (Auto-generate)",INDIRECT("'"&amp;$A7&amp;"'!$A$12:$Z$12"),0),0)="","?",VLOOKUP(AA$1,INDIRECT("'"&amp;$A7&amp;"'!$A$12:$Z$41"),MATCH("Points (Auto-generate)",INDIRECT("'"&amp;$A7&amp;"'!$A$12:$Z$12"),0),0)),"ER"))</f>
        <v>?</v>
      </c>
      <c r="AB7" s="78" t="str">
        <f aca="true">IF($H7=0,"NA",IF($A7=INDIRECT("'"&amp;$A7&amp;"'!$B$1"),IF(VLOOKUP(AB$1,INDIRECT("'"&amp;$A7&amp;"'!$A$12:$Z$41"),MATCH("Points (Auto-generate)",INDIRECT("'"&amp;$A7&amp;"'!$A$12:$Z$12"),0),0)="","?",VLOOKUP(AB$1,INDIRECT("'"&amp;$A7&amp;"'!$A$12:$Z$41"),MATCH("Points (Auto-generate)",INDIRECT("'"&amp;$A7&amp;"'!$A$12:$Z$12"),0),0)),"ER"))</f>
        <v>?</v>
      </c>
      <c r="AC7" s="78" t="str">
        <f aca="true">IF($H7=0,"NA",IF($A7=INDIRECT("'"&amp;$A7&amp;"'!$B$1"),IF(VLOOKUP(AC$1,INDIRECT("'"&amp;$A7&amp;"'!$A$12:$Z$41"),MATCH("Points (Auto-generate)",INDIRECT("'"&amp;$A7&amp;"'!$A$12:$Z$12"),0),0)="","?",VLOOKUP(AC$1,INDIRECT("'"&amp;$A7&amp;"'!$A$12:$Z$41"),MATCH("Points (Auto-generate)",INDIRECT("'"&amp;$A7&amp;"'!$A$12:$Z$12"),0),0)),"ER"))</f>
        <v>?</v>
      </c>
      <c r="AD7" s="78" t="str">
        <f aca="true">IF($H7=0,"NA",IF($A7=INDIRECT("'"&amp;$A7&amp;"'!$B$1"),IF(VLOOKUP(AD$1,INDIRECT("'"&amp;$A7&amp;"'!$A$12:$Z$41"),MATCH("Points (Auto-generate)",INDIRECT("'"&amp;$A7&amp;"'!$A$12:$Z$12"),0),0)="","?",VLOOKUP(AD$1,INDIRECT("'"&amp;$A7&amp;"'!$A$12:$Z$41"),MATCH("Points (Auto-generate)",INDIRECT("'"&amp;$A7&amp;"'!$A$12:$Z$12"),0),0)),"ER"))</f>
        <v>?</v>
      </c>
      <c r="AE7" s="78" t="str">
        <f aca="true">IF($H7=0,"NA",IF($A7=INDIRECT("'"&amp;$A7&amp;"'!$B$1"),IF(VLOOKUP(AE$1,INDIRECT("'"&amp;$A7&amp;"'!$A$12:$Z$41"),MATCH("Points (Auto-generate)",INDIRECT("'"&amp;$A7&amp;"'!$A$12:$Z$12"),0),0)="","?",VLOOKUP(AE$1,INDIRECT("'"&amp;$A7&amp;"'!$A$12:$Z$41"),MATCH("Points (Auto-generate)",INDIRECT("'"&amp;$A7&amp;"'!$A$12:$Z$12"),0),0)),"ER"))</f>
        <v>?</v>
      </c>
      <c r="AF7" s="78" t="str">
        <f aca="true">IF($H7=0,"NA",IF($A7=INDIRECT("'"&amp;$A7&amp;"'!$B$1"),IF(VLOOKUP(AF$1,INDIRECT("'"&amp;$A7&amp;"'!$A$12:$Z$41"),MATCH("Points (Auto-generate)",INDIRECT("'"&amp;$A7&amp;"'!$A$12:$Z$12"),0),0)="","?",VLOOKUP(AF$1,INDIRECT("'"&amp;$A7&amp;"'!$A$12:$Z$41"),MATCH("Points (Auto-generate)",INDIRECT("'"&amp;$A7&amp;"'!$A$12:$Z$12"),0),0)),"ER"))</f>
        <v>?</v>
      </c>
      <c r="AG7" s="78" t="str">
        <f aca="true">IF($H7=0,"NA",IF($A7=INDIRECT("'"&amp;$A7&amp;"'!$B$1"),IF(VLOOKUP(AG$1,INDIRECT("'"&amp;$A7&amp;"'!$A$12:$Z$41"),MATCH("Points (Auto-generate)",INDIRECT("'"&amp;$A7&amp;"'!$A$12:$Z$12"),0),0)="","?",VLOOKUP(AG$1,INDIRECT("'"&amp;$A7&amp;"'!$A$12:$Z$41"),MATCH("Points (Auto-generate)",INDIRECT("'"&amp;$A7&amp;"'!$A$12:$Z$12"),0),0)),"ER"))</f>
        <v>?</v>
      </c>
      <c r="AH7" s="78" t="str">
        <f aca="true">IF($H7=0,"NA",IF($A7=INDIRECT("'"&amp;$A7&amp;"'!$B$1"),IF(VLOOKUP(AH$1,INDIRECT("'"&amp;$A7&amp;"'!$A$12:$Z$41"),MATCH("Points (Auto-generate)",INDIRECT("'"&amp;$A7&amp;"'!$A$12:$Z$12"),0),0)="","?",VLOOKUP(AH$1,INDIRECT("'"&amp;$A7&amp;"'!$A$12:$Z$41"),MATCH("Points (Auto-generate)",INDIRECT("'"&amp;$A7&amp;"'!$A$12:$Z$12"),0),0)),"ER"))</f>
        <v>?</v>
      </c>
      <c r="AI7" s="78" t="str">
        <f aca="true">IF($H7=0,"NA",IF($A7=INDIRECT("'"&amp;$A7&amp;"'!$B$1"),IF(VLOOKUP(AI$1,INDIRECT("'"&amp;$A7&amp;"'!$A$12:$Z$41"),MATCH("Points (Auto-generate)",INDIRECT("'"&amp;$A7&amp;"'!$A$12:$Z$12"),0),0)="","?",VLOOKUP(AI$1,INDIRECT("'"&amp;$A7&amp;"'!$A$12:$Z$41"),MATCH("Points (Auto-generate)",INDIRECT("'"&amp;$A7&amp;"'!$A$12:$Z$12"),0),0)),"ER"))</f>
        <v>?</v>
      </c>
      <c r="AJ7" s="78" t="str">
        <f aca="true">IF($H7=0,"NA",IF($A7=INDIRECT("'"&amp;$A7&amp;"'!$B$1"),IF(VLOOKUP(AJ$1,INDIRECT("'"&amp;$A7&amp;"'!$A$12:$Z$41"),MATCH("Points (Auto-generate)",INDIRECT("'"&amp;$A7&amp;"'!$A$12:$Z$12"),0),0)="","?",VLOOKUP(AJ$1,INDIRECT("'"&amp;$A7&amp;"'!$A$12:$Z$41"),MATCH("Points (Auto-generate)",INDIRECT("'"&amp;$A7&amp;"'!$A$12:$Z$12"),0),0)),"ER"))</f>
        <v>?</v>
      </c>
      <c r="AK7" s="78" t="str">
        <f aca="true">IF($H7=0,"NA",IF($A7=INDIRECT("'"&amp;$A7&amp;"'!$B$1"),IF(VLOOKUP(AK$1,INDIRECT("'"&amp;$A7&amp;"'!$A$12:$Z$41"),MATCH("Points (Auto-generate)",INDIRECT("'"&amp;$A7&amp;"'!$A$12:$Z$12"),0),0)="","?",VLOOKUP(AK$1,INDIRECT("'"&amp;$A7&amp;"'!$A$12:$Z$41"),MATCH("Points (Auto-generate)",INDIRECT("'"&amp;$A7&amp;"'!$A$12:$Z$12"),0),0)),"ER"))</f>
        <v>?</v>
      </c>
    </row>
    <row r="8" customFormat="false" ht="25.5" hidden="false" customHeight="true" outlineLevel="0" collapsed="false">
      <c r="A8" s="74" t="s">
        <v>49</v>
      </c>
      <c r="B8" s="75" t="str">
        <f aca="false">IF(ISBLANK($A8),"NO_CODE",VLOOKUP($A8,'UPD Questions_290926 '!$E$1:$N$300,MATCH(B$1,'UPD Questions_290926 '!$E$1:$N$1,0),0)&amp;"")</f>
        <v>Planning </v>
      </c>
      <c r="C8" s="76" t="str">
        <f aca="false">IF(ISBLANK($A8),"NO_CODE",VLOOKUP($A8,'UPD Questions_290926 '!$E$1:$N$300,MATCH(C$1,'UPD Questions_290926 '!$E$1:$N$1,0),0)&amp;"")</f>
        <v>Legal and institutional planning architecture</v>
      </c>
      <c r="D8" s="75" t="str">
        <f aca="false">IF(ISBLANK($A8),"NO_CODE",VLOOKUP($A8,'UPD Questions_290926 '!$E$1:$N$300,MATCH(D$1,'UPD Questions_290926 '!$E$1:$N$1,0),0)&amp;"")</f>
        <v>Spatial planning hierarchy</v>
      </c>
      <c r="E8" s="75" t="str">
        <f aca="false">IF(ISBLANK($A8),"NO_CODE",VLOOKUP($A8,'UPD Questions_290926 '!$E$1:$N$300,MATCH(E$1,'UPD Questions_290926 '!$E$1:$N$1,0),0)&amp;"")</f>
        <v>SQ</v>
      </c>
      <c r="F8" s="75" t="str">
        <f aca="false">IF(ISBLANK($A8),"NO_CODE",VLOOKUP($A8,'UPD Questions_290926 '!$E$1:$N$300,MATCH(F$1,'UPD Questions_290926 '!$E$1:$N$1,0),0)&amp;"")</f>
        <v>Ward(s)/local plan</v>
      </c>
      <c r="G8" s="75" t="str">
        <f aca="false">IF(ISBLANK($A8),"NO_CODE",VLOOKUP($A8,'UPD Questions_290926 '!$E$1:$N$300,MATCH(G$1,'UPD Questions_290926 '!$E$1:$N$1,0),0)&amp;"")</f>
        <v>Law or Policy</v>
      </c>
      <c r="H8" s="77" t="n">
        <f aca="false">IF(ISBLANK($A8),"NO_CODE",VLOOKUP($A8,'UPD Questions_290926 '!$E$1:$N$300,MATCH(H$1,'UPD Questions_290926 '!$E$1:$N$1,0),0))</f>
        <v>3.33</v>
      </c>
      <c r="I8" s="78" t="str">
        <f aca="true">IF($H8=0,"NA",IF($A8=INDIRECT("'"&amp;$A8&amp;"'!$B$1"),IF(VLOOKUP(I$1,INDIRECT("'"&amp;$A8&amp;"'!$A$12:$Z$41"),MATCH("Points (Auto-generate)",INDIRECT("'"&amp;$A8&amp;"'!$A$12:$Z$12"),0),0)="","?",VLOOKUP(I$1,INDIRECT("'"&amp;$A8&amp;"'!$A$12:$Z$41"),MATCH("Points (Auto-generate)",INDIRECT("'"&amp;$A8&amp;"'!$A$12:$Z$12"),0),0)),"ER"))</f>
        <v>?</v>
      </c>
      <c r="J8" s="78" t="str">
        <f aca="true">IF($H8=0,"NA",IF($A8=INDIRECT("'"&amp;$A8&amp;"'!$B$1"),IF(VLOOKUP(J$1,INDIRECT("'"&amp;$A8&amp;"'!$A$12:$Z$41"),MATCH("Points (Auto-generate)",INDIRECT("'"&amp;$A8&amp;"'!$A$12:$Z$12"),0),0)="","?",VLOOKUP(J$1,INDIRECT("'"&amp;$A8&amp;"'!$A$12:$Z$41"),MATCH("Points (Auto-generate)",INDIRECT("'"&amp;$A8&amp;"'!$A$12:$Z$12"),0),0)),"ER"))</f>
        <v>?</v>
      </c>
      <c r="K8" s="78" t="str">
        <f aca="true">IF($H8=0,"NA",IF($A8=INDIRECT("'"&amp;$A8&amp;"'!$B$1"),IF(VLOOKUP(K$1,INDIRECT("'"&amp;$A8&amp;"'!$A$12:$Z$41"),MATCH("Points (Auto-generate)",INDIRECT("'"&amp;$A8&amp;"'!$A$12:$Z$12"),0),0)="","?",VLOOKUP(K$1,INDIRECT("'"&amp;$A8&amp;"'!$A$12:$Z$41"),MATCH("Points (Auto-generate)",INDIRECT("'"&amp;$A8&amp;"'!$A$12:$Z$12"),0),0)),"ER"))</f>
        <v>?</v>
      </c>
      <c r="L8" s="78" t="str">
        <f aca="true">IF($H8=0,"NA",IF($A8=INDIRECT("'"&amp;$A8&amp;"'!$B$1"),IF(VLOOKUP(L$1,INDIRECT("'"&amp;$A8&amp;"'!$A$12:$Z$41"),MATCH("Points (Auto-generate)",INDIRECT("'"&amp;$A8&amp;"'!$A$12:$Z$12"),0),0)="","?",VLOOKUP(L$1,INDIRECT("'"&amp;$A8&amp;"'!$A$12:$Z$41"),MATCH("Points (Auto-generate)",INDIRECT("'"&amp;$A8&amp;"'!$A$12:$Z$12"),0),0)),"ER"))</f>
        <v>?</v>
      </c>
      <c r="M8" s="78" t="str">
        <f aca="true">IF($H8=0,"NA",IF($A8=INDIRECT("'"&amp;$A8&amp;"'!$B$1"),IF(VLOOKUP(M$1,INDIRECT("'"&amp;$A8&amp;"'!$A$12:$Z$41"),MATCH("Points (Auto-generate)",INDIRECT("'"&amp;$A8&amp;"'!$A$12:$Z$12"),0),0)="","?",VLOOKUP(M$1,INDIRECT("'"&amp;$A8&amp;"'!$A$12:$Z$41"),MATCH("Points (Auto-generate)",INDIRECT("'"&amp;$A8&amp;"'!$A$12:$Z$12"),0),0)),"ER"))</f>
        <v>?</v>
      </c>
      <c r="N8" s="78" t="str">
        <f aca="true">IF($H8=0,"NA",IF($A8=INDIRECT("'"&amp;$A8&amp;"'!$B$1"),IF(VLOOKUP(N$1,INDIRECT("'"&amp;$A8&amp;"'!$A$12:$Z$41"),MATCH("Points (Auto-generate)",INDIRECT("'"&amp;$A8&amp;"'!$A$12:$Z$12"),0),0)="","?",VLOOKUP(N$1,INDIRECT("'"&amp;$A8&amp;"'!$A$12:$Z$41"),MATCH("Points (Auto-generate)",INDIRECT("'"&amp;$A8&amp;"'!$A$12:$Z$12"),0),0)),"ER"))</f>
        <v>?</v>
      </c>
      <c r="O8" s="78" t="str">
        <f aca="true">IF($H8=0,"NA",IF($A8=INDIRECT("'"&amp;$A8&amp;"'!$B$1"),IF(VLOOKUP(O$1,INDIRECT("'"&amp;$A8&amp;"'!$A$12:$Z$41"),MATCH("Points (Auto-generate)",INDIRECT("'"&amp;$A8&amp;"'!$A$12:$Z$12"),0),0)="","?",VLOOKUP(O$1,INDIRECT("'"&amp;$A8&amp;"'!$A$12:$Z$41"),MATCH("Points (Auto-generate)",INDIRECT("'"&amp;$A8&amp;"'!$A$12:$Z$12"),0),0)),"ER"))</f>
        <v>?</v>
      </c>
      <c r="P8" s="78" t="str">
        <f aca="true">IF($H8=0,"NA",IF($A8=INDIRECT("'"&amp;$A8&amp;"'!$B$1"),IF(VLOOKUP(P$1,INDIRECT("'"&amp;$A8&amp;"'!$A$12:$Z$41"),MATCH("Points (Auto-generate)",INDIRECT("'"&amp;$A8&amp;"'!$A$12:$Z$12"),0),0)="","?",VLOOKUP(P$1,INDIRECT("'"&amp;$A8&amp;"'!$A$12:$Z$41"),MATCH("Points (Auto-generate)",INDIRECT("'"&amp;$A8&amp;"'!$A$12:$Z$12"),0),0)),"ER"))</f>
        <v>?</v>
      </c>
      <c r="Q8" s="78" t="str">
        <f aca="true">IF($H8=0,"NA",IF($A8=INDIRECT("'"&amp;$A8&amp;"'!$B$1"),IF(VLOOKUP(Q$1,INDIRECT("'"&amp;$A8&amp;"'!$A$12:$Z$41"),MATCH("Points (Auto-generate)",INDIRECT("'"&amp;$A8&amp;"'!$A$12:$Z$12"),0),0)="","?",VLOOKUP(Q$1,INDIRECT("'"&amp;$A8&amp;"'!$A$12:$Z$41"),MATCH("Points (Auto-generate)",INDIRECT("'"&amp;$A8&amp;"'!$A$12:$Z$12"),0),0)),"ER"))</f>
        <v>?</v>
      </c>
      <c r="R8" s="78" t="str">
        <f aca="true">IF($H8=0,"NA",IF($A8=INDIRECT("'"&amp;$A8&amp;"'!$B$1"),IF(VLOOKUP(R$1,INDIRECT("'"&amp;$A8&amp;"'!$A$12:$Z$41"),MATCH("Points (Auto-generate)",INDIRECT("'"&amp;$A8&amp;"'!$A$12:$Z$12"),0),0)="","?",VLOOKUP(R$1,INDIRECT("'"&amp;$A8&amp;"'!$A$12:$Z$41"),MATCH("Points (Auto-generate)",INDIRECT("'"&amp;$A8&amp;"'!$A$12:$Z$12"),0),0)),"ER"))</f>
        <v>?</v>
      </c>
      <c r="S8" s="78" t="str">
        <f aca="true">IF($H8=0,"NA",IF($A8=INDIRECT("'"&amp;$A8&amp;"'!$B$1"),IF(VLOOKUP(S$1,INDIRECT("'"&amp;$A8&amp;"'!$A$12:$Z$41"),MATCH("Points (Auto-generate)",INDIRECT("'"&amp;$A8&amp;"'!$A$12:$Z$12"),0),0)="","?",VLOOKUP(S$1,INDIRECT("'"&amp;$A8&amp;"'!$A$12:$Z$41"),MATCH("Points (Auto-generate)",INDIRECT("'"&amp;$A8&amp;"'!$A$12:$Z$12"),0),0)),"ER"))</f>
        <v>?</v>
      </c>
      <c r="T8" s="78" t="str">
        <f aca="true">IF($H8=0,"NA",IF($A8=INDIRECT("'"&amp;$A8&amp;"'!$B$1"),IF(VLOOKUP(T$1,INDIRECT("'"&amp;$A8&amp;"'!$A$12:$Z$41"),MATCH("Points (Auto-generate)",INDIRECT("'"&amp;$A8&amp;"'!$A$12:$Z$12"),0),0)="","?",VLOOKUP(T$1,INDIRECT("'"&amp;$A8&amp;"'!$A$12:$Z$41"),MATCH("Points (Auto-generate)",INDIRECT("'"&amp;$A8&amp;"'!$A$12:$Z$12"),0),0)),"ER"))</f>
        <v>?</v>
      </c>
      <c r="U8" s="78" t="str">
        <f aca="true">IF($H8=0,"NA",IF($A8=INDIRECT("'"&amp;$A8&amp;"'!$B$1"),IF(VLOOKUP(U$1,INDIRECT("'"&amp;$A8&amp;"'!$A$12:$Z$41"),MATCH("Points (Auto-generate)",INDIRECT("'"&amp;$A8&amp;"'!$A$12:$Z$12"),0),0)="","?",VLOOKUP(U$1,INDIRECT("'"&amp;$A8&amp;"'!$A$12:$Z$41"),MATCH("Points (Auto-generate)",INDIRECT("'"&amp;$A8&amp;"'!$A$12:$Z$12"),0),0)),"ER"))</f>
        <v>?</v>
      </c>
      <c r="V8" s="78" t="str">
        <f aca="true">IF($H8=0,"NA",IF($A8=INDIRECT("'"&amp;$A8&amp;"'!$B$1"),IF(VLOOKUP(V$1,INDIRECT("'"&amp;$A8&amp;"'!$A$12:$Z$41"),MATCH("Points (Auto-generate)",INDIRECT("'"&amp;$A8&amp;"'!$A$12:$Z$12"),0),0)="","?",VLOOKUP(V$1,INDIRECT("'"&amp;$A8&amp;"'!$A$12:$Z$41"),MATCH("Points (Auto-generate)",INDIRECT("'"&amp;$A8&amp;"'!$A$12:$Z$12"),0),0)),"ER"))</f>
        <v>?</v>
      </c>
      <c r="W8" s="78" t="str">
        <f aca="true">IF($H8=0,"NA",IF($A8=INDIRECT("'"&amp;$A8&amp;"'!$B$1"),IF(VLOOKUP(W$1,INDIRECT("'"&amp;$A8&amp;"'!$A$12:$Z$41"),MATCH("Points (Auto-generate)",INDIRECT("'"&amp;$A8&amp;"'!$A$12:$Z$12"),0),0)="","?",VLOOKUP(W$1,INDIRECT("'"&amp;$A8&amp;"'!$A$12:$Z$41"),MATCH("Points (Auto-generate)",INDIRECT("'"&amp;$A8&amp;"'!$A$12:$Z$12"),0),0)),"ER"))</f>
        <v>?</v>
      </c>
      <c r="X8" s="78" t="str">
        <f aca="true">IF($H8=0,"NA",IF($A8=INDIRECT("'"&amp;$A8&amp;"'!$B$1"),IF(VLOOKUP(X$1,INDIRECT("'"&amp;$A8&amp;"'!$A$12:$Z$41"),MATCH("Points (Auto-generate)",INDIRECT("'"&amp;$A8&amp;"'!$A$12:$Z$12"),0),0)="","?",VLOOKUP(X$1,INDIRECT("'"&amp;$A8&amp;"'!$A$12:$Z$41"),MATCH("Points (Auto-generate)",INDIRECT("'"&amp;$A8&amp;"'!$A$12:$Z$12"),0),0)),"ER"))</f>
        <v>?</v>
      </c>
      <c r="Y8" s="78" t="str">
        <f aca="true">IF($H8=0,"NA",IF($A8=INDIRECT("'"&amp;$A8&amp;"'!$B$1"),IF(VLOOKUP(Y$1,INDIRECT("'"&amp;$A8&amp;"'!$A$12:$Z$41"),MATCH("Points (Auto-generate)",INDIRECT("'"&amp;$A8&amp;"'!$A$12:$Z$12"),0),0)="","?",VLOOKUP(Y$1,INDIRECT("'"&amp;$A8&amp;"'!$A$12:$Z$41"),MATCH("Points (Auto-generate)",INDIRECT("'"&amp;$A8&amp;"'!$A$12:$Z$12"),0),0)),"ER"))</f>
        <v>?</v>
      </c>
      <c r="Z8" s="78" t="str">
        <f aca="true">IF($H8=0,"NA",IF($A8=INDIRECT("'"&amp;$A8&amp;"'!$B$1"),IF(VLOOKUP(Z$1,INDIRECT("'"&amp;$A8&amp;"'!$A$12:$Z$41"),MATCH("Points (Auto-generate)",INDIRECT("'"&amp;$A8&amp;"'!$A$12:$Z$12"),0),0)="","?",VLOOKUP(Z$1,INDIRECT("'"&amp;$A8&amp;"'!$A$12:$Z$41"),MATCH("Points (Auto-generate)",INDIRECT("'"&amp;$A8&amp;"'!$A$12:$Z$12"),0),0)),"ER"))</f>
        <v>?</v>
      </c>
      <c r="AA8" s="78" t="str">
        <f aca="true">IF($H8=0,"NA",IF($A8=INDIRECT("'"&amp;$A8&amp;"'!$B$1"),IF(VLOOKUP(AA$1,INDIRECT("'"&amp;$A8&amp;"'!$A$12:$Z$41"),MATCH("Points (Auto-generate)",INDIRECT("'"&amp;$A8&amp;"'!$A$12:$Z$12"),0),0)="","?",VLOOKUP(AA$1,INDIRECT("'"&amp;$A8&amp;"'!$A$12:$Z$41"),MATCH("Points (Auto-generate)",INDIRECT("'"&amp;$A8&amp;"'!$A$12:$Z$12"),0),0)),"ER"))</f>
        <v>?</v>
      </c>
      <c r="AB8" s="78" t="str">
        <f aca="true">IF($H8=0,"NA",IF($A8=INDIRECT("'"&amp;$A8&amp;"'!$B$1"),IF(VLOOKUP(AB$1,INDIRECT("'"&amp;$A8&amp;"'!$A$12:$Z$41"),MATCH("Points (Auto-generate)",INDIRECT("'"&amp;$A8&amp;"'!$A$12:$Z$12"),0),0)="","?",VLOOKUP(AB$1,INDIRECT("'"&amp;$A8&amp;"'!$A$12:$Z$41"),MATCH("Points (Auto-generate)",INDIRECT("'"&amp;$A8&amp;"'!$A$12:$Z$12"),0),0)),"ER"))</f>
        <v>?</v>
      </c>
      <c r="AC8" s="78" t="str">
        <f aca="true">IF($H8=0,"NA",IF($A8=INDIRECT("'"&amp;$A8&amp;"'!$B$1"),IF(VLOOKUP(AC$1,INDIRECT("'"&amp;$A8&amp;"'!$A$12:$Z$41"),MATCH("Points (Auto-generate)",INDIRECT("'"&amp;$A8&amp;"'!$A$12:$Z$12"),0),0)="","?",VLOOKUP(AC$1,INDIRECT("'"&amp;$A8&amp;"'!$A$12:$Z$41"),MATCH("Points (Auto-generate)",INDIRECT("'"&amp;$A8&amp;"'!$A$12:$Z$12"),0),0)),"ER"))</f>
        <v>?</v>
      </c>
      <c r="AD8" s="78" t="str">
        <f aca="true">IF($H8=0,"NA",IF($A8=INDIRECT("'"&amp;$A8&amp;"'!$B$1"),IF(VLOOKUP(AD$1,INDIRECT("'"&amp;$A8&amp;"'!$A$12:$Z$41"),MATCH("Points (Auto-generate)",INDIRECT("'"&amp;$A8&amp;"'!$A$12:$Z$12"),0),0)="","?",VLOOKUP(AD$1,INDIRECT("'"&amp;$A8&amp;"'!$A$12:$Z$41"),MATCH("Points (Auto-generate)",INDIRECT("'"&amp;$A8&amp;"'!$A$12:$Z$12"),0),0)),"ER"))</f>
        <v>?</v>
      </c>
      <c r="AE8" s="78" t="str">
        <f aca="true">IF($H8=0,"NA",IF($A8=INDIRECT("'"&amp;$A8&amp;"'!$B$1"),IF(VLOOKUP(AE$1,INDIRECT("'"&amp;$A8&amp;"'!$A$12:$Z$41"),MATCH("Points (Auto-generate)",INDIRECT("'"&amp;$A8&amp;"'!$A$12:$Z$12"),0),0)="","?",VLOOKUP(AE$1,INDIRECT("'"&amp;$A8&amp;"'!$A$12:$Z$41"),MATCH("Points (Auto-generate)",INDIRECT("'"&amp;$A8&amp;"'!$A$12:$Z$12"),0),0)),"ER"))</f>
        <v>?</v>
      </c>
      <c r="AF8" s="78" t="str">
        <f aca="true">IF($H8=0,"NA",IF($A8=INDIRECT("'"&amp;$A8&amp;"'!$B$1"),IF(VLOOKUP(AF$1,INDIRECT("'"&amp;$A8&amp;"'!$A$12:$Z$41"),MATCH("Points (Auto-generate)",INDIRECT("'"&amp;$A8&amp;"'!$A$12:$Z$12"),0),0)="","?",VLOOKUP(AF$1,INDIRECT("'"&amp;$A8&amp;"'!$A$12:$Z$41"),MATCH("Points (Auto-generate)",INDIRECT("'"&amp;$A8&amp;"'!$A$12:$Z$12"),0),0)),"ER"))</f>
        <v>?</v>
      </c>
      <c r="AG8" s="78" t="str">
        <f aca="true">IF($H8=0,"NA",IF($A8=INDIRECT("'"&amp;$A8&amp;"'!$B$1"),IF(VLOOKUP(AG$1,INDIRECT("'"&amp;$A8&amp;"'!$A$12:$Z$41"),MATCH("Points (Auto-generate)",INDIRECT("'"&amp;$A8&amp;"'!$A$12:$Z$12"),0),0)="","?",VLOOKUP(AG$1,INDIRECT("'"&amp;$A8&amp;"'!$A$12:$Z$41"),MATCH("Points (Auto-generate)",INDIRECT("'"&amp;$A8&amp;"'!$A$12:$Z$12"),0),0)),"ER"))</f>
        <v>?</v>
      </c>
      <c r="AH8" s="78" t="str">
        <f aca="true">IF($H8=0,"NA",IF($A8=INDIRECT("'"&amp;$A8&amp;"'!$B$1"),IF(VLOOKUP(AH$1,INDIRECT("'"&amp;$A8&amp;"'!$A$12:$Z$41"),MATCH("Points (Auto-generate)",INDIRECT("'"&amp;$A8&amp;"'!$A$12:$Z$12"),0),0)="","?",VLOOKUP(AH$1,INDIRECT("'"&amp;$A8&amp;"'!$A$12:$Z$41"),MATCH("Points (Auto-generate)",INDIRECT("'"&amp;$A8&amp;"'!$A$12:$Z$12"),0),0)),"ER"))</f>
        <v>?</v>
      </c>
      <c r="AI8" s="78" t="str">
        <f aca="true">IF($H8=0,"NA",IF($A8=INDIRECT("'"&amp;$A8&amp;"'!$B$1"),IF(VLOOKUP(AI$1,INDIRECT("'"&amp;$A8&amp;"'!$A$12:$Z$41"),MATCH("Points (Auto-generate)",INDIRECT("'"&amp;$A8&amp;"'!$A$12:$Z$12"),0),0)="","?",VLOOKUP(AI$1,INDIRECT("'"&amp;$A8&amp;"'!$A$12:$Z$41"),MATCH("Points (Auto-generate)",INDIRECT("'"&amp;$A8&amp;"'!$A$12:$Z$12"),0),0)),"ER"))</f>
        <v>?</v>
      </c>
      <c r="AJ8" s="78" t="str">
        <f aca="true">IF($H8=0,"NA",IF($A8=INDIRECT("'"&amp;$A8&amp;"'!$B$1"),IF(VLOOKUP(AJ$1,INDIRECT("'"&amp;$A8&amp;"'!$A$12:$Z$41"),MATCH("Points (Auto-generate)",INDIRECT("'"&amp;$A8&amp;"'!$A$12:$Z$12"),0),0)="","?",VLOOKUP(AJ$1,INDIRECT("'"&amp;$A8&amp;"'!$A$12:$Z$41"),MATCH("Points (Auto-generate)",INDIRECT("'"&amp;$A8&amp;"'!$A$12:$Z$12"),0),0)),"ER"))</f>
        <v>?</v>
      </c>
      <c r="AK8" s="78" t="str">
        <f aca="true">IF($H8=0,"NA",IF($A8=INDIRECT("'"&amp;$A8&amp;"'!$B$1"),IF(VLOOKUP(AK$1,INDIRECT("'"&amp;$A8&amp;"'!$A$12:$Z$41"),MATCH("Points (Auto-generate)",INDIRECT("'"&amp;$A8&amp;"'!$A$12:$Z$12"),0),0)="","?",VLOOKUP(AK$1,INDIRECT("'"&amp;$A8&amp;"'!$A$12:$Z$41"),MATCH("Points (Auto-generate)",INDIRECT("'"&amp;$A8&amp;"'!$A$12:$Z$12"),0),0)),"ER"))</f>
        <v>?</v>
      </c>
    </row>
    <row r="9" customFormat="false" ht="25.5" hidden="false" customHeight="true" outlineLevel="0" collapsed="false">
      <c r="A9" s="74" t="s">
        <v>55</v>
      </c>
      <c r="B9" s="75" t="str">
        <f aca="false">IF(ISBLANK($A9),"NO_CODE",VLOOKUP($A9,'UPD Questions_290926 '!$E$1:$N$300,MATCH(B$1,'UPD Questions_290926 '!$E$1:$N$1,0),0)&amp;"")</f>
        <v>Planning </v>
      </c>
      <c r="C9" s="76" t="str">
        <f aca="false">IF(ISBLANK($A9),"NO_CODE",VLOOKUP($A9,'UPD Questions_290926 '!$E$1:$N$300,MATCH(C$1,'UPD Questions_290926 '!$E$1:$N$1,0),0)&amp;"")</f>
        <v>Legal and institutional planning architecture</v>
      </c>
      <c r="D9" s="75" t="str">
        <f aca="false">IF(ISBLANK($A9),"NO_CODE",VLOOKUP($A9,'UPD Questions_290926 '!$E$1:$N$300,MATCH(D$1,'UPD Questions_290926 '!$E$1:$N$1,0),0)&amp;"")</f>
        <v>Spatial planning hierarchy</v>
      </c>
      <c r="E9" s="75" t="str">
        <f aca="false">IF(ISBLANK($A9),"NO_CODE",VLOOKUP($A9,'UPD Questions_290926 '!$E$1:$N$300,MATCH(E$1,'UPD Questions_290926 '!$E$1:$N$1,0),0)&amp;"")</f>
        <v>MQ</v>
      </c>
      <c r="F9" s="75" t="str">
        <f aca="false">IF(ISBLANK($A9),"NO_CODE",VLOOKUP($A9,'UPD Questions_290926 '!$E$1:$N$300,MATCH(F$1,'UPD Questions_290926 '!$E$1:$N$1,0),0)&amp;"")</f>
        <v>Is the planning boundary of the municipal/city plan aligned with political and administrative boundaries?</v>
      </c>
      <c r="G9" s="75" t="str">
        <f aca="false">IF(ISBLANK($A9),"NO_CODE",VLOOKUP($A9,'UPD Questions_290926 '!$E$1:$N$300,MATCH(G$1,'UPD Questions_290926 '!$E$1:$N$1,0),0)&amp;"")</f>
        <v>Law or Policy</v>
      </c>
      <c r="H9" s="77" t="n">
        <f aca="false">IF(ISBLANK($A9),"NO_CODE",VLOOKUP($A9,'UPD Questions_290926 '!$E$1:$N$300,MATCH(H$1,'UPD Questions_290926 '!$E$1:$N$1,0),0))</f>
        <v>10</v>
      </c>
      <c r="I9" s="78" t="str">
        <f aca="true">IF($H9=0,"NA",IF($A9=INDIRECT("'"&amp;$A9&amp;"'!$B$1"),IF(VLOOKUP(I$1,INDIRECT("'"&amp;$A9&amp;"'!$A$12:$Z$41"),MATCH("Points (Auto-generate)",INDIRECT("'"&amp;$A9&amp;"'!$A$12:$Z$12"),0),0)="","?",VLOOKUP(I$1,INDIRECT("'"&amp;$A9&amp;"'!$A$12:$Z$41"),MATCH("Points (Auto-generate)",INDIRECT("'"&amp;$A9&amp;"'!$A$12:$Z$12"),0),0)),"ER"))</f>
        <v>?</v>
      </c>
      <c r="J9" s="78" t="n">
        <f aca="true">IF($H9=0,"NA",IF($A9=INDIRECT("'"&amp;$A9&amp;"'!$B$1"),IF(VLOOKUP(J$1,INDIRECT("'"&amp;$A9&amp;"'!$A$12:$Z$41"),MATCH("Points (Auto-generate)",INDIRECT("'"&amp;$A9&amp;"'!$A$12:$Z$12"),0),0)="","?",VLOOKUP(J$1,INDIRECT("'"&amp;$A9&amp;"'!$A$12:$Z$41"),MATCH("Points (Auto-generate)",INDIRECT("'"&amp;$A9&amp;"'!$A$12:$Z$12"),0),0)),"ER"))</f>
        <v>10</v>
      </c>
      <c r="K9" s="78" t="str">
        <f aca="true">IF($H9=0,"NA",IF($A9=INDIRECT("'"&amp;$A9&amp;"'!$B$1"),IF(VLOOKUP(K$1,INDIRECT("'"&amp;$A9&amp;"'!$A$12:$Z$41"),MATCH("Points (Auto-generate)",INDIRECT("'"&amp;$A9&amp;"'!$A$12:$Z$12"),0),0)="","?",VLOOKUP(K$1,INDIRECT("'"&amp;$A9&amp;"'!$A$12:$Z$41"),MATCH("Points (Auto-generate)",INDIRECT("'"&amp;$A9&amp;"'!$A$12:$Z$12"),0),0)),"ER"))</f>
        <v>?</v>
      </c>
      <c r="L9" s="78" t="str">
        <f aca="true">IF($H9=0,"NA",IF($A9=INDIRECT("'"&amp;$A9&amp;"'!$B$1"),IF(VLOOKUP(L$1,INDIRECT("'"&amp;$A9&amp;"'!$A$12:$Z$41"),MATCH("Points (Auto-generate)",INDIRECT("'"&amp;$A9&amp;"'!$A$12:$Z$12"),0),0)="","?",VLOOKUP(L$1,INDIRECT("'"&amp;$A9&amp;"'!$A$12:$Z$41"),MATCH("Points (Auto-generate)",INDIRECT("'"&amp;$A9&amp;"'!$A$12:$Z$12"),0),0)),"ER"))</f>
        <v>?</v>
      </c>
      <c r="M9" s="78" t="str">
        <f aca="true">IF($H9=0,"NA",IF($A9=INDIRECT("'"&amp;$A9&amp;"'!$B$1"),IF(VLOOKUP(M$1,INDIRECT("'"&amp;$A9&amp;"'!$A$12:$Z$41"),MATCH("Points (Auto-generate)",INDIRECT("'"&amp;$A9&amp;"'!$A$12:$Z$12"),0),0)="","?",VLOOKUP(M$1,INDIRECT("'"&amp;$A9&amp;"'!$A$12:$Z$41"),MATCH("Points (Auto-generate)",INDIRECT("'"&amp;$A9&amp;"'!$A$12:$Z$12"),0),0)),"ER"))</f>
        <v>?</v>
      </c>
      <c r="N9" s="78" t="str">
        <f aca="true">IF($H9=0,"NA",IF($A9=INDIRECT("'"&amp;$A9&amp;"'!$B$1"),IF(VLOOKUP(N$1,INDIRECT("'"&amp;$A9&amp;"'!$A$12:$Z$41"),MATCH("Points (Auto-generate)",INDIRECT("'"&amp;$A9&amp;"'!$A$12:$Z$12"),0),0)="","?",VLOOKUP(N$1,INDIRECT("'"&amp;$A9&amp;"'!$A$12:$Z$41"),MATCH("Points (Auto-generate)",INDIRECT("'"&amp;$A9&amp;"'!$A$12:$Z$12"),0),0)),"ER"))</f>
        <v>?</v>
      </c>
      <c r="O9" s="78" t="str">
        <f aca="true">IF($H9=0,"NA",IF($A9=INDIRECT("'"&amp;$A9&amp;"'!$B$1"),IF(VLOOKUP(O$1,INDIRECT("'"&amp;$A9&amp;"'!$A$12:$Z$41"),MATCH("Points (Auto-generate)",INDIRECT("'"&amp;$A9&amp;"'!$A$12:$Z$12"),0),0)="","?",VLOOKUP(O$1,INDIRECT("'"&amp;$A9&amp;"'!$A$12:$Z$41"),MATCH("Points (Auto-generate)",INDIRECT("'"&amp;$A9&amp;"'!$A$12:$Z$12"),0),0)),"ER"))</f>
        <v>?</v>
      </c>
      <c r="P9" s="78" t="str">
        <f aca="true">IF($H9=0,"NA",IF($A9=INDIRECT("'"&amp;$A9&amp;"'!$B$1"),IF(VLOOKUP(P$1,INDIRECT("'"&amp;$A9&amp;"'!$A$12:$Z$41"),MATCH("Points (Auto-generate)",INDIRECT("'"&amp;$A9&amp;"'!$A$12:$Z$12"),0),0)="","?",VLOOKUP(P$1,INDIRECT("'"&amp;$A9&amp;"'!$A$12:$Z$41"),MATCH("Points (Auto-generate)",INDIRECT("'"&amp;$A9&amp;"'!$A$12:$Z$12"),0),0)),"ER"))</f>
        <v>?</v>
      </c>
      <c r="Q9" s="78" t="str">
        <f aca="true">IF($H9=0,"NA",IF($A9=INDIRECT("'"&amp;$A9&amp;"'!$B$1"),IF(VLOOKUP(Q$1,INDIRECT("'"&amp;$A9&amp;"'!$A$12:$Z$41"),MATCH("Points (Auto-generate)",INDIRECT("'"&amp;$A9&amp;"'!$A$12:$Z$12"),0),0)="","?",VLOOKUP(Q$1,INDIRECT("'"&amp;$A9&amp;"'!$A$12:$Z$41"),MATCH("Points (Auto-generate)",INDIRECT("'"&amp;$A9&amp;"'!$A$12:$Z$12"),0),0)),"ER"))</f>
        <v>?</v>
      </c>
      <c r="R9" s="78" t="str">
        <f aca="true">IF($H9=0,"NA",IF($A9=INDIRECT("'"&amp;$A9&amp;"'!$B$1"),IF(VLOOKUP(R$1,INDIRECT("'"&amp;$A9&amp;"'!$A$12:$Z$41"),MATCH("Points (Auto-generate)",INDIRECT("'"&amp;$A9&amp;"'!$A$12:$Z$12"),0),0)="","?",VLOOKUP(R$1,INDIRECT("'"&amp;$A9&amp;"'!$A$12:$Z$41"),MATCH("Points (Auto-generate)",INDIRECT("'"&amp;$A9&amp;"'!$A$12:$Z$12"),0),0)),"ER"))</f>
        <v>?</v>
      </c>
      <c r="S9" s="78" t="str">
        <f aca="true">IF($H9=0,"NA",IF($A9=INDIRECT("'"&amp;$A9&amp;"'!$B$1"),IF(VLOOKUP(S$1,INDIRECT("'"&amp;$A9&amp;"'!$A$12:$Z$41"),MATCH("Points (Auto-generate)",INDIRECT("'"&amp;$A9&amp;"'!$A$12:$Z$12"),0),0)="","?",VLOOKUP(S$1,INDIRECT("'"&amp;$A9&amp;"'!$A$12:$Z$41"),MATCH("Points (Auto-generate)",INDIRECT("'"&amp;$A9&amp;"'!$A$12:$Z$12"),0),0)),"ER"))</f>
        <v>?</v>
      </c>
      <c r="T9" s="78" t="str">
        <f aca="true">IF($H9=0,"NA",IF($A9=INDIRECT("'"&amp;$A9&amp;"'!$B$1"),IF(VLOOKUP(T$1,INDIRECT("'"&amp;$A9&amp;"'!$A$12:$Z$41"),MATCH("Points (Auto-generate)",INDIRECT("'"&amp;$A9&amp;"'!$A$12:$Z$12"),0),0)="","?",VLOOKUP(T$1,INDIRECT("'"&amp;$A9&amp;"'!$A$12:$Z$41"),MATCH("Points (Auto-generate)",INDIRECT("'"&amp;$A9&amp;"'!$A$12:$Z$12"),0),0)),"ER"))</f>
        <v>?</v>
      </c>
      <c r="U9" s="78" t="str">
        <f aca="true">IF($H9=0,"NA",IF($A9=INDIRECT("'"&amp;$A9&amp;"'!$B$1"),IF(VLOOKUP(U$1,INDIRECT("'"&amp;$A9&amp;"'!$A$12:$Z$41"),MATCH("Points (Auto-generate)",INDIRECT("'"&amp;$A9&amp;"'!$A$12:$Z$12"),0),0)="","?",VLOOKUP(U$1,INDIRECT("'"&amp;$A9&amp;"'!$A$12:$Z$41"),MATCH("Points (Auto-generate)",INDIRECT("'"&amp;$A9&amp;"'!$A$12:$Z$12"),0),0)),"ER"))</f>
        <v>?</v>
      </c>
      <c r="V9" s="78" t="str">
        <f aca="true">IF($H9=0,"NA",IF($A9=INDIRECT("'"&amp;$A9&amp;"'!$B$1"),IF(VLOOKUP(V$1,INDIRECT("'"&amp;$A9&amp;"'!$A$12:$Z$41"),MATCH("Points (Auto-generate)",INDIRECT("'"&amp;$A9&amp;"'!$A$12:$Z$12"),0),0)="","?",VLOOKUP(V$1,INDIRECT("'"&amp;$A9&amp;"'!$A$12:$Z$41"),MATCH("Points (Auto-generate)",INDIRECT("'"&amp;$A9&amp;"'!$A$12:$Z$12"),0),0)),"ER"))</f>
        <v>?</v>
      </c>
      <c r="W9" s="78" t="str">
        <f aca="true">IF($H9=0,"NA",IF($A9=INDIRECT("'"&amp;$A9&amp;"'!$B$1"),IF(VLOOKUP(W$1,INDIRECT("'"&amp;$A9&amp;"'!$A$12:$Z$41"),MATCH("Points (Auto-generate)",INDIRECT("'"&amp;$A9&amp;"'!$A$12:$Z$12"),0),0)="","?",VLOOKUP(W$1,INDIRECT("'"&amp;$A9&amp;"'!$A$12:$Z$41"),MATCH("Points (Auto-generate)",INDIRECT("'"&amp;$A9&amp;"'!$A$12:$Z$12"),0),0)),"ER"))</f>
        <v>?</v>
      </c>
      <c r="X9" s="78" t="str">
        <f aca="true">IF($H9=0,"NA",IF($A9=INDIRECT("'"&amp;$A9&amp;"'!$B$1"),IF(VLOOKUP(X$1,INDIRECT("'"&amp;$A9&amp;"'!$A$12:$Z$41"),MATCH("Points (Auto-generate)",INDIRECT("'"&amp;$A9&amp;"'!$A$12:$Z$12"),0),0)="","?",VLOOKUP(X$1,INDIRECT("'"&amp;$A9&amp;"'!$A$12:$Z$41"),MATCH("Points (Auto-generate)",INDIRECT("'"&amp;$A9&amp;"'!$A$12:$Z$12"),0),0)),"ER"))</f>
        <v>?</v>
      </c>
      <c r="Y9" s="78" t="str">
        <f aca="true">IF($H9=0,"NA",IF($A9=INDIRECT("'"&amp;$A9&amp;"'!$B$1"),IF(VLOOKUP(Y$1,INDIRECT("'"&amp;$A9&amp;"'!$A$12:$Z$41"),MATCH("Points (Auto-generate)",INDIRECT("'"&amp;$A9&amp;"'!$A$12:$Z$12"),0),0)="","?",VLOOKUP(Y$1,INDIRECT("'"&amp;$A9&amp;"'!$A$12:$Z$41"),MATCH("Points (Auto-generate)",INDIRECT("'"&amp;$A9&amp;"'!$A$12:$Z$12"),0),0)),"ER"))</f>
        <v>?</v>
      </c>
      <c r="Z9" s="78" t="str">
        <f aca="true">IF($H9=0,"NA",IF($A9=INDIRECT("'"&amp;$A9&amp;"'!$B$1"),IF(VLOOKUP(Z$1,INDIRECT("'"&amp;$A9&amp;"'!$A$12:$Z$41"),MATCH("Points (Auto-generate)",INDIRECT("'"&amp;$A9&amp;"'!$A$12:$Z$12"),0),0)="","?",VLOOKUP(Z$1,INDIRECT("'"&amp;$A9&amp;"'!$A$12:$Z$41"),MATCH("Points (Auto-generate)",INDIRECT("'"&amp;$A9&amp;"'!$A$12:$Z$12"),0),0)),"ER"))</f>
        <v>?</v>
      </c>
      <c r="AA9" s="78" t="str">
        <f aca="true">IF($H9=0,"NA",IF($A9=INDIRECT("'"&amp;$A9&amp;"'!$B$1"),IF(VLOOKUP(AA$1,INDIRECT("'"&amp;$A9&amp;"'!$A$12:$Z$41"),MATCH("Points (Auto-generate)",INDIRECT("'"&amp;$A9&amp;"'!$A$12:$Z$12"),0),0)="","?",VLOOKUP(AA$1,INDIRECT("'"&amp;$A9&amp;"'!$A$12:$Z$41"),MATCH("Points (Auto-generate)",INDIRECT("'"&amp;$A9&amp;"'!$A$12:$Z$12"),0),0)),"ER"))</f>
        <v>?</v>
      </c>
      <c r="AB9" s="78" t="str">
        <f aca="true">IF($H9=0,"NA",IF($A9=INDIRECT("'"&amp;$A9&amp;"'!$B$1"),IF(VLOOKUP(AB$1,INDIRECT("'"&amp;$A9&amp;"'!$A$12:$Z$41"),MATCH("Points (Auto-generate)",INDIRECT("'"&amp;$A9&amp;"'!$A$12:$Z$12"),0),0)="","?",VLOOKUP(AB$1,INDIRECT("'"&amp;$A9&amp;"'!$A$12:$Z$41"),MATCH("Points (Auto-generate)",INDIRECT("'"&amp;$A9&amp;"'!$A$12:$Z$12"),0),0)),"ER"))</f>
        <v>?</v>
      </c>
      <c r="AC9" s="78" t="str">
        <f aca="true">IF($H9=0,"NA",IF($A9=INDIRECT("'"&amp;$A9&amp;"'!$B$1"),IF(VLOOKUP(AC$1,INDIRECT("'"&amp;$A9&amp;"'!$A$12:$Z$41"),MATCH("Points (Auto-generate)",INDIRECT("'"&amp;$A9&amp;"'!$A$12:$Z$12"),0),0)="","?",VLOOKUP(AC$1,INDIRECT("'"&amp;$A9&amp;"'!$A$12:$Z$41"),MATCH("Points (Auto-generate)",INDIRECT("'"&amp;$A9&amp;"'!$A$12:$Z$12"),0),0)),"ER"))</f>
        <v>?</v>
      </c>
      <c r="AD9" s="78" t="str">
        <f aca="true">IF($H9=0,"NA",IF($A9=INDIRECT("'"&amp;$A9&amp;"'!$B$1"),IF(VLOOKUP(AD$1,INDIRECT("'"&amp;$A9&amp;"'!$A$12:$Z$41"),MATCH("Points (Auto-generate)",INDIRECT("'"&amp;$A9&amp;"'!$A$12:$Z$12"),0),0)="","?",VLOOKUP(AD$1,INDIRECT("'"&amp;$A9&amp;"'!$A$12:$Z$41"),MATCH("Points (Auto-generate)",INDIRECT("'"&amp;$A9&amp;"'!$A$12:$Z$12"),0),0)),"ER"))</f>
        <v>?</v>
      </c>
      <c r="AE9" s="78" t="str">
        <f aca="true">IF($H9=0,"NA",IF($A9=INDIRECT("'"&amp;$A9&amp;"'!$B$1"),IF(VLOOKUP(AE$1,INDIRECT("'"&amp;$A9&amp;"'!$A$12:$Z$41"),MATCH("Points (Auto-generate)",INDIRECT("'"&amp;$A9&amp;"'!$A$12:$Z$12"),0),0)="","?",VLOOKUP(AE$1,INDIRECT("'"&amp;$A9&amp;"'!$A$12:$Z$41"),MATCH("Points (Auto-generate)",INDIRECT("'"&amp;$A9&amp;"'!$A$12:$Z$12"),0),0)),"ER"))</f>
        <v>?</v>
      </c>
      <c r="AF9" s="78" t="str">
        <f aca="true">IF($H9=0,"NA",IF($A9=INDIRECT("'"&amp;$A9&amp;"'!$B$1"),IF(VLOOKUP(AF$1,INDIRECT("'"&amp;$A9&amp;"'!$A$12:$Z$41"),MATCH("Points (Auto-generate)",INDIRECT("'"&amp;$A9&amp;"'!$A$12:$Z$12"),0),0)="","?",VLOOKUP(AF$1,INDIRECT("'"&amp;$A9&amp;"'!$A$12:$Z$41"),MATCH("Points (Auto-generate)",INDIRECT("'"&amp;$A9&amp;"'!$A$12:$Z$12"),0),0)),"ER"))</f>
        <v>?</v>
      </c>
      <c r="AG9" s="78" t="str">
        <f aca="true">IF($H9=0,"NA",IF($A9=INDIRECT("'"&amp;$A9&amp;"'!$B$1"),IF(VLOOKUP(AG$1,INDIRECT("'"&amp;$A9&amp;"'!$A$12:$Z$41"),MATCH("Points (Auto-generate)",INDIRECT("'"&amp;$A9&amp;"'!$A$12:$Z$12"),0),0)="","?",VLOOKUP(AG$1,INDIRECT("'"&amp;$A9&amp;"'!$A$12:$Z$41"),MATCH("Points (Auto-generate)",INDIRECT("'"&amp;$A9&amp;"'!$A$12:$Z$12"),0),0)),"ER"))</f>
        <v>?</v>
      </c>
      <c r="AH9" s="78" t="str">
        <f aca="true">IF($H9=0,"NA",IF($A9=INDIRECT("'"&amp;$A9&amp;"'!$B$1"),IF(VLOOKUP(AH$1,INDIRECT("'"&amp;$A9&amp;"'!$A$12:$Z$41"),MATCH("Points (Auto-generate)",INDIRECT("'"&amp;$A9&amp;"'!$A$12:$Z$12"),0),0)="","?",VLOOKUP(AH$1,INDIRECT("'"&amp;$A9&amp;"'!$A$12:$Z$41"),MATCH("Points (Auto-generate)",INDIRECT("'"&amp;$A9&amp;"'!$A$12:$Z$12"),0),0)),"ER"))</f>
        <v>?</v>
      </c>
      <c r="AI9" s="78" t="str">
        <f aca="true">IF($H9=0,"NA",IF($A9=INDIRECT("'"&amp;$A9&amp;"'!$B$1"),IF(VLOOKUP(AI$1,INDIRECT("'"&amp;$A9&amp;"'!$A$12:$Z$41"),MATCH("Points (Auto-generate)",INDIRECT("'"&amp;$A9&amp;"'!$A$12:$Z$12"),0),0)="","?",VLOOKUP(AI$1,INDIRECT("'"&amp;$A9&amp;"'!$A$12:$Z$41"),MATCH("Points (Auto-generate)",INDIRECT("'"&amp;$A9&amp;"'!$A$12:$Z$12"),0),0)),"ER"))</f>
        <v>?</v>
      </c>
      <c r="AJ9" s="78" t="str">
        <f aca="true">IF($H9=0,"NA",IF($A9=INDIRECT("'"&amp;$A9&amp;"'!$B$1"),IF(VLOOKUP(AJ$1,INDIRECT("'"&amp;$A9&amp;"'!$A$12:$Z$41"),MATCH("Points (Auto-generate)",INDIRECT("'"&amp;$A9&amp;"'!$A$12:$Z$12"),0),0)="","?",VLOOKUP(AJ$1,INDIRECT("'"&amp;$A9&amp;"'!$A$12:$Z$41"),MATCH("Points (Auto-generate)",INDIRECT("'"&amp;$A9&amp;"'!$A$12:$Z$12"),0),0)),"ER"))</f>
        <v>?</v>
      </c>
      <c r="AK9" s="78" t="str">
        <f aca="true">IF($H9=0,"NA",IF($A9=INDIRECT("'"&amp;$A9&amp;"'!$B$1"),IF(VLOOKUP(AK$1,INDIRECT("'"&amp;$A9&amp;"'!$A$12:$Z$41"),MATCH("Points (Auto-generate)",INDIRECT("'"&amp;$A9&amp;"'!$A$12:$Z$12"),0),0)="","?",VLOOKUP(AK$1,INDIRECT("'"&amp;$A9&amp;"'!$A$12:$Z$41"),MATCH("Points (Auto-generate)",INDIRECT("'"&amp;$A9&amp;"'!$A$12:$Z$12"),0),0)),"ER"))</f>
        <v>?</v>
      </c>
    </row>
    <row r="10" customFormat="false" ht="25.5" hidden="false" customHeight="true" outlineLevel="0" collapsed="false">
      <c r="A10" s="74" t="s">
        <v>59</v>
      </c>
      <c r="B10" s="75" t="str">
        <f aca="false">IF(ISBLANK($A10),"NO_CODE",VLOOKUP($A10,'UPD Questions_290926 '!$E$1:$N$300,MATCH(B$1,'UPD Questions_290926 '!$E$1:$N$1,0),0)&amp;"")</f>
        <v>Planning </v>
      </c>
      <c r="C10" s="76" t="str">
        <f aca="false">IF(ISBLANK($A10),"NO_CODE",VLOOKUP($A10,'UPD Questions_290926 '!$E$1:$N$300,MATCH(C$1,'UPD Questions_290926 '!$E$1:$N$1,0),0)&amp;"")</f>
        <v>Legal and institutional planning architecture</v>
      </c>
      <c r="D10" s="75" t="str">
        <f aca="false">IF(ISBLANK($A10),"NO_CODE",VLOOKUP($A10,'UPD Questions_290926 '!$E$1:$N$300,MATCH(D$1,'UPD Questions_290926 '!$E$1:$N$1,0),0)&amp;"")</f>
        <v>Spatial planning hierarchy</v>
      </c>
      <c r="E10" s="75" t="str">
        <f aca="false">IF(ISBLANK($A10),"NO_CODE",VLOOKUP($A10,'UPD Questions_290926 '!$E$1:$N$300,MATCH(E$1,'UPD Questions_290926 '!$E$1:$N$1,0),0)&amp;"")</f>
        <v>MQ</v>
      </c>
      <c r="F10" s="75" t="str">
        <f aca="false">IF(ISBLANK($A10),"NO_CODE",VLOOKUP($A10,'UPD Questions_290926 '!$E$1:$N$300,MATCH(F$1,'UPD Questions_290926 '!$E$1:$N$1,0),0)&amp;"")</f>
        <v>Is there a clear decentralised procedure for approvals of each level of plans?</v>
      </c>
      <c r="G10" s="75" t="str">
        <f aca="false">IF(ISBLANK($A10),"NO_CODE",VLOOKUP($A10,'UPD Questions_290926 '!$E$1:$N$300,MATCH(G$1,'UPD Questions_290926 '!$E$1:$N$1,0),0)&amp;"")</f>
        <v>Law or Policy</v>
      </c>
      <c r="H10" s="77" t="n">
        <f aca="false">IF(ISBLANK($A10),"NO_CODE",VLOOKUP($A10,'UPD Questions_290926 '!$E$1:$N$300,MATCH(H$1,'UPD Questions_290926 '!$E$1:$N$1,0),0))</f>
        <v>10</v>
      </c>
      <c r="I10" s="78" t="str">
        <f aca="false">IF(OR(I11="ER",I12="ER",I13="ER"),"ER",IF(OR(I11="?",I12="?",I13="?"),"?",IF(AND(I11="NA",I12="NA",I13="NA"),"NA",SUM(I11,I12,I13)/((I11&lt;&gt;"NA")*$H$11+(I12&lt;&gt;"NA")*$H$12+(I13&lt;&gt;"NA")*$H$13)*$H10)))</f>
        <v>?</v>
      </c>
      <c r="J10" s="78" t="str">
        <f aca="false">IF(OR(J11="ER",J12="ER",J13="ER"),"ER",IF(OR(J11="?",J12="?",J13="?"),"?",IF(AND(J11="NA",J12="NA",J13="NA"),"NA",SUM(J11,J12,J13)/((J11&lt;&gt;"NA")*$H$11+(J12&lt;&gt;"NA")*$H$12+(J13&lt;&gt;"NA")*$H$13)*$H10)))</f>
        <v>?</v>
      </c>
      <c r="K10" s="78" t="str">
        <f aca="false">IF(OR(K11="ER",K12="ER",K13="ER"),"ER",IF(OR(K11="?",K12="?",K13="?"),"?",IF(AND(K11="NA",K12="NA",K13="NA"),"NA",SUM(K11,K12,K13)/((K11&lt;&gt;"NA")*$H$11+(K12&lt;&gt;"NA")*$H$12+(K13&lt;&gt;"NA")*$H$13)*$H10)))</f>
        <v>?</v>
      </c>
      <c r="L10" s="78" t="str">
        <f aca="false">IF(OR(L11="ER",L12="ER",L13="ER"),"ER",IF(OR(L11="?",L12="?",L13="?"),"?",IF(AND(L11="NA",L12="NA",L13="NA"),"NA",SUM(L11,L12,L13)/((L11&lt;&gt;"NA")*$H$11+(L12&lt;&gt;"NA")*$H$12+(L13&lt;&gt;"NA")*$H$13)*$H10)))</f>
        <v>?</v>
      </c>
      <c r="M10" s="78" t="str">
        <f aca="false">IF(OR(M11="ER",M12="ER",M13="ER"),"ER",IF(OR(M11="?",M12="?",M13="?"),"?",IF(AND(M11="NA",M12="NA",M13="NA"),"NA",SUM(M11,M12,M13)/((M11&lt;&gt;"NA")*$H$11+(M12&lt;&gt;"NA")*$H$12+(M13&lt;&gt;"NA")*$H$13)*$H10)))</f>
        <v>?</v>
      </c>
      <c r="N10" s="78" t="str">
        <f aca="false">IF(OR(N11="ER",N12="ER",N13="ER"),"ER",IF(OR(N11="?",N12="?",N13="?"),"?",IF(AND(N11="NA",N12="NA",N13="NA"),"NA",SUM(N11,N12,N13)/((N11&lt;&gt;"NA")*$H$11+(N12&lt;&gt;"NA")*$H$12+(N13&lt;&gt;"NA")*$H$13)*$H10)))</f>
        <v>?</v>
      </c>
      <c r="O10" s="78" t="str">
        <f aca="false">IF(OR(O11="ER",O12="ER",O13="ER"),"ER",IF(OR(O11="?",O12="?",O13="?"),"?",IF(AND(O11="NA",O12="NA",O13="NA"),"NA",SUM(O11,O12,O13)/((O11&lt;&gt;"NA")*$H$11+(O12&lt;&gt;"NA")*$H$12+(O13&lt;&gt;"NA")*$H$13)*$H10)))</f>
        <v>?</v>
      </c>
      <c r="P10" s="78" t="str">
        <f aca="false">IF(OR(P11="ER",P12="ER",P13="ER"),"ER",IF(OR(P11="?",P12="?",P13="?"),"?",IF(AND(P11="NA",P12="NA",P13="NA"),"NA",SUM(P11,P12,P13)/((P11&lt;&gt;"NA")*$H$11+(P12&lt;&gt;"NA")*$H$12+(P13&lt;&gt;"NA")*$H$13)*$H10)))</f>
        <v>?</v>
      </c>
      <c r="Q10" s="78" t="str">
        <f aca="false">IF(OR(Q11="ER",Q12="ER",Q13="ER"),"ER",IF(OR(Q11="?",Q12="?",Q13="?"),"?",IF(AND(Q11="NA",Q12="NA",Q13="NA"),"NA",SUM(Q11,Q12,Q13)/((Q11&lt;&gt;"NA")*$H$11+(Q12&lt;&gt;"NA")*$H$12+(Q13&lt;&gt;"NA")*$H$13)*$H10)))</f>
        <v>?</v>
      </c>
      <c r="R10" s="78" t="str">
        <f aca="false">IF(OR(R11="ER",R12="ER",R13="ER"),"ER",IF(OR(R11="?",R12="?",R13="?"),"?",IF(AND(R11="NA",R12="NA",R13="NA"),"NA",SUM(R11,R12,R13)/((R11&lt;&gt;"NA")*$H$11+(R12&lt;&gt;"NA")*$H$12+(R13&lt;&gt;"NA")*$H$13)*$H10)))</f>
        <v>?</v>
      </c>
      <c r="S10" s="78" t="str">
        <f aca="false">IF(OR(S11="ER",S12="ER",S13="ER"),"ER",IF(OR(S11="?",S12="?",S13="?"),"?",IF(AND(S11="NA",S12="NA",S13="NA"),"NA",SUM(S11,S12,S13)/((S11&lt;&gt;"NA")*$H$11+(S12&lt;&gt;"NA")*$H$12+(S13&lt;&gt;"NA")*$H$13)*$H10)))</f>
        <v>?</v>
      </c>
      <c r="T10" s="78" t="str">
        <f aca="false">IF(OR(T11="ER",T12="ER",T13="ER"),"ER",IF(OR(T11="?",T12="?",T13="?"),"?",IF(AND(T11="NA",T12="NA",T13="NA"),"NA",SUM(T11,T12,T13)/((T11&lt;&gt;"NA")*$H$11+(T12&lt;&gt;"NA")*$H$12+(T13&lt;&gt;"NA")*$H$13)*$H10)))</f>
        <v>?</v>
      </c>
      <c r="U10" s="78" t="str">
        <f aca="false">IF(OR(U11="ER",U12="ER",U13="ER"),"ER",IF(OR(U11="?",U12="?",U13="?"),"?",IF(AND(U11="NA",U12="NA",U13="NA"),"NA",SUM(U11,U12,U13)/((U11&lt;&gt;"NA")*$H$11+(U12&lt;&gt;"NA")*$H$12+(U13&lt;&gt;"NA")*$H$13)*$H10)))</f>
        <v>?</v>
      </c>
      <c r="V10" s="78" t="str">
        <f aca="false">IF(OR(V11="ER",V12="ER",V13="ER"),"ER",IF(OR(V11="?",V12="?",V13="?"),"?",IF(AND(V11="NA",V12="NA",V13="NA"),"NA",SUM(V11,V12,V13)/((V11&lt;&gt;"NA")*$H$11+(V12&lt;&gt;"NA")*$H$12+(V13&lt;&gt;"NA")*$H$13)*$H10)))</f>
        <v>?</v>
      </c>
      <c r="W10" s="78" t="str">
        <f aca="false">IF(OR(W11="ER",W12="ER",W13="ER"),"ER",IF(OR(W11="?",W12="?",W13="?"),"?",IF(AND(W11="NA",W12="NA",W13="NA"),"NA",SUM(W11,W12,W13)/((W11&lt;&gt;"NA")*$H$11+(W12&lt;&gt;"NA")*$H$12+(W13&lt;&gt;"NA")*$H$13)*$H10)))</f>
        <v>?</v>
      </c>
      <c r="X10" s="78" t="str">
        <f aca="false">IF(OR(X11="ER",X12="ER",X13="ER"),"ER",IF(OR(X11="?",X12="?",X13="?"),"?",IF(AND(X11="NA",X12="NA",X13="NA"),"NA",SUM(X11,X12,X13)/((X11&lt;&gt;"NA")*$H$11+(X12&lt;&gt;"NA")*$H$12+(X13&lt;&gt;"NA")*$H$13)*$H10)))</f>
        <v>?</v>
      </c>
      <c r="Y10" s="78" t="str">
        <f aca="false">IF(OR(Y11="ER",Y12="ER",Y13="ER"),"ER",IF(OR(Y11="?",Y12="?",Y13="?"),"?",IF(AND(Y11="NA",Y12="NA",Y13="NA"),"NA",SUM(Y11,Y12,Y13)/((Y11&lt;&gt;"NA")*$H$11+(Y12&lt;&gt;"NA")*$H$12+(Y13&lt;&gt;"NA")*$H$13)*$H10)))</f>
        <v>?</v>
      </c>
      <c r="Z10" s="78" t="str">
        <f aca="false">IF(OR(Z11="ER",Z12="ER",Z13="ER"),"ER",IF(OR(Z11="?",Z12="?",Z13="?"),"?",IF(AND(Z11="NA",Z12="NA",Z13="NA"),"NA",SUM(Z11,Z12,Z13)/((Z11&lt;&gt;"NA")*$H$11+(Z12&lt;&gt;"NA")*$H$12+(Z13&lt;&gt;"NA")*$H$13)*$H10)))</f>
        <v>?</v>
      </c>
      <c r="AA10" s="78" t="str">
        <f aca="false">IF(OR(AA11="ER",AA12="ER",AA13="ER"),"ER",IF(OR(AA11="?",AA12="?",AA13="?"),"?",IF(AND(AA11="NA",AA12="NA",AA13="NA"),"NA",SUM(AA11,AA12,AA13)/((AA11&lt;&gt;"NA")*$H$11+(AA12&lt;&gt;"NA")*$H$12+(AA13&lt;&gt;"NA")*$H$13)*$H10)))</f>
        <v>?</v>
      </c>
      <c r="AB10" s="78" t="str">
        <f aca="false">IF(OR(AB11="ER",AB12="ER",AB13="ER"),"ER",IF(OR(AB11="?",AB12="?",AB13="?"),"?",IF(AND(AB11="NA",AB12="NA",AB13="NA"),"NA",SUM(AB11,AB12,AB13)/((AB11&lt;&gt;"NA")*$H$11+(AB12&lt;&gt;"NA")*$H$12+(AB13&lt;&gt;"NA")*$H$13)*$H10)))</f>
        <v>?</v>
      </c>
      <c r="AC10" s="78" t="str">
        <f aca="false">IF(OR(AC11="ER",AC12="ER",AC13="ER"),"ER",IF(OR(AC11="?",AC12="?",AC13="?"),"?",IF(AND(AC11="NA",AC12="NA",AC13="NA"),"NA",SUM(AC11,AC12,AC13)/((AC11&lt;&gt;"NA")*$H$11+(AC12&lt;&gt;"NA")*$H$12+(AC13&lt;&gt;"NA")*$H$13)*$H10)))</f>
        <v>?</v>
      </c>
      <c r="AD10" s="78" t="str">
        <f aca="false">IF(OR(AD11="ER",AD12="ER",AD13="ER"),"ER",IF(OR(AD11="?",AD12="?",AD13="?"),"?",IF(AND(AD11="NA",AD12="NA",AD13="NA"),"NA",SUM(AD11,AD12,AD13)/((AD11&lt;&gt;"NA")*$H$11+(AD12&lt;&gt;"NA")*$H$12+(AD13&lt;&gt;"NA")*$H$13)*$H10)))</f>
        <v>?</v>
      </c>
      <c r="AE10" s="78" t="str">
        <f aca="false">IF(OR(AE11="ER",AE12="ER",AE13="ER"),"ER",IF(OR(AE11="?",AE12="?",AE13="?"),"?",IF(AND(AE11="NA",AE12="NA",AE13="NA"),"NA",SUM(AE11,AE12,AE13)/((AE11&lt;&gt;"NA")*$H$11+(AE12&lt;&gt;"NA")*$H$12+(AE13&lt;&gt;"NA")*$H$13)*$H10)))</f>
        <v>?</v>
      </c>
      <c r="AF10" s="78" t="str">
        <f aca="false">IF(OR(AF11="ER",AF12="ER",AF13="ER"),"ER",IF(OR(AF11="?",AF12="?",AF13="?"),"?",IF(AND(AF11="NA",AF12="NA",AF13="NA"),"NA",SUM(AF11,AF12,AF13)/((AF11&lt;&gt;"NA")*$H$11+(AF12&lt;&gt;"NA")*$H$12+(AF13&lt;&gt;"NA")*$H$13)*$H10)))</f>
        <v>?</v>
      </c>
      <c r="AG10" s="78" t="str">
        <f aca="false">IF(OR(AG11="ER",AG12="ER",AG13="ER"),"ER",IF(OR(AG11="?",AG12="?",AG13="?"),"?",IF(AND(AG11="NA",AG12="NA",AG13="NA"),"NA",SUM(AG11,AG12,AG13)/((AG11&lt;&gt;"NA")*$H$11+(AG12&lt;&gt;"NA")*$H$12+(AG13&lt;&gt;"NA")*$H$13)*$H10)))</f>
        <v>?</v>
      </c>
      <c r="AH10" s="78" t="str">
        <f aca="false">IF(OR(AH11="ER",AH12="ER",AH13="ER"),"ER",IF(OR(AH11="?",AH12="?",AH13="?"),"?",IF(AND(AH11="NA",AH12="NA",AH13="NA"),"NA",SUM(AH11,AH12,AH13)/((AH11&lt;&gt;"NA")*$H$11+(AH12&lt;&gt;"NA")*$H$12+(AH13&lt;&gt;"NA")*$H$13)*$H10)))</f>
        <v>?</v>
      </c>
      <c r="AI10" s="78" t="str">
        <f aca="false">IF(OR(AI11="ER",AI12="ER",AI13="ER"),"ER",IF(OR(AI11="?",AI12="?",AI13="?"),"?",IF(AND(AI11="NA",AI12="NA",AI13="NA"),"NA",SUM(AI11,AI12,AI13)/((AI11&lt;&gt;"NA")*$H$11+(AI12&lt;&gt;"NA")*$H$12+(AI13&lt;&gt;"NA")*$H$13)*$H10)))</f>
        <v>?</v>
      </c>
      <c r="AJ10" s="78" t="str">
        <f aca="false">IF(OR(AJ11="ER",AJ12="ER",AJ13="ER"),"ER",IF(OR(AJ11="?",AJ12="?",AJ13="?"),"?",IF(AND(AJ11="NA",AJ12="NA",AJ13="NA"),"NA",SUM(AJ11,AJ12,AJ13)/((AJ11&lt;&gt;"NA")*$H$11+(AJ12&lt;&gt;"NA")*$H$12+(AJ13&lt;&gt;"NA")*$H$13)*$H10)))</f>
        <v>?</v>
      </c>
      <c r="AK10" s="78" t="str">
        <f aca="false">IF(OR(AK11="ER",AK12="ER",AK13="ER"),"ER",IF(OR(AK11="?",AK12="?",AK13="?"),"?",IF(AND(AK11="NA",AK12="NA",AK13="NA"),"NA",SUM(AK11,AK12,AK13)/((AK11&lt;&gt;"NA")*$H$11+(AK12&lt;&gt;"NA")*$H$12+(AK13&lt;&gt;"NA")*$H$13)*$H10)))</f>
        <v>?</v>
      </c>
    </row>
    <row r="11" customFormat="false" ht="25.5" hidden="false" customHeight="true" outlineLevel="0" collapsed="false">
      <c r="A11" s="74" t="s">
        <v>63</v>
      </c>
      <c r="B11" s="75" t="str">
        <f aca="false">IF(ISBLANK($A11),"NO_CODE",VLOOKUP($A11,'UPD Questions_290926 '!$E$1:$N$300,MATCH(B$1,'UPD Questions_290926 '!$E$1:$N$1,0),0)&amp;"")</f>
        <v>Planning </v>
      </c>
      <c r="C11" s="76" t="str">
        <f aca="false">IF(ISBLANK($A11),"NO_CODE",VLOOKUP($A11,'UPD Questions_290926 '!$E$1:$N$300,MATCH(C$1,'UPD Questions_290926 '!$E$1:$N$1,0),0)&amp;"")</f>
        <v>Legal and institutional planning architecture</v>
      </c>
      <c r="D11" s="75" t="str">
        <f aca="false">IF(ISBLANK($A11),"NO_CODE",VLOOKUP($A11,'UPD Questions_290926 '!$E$1:$N$300,MATCH(D$1,'UPD Questions_290926 '!$E$1:$N$1,0),0)&amp;"")</f>
        <v>Spatial planning hierarchy</v>
      </c>
      <c r="E11" s="75" t="str">
        <f aca="false">IF(ISBLANK($A11),"NO_CODE",VLOOKUP($A11,'UPD Questions_290926 '!$E$1:$N$300,MATCH(E$1,'UPD Questions_290926 '!$E$1:$N$1,0),0)&amp;"")</f>
        <v>SQ</v>
      </c>
      <c r="F11" s="75" t="str">
        <f aca="false">IF(ISBLANK($A11),"NO_CODE",VLOOKUP($A11,'UPD Questions_290926 '!$E$1:$N$300,MATCH(F$1,'UPD Questions_290926 '!$E$1:$N$1,0),0)&amp;"")</f>
        <v>Does the law mandate that the metropolitan/regional plan be approved by the state government?</v>
      </c>
      <c r="G11" s="75" t="str">
        <f aca="false">IF(ISBLANK($A11),"NO_CODE",VLOOKUP($A11,'UPD Questions_290926 '!$E$1:$N$300,MATCH(G$1,'UPD Questions_290926 '!$E$1:$N$1,0),0)&amp;"")</f>
        <v>Law or Policy</v>
      </c>
      <c r="H11" s="77" t="n">
        <f aca="false">IF(ISBLANK($A11),"NO_CODE",VLOOKUP($A11,'UPD Questions_290926 '!$E$1:$N$300,MATCH(H$1,'UPD Questions_290926 '!$E$1:$N$1,0),0))</f>
        <v>3.33</v>
      </c>
      <c r="I11" s="78" t="str">
        <f aca="true">IF($H11=0,"NA",IF($A11=INDIRECT("'"&amp;$A11&amp;"'!$B$1"),IF(VLOOKUP(I$1,INDIRECT("'"&amp;$A11&amp;"'!$A$12:$Z$41"),MATCH("Points (Auto-generate)",INDIRECT("'"&amp;$A11&amp;"'!$A$12:$Z$12"),0),0)="","?",VLOOKUP(I$1,INDIRECT("'"&amp;$A11&amp;"'!$A$12:$Z$41"),MATCH("Points (Auto-generate)",INDIRECT("'"&amp;$A11&amp;"'!$A$12:$Z$12"),0),0)),"ER"))</f>
        <v>?</v>
      </c>
      <c r="J11" s="78" t="str">
        <f aca="true">IF($H11=0,"NA",IF($A11=INDIRECT("'"&amp;$A11&amp;"'!$B$1"),IF(VLOOKUP(J$1,INDIRECT("'"&amp;$A11&amp;"'!$A$12:$Z$41"),MATCH("Points (Auto-generate)",INDIRECT("'"&amp;$A11&amp;"'!$A$12:$Z$12"),0),0)="","?",VLOOKUP(J$1,INDIRECT("'"&amp;$A11&amp;"'!$A$12:$Z$41"),MATCH("Points (Auto-generate)",INDIRECT("'"&amp;$A11&amp;"'!$A$12:$Z$12"),0),0)),"ER"))</f>
        <v>?</v>
      </c>
      <c r="K11" s="78" t="str">
        <f aca="true">IF($H11=0,"NA",IF($A11=INDIRECT("'"&amp;$A11&amp;"'!$B$1"),IF(VLOOKUP(K$1,INDIRECT("'"&amp;$A11&amp;"'!$A$12:$Z$41"),MATCH("Points (Auto-generate)",INDIRECT("'"&amp;$A11&amp;"'!$A$12:$Z$12"),0),0)="","?",VLOOKUP(K$1,INDIRECT("'"&amp;$A11&amp;"'!$A$12:$Z$41"),MATCH("Points (Auto-generate)",INDIRECT("'"&amp;$A11&amp;"'!$A$12:$Z$12"),0),0)),"ER"))</f>
        <v>?</v>
      </c>
      <c r="L11" s="78" t="str">
        <f aca="true">IF($H11=0,"NA",IF($A11=INDIRECT("'"&amp;$A11&amp;"'!$B$1"),IF(VLOOKUP(L$1,INDIRECT("'"&amp;$A11&amp;"'!$A$12:$Z$41"),MATCH("Points (Auto-generate)",INDIRECT("'"&amp;$A11&amp;"'!$A$12:$Z$12"),0),0)="","?",VLOOKUP(L$1,INDIRECT("'"&amp;$A11&amp;"'!$A$12:$Z$41"),MATCH("Points (Auto-generate)",INDIRECT("'"&amp;$A11&amp;"'!$A$12:$Z$12"),0),0)),"ER"))</f>
        <v>?</v>
      </c>
      <c r="M11" s="78" t="str">
        <f aca="true">IF($H11=0,"NA",IF($A11=INDIRECT("'"&amp;$A11&amp;"'!$B$1"),IF(VLOOKUP(M$1,INDIRECT("'"&amp;$A11&amp;"'!$A$12:$Z$41"),MATCH("Points (Auto-generate)",INDIRECT("'"&amp;$A11&amp;"'!$A$12:$Z$12"),0),0)="","?",VLOOKUP(M$1,INDIRECT("'"&amp;$A11&amp;"'!$A$12:$Z$41"),MATCH("Points (Auto-generate)",INDIRECT("'"&amp;$A11&amp;"'!$A$12:$Z$12"),0),0)),"ER"))</f>
        <v>?</v>
      </c>
      <c r="N11" s="78" t="str">
        <f aca="true">IF($H11=0,"NA",IF($A11=INDIRECT("'"&amp;$A11&amp;"'!$B$1"),IF(VLOOKUP(N$1,INDIRECT("'"&amp;$A11&amp;"'!$A$12:$Z$41"),MATCH("Points (Auto-generate)",INDIRECT("'"&amp;$A11&amp;"'!$A$12:$Z$12"),0),0)="","?",VLOOKUP(N$1,INDIRECT("'"&amp;$A11&amp;"'!$A$12:$Z$41"),MATCH("Points (Auto-generate)",INDIRECT("'"&amp;$A11&amp;"'!$A$12:$Z$12"),0),0)),"ER"))</f>
        <v>?</v>
      </c>
      <c r="O11" s="78" t="str">
        <f aca="true">IF($H11=0,"NA",IF($A11=INDIRECT("'"&amp;$A11&amp;"'!$B$1"),IF(VLOOKUP(O$1,INDIRECT("'"&amp;$A11&amp;"'!$A$12:$Z$41"),MATCH("Points (Auto-generate)",INDIRECT("'"&amp;$A11&amp;"'!$A$12:$Z$12"),0),0)="","?",VLOOKUP(O$1,INDIRECT("'"&amp;$A11&amp;"'!$A$12:$Z$41"),MATCH("Points (Auto-generate)",INDIRECT("'"&amp;$A11&amp;"'!$A$12:$Z$12"),0),0)),"ER"))</f>
        <v>?</v>
      </c>
      <c r="P11" s="78" t="str">
        <f aca="true">IF($H11=0,"NA",IF($A11=INDIRECT("'"&amp;$A11&amp;"'!$B$1"),IF(VLOOKUP(P$1,INDIRECT("'"&amp;$A11&amp;"'!$A$12:$Z$41"),MATCH("Points (Auto-generate)",INDIRECT("'"&amp;$A11&amp;"'!$A$12:$Z$12"),0),0)="","?",VLOOKUP(P$1,INDIRECT("'"&amp;$A11&amp;"'!$A$12:$Z$41"),MATCH("Points (Auto-generate)",INDIRECT("'"&amp;$A11&amp;"'!$A$12:$Z$12"),0),0)),"ER"))</f>
        <v>?</v>
      </c>
      <c r="Q11" s="78" t="str">
        <f aca="true">IF($H11=0,"NA",IF($A11=INDIRECT("'"&amp;$A11&amp;"'!$B$1"),IF(VLOOKUP(Q$1,INDIRECT("'"&amp;$A11&amp;"'!$A$12:$Z$41"),MATCH("Points (Auto-generate)",INDIRECT("'"&amp;$A11&amp;"'!$A$12:$Z$12"),0),0)="","?",VLOOKUP(Q$1,INDIRECT("'"&amp;$A11&amp;"'!$A$12:$Z$41"),MATCH("Points (Auto-generate)",INDIRECT("'"&amp;$A11&amp;"'!$A$12:$Z$12"),0),0)),"ER"))</f>
        <v>?</v>
      </c>
      <c r="R11" s="78" t="str">
        <f aca="true">IF($H11=0,"NA",IF($A11=INDIRECT("'"&amp;$A11&amp;"'!$B$1"),IF(VLOOKUP(R$1,INDIRECT("'"&amp;$A11&amp;"'!$A$12:$Z$41"),MATCH("Points (Auto-generate)",INDIRECT("'"&amp;$A11&amp;"'!$A$12:$Z$12"),0),0)="","?",VLOOKUP(R$1,INDIRECT("'"&amp;$A11&amp;"'!$A$12:$Z$41"),MATCH("Points (Auto-generate)",INDIRECT("'"&amp;$A11&amp;"'!$A$12:$Z$12"),0),0)),"ER"))</f>
        <v>?</v>
      </c>
      <c r="S11" s="78" t="str">
        <f aca="true">IF($H11=0,"NA",IF($A11=INDIRECT("'"&amp;$A11&amp;"'!$B$1"),IF(VLOOKUP(S$1,INDIRECT("'"&amp;$A11&amp;"'!$A$12:$Z$41"),MATCH("Points (Auto-generate)",INDIRECT("'"&amp;$A11&amp;"'!$A$12:$Z$12"),0),0)="","?",VLOOKUP(S$1,INDIRECT("'"&amp;$A11&amp;"'!$A$12:$Z$41"),MATCH("Points (Auto-generate)",INDIRECT("'"&amp;$A11&amp;"'!$A$12:$Z$12"),0),0)),"ER"))</f>
        <v>?</v>
      </c>
      <c r="T11" s="78" t="str">
        <f aca="true">IF($H11=0,"NA",IF($A11=INDIRECT("'"&amp;$A11&amp;"'!$B$1"),IF(VLOOKUP(T$1,INDIRECT("'"&amp;$A11&amp;"'!$A$12:$Z$41"),MATCH("Points (Auto-generate)",INDIRECT("'"&amp;$A11&amp;"'!$A$12:$Z$12"),0),0)="","?",VLOOKUP(T$1,INDIRECT("'"&amp;$A11&amp;"'!$A$12:$Z$41"),MATCH("Points (Auto-generate)",INDIRECT("'"&amp;$A11&amp;"'!$A$12:$Z$12"),0),0)),"ER"))</f>
        <v>?</v>
      </c>
      <c r="U11" s="78" t="str">
        <f aca="true">IF($H11=0,"NA",IF($A11=INDIRECT("'"&amp;$A11&amp;"'!$B$1"),IF(VLOOKUP(U$1,INDIRECT("'"&amp;$A11&amp;"'!$A$12:$Z$41"),MATCH("Points (Auto-generate)",INDIRECT("'"&amp;$A11&amp;"'!$A$12:$Z$12"),0),0)="","?",VLOOKUP(U$1,INDIRECT("'"&amp;$A11&amp;"'!$A$12:$Z$41"),MATCH("Points (Auto-generate)",INDIRECT("'"&amp;$A11&amp;"'!$A$12:$Z$12"),0),0)),"ER"))</f>
        <v>?</v>
      </c>
      <c r="V11" s="78" t="str">
        <f aca="true">IF($H11=0,"NA",IF($A11=INDIRECT("'"&amp;$A11&amp;"'!$B$1"),IF(VLOOKUP(V$1,INDIRECT("'"&amp;$A11&amp;"'!$A$12:$Z$41"),MATCH("Points (Auto-generate)",INDIRECT("'"&amp;$A11&amp;"'!$A$12:$Z$12"),0),0)="","?",VLOOKUP(V$1,INDIRECT("'"&amp;$A11&amp;"'!$A$12:$Z$41"),MATCH("Points (Auto-generate)",INDIRECT("'"&amp;$A11&amp;"'!$A$12:$Z$12"),0),0)),"ER"))</f>
        <v>?</v>
      </c>
      <c r="W11" s="78" t="str">
        <f aca="true">IF($H11=0,"NA",IF($A11=INDIRECT("'"&amp;$A11&amp;"'!$B$1"),IF(VLOOKUP(W$1,INDIRECT("'"&amp;$A11&amp;"'!$A$12:$Z$41"),MATCH("Points (Auto-generate)",INDIRECT("'"&amp;$A11&amp;"'!$A$12:$Z$12"),0),0)="","?",VLOOKUP(W$1,INDIRECT("'"&amp;$A11&amp;"'!$A$12:$Z$41"),MATCH("Points (Auto-generate)",INDIRECT("'"&amp;$A11&amp;"'!$A$12:$Z$12"),0),0)),"ER"))</f>
        <v>?</v>
      </c>
      <c r="X11" s="78" t="str">
        <f aca="true">IF($H11=0,"NA",IF($A11=INDIRECT("'"&amp;$A11&amp;"'!$B$1"),IF(VLOOKUP(X$1,INDIRECT("'"&amp;$A11&amp;"'!$A$12:$Z$41"),MATCH("Points (Auto-generate)",INDIRECT("'"&amp;$A11&amp;"'!$A$12:$Z$12"),0),0)="","?",VLOOKUP(X$1,INDIRECT("'"&amp;$A11&amp;"'!$A$12:$Z$41"),MATCH("Points (Auto-generate)",INDIRECT("'"&amp;$A11&amp;"'!$A$12:$Z$12"),0),0)),"ER"))</f>
        <v>?</v>
      </c>
      <c r="Y11" s="78" t="str">
        <f aca="true">IF($H11=0,"NA",IF($A11=INDIRECT("'"&amp;$A11&amp;"'!$B$1"),IF(VLOOKUP(Y$1,INDIRECT("'"&amp;$A11&amp;"'!$A$12:$Z$41"),MATCH("Points (Auto-generate)",INDIRECT("'"&amp;$A11&amp;"'!$A$12:$Z$12"),0),0)="","?",VLOOKUP(Y$1,INDIRECT("'"&amp;$A11&amp;"'!$A$12:$Z$41"),MATCH("Points (Auto-generate)",INDIRECT("'"&amp;$A11&amp;"'!$A$12:$Z$12"),0),0)),"ER"))</f>
        <v>?</v>
      </c>
      <c r="Z11" s="78" t="str">
        <f aca="true">IF($H11=0,"NA",IF($A11=INDIRECT("'"&amp;$A11&amp;"'!$B$1"),IF(VLOOKUP(Z$1,INDIRECT("'"&amp;$A11&amp;"'!$A$12:$Z$41"),MATCH("Points (Auto-generate)",INDIRECT("'"&amp;$A11&amp;"'!$A$12:$Z$12"),0),0)="","?",VLOOKUP(Z$1,INDIRECT("'"&amp;$A11&amp;"'!$A$12:$Z$41"),MATCH("Points (Auto-generate)",INDIRECT("'"&amp;$A11&amp;"'!$A$12:$Z$12"),0),0)),"ER"))</f>
        <v>?</v>
      </c>
      <c r="AA11" s="78" t="str">
        <f aca="true">IF($H11=0,"NA",IF($A11=INDIRECT("'"&amp;$A11&amp;"'!$B$1"),IF(VLOOKUP(AA$1,INDIRECT("'"&amp;$A11&amp;"'!$A$12:$Z$41"),MATCH("Points (Auto-generate)",INDIRECT("'"&amp;$A11&amp;"'!$A$12:$Z$12"),0),0)="","?",VLOOKUP(AA$1,INDIRECT("'"&amp;$A11&amp;"'!$A$12:$Z$41"),MATCH("Points (Auto-generate)",INDIRECT("'"&amp;$A11&amp;"'!$A$12:$Z$12"),0),0)),"ER"))</f>
        <v>?</v>
      </c>
      <c r="AB11" s="78" t="str">
        <f aca="true">IF($H11=0,"NA",IF($A11=INDIRECT("'"&amp;$A11&amp;"'!$B$1"),IF(VLOOKUP(AB$1,INDIRECT("'"&amp;$A11&amp;"'!$A$12:$Z$41"),MATCH("Points (Auto-generate)",INDIRECT("'"&amp;$A11&amp;"'!$A$12:$Z$12"),0),0)="","?",VLOOKUP(AB$1,INDIRECT("'"&amp;$A11&amp;"'!$A$12:$Z$41"),MATCH("Points (Auto-generate)",INDIRECT("'"&amp;$A11&amp;"'!$A$12:$Z$12"),0),0)),"ER"))</f>
        <v>?</v>
      </c>
      <c r="AC11" s="78" t="str">
        <f aca="true">IF($H11=0,"NA",IF($A11=INDIRECT("'"&amp;$A11&amp;"'!$B$1"),IF(VLOOKUP(AC$1,INDIRECT("'"&amp;$A11&amp;"'!$A$12:$Z$41"),MATCH("Points (Auto-generate)",INDIRECT("'"&amp;$A11&amp;"'!$A$12:$Z$12"),0),0)="","?",VLOOKUP(AC$1,INDIRECT("'"&amp;$A11&amp;"'!$A$12:$Z$41"),MATCH("Points (Auto-generate)",INDIRECT("'"&amp;$A11&amp;"'!$A$12:$Z$12"),0),0)),"ER"))</f>
        <v>?</v>
      </c>
      <c r="AD11" s="78" t="str">
        <f aca="true">IF($H11=0,"NA",IF($A11=INDIRECT("'"&amp;$A11&amp;"'!$B$1"),IF(VLOOKUP(AD$1,INDIRECT("'"&amp;$A11&amp;"'!$A$12:$Z$41"),MATCH("Points (Auto-generate)",INDIRECT("'"&amp;$A11&amp;"'!$A$12:$Z$12"),0),0)="","?",VLOOKUP(AD$1,INDIRECT("'"&amp;$A11&amp;"'!$A$12:$Z$41"),MATCH("Points (Auto-generate)",INDIRECT("'"&amp;$A11&amp;"'!$A$12:$Z$12"),0),0)),"ER"))</f>
        <v>?</v>
      </c>
      <c r="AE11" s="78" t="str">
        <f aca="true">IF($H11=0,"NA",IF($A11=INDIRECT("'"&amp;$A11&amp;"'!$B$1"),IF(VLOOKUP(AE$1,INDIRECT("'"&amp;$A11&amp;"'!$A$12:$Z$41"),MATCH("Points (Auto-generate)",INDIRECT("'"&amp;$A11&amp;"'!$A$12:$Z$12"),0),0)="","?",VLOOKUP(AE$1,INDIRECT("'"&amp;$A11&amp;"'!$A$12:$Z$41"),MATCH("Points (Auto-generate)",INDIRECT("'"&amp;$A11&amp;"'!$A$12:$Z$12"),0),0)),"ER"))</f>
        <v>?</v>
      </c>
      <c r="AF11" s="78" t="str">
        <f aca="true">IF($H11=0,"NA",IF($A11=INDIRECT("'"&amp;$A11&amp;"'!$B$1"),IF(VLOOKUP(AF$1,INDIRECT("'"&amp;$A11&amp;"'!$A$12:$Z$41"),MATCH("Points (Auto-generate)",INDIRECT("'"&amp;$A11&amp;"'!$A$12:$Z$12"),0),0)="","?",VLOOKUP(AF$1,INDIRECT("'"&amp;$A11&amp;"'!$A$12:$Z$41"),MATCH("Points (Auto-generate)",INDIRECT("'"&amp;$A11&amp;"'!$A$12:$Z$12"),0),0)),"ER"))</f>
        <v>?</v>
      </c>
      <c r="AG11" s="78" t="str">
        <f aca="true">IF($H11=0,"NA",IF($A11=INDIRECT("'"&amp;$A11&amp;"'!$B$1"),IF(VLOOKUP(AG$1,INDIRECT("'"&amp;$A11&amp;"'!$A$12:$Z$41"),MATCH("Points (Auto-generate)",INDIRECT("'"&amp;$A11&amp;"'!$A$12:$Z$12"),0),0)="","?",VLOOKUP(AG$1,INDIRECT("'"&amp;$A11&amp;"'!$A$12:$Z$41"),MATCH("Points (Auto-generate)",INDIRECT("'"&amp;$A11&amp;"'!$A$12:$Z$12"),0),0)),"ER"))</f>
        <v>?</v>
      </c>
      <c r="AH11" s="78" t="str">
        <f aca="true">IF($H11=0,"NA",IF($A11=INDIRECT("'"&amp;$A11&amp;"'!$B$1"),IF(VLOOKUP(AH$1,INDIRECT("'"&amp;$A11&amp;"'!$A$12:$Z$41"),MATCH("Points (Auto-generate)",INDIRECT("'"&amp;$A11&amp;"'!$A$12:$Z$12"),0),0)="","?",VLOOKUP(AH$1,INDIRECT("'"&amp;$A11&amp;"'!$A$12:$Z$41"),MATCH("Points (Auto-generate)",INDIRECT("'"&amp;$A11&amp;"'!$A$12:$Z$12"),0),0)),"ER"))</f>
        <v>?</v>
      </c>
      <c r="AI11" s="78" t="str">
        <f aca="true">IF($H11=0,"NA",IF($A11=INDIRECT("'"&amp;$A11&amp;"'!$B$1"),IF(VLOOKUP(AI$1,INDIRECT("'"&amp;$A11&amp;"'!$A$12:$Z$41"),MATCH("Points (Auto-generate)",INDIRECT("'"&amp;$A11&amp;"'!$A$12:$Z$12"),0),0)="","?",VLOOKUP(AI$1,INDIRECT("'"&amp;$A11&amp;"'!$A$12:$Z$41"),MATCH("Points (Auto-generate)",INDIRECT("'"&amp;$A11&amp;"'!$A$12:$Z$12"),0),0)),"ER"))</f>
        <v>?</v>
      </c>
      <c r="AJ11" s="78" t="str">
        <f aca="true">IF($H11=0,"NA",IF($A11=INDIRECT("'"&amp;$A11&amp;"'!$B$1"),IF(VLOOKUP(AJ$1,INDIRECT("'"&amp;$A11&amp;"'!$A$12:$Z$41"),MATCH("Points (Auto-generate)",INDIRECT("'"&amp;$A11&amp;"'!$A$12:$Z$12"),0),0)="","?",VLOOKUP(AJ$1,INDIRECT("'"&amp;$A11&amp;"'!$A$12:$Z$41"),MATCH("Points (Auto-generate)",INDIRECT("'"&amp;$A11&amp;"'!$A$12:$Z$12"),0),0)),"ER"))</f>
        <v>?</v>
      </c>
      <c r="AK11" s="78" t="str">
        <f aca="true">IF($H11=0,"NA",IF($A11=INDIRECT("'"&amp;$A11&amp;"'!$B$1"),IF(VLOOKUP(AK$1,INDIRECT("'"&amp;$A11&amp;"'!$A$12:$Z$41"),MATCH("Points (Auto-generate)",INDIRECT("'"&amp;$A11&amp;"'!$A$12:$Z$12"),0),0)="","?",VLOOKUP(AK$1,INDIRECT("'"&amp;$A11&amp;"'!$A$12:$Z$41"),MATCH("Points (Auto-generate)",INDIRECT("'"&amp;$A11&amp;"'!$A$12:$Z$12"),0),0)),"ER"))</f>
        <v>?</v>
      </c>
    </row>
    <row r="12" customFormat="false" ht="25.5" hidden="false" customHeight="true" outlineLevel="0" collapsed="false">
      <c r="A12" s="74" t="s">
        <v>67</v>
      </c>
      <c r="B12" s="75" t="str">
        <f aca="false">IF(ISBLANK($A12),"NO_CODE",VLOOKUP($A12,'UPD Questions_290926 '!$E$1:$N$300,MATCH(B$1,'UPD Questions_290926 '!$E$1:$N$1,0),0)&amp;"")</f>
        <v>Planning </v>
      </c>
      <c r="C12" s="76" t="str">
        <f aca="false">IF(ISBLANK($A12),"NO_CODE",VLOOKUP($A12,'UPD Questions_290926 '!$E$1:$N$300,MATCH(C$1,'UPD Questions_290926 '!$E$1:$N$1,0),0)&amp;"")</f>
        <v>Legal and institutional planning architecture</v>
      </c>
      <c r="D12" s="75" t="str">
        <f aca="false">IF(ISBLANK($A12),"NO_CODE",VLOOKUP($A12,'UPD Questions_290926 '!$E$1:$N$300,MATCH(D$1,'UPD Questions_290926 '!$E$1:$N$1,0),0)&amp;"")</f>
        <v>Spatial planning hierarchy</v>
      </c>
      <c r="E12" s="75" t="str">
        <f aca="false">IF(ISBLANK($A12),"NO_CODE",VLOOKUP($A12,'UPD Questions_290926 '!$E$1:$N$300,MATCH(E$1,'UPD Questions_290926 '!$E$1:$N$1,0),0)&amp;"")</f>
        <v>SQ</v>
      </c>
      <c r="F12" s="75" t="str">
        <f aca="false">IF(ISBLANK($A12),"NO_CODE",VLOOKUP($A12,'UPD Questions_290926 '!$E$1:$N$300,MATCH(F$1,'UPD Questions_290926 '!$E$1:$N$1,0),0)&amp;"")</f>
        <v>Does the law mandate that the municipal/city plan be approved by the MPC (Metropolitan Planning Committee)  for metropolitan cities or by DPC (District Planning Committee) for non-metropolitan cities?</v>
      </c>
      <c r="G12" s="75" t="str">
        <f aca="false">IF(ISBLANK($A12),"NO_CODE",VLOOKUP($A12,'UPD Questions_290926 '!$E$1:$N$300,MATCH(G$1,'UPD Questions_290926 '!$E$1:$N$1,0),0)&amp;"")</f>
        <v>Law or Policy</v>
      </c>
      <c r="H12" s="77" t="n">
        <f aca="false">IF(ISBLANK($A12),"NO_CODE",VLOOKUP($A12,'UPD Questions_290926 '!$E$1:$N$300,MATCH(H$1,'UPD Questions_290926 '!$E$1:$N$1,0),0))</f>
        <v>3.33</v>
      </c>
      <c r="I12" s="78" t="str">
        <f aca="true">IF($H12=0,"NA",IF($A12=INDIRECT("'"&amp;$A12&amp;"'!$B$1"),IF(VLOOKUP(I$1,INDIRECT("'"&amp;$A12&amp;"'!$A$12:$Z$41"),MATCH("Points (Auto-generate)",INDIRECT("'"&amp;$A12&amp;"'!$A$12:$Z$12"),0),0)="","?",VLOOKUP(I$1,INDIRECT("'"&amp;$A12&amp;"'!$A$12:$Z$41"),MATCH("Points (Auto-generate)",INDIRECT("'"&amp;$A12&amp;"'!$A$12:$Z$12"),0),0)),"ER"))</f>
        <v>?</v>
      </c>
      <c r="J12" s="78" t="str">
        <f aca="true">IF($H12=0,"NA",IF($A12=INDIRECT("'"&amp;$A12&amp;"'!$B$1"),IF(VLOOKUP(J$1,INDIRECT("'"&amp;$A12&amp;"'!$A$12:$Z$41"),MATCH("Points (Auto-generate)",INDIRECT("'"&amp;$A12&amp;"'!$A$12:$Z$12"),0),0)="","?",VLOOKUP(J$1,INDIRECT("'"&amp;$A12&amp;"'!$A$12:$Z$41"),MATCH("Points (Auto-generate)",INDIRECT("'"&amp;$A12&amp;"'!$A$12:$Z$12"),0),0)),"ER"))</f>
        <v>?</v>
      </c>
      <c r="K12" s="78" t="str">
        <f aca="true">IF($H12=0,"NA",IF($A12=INDIRECT("'"&amp;$A12&amp;"'!$B$1"),IF(VLOOKUP(K$1,INDIRECT("'"&amp;$A12&amp;"'!$A$12:$Z$41"),MATCH("Points (Auto-generate)",INDIRECT("'"&amp;$A12&amp;"'!$A$12:$Z$12"),0),0)="","?",VLOOKUP(K$1,INDIRECT("'"&amp;$A12&amp;"'!$A$12:$Z$41"),MATCH("Points (Auto-generate)",INDIRECT("'"&amp;$A12&amp;"'!$A$12:$Z$12"),0),0)),"ER"))</f>
        <v>?</v>
      </c>
      <c r="L12" s="78" t="str">
        <f aca="true">IF($H12=0,"NA",IF($A12=INDIRECT("'"&amp;$A12&amp;"'!$B$1"),IF(VLOOKUP(L$1,INDIRECT("'"&amp;$A12&amp;"'!$A$12:$Z$41"),MATCH("Points (Auto-generate)",INDIRECT("'"&amp;$A12&amp;"'!$A$12:$Z$12"),0),0)="","?",VLOOKUP(L$1,INDIRECT("'"&amp;$A12&amp;"'!$A$12:$Z$41"),MATCH("Points (Auto-generate)",INDIRECT("'"&amp;$A12&amp;"'!$A$12:$Z$12"),0),0)),"ER"))</f>
        <v>?</v>
      </c>
      <c r="M12" s="78" t="str">
        <f aca="true">IF($H12=0,"NA",IF($A12=INDIRECT("'"&amp;$A12&amp;"'!$B$1"),IF(VLOOKUP(M$1,INDIRECT("'"&amp;$A12&amp;"'!$A$12:$Z$41"),MATCH("Points (Auto-generate)",INDIRECT("'"&amp;$A12&amp;"'!$A$12:$Z$12"),0),0)="","?",VLOOKUP(M$1,INDIRECT("'"&amp;$A12&amp;"'!$A$12:$Z$41"),MATCH("Points (Auto-generate)",INDIRECT("'"&amp;$A12&amp;"'!$A$12:$Z$12"),0),0)),"ER"))</f>
        <v>?</v>
      </c>
      <c r="N12" s="78" t="str">
        <f aca="true">IF($H12=0,"NA",IF($A12=INDIRECT("'"&amp;$A12&amp;"'!$B$1"),IF(VLOOKUP(N$1,INDIRECT("'"&amp;$A12&amp;"'!$A$12:$Z$41"),MATCH("Points (Auto-generate)",INDIRECT("'"&amp;$A12&amp;"'!$A$12:$Z$12"),0),0)="","?",VLOOKUP(N$1,INDIRECT("'"&amp;$A12&amp;"'!$A$12:$Z$41"),MATCH("Points (Auto-generate)",INDIRECT("'"&amp;$A12&amp;"'!$A$12:$Z$12"),0),0)),"ER"))</f>
        <v>?</v>
      </c>
      <c r="O12" s="78" t="str">
        <f aca="true">IF($H12=0,"NA",IF($A12=INDIRECT("'"&amp;$A12&amp;"'!$B$1"),IF(VLOOKUP(O$1,INDIRECT("'"&amp;$A12&amp;"'!$A$12:$Z$41"),MATCH("Points (Auto-generate)",INDIRECT("'"&amp;$A12&amp;"'!$A$12:$Z$12"),0),0)="","?",VLOOKUP(O$1,INDIRECT("'"&amp;$A12&amp;"'!$A$12:$Z$41"),MATCH("Points (Auto-generate)",INDIRECT("'"&amp;$A12&amp;"'!$A$12:$Z$12"),0),0)),"ER"))</f>
        <v>?</v>
      </c>
      <c r="P12" s="78" t="str">
        <f aca="true">IF($H12=0,"NA",IF($A12=INDIRECT("'"&amp;$A12&amp;"'!$B$1"),IF(VLOOKUP(P$1,INDIRECT("'"&amp;$A12&amp;"'!$A$12:$Z$41"),MATCH("Points (Auto-generate)",INDIRECT("'"&amp;$A12&amp;"'!$A$12:$Z$12"),0),0)="","?",VLOOKUP(P$1,INDIRECT("'"&amp;$A12&amp;"'!$A$12:$Z$41"),MATCH("Points (Auto-generate)",INDIRECT("'"&amp;$A12&amp;"'!$A$12:$Z$12"),0),0)),"ER"))</f>
        <v>?</v>
      </c>
      <c r="Q12" s="78" t="str">
        <f aca="true">IF($H12=0,"NA",IF($A12=INDIRECT("'"&amp;$A12&amp;"'!$B$1"),IF(VLOOKUP(Q$1,INDIRECT("'"&amp;$A12&amp;"'!$A$12:$Z$41"),MATCH("Points (Auto-generate)",INDIRECT("'"&amp;$A12&amp;"'!$A$12:$Z$12"),0),0)="","?",VLOOKUP(Q$1,INDIRECT("'"&amp;$A12&amp;"'!$A$12:$Z$41"),MATCH("Points (Auto-generate)",INDIRECT("'"&amp;$A12&amp;"'!$A$12:$Z$12"),0),0)),"ER"))</f>
        <v>?</v>
      </c>
      <c r="R12" s="78" t="str">
        <f aca="true">IF($H12=0,"NA",IF($A12=INDIRECT("'"&amp;$A12&amp;"'!$B$1"),IF(VLOOKUP(R$1,INDIRECT("'"&amp;$A12&amp;"'!$A$12:$Z$41"),MATCH("Points (Auto-generate)",INDIRECT("'"&amp;$A12&amp;"'!$A$12:$Z$12"),0),0)="","?",VLOOKUP(R$1,INDIRECT("'"&amp;$A12&amp;"'!$A$12:$Z$41"),MATCH("Points (Auto-generate)",INDIRECT("'"&amp;$A12&amp;"'!$A$12:$Z$12"),0),0)),"ER"))</f>
        <v>?</v>
      </c>
      <c r="S12" s="78" t="str">
        <f aca="true">IF($H12=0,"NA",IF($A12=INDIRECT("'"&amp;$A12&amp;"'!$B$1"),IF(VLOOKUP(S$1,INDIRECT("'"&amp;$A12&amp;"'!$A$12:$Z$41"),MATCH("Points (Auto-generate)",INDIRECT("'"&amp;$A12&amp;"'!$A$12:$Z$12"),0),0)="","?",VLOOKUP(S$1,INDIRECT("'"&amp;$A12&amp;"'!$A$12:$Z$41"),MATCH("Points (Auto-generate)",INDIRECT("'"&amp;$A12&amp;"'!$A$12:$Z$12"),0),0)),"ER"))</f>
        <v>?</v>
      </c>
      <c r="T12" s="78" t="str">
        <f aca="true">IF($H12=0,"NA",IF($A12=INDIRECT("'"&amp;$A12&amp;"'!$B$1"),IF(VLOOKUP(T$1,INDIRECT("'"&amp;$A12&amp;"'!$A$12:$Z$41"),MATCH("Points (Auto-generate)",INDIRECT("'"&amp;$A12&amp;"'!$A$12:$Z$12"),0),0)="","?",VLOOKUP(T$1,INDIRECT("'"&amp;$A12&amp;"'!$A$12:$Z$41"),MATCH("Points (Auto-generate)",INDIRECT("'"&amp;$A12&amp;"'!$A$12:$Z$12"),0),0)),"ER"))</f>
        <v>?</v>
      </c>
      <c r="U12" s="78" t="str">
        <f aca="true">IF($H12=0,"NA",IF($A12=INDIRECT("'"&amp;$A12&amp;"'!$B$1"),IF(VLOOKUP(U$1,INDIRECT("'"&amp;$A12&amp;"'!$A$12:$Z$41"),MATCH("Points (Auto-generate)",INDIRECT("'"&amp;$A12&amp;"'!$A$12:$Z$12"),0),0)="","?",VLOOKUP(U$1,INDIRECT("'"&amp;$A12&amp;"'!$A$12:$Z$41"),MATCH("Points (Auto-generate)",INDIRECT("'"&amp;$A12&amp;"'!$A$12:$Z$12"),0),0)),"ER"))</f>
        <v>?</v>
      </c>
      <c r="V12" s="78" t="str">
        <f aca="true">IF($H12=0,"NA",IF($A12=INDIRECT("'"&amp;$A12&amp;"'!$B$1"),IF(VLOOKUP(V$1,INDIRECT("'"&amp;$A12&amp;"'!$A$12:$Z$41"),MATCH("Points (Auto-generate)",INDIRECT("'"&amp;$A12&amp;"'!$A$12:$Z$12"),0),0)="","?",VLOOKUP(V$1,INDIRECT("'"&amp;$A12&amp;"'!$A$12:$Z$41"),MATCH("Points (Auto-generate)",INDIRECT("'"&amp;$A12&amp;"'!$A$12:$Z$12"),0),0)),"ER"))</f>
        <v>?</v>
      </c>
      <c r="W12" s="78" t="str">
        <f aca="true">IF($H12=0,"NA",IF($A12=INDIRECT("'"&amp;$A12&amp;"'!$B$1"),IF(VLOOKUP(W$1,INDIRECT("'"&amp;$A12&amp;"'!$A$12:$Z$41"),MATCH("Points (Auto-generate)",INDIRECT("'"&amp;$A12&amp;"'!$A$12:$Z$12"),0),0)="","?",VLOOKUP(W$1,INDIRECT("'"&amp;$A12&amp;"'!$A$12:$Z$41"),MATCH("Points (Auto-generate)",INDIRECT("'"&amp;$A12&amp;"'!$A$12:$Z$12"),0),0)),"ER"))</f>
        <v>?</v>
      </c>
      <c r="X12" s="78" t="str">
        <f aca="true">IF($H12=0,"NA",IF($A12=INDIRECT("'"&amp;$A12&amp;"'!$B$1"),IF(VLOOKUP(X$1,INDIRECT("'"&amp;$A12&amp;"'!$A$12:$Z$41"),MATCH("Points (Auto-generate)",INDIRECT("'"&amp;$A12&amp;"'!$A$12:$Z$12"),0),0)="","?",VLOOKUP(X$1,INDIRECT("'"&amp;$A12&amp;"'!$A$12:$Z$41"),MATCH("Points (Auto-generate)",INDIRECT("'"&amp;$A12&amp;"'!$A$12:$Z$12"),0),0)),"ER"))</f>
        <v>?</v>
      </c>
      <c r="Y12" s="78" t="str">
        <f aca="true">IF($H12=0,"NA",IF($A12=INDIRECT("'"&amp;$A12&amp;"'!$B$1"),IF(VLOOKUP(Y$1,INDIRECT("'"&amp;$A12&amp;"'!$A$12:$Z$41"),MATCH("Points (Auto-generate)",INDIRECT("'"&amp;$A12&amp;"'!$A$12:$Z$12"),0),0)="","?",VLOOKUP(Y$1,INDIRECT("'"&amp;$A12&amp;"'!$A$12:$Z$41"),MATCH("Points (Auto-generate)",INDIRECT("'"&amp;$A12&amp;"'!$A$12:$Z$12"),0),0)),"ER"))</f>
        <v>?</v>
      </c>
      <c r="Z12" s="78" t="str">
        <f aca="true">IF($H12=0,"NA",IF($A12=INDIRECT("'"&amp;$A12&amp;"'!$B$1"),IF(VLOOKUP(Z$1,INDIRECT("'"&amp;$A12&amp;"'!$A$12:$Z$41"),MATCH("Points (Auto-generate)",INDIRECT("'"&amp;$A12&amp;"'!$A$12:$Z$12"),0),0)="","?",VLOOKUP(Z$1,INDIRECT("'"&amp;$A12&amp;"'!$A$12:$Z$41"),MATCH("Points (Auto-generate)",INDIRECT("'"&amp;$A12&amp;"'!$A$12:$Z$12"),0),0)),"ER"))</f>
        <v>?</v>
      </c>
      <c r="AA12" s="78" t="str">
        <f aca="true">IF($H12=0,"NA",IF($A12=INDIRECT("'"&amp;$A12&amp;"'!$B$1"),IF(VLOOKUP(AA$1,INDIRECT("'"&amp;$A12&amp;"'!$A$12:$Z$41"),MATCH("Points (Auto-generate)",INDIRECT("'"&amp;$A12&amp;"'!$A$12:$Z$12"),0),0)="","?",VLOOKUP(AA$1,INDIRECT("'"&amp;$A12&amp;"'!$A$12:$Z$41"),MATCH("Points (Auto-generate)",INDIRECT("'"&amp;$A12&amp;"'!$A$12:$Z$12"),0),0)),"ER"))</f>
        <v>?</v>
      </c>
      <c r="AB12" s="78" t="str">
        <f aca="true">IF($H12=0,"NA",IF($A12=INDIRECT("'"&amp;$A12&amp;"'!$B$1"),IF(VLOOKUP(AB$1,INDIRECT("'"&amp;$A12&amp;"'!$A$12:$Z$41"),MATCH("Points (Auto-generate)",INDIRECT("'"&amp;$A12&amp;"'!$A$12:$Z$12"),0),0)="","?",VLOOKUP(AB$1,INDIRECT("'"&amp;$A12&amp;"'!$A$12:$Z$41"),MATCH("Points (Auto-generate)",INDIRECT("'"&amp;$A12&amp;"'!$A$12:$Z$12"),0),0)),"ER"))</f>
        <v>?</v>
      </c>
      <c r="AC12" s="78" t="str">
        <f aca="true">IF($H12=0,"NA",IF($A12=INDIRECT("'"&amp;$A12&amp;"'!$B$1"),IF(VLOOKUP(AC$1,INDIRECT("'"&amp;$A12&amp;"'!$A$12:$Z$41"),MATCH("Points (Auto-generate)",INDIRECT("'"&amp;$A12&amp;"'!$A$12:$Z$12"),0),0)="","?",VLOOKUP(AC$1,INDIRECT("'"&amp;$A12&amp;"'!$A$12:$Z$41"),MATCH("Points (Auto-generate)",INDIRECT("'"&amp;$A12&amp;"'!$A$12:$Z$12"),0),0)),"ER"))</f>
        <v>?</v>
      </c>
      <c r="AD12" s="78" t="str">
        <f aca="true">IF($H12=0,"NA",IF($A12=INDIRECT("'"&amp;$A12&amp;"'!$B$1"),IF(VLOOKUP(AD$1,INDIRECT("'"&amp;$A12&amp;"'!$A$12:$Z$41"),MATCH("Points (Auto-generate)",INDIRECT("'"&amp;$A12&amp;"'!$A$12:$Z$12"),0),0)="","?",VLOOKUP(AD$1,INDIRECT("'"&amp;$A12&amp;"'!$A$12:$Z$41"),MATCH("Points (Auto-generate)",INDIRECT("'"&amp;$A12&amp;"'!$A$12:$Z$12"),0),0)),"ER"))</f>
        <v>?</v>
      </c>
      <c r="AE12" s="78" t="str">
        <f aca="true">IF($H12=0,"NA",IF($A12=INDIRECT("'"&amp;$A12&amp;"'!$B$1"),IF(VLOOKUP(AE$1,INDIRECT("'"&amp;$A12&amp;"'!$A$12:$Z$41"),MATCH("Points (Auto-generate)",INDIRECT("'"&amp;$A12&amp;"'!$A$12:$Z$12"),0),0)="","?",VLOOKUP(AE$1,INDIRECT("'"&amp;$A12&amp;"'!$A$12:$Z$41"),MATCH("Points (Auto-generate)",INDIRECT("'"&amp;$A12&amp;"'!$A$12:$Z$12"),0),0)),"ER"))</f>
        <v>?</v>
      </c>
      <c r="AF12" s="78" t="str">
        <f aca="true">IF($H12=0,"NA",IF($A12=INDIRECT("'"&amp;$A12&amp;"'!$B$1"),IF(VLOOKUP(AF$1,INDIRECT("'"&amp;$A12&amp;"'!$A$12:$Z$41"),MATCH("Points (Auto-generate)",INDIRECT("'"&amp;$A12&amp;"'!$A$12:$Z$12"),0),0)="","?",VLOOKUP(AF$1,INDIRECT("'"&amp;$A12&amp;"'!$A$12:$Z$41"),MATCH("Points (Auto-generate)",INDIRECT("'"&amp;$A12&amp;"'!$A$12:$Z$12"),0),0)),"ER"))</f>
        <v>?</v>
      </c>
      <c r="AG12" s="78" t="str">
        <f aca="true">IF($H12=0,"NA",IF($A12=INDIRECT("'"&amp;$A12&amp;"'!$B$1"),IF(VLOOKUP(AG$1,INDIRECT("'"&amp;$A12&amp;"'!$A$12:$Z$41"),MATCH("Points (Auto-generate)",INDIRECT("'"&amp;$A12&amp;"'!$A$12:$Z$12"),0),0)="","?",VLOOKUP(AG$1,INDIRECT("'"&amp;$A12&amp;"'!$A$12:$Z$41"),MATCH("Points (Auto-generate)",INDIRECT("'"&amp;$A12&amp;"'!$A$12:$Z$12"),0),0)),"ER"))</f>
        <v>?</v>
      </c>
      <c r="AH12" s="78" t="str">
        <f aca="true">IF($H12=0,"NA",IF($A12=INDIRECT("'"&amp;$A12&amp;"'!$B$1"),IF(VLOOKUP(AH$1,INDIRECT("'"&amp;$A12&amp;"'!$A$12:$Z$41"),MATCH("Points (Auto-generate)",INDIRECT("'"&amp;$A12&amp;"'!$A$12:$Z$12"),0),0)="","?",VLOOKUP(AH$1,INDIRECT("'"&amp;$A12&amp;"'!$A$12:$Z$41"),MATCH("Points (Auto-generate)",INDIRECT("'"&amp;$A12&amp;"'!$A$12:$Z$12"),0),0)),"ER"))</f>
        <v>?</v>
      </c>
      <c r="AI12" s="78" t="str">
        <f aca="true">IF($H12=0,"NA",IF($A12=INDIRECT("'"&amp;$A12&amp;"'!$B$1"),IF(VLOOKUP(AI$1,INDIRECT("'"&amp;$A12&amp;"'!$A$12:$Z$41"),MATCH("Points (Auto-generate)",INDIRECT("'"&amp;$A12&amp;"'!$A$12:$Z$12"),0),0)="","?",VLOOKUP(AI$1,INDIRECT("'"&amp;$A12&amp;"'!$A$12:$Z$41"),MATCH("Points (Auto-generate)",INDIRECT("'"&amp;$A12&amp;"'!$A$12:$Z$12"),0),0)),"ER"))</f>
        <v>?</v>
      </c>
      <c r="AJ12" s="78" t="str">
        <f aca="true">IF($H12=0,"NA",IF($A12=INDIRECT("'"&amp;$A12&amp;"'!$B$1"),IF(VLOOKUP(AJ$1,INDIRECT("'"&amp;$A12&amp;"'!$A$12:$Z$41"),MATCH("Points (Auto-generate)",INDIRECT("'"&amp;$A12&amp;"'!$A$12:$Z$12"),0),0)="","?",VLOOKUP(AJ$1,INDIRECT("'"&amp;$A12&amp;"'!$A$12:$Z$41"),MATCH("Points (Auto-generate)",INDIRECT("'"&amp;$A12&amp;"'!$A$12:$Z$12"),0),0)),"ER"))</f>
        <v>?</v>
      </c>
      <c r="AK12" s="78" t="str">
        <f aca="true">IF($H12=0,"NA",IF($A12=INDIRECT("'"&amp;$A12&amp;"'!$B$1"),IF(VLOOKUP(AK$1,INDIRECT("'"&amp;$A12&amp;"'!$A$12:$Z$41"),MATCH("Points (Auto-generate)",INDIRECT("'"&amp;$A12&amp;"'!$A$12:$Z$12"),0),0)="","?",VLOOKUP(AK$1,INDIRECT("'"&amp;$A12&amp;"'!$A$12:$Z$41"),MATCH("Points (Auto-generate)",INDIRECT("'"&amp;$A12&amp;"'!$A$12:$Z$12"),0),0)),"ER"))</f>
        <v>?</v>
      </c>
    </row>
    <row r="13" customFormat="false" ht="25.5" hidden="false" customHeight="true" outlineLevel="0" collapsed="false">
      <c r="A13" s="74" t="s">
        <v>71</v>
      </c>
      <c r="B13" s="75" t="str">
        <f aca="false">IF(ISBLANK($A13),"NO_CODE",VLOOKUP($A13,'UPD Questions_290926 '!$E$1:$N$300,MATCH(B$1,'UPD Questions_290926 '!$E$1:$N$1,0),0)&amp;"")</f>
        <v>Planning </v>
      </c>
      <c r="C13" s="76" t="str">
        <f aca="false">IF(ISBLANK($A13),"NO_CODE",VLOOKUP($A13,'UPD Questions_290926 '!$E$1:$N$300,MATCH(C$1,'UPD Questions_290926 '!$E$1:$N$1,0),0)&amp;"")</f>
        <v>Legal and institutional planning architecture</v>
      </c>
      <c r="D13" s="75" t="str">
        <f aca="false">IF(ISBLANK($A13),"NO_CODE",VLOOKUP($A13,'UPD Questions_290926 '!$E$1:$N$300,MATCH(D$1,'UPD Questions_290926 '!$E$1:$N$1,0),0)&amp;"")</f>
        <v>Spatial planning hierarchy</v>
      </c>
      <c r="E13" s="75" t="str">
        <f aca="false">IF(ISBLANK($A13),"NO_CODE",VLOOKUP($A13,'UPD Questions_290926 '!$E$1:$N$300,MATCH(E$1,'UPD Questions_290926 '!$E$1:$N$1,0),0)&amp;"")</f>
        <v>SQ</v>
      </c>
      <c r="F13" s="75" t="str">
        <f aca="false">IF(ISBLANK($A13),"NO_CODE",VLOOKUP($A13,'UPD Questions_290926 '!$E$1:$N$300,MATCH(F$1,'UPD Questions_290926 '!$E$1:$N$1,0),0)&amp;"")</f>
        <v>Does the law mandate that the ward(s)/local plan be approved by the ULG?</v>
      </c>
      <c r="G13" s="75" t="str">
        <f aca="false">IF(ISBLANK($A13),"NO_CODE",VLOOKUP($A13,'UPD Questions_290926 '!$E$1:$N$300,MATCH(G$1,'UPD Questions_290926 '!$E$1:$N$1,0),0)&amp;"")</f>
        <v>Law or Policy</v>
      </c>
      <c r="H13" s="77" t="n">
        <f aca="false">IF(ISBLANK($A13),"NO_CODE",VLOOKUP($A13,'UPD Questions_290926 '!$E$1:$N$300,MATCH(H$1,'UPD Questions_290926 '!$E$1:$N$1,0),0))</f>
        <v>3.33</v>
      </c>
      <c r="I13" s="78" t="str">
        <f aca="true">IF($H13=0,"NA",IF($A13=INDIRECT("'"&amp;$A13&amp;"'!$B$1"),IF(VLOOKUP(I$1,INDIRECT("'"&amp;$A13&amp;"'!$A$12:$Z$41"),MATCH("Points (Auto-generate)",INDIRECT("'"&amp;$A13&amp;"'!$A$12:$Z$12"),0),0)="","?",VLOOKUP(I$1,INDIRECT("'"&amp;$A13&amp;"'!$A$12:$Z$41"),MATCH("Points (Auto-generate)",INDIRECT("'"&amp;$A13&amp;"'!$A$12:$Z$12"),0),0)),"ER"))</f>
        <v>?</v>
      </c>
      <c r="J13" s="78" t="str">
        <f aca="true">IF($H13=0,"NA",IF($A13=INDIRECT("'"&amp;$A13&amp;"'!$B$1"),IF(VLOOKUP(J$1,INDIRECT("'"&amp;$A13&amp;"'!$A$12:$Z$41"),MATCH("Points (Auto-generate)",INDIRECT("'"&amp;$A13&amp;"'!$A$12:$Z$12"),0),0)="","?",VLOOKUP(J$1,INDIRECT("'"&amp;$A13&amp;"'!$A$12:$Z$41"),MATCH("Points (Auto-generate)",INDIRECT("'"&amp;$A13&amp;"'!$A$12:$Z$12"),0),0)),"ER"))</f>
        <v>?</v>
      </c>
      <c r="K13" s="78" t="str">
        <f aca="true">IF($H13=0,"NA",IF($A13=INDIRECT("'"&amp;$A13&amp;"'!$B$1"),IF(VLOOKUP(K$1,INDIRECT("'"&amp;$A13&amp;"'!$A$12:$Z$41"),MATCH("Points (Auto-generate)",INDIRECT("'"&amp;$A13&amp;"'!$A$12:$Z$12"),0),0)="","?",VLOOKUP(K$1,INDIRECT("'"&amp;$A13&amp;"'!$A$12:$Z$41"),MATCH("Points (Auto-generate)",INDIRECT("'"&amp;$A13&amp;"'!$A$12:$Z$12"),0),0)),"ER"))</f>
        <v>?</v>
      </c>
      <c r="L13" s="78" t="str">
        <f aca="true">IF($H13=0,"NA",IF($A13=INDIRECT("'"&amp;$A13&amp;"'!$B$1"),IF(VLOOKUP(L$1,INDIRECT("'"&amp;$A13&amp;"'!$A$12:$Z$41"),MATCH("Points (Auto-generate)",INDIRECT("'"&amp;$A13&amp;"'!$A$12:$Z$12"),0),0)="","?",VLOOKUP(L$1,INDIRECT("'"&amp;$A13&amp;"'!$A$12:$Z$41"),MATCH("Points (Auto-generate)",INDIRECT("'"&amp;$A13&amp;"'!$A$12:$Z$12"),0),0)),"ER"))</f>
        <v>?</v>
      </c>
      <c r="M13" s="78" t="str">
        <f aca="true">IF($H13=0,"NA",IF($A13=INDIRECT("'"&amp;$A13&amp;"'!$B$1"),IF(VLOOKUP(M$1,INDIRECT("'"&amp;$A13&amp;"'!$A$12:$Z$41"),MATCH("Points (Auto-generate)",INDIRECT("'"&amp;$A13&amp;"'!$A$12:$Z$12"),0),0)="","?",VLOOKUP(M$1,INDIRECT("'"&amp;$A13&amp;"'!$A$12:$Z$41"),MATCH("Points (Auto-generate)",INDIRECT("'"&amp;$A13&amp;"'!$A$12:$Z$12"),0),0)),"ER"))</f>
        <v>?</v>
      </c>
      <c r="N13" s="78" t="str">
        <f aca="true">IF($H13=0,"NA",IF($A13=INDIRECT("'"&amp;$A13&amp;"'!$B$1"),IF(VLOOKUP(N$1,INDIRECT("'"&amp;$A13&amp;"'!$A$12:$Z$41"),MATCH("Points (Auto-generate)",INDIRECT("'"&amp;$A13&amp;"'!$A$12:$Z$12"),0),0)="","?",VLOOKUP(N$1,INDIRECT("'"&amp;$A13&amp;"'!$A$12:$Z$41"),MATCH("Points (Auto-generate)",INDIRECT("'"&amp;$A13&amp;"'!$A$12:$Z$12"),0),0)),"ER"))</f>
        <v>?</v>
      </c>
      <c r="O13" s="78" t="str">
        <f aca="true">IF($H13=0,"NA",IF($A13=INDIRECT("'"&amp;$A13&amp;"'!$B$1"),IF(VLOOKUP(O$1,INDIRECT("'"&amp;$A13&amp;"'!$A$12:$Z$41"),MATCH("Points (Auto-generate)",INDIRECT("'"&amp;$A13&amp;"'!$A$12:$Z$12"),0),0)="","?",VLOOKUP(O$1,INDIRECT("'"&amp;$A13&amp;"'!$A$12:$Z$41"),MATCH("Points (Auto-generate)",INDIRECT("'"&amp;$A13&amp;"'!$A$12:$Z$12"),0),0)),"ER"))</f>
        <v>?</v>
      </c>
      <c r="P13" s="78" t="str">
        <f aca="true">IF($H13=0,"NA",IF($A13=INDIRECT("'"&amp;$A13&amp;"'!$B$1"),IF(VLOOKUP(P$1,INDIRECT("'"&amp;$A13&amp;"'!$A$12:$Z$41"),MATCH("Points (Auto-generate)",INDIRECT("'"&amp;$A13&amp;"'!$A$12:$Z$12"),0),0)="","?",VLOOKUP(P$1,INDIRECT("'"&amp;$A13&amp;"'!$A$12:$Z$41"),MATCH("Points (Auto-generate)",INDIRECT("'"&amp;$A13&amp;"'!$A$12:$Z$12"),0),0)),"ER"))</f>
        <v>?</v>
      </c>
      <c r="Q13" s="78" t="str">
        <f aca="true">IF($H13=0,"NA",IF($A13=INDIRECT("'"&amp;$A13&amp;"'!$B$1"),IF(VLOOKUP(Q$1,INDIRECT("'"&amp;$A13&amp;"'!$A$12:$Z$41"),MATCH("Points (Auto-generate)",INDIRECT("'"&amp;$A13&amp;"'!$A$12:$Z$12"),0),0)="","?",VLOOKUP(Q$1,INDIRECT("'"&amp;$A13&amp;"'!$A$12:$Z$41"),MATCH("Points (Auto-generate)",INDIRECT("'"&amp;$A13&amp;"'!$A$12:$Z$12"),0),0)),"ER"))</f>
        <v>?</v>
      </c>
      <c r="R13" s="78" t="str">
        <f aca="true">IF($H13=0,"NA",IF($A13=INDIRECT("'"&amp;$A13&amp;"'!$B$1"),IF(VLOOKUP(R$1,INDIRECT("'"&amp;$A13&amp;"'!$A$12:$Z$41"),MATCH("Points (Auto-generate)",INDIRECT("'"&amp;$A13&amp;"'!$A$12:$Z$12"),0),0)="","?",VLOOKUP(R$1,INDIRECT("'"&amp;$A13&amp;"'!$A$12:$Z$41"),MATCH("Points (Auto-generate)",INDIRECT("'"&amp;$A13&amp;"'!$A$12:$Z$12"),0),0)),"ER"))</f>
        <v>?</v>
      </c>
      <c r="S13" s="78" t="str">
        <f aca="true">IF($H13=0,"NA",IF($A13=INDIRECT("'"&amp;$A13&amp;"'!$B$1"),IF(VLOOKUP(S$1,INDIRECT("'"&amp;$A13&amp;"'!$A$12:$Z$41"),MATCH("Points (Auto-generate)",INDIRECT("'"&amp;$A13&amp;"'!$A$12:$Z$12"),0),0)="","?",VLOOKUP(S$1,INDIRECT("'"&amp;$A13&amp;"'!$A$12:$Z$41"),MATCH("Points (Auto-generate)",INDIRECT("'"&amp;$A13&amp;"'!$A$12:$Z$12"),0),0)),"ER"))</f>
        <v>?</v>
      </c>
      <c r="T13" s="78" t="str">
        <f aca="true">IF($H13=0,"NA",IF($A13=INDIRECT("'"&amp;$A13&amp;"'!$B$1"),IF(VLOOKUP(T$1,INDIRECT("'"&amp;$A13&amp;"'!$A$12:$Z$41"),MATCH("Points (Auto-generate)",INDIRECT("'"&amp;$A13&amp;"'!$A$12:$Z$12"),0),0)="","?",VLOOKUP(T$1,INDIRECT("'"&amp;$A13&amp;"'!$A$12:$Z$41"),MATCH("Points (Auto-generate)",INDIRECT("'"&amp;$A13&amp;"'!$A$12:$Z$12"),0),0)),"ER"))</f>
        <v>?</v>
      </c>
      <c r="U13" s="78" t="str">
        <f aca="true">IF($H13=0,"NA",IF($A13=INDIRECT("'"&amp;$A13&amp;"'!$B$1"),IF(VLOOKUP(U$1,INDIRECT("'"&amp;$A13&amp;"'!$A$12:$Z$41"),MATCH("Points (Auto-generate)",INDIRECT("'"&amp;$A13&amp;"'!$A$12:$Z$12"),0),0)="","?",VLOOKUP(U$1,INDIRECT("'"&amp;$A13&amp;"'!$A$12:$Z$41"),MATCH("Points (Auto-generate)",INDIRECT("'"&amp;$A13&amp;"'!$A$12:$Z$12"),0),0)),"ER"))</f>
        <v>?</v>
      </c>
      <c r="V13" s="78" t="str">
        <f aca="true">IF($H13=0,"NA",IF($A13=INDIRECT("'"&amp;$A13&amp;"'!$B$1"),IF(VLOOKUP(V$1,INDIRECT("'"&amp;$A13&amp;"'!$A$12:$Z$41"),MATCH("Points (Auto-generate)",INDIRECT("'"&amp;$A13&amp;"'!$A$12:$Z$12"),0),0)="","?",VLOOKUP(V$1,INDIRECT("'"&amp;$A13&amp;"'!$A$12:$Z$41"),MATCH("Points (Auto-generate)",INDIRECT("'"&amp;$A13&amp;"'!$A$12:$Z$12"),0),0)),"ER"))</f>
        <v>?</v>
      </c>
      <c r="W13" s="78" t="str">
        <f aca="true">IF($H13=0,"NA",IF($A13=INDIRECT("'"&amp;$A13&amp;"'!$B$1"),IF(VLOOKUP(W$1,INDIRECT("'"&amp;$A13&amp;"'!$A$12:$Z$41"),MATCH("Points (Auto-generate)",INDIRECT("'"&amp;$A13&amp;"'!$A$12:$Z$12"),0),0)="","?",VLOOKUP(W$1,INDIRECT("'"&amp;$A13&amp;"'!$A$12:$Z$41"),MATCH("Points (Auto-generate)",INDIRECT("'"&amp;$A13&amp;"'!$A$12:$Z$12"),0),0)),"ER"))</f>
        <v>?</v>
      </c>
      <c r="X13" s="78" t="str">
        <f aca="true">IF($H13=0,"NA",IF($A13=INDIRECT("'"&amp;$A13&amp;"'!$B$1"),IF(VLOOKUP(X$1,INDIRECT("'"&amp;$A13&amp;"'!$A$12:$Z$41"),MATCH("Points (Auto-generate)",INDIRECT("'"&amp;$A13&amp;"'!$A$12:$Z$12"),0),0)="","?",VLOOKUP(X$1,INDIRECT("'"&amp;$A13&amp;"'!$A$12:$Z$41"),MATCH("Points (Auto-generate)",INDIRECT("'"&amp;$A13&amp;"'!$A$12:$Z$12"),0),0)),"ER"))</f>
        <v>?</v>
      </c>
      <c r="Y13" s="78" t="str">
        <f aca="true">IF($H13=0,"NA",IF($A13=INDIRECT("'"&amp;$A13&amp;"'!$B$1"),IF(VLOOKUP(Y$1,INDIRECT("'"&amp;$A13&amp;"'!$A$12:$Z$41"),MATCH("Points (Auto-generate)",INDIRECT("'"&amp;$A13&amp;"'!$A$12:$Z$12"),0),0)="","?",VLOOKUP(Y$1,INDIRECT("'"&amp;$A13&amp;"'!$A$12:$Z$41"),MATCH("Points (Auto-generate)",INDIRECT("'"&amp;$A13&amp;"'!$A$12:$Z$12"),0),0)),"ER"))</f>
        <v>?</v>
      </c>
      <c r="Z13" s="78" t="str">
        <f aca="true">IF($H13=0,"NA",IF($A13=INDIRECT("'"&amp;$A13&amp;"'!$B$1"),IF(VLOOKUP(Z$1,INDIRECT("'"&amp;$A13&amp;"'!$A$12:$Z$41"),MATCH("Points (Auto-generate)",INDIRECT("'"&amp;$A13&amp;"'!$A$12:$Z$12"),0),0)="","?",VLOOKUP(Z$1,INDIRECT("'"&amp;$A13&amp;"'!$A$12:$Z$41"),MATCH("Points (Auto-generate)",INDIRECT("'"&amp;$A13&amp;"'!$A$12:$Z$12"),0),0)),"ER"))</f>
        <v>?</v>
      </c>
      <c r="AA13" s="78" t="str">
        <f aca="true">IF($H13=0,"NA",IF($A13=INDIRECT("'"&amp;$A13&amp;"'!$B$1"),IF(VLOOKUP(AA$1,INDIRECT("'"&amp;$A13&amp;"'!$A$12:$Z$41"),MATCH("Points (Auto-generate)",INDIRECT("'"&amp;$A13&amp;"'!$A$12:$Z$12"),0),0)="","?",VLOOKUP(AA$1,INDIRECT("'"&amp;$A13&amp;"'!$A$12:$Z$41"),MATCH("Points (Auto-generate)",INDIRECT("'"&amp;$A13&amp;"'!$A$12:$Z$12"),0),0)),"ER"))</f>
        <v>?</v>
      </c>
      <c r="AB13" s="78" t="str">
        <f aca="true">IF($H13=0,"NA",IF($A13=INDIRECT("'"&amp;$A13&amp;"'!$B$1"),IF(VLOOKUP(AB$1,INDIRECT("'"&amp;$A13&amp;"'!$A$12:$Z$41"),MATCH("Points (Auto-generate)",INDIRECT("'"&amp;$A13&amp;"'!$A$12:$Z$12"),0),0)="","?",VLOOKUP(AB$1,INDIRECT("'"&amp;$A13&amp;"'!$A$12:$Z$41"),MATCH("Points (Auto-generate)",INDIRECT("'"&amp;$A13&amp;"'!$A$12:$Z$12"),0),0)),"ER"))</f>
        <v>?</v>
      </c>
      <c r="AC13" s="78" t="str">
        <f aca="true">IF($H13=0,"NA",IF($A13=INDIRECT("'"&amp;$A13&amp;"'!$B$1"),IF(VLOOKUP(AC$1,INDIRECT("'"&amp;$A13&amp;"'!$A$12:$Z$41"),MATCH("Points (Auto-generate)",INDIRECT("'"&amp;$A13&amp;"'!$A$12:$Z$12"),0),0)="","?",VLOOKUP(AC$1,INDIRECT("'"&amp;$A13&amp;"'!$A$12:$Z$41"),MATCH("Points (Auto-generate)",INDIRECT("'"&amp;$A13&amp;"'!$A$12:$Z$12"),0),0)),"ER"))</f>
        <v>?</v>
      </c>
      <c r="AD13" s="78" t="str">
        <f aca="true">IF($H13=0,"NA",IF($A13=INDIRECT("'"&amp;$A13&amp;"'!$B$1"),IF(VLOOKUP(AD$1,INDIRECT("'"&amp;$A13&amp;"'!$A$12:$Z$41"),MATCH("Points (Auto-generate)",INDIRECT("'"&amp;$A13&amp;"'!$A$12:$Z$12"),0),0)="","?",VLOOKUP(AD$1,INDIRECT("'"&amp;$A13&amp;"'!$A$12:$Z$41"),MATCH("Points (Auto-generate)",INDIRECT("'"&amp;$A13&amp;"'!$A$12:$Z$12"),0),0)),"ER"))</f>
        <v>?</v>
      </c>
      <c r="AE13" s="78" t="str">
        <f aca="true">IF($H13=0,"NA",IF($A13=INDIRECT("'"&amp;$A13&amp;"'!$B$1"),IF(VLOOKUP(AE$1,INDIRECT("'"&amp;$A13&amp;"'!$A$12:$Z$41"),MATCH("Points (Auto-generate)",INDIRECT("'"&amp;$A13&amp;"'!$A$12:$Z$12"),0),0)="","?",VLOOKUP(AE$1,INDIRECT("'"&amp;$A13&amp;"'!$A$12:$Z$41"),MATCH("Points (Auto-generate)",INDIRECT("'"&amp;$A13&amp;"'!$A$12:$Z$12"),0),0)),"ER"))</f>
        <v>?</v>
      </c>
      <c r="AF13" s="78" t="str">
        <f aca="true">IF($H13=0,"NA",IF($A13=INDIRECT("'"&amp;$A13&amp;"'!$B$1"),IF(VLOOKUP(AF$1,INDIRECT("'"&amp;$A13&amp;"'!$A$12:$Z$41"),MATCH("Points (Auto-generate)",INDIRECT("'"&amp;$A13&amp;"'!$A$12:$Z$12"),0),0)="","?",VLOOKUP(AF$1,INDIRECT("'"&amp;$A13&amp;"'!$A$12:$Z$41"),MATCH("Points (Auto-generate)",INDIRECT("'"&amp;$A13&amp;"'!$A$12:$Z$12"),0),0)),"ER"))</f>
        <v>?</v>
      </c>
      <c r="AG13" s="78" t="str">
        <f aca="true">IF($H13=0,"NA",IF($A13=INDIRECT("'"&amp;$A13&amp;"'!$B$1"),IF(VLOOKUP(AG$1,INDIRECT("'"&amp;$A13&amp;"'!$A$12:$Z$41"),MATCH("Points (Auto-generate)",INDIRECT("'"&amp;$A13&amp;"'!$A$12:$Z$12"),0),0)="","?",VLOOKUP(AG$1,INDIRECT("'"&amp;$A13&amp;"'!$A$12:$Z$41"),MATCH("Points (Auto-generate)",INDIRECT("'"&amp;$A13&amp;"'!$A$12:$Z$12"),0),0)),"ER"))</f>
        <v>?</v>
      </c>
      <c r="AH13" s="78" t="str">
        <f aca="true">IF($H13=0,"NA",IF($A13=INDIRECT("'"&amp;$A13&amp;"'!$B$1"),IF(VLOOKUP(AH$1,INDIRECT("'"&amp;$A13&amp;"'!$A$12:$Z$41"),MATCH("Points (Auto-generate)",INDIRECT("'"&amp;$A13&amp;"'!$A$12:$Z$12"),0),0)="","?",VLOOKUP(AH$1,INDIRECT("'"&amp;$A13&amp;"'!$A$12:$Z$41"),MATCH("Points (Auto-generate)",INDIRECT("'"&amp;$A13&amp;"'!$A$12:$Z$12"),0),0)),"ER"))</f>
        <v>?</v>
      </c>
      <c r="AI13" s="78" t="str">
        <f aca="true">IF($H13=0,"NA",IF($A13=INDIRECT("'"&amp;$A13&amp;"'!$B$1"),IF(VLOOKUP(AI$1,INDIRECT("'"&amp;$A13&amp;"'!$A$12:$Z$41"),MATCH("Points (Auto-generate)",INDIRECT("'"&amp;$A13&amp;"'!$A$12:$Z$12"),0),0)="","?",VLOOKUP(AI$1,INDIRECT("'"&amp;$A13&amp;"'!$A$12:$Z$41"),MATCH("Points (Auto-generate)",INDIRECT("'"&amp;$A13&amp;"'!$A$12:$Z$12"),0),0)),"ER"))</f>
        <v>?</v>
      </c>
      <c r="AJ13" s="78" t="str">
        <f aca="true">IF($H13=0,"NA",IF($A13=INDIRECT("'"&amp;$A13&amp;"'!$B$1"),IF(VLOOKUP(AJ$1,INDIRECT("'"&amp;$A13&amp;"'!$A$12:$Z$41"),MATCH("Points (Auto-generate)",INDIRECT("'"&amp;$A13&amp;"'!$A$12:$Z$12"),0),0)="","?",VLOOKUP(AJ$1,INDIRECT("'"&amp;$A13&amp;"'!$A$12:$Z$41"),MATCH("Points (Auto-generate)",INDIRECT("'"&amp;$A13&amp;"'!$A$12:$Z$12"),0),0)),"ER"))</f>
        <v>?</v>
      </c>
      <c r="AK13" s="78" t="str">
        <f aca="true">IF($H13=0,"NA",IF($A13=INDIRECT("'"&amp;$A13&amp;"'!$B$1"),IF(VLOOKUP(AK$1,INDIRECT("'"&amp;$A13&amp;"'!$A$12:$Z$41"),MATCH("Points (Auto-generate)",INDIRECT("'"&amp;$A13&amp;"'!$A$12:$Z$12"),0),0)="","?",VLOOKUP(AK$1,INDIRECT("'"&amp;$A13&amp;"'!$A$12:$Z$41"),MATCH("Points (Auto-generate)",INDIRECT("'"&amp;$A13&amp;"'!$A$12:$Z$12"),0),0)),"ER"))</f>
        <v>?</v>
      </c>
    </row>
    <row r="14" customFormat="false" ht="25.5" hidden="false" customHeight="true" outlineLevel="0" collapsed="false">
      <c r="A14" s="74" t="s">
        <v>27</v>
      </c>
      <c r="B14" s="75" t="str">
        <f aca="false">IF(ISBLANK($A14),"NO_CODE",VLOOKUP($A14,'UPD Questions_290926 '!$E$1:$N$300,MATCH(B$1,'UPD Questions_290926 '!$E$1:$N$1,0),0)&amp;"")</f>
        <v>Planning </v>
      </c>
      <c r="C14" s="76" t="str">
        <f aca="false">IF(ISBLANK($A14),"NO_CODE",VLOOKUP($A14,'UPD Questions_290926 '!$E$1:$N$300,MATCH(C$1,'UPD Questions_290926 '!$E$1:$N$1,0),0)&amp;"")</f>
        <v>Legal and institutional planning architecture</v>
      </c>
      <c r="D14" s="75" t="str">
        <f aca="false">IF(ISBLANK($A14),"NO_CODE",VLOOKUP($A14,'UPD Questions_290926 '!$E$1:$N$300,MATCH(D$1,'UPD Questions_290926 '!$E$1:$N$1,0),0)&amp;"")</f>
        <v>Objectives of each level of Municipal/City Plans</v>
      </c>
      <c r="E14" s="75" t="str">
        <f aca="false">IF(ISBLANK($A14),"NO_CODE",VLOOKUP($A14,'UPD Questions_290926 '!$E$1:$N$300,MATCH(E$1,'UPD Questions_290926 '!$E$1:$N$1,0),0)&amp;"")</f>
        <v>MQ</v>
      </c>
      <c r="F14" s="75" t="str">
        <f aca="false">IF(ISBLANK($A14),"NO_CODE",VLOOKUP($A14,'UPD Questions_290926 '!$E$1:$N$300,MATCH(F$1,'UPD Questions_290926 '!$E$1:$N$1,0),0)&amp;"")</f>
        <v>Does the Act clearly define the objectives/contents of each level of spatial plan?</v>
      </c>
      <c r="G14" s="75" t="str">
        <f aca="false">IF(ISBLANK($A14),"NO_CODE",VLOOKUP($A14,'UPD Questions_290926 '!$E$1:$N$300,MATCH(G$1,'UPD Questions_290926 '!$E$1:$N$1,0),0)&amp;"")</f>
        <v>Law or Policy</v>
      </c>
      <c r="H14" s="77" t="n">
        <f aca="false">IF(ISBLANK($A14),"NO_CODE",VLOOKUP($A14,'UPD Questions_290926 '!$E$1:$N$300,MATCH(H$1,'UPD Questions_290926 '!$E$1:$N$1,0),0))</f>
        <v>10</v>
      </c>
      <c r="I14" s="78" t="str">
        <f aca="true">IF($H14=0,"NA",IF($A14=INDIRECT("'"&amp;$A14&amp;"'!$B$1"),IF(VLOOKUP(I$1,INDIRECT("'"&amp;$A14&amp;"'!$A$12:$Z$41"),MATCH("Points (Auto-generate)",INDIRECT("'"&amp;$A14&amp;"'!$A$12:$Z$12"),0),0)="","?",VLOOKUP(I$1,INDIRECT("'"&amp;$A14&amp;"'!$A$12:$Z$41"),MATCH("Points (Auto-generate)",INDIRECT("'"&amp;$A14&amp;"'!$A$12:$Z$12"),0),0)),"ER"))</f>
        <v>?</v>
      </c>
      <c r="J14" s="78" t="str">
        <f aca="true">IF($H14=0,"NA",IF($A14=INDIRECT("'"&amp;$A14&amp;"'!$B$1"),IF(VLOOKUP(J$1,INDIRECT("'"&amp;$A14&amp;"'!$A$12:$Z$41"),MATCH("Points (Auto-generate)",INDIRECT("'"&amp;$A14&amp;"'!$A$12:$Z$12"),0),0)="","?",VLOOKUP(J$1,INDIRECT("'"&amp;$A14&amp;"'!$A$12:$Z$41"),MATCH("Points (Auto-generate)",INDIRECT("'"&amp;$A14&amp;"'!$A$12:$Z$12"),0),0)),"ER"))</f>
        <v>?</v>
      </c>
      <c r="K14" s="78" t="str">
        <f aca="true">IF($H14=0,"NA",IF($A14=INDIRECT("'"&amp;$A14&amp;"'!$B$1"),IF(VLOOKUP(K$1,INDIRECT("'"&amp;$A14&amp;"'!$A$12:$Z$41"),MATCH("Points (Auto-generate)",INDIRECT("'"&amp;$A14&amp;"'!$A$12:$Z$12"),0),0)="","?",VLOOKUP(K$1,INDIRECT("'"&amp;$A14&amp;"'!$A$12:$Z$41"),MATCH("Points (Auto-generate)",INDIRECT("'"&amp;$A14&amp;"'!$A$12:$Z$12"),0),0)),"ER"))</f>
        <v>?</v>
      </c>
      <c r="L14" s="78" t="str">
        <f aca="true">IF($H14=0,"NA",IF($A14=INDIRECT("'"&amp;$A14&amp;"'!$B$1"),IF(VLOOKUP(L$1,INDIRECT("'"&amp;$A14&amp;"'!$A$12:$Z$41"),MATCH("Points (Auto-generate)",INDIRECT("'"&amp;$A14&amp;"'!$A$12:$Z$12"),0),0)="","?",VLOOKUP(L$1,INDIRECT("'"&amp;$A14&amp;"'!$A$12:$Z$41"),MATCH("Points (Auto-generate)",INDIRECT("'"&amp;$A14&amp;"'!$A$12:$Z$12"),0),0)),"ER"))</f>
        <v>?</v>
      </c>
      <c r="M14" s="78" t="str">
        <f aca="true">IF($H14=0,"NA",IF($A14=INDIRECT("'"&amp;$A14&amp;"'!$B$1"),IF(VLOOKUP(M$1,INDIRECT("'"&amp;$A14&amp;"'!$A$12:$Z$41"),MATCH("Points (Auto-generate)",INDIRECT("'"&amp;$A14&amp;"'!$A$12:$Z$12"),0),0)="","?",VLOOKUP(M$1,INDIRECT("'"&amp;$A14&amp;"'!$A$12:$Z$41"),MATCH("Points (Auto-generate)",INDIRECT("'"&amp;$A14&amp;"'!$A$12:$Z$12"),0),0)),"ER"))</f>
        <v>?</v>
      </c>
      <c r="N14" s="78" t="str">
        <f aca="true">IF($H14=0,"NA",IF($A14=INDIRECT("'"&amp;$A14&amp;"'!$B$1"),IF(VLOOKUP(N$1,INDIRECT("'"&amp;$A14&amp;"'!$A$12:$Z$41"),MATCH("Points (Auto-generate)",INDIRECT("'"&amp;$A14&amp;"'!$A$12:$Z$12"),0),0)="","?",VLOOKUP(N$1,INDIRECT("'"&amp;$A14&amp;"'!$A$12:$Z$41"),MATCH("Points (Auto-generate)",INDIRECT("'"&amp;$A14&amp;"'!$A$12:$Z$12"),0),0)),"ER"))</f>
        <v>?</v>
      </c>
      <c r="O14" s="78" t="str">
        <f aca="true">IF($H14=0,"NA",IF($A14=INDIRECT("'"&amp;$A14&amp;"'!$B$1"),IF(VLOOKUP(O$1,INDIRECT("'"&amp;$A14&amp;"'!$A$12:$Z$41"),MATCH("Points (Auto-generate)",INDIRECT("'"&amp;$A14&amp;"'!$A$12:$Z$12"),0),0)="","?",VLOOKUP(O$1,INDIRECT("'"&amp;$A14&amp;"'!$A$12:$Z$41"),MATCH("Points (Auto-generate)",INDIRECT("'"&amp;$A14&amp;"'!$A$12:$Z$12"),0),0)),"ER"))</f>
        <v>?</v>
      </c>
      <c r="P14" s="78" t="str">
        <f aca="true">IF($H14=0,"NA",IF($A14=INDIRECT("'"&amp;$A14&amp;"'!$B$1"),IF(VLOOKUP(P$1,INDIRECT("'"&amp;$A14&amp;"'!$A$12:$Z$41"),MATCH("Points (Auto-generate)",INDIRECT("'"&amp;$A14&amp;"'!$A$12:$Z$12"),0),0)="","?",VLOOKUP(P$1,INDIRECT("'"&amp;$A14&amp;"'!$A$12:$Z$41"),MATCH("Points (Auto-generate)",INDIRECT("'"&amp;$A14&amp;"'!$A$12:$Z$12"),0),0)),"ER"))</f>
        <v>?</v>
      </c>
      <c r="Q14" s="78" t="str">
        <f aca="true">IF($H14=0,"NA",IF($A14=INDIRECT("'"&amp;$A14&amp;"'!$B$1"),IF(VLOOKUP(Q$1,INDIRECT("'"&amp;$A14&amp;"'!$A$12:$Z$41"),MATCH("Points (Auto-generate)",INDIRECT("'"&amp;$A14&amp;"'!$A$12:$Z$12"),0),0)="","?",VLOOKUP(Q$1,INDIRECT("'"&amp;$A14&amp;"'!$A$12:$Z$41"),MATCH("Points (Auto-generate)",INDIRECT("'"&amp;$A14&amp;"'!$A$12:$Z$12"),0),0)),"ER"))</f>
        <v>?</v>
      </c>
      <c r="R14" s="78" t="str">
        <f aca="true">IF($H14=0,"NA",IF($A14=INDIRECT("'"&amp;$A14&amp;"'!$B$1"),IF(VLOOKUP(R$1,INDIRECT("'"&amp;$A14&amp;"'!$A$12:$Z$41"),MATCH("Points (Auto-generate)",INDIRECT("'"&amp;$A14&amp;"'!$A$12:$Z$12"),0),0)="","?",VLOOKUP(R$1,INDIRECT("'"&amp;$A14&amp;"'!$A$12:$Z$41"),MATCH("Points (Auto-generate)",INDIRECT("'"&amp;$A14&amp;"'!$A$12:$Z$12"),0),0)),"ER"))</f>
        <v>?</v>
      </c>
      <c r="S14" s="78" t="str">
        <f aca="true">IF($H14=0,"NA",IF($A14=INDIRECT("'"&amp;$A14&amp;"'!$B$1"),IF(VLOOKUP(S$1,INDIRECT("'"&amp;$A14&amp;"'!$A$12:$Z$41"),MATCH("Points (Auto-generate)",INDIRECT("'"&amp;$A14&amp;"'!$A$12:$Z$12"),0),0)="","?",VLOOKUP(S$1,INDIRECT("'"&amp;$A14&amp;"'!$A$12:$Z$41"),MATCH("Points (Auto-generate)",INDIRECT("'"&amp;$A14&amp;"'!$A$12:$Z$12"),0),0)),"ER"))</f>
        <v>?</v>
      </c>
      <c r="T14" s="78" t="str">
        <f aca="true">IF($H14=0,"NA",IF($A14=INDIRECT("'"&amp;$A14&amp;"'!$B$1"),IF(VLOOKUP(T$1,INDIRECT("'"&amp;$A14&amp;"'!$A$12:$Z$41"),MATCH("Points (Auto-generate)",INDIRECT("'"&amp;$A14&amp;"'!$A$12:$Z$12"),0),0)="","?",VLOOKUP(T$1,INDIRECT("'"&amp;$A14&amp;"'!$A$12:$Z$41"),MATCH("Points (Auto-generate)",INDIRECT("'"&amp;$A14&amp;"'!$A$12:$Z$12"),0),0)),"ER"))</f>
        <v>?</v>
      </c>
      <c r="U14" s="78" t="str">
        <f aca="true">IF($H14=0,"NA",IF($A14=INDIRECT("'"&amp;$A14&amp;"'!$B$1"),IF(VLOOKUP(U$1,INDIRECT("'"&amp;$A14&amp;"'!$A$12:$Z$41"),MATCH("Points (Auto-generate)",INDIRECT("'"&amp;$A14&amp;"'!$A$12:$Z$12"),0),0)="","?",VLOOKUP(U$1,INDIRECT("'"&amp;$A14&amp;"'!$A$12:$Z$41"),MATCH("Points (Auto-generate)",INDIRECT("'"&amp;$A14&amp;"'!$A$12:$Z$12"),0),0)),"ER"))</f>
        <v>?</v>
      </c>
      <c r="V14" s="78" t="str">
        <f aca="true">IF($H14=0,"NA",IF($A14=INDIRECT("'"&amp;$A14&amp;"'!$B$1"),IF(VLOOKUP(V$1,INDIRECT("'"&amp;$A14&amp;"'!$A$12:$Z$41"),MATCH("Points (Auto-generate)",INDIRECT("'"&amp;$A14&amp;"'!$A$12:$Z$12"),0),0)="","?",VLOOKUP(V$1,INDIRECT("'"&amp;$A14&amp;"'!$A$12:$Z$41"),MATCH("Points (Auto-generate)",INDIRECT("'"&amp;$A14&amp;"'!$A$12:$Z$12"),0),0)),"ER"))</f>
        <v>?</v>
      </c>
      <c r="W14" s="78" t="str">
        <f aca="true">IF($H14=0,"NA",IF($A14=INDIRECT("'"&amp;$A14&amp;"'!$B$1"),IF(VLOOKUP(W$1,INDIRECT("'"&amp;$A14&amp;"'!$A$12:$Z$41"),MATCH("Points (Auto-generate)",INDIRECT("'"&amp;$A14&amp;"'!$A$12:$Z$12"),0),0)="","?",VLOOKUP(W$1,INDIRECT("'"&amp;$A14&amp;"'!$A$12:$Z$41"),MATCH("Points (Auto-generate)",INDIRECT("'"&amp;$A14&amp;"'!$A$12:$Z$12"),0),0)),"ER"))</f>
        <v>?</v>
      </c>
      <c r="X14" s="78" t="str">
        <f aca="true">IF($H14=0,"NA",IF($A14=INDIRECT("'"&amp;$A14&amp;"'!$B$1"),IF(VLOOKUP(X$1,INDIRECT("'"&amp;$A14&amp;"'!$A$12:$Z$41"),MATCH("Points (Auto-generate)",INDIRECT("'"&amp;$A14&amp;"'!$A$12:$Z$12"),0),0)="","?",VLOOKUP(X$1,INDIRECT("'"&amp;$A14&amp;"'!$A$12:$Z$41"),MATCH("Points (Auto-generate)",INDIRECT("'"&amp;$A14&amp;"'!$A$12:$Z$12"),0),0)),"ER"))</f>
        <v>?</v>
      </c>
      <c r="Y14" s="78" t="str">
        <f aca="true">IF($H14=0,"NA",IF($A14=INDIRECT("'"&amp;$A14&amp;"'!$B$1"),IF(VLOOKUP(Y$1,INDIRECT("'"&amp;$A14&amp;"'!$A$12:$Z$41"),MATCH("Points (Auto-generate)",INDIRECT("'"&amp;$A14&amp;"'!$A$12:$Z$12"),0),0)="","?",VLOOKUP(Y$1,INDIRECT("'"&amp;$A14&amp;"'!$A$12:$Z$41"),MATCH("Points (Auto-generate)",INDIRECT("'"&amp;$A14&amp;"'!$A$12:$Z$12"),0),0)),"ER"))</f>
        <v>?</v>
      </c>
      <c r="Z14" s="78" t="str">
        <f aca="true">IF($H14=0,"NA",IF($A14=INDIRECT("'"&amp;$A14&amp;"'!$B$1"),IF(VLOOKUP(Z$1,INDIRECT("'"&amp;$A14&amp;"'!$A$12:$Z$41"),MATCH("Points (Auto-generate)",INDIRECT("'"&amp;$A14&amp;"'!$A$12:$Z$12"),0),0)="","?",VLOOKUP(Z$1,INDIRECT("'"&amp;$A14&amp;"'!$A$12:$Z$41"),MATCH("Points (Auto-generate)",INDIRECT("'"&amp;$A14&amp;"'!$A$12:$Z$12"),0),0)),"ER"))</f>
        <v>?</v>
      </c>
      <c r="AA14" s="78" t="str">
        <f aca="true">IF($H14=0,"NA",IF($A14=INDIRECT("'"&amp;$A14&amp;"'!$B$1"),IF(VLOOKUP(AA$1,INDIRECT("'"&amp;$A14&amp;"'!$A$12:$Z$41"),MATCH("Points (Auto-generate)",INDIRECT("'"&amp;$A14&amp;"'!$A$12:$Z$12"),0),0)="","?",VLOOKUP(AA$1,INDIRECT("'"&amp;$A14&amp;"'!$A$12:$Z$41"),MATCH("Points (Auto-generate)",INDIRECT("'"&amp;$A14&amp;"'!$A$12:$Z$12"),0),0)),"ER"))</f>
        <v>?</v>
      </c>
      <c r="AB14" s="78" t="str">
        <f aca="true">IF($H14=0,"NA",IF($A14=INDIRECT("'"&amp;$A14&amp;"'!$B$1"),IF(VLOOKUP(AB$1,INDIRECT("'"&amp;$A14&amp;"'!$A$12:$Z$41"),MATCH("Points (Auto-generate)",INDIRECT("'"&amp;$A14&amp;"'!$A$12:$Z$12"),0),0)="","?",VLOOKUP(AB$1,INDIRECT("'"&amp;$A14&amp;"'!$A$12:$Z$41"),MATCH("Points (Auto-generate)",INDIRECT("'"&amp;$A14&amp;"'!$A$12:$Z$12"),0),0)),"ER"))</f>
        <v>?</v>
      </c>
      <c r="AC14" s="78" t="str">
        <f aca="true">IF($H14=0,"NA",IF($A14=INDIRECT("'"&amp;$A14&amp;"'!$B$1"),IF(VLOOKUP(AC$1,INDIRECT("'"&amp;$A14&amp;"'!$A$12:$Z$41"),MATCH("Points (Auto-generate)",INDIRECT("'"&amp;$A14&amp;"'!$A$12:$Z$12"),0),0)="","?",VLOOKUP(AC$1,INDIRECT("'"&amp;$A14&amp;"'!$A$12:$Z$41"),MATCH("Points (Auto-generate)",INDIRECT("'"&amp;$A14&amp;"'!$A$12:$Z$12"),0),0)),"ER"))</f>
        <v>?</v>
      </c>
      <c r="AD14" s="78" t="str">
        <f aca="true">IF($H14=0,"NA",IF($A14=INDIRECT("'"&amp;$A14&amp;"'!$B$1"),IF(VLOOKUP(AD$1,INDIRECT("'"&amp;$A14&amp;"'!$A$12:$Z$41"),MATCH("Points (Auto-generate)",INDIRECT("'"&amp;$A14&amp;"'!$A$12:$Z$12"),0),0)="","?",VLOOKUP(AD$1,INDIRECT("'"&amp;$A14&amp;"'!$A$12:$Z$41"),MATCH("Points (Auto-generate)",INDIRECT("'"&amp;$A14&amp;"'!$A$12:$Z$12"),0),0)),"ER"))</f>
        <v>?</v>
      </c>
      <c r="AE14" s="78" t="str">
        <f aca="true">IF($H14=0,"NA",IF($A14=INDIRECT("'"&amp;$A14&amp;"'!$B$1"),IF(VLOOKUP(AE$1,INDIRECT("'"&amp;$A14&amp;"'!$A$12:$Z$41"),MATCH("Points (Auto-generate)",INDIRECT("'"&amp;$A14&amp;"'!$A$12:$Z$12"),0),0)="","?",VLOOKUP(AE$1,INDIRECT("'"&amp;$A14&amp;"'!$A$12:$Z$41"),MATCH("Points (Auto-generate)",INDIRECT("'"&amp;$A14&amp;"'!$A$12:$Z$12"),0),0)),"ER"))</f>
        <v>?</v>
      </c>
      <c r="AF14" s="78" t="str">
        <f aca="true">IF($H14=0,"NA",IF($A14=INDIRECT("'"&amp;$A14&amp;"'!$B$1"),IF(VLOOKUP(AF$1,INDIRECT("'"&amp;$A14&amp;"'!$A$12:$Z$41"),MATCH("Points (Auto-generate)",INDIRECT("'"&amp;$A14&amp;"'!$A$12:$Z$12"),0),0)="","?",VLOOKUP(AF$1,INDIRECT("'"&amp;$A14&amp;"'!$A$12:$Z$41"),MATCH("Points (Auto-generate)",INDIRECT("'"&amp;$A14&amp;"'!$A$12:$Z$12"),0),0)),"ER"))</f>
        <v>?</v>
      </c>
      <c r="AG14" s="78" t="str">
        <f aca="true">IF($H14=0,"NA",IF($A14=INDIRECT("'"&amp;$A14&amp;"'!$B$1"),IF(VLOOKUP(AG$1,INDIRECT("'"&amp;$A14&amp;"'!$A$12:$Z$41"),MATCH("Points (Auto-generate)",INDIRECT("'"&amp;$A14&amp;"'!$A$12:$Z$12"),0),0)="","?",VLOOKUP(AG$1,INDIRECT("'"&amp;$A14&amp;"'!$A$12:$Z$41"),MATCH("Points (Auto-generate)",INDIRECT("'"&amp;$A14&amp;"'!$A$12:$Z$12"),0),0)),"ER"))</f>
        <v>?</v>
      </c>
      <c r="AH14" s="78" t="str">
        <f aca="true">IF($H14=0,"NA",IF($A14=INDIRECT("'"&amp;$A14&amp;"'!$B$1"),IF(VLOOKUP(AH$1,INDIRECT("'"&amp;$A14&amp;"'!$A$12:$Z$41"),MATCH("Points (Auto-generate)",INDIRECT("'"&amp;$A14&amp;"'!$A$12:$Z$12"),0),0)="","?",VLOOKUP(AH$1,INDIRECT("'"&amp;$A14&amp;"'!$A$12:$Z$41"),MATCH("Points (Auto-generate)",INDIRECT("'"&amp;$A14&amp;"'!$A$12:$Z$12"),0),0)),"ER"))</f>
        <v>?</v>
      </c>
      <c r="AI14" s="78" t="str">
        <f aca="true">IF($H14=0,"NA",IF($A14=INDIRECT("'"&amp;$A14&amp;"'!$B$1"),IF(VLOOKUP(AI$1,INDIRECT("'"&amp;$A14&amp;"'!$A$12:$Z$41"),MATCH("Points (Auto-generate)",INDIRECT("'"&amp;$A14&amp;"'!$A$12:$Z$12"),0),0)="","?",VLOOKUP(AI$1,INDIRECT("'"&amp;$A14&amp;"'!$A$12:$Z$41"),MATCH("Points (Auto-generate)",INDIRECT("'"&amp;$A14&amp;"'!$A$12:$Z$12"),0),0)),"ER"))</f>
        <v>?</v>
      </c>
      <c r="AJ14" s="78" t="str">
        <f aca="true">IF($H14=0,"NA",IF($A14=INDIRECT("'"&amp;$A14&amp;"'!$B$1"),IF(VLOOKUP(AJ$1,INDIRECT("'"&amp;$A14&amp;"'!$A$12:$Z$41"),MATCH("Points (Auto-generate)",INDIRECT("'"&amp;$A14&amp;"'!$A$12:$Z$12"),0),0)="","?",VLOOKUP(AJ$1,INDIRECT("'"&amp;$A14&amp;"'!$A$12:$Z$41"),MATCH("Points (Auto-generate)",INDIRECT("'"&amp;$A14&amp;"'!$A$12:$Z$12"),0),0)),"ER"))</f>
        <v>?</v>
      </c>
      <c r="AK14" s="78" t="str">
        <f aca="true">IF($H14=0,"NA",IF($A14=INDIRECT("'"&amp;$A14&amp;"'!$B$1"),IF(VLOOKUP(AK$1,INDIRECT("'"&amp;$A14&amp;"'!$A$12:$Z$41"),MATCH("Points (Auto-generate)",INDIRECT("'"&amp;$A14&amp;"'!$A$12:$Z$12"),0),0)="","?",VLOOKUP(AK$1,INDIRECT("'"&amp;$A14&amp;"'!$A$12:$Z$41"),MATCH("Points (Auto-generate)",INDIRECT("'"&amp;$A14&amp;"'!$A$12:$Z$12"),0),0)),"ER"))</f>
        <v>?</v>
      </c>
    </row>
    <row r="15" customFormat="false" ht="25.5" hidden="false" customHeight="true" outlineLevel="0" collapsed="false">
      <c r="A15" s="74" t="s">
        <v>80</v>
      </c>
      <c r="B15" s="75" t="str">
        <f aca="false">IF(ISBLANK($A15),"NO_CODE",VLOOKUP($A15,'UPD Questions_290926 '!$E$1:$N$300,MATCH(B$1,'UPD Questions_290926 '!$E$1:$N$1,0),0)&amp;"")</f>
        <v>Planning </v>
      </c>
      <c r="C15" s="76" t="str">
        <f aca="false">IF(ISBLANK($A15),"NO_CODE",VLOOKUP($A15,'UPD Questions_290926 '!$E$1:$N$300,MATCH(C$1,'UPD Questions_290926 '!$E$1:$N$1,0),0)&amp;"")</f>
        <v>Legal and institutional planning architecture</v>
      </c>
      <c r="D15" s="75" t="str">
        <f aca="false">IF(ISBLANK($A15),"NO_CODE",VLOOKUP($A15,'UPD Questions_290926 '!$E$1:$N$300,MATCH(D$1,'UPD Questions_290926 '!$E$1:$N$1,0),0)&amp;"")</f>
        <v>Metropolitan and district planning institutions</v>
      </c>
      <c r="E15" s="75" t="str">
        <f aca="false">IF(ISBLANK($A15),"NO_CODE",VLOOKUP($A15,'UPD Questions_290926 '!$E$1:$N$300,MATCH(E$1,'UPD Questions_290926 '!$E$1:$N$1,0),0)&amp;"")</f>
        <v>MQ</v>
      </c>
      <c r="F15" s="75" t="str">
        <f aca="false">IF(ISBLANK($A15),"NO_CODE",VLOOKUP($A15,'UPD Questions_290926 '!$E$1:$N$300,MATCH(F$1,'UPD Questions_290926 '!$E$1:$N$1,0),0)&amp;"")</f>
        <v>Does the city have a functional MPC/DPC?</v>
      </c>
      <c r="G15" s="75" t="str">
        <f aca="false">IF(ISBLANK($A15),"NO_CODE",VLOOKUP($A15,'UPD Questions_290926 '!$E$1:$N$300,MATCH(G$1,'UPD Questions_290926 '!$E$1:$N$1,0),0)&amp;"")</f>
        <v>Law/Policy &amp; Implementation</v>
      </c>
      <c r="H15" s="77" t="n">
        <f aca="false">IF(ISBLANK($A15),"NO_CODE",VLOOKUP($A15,'UPD Questions_290926 '!$E$1:$N$300,MATCH(H$1,'UPD Questions_290926 '!$E$1:$N$1,0),0))</f>
        <v>10</v>
      </c>
      <c r="I15" s="78" t="str">
        <f aca="false">IF(OR(I16="ER",I17="ER"),"ER",IF(OR(I16="?",I17="?"),"?",IF(AND(I16="NA",I17="NA"),"NA",SUM(I16,I17)/((I16&lt;&gt;"NA")*$H$16+(I17&lt;&gt;"NA")*$H$17)*$H15)))</f>
        <v>?</v>
      </c>
      <c r="J15" s="78" t="str">
        <f aca="false">IF(OR(J16="ER",J17="ER"),"ER",IF(OR(J16="?",J17="?"),"?",IF(AND(J16="NA",J17="NA"),"NA",SUM(J16,J17)/((J16&lt;&gt;"NA")*$H$16+(J17&lt;&gt;"NA")*$H$17)*$H15)))</f>
        <v>?</v>
      </c>
      <c r="K15" s="78" t="str">
        <f aca="false">IF(OR(K16="ER",K17="ER"),"ER",IF(OR(K16="?",K17="?"),"?",IF(AND(K16="NA",K17="NA"),"NA",SUM(K16,K17)/((K16&lt;&gt;"NA")*$H$16+(K17&lt;&gt;"NA")*$H$17)*$H15)))</f>
        <v>?</v>
      </c>
      <c r="L15" s="78" t="str">
        <f aca="false">IF(OR(L16="ER",L17="ER"),"ER",IF(OR(L16="?",L17="?"),"?",IF(AND(L16="NA",L17="NA"),"NA",SUM(L16,L17)/((L16&lt;&gt;"NA")*$H$16+(L17&lt;&gt;"NA")*$H$17)*$H15)))</f>
        <v>?</v>
      </c>
      <c r="M15" s="78" t="str">
        <f aca="false">IF(OR(M16="ER",M17="ER"),"ER",IF(OR(M16="?",M17="?"),"?",IF(AND(M16="NA",M17="NA"),"NA",SUM(M16,M17)/((M16&lt;&gt;"NA")*$H$16+(M17&lt;&gt;"NA")*$H$17)*$H15)))</f>
        <v>?</v>
      </c>
      <c r="N15" s="78" t="str">
        <f aca="false">IF(OR(N16="ER",N17="ER"),"ER",IF(OR(N16="?",N17="?"),"?",IF(AND(N16="NA",N17="NA"),"NA",SUM(N16,N17)/((N16&lt;&gt;"NA")*$H$16+(N17&lt;&gt;"NA")*$H$17)*$H15)))</f>
        <v>?</v>
      </c>
      <c r="O15" s="78" t="str">
        <f aca="false">IF(OR(O16="ER",O17="ER"),"ER",IF(OR(O16="?",O17="?"),"?",IF(AND(O16="NA",O17="NA"),"NA",SUM(O16,O17)/((O16&lt;&gt;"NA")*$H$16+(O17&lt;&gt;"NA")*$H$17)*$H15)))</f>
        <v>?</v>
      </c>
      <c r="P15" s="78" t="str">
        <f aca="false">IF(OR(P16="ER",P17="ER"),"ER",IF(OR(P16="?",P17="?"),"?",IF(AND(P16="NA",P17="NA"),"NA",SUM(P16,P17)/((P16&lt;&gt;"NA")*$H$16+(P17&lt;&gt;"NA")*$H$17)*$H15)))</f>
        <v>?</v>
      </c>
      <c r="Q15" s="78" t="str">
        <f aca="false">IF(OR(Q16="ER",Q17="ER"),"ER",IF(OR(Q16="?",Q17="?"),"?",IF(AND(Q16="NA",Q17="NA"),"NA",SUM(Q16,Q17)/((Q16&lt;&gt;"NA")*$H$16+(Q17&lt;&gt;"NA")*$H$17)*$H15)))</f>
        <v>?</v>
      </c>
      <c r="R15" s="78" t="str">
        <f aca="false">IF(OR(R16="ER",R17="ER"),"ER",IF(OR(R16="?",R17="?"),"?",IF(AND(R16="NA",R17="NA"),"NA",SUM(R16,R17)/((R16&lt;&gt;"NA")*$H$16+(R17&lt;&gt;"NA")*$H$17)*$H15)))</f>
        <v>?</v>
      </c>
      <c r="S15" s="78" t="str">
        <f aca="false">IF(OR(S16="ER",S17="ER"),"ER",IF(OR(S16="?",S17="?"),"?",IF(AND(S16="NA",S17="NA"),"NA",SUM(S16,S17)/((S16&lt;&gt;"NA")*$H$16+(S17&lt;&gt;"NA")*$H$17)*$H15)))</f>
        <v>?</v>
      </c>
      <c r="T15" s="78" t="str">
        <f aca="false">IF(OR(T16="ER",T17="ER"),"ER",IF(OR(T16="?",T17="?"),"?",IF(AND(T16="NA",T17="NA"),"NA",SUM(T16,T17)/((T16&lt;&gt;"NA")*$H$16+(T17&lt;&gt;"NA")*$H$17)*$H15)))</f>
        <v>?</v>
      </c>
      <c r="U15" s="78" t="str">
        <f aca="false">IF(OR(U16="ER",U17="ER"),"ER",IF(OR(U16="?",U17="?"),"?",IF(AND(U16="NA",U17="NA"),"NA",SUM(U16,U17)/((U16&lt;&gt;"NA")*$H$16+(U17&lt;&gt;"NA")*$H$17)*$H15)))</f>
        <v>?</v>
      </c>
      <c r="V15" s="78" t="str">
        <f aca="false">IF(OR(V16="ER",V17="ER"),"ER",IF(OR(V16="?",V17="?"),"?",IF(AND(V16="NA",V17="NA"),"NA",SUM(V16,V17)/((V16&lt;&gt;"NA")*$H$16+(V17&lt;&gt;"NA")*$H$17)*$H15)))</f>
        <v>?</v>
      </c>
      <c r="W15" s="78" t="str">
        <f aca="false">IF(OR(W16="ER",W17="ER"),"ER",IF(OR(W16="?",W17="?"),"?",IF(AND(W16="NA",W17="NA"),"NA",SUM(W16,W17)/((W16&lt;&gt;"NA")*$H$16+(W17&lt;&gt;"NA")*$H$17)*$H15)))</f>
        <v>?</v>
      </c>
      <c r="X15" s="78" t="str">
        <f aca="false">IF(OR(X16="ER",X17="ER"),"ER",IF(OR(X16="?",X17="?"),"?",IF(AND(X16="NA",X17="NA"),"NA",SUM(X16,X17)/((X16&lt;&gt;"NA")*$H$16+(X17&lt;&gt;"NA")*$H$17)*$H15)))</f>
        <v>?</v>
      </c>
      <c r="Y15" s="78" t="str">
        <f aca="false">IF(OR(Y16="ER",Y17="ER"),"ER",IF(OR(Y16="?",Y17="?"),"?",IF(AND(Y16="NA",Y17="NA"),"NA",SUM(Y16,Y17)/((Y16&lt;&gt;"NA")*$H$16+(Y17&lt;&gt;"NA")*$H$17)*$H15)))</f>
        <v>?</v>
      </c>
      <c r="Z15" s="78" t="str">
        <f aca="false">IF(OR(Z16="ER",Z17="ER"),"ER",IF(OR(Z16="?",Z17="?"),"?",IF(AND(Z16="NA",Z17="NA"),"NA",SUM(Z16,Z17)/((Z16&lt;&gt;"NA")*$H$16+(Z17&lt;&gt;"NA")*$H$17)*$H15)))</f>
        <v>?</v>
      </c>
      <c r="AA15" s="78" t="str">
        <f aca="false">IF(OR(AA16="ER",AA17="ER"),"ER",IF(OR(AA16="?",AA17="?"),"?",IF(AND(AA16="NA",AA17="NA"),"NA",SUM(AA16,AA17)/((AA16&lt;&gt;"NA")*$H$16+(AA17&lt;&gt;"NA")*$H$17)*$H15)))</f>
        <v>?</v>
      </c>
      <c r="AB15" s="78" t="str">
        <f aca="false">IF(OR(AB16="ER",AB17="ER"),"ER",IF(OR(AB16="?",AB17="?"),"?",IF(AND(AB16="NA",AB17="NA"),"NA",SUM(AB16,AB17)/((AB16&lt;&gt;"NA")*$H$16+(AB17&lt;&gt;"NA")*$H$17)*$H15)))</f>
        <v>?</v>
      </c>
      <c r="AC15" s="78" t="str">
        <f aca="false">IF(OR(AC16="ER",AC17="ER"),"ER",IF(OR(AC16="?",AC17="?"),"?",IF(AND(AC16="NA",AC17="NA"),"NA",SUM(AC16,AC17)/((AC16&lt;&gt;"NA")*$H$16+(AC17&lt;&gt;"NA")*$H$17)*$H15)))</f>
        <v>?</v>
      </c>
      <c r="AD15" s="78" t="str">
        <f aca="false">IF(OR(AD16="ER",AD17="ER"),"ER",IF(OR(AD16="?",AD17="?"),"?",IF(AND(AD16="NA",AD17="NA"),"NA",SUM(AD16,AD17)/((AD16&lt;&gt;"NA")*$H$16+(AD17&lt;&gt;"NA")*$H$17)*$H15)))</f>
        <v>?</v>
      </c>
      <c r="AE15" s="78" t="str">
        <f aca="false">IF(OR(AE16="ER",AE17="ER"),"ER",IF(OR(AE16="?",AE17="?"),"?",IF(AND(AE16="NA",AE17="NA"),"NA",SUM(AE16,AE17)/((AE16&lt;&gt;"NA")*$H$16+(AE17&lt;&gt;"NA")*$H$17)*$H15)))</f>
        <v>?</v>
      </c>
      <c r="AF15" s="78" t="str">
        <f aca="false">IF(OR(AF16="ER",AF17="ER"),"ER",IF(OR(AF16="?",AF17="?"),"?",IF(AND(AF16="NA",AF17="NA"),"NA",SUM(AF16,AF17)/((AF16&lt;&gt;"NA")*$H$16+(AF17&lt;&gt;"NA")*$H$17)*$H15)))</f>
        <v>?</v>
      </c>
      <c r="AG15" s="78" t="str">
        <f aca="false">IF(OR(AG16="ER",AG17="ER"),"ER",IF(OR(AG16="?",AG17="?"),"?",IF(AND(AG16="NA",AG17="NA"),"NA",SUM(AG16,AG17)/((AG16&lt;&gt;"NA")*$H$16+(AG17&lt;&gt;"NA")*$H$17)*$H15)))</f>
        <v>?</v>
      </c>
      <c r="AH15" s="78" t="str">
        <f aca="false">IF(OR(AH16="ER",AH17="ER"),"ER",IF(OR(AH16="?",AH17="?"),"?",IF(AND(AH16="NA",AH17="NA"),"NA",SUM(AH16,AH17)/((AH16&lt;&gt;"NA")*$H$16+(AH17&lt;&gt;"NA")*$H$17)*$H15)))</f>
        <v>?</v>
      </c>
      <c r="AI15" s="78" t="str">
        <f aca="false">IF(OR(AI16="ER",AI17="ER"),"ER",IF(OR(AI16="?",AI17="?"),"?",IF(AND(AI16="NA",AI17="NA"),"NA",SUM(AI16,AI17)/((AI16&lt;&gt;"NA")*$H$16+(AI17&lt;&gt;"NA")*$H$17)*$H15)))</f>
        <v>?</v>
      </c>
      <c r="AJ15" s="78" t="str">
        <f aca="false">IF(OR(AJ16="ER",AJ17="ER"),"ER",IF(OR(AJ16="?",AJ17="?"),"?",IF(AND(AJ16="NA",AJ17="NA"),"NA",SUM(AJ16,AJ17)/((AJ16&lt;&gt;"NA")*$H$16+(AJ17&lt;&gt;"NA")*$H$17)*$H15)))</f>
        <v>?</v>
      </c>
      <c r="AK15" s="78" t="str">
        <f aca="false">IF(OR(AK16="ER",AK17="ER"),"ER",IF(OR(AK16="?",AK17="?"),"?",IF(AND(AK16="NA",AK17="NA"),"NA",SUM(AK16,AK17)/((AK16&lt;&gt;"NA")*$H$16+(AK17&lt;&gt;"NA")*$H$17)*$H15)))</f>
        <v>?</v>
      </c>
    </row>
    <row r="16" customFormat="false" ht="25.5" hidden="false" customHeight="true" outlineLevel="0" collapsed="false">
      <c r="A16" s="74" t="s">
        <v>88</v>
      </c>
      <c r="B16" s="75" t="str">
        <f aca="false">IF(ISBLANK($A16),"NO_CODE",VLOOKUP($A16,'UPD Questions_290926 '!$E$1:$N$300,MATCH(B$1,'UPD Questions_290926 '!$E$1:$N$1,0),0)&amp;"")</f>
        <v>Planning </v>
      </c>
      <c r="C16" s="76" t="str">
        <f aca="false">IF(ISBLANK($A16),"NO_CODE",VLOOKUP($A16,'UPD Questions_290926 '!$E$1:$N$300,MATCH(C$1,'UPD Questions_290926 '!$E$1:$N$1,0),0)&amp;"")</f>
        <v>Legal and institutional planning architecture</v>
      </c>
      <c r="D16" s="75" t="str">
        <f aca="false">IF(ISBLANK($A16),"NO_CODE",VLOOKUP($A16,'UPD Questions_290926 '!$E$1:$N$300,MATCH(D$1,'UPD Questions_290926 '!$E$1:$N$1,0),0)&amp;"")</f>
        <v>Metropolitan and district planning institutions</v>
      </c>
      <c r="E16" s="75" t="str">
        <f aca="false">IF(ISBLANK($A16),"NO_CODE",VLOOKUP($A16,'UPD Questions_290926 '!$E$1:$N$300,MATCH(E$1,'UPD Questions_290926 '!$E$1:$N$1,0),0)&amp;"")</f>
        <v>SQ</v>
      </c>
      <c r="F16" s="75" t="str">
        <f aca="false">IF(ISBLANK($A16),"NO_CODE",VLOOKUP($A16,'UPD Questions_290926 '!$E$1:$N$300,MATCH(F$1,'UPD Questions_290926 '!$E$1:$N$1,0),0)&amp;"")</f>
        <v>Does the law provide for the constitution of an MPC/DPC?</v>
      </c>
      <c r="G16" s="75" t="str">
        <f aca="false">IF(ISBLANK($A16),"NO_CODE",VLOOKUP($A16,'UPD Questions_290926 '!$E$1:$N$300,MATCH(G$1,'UPD Questions_290926 '!$E$1:$N$1,0),0)&amp;"")</f>
        <v>Law/Policy</v>
      </c>
      <c r="H16" s="77" t="n">
        <f aca="false">IF(ISBLANK($A16),"NO_CODE",VLOOKUP($A16,'UPD Questions_290926 '!$E$1:$N$300,MATCH(H$1,'UPD Questions_290926 '!$E$1:$N$1,0),0))</f>
        <v>5</v>
      </c>
      <c r="I16" s="78" t="str">
        <f aca="true">IF($H16=0,"NA",IF($A16=INDIRECT("'"&amp;$A16&amp;"'!$B$1"),IF(VLOOKUP(I$1,INDIRECT("'"&amp;$A16&amp;"'!$A$12:$Z$41"),MATCH("Points (Auto-generate)",INDIRECT("'"&amp;$A16&amp;"'!$A$12:$Z$12"),0),0)="","?",VLOOKUP(I$1,INDIRECT("'"&amp;$A16&amp;"'!$A$12:$Z$41"),MATCH("Points (Auto-generate)",INDIRECT("'"&amp;$A16&amp;"'!$A$12:$Z$12"),0),0)),"ER"))</f>
        <v>?</v>
      </c>
      <c r="J16" s="78" t="str">
        <f aca="true">IF($H16=0,"NA",IF($A16=INDIRECT("'"&amp;$A16&amp;"'!$B$1"),IF(VLOOKUP(J$1,INDIRECT("'"&amp;$A16&amp;"'!$A$12:$Z$41"),MATCH("Points (Auto-generate)",INDIRECT("'"&amp;$A16&amp;"'!$A$12:$Z$12"),0),0)="","?",VLOOKUP(J$1,INDIRECT("'"&amp;$A16&amp;"'!$A$12:$Z$41"),MATCH("Points (Auto-generate)",INDIRECT("'"&amp;$A16&amp;"'!$A$12:$Z$12"),0),0)),"ER"))</f>
        <v>?</v>
      </c>
      <c r="K16" s="78" t="str">
        <f aca="true">IF($H16=0,"NA",IF($A16=INDIRECT("'"&amp;$A16&amp;"'!$B$1"),IF(VLOOKUP(K$1,INDIRECT("'"&amp;$A16&amp;"'!$A$12:$Z$41"),MATCH("Points (Auto-generate)",INDIRECT("'"&amp;$A16&amp;"'!$A$12:$Z$12"),0),0)="","?",VLOOKUP(K$1,INDIRECT("'"&amp;$A16&amp;"'!$A$12:$Z$41"),MATCH("Points (Auto-generate)",INDIRECT("'"&amp;$A16&amp;"'!$A$12:$Z$12"),0),0)),"ER"))</f>
        <v>?</v>
      </c>
      <c r="L16" s="78" t="str">
        <f aca="true">IF($H16=0,"NA",IF($A16=INDIRECT("'"&amp;$A16&amp;"'!$B$1"),IF(VLOOKUP(L$1,INDIRECT("'"&amp;$A16&amp;"'!$A$12:$Z$41"),MATCH("Points (Auto-generate)",INDIRECT("'"&amp;$A16&amp;"'!$A$12:$Z$12"),0),0)="","?",VLOOKUP(L$1,INDIRECT("'"&amp;$A16&amp;"'!$A$12:$Z$41"),MATCH("Points (Auto-generate)",INDIRECT("'"&amp;$A16&amp;"'!$A$12:$Z$12"),0),0)),"ER"))</f>
        <v>?</v>
      </c>
      <c r="M16" s="78" t="str">
        <f aca="true">IF($H16=0,"NA",IF($A16=INDIRECT("'"&amp;$A16&amp;"'!$B$1"),IF(VLOOKUP(M$1,INDIRECT("'"&amp;$A16&amp;"'!$A$12:$Z$41"),MATCH("Points (Auto-generate)",INDIRECT("'"&amp;$A16&amp;"'!$A$12:$Z$12"),0),0)="","?",VLOOKUP(M$1,INDIRECT("'"&amp;$A16&amp;"'!$A$12:$Z$41"),MATCH("Points (Auto-generate)",INDIRECT("'"&amp;$A16&amp;"'!$A$12:$Z$12"),0),0)),"ER"))</f>
        <v>?</v>
      </c>
      <c r="N16" s="78" t="str">
        <f aca="true">IF($H16=0,"NA",IF($A16=INDIRECT("'"&amp;$A16&amp;"'!$B$1"),IF(VLOOKUP(N$1,INDIRECT("'"&amp;$A16&amp;"'!$A$12:$Z$41"),MATCH("Points (Auto-generate)",INDIRECT("'"&amp;$A16&amp;"'!$A$12:$Z$12"),0),0)="","?",VLOOKUP(N$1,INDIRECT("'"&amp;$A16&amp;"'!$A$12:$Z$41"),MATCH("Points (Auto-generate)",INDIRECT("'"&amp;$A16&amp;"'!$A$12:$Z$12"),0),0)),"ER"))</f>
        <v>?</v>
      </c>
      <c r="O16" s="78" t="str">
        <f aca="true">IF($H16=0,"NA",IF($A16=INDIRECT("'"&amp;$A16&amp;"'!$B$1"),IF(VLOOKUP(O$1,INDIRECT("'"&amp;$A16&amp;"'!$A$12:$Z$41"),MATCH("Points (Auto-generate)",INDIRECT("'"&amp;$A16&amp;"'!$A$12:$Z$12"),0),0)="","?",VLOOKUP(O$1,INDIRECT("'"&amp;$A16&amp;"'!$A$12:$Z$41"),MATCH("Points (Auto-generate)",INDIRECT("'"&amp;$A16&amp;"'!$A$12:$Z$12"),0),0)),"ER"))</f>
        <v>?</v>
      </c>
      <c r="P16" s="78" t="str">
        <f aca="true">IF($H16=0,"NA",IF($A16=INDIRECT("'"&amp;$A16&amp;"'!$B$1"),IF(VLOOKUP(P$1,INDIRECT("'"&amp;$A16&amp;"'!$A$12:$Z$41"),MATCH("Points (Auto-generate)",INDIRECT("'"&amp;$A16&amp;"'!$A$12:$Z$12"),0),0)="","?",VLOOKUP(P$1,INDIRECT("'"&amp;$A16&amp;"'!$A$12:$Z$41"),MATCH("Points (Auto-generate)",INDIRECT("'"&amp;$A16&amp;"'!$A$12:$Z$12"),0),0)),"ER"))</f>
        <v>?</v>
      </c>
      <c r="Q16" s="78" t="str">
        <f aca="true">IF($H16=0,"NA",IF($A16=INDIRECT("'"&amp;$A16&amp;"'!$B$1"),IF(VLOOKUP(Q$1,INDIRECT("'"&amp;$A16&amp;"'!$A$12:$Z$41"),MATCH("Points (Auto-generate)",INDIRECT("'"&amp;$A16&amp;"'!$A$12:$Z$12"),0),0)="","?",VLOOKUP(Q$1,INDIRECT("'"&amp;$A16&amp;"'!$A$12:$Z$41"),MATCH("Points (Auto-generate)",INDIRECT("'"&amp;$A16&amp;"'!$A$12:$Z$12"),0),0)),"ER"))</f>
        <v>?</v>
      </c>
      <c r="R16" s="78" t="str">
        <f aca="true">IF($H16=0,"NA",IF($A16=INDIRECT("'"&amp;$A16&amp;"'!$B$1"),IF(VLOOKUP(R$1,INDIRECT("'"&amp;$A16&amp;"'!$A$12:$Z$41"),MATCH("Points (Auto-generate)",INDIRECT("'"&amp;$A16&amp;"'!$A$12:$Z$12"),0),0)="","?",VLOOKUP(R$1,INDIRECT("'"&amp;$A16&amp;"'!$A$12:$Z$41"),MATCH("Points (Auto-generate)",INDIRECT("'"&amp;$A16&amp;"'!$A$12:$Z$12"),0),0)),"ER"))</f>
        <v>?</v>
      </c>
      <c r="S16" s="78" t="str">
        <f aca="true">IF($H16=0,"NA",IF($A16=INDIRECT("'"&amp;$A16&amp;"'!$B$1"),IF(VLOOKUP(S$1,INDIRECT("'"&amp;$A16&amp;"'!$A$12:$Z$41"),MATCH("Points (Auto-generate)",INDIRECT("'"&amp;$A16&amp;"'!$A$12:$Z$12"),0),0)="","?",VLOOKUP(S$1,INDIRECT("'"&amp;$A16&amp;"'!$A$12:$Z$41"),MATCH("Points (Auto-generate)",INDIRECT("'"&amp;$A16&amp;"'!$A$12:$Z$12"),0),0)),"ER"))</f>
        <v>?</v>
      </c>
      <c r="T16" s="78" t="str">
        <f aca="true">IF($H16=0,"NA",IF($A16=INDIRECT("'"&amp;$A16&amp;"'!$B$1"),IF(VLOOKUP(T$1,INDIRECT("'"&amp;$A16&amp;"'!$A$12:$Z$41"),MATCH("Points (Auto-generate)",INDIRECT("'"&amp;$A16&amp;"'!$A$12:$Z$12"),0),0)="","?",VLOOKUP(T$1,INDIRECT("'"&amp;$A16&amp;"'!$A$12:$Z$41"),MATCH("Points (Auto-generate)",INDIRECT("'"&amp;$A16&amp;"'!$A$12:$Z$12"),0),0)),"ER"))</f>
        <v>?</v>
      </c>
      <c r="U16" s="78" t="str">
        <f aca="true">IF($H16=0,"NA",IF($A16=INDIRECT("'"&amp;$A16&amp;"'!$B$1"),IF(VLOOKUP(U$1,INDIRECT("'"&amp;$A16&amp;"'!$A$12:$Z$41"),MATCH("Points (Auto-generate)",INDIRECT("'"&amp;$A16&amp;"'!$A$12:$Z$12"),0),0)="","?",VLOOKUP(U$1,INDIRECT("'"&amp;$A16&amp;"'!$A$12:$Z$41"),MATCH("Points (Auto-generate)",INDIRECT("'"&amp;$A16&amp;"'!$A$12:$Z$12"),0),0)),"ER"))</f>
        <v>?</v>
      </c>
      <c r="V16" s="78" t="str">
        <f aca="true">IF($H16=0,"NA",IF($A16=INDIRECT("'"&amp;$A16&amp;"'!$B$1"),IF(VLOOKUP(V$1,INDIRECT("'"&amp;$A16&amp;"'!$A$12:$Z$41"),MATCH("Points (Auto-generate)",INDIRECT("'"&amp;$A16&amp;"'!$A$12:$Z$12"),0),0)="","?",VLOOKUP(V$1,INDIRECT("'"&amp;$A16&amp;"'!$A$12:$Z$41"),MATCH("Points (Auto-generate)",INDIRECT("'"&amp;$A16&amp;"'!$A$12:$Z$12"),0),0)),"ER"))</f>
        <v>?</v>
      </c>
      <c r="W16" s="78" t="str">
        <f aca="true">IF($H16=0,"NA",IF($A16=INDIRECT("'"&amp;$A16&amp;"'!$B$1"),IF(VLOOKUP(W$1,INDIRECT("'"&amp;$A16&amp;"'!$A$12:$Z$41"),MATCH("Points (Auto-generate)",INDIRECT("'"&amp;$A16&amp;"'!$A$12:$Z$12"),0),0)="","?",VLOOKUP(W$1,INDIRECT("'"&amp;$A16&amp;"'!$A$12:$Z$41"),MATCH("Points (Auto-generate)",INDIRECT("'"&amp;$A16&amp;"'!$A$12:$Z$12"),0),0)),"ER"))</f>
        <v>?</v>
      </c>
      <c r="X16" s="78" t="str">
        <f aca="true">IF($H16=0,"NA",IF($A16=INDIRECT("'"&amp;$A16&amp;"'!$B$1"),IF(VLOOKUP(X$1,INDIRECT("'"&amp;$A16&amp;"'!$A$12:$Z$41"),MATCH("Points (Auto-generate)",INDIRECT("'"&amp;$A16&amp;"'!$A$12:$Z$12"),0),0)="","?",VLOOKUP(X$1,INDIRECT("'"&amp;$A16&amp;"'!$A$12:$Z$41"),MATCH("Points (Auto-generate)",INDIRECT("'"&amp;$A16&amp;"'!$A$12:$Z$12"),0),0)),"ER"))</f>
        <v>?</v>
      </c>
      <c r="Y16" s="78" t="str">
        <f aca="true">IF($H16=0,"NA",IF($A16=INDIRECT("'"&amp;$A16&amp;"'!$B$1"),IF(VLOOKUP(Y$1,INDIRECT("'"&amp;$A16&amp;"'!$A$12:$Z$41"),MATCH("Points (Auto-generate)",INDIRECT("'"&amp;$A16&amp;"'!$A$12:$Z$12"),0),0)="","?",VLOOKUP(Y$1,INDIRECT("'"&amp;$A16&amp;"'!$A$12:$Z$41"),MATCH("Points (Auto-generate)",INDIRECT("'"&amp;$A16&amp;"'!$A$12:$Z$12"),0),0)),"ER"))</f>
        <v>?</v>
      </c>
      <c r="Z16" s="78" t="str">
        <f aca="true">IF($H16=0,"NA",IF($A16=INDIRECT("'"&amp;$A16&amp;"'!$B$1"),IF(VLOOKUP(Z$1,INDIRECT("'"&amp;$A16&amp;"'!$A$12:$Z$41"),MATCH("Points (Auto-generate)",INDIRECT("'"&amp;$A16&amp;"'!$A$12:$Z$12"),0),0)="","?",VLOOKUP(Z$1,INDIRECT("'"&amp;$A16&amp;"'!$A$12:$Z$41"),MATCH("Points (Auto-generate)",INDIRECT("'"&amp;$A16&amp;"'!$A$12:$Z$12"),0),0)),"ER"))</f>
        <v>?</v>
      </c>
      <c r="AA16" s="78" t="str">
        <f aca="true">IF($H16=0,"NA",IF($A16=INDIRECT("'"&amp;$A16&amp;"'!$B$1"),IF(VLOOKUP(AA$1,INDIRECT("'"&amp;$A16&amp;"'!$A$12:$Z$41"),MATCH("Points (Auto-generate)",INDIRECT("'"&amp;$A16&amp;"'!$A$12:$Z$12"),0),0)="","?",VLOOKUP(AA$1,INDIRECT("'"&amp;$A16&amp;"'!$A$12:$Z$41"),MATCH("Points (Auto-generate)",INDIRECT("'"&amp;$A16&amp;"'!$A$12:$Z$12"),0),0)),"ER"))</f>
        <v>?</v>
      </c>
      <c r="AB16" s="78" t="str">
        <f aca="true">IF($H16=0,"NA",IF($A16=INDIRECT("'"&amp;$A16&amp;"'!$B$1"),IF(VLOOKUP(AB$1,INDIRECT("'"&amp;$A16&amp;"'!$A$12:$Z$41"),MATCH("Points (Auto-generate)",INDIRECT("'"&amp;$A16&amp;"'!$A$12:$Z$12"),0),0)="","?",VLOOKUP(AB$1,INDIRECT("'"&amp;$A16&amp;"'!$A$12:$Z$41"),MATCH("Points (Auto-generate)",INDIRECT("'"&amp;$A16&amp;"'!$A$12:$Z$12"),0),0)),"ER"))</f>
        <v>?</v>
      </c>
      <c r="AC16" s="78" t="str">
        <f aca="true">IF($H16=0,"NA",IF($A16=INDIRECT("'"&amp;$A16&amp;"'!$B$1"),IF(VLOOKUP(AC$1,INDIRECT("'"&amp;$A16&amp;"'!$A$12:$Z$41"),MATCH("Points (Auto-generate)",INDIRECT("'"&amp;$A16&amp;"'!$A$12:$Z$12"),0),0)="","?",VLOOKUP(AC$1,INDIRECT("'"&amp;$A16&amp;"'!$A$12:$Z$41"),MATCH("Points (Auto-generate)",INDIRECT("'"&amp;$A16&amp;"'!$A$12:$Z$12"),0),0)),"ER"))</f>
        <v>?</v>
      </c>
      <c r="AD16" s="78" t="str">
        <f aca="true">IF($H16=0,"NA",IF($A16=INDIRECT("'"&amp;$A16&amp;"'!$B$1"),IF(VLOOKUP(AD$1,INDIRECT("'"&amp;$A16&amp;"'!$A$12:$Z$41"),MATCH("Points (Auto-generate)",INDIRECT("'"&amp;$A16&amp;"'!$A$12:$Z$12"),0),0)="","?",VLOOKUP(AD$1,INDIRECT("'"&amp;$A16&amp;"'!$A$12:$Z$41"),MATCH("Points (Auto-generate)",INDIRECT("'"&amp;$A16&amp;"'!$A$12:$Z$12"),0),0)),"ER"))</f>
        <v>?</v>
      </c>
      <c r="AE16" s="78" t="str">
        <f aca="true">IF($H16=0,"NA",IF($A16=INDIRECT("'"&amp;$A16&amp;"'!$B$1"),IF(VLOOKUP(AE$1,INDIRECT("'"&amp;$A16&amp;"'!$A$12:$Z$41"),MATCH("Points (Auto-generate)",INDIRECT("'"&amp;$A16&amp;"'!$A$12:$Z$12"),0),0)="","?",VLOOKUP(AE$1,INDIRECT("'"&amp;$A16&amp;"'!$A$12:$Z$41"),MATCH("Points (Auto-generate)",INDIRECT("'"&amp;$A16&amp;"'!$A$12:$Z$12"),0),0)),"ER"))</f>
        <v>?</v>
      </c>
      <c r="AF16" s="78" t="str">
        <f aca="true">IF($H16=0,"NA",IF($A16=INDIRECT("'"&amp;$A16&amp;"'!$B$1"),IF(VLOOKUP(AF$1,INDIRECT("'"&amp;$A16&amp;"'!$A$12:$Z$41"),MATCH("Points (Auto-generate)",INDIRECT("'"&amp;$A16&amp;"'!$A$12:$Z$12"),0),0)="","?",VLOOKUP(AF$1,INDIRECT("'"&amp;$A16&amp;"'!$A$12:$Z$41"),MATCH("Points (Auto-generate)",INDIRECT("'"&amp;$A16&amp;"'!$A$12:$Z$12"),0),0)),"ER"))</f>
        <v>?</v>
      </c>
      <c r="AG16" s="78" t="str">
        <f aca="true">IF($H16=0,"NA",IF($A16=INDIRECT("'"&amp;$A16&amp;"'!$B$1"),IF(VLOOKUP(AG$1,INDIRECT("'"&amp;$A16&amp;"'!$A$12:$Z$41"),MATCH("Points (Auto-generate)",INDIRECT("'"&amp;$A16&amp;"'!$A$12:$Z$12"),0),0)="","?",VLOOKUP(AG$1,INDIRECT("'"&amp;$A16&amp;"'!$A$12:$Z$41"),MATCH("Points (Auto-generate)",INDIRECT("'"&amp;$A16&amp;"'!$A$12:$Z$12"),0),0)),"ER"))</f>
        <v>?</v>
      </c>
      <c r="AH16" s="78" t="str">
        <f aca="true">IF($H16=0,"NA",IF($A16=INDIRECT("'"&amp;$A16&amp;"'!$B$1"),IF(VLOOKUP(AH$1,INDIRECT("'"&amp;$A16&amp;"'!$A$12:$Z$41"),MATCH("Points (Auto-generate)",INDIRECT("'"&amp;$A16&amp;"'!$A$12:$Z$12"),0),0)="","?",VLOOKUP(AH$1,INDIRECT("'"&amp;$A16&amp;"'!$A$12:$Z$41"),MATCH("Points (Auto-generate)",INDIRECT("'"&amp;$A16&amp;"'!$A$12:$Z$12"),0),0)),"ER"))</f>
        <v>?</v>
      </c>
      <c r="AI16" s="78" t="str">
        <f aca="true">IF($H16=0,"NA",IF($A16=INDIRECT("'"&amp;$A16&amp;"'!$B$1"),IF(VLOOKUP(AI$1,INDIRECT("'"&amp;$A16&amp;"'!$A$12:$Z$41"),MATCH("Points (Auto-generate)",INDIRECT("'"&amp;$A16&amp;"'!$A$12:$Z$12"),0),0)="","?",VLOOKUP(AI$1,INDIRECT("'"&amp;$A16&amp;"'!$A$12:$Z$41"),MATCH("Points (Auto-generate)",INDIRECT("'"&amp;$A16&amp;"'!$A$12:$Z$12"),0),0)),"ER"))</f>
        <v>?</v>
      </c>
      <c r="AJ16" s="78" t="str">
        <f aca="true">IF($H16=0,"NA",IF($A16=INDIRECT("'"&amp;$A16&amp;"'!$B$1"),IF(VLOOKUP(AJ$1,INDIRECT("'"&amp;$A16&amp;"'!$A$12:$Z$41"),MATCH("Points (Auto-generate)",INDIRECT("'"&amp;$A16&amp;"'!$A$12:$Z$12"),0),0)="","?",VLOOKUP(AJ$1,INDIRECT("'"&amp;$A16&amp;"'!$A$12:$Z$41"),MATCH("Points (Auto-generate)",INDIRECT("'"&amp;$A16&amp;"'!$A$12:$Z$12"),0),0)),"ER"))</f>
        <v>?</v>
      </c>
      <c r="AK16" s="78" t="str">
        <f aca="true">IF($H16=0,"NA",IF($A16=INDIRECT("'"&amp;$A16&amp;"'!$B$1"),IF(VLOOKUP(AK$1,INDIRECT("'"&amp;$A16&amp;"'!$A$12:$Z$41"),MATCH("Points (Auto-generate)",INDIRECT("'"&amp;$A16&amp;"'!$A$12:$Z$12"),0),0)="","?",VLOOKUP(AK$1,INDIRECT("'"&amp;$A16&amp;"'!$A$12:$Z$41"),MATCH("Points (Auto-generate)",INDIRECT("'"&amp;$A16&amp;"'!$A$12:$Z$12"),0),0)),"ER"))</f>
        <v>?</v>
      </c>
    </row>
    <row r="17" customFormat="false" ht="25.5" hidden="false" customHeight="true" outlineLevel="0" collapsed="false">
      <c r="A17" s="74" t="s">
        <v>95</v>
      </c>
      <c r="B17" s="75" t="str">
        <f aca="false">IF(ISBLANK($A17),"NO_CODE",VLOOKUP($A17,'UPD Questions_290926 '!$E$1:$N$300,MATCH(B$1,'UPD Questions_290926 '!$E$1:$N$1,0),0)&amp;"")</f>
        <v>Planning </v>
      </c>
      <c r="C17" s="76" t="str">
        <f aca="false">IF(ISBLANK($A17),"NO_CODE",VLOOKUP($A17,'UPD Questions_290926 '!$E$1:$N$300,MATCH(C$1,'UPD Questions_290926 '!$E$1:$N$1,0),0)&amp;"")</f>
        <v>Legal and institutional planning architecture</v>
      </c>
      <c r="D17" s="75" t="str">
        <f aca="false">IF(ISBLANK($A17),"NO_CODE",VLOOKUP($A17,'UPD Questions_290926 '!$E$1:$N$300,MATCH(D$1,'UPD Questions_290926 '!$E$1:$N$1,0),0)&amp;"")</f>
        <v>Metropolitan and district planning institutions</v>
      </c>
      <c r="E17" s="75" t="str">
        <f aca="false">IF(ISBLANK($A17),"NO_CODE",VLOOKUP($A17,'UPD Questions_290926 '!$E$1:$N$300,MATCH(E$1,'UPD Questions_290926 '!$E$1:$N$1,0),0)&amp;"")</f>
        <v>SQ</v>
      </c>
      <c r="F17" s="75" t="str">
        <f aca="false">IF(ISBLANK($A17),"NO_CODE",VLOOKUP($A17,'UPD Questions_290926 '!$E$1:$N$300,MATCH(F$1,'UPD Questions_290926 '!$E$1:$N$1,0),0)&amp;"")</f>
        <v>Have they met at least once in the past two years?</v>
      </c>
      <c r="G17" s="75" t="str">
        <f aca="false">IF(ISBLANK($A17),"NO_CODE",VLOOKUP($A17,'UPD Questions_290926 '!$E$1:$N$300,MATCH(G$1,'UPD Questions_290926 '!$E$1:$N$1,0),0)&amp;"")</f>
        <v>Implementation</v>
      </c>
      <c r="H17" s="77" t="n">
        <f aca="false">IF(ISBLANK($A17),"NO_CODE",VLOOKUP($A17,'UPD Questions_290926 '!$E$1:$N$300,MATCH(H$1,'UPD Questions_290926 '!$E$1:$N$1,0),0))</f>
        <v>5</v>
      </c>
      <c r="I17" s="78" t="str">
        <f aca="true">IF($H17=0,"NA",IF($A17=INDIRECT("'"&amp;$A17&amp;"'!$B$1"),IF(VLOOKUP(I$1,INDIRECT("'"&amp;$A17&amp;"'!$A$12:$Z$41"),MATCH("Points (Auto-generate)",INDIRECT("'"&amp;$A17&amp;"'!$A$12:$Z$12"),0),0)="","?",VLOOKUP(I$1,INDIRECT("'"&amp;$A17&amp;"'!$A$12:$Z$41"),MATCH("Points (Auto-generate)",INDIRECT("'"&amp;$A17&amp;"'!$A$12:$Z$12"),0),0)),"ER"))</f>
        <v>?</v>
      </c>
      <c r="J17" s="78" t="str">
        <f aca="true">IF($H17=0,"NA",IF($A17=INDIRECT("'"&amp;$A17&amp;"'!$B$1"),IF(VLOOKUP(J$1,INDIRECT("'"&amp;$A17&amp;"'!$A$12:$Z$41"),MATCH("Points (Auto-generate)",INDIRECT("'"&amp;$A17&amp;"'!$A$12:$Z$12"),0),0)="","?",VLOOKUP(J$1,INDIRECT("'"&amp;$A17&amp;"'!$A$12:$Z$41"),MATCH("Points (Auto-generate)",INDIRECT("'"&amp;$A17&amp;"'!$A$12:$Z$12"),0),0)),"ER"))</f>
        <v>?</v>
      </c>
      <c r="K17" s="78" t="str">
        <f aca="true">IF($H17=0,"NA",IF($A17=INDIRECT("'"&amp;$A17&amp;"'!$B$1"),IF(VLOOKUP(K$1,INDIRECT("'"&amp;$A17&amp;"'!$A$12:$Z$41"),MATCH("Points (Auto-generate)",INDIRECT("'"&amp;$A17&amp;"'!$A$12:$Z$12"),0),0)="","?",VLOOKUP(K$1,INDIRECT("'"&amp;$A17&amp;"'!$A$12:$Z$41"),MATCH("Points (Auto-generate)",INDIRECT("'"&amp;$A17&amp;"'!$A$12:$Z$12"),0),0)),"ER"))</f>
        <v>?</v>
      </c>
      <c r="L17" s="78" t="str">
        <f aca="true">IF($H17=0,"NA",IF($A17=INDIRECT("'"&amp;$A17&amp;"'!$B$1"),IF(VLOOKUP(L$1,INDIRECT("'"&amp;$A17&amp;"'!$A$12:$Z$41"),MATCH("Points (Auto-generate)",INDIRECT("'"&amp;$A17&amp;"'!$A$12:$Z$12"),0),0)="","?",VLOOKUP(L$1,INDIRECT("'"&amp;$A17&amp;"'!$A$12:$Z$41"),MATCH("Points (Auto-generate)",INDIRECT("'"&amp;$A17&amp;"'!$A$12:$Z$12"),0),0)),"ER"))</f>
        <v>?</v>
      </c>
      <c r="M17" s="78" t="str">
        <f aca="true">IF($H17=0,"NA",IF($A17=INDIRECT("'"&amp;$A17&amp;"'!$B$1"),IF(VLOOKUP(M$1,INDIRECT("'"&amp;$A17&amp;"'!$A$12:$Z$41"),MATCH("Points (Auto-generate)",INDIRECT("'"&amp;$A17&amp;"'!$A$12:$Z$12"),0),0)="","?",VLOOKUP(M$1,INDIRECT("'"&amp;$A17&amp;"'!$A$12:$Z$41"),MATCH("Points (Auto-generate)",INDIRECT("'"&amp;$A17&amp;"'!$A$12:$Z$12"),0),0)),"ER"))</f>
        <v>?</v>
      </c>
      <c r="N17" s="78" t="str">
        <f aca="true">IF($H17=0,"NA",IF($A17=INDIRECT("'"&amp;$A17&amp;"'!$B$1"),IF(VLOOKUP(N$1,INDIRECT("'"&amp;$A17&amp;"'!$A$12:$Z$41"),MATCH("Points (Auto-generate)",INDIRECT("'"&amp;$A17&amp;"'!$A$12:$Z$12"),0),0)="","?",VLOOKUP(N$1,INDIRECT("'"&amp;$A17&amp;"'!$A$12:$Z$41"),MATCH("Points (Auto-generate)",INDIRECT("'"&amp;$A17&amp;"'!$A$12:$Z$12"),0),0)),"ER"))</f>
        <v>?</v>
      </c>
      <c r="O17" s="78" t="str">
        <f aca="true">IF($H17=0,"NA",IF($A17=INDIRECT("'"&amp;$A17&amp;"'!$B$1"),IF(VLOOKUP(O$1,INDIRECT("'"&amp;$A17&amp;"'!$A$12:$Z$41"),MATCH("Points (Auto-generate)",INDIRECT("'"&amp;$A17&amp;"'!$A$12:$Z$12"),0),0)="","?",VLOOKUP(O$1,INDIRECT("'"&amp;$A17&amp;"'!$A$12:$Z$41"),MATCH("Points (Auto-generate)",INDIRECT("'"&amp;$A17&amp;"'!$A$12:$Z$12"),0),0)),"ER"))</f>
        <v>?</v>
      </c>
      <c r="P17" s="78" t="str">
        <f aca="true">IF($H17=0,"NA",IF($A17=INDIRECT("'"&amp;$A17&amp;"'!$B$1"),IF(VLOOKUP(P$1,INDIRECT("'"&amp;$A17&amp;"'!$A$12:$Z$41"),MATCH("Points (Auto-generate)",INDIRECT("'"&amp;$A17&amp;"'!$A$12:$Z$12"),0),0)="","?",VLOOKUP(P$1,INDIRECT("'"&amp;$A17&amp;"'!$A$12:$Z$41"),MATCH("Points (Auto-generate)",INDIRECT("'"&amp;$A17&amp;"'!$A$12:$Z$12"),0),0)),"ER"))</f>
        <v>?</v>
      </c>
      <c r="Q17" s="78" t="str">
        <f aca="true">IF($H17=0,"NA",IF($A17=INDIRECT("'"&amp;$A17&amp;"'!$B$1"),IF(VLOOKUP(Q$1,INDIRECT("'"&amp;$A17&amp;"'!$A$12:$Z$41"),MATCH("Points (Auto-generate)",INDIRECT("'"&amp;$A17&amp;"'!$A$12:$Z$12"),0),0)="","?",VLOOKUP(Q$1,INDIRECT("'"&amp;$A17&amp;"'!$A$12:$Z$41"),MATCH("Points (Auto-generate)",INDIRECT("'"&amp;$A17&amp;"'!$A$12:$Z$12"),0),0)),"ER"))</f>
        <v>?</v>
      </c>
      <c r="R17" s="78" t="str">
        <f aca="true">IF($H17=0,"NA",IF($A17=INDIRECT("'"&amp;$A17&amp;"'!$B$1"),IF(VLOOKUP(R$1,INDIRECT("'"&amp;$A17&amp;"'!$A$12:$Z$41"),MATCH("Points (Auto-generate)",INDIRECT("'"&amp;$A17&amp;"'!$A$12:$Z$12"),0),0)="","?",VLOOKUP(R$1,INDIRECT("'"&amp;$A17&amp;"'!$A$12:$Z$41"),MATCH("Points (Auto-generate)",INDIRECT("'"&amp;$A17&amp;"'!$A$12:$Z$12"),0),0)),"ER"))</f>
        <v>?</v>
      </c>
      <c r="S17" s="78" t="str">
        <f aca="true">IF($H17=0,"NA",IF($A17=INDIRECT("'"&amp;$A17&amp;"'!$B$1"),IF(VLOOKUP(S$1,INDIRECT("'"&amp;$A17&amp;"'!$A$12:$Z$41"),MATCH("Points (Auto-generate)",INDIRECT("'"&amp;$A17&amp;"'!$A$12:$Z$12"),0),0)="","?",VLOOKUP(S$1,INDIRECT("'"&amp;$A17&amp;"'!$A$12:$Z$41"),MATCH("Points (Auto-generate)",INDIRECT("'"&amp;$A17&amp;"'!$A$12:$Z$12"),0),0)),"ER"))</f>
        <v>?</v>
      </c>
      <c r="T17" s="78" t="str">
        <f aca="true">IF($H17=0,"NA",IF($A17=INDIRECT("'"&amp;$A17&amp;"'!$B$1"),IF(VLOOKUP(T$1,INDIRECT("'"&amp;$A17&amp;"'!$A$12:$Z$41"),MATCH("Points (Auto-generate)",INDIRECT("'"&amp;$A17&amp;"'!$A$12:$Z$12"),0),0)="","?",VLOOKUP(T$1,INDIRECT("'"&amp;$A17&amp;"'!$A$12:$Z$41"),MATCH("Points (Auto-generate)",INDIRECT("'"&amp;$A17&amp;"'!$A$12:$Z$12"),0),0)),"ER"))</f>
        <v>?</v>
      </c>
      <c r="U17" s="78" t="str">
        <f aca="true">IF($H17=0,"NA",IF($A17=INDIRECT("'"&amp;$A17&amp;"'!$B$1"),IF(VLOOKUP(U$1,INDIRECT("'"&amp;$A17&amp;"'!$A$12:$Z$41"),MATCH("Points (Auto-generate)",INDIRECT("'"&amp;$A17&amp;"'!$A$12:$Z$12"),0),0)="","?",VLOOKUP(U$1,INDIRECT("'"&amp;$A17&amp;"'!$A$12:$Z$41"),MATCH("Points (Auto-generate)",INDIRECT("'"&amp;$A17&amp;"'!$A$12:$Z$12"),0),0)),"ER"))</f>
        <v>?</v>
      </c>
      <c r="V17" s="78" t="str">
        <f aca="true">IF($H17=0,"NA",IF($A17=INDIRECT("'"&amp;$A17&amp;"'!$B$1"),IF(VLOOKUP(V$1,INDIRECT("'"&amp;$A17&amp;"'!$A$12:$Z$41"),MATCH("Points (Auto-generate)",INDIRECT("'"&amp;$A17&amp;"'!$A$12:$Z$12"),0),0)="","?",VLOOKUP(V$1,INDIRECT("'"&amp;$A17&amp;"'!$A$12:$Z$41"),MATCH("Points (Auto-generate)",INDIRECT("'"&amp;$A17&amp;"'!$A$12:$Z$12"),0),0)),"ER"))</f>
        <v>?</v>
      </c>
      <c r="W17" s="78" t="str">
        <f aca="true">IF($H17=0,"NA",IF($A17=INDIRECT("'"&amp;$A17&amp;"'!$B$1"),IF(VLOOKUP(W$1,INDIRECT("'"&amp;$A17&amp;"'!$A$12:$Z$41"),MATCH("Points (Auto-generate)",INDIRECT("'"&amp;$A17&amp;"'!$A$12:$Z$12"),0),0)="","?",VLOOKUP(W$1,INDIRECT("'"&amp;$A17&amp;"'!$A$12:$Z$41"),MATCH("Points (Auto-generate)",INDIRECT("'"&amp;$A17&amp;"'!$A$12:$Z$12"),0),0)),"ER"))</f>
        <v>?</v>
      </c>
      <c r="X17" s="78" t="str">
        <f aca="true">IF($H17=0,"NA",IF($A17=INDIRECT("'"&amp;$A17&amp;"'!$B$1"),IF(VLOOKUP(X$1,INDIRECT("'"&amp;$A17&amp;"'!$A$12:$Z$41"),MATCH("Points (Auto-generate)",INDIRECT("'"&amp;$A17&amp;"'!$A$12:$Z$12"),0),0)="","?",VLOOKUP(X$1,INDIRECT("'"&amp;$A17&amp;"'!$A$12:$Z$41"),MATCH("Points (Auto-generate)",INDIRECT("'"&amp;$A17&amp;"'!$A$12:$Z$12"),0),0)),"ER"))</f>
        <v>?</v>
      </c>
      <c r="Y17" s="78" t="str">
        <f aca="true">IF($H17=0,"NA",IF($A17=INDIRECT("'"&amp;$A17&amp;"'!$B$1"),IF(VLOOKUP(Y$1,INDIRECT("'"&amp;$A17&amp;"'!$A$12:$Z$41"),MATCH("Points (Auto-generate)",INDIRECT("'"&amp;$A17&amp;"'!$A$12:$Z$12"),0),0)="","?",VLOOKUP(Y$1,INDIRECT("'"&amp;$A17&amp;"'!$A$12:$Z$41"),MATCH("Points (Auto-generate)",INDIRECT("'"&amp;$A17&amp;"'!$A$12:$Z$12"),0),0)),"ER"))</f>
        <v>?</v>
      </c>
      <c r="Z17" s="78" t="str">
        <f aca="true">IF($H17=0,"NA",IF($A17=INDIRECT("'"&amp;$A17&amp;"'!$B$1"),IF(VLOOKUP(Z$1,INDIRECT("'"&amp;$A17&amp;"'!$A$12:$Z$41"),MATCH("Points (Auto-generate)",INDIRECT("'"&amp;$A17&amp;"'!$A$12:$Z$12"),0),0)="","?",VLOOKUP(Z$1,INDIRECT("'"&amp;$A17&amp;"'!$A$12:$Z$41"),MATCH("Points (Auto-generate)",INDIRECT("'"&amp;$A17&amp;"'!$A$12:$Z$12"),0),0)),"ER"))</f>
        <v>?</v>
      </c>
      <c r="AA17" s="78" t="str">
        <f aca="true">IF($H17=0,"NA",IF($A17=INDIRECT("'"&amp;$A17&amp;"'!$B$1"),IF(VLOOKUP(AA$1,INDIRECT("'"&amp;$A17&amp;"'!$A$12:$Z$41"),MATCH("Points (Auto-generate)",INDIRECT("'"&amp;$A17&amp;"'!$A$12:$Z$12"),0),0)="","?",VLOOKUP(AA$1,INDIRECT("'"&amp;$A17&amp;"'!$A$12:$Z$41"),MATCH("Points (Auto-generate)",INDIRECT("'"&amp;$A17&amp;"'!$A$12:$Z$12"),0),0)),"ER"))</f>
        <v>?</v>
      </c>
      <c r="AB17" s="78" t="str">
        <f aca="true">IF($H17=0,"NA",IF($A17=INDIRECT("'"&amp;$A17&amp;"'!$B$1"),IF(VLOOKUP(AB$1,INDIRECT("'"&amp;$A17&amp;"'!$A$12:$Z$41"),MATCH("Points (Auto-generate)",INDIRECT("'"&amp;$A17&amp;"'!$A$12:$Z$12"),0),0)="","?",VLOOKUP(AB$1,INDIRECT("'"&amp;$A17&amp;"'!$A$12:$Z$41"),MATCH("Points (Auto-generate)",INDIRECT("'"&amp;$A17&amp;"'!$A$12:$Z$12"),0),0)),"ER"))</f>
        <v>?</v>
      </c>
      <c r="AC17" s="78" t="str">
        <f aca="true">IF($H17=0,"NA",IF($A17=INDIRECT("'"&amp;$A17&amp;"'!$B$1"),IF(VLOOKUP(AC$1,INDIRECT("'"&amp;$A17&amp;"'!$A$12:$Z$41"),MATCH("Points (Auto-generate)",INDIRECT("'"&amp;$A17&amp;"'!$A$12:$Z$12"),0),0)="","?",VLOOKUP(AC$1,INDIRECT("'"&amp;$A17&amp;"'!$A$12:$Z$41"),MATCH("Points (Auto-generate)",INDIRECT("'"&amp;$A17&amp;"'!$A$12:$Z$12"),0),0)),"ER"))</f>
        <v>?</v>
      </c>
      <c r="AD17" s="78" t="str">
        <f aca="true">IF($H17=0,"NA",IF($A17=INDIRECT("'"&amp;$A17&amp;"'!$B$1"),IF(VLOOKUP(AD$1,INDIRECT("'"&amp;$A17&amp;"'!$A$12:$Z$41"),MATCH("Points (Auto-generate)",INDIRECT("'"&amp;$A17&amp;"'!$A$12:$Z$12"),0),0)="","?",VLOOKUP(AD$1,INDIRECT("'"&amp;$A17&amp;"'!$A$12:$Z$41"),MATCH("Points (Auto-generate)",INDIRECT("'"&amp;$A17&amp;"'!$A$12:$Z$12"),0),0)),"ER"))</f>
        <v>?</v>
      </c>
      <c r="AE17" s="78" t="str">
        <f aca="true">IF($H17=0,"NA",IF($A17=INDIRECT("'"&amp;$A17&amp;"'!$B$1"),IF(VLOOKUP(AE$1,INDIRECT("'"&amp;$A17&amp;"'!$A$12:$Z$41"),MATCH("Points (Auto-generate)",INDIRECT("'"&amp;$A17&amp;"'!$A$12:$Z$12"),0),0)="","?",VLOOKUP(AE$1,INDIRECT("'"&amp;$A17&amp;"'!$A$12:$Z$41"),MATCH("Points (Auto-generate)",INDIRECT("'"&amp;$A17&amp;"'!$A$12:$Z$12"),0),0)),"ER"))</f>
        <v>?</v>
      </c>
      <c r="AF17" s="78" t="str">
        <f aca="true">IF($H17=0,"NA",IF($A17=INDIRECT("'"&amp;$A17&amp;"'!$B$1"),IF(VLOOKUP(AF$1,INDIRECT("'"&amp;$A17&amp;"'!$A$12:$Z$41"),MATCH("Points (Auto-generate)",INDIRECT("'"&amp;$A17&amp;"'!$A$12:$Z$12"),0),0)="","?",VLOOKUP(AF$1,INDIRECT("'"&amp;$A17&amp;"'!$A$12:$Z$41"),MATCH("Points (Auto-generate)",INDIRECT("'"&amp;$A17&amp;"'!$A$12:$Z$12"),0),0)),"ER"))</f>
        <v>?</v>
      </c>
      <c r="AG17" s="78" t="str">
        <f aca="true">IF($H17=0,"NA",IF($A17=INDIRECT("'"&amp;$A17&amp;"'!$B$1"),IF(VLOOKUP(AG$1,INDIRECT("'"&amp;$A17&amp;"'!$A$12:$Z$41"),MATCH("Points (Auto-generate)",INDIRECT("'"&amp;$A17&amp;"'!$A$12:$Z$12"),0),0)="","?",VLOOKUP(AG$1,INDIRECT("'"&amp;$A17&amp;"'!$A$12:$Z$41"),MATCH("Points (Auto-generate)",INDIRECT("'"&amp;$A17&amp;"'!$A$12:$Z$12"),0),0)),"ER"))</f>
        <v>?</v>
      </c>
      <c r="AH17" s="78" t="str">
        <f aca="true">IF($H17=0,"NA",IF($A17=INDIRECT("'"&amp;$A17&amp;"'!$B$1"),IF(VLOOKUP(AH$1,INDIRECT("'"&amp;$A17&amp;"'!$A$12:$Z$41"),MATCH("Points (Auto-generate)",INDIRECT("'"&amp;$A17&amp;"'!$A$12:$Z$12"),0),0)="","?",VLOOKUP(AH$1,INDIRECT("'"&amp;$A17&amp;"'!$A$12:$Z$41"),MATCH("Points (Auto-generate)",INDIRECT("'"&amp;$A17&amp;"'!$A$12:$Z$12"),0),0)),"ER"))</f>
        <v>?</v>
      </c>
      <c r="AI17" s="78" t="str">
        <f aca="true">IF($H17=0,"NA",IF($A17=INDIRECT("'"&amp;$A17&amp;"'!$B$1"),IF(VLOOKUP(AI$1,INDIRECT("'"&amp;$A17&amp;"'!$A$12:$Z$41"),MATCH("Points (Auto-generate)",INDIRECT("'"&amp;$A17&amp;"'!$A$12:$Z$12"),0),0)="","?",VLOOKUP(AI$1,INDIRECT("'"&amp;$A17&amp;"'!$A$12:$Z$41"),MATCH("Points (Auto-generate)",INDIRECT("'"&amp;$A17&amp;"'!$A$12:$Z$12"),0),0)),"ER"))</f>
        <v>?</v>
      </c>
      <c r="AJ17" s="78" t="str">
        <f aca="true">IF($H17=0,"NA",IF($A17=INDIRECT("'"&amp;$A17&amp;"'!$B$1"),IF(VLOOKUP(AJ$1,INDIRECT("'"&amp;$A17&amp;"'!$A$12:$Z$41"),MATCH("Points (Auto-generate)",INDIRECT("'"&amp;$A17&amp;"'!$A$12:$Z$12"),0),0)="","?",VLOOKUP(AJ$1,INDIRECT("'"&amp;$A17&amp;"'!$A$12:$Z$41"),MATCH("Points (Auto-generate)",INDIRECT("'"&amp;$A17&amp;"'!$A$12:$Z$12"),0),0)),"ER"))</f>
        <v>?</v>
      </c>
      <c r="AK17" s="78" t="str">
        <f aca="true">IF($H17=0,"NA",IF($A17=INDIRECT("'"&amp;$A17&amp;"'!$B$1"),IF(VLOOKUP(AK$1,INDIRECT("'"&amp;$A17&amp;"'!$A$12:$Z$41"),MATCH("Points (Auto-generate)",INDIRECT("'"&amp;$A17&amp;"'!$A$12:$Z$12"),0),0)="","?",VLOOKUP(AK$1,INDIRECT("'"&amp;$A17&amp;"'!$A$12:$Z$41"),MATCH("Points (Auto-generate)",INDIRECT("'"&amp;$A17&amp;"'!$A$12:$Z$12"),0),0)),"ER"))</f>
        <v>?</v>
      </c>
    </row>
    <row r="18" customFormat="false" ht="25.5" hidden="false" customHeight="true" outlineLevel="0" collapsed="false">
      <c r="A18" s="74" t="s">
        <v>100</v>
      </c>
      <c r="B18" s="75" t="str">
        <f aca="false">IF(ISBLANK($A18),"NO_CODE",VLOOKUP($A18,'UPD Questions_290926 '!$E$1:$N$300,MATCH(B$1,'UPD Questions_290926 '!$E$1:$N$1,0),0)&amp;"")</f>
        <v>Planning </v>
      </c>
      <c r="C18" s="76" t="str">
        <f aca="false">IF(ISBLANK($A18),"NO_CODE",VLOOKUP($A18,'UPD Questions_290926 '!$E$1:$N$300,MATCH(C$1,'UPD Questions_290926 '!$E$1:$N$1,0),0)&amp;"")</f>
        <v>Legal and institutional planning architecture</v>
      </c>
      <c r="D18" s="75" t="str">
        <f aca="false">IF(ISBLANK($A18),"NO_CODE",VLOOKUP($A18,'UPD Questions_290926 '!$E$1:$N$300,MATCH(D$1,'UPD Questions_290926 '!$E$1:$N$1,0),0)&amp;"")</f>
        <v>Metropolitan and district planning institutions</v>
      </c>
      <c r="E18" s="75" t="str">
        <f aca="false">IF(ISBLANK($A18),"NO_CODE",VLOOKUP($A18,'UPD Questions_290926 '!$E$1:$N$300,MATCH(E$1,'UPD Questions_290926 '!$E$1:$N$1,0),0)&amp;"")</f>
        <v>MQ</v>
      </c>
      <c r="F18" s="75" t="str">
        <f aca="false">IF(ISBLANK($A18),"NO_CODE",VLOOKUP($A18,'UPD Questions_290926 '!$E$1:$N$300,MATCH(F$1,'UPD Questions_290926 '!$E$1:$N$1,0),0)&amp;"")</f>
        <v>Does the city (million-plus) have a Metropolitan Authority?</v>
      </c>
      <c r="G18" s="75" t="str">
        <f aca="false">IF(ISBLANK($A18),"NO_CODE",VLOOKUP($A18,'UPD Questions_290926 '!$E$1:$N$300,MATCH(G$1,'UPD Questions_290926 '!$E$1:$N$1,0),0)&amp;"")</f>
        <v>Law or Policy </v>
      </c>
      <c r="H18" s="77" t="n">
        <f aca="false">IF(ISBLANK($A18),"NO_CODE",VLOOKUP($A18,'UPD Questions_290926 '!$E$1:$N$300,MATCH(H$1,'UPD Questions_290926 '!$E$1:$N$1,0),0))</f>
        <v>10</v>
      </c>
      <c r="I18" s="78" t="str">
        <f aca="true">IF($H18=0,"NA",IF($A18=INDIRECT("'"&amp;$A18&amp;"'!$B$1"),IF(VLOOKUP(I$1,INDIRECT("'"&amp;$A18&amp;"'!$A$12:$Z$41"),MATCH("Points (Auto-generate)",INDIRECT("'"&amp;$A18&amp;"'!$A$12:$Z$12"),0),0)="","?",VLOOKUP(I$1,INDIRECT("'"&amp;$A18&amp;"'!$A$12:$Z$41"),MATCH("Points (Auto-generate)",INDIRECT("'"&amp;$A18&amp;"'!$A$12:$Z$12"),0),0)),"ER"))</f>
        <v>?</v>
      </c>
      <c r="J18" s="78" t="str">
        <f aca="true">IF($H18=0,"NA",IF($A18=INDIRECT("'"&amp;$A18&amp;"'!$B$1"),IF(VLOOKUP(J$1,INDIRECT("'"&amp;$A18&amp;"'!$A$12:$Z$41"),MATCH("Points (Auto-generate)",INDIRECT("'"&amp;$A18&amp;"'!$A$12:$Z$12"),0),0)="","?",VLOOKUP(J$1,INDIRECT("'"&amp;$A18&amp;"'!$A$12:$Z$41"),MATCH("Points (Auto-generate)",INDIRECT("'"&amp;$A18&amp;"'!$A$12:$Z$12"),0),0)),"ER"))</f>
        <v>?</v>
      </c>
      <c r="K18" s="78" t="str">
        <f aca="true">IF($H18=0,"NA",IF($A18=INDIRECT("'"&amp;$A18&amp;"'!$B$1"),IF(VLOOKUP(K$1,INDIRECT("'"&amp;$A18&amp;"'!$A$12:$Z$41"),MATCH("Points (Auto-generate)",INDIRECT("'"&amp;$A18&amp;"'!$A$12:$Z$12"),0),0)="","?",VLOOKUP(K$1,INDIRECT("'"&amp;$A18&amp;"'!$A$12:$Z$41"),MATCH("Points (Auto-generate)",INDIRECT("'"&amp;$A18&amp;"'!$A$12:$Z$12"),0),0)),"ER"))</f>
        <v>?</v>
      </c>
      <c r="L18" s="78" t="str">
        <f aca="true">IF($H18=0,"NA",IF($A18=INDIRECT("'"&amp;$A18&amp;"'!$B$1"),IF(VLOOKUP(L$1,INDIRECT("'"&amp;$A18&amp;"'!$A$12:$Z$41"),MATCH("Points (Auto-generate)",INDIRECT("'"&amp;$A18&amp;"'!$A$12:$Z$12"),0),0)="","?",VLOOKUP(L$1,INDIRECT("'"&amp;$A18&amp;"'!$A$12:$Z$41"),MATCH("Points (Auto-generate)",INDIRECT("'"&amp;$A18&amp;"'!$A$12:$Z$12"),0),0)),"ER"))</f>
        <v>?</v>
      </c>
      <c r="M18" s="78" t="str">
        <f aca="true">IF($H18=0,"NA",IF($A18=INDIRECT("'"&amp;$A18&amp;"'!$B$1"),IF(VLOOKUP(M$1,INDIRECT("'"&amp;$A18&amp;"'!$A$12:$Z$41"),MATCH("Points (Auto-generate)",INDIRECT("'"&amp;$A18&amp;"'!$A$12:$Z$12"),0),0)="","?",VLOOKUP(M$1,INDIRECT("'"&amp;$A18&amp;"'!$A$12:$Z$41"),MATCH("Points (Auto-generate)",INDIRECT("'"&amp;$A18&amp;"'!$A$12:$Z$12"),0),0)),"ER"))</f>
        <v>?</v>
      </c>
      <c r="N18" s="78" t="str">
        <f aca="true">IF($H18=0,"NA",IF($A18=INDIRECT("'"&amp;$A18&amp;"'!$B$1"),IF(VLOOKUP(N$1,INDIRECT("'"&amp;$A18&amp;"'!$A$12:$Z$41"),MATCH("Points (Auto-generate)",INDIRECT("'"&amp;$A18&amp;"'!$A$12:$Z$12"),0),0)="","?",VLOOKUP(N$1,INDIRECT("'"&amp;$A18&amp;"'!$A$12:$Z$41"),MATCH("Points (Auto-generate)",INDIRECT("'"&amp;$A18&amp;"'!$A$12:$Z$12"),0),0)),"ER"))</f>
        <v>?</v>
      </c>
      <c r="O18" s="78" t="str">
        <f aca="true">IF($H18=0,"NA",IF($A18=INDIRECT("'"&amp;$A18&amp;"'!$B$1"),IF(VLOOKUP(O$1,INDIRECT("'"&amp;$A18&amp;"'!$A$12:$Z$41"),MATCH("Points (Auto-generate)",INDIRECT("'"&amp;$A18&amp;"'!$A$12:$Z$12"),0),0)="","?",VLOOKUP(O$1,INDIRECT("'"&amp;$A18&amp;"'!$A$12:$Z$41"),MATCH("Points (Auto-generate)",INDIRECT("'"&amp;$A18&amp;"'!$A$12:$Z$12"),0),0)),"ER"))</f>
        <v>?</v>
      </c>
      <c r="P18" s="78" t="str">
        <f aca="true">IF($H18=0,"NA",IF($A18=INDIRECT("'"&amp;$A18&amp;"'!$B$1"),IF(VLOOKUP(P$1,INDIRECT("'"&amp;$A18&amp;"'!$A$12:$Z$41"),MATCH("Points (Auto-generate)",INDIRECT("'"&amp;$A18&amp;"'!$A$12:$Z$12"),0),0)="","?",VLOOKUP(P$1,INDIRECT("'"&amp;$A18&amp;"'!$A$12:$Z$41"),MATCH("Points (Auto-generate)",INDIRECT("'"&amp;$A18&amp;"'!$A$12:$Z$12"),0),0)),"ER"))</f>
        <v>?</v>
      </c>
      <c r="Q18" s="78" t="str">
        <f aca="true">IF($H18=0,"NA",IF($A18=INDIRECT("'"&amp;$A18&amp;"'!$B$1"),IF(VLOOKUP(Q$1,INDIRECT("'"&amp;$A18&amp;"'!$A$12:$Z$41"),MATCH("Points (Auto-generate)",INDIRECT("'"&amp;$A18&amp;"'!$A$12:$Z$12"),0),0)="","?",VLOOKUP(Q$1,INDIRECT("'"&amp;$A18&amp;"'!$A$12:$Z$41"),MATCH("Points (Auto-generate)",INDIRECT("'"&amp;$A18&amp;"'!$A$12:$Z$12"),0),0)),"ER"))</f>
        <v>?</v>
      </c>
      <c r="R18" s="78" t="str">
        <f aca="true">IF($H18=0,"NA",IF($A18=INDIRECT("'"&amp;$A18&amp;"'!$B$1"),IF(VLOOKUP(R$1,INDIRECT("'"&amp;$A18&amp;"'!$A$12:$Z$41"),MATCH("Points (Auto-generate)",INDIRECT("'"&amp;$A18&amp;"'!$A$12:$Z$12"),0),0)="","?",VLOOKUP(R$1,INDIRECT("'"&amp;$A18&amp;"'!$A$12:$Z$41"),MATCH("Points (Auto-generate)",INDIRECT("'"&amp;$A18&amp;"'!$A$12:$Z$12"),0),0)),"ER"))</f>
        <v>?</v>
      </c>
      <c r="S18" s="78" t="str">
        <f aca="true">IF($H18=0,"NA",IF($A18=INDIRECT("'"&amp;$A18&amp;"'!$B$1"),IF(VLOOKUP(S$1,INDIRECT("'"&amp;$A18&amp;"'!$A$12:$Z$41"),MATCH("Points (Auto-generate)",INDIRECT("'"&amp;$A18&amp;"'!$A$12:$Z$12"),0),0)="","?",VLOOKUP(S$1,INDIRECT("'"&amp;$A18&amp;"'!$A$12:$Z$41"),MATCH("Points (Auto-generate)",INDIRECT("'"&amp;$A18&amp;"'!$A$12:$Z$12"),0),0)),"ER"))</f>
        <v>?</v>
      </c>
      <c r="T18" s="78" t="str">
        <f aca="true">IF($H18=0,"NA",IF($A18=INDIRECT("'"&amp;$A18&amp;"'!$B$1"),IF(VLOOKUP(T$1,INDIRECT("'"&amp;$A18&amp;"'!$A$12:$Z$41"),MATCH("Points (Auto-generate)",INDIRECT("'"&amp;$A18&amp;"'!$A$12:$Z$12"),0),0)="","?",VLOOKUP(T$1,INDIRECT("'"&amp;$A18&amp;"'!$A$12:$Z$41"),MATCH("Points (Auto-generate)",INDIRECT("'"&amp;$A18&amp;"'!$A$12:$Z$12"),0),0)),"ER"))</f>
        <v>?</v>
      </c>
      <c r="U18" s="78" t="str">
        <f aca="true">IF($H18=0,"NA",IF($A18=INDIRECT("'"&amp;$A18&amp;"'!$B$1"),IF(VLOOKUP(U$1,INDIRECT("'"&amp;$A18&amp;"'!$A$12:$Z$41"),MATCH("Points (Auto-generate)",INDIRECT("'"&amp;$A18&amp;"'!$A$12:$Z$12"),0),0)="","?",VLOOKUP(U$1,INDIRECT("'"&amp;$A18&amp;"'!$A$12:$Z$41"),MATCH("Points (Auto-generate)",INDIRECT("'"&amp;$A18&amp;"'!$A$12:$Z$12"),0),0)),"ER"))</f>
        <v>?</v>
      </c>
      <c r="V18" s="78" t="str">
        <f aca="true">IF($H18=0,"NA",IF($A18=INDIRECT("'"&amp;$A18&amp;"'!$B$1"),IF(VLOOKUP(V$1,INDIRECT("'"&amp;$A18&amp;"'!$A$12:$Z$41"),MATCH("Points (Auto-generate)",INDIRECT("'"&amp;$A18&amp;"'!$A$12:$Z$12"),0),0)="","?",VLOOKUP(V$1,INDIRECT("'"&amp;$A18&amp;"'!$A$12:$Z$41"),MATCH("Points (Auto-generate)",INDIRECT("'"&amp;$A18&amp;"'!$A$12:$Z$12"),0),0)),"ER"))</f>
        <v>?</v>
      </c>
      <c r="W18" s="78" t="str">
        <f aca="true">IF($H18=0,"NA",IF($A18=INDIRECT("'"&amp;$A18&amp;"'!$B$1"),IF(VLOOKUP(W$1,INDIRECT("'"&amp;$A18&amp;"'!$A$12:$Z$41"),MATCH("Points (Auto-generate)",INDIRECT("'"&amp;$A18&amp;"'!$A$12:$Z$12"),0),0)="","?",VLOOKUP(W$1,INDIRECT("'"&amp;$A18&amp;"'!$A$12:$Z$41"),MATCH("Points (Auto-generate)",INDIRECT("'"&amp;$A18&amp;"'!$A$12:$Z$12"),0),0)),"ER"))</f>
        <v>?</v>
      </c>
      <c r="X18" s="78" t="str">
        <f aca="true">IF($H18=0,"NA",IF($A18=INDIRECT("'"&amp;$A18&amp;"'!$B$1"),IF(VLOOKUP(X$1,INDIRECT("'"&amp;$A18&amp;"'!$A$12:$Z$41"),MATCH("Points (Auto-generate)",INDIRECT("'"&amp;$A18&amp;"'!$A$12:$Z$12"),0),0)="","?",VLOOKUP(X$1,INDIRECT("'"&amp;$A18&amp;"'!$A$12:$Z$41"),MATCH("Points (Auto-generate)",INDIRECT("'"&amp;$A18&amp;"'!$A$12:$Z$12"),0),0)),"ER"))</f>
        <v>?</v>
      </c>
      <c r="Y18" s="78" t="str">
        <f aca="true">IF($H18=0,"NA",IF($A18=INDIRECT("'"&amp;$A18&amp;"'!$B$1"),IF(VLOOKUP(Y$1,INDIRECT("'"&amp;$A18&amp;"'!$A$12:$Z$41"),MATCH("Points (Auto-generate)",INDIRECT("'"&amp;$A18&amp;"'!$A$12:$Z$12"),0),0)="","?",VLOOKUP(Y$1,INDIRECT("'"&amp;$A18&amp;"'!$A$12:$Z$41"),MATCH("Points (Auto-generate)",INDIRECT("'"&amp;$A18&amp;"'!$A$12:$Z$12"),0),0)),"ER"))</f>
        <v>?</v>
      </c>
      <c r="Z18" s="78" t="str">
        <f aca="true">IF($H18=0,"NA",IF($A18=INDIRECT("'"&amp;$A18&amp;"'!$B$1"),IF(VLOOKUP(Z$1,INDIRECT("'"&amp;$A18&amp;"'!$A$12:$Z$41"),MATCH("Points (Auto-generate)",INDIRECT("'"&amp;$A18&amp;"'!$A$12:$Z$12"),0),0)="","?",VLOOKUP(Z$1,INDIRECT("'"&amp;$A18&amp;"'!$A$12:$Z$41"),MATCH("Points (Auto-generate)",INDIRECT("'"&amp;$A18&amp;"'!$A$12:$Z$12"),0),0)),"ER"))</f>
        <v>?</v>
      </c>
      <c r="AA18" s="78" t="str">
        <f aca="true">IF($H18=0,"NA",IF($A18=INDIRECT("'"&amp;$A18&amp;"'!$B$1"),IF(VLOOKUP(AA$1,INDIRECT("'"&amp;$A18&amp;"'!$A$12:$Z$41"),MATCH("Points (Auto-generate)",INDIRECT("'"&amp;$A18&amp;"'!$A$12:$Z$12"),0),0)="","?",VLOOKUP(AA$1,INDIRECT("'"&amp;$A18&amp;"'!$A$12:$Z$41"),MATCH("Points (Auto-generate)",INDIRECT("'"&amp;$A18&amp;"'!$A$12:$Z$12"),0),0)),"ER"))</f>
        <v>?</v>
      </c>
      <c r="AB18" s="78" t="str">
        <f aca="true">IF($H18=0,"NA",IF($A18=INDIRECT("'"&amp;$A18&amp;"'!$B$1"),IF(VLOOKUP(AB$1,INDIRECT("'"&amp;$A18&amp;"'!$A$12:$Z$41"),MATCH("Points (Auto-generate)",INDIRECT("'"&amp;$A18&amp;"'!$A$12:$Z$12"),0),0)="","?",VLOOKUP(AB$1,INDIRECT("'"&amp;$A18&amp;"'!$A$12:$Z$41"),MATCH("Points (Auto-generate)",INDIRECT("'"&amp;$A18&amp;"'!$A$12:$Z$12"),0),0)),"ER"))</f>
        <v>?</v>
      </c>
      <c r="AC18" s="78" t="str">
        <f aca="true">IF($H18=0,"NA",IF($A18=INDIRECT("'"&amp;$A18&amp;"'!$B$1"),IF(VLOOKUP(AC$1,INDIRECT("'"&amp;$A18&amp;"'!$A$12:$Z$41"),MATCH("Points (Auto-generate)",INDIRECT("'"&amp;$A18&amp;"'!$A$12:$Z$12"),0),0)="","?",VLOOKUP(AC$1,INDIRECT("'"&amp;$A18&amp;"'!$A$12:$Z$41"),MATCH("Points (Auto-generate)",INDIRECT("'"&amp;$A18&amp;"'!$A$12:$Z$12"),0),0)),"ER"))</f>
        <v>?</v>
      </c>
      <c r="AD18" s="78" t="str">
        <f aca="true">IF($H18=0,"NA",IF($A18=INDIRECT("'"&amp;$A18&amp;"'!$B$1"),IF(VLOOKUP(AD$1,INDIRECT("'"&amp;$A18&amp;"'!$A$12:$Z$41"),MATCH("Points (Auto-generate)",INDIRECT("'"&amp;$A18&amp;"'!$A$12:$Z$12"),0),0)="","?",VLOOKUP(AD$1,INDIRECT("'"&amp;$A18&amp;"'!$A$12:$Z$41"),MATCH("Points (Auto-generate)",INDIRECT("'"&amp;$A18&amp;"'!$A$12:$Z$12"),0),0)),"ER"))</f>
        <v>?</v>
      </c>
      <c r="AE18" s="78" t="str">
        <f aca="true">IF($H18=0,"NA",IF($A18=INDIRECT("'"&amp;$A18&amp;"'!$B$1"),IF(VLOOKUP(AE$1,INDIRECT("'"&amp;$A18&amp;"'!$A$12:$Z$41"),MATCH("Points (Auto-generate)",INDIRECT("'"&amp;$A18&amp;"'!$A$12:$Z$12"),0),0)="","?",VLOOKUP(AE$1,INDIRECT("'"&amp;$A18&amp;"'!$A$12:$Z$41"),MATCH("Points (Auto-generate)",INDIRECT("'"&amp;$A18&amp;"'!$A$12:$Z$12"),0),0)),"ER"))</f>
        <v>?</v>
      </c>
      <c r="AF18" s="78" t="str">
        <f aca="true">IF($H18=0,"NA",IF($A18=INDIRECT("'"&amp;$A18&amp;"'!$B$1"),IF(VLOOKUP(AF$1,INDIRECT("'"&amp;$A18&amp;"'!$A$12:$Z$41"),MATCH("Points (Auto-generate)",INDIRECT("'"&amp;$A18&amp;"'!$A$12:$Z$12"),0),0)="","?",VLOOKUP(AF$1,INDIRECT("'"&amp;$A18&amp;"'!$A$12:$Z$41"),MATCH("Points (Auto-generate)",INDIRECT("'"&amp;$A18&amp;"'!$A$12:$Z$12"),0),0)),"ER"))</f>
        <v>?</v>
      </c>
      <c r="AG18" s="78" t="str">
        <f aca="true">IF($H18=0,"NA",IF($A18=INDIRECT("'"&amp;$A18&amp;"'!$B$1"),IF(VLOOKUP(AG$1,INDIRECT("'"&amp;$A18&amp;"'!$A$12:$Z$41"),MATCH("Points (Auto-generate)",INDIRECT("'"&amp;$A18&amp;"'!$A$12:$Z$12"),0),0)="","?",VLOOKUP(AG$1,INDIRECT("'"&amp;$A18&amp;"'!$A$12:$Z$41"),MATCH("Points (Auto-generate)",INDIRECT("'"&amp;$A18&amp;"'!$A$12:$Z$12"),0),0)),"ER"))</f>
        <v>?</v>
      </c>
      <c r="AH18" s="78" t="str">
        <f aca="true">IF($H18=0,"NA",IF($A18=INDIRECT("'"&amp;$A18&amp;"'!$B$1"),IF(VLOOKUP(AH$1,INDIRECT("'"&amp;$A18&amp;"'!$A$12:$Z$41"),MATCH("Points (Auto-generate)",INDIRECT("'"&amp;$A18&amp;"'!$A$12:$Z$12"),0),0)="","?",VLOOKUP(AH$1,INDIRECT("'"&amp;$A18&amp;"'!$A$12:$Z$41"),MATCH("Points (Auto-generate)",INDIRECT("'"&amp;$A18&amp;"'!$A$12:$Z$12"),0),0)),"ER"))</f>
        <v>?</v>
      </c>
      <c r="AI18" s="78" t="str">
        <f aca="true">IF($H18=0,"NA",IF($A18=INDIRECT("'"&amp;$A18&amp;"'!$B$1"),IF(VLOOKUP(AI$1,INDIRECT("'"&amp;$A18&amp;"'!$A$12:$Z$41"),MATCH("Points (Auto-generate)",INDIRECT("'"&amp;$A18&amp;"'!$A$12:$Z$12"),0),0)="","?",VLOOKUP(AI$1,INDIRECT("'"&amp;$A18&amp;"'!$A$12:$Z$41"),MATCH("Points (Auto-generate)",INDIRECT("'"&amp;$A18&amp;"'!$A$12:$Z$12"),0),0)),"ER"))</f>
        <v>?</v>
      </c>
      <c r="AJ18" s="78" t="str">
        <f aca="true">IF($H18=0,"NA",IF($A18=INDIRECT("'"&amp;$A18&amp;"'!$B$1"),IF(VLOOKUP(AJ$1,INDIRECT("'"&amp;$A18&amp;"'!$A$12:$Z$41"),MATCH("Points (Auto-generate)",INDIRECT("'"&amp;$A18&amp;"'!$A$12:$Z$12"),0),0)="","?",VLOOKUP(AJ$1,INDIRECT("'"&amp;$A18&amp;"'!$A$12:$Z$41"),MATCH("Points (Auto-generate)",INDIRECT("'"&amp;$A18&amp;"'!$A$12:$Z$12"),0),0)),"ER"))</f>
        <v>?</v>
      </c>
      <c r="AK18" s="78" t="str">
        <f aca="true">IF($H18=0,"NA",IF($A18=INDIRECT("'"&amp;$A18&amp;"'!$B$1"),IF(VLOOKUP(AK$1,INDIRECT("'"&amp;$A18&amp;"'!$A$12:$Z$41"),MATCH("Points (Auto-generate)",INDIRECT("'"&amp;$A18&amp;"'!$A$12:$Z$12"),0),0)="","?",VLOOKUP(AK$1,INDIRECT("'"&amp;$A18&amp;"'!$A$12:$Z$41"),MATCH("Points (Auto-generate)",INDIRECT("'"&amp;$A18&amp;"'!$A$12:$Z$12"),0),0)),"ER"))</f>
        <v>?</v>
      </c>
    </row>
    <row r="19" customFormat="false" ht="14.25" hidden="false" customHeight="true" outlineLevel="0" collapsed="false">
      <c r="A19" s="74" t="s">
        <v>26</v>
      </c>
      <c r="B19" s="75" t="str">
        <f aca="false">IF(ISBLANK($A19),"NO_CODE",VLOOKUP($A19,'UPD Questions_290926 '!$E$1:$N$300,MATCH(B$1,'UPD Questions_290926 '!$E$1:$N$1,0),0)&amp;"")</f>
        <v>Planning </v>
      </c>
      <c r="C19" s="75" t="str">
        <f aca="false">IF(ISBLANK($A19),"NO_CODE",VLOOKUP($A19,'UPD Questions_290926 '!$E$1:$N$300,MATCH(C$1,'UPD Questions_290926 '!$E$1:$N$1,0),0)&amp;"")</f>
        <v>Municipal/City Plan preparation, participation and review</v>
      </c>
      <c r="D19" s="75" t="str">
        <f aca="false">IF(ISBLANK($A19),"NO_CODE",VLOOKUP($A19,'UPD Questions_290926 '!$E$1:$N$300,MATCH(D$1,'UPD Questions_290926 '!$E$1:$N$1,0),0)&amp;"")</f>
        <v>Inter-agency participation</v>
      </c>
      <c r="E19" s="75" t="str">
        <f aca="false">IF(ISBLANK($A19),"NO_CODE",VLOOKUP($A19,'UPD Questions_290926 '!$E$1:$N$300,MATCH(E$1,'UPD Questions_290926 '!$E$1:$N$1,0),0)&amp;"")</f>
        <v>MQ</v>
      </c>
      <c r="F19" s="75" t="str">
        <f aca="false">IF(ISBLANK($A19),"NO_CODE",VLOOKUP($A19,'UPD Questions_290926 '!$E$1:$N$300,MATCH(F$1,'UPD Questions_290926 '!$E$1:$N$1,0),0)&amp;"")</f>
        <v>Does the law mandate participation of all parastatals/ agencies /ULGs in creation of Spatial plans (metro/municipal/ward)?</v>
      </c>
      <c r="G19" s="75" t="str">
        <f aca="false">IF(ISBLANK($A19),"NO_CODE",VLOOKUP($A19,'UPD Questions_290926 '!$E$1:$N$300,MATCH(G$1,'UPD Questions_290926 '!$E$1:$N$1,0),0)&amp;"")</f>
        <v>Law or Policy</v>
      </c>
      <c r="H19" s="77" t="n">
        <f aca="false">IF(ISBLANK($A19),"NO_CODE",VLOOKUP($A19,'UPD Questions_290926 '!$E$1:$N$300,MATCH(H$1,'UPD Questions_290926 '!$E$1:$N$1,0),0))</f>
        <v>10</v>
      </c>
      <c r="I19" s="78" t="str">
        <f aca="true">IF($H19=0,"NA",IF($A19=INDIRECT("'"&amp;$A19&amp;"'!$B$1"),IF(VLOOKUP(I$1,INDIRECT("'"&amp;$A19&amp;"'!$A$12:$Z$41"),MATCH("Points (Auto-generate)",INDIRECT("'"&amp;$A19&amp;"'!$A$12:$Z$12"),0),0)="","?",VLOOKUP(I$1,INDIRECT("'"&amp;$A19&amp;"'!$A$12:$Z$41"),MATCH("Points (Auto-generate)",INDIRECT("'"&amp;$A19&amp;"'!$A$12:$Z$12"),0),0)),"ER"))</f>
        <v>?</v>
      </c>
      <c r="J19" s="78" t="str">
        <f aca="true">IF($H19=0,"NA",IF($A19=INDIRECT("'"&amp;$A19&amp;"'!$B$1"),IF(VLOOKUP(J$1,INDIRECT("'"&amp;$A19&amp;"'!$A$12:$Z$41"),MATCH("Points (Auto-generate)",INDIRECT("'"&amp;$A19&amp;"'!$A$12:$Z$12"),0),0)="","?",VLOOKUP(J$1,INDIRECT("'"&amp;$A19&amp;"'!$A$12:$Z$41"),MATCH("Points (Auto-generate)",INDIRECT("'"&amp;$A19&amp;"'!$A$12:$Z$12"),0),0)),"ER"))</f>
        <v>?</v>
      </c>
      <c r="K19" s="78" t="str">
        <f aca="true">IF($H19=0,"NA",IF($A19=INDIRECT("'"&amp;$A19&amp;"'!$B$1"),IF(VLOOKUP(K$1,INDIRECT("'"&amp;$A19&amp;"'!$A$12:$Z$41"),MATCH("Points (Auto-generate)",INDIRECT("'"&amp;$A19&amp;"'!$A$12:$Z$12"),0),0)="","?",VLOOKUP(K$1,INDIRECT("'"&amp;$A19&amp;"'!$A$12:$Z$41"),MATCH("Points (Auto-generate)",INDIRECT("'"&amp;$A19&amp;"'!$A$12:$Z$12"),0),0)),"ER"))</f>
        <v>?</v>
      </c>
      <c r="L19" s="78" t="str">
        <f aca="true">IF($H19=0,"NA",IF($A19=INDIRECT("'"&amp;$A19&amp;"'!$B$1"),IF(VLOOKUP(L$1,INDIRECT("'"&amp;$A19&amp;"'!$A$12:$Z$41"),MATCH("Points (Auto-generate)",INDIRECT("'"&amp;$A19&amp;"'!$A$12:$Z$12"),0),0)="","?",VLOOKUP(L$1,INDIRECT("'"&amp;$A19&amp;"'!$A$12:$Z$41"),MATCH("Points (Auto-generate)",INDIRECT("'"&amp;$A19&amp;"'!$A$12:$Z$12"),0),0)),"ER"))</f>
        <v>?</v>
      </c>
      <c r="M19" s="78" t="str">
        <f aca="true">IF($H19=0,"NA",IF($A19=INDIRECT("'"&amp;$A19&amp;"'!$B$1"),IF(VLOOKUP(M$1,INDIRECT("'"&amp;$A19&amp;"'!$A$12:$Z$41"),MATCH("Points (Auto-generate)",INDIRECT("'"&amp;$A19&amp;"'!$A$12:$Z$12"),0),0)="","?",VLOOKUP(M$1,INDIRECT("'"&amp;$A19&amp;"'!$A$12:$Z$41"),MATCH("Points (Auto-generate)",INDIRECT("'"&amp;$A19&amp;"'!$A$12:$Z$12"),0),0)),"ER"))</f>
        <v>?</v>
      </c>
      <c r="N19" s="78" t="str">
        <f aca="true">IF($H19=0,"NA",IF($A19=INDIRECT("'"&amp;$A19&amp;"'!$B$1"),IF(VLOOKUP(N$1,INDIRECT("'"&amp;$A19&amp;"'!$A$12:$Z$41"),MATCH("Points (Auto-generate)",INDIRECT("'"&amp;$A19&amp;"'!$A$12:$Z$12"),0),0)="","?",VLOOKUP(N$1,INDIRECT("'"&amp;$A19&amp;"'!$A$12:$Z$41"),MATCH("Points (Auto-generate)",INDIRECT("'"&amp;$A19&amp;"'!$A$12:$Z$12"),0),0)),"ER"))</f>
        <v>?</v>
      </c>
      <c r="O19" s="78" t="str">
        <f aca="true">IF($H19=0,"NA",IF($A19=INDIRECT("'"&amp;$A19&amp;"'!$B$1"),IF(VLOOKUP(O$1,INDIRECT("'"&amp;$A19&amp;"'!$A$12:$Z$41"),MATCH("Points (Auto-generate)",INDIRECT("'"&amp;$A19&amp;"'!$A$12:$Z$12"),0),0)="","?",VLOOKUP(O$1,INDIRECT("'"&amp;$A19&amp;"'!$A$12:$Z$41"),MATCH("Points (Auto-generate)",INDIRECT("'"&amp;$A19&amp;"'!$A$12:$Z$12"),0),0)),"ER"))</f>
        <v>?</v>
      </c>
      <c r="P19" s="78" t="str">
        <f aca="true">IF($H19=0,"NA",IF($A19=INDIRECT("'"&amp;$A19&amp;"'!$B$1"),IF(VLOOKUP(P$1,INDIRECT("'"&amp;$A19&amp;"'!$A$12:$Z$41"),MATCH("Points (Auto-generate)",INDIRECT("'"&amp;$A19&amp;"'!$A$12:$Z$12"),0),0)="","?",VLOOKUP(P$1,INDIRECT("'"&amp;$A19&amp;"'!$A$12:$Z$41"),MATCH("Points (Auto-generate)",INDIRECT("'"&amp;$A19&amp;"'!$A$12:$Z$12"),0),0)),"ER"))</f>
        <v>?</v>
      </c>
      <c r="Q19" s="78" t="str">
        <f aca="true">IF($H19=0,"NA",IF($A19=INDIRECT("'"&amp;$A19&amp;"'!$B$1"),IF(VLOOKUP(Q$1,INDIRECT("'"&amp;$A19&amp;"'!$A$12:$Z$41"),MATCH("Points (Auto-generate)",INDIRECT("'"&amp;$A19&amp;"'!$A$12:$Z$12"),0),0)="","?",VLOOKUP(Q$1,INDIRECT("'"&amp;$A19&amp;"'!$A$12:$Z$41"),MATCH("Points (Auto-generate)",INDIRECT("'"&amp;$A19&amp;"'!$A$12:$Z$12"),0),0)),"ER"))</f>
        <v>?</v>
      </c>
      <c r="R19" s="78" t="str">
        <f aca="true">IF($H19=0,"NA",IF($A19=INDIRECT("'"&amp;$A19&amp;"'!$B$1"),IF(VLOOKUP(R$1,INDIRECT("'"&amp;$A19&amp;"'!$A$12:$Z$41"),MATCH("Points (Auto-generate)",INDIRECT("'"&amp;$A19&amp;"'!$A$12:$Z$12"),0),0)="","?",VLOOKUP(R$1,INDIRECT("'"&amp;$A19&amp;"'!$A$12:$Z$41"),MATCH("Points (Auto-generate)",INDIRECT("'"&amp;$A19&amp;"'!$A$12:$Z$12"),0),0)),"ER"))</f>
        <v>?</v>
      </c>
      <c r="S19" s="78" t="str">
        <f aca="true">IF($H19=0,"NA",IF($A19=INDIRECT("'"&amp;$A19&amp;"'!$B$1"),IF(VLOOKUP(S$1,INDIRECT("'"&amp;$A19&amp;"'!$A$12:$Z$41"),MATCH("Points (Auto-generate)",INDIRECT("'"&amp;$A19&amp;"'!$A$12:$Z$12"),0),0)="","?",VLOOKUP(S$1,INDIRECT("'"&amp;$A19&amp;"'!$A$12:$Z$41"),MATCH("Points (Auto-generate)",INDIRECT("'"&amp;$A19&amp;"'!$A$12:$Z$12"),0),0)),"ER"))</f>
        <v>?</v>
      </c>
      <c r="T19" s="78" t="str">
        <f aca="true">IF($H19=0,"NA",IF($A19=INDIRECT("'"&amp;$A19&amp;"'!$B$1"),IF(VLOOKUP(T$1,INDIRECT("'"&amp;$A19&amp;"'!$A$12:$Z$41"),MATCH("Points (Auto-generate)",INDIRECT("'"&amp;$A19&amp;"'!$A$12:$Z$12"),0),0)="","?",VLOOKUP(T$1,INDIRECT("'"&amp;$A19&amp;"'!$A$12:$Z$41"),MATCH("Points (Auto-generate)",INDIRECT("'"&amp;$A19&amp;"'!$A$12:$Z$12"),0),0)),"ER"))</f>
        <v>?</v>
      </c>
      <c r="U19" s="78" t="str">
        <f aca="true">IF($H19=0,"NA",IF($A19=INDIRECT("'"&amp;$A19&amp;"'!$B$1"),IF(VLOOKUP(U$1,INDIRECT("'"&amp;$A19&amp;"'!$A$12:$Z$41"),MATCH("Points (Auto-generate)",INDIRECT("'"&amp;$A19&amp;"'!$A$12:$Z$12"),0),0)="","?",VLOOKUP(U$1,INDIRECT("'"&amp;$A19&amp;"'!$A$12:$Z$41"),MATCH("Points (Auto-generate)",INDIRECT("'"&amp;$A19&amp;"'!$A$12:$Z$12"),0),0)),"ER"))</f>
        <v>?</v>
      </c>
      <c r="V19" s="78" t="str">
        <f aca="true">IF($H19=0,"NA",IF($A19=INDIRECT("'"&amp;$A19&amp;"'!$B$1"),IF(VLOOKUP(V$1,INDIRECT("'"&amp;$A19&amp;"'!$A$12:$Z$41"),MATCH("Points (Auto-generate)",INDIRECT("'"&amp;$A19&amp;"'!$A$12:$Z$12"),0),0)="","?",VLOOKUP(V$1,INDIRECT("'"&amp;$A19&amp;"'!$A$12:$Z$41"),MATCH("Points (Auto-generate)",INDIRECT("'"&amp;$A19&amp;"'!$A$12:$Z$12"),0),0)),"ER"))</f>
        <v>?</v>
      </c>
      <c r="W19" s="78" t="str">
        <f aca="true">IF($H19=0,"NA",IF($A19=INDIRECT("'"&amp;$A19&amp;"'!$B$1"),IF(VLOOKUP(W$1,INDIRECT("'"&amp;$A19&amp;"'!$A$12:$Z$41"),MATCH("Points (Auto-generate)",INDIRECT("'"&amp;$A19&amp;"'!$A$12:$Z$12"),0),0)="","?",VLOOKUP(W$1,INDIRECT("'"&amp;$A19&amp;"'!$A$12:$Z$41"),MATCH("Points (Auto-generate)",INDIRECT("'"&amp;$A19&amp;"'!$A$12:$Z$12"),0),0)),"ER"))</f>
        <v>?</v>
      </c>
      <c r="X19" s="78" t="str">
        <f aca="true">IF($H19=0,"NA",IF($A19=INDIRECT("'"&amp;$A19&amp;"'!$B$1"),IF(VLOOKUP(X$1,INDIRECT("'"&amp;$A19&amp;"'!$A$12:$Z$41"),MATCH("Points (Auto-generate)",INDIRECT("'"&amp;$A19&amp;"'!$A$12:$Z$12"),0),0)="","?",VLOOKUP(X$1,INDIRECT("'"&amp;$A19&amp;"'!$A$12:$Z$41"),MATCH("Points (Auto-generate)",INDIRECT("'"&amp;$A19&amp;"'!$A$12:$Z$12"),0),0)),"ER"))</f>
        <v>?</v>
      </c>
      <c r="Y19" s="78" t="str">
        <f aca="true">IF($H19=0,"NA",IF($A19=INDIRECT("'"&amp;$A19&amp;"'!$B$1"),IF(VLOOKUP(Y$1,INDIRECT("'"&amp;$A19&amp;"'!$A$12:$Z$41"),MATCH("Points (Auto-generate)",INDIRECT("'"&amp;$A19&amp;"'!$A$12:$Z$12"),0),0)="","?",VLOOKUP(Y$1,INDIRECT("'"&amp;$A19&amp;"'!$A$12:$Z$41"),MATCH("Points (Auto-generate)",INDIRECT("'"&amp;$A19&amp;"'!$A$12:$Z$12"),0),0)),"ER"))</f>
        <v>?</v>
      </c>
      <c r="Z19" s="78" t="str">
        <f aca="true">IF($H19=0,"NA",IF($A19=INDIRECT("'"&amp;$A19&amp;"'!$B$1"),IF(VLOOKUP(Z$1,INDIRECT("'"&amp;$A19&amp;"'!$A$12:$Z$41"),MATCH("Points (Auto-generate)",INDIRECT("'"&amp;$A19&amp;"'!$A$12:$Z$12"),0),0)="","?",VLOOKUP(Z$1,INDIRECT("'"&amp;$A19&amp;"'!$A$12:$Z$41"),MATCH("Points (Auto-generate)",INDIRECT("'"&amp;$A19&amp;"'!$A$12:$Z$12"),0),0)),"ER"))</f>
        <v>?</v>
      </c>
      <c r="AA19" s="78" t="str">
        <f aca="true">IF($H19=0,"NA",IF($A19=INDIRECT("'"&amp;$A19&amp;"'!$B$1"),IF(VLOOKUP(AA$1,INDIRECT("'"&amp;$A19&amp;"'!$A$12:$Z$41"),MATCH("Points (Auto-generate)",INDIRECT("'"&amp;$A19&amp;"'!$A$12:$Z$12"),0),0)="","?",VLOOKUP(AA$1,INDIRECT("'"&amp;$A19&amp;"'!$A$12:$Z$41"),MATCH("Points (Auto-generate)",INDIRECT("'"&amp;$A19&amp;"'!$A$12:$Z$12"),0),0)),"ER"))</f>
        <v>?</v>
      </c>
      <c r="AB19" s="78" t="str">
        <f aca="true">IF($H19=0,"NA",IF($A19=INDIRECT("'"&amp;$A19&amp;"'!$B$1"),IF(VLOOKUP(AB$1,INDIRECT("'"&amp;$A19&amp;"'!$A$12:$Z$41"),MATCH("Points (Auto-generate)",INDIRECT("'"&amp;$A19&amp;"'!$A$12:$Z$12"),0),0)="","?",VLOOKUP(AB$1,INDIRECT("'"&amp;$A19&amp;"'!$A$12:$Z$41"),MATCH("Points (Auto-generate)",INDIRECT("'"&amp;$A19&amp;"'!$A$12:$Z$12"),0),0)),"ER"))</f>
        <v>?</v>
      </c>
      <c r="AC19" s="78" t="str">
        <f aca="true">IF($H19=0,"NA",IF($A19=INDIRECT("'"&amp;$A19&amp;"'!$B$1"),IF(VLOOKUP(AC$1,INDIRECT("'"&amp;$A19&amp;"'!$A$12:$Z$41"),MATCH("Points (Auto-generate)",INDIRECT("'"&amp;$A19&amp;"'!$A$12:$Z$12"),0),0)="","?",VLOOKUP(AC$1,INDIRECT("'"&amp;$A19&amp;"'!$A$12:$Z$41"),MATCH("Points (Auto-generate)",INDIRECT("'"&amp;$A19&amp;"'!$A$12:$Z$12"),0),0)),"ER"))</f>
        <v>?</v>
      </c>
      <c r="AD19" s="78" t="str">
        <f aca="true">IF($H19=0,"NA",IF($A19=INDIRECT("'"&amp;$A19&amp;"'!$B$1"),IF(VLOOKUP(AD$1,INDIRECT("'"&amp;$A19&amp;"'!$A$12:$Z$41"),MATCH("Points (Auto-generate)",INDIRECT("'"&amp;$A19&amp;"'!$A$12:$Z$12"),0),0)="","?",VLOOKUP(AD$1,INDIRECT("'"&amp;$A19&amp;"'!$A$12:$Z$41"),MATCH("Points (Auto-generate)",INDIRECT("'"&amp;$A19&amp;"'!$A$12:$Z$12"),0),0)),"ER"))</f>
        <v>?</v>
      </c>
      <c r="AE19" s="78" t="str">
        <f aca="true">IF($H19=0,"NA",IF($A19=INDIRECT("'"&amp;$A19&amp;"'!$B$1"),IF(VLOOKUP(AE$1,INDIRECT("'"&amp;$A19&amp;"'!$A$12:$Z$41"),MATCH("Points (Auto-generate)",INDIRECT("'"&amp;$A19&amp;"'!$A$12:$Z$12"),0),0)="","?",VLOOKUP(AE$1,INDIRECT("'"&amp;$A19&amp;"'!$A$12:$Z$41"),MATCH("Points (Auto-generate)",INDIRECT("'"&amp;$A19&amp;"'!$A$12:$Z$12"),0),0)),"ER"))</f>
        <v>?</v>
      </c>
      <c r="AF19" s="78" t="str">
        <f aca="true">IF($H19=0,"NA",IF($A19=INDIRECT("'"&amp;$A19&amp;"'!$B$1"),IF(VLOOKUP(AF$1,INDIRECT("'"&amp;$A19&amp;"'!$A$12:$Z$41"),MATCH("Points (Auto-generate)",INDIRECT("'"&amp;$A19&amp;"'!$A$12:$Z$12"),0),0)="","?",VLOOKUP(AF$1,INDIRECT("'"&amp;$A19&amp;"'!$A$12:$Z$41"),MATCH("Points (Auto-generate)",INDIRECT("'"&amp;$A19&amp;"'!$A$12:$Z$12"),0),0)),"ER"))</f>
        <v>?</v>
      </c>
      <c r="AG19" s="78" t="str">
        <f aca="true">IF($H19=0,"NA",IF($A19=INDIRECT("'"&amp;$A19&amp;"'!$B$1"),IF(VLOOKUP(AG$1,INDIRECT("'"&amp;$A19&amp;"'!$A$12:$Z$41"),MATCH("Points (Auto-generate)",INDIRECT("'"&amp;$A19&amp;"'!$A$12:$Z$12"),0),0)="","?",VLOOKUP(AG$1,INDIRECT("'"&amp;$A19&amp;"'!$A$12:$Z$41"),MATCH("Points (Auto-generate)",INDIRECT("'"&amp;$A19&amp;"'!$A$12:$Z$12"),0),0)),"ER"))</f>
        <v>?</v>
      </c>
      <c r="AH19" s="78" t="str">
        <f aca="true">IF($H19=0,"NA",IF($A19=INDIRECT("'"&amp;$A19&amp;"'!$B$1"),IF(VLOOKUP(AH$1,INDIRECT("'"&amp;$A19&amp;"'!$A$12:$Z$41"),MATCH("Points (Auto-generate)",INDIRECT("'"&amp;$A19&amp;"'!$A$12:$Z$12"),0),0)="","?",VLOOKUP(AH$1,INDIRECT("'"&amp;$A19&amp;"'!$A$12:$Z$41"),MATCH("Points (Auto-generate)",INDIRECT("'"&amp;$A19&amp;"'!$A$12:$Z$12"),0),0)),"ER"))</f>
        <v>?</v>
      </c>
      <c r="AI19" s="78" t="str">
        <f aca="true">IF($H19=0,"NA",IF($A19=INDIRECT("'"&amp;$A19&amp;"'!$B$1"),IF(VLOOKUP(AI$1,INDIRECT("'"&amp;$A19&amp;"'!$A$12:$Z$41"),MATCH("Points (Auto-generate)",INDIRECT("'"&amp;$A19&amp;"'!$A$12:$Z$12"),0),0)="","?",VLOOKUP(AI$1,INDIRECT("'"&amp;$A19&amp;"'!$A$12:$Z$41"),MATCH("Points (Auto-generate)",INDIRECT("'"&amp;$A19&amp;"'!$A$12:$Z$12"),0),0)),"ER"))</f>
        <v>?</v>
      </c>
      <c r="AJ19" s="78" t="str">
        <f aca="true">IF($H19=0,"NA",IF($A19=INDIRECT("'"&amp;$A19&amp;"'!$B$1"),IF(VLOOKUP(AJ$1,INDIRECT("'"&amp;$A19&amp;"'!$A$12:$Z$41"),MATCH("Points (Auto-generate)",INDIRECT("'"&amp;$A19&amp;"'!$A$12:$Z$12"),0),0)="","?",VLOOKUP(AJ$1,INDIRECT("'"&amp;$A19&amp;"'!$A$12:$Z$41"),MATCH("Points (Auto-generate)",INDIRECT("'"&amp;$A19&amp;"'!$A$12:$Z$12"),0),0)),"ER"))</f>
        <v>?</v>
      </c>
      <c r="AK19" s="78" t="str">
        <f aca="true">IF($H19=0,"NA",IF($A19=INDIRECT("'"&amp;$A19&amp;"'!$B$1"),IF(VLOOKUP(AK$1,INDIRECT("'"&amp;$A19&amp;"'!$A$12:$Z$41"),MATCH("Points (Auto-generate)",INDIRECT("'"&amp;$A19&amp;"'!$A$12:$Z$12"),0),0)="","?",VLOOKUP(AK$1,INDIRECT("'"&amp;$A19&amp;"'!$A$12:$Z$41"),MATCH("Points (Auto-generate)",INDIRECT("'"&amp;$A19&amp;"'!$A$12:$Z$12"),0),0)),"ER"))</f>
        <v>?</v>
      </c>
    </row>
    <row r="20" customFormat="false" ht="14.25" hidden="false" customHeight="true" outlineLevel="0" collapsed="false">
      <c r="A20" s="74" t="s">
        <v>112</v>
      </c>
      <c r="B20" s="75" t="str">
        <f aca="false">IF(ISBLANK($A20),"NO_CODE",VLOOKUP($A20,'UPD Questions_290926 '!$E$1:$N$300,MATCH(B$1,'UPD Questions_290926 '!$E$1:$N$1,0),0)&amp;"")</f>
        <v>Planning </v>
      </c>
      <c r="C20" s="75" t="str">
        <f aca="false">IF(ISBLANK($A20),"NO_CODE",VLOOKUP($A20,'UPD Questions_290926 '!$E$1:$N$300,MATCH(C$1,'UPD Questions_290926 '!$E$1:$N$1,0),0)&amp;"")</f>
        <v>Municipal/City Plan preparation, participation and review</v>
      </c>
      <c r="D20" s="75" t="str">
        <f aca="false">IF(ISBLANK($A20),"NO_CODE",VLOOKUP($A20,'UPD Questions_290926 '!$E$1:$N$300,MATCH(D$1,'UPD Questions_290926 '!$E$1:$N$1,0),0)&amp;"")</f>
        <v>Public participation and scrutiny</v>
      </c>
      <c r="E20" s="75" t="str">
        <f aca="false">IF(ISBLANK($A20),"NO_CODE",VLOOKUP($A20,'UPD Questions_290926 '!$E$1:$N$300,MATCH(E$1,'UPD Questions_290926 '!$E$1:$N$1,0),0)&amp;"")</f>
        <v>MQ</v>
      </c>
      <c r="F20" s="75" t="str">
        <f aca="false">IF(ISBLANK($A20),"NO_CODE",VLOOKUP($A20,'UPD Questions_290926 '!$E$1:$N$300,MATCH(F$1,'UPD Questions_290926 '!$E$1:$N$1,0),0)&amp;"")</f>
        <v>Does the law mandate public participation in preparation of the municipal plan through Area Sabhas / Ward Sabhas and other means?</v>
      </c>
      <c r="G20" s="75" t="str">
        <f aca="false">IF(ISBLANK($A20),"NO_CODE",VLOOKUP($A20,'UPD Questions_290926 '!$E$1:$N$300,MATCH(G$1,'UPD Questions_290926 '!$E$1:$N$1,0),0)&amp;"")</f>
        <v>Law or Policy</v>
      </c>
      <c r="H20" s="77" t="n">
        <f aca="false">IF(ISBLANK($A20),"NO_CODE",VLOOKUP($A20,'UPD Questions_290926 '!$E$1:$N$300,MATCH(H$1,'UPD Questions_290926 '!$E$1:$N$1,0),0))</f>
        <v>10</v>
      </c>
      <c r="I20" s="78" t="str">
        <f aca="true">IF($H20=0,"NA",IF($A20=INDIRECT("'"&amp;$A20&amp;"'!$B$1"),IF(VLOOKUP(I$1,INDIRECT("'"&amp;$A20&amp;"'!$A$12:$Z$41"),MATCH("Points (Auto-generate)",INDIRECT("'"&amp;$A20&amp;"'!$A$12:$Z$12"),0),0)="","?",VLOOKUP(I$1,INDIRECT("'"&amp;$A20&amp;"'!$A$12:$Z$41"),MATCH("Points (Auto-generate)",INDIRECT("'"&amp;$A20&amp;"'!$A$12:$Z$12"),0),0)),"ER"))</f>
        <v>?</v>
      </c>
      <c r="J20" s="78" t="str">
        <f aca="true">IF($H20=0,"NA",IF($A20=INDIRECT("'"&amp;$A20&amp;"'!$B$1"),IF(VLOOKUP(J$1,INDIRECT("'"&amp;$A20&amp;"'!$A$12:$Z$41"),MATCH("Points (Auto-generate)",INDIRECT("'"&amp;$A20&amp;"'!$A$12:$Z$12"),0),0)="","?",VLOOKUP(J$1,INDIRECT("'"&amp;$A20&amp;"'!$A$12:$Z$41"),MATCH("Points (Auto-generate)",INDIRECT("'"&amp;$A20&amp;"'!$A$12:$Z$12"),0),0)),"ER"))</f>
        <v>?</v>
      </c>
      <c r="K20" s="78" t="str">
        <f aca="true">IF($H20=0,"NA",IF($A20=INDIRECT("'"&amp;$A20&amp;"'!$B$1"),IF(VLOOKUP(K$1,INDIRECT("'"&amp;$A20&amp;"'!$A$12:$Z$41"),MATCH("Points (Auto-generate)",INDIRECT("'"&amp;$A20&amp;"'!$A$12:$Z$12"),0),0)="","?",VLOOKUP(K$1,INDIRECT("'"&amp;$A20&amp;"'!$A$12:$Z$41"),MATCH("Points (Auto-generate)",INDIRECT("'"&amp;$A20&amp;"'!$A$12:$Z$12"),0),0)),"ER"))</f>
        <v>?</v>
      </c>
      <c r="L20" s="78" t="str">
        <f aca="true">IF($H20=0,"NA",IF($A20=INDIRECT("'"&amp;$A20&amp;"'!$B$1"),IF(VLOOKUP(L$1,INDIRECT("'"&amp;$A20&amp;"'!$A$12:$Z$41"),MATCH("Points (Auto-generate)",INDIRECT("'"&amp;$A20&amp;"'!$A$12:$Z$12"),0),0)="","?",VLOOKUP(L$1,INDIRECT("'"&amp;$A20&amp;"'!$A$12:$Z$41"),MATCH("Points (Auto-generate)",INDIRECT("'"&amp;$A20&amp;"'!$A$12:$Z$12"),0),0)),"ER"))</f>
        <v>?</v>
      </c>
      <c r="M20" s="78" t="str">
        <f aca="true">IF($H20=0,"NA",IF($A20=INDIRECT("'"&amp;$A20&amp;"'!$B$1"),IF(VLOOKUP(M$1,INDIRECT("'"&amp;$A20&amp;"'!$A$12:$Z$41"),MATCH("Points (Auto-generate)",INDIRECT("'"&amp;$A20&amp;"'!$A$12:$Z$12"),0),0)="","?",VLOOKUP(M$1,INDIRECT("'"&amp;$A20&amp;"'!$A$12:$Z$41"),MATCH("Points (Auto-generate)",INDIRECT("'"&amp;$A20&amp;"'!$A$12:$Z$12"),0),0)),"ER"))</f>
        <v>?</v>
      </c>
      <c r="N20" s="78" t="str">
        <f aca="true">IF($H20=0,"NA",IF($A20=INDIRECT("'"&amp;$A20&amp;"'!$B$1"),IF(VLOOKUP(N$1,INDIRECT("'"&amp;$A20&amp;"'!$A$12:$Z$41"),MATCH("Points (Auto-generate)",INDIRECT("'"&amp;$A20&amp;"'!$A$12:$Z$12"),0),0)="","?",VLOOKUP(N$1,INDIRECT("'"&amp;$A20&amp;"'!$A$12:$Z$41"),MATCH("Points (Auto-generate)",INDIRECT("'"&amp;$A20&amp;"'!$A$12:$Z$12"),0),0)),"ER"))</f>
        <v>?</v>
      </c>
      <c r="O20" s="78" t="str">
        <f aca="true">IF($H20=0,"NA",IF($A20=INDIRECT("'"&amp;$A20&amp;"'!$B$1"),IF(VLOOKUP(O$1,INDIRECT("'"&amp;$A20&amp;"'!$A$12:$Z$41"),MATCH("Points (Auto-generate)",INDIRECT("'"&amp;$A20&amp;"'!$A$12:$Z$12"),0),0)="","?",VLOOKUP(O$1,INDIRECT("'"&amp;$A20&amp;"'!$A$12:$Z$41"),MATCH("Points (Auto-generate)",INDIRECT("'"&amp;$A20&amp;"'!$A$12:$Z$12"),0),0)),"ER"))</f>
        <v>?</v>
      </c>
      <c r="P20" s="78" t="str">
        <f aca="true">IF($H20=0,"NA",IF($A20=INDIRECT("'"&amp;$A20&amp;"'!$B$1"),IF(VLOOKUP(P$1,INDIRECT("'"&amp;$A20&amp;"'!$A$12:$Z$41"),MATCH("Points (Auto-generate)",INDIRECT("'"&amp;$A20&amp;"'!$A$12:$Z$12"),0),0)="","?",VLOOKUP(P$1,INDIRECT("'"&amp;$A20&amp;"'!$A$12:$Z$41"),MATCH("Points (Auto-generate)",INDIRECT("'"&amp;$A20&amp;"'!$A$12:$Z$12"),0),0)),"ER"))</f>
        <v>?</v>
      </c>
      <c r="Q20" s="78" t="str">
        <f aca="true">IF($H20=0,"NA",IF($A20=INDIRECT("'"&amp;$A20&amp;"'!$B$1"),IF(VLOOKUP(Q$1,INDIRECT("'"&amp;$A20&amp;"'!$A$12:$Z$41"),MATCH("Points (Auto-generate)",INDIRECT("'"&amp;$A20&amp;"'!$A$12:$Z$12"),0),0)="","?",VLOOKUP(Q$1,INDIRECT("'"&amp;$A20&amp;"'!$A$12:$Z$41"),MATCH("Points (Auto-generate)",INDIRECT("'"&amp;$A20&amp;"'!$A$12:$Z$12"),0),0)),"ER"))</f>
        <v>?</v>
      </c>
      <c r="R20" s="78" t="str">
        <f aca="true">IF($H20=0,"NA",IF($A20=INDIRECT("'"&amp;$A20&amp;"'!$B$1"),IF(VLOOKUP(R$1,INDIRECT("'"&amp;$A20&amp;"'!$A$12:$Z$41"),MATCH("Points (Auto-generate)",INDIRECT("'"&amp;$A20&amp;"'!$A$12:$Z$12"),0),0)="","?",VLOOKUP(R$1,INDIRECT("'"&amp;$A20&amp;"'!$A$12:$Z$41"),MATCH("Points (Auto-generate)",INDIRECT("'"&amp;$A20&amp;"'!$A$12:$Z$12"),0),0)),"ER"))</f>
        <v>?</v>
      </c>
      <c r="S20" s="78" t="str">
        <f aca="true">IF($H20=0,"NA",IF($A20=INDIRECT("'"&amp;$A20&amp;"'!$B$1"),IF(VLOOKUP(S$1,INDIRECT("'"&amp;$A20&amp;"'!$A$12:$Z$41"),MATCH("Points (Auto-generate)",INDIRECT("'"&amp;$A20&amp;"'!$A$12:$Z$12"),0),0)="","?",VLOOKUP(S$1,INDIRECT("'"&amp;$A20&amp;"'!$A$12:$Z$41"),MATCH("Points (Auto-generate)",INDIRECT("'"&amp;$A20&amp;"'!$A$12:$Z$12"),0),0)),"ER"))</f>
        <v>?</v>
      </c>
      <c r="T20" s="78" t="str">
        <f aca="true">IF($H20=0,"NA",IF($A20=INDIRECT("'"&amp;$A20&amp;"'!$B$1"),IF(VLOOKUP(T$1,INDIRECT("'"&amp;$A20&amp;"'!$A$12:$Z$41"),MATCH("Points (Auto-generate)",INDIRECT("'"&amp;$A20&amp;"'!$A$12:$Z$12"),0),0)="","?",VLOOKUP(T$1,INDIRECT("'"&amp;$A20&amp;"'!$A$12:$Z$41"),MATCH("Points (Auto-generate)",INDIRECT("'"&amp;$A20&amp;"'!$A$12:$Z$12"),0),0)),"ER"))</f>
        <v>?</v>
      </c>
      <c r="U20" s="78" t="str">
        <f aca="true">IF($H20=0,"NA",IF($A20=INDIRECT("'"&amp;$A20&amp;"'!$B$1"),IF(VLOOKUP(U$1,INDIRECT("'"&amp;$A20&amp;"'!$A$12:$Z$41"),MATCH("Points (Auto-generate)",INDIRECT("'"&amp;$A20&amp;"'!$A$12:$Z$12"),0),0)="","?",VLOOKUP(U$1,INDIRECT("'"&amp;$A20&amp;"'!$A$12:$Z$41"),MATCH("Points (Auto-generate)",INDIRECT("'"&amp;$A20&amp;"'!$A$12:$Z$12"),0),0)),"ER"))</f>
        <v>?</v>
      </c>
      <c r="V20" s="78" t="str">
        <f aca="true">IF($H20=0,"NA",IF($A20=INDIRECT("'"&amp;$A20&amp;"'!$B$1"),IF(VLOOKUP(V$1,INDIRECT("'"&amp;$A20&amp;"'!$A$12:$Z$41"),MATCH("Points (Auto-generate)",INDIRECT("'"&amp;$A20&amp;"'!$A$12:$Z$12"),0),0)="","?",VLOOKUP(V$1,INDIRECT("'"&amp;$A20&amp;"'!$A$12:$Z$41"),MATCH("Points (Auto-generate)",INDIRECT("'"&amp;$A20&amp;"'!$A$12:$Z$12"),0),0)),"ER"))</f>
        <v>?</v>
      </c>
      <c r="W20" s="78" t="str">
        <f aca="true">IF($H20=0,"NA",IF($A20=INDIRECT("'"&amp;$A20&amp;"'!$B$1"),IF(VLOOKUP(W$1,INDIRECT("'"&amp;$A20&amp;"'!$A$12:$Z$41"),MATCH("Points (Auto-generate)",INDIRECT("'"&amp;$A20&amp;"'!$A$12:$Z$12"),0),0)="","?",VLOOKUP(W$1,INDIRECT("'"&amp;$A20&amp;"'!$A$12:$Z$41"),MATCH("Points (Auto-generate)",INDIRECT("'"&amp;$A20&amp;"'!$A$12:$Z$12"),0),0)),"ER"))</f>
        <v>?</v>
      </c>
      <c r="X20" s="78" t="str">
        <f aca="true">IF($H20=0,"NA",IF($A20=INDIRECT("'"&amp;$A20&amp;"'!$B$1"),IF(VLOOKUP(X$1,INDIRECT("'"&amp;$A20&amp;"'!$A$12:$Z$41"),MATCH("Points (Auto-generate)",INDIRECT("'"&amp;$A20&amp;"'!$A$12:$Z$12"),0),0)="","?",VLOOKUP(X$1,INDIRECT("'"&amp;$A20&amp;"'!$A$12:$Z$41"),MATCH("Points (Auto-generate)",INDIRECT("'"&amp;$A20&amp;"'!$A$12:$Z$12"),0),0)),"ER"))</f>
        <v>?</v>
      </c>
      <c r="Y20" s="78" t="str">
        <f aca="true">IF($H20=0,"NA",IF($A20=INDIRECT("'"&amp;$A20&amp;"'!$B$1"),IF(VLOOKUP(Y$1,INDIRECT("'"&amp;$A20&amp;"'!$A$12:$Z$41"),MATCH("Points (Auto-generate)",INDIRECT("'"&amp;$A20&amp;"'!$A$12:$Z$12"),0),0)="","?",VLOOKUP(Y$1,INDIRECT("'"&amp;$A20&amp;"'!$A$12:$Z$41"),MATCH("Points (Auto-generate)",INDIRECT("'"&amp;$A20&amp;"'!$A$12:$Z$12"),0),0)),"ER"))</f>
        <v>?</v>
      </c>
      <c r="Z20" s="78" t="str">
        <f aca="true">IF($H20=0,"NA",IF($A20=INDIRECT("'"&amp;$A20&amp;"'!$B$1"),IF(VLOOKUP(Z$1,INDIRECT("'"&amp;$A20&amp;"'!$A$12:$Z$41"),MATCH("Points (Auto-generate)",INDIRECT("'"&amp;$A20&amp;"'!$A$12:$Z$12"),0),0)="","?",VLOOKUP(Z$1,INDIRECT("'"&amp;$A20&amp;"'!$A$12:$Z$41"),MATCH("Points (Auto-generate)",INDIRECT("'"&amp;$A20&amp;"'!$A$12:$Z$12"),0),0)),"ER"))</f>
        <v>?</v>
      </c>
      <c r="AA20" s="78" t="str">
        <f aca="true">IF($H20=0,"NA",IF($A20=INDIRECT("'"&amp;$A20&amp;"'!$B$1"),IF(VLOOKUP(AA$1,INDIRECT("'"&amp;$A20&amp;"'!$A$12:$Z$41"),MATCH("Points (Auto-generate)",INDIRECT("'"&amp;$A20&amp;"'!$A$12:$Z$12"),0),0)="","?",VLOOKUP(AA$1,INDIRECT("'"&amp;$A20&amp;"'!$A$12:$Z$41"),MATCH("Points (Auto-generate)",INDIRECT("'"&amp;$A20&amp;"'!$A$12:$Z$12"),0),0)),"ER"))</f>
        <v>?</v>
      </c>
      <c r="AB20" s="78" t="str">
        <f aca="true">IF($H20=0,"NA",IF($A20=INDIRECT("'"&amp;$A20&amp;"'!$B$1"),IF(VLOOKUP(AB$1,INDIRECT("'"&amp;$A20&amp;"'!$A$12:$Z$41"),MATCH("Points (Auto-generate)",INDIRECT("'"&amp;$A20&amp;"'!$A$12:$Z$12"),0),0)="","?",VLOOKUP(AB$1,INDIRECT("'"&amp;$A20&amp;"'!$A$12:$Z$41"),MATCH("Points (Auto-generate)",INDIRECT("'"&amp;$A20&amp;"'!$A$12:$Z$12"),0),0)),"ER"))</f>
        <v>?</v>
      </c>
      <c r="AC20" s="78" t="str">
        <f aca="true">IF($H20=0,"NA",IF($A20=INDIRECT("'"&amp;$A20&amp;"'!$B$1"),IF(VLOOKUP(AC$1,INDIRECT("'"&amp;$A20&amp;"'!$A$12:$Z$41"),MATCH("Points (Auto-generate)",INDIRECT("'"&amp;$A20&amp;"'!$A$12:$Z$12"),0),0)="","?",VLOOKUP(AC$1,INDIRECT("'"&amp;$A20&amp;"'!$A$12:$Z$41"),MATCH("Points (Auto-generate)",INDIRECT("'"&amp;$A20&amp;"'!$A$12:$Z$12"),0),0)),"ER"))</f>
        <v>?</v>
      </c>
      <c r="AD20" s="78" t="str">
        <f aca="true">IF($H20=0,"NA",IF($A20=INDIRECT("'"&amp;$A20&amp;"'!$B$1"),IF(VLOOKUP(AD$1,INDIRECT("'"&amp;$A20&amp;"'!$A$12:$Z$41"),MATCH("Points (Auto-generate)",INDIRECT("'"&amp;$A20&amp;"'!$A$12:$Z$12"),0),0)="","?",VLOOKUP(AD$1,INDIRECT("'"&amp;$A20&amp;"'!$A$12:$Z$41"),MATCH("Points (Auto-generate)",INDIRECT("'"&amp;$A20&amp;"'!$A$12:$Z$12"),0),0)),"ER"))</f>
        <v>?</v>
      </c>
      <c r="AE20" s="78" t="str">
        <f aca="true">IF($H20=0,"NA",IF($A20=INDIRECT("'"&amp;$A20&amp;"'!$B$1"),IF(VLOOKUP(AE$1,INDIRECT("'"&amp;$A20&amp;"'!$A$12:$Z$41"),MATCH("Points (Auto-generate)",INDIRECT("'"&amp;$A20&amp;"'!$A$12:$Z$12"),0),0)="","?",VLOOKUP(AE$1,INDIRECT("'"&amp;$A20&amp;"'!$A$12:$Z$41"),MATCH("Points (Auto-generate)",INDIRECT("'"&amp;$A20&amp;"'!$A$12:$Z$12"),0),0)),"ER"))</f>
        <v>?</v>
      </c>
      <c r="AF20" s="78" t="str">
        <f aca="true">IF($H20=0,"NA",IF($A20=INDIRECT("'"&amp;$A20&amp;"'!$B$1"),IF(VLOOKUP(AF$1,INDIRECT("'"&amp;$A20&amp;"'!$A$12:$Z$41"),MATCH("Points (Auto-generate)",INDIRECT("'"&amp;$A20&amp;"'!$A$12:$Z$12"),0),0)="","?",VLOOKUP(AF$1,INDIRECT("'"&amp;$A20&amp;"'!$A$12:$Z$41"),MATCH("Points (Auto-generate)",INDIRECT("'"&amp;$A20&amp;"'!$A$12:$Z$12"),0),0)),"ER"))</f>
        <v>?</v>
      </c>
      <c r="AG20" s="78" t="str">
        <f aca="true">IF($H20=0,"NA",IF($A20=INDIRECT("'"&amp;$A20&amp;"'!$B$1"),IF(VLOOKUP(AG$1,INDIRECT("'"&amp;$A20&amp;"'!$A$12:$Z$41"),MATCH("Points (Auto-generate)",INDIRECT("'"&amp;$A20&amp;"'!$A$12:$Z$12"),0),0)="","?",VLOOKUP(AG$1,INDIRECT("'"&amp;$A20&amp;"'!$A$12:$Z$41"),MATCH("Points (Auto-generate)",INDIRECT("'"&amp;$A20&amp;"'!$A$12:$Z$12"),0),0)),"ER"))</f>
        <v>?</v>
      </c>
      <c r="AH20" s="78" t="str">
        <f aca="true">IF($H20=0,"NA",IF($A20=INDIRECT("'"&amp;$A20&amp;"'!$B$1"),IF(VLOOKUP(AH$1,INDIRECT("'"&amp;$A20&amp;"'!$A$12:$Z$41"),MATCH("Points (Auto-generate)",INDIRECT("'"&amp;$A20&amp;"'!$A$12:$Z$12"),0),0)="","?",VLOOKUP(AH$1,INDIRECT("'"&amp;$A20&amp;"'!$A$12:$Z$41"),MATCH("Points (Auto-generate)",INDIRECT("'"&amp;$A20&amp;"'!$A$12:$Z$12"),0),0)),"ER"))</f>
        <v>?</v>
      </c>
      <c r="AI20" s="78" t="str">
        <f aca="true">IF($H20=0,"NA",IF($A20=INDIRECT("'"&amp;$A20&amp;"'!$B$1"),IF(VLOOKUP(AI$1,INDIRECT("'"&amp;$A20&amp;"'!$A$12:$Z$41"),MATCH("Points (Auto-generate)",INDIRECT("'"&amp;$A20&amp;"'!$A$12:$Z$12"),0),0)="","?",VLOOKUP(AI$1,INDIRECT("'"&amp;$A20&amp;"'!$A$12:$Z$41"),MATCH("Points (Auto-generate)",INDIRECT("'"&amp;$A20&amp;"'!$A$12:$Z$12"),0),0)),"ER"))</f>
        <v>?</v>
      </c>
      <c r="AJ20" s="78" t="str">
        <f aca="true">IF($H20=0,"NA",IF($A20=INDIRECT("'"&amp;$A20&amp;"'!$B$1"),IF(VLOOKUP(AJ$1,INDIRECT("'"&amp;$A20&amp;"'!$A$12:$Z$41"),MATCH("Points (Auto-generate)",INDIRECT("'"&amp;$A20&amp;"'!$A$12:$Z$12"),0),0)="","?",VLOOKUP(AJ$1,INDIRECT("'"&amp;$A20&amp;"'!$A$12:$Z$41"),MATCH("Points (Auto-generate)",INDIRECT("'"&amp;$A20&amp;"'!$A$12:$Z$12"),0),0)),"ER"))</f>
        <v>?</v>
      </c>
      <c r="AK20" s="78" t="str">
        <f aca="true">IF($H20=0,"NA",IF($A20=INDIRECT("'"&amp;$A20&amp;"'!$B$1"),IF(VLOOKUP(AK$1,INDIRECT("'"&amp;$A20&amp;"'!$A$12:$Z$41"),MATCH("Points (Auto-generate)",INDIRECT("'"&amp;$A20&amp;"'!$A$12:$Z$12"),0),0)="","?",VLOOKUP(AK$1,INDIRECT("'"&amp;$A20&amp;"'!$A$12:$Z$41"),MATCH("Points (Auto-generate)",INDIRECT("'"&amp;$A20&amp;"'!$A$12:$Z$12"),0),0)),"ER"))</f>
        <v>?</v>
      </c>
    </row>
    <row r="21" customFormat="false" ht="14.25" hidden="false" customHeight="true" outlineLevel="0" collapsed="false">
      <c r="A21" s="74" t="s">
        <v>119</v>
      </c>
      <c r="B21" s="75" t="str">
        <f aca="false">IF(ISBLANK($A21),"NO_CODE",VLOOKUP($A21,'UPD Questions_290926 '!$E$1:$N$300,MATCH(B$1,'UPD Questions_290926 '!$E$1:$N$1,0),0)&amp;"")</f>
        <v>Planning </v>
      </c>
      <c r="C21" s="75" t="str">
        <f aca="false">IF(ISBLANK($A21),"NO_CODE",VLOOKUP($A21,'UPD Questions_290926 '!$E$1:$N$300,MATCH(C$1,'UPD Questions_290926 '!$E$1:$N$1,0),0)&amp;"")</f>
        <v>Municipal/City Plan preparation, participation and review</v>
      </c>
      <c r="D21" s="75" t="str">
        <f aca="false">IF(ISBLANK($A21),"NO_CODE",VLOOKUP($A21,'UPD Questions_290926 '!$E$1:$N$300,MATCH(D$1,'UPD Questions_290926 '!$E$1:$N$1,0),0)&amp;"")</f>
        <v>Public participation and scrutiny</v>
      </c>
      <c r="E21" s="75" t="str">
        <f aca="false">IF(ISBLANK($A21),"NO_CODE",VLOOKUP($A21,'UPD Questions_290926 '!$E$1:$N$300,MATCH(E$1,'UPD Questions_290926 '!$E$1:$N$1,0),0)&amp;"")</f>
        <v>MQ</v>
      </c>
      <c r="F21" s="75" t="str">
        <f aca="false">IF(ISBLANK($A21),"NO_CODE",VLOOKUP($A21,'UPD Questions_290926 '!$E$1:$N$300,MATCH(F$1,'UPD Questions_290926 '!$E$1:$N$1,0),0)&amp;"")</f>
        <v>Is there public scrutiny for (including objections and responses) municipal/city plan?</v>
      </c>
      <c r="G21" s="75" t="str">
        <f aca="false">IF(ISBLANK($A21),"NO_CODE",VLOOKUP($A21,'UPD Questions_290926 '!$E$1:$N$300,MATCH(G$1,'UPD Questions_290926 '!$E$1:$N$1,0),0)&amp;"")</f>
        <v>Law/Policy &amp; Implementation</v>
      </c>
      <c r="H21" s="77" t="n">
        <f aca="false">IF(ISBLANK($A21),"NO_CODE",VLOOKUP($A21,'UPD Questions_290926 '!$E$1:$N$300,MATCH(H$1,'UPD Questions_290926 '!$E$1:$N$1,0),0))</f>
        <v>10</v>
      </c>
      <c r="I21" s="78" t="str">
        <f aca="false">IF(OR(I22="ER",I23="ER"),"ER",IF(OR(I22="?",I23="?"),"?",IF(AND(I22="NA",I23="NA"),"NA",SUM(I22,I23)/((I22&lt;&gt;"NA")*$H$22+(I23&lt;&gt;"NA")*$H$23)*$H21)))</f>
        <v>?</v>
      </c>
      <c r="J21" s="78" t="str">
        <f aca="false">IF(OR(J22="ER",J23="ER"),"ER",IF(OR(J22="?",J23="?"),"?",IF(AND(J22="NA",J23="NA"),"NA",SUM(J22,J23)/((J22&lt;&gt;"NA")*$H$22+(J23&lt;&gt;"NA")*$H$23)*$H21)))</f>
        <v>?</v>
      </c>
      <c r="K21" s="78" t="str">
        <f aca="false">IF(OR(K22="ER",K23="ER"),"ER",IF(OR(K22="?",K23="?"),"?",IF(AND(K22="NA",K23="NA"),"NA",SUM(K22,K23)/((K22&lt;&gt;"NA")*$H$22+(K23&lt;&gt;"NA")*$H$23)*$H21)))</f>
        <v>?</v>
      </c>
      <c r="L21" s="78" t="str">
        <f aca="false">IF(OR(L22="ER",L23="ER"),"ER",IF(OR(L22="?",L23="?"),"?",IF(AND(L22="NA",L23="NA"),"NA",SUM(L22,L23)/((L22&lt;&gt;"NA")*$H$22+(L23&lt;&gt;"NA")*$H$23)*$H21)))</f>
        <v>?</v>
      </c>
      <c r="M21" s="78" t="str">
        <f aca="false">IF(OR(M22="ER",M23="ER"),"ER",IF(OR(M22="?",M23="?"),"?",IF(AND(M22="NA",M23="NA"),"NA",SUM(M22,M23)/((M22&lt;&gt;"NA")*$H$22+(M23&lt;&gt;"NA")*$H$23)*$H21)))</f>
        <v>?</v>
      </c>
      <c r="N21" s="78" t="str">
        <f aca="false">IF(OR(N22="ER",N23="ER"),"ER",IF(OR(N22="?",N23="?"),"?",IF(AND(N22="NA",N23="NA"),"NA",SUM(N22,N23)/((N22&lt;&gt;"NA")*$H$22+(N23&lt;&gt;"NA")*$H$23)*$H21)))</f>
        <v>?</v>
      </c>
      <c r="O21" s="78" t="str">
        <f aca="false">IF(OR(O22="ER",O23="ER"),"ER",IF(OR(O22="?",O23="?"),"?",IF(AND(O22="NA",O23="NA"),"NA",SUM(O22,O23)/((O22&lt;&gt;"NA")*$H$22+(O23&lt;&gt;"NA")*$H$23)*$H21)))</f>
        <v>?</v>
      </c>
      <c r="P21" s="78" t="str">
        <f aca="false">IF(OR(P22="ER",P23="ER"),"ER",IF(OR(P22="?",P23="?"),"?",IF(AND(P22="NA",P23="NA"),"NA",SUM(P22,P23)/((P22&lt;&gt;"NA")*$H$22+(P23&lt;&gt;"NA")*$H$23)*$H21)))</f>
        <v>?</v>
      </c>
      <c r="Q21" s="78" t="str">
        <f aca="false">IF(OR(Q22="ER",Q23="ER"),"ER",IF(OR(Q22="?",Q23="?"),"?",IF(AND(Q22="NA",Q23="NA"),"NA",SUM(Q22,Q23)/((Q22&lt;&gt;"NA")*$H$22+(Q23&lt;&gt;"NA")*$H$23)*$H21)))</f>
        <v>?</v>
      </c>
      <c r="R21" s="78" t="str">
        <f aca="false">IF(OR(R22="ER",R23="ER"),"ER",IF(OR(R22="?",R23="?"),"?",IF(AND(R22="NA",R23="NA"),"NA",SUM(R22,R23)/((R22&lt;&gt;"NA")*$H$22+(R23&lt;&gt;"NA")*$H$23)*$H21)))</f>
        <v>?</v>
      </c>
      <c r="S21" s="78" t="str">
        <f aca="false">IF(OR(S22="ER",S23="ER"),"ER",IF(OR(S22="?",S23="?"),"?",IF(AND(S22="NA",S23="NA"),"NA",SUM(S22,S23)/((S22&lt;&gt;"NA")*$H$22+(S23&lt;&gt;"NA")*$H$23)*$H21)))</f>
        <v>?</v>
      </c>
      <c r="T21" s="78" t="str">
        <f aca="false">IF(OR(T22="ER",T23="ER"),"ER",IF(OR(T22="?",T23="?"),"?",IF(AND(T22="NA",T23="NA"),"NA",SUM(T22,T23)/((T22&lt;&gt;"NA")*$H$22+(T23&lt;&gt;"NA")*$H$23)*$H21)))</f>
        <v>?</v>
      </c>
      <c r="U21" s="78" t="str">
        <f aca="false">IF(OR(U22="ER",U23="ER"),"ER",IF(OR(U22="?",U23="?"),"?",IF(AND(U22="NA",U23="NA"),"NA",SUM(U22,U23)/((U22&lt;&gt;"NA")*$H$22+(U23&lt;&gt;"NA")*$H$23)*$H21)))</f>
        <v>?</v>
      </c>
      <c r="V21" s="78" t="str">
        <f aca="false">IF(OR(V22="ER",V23="ER"),"ER",IF(OR(V22="?",V23="?"),"?",IF(AND(V22="NA",V23="NA"),"NA",SUM(V22,V23)/((V22&lt;&gt;"NA")*$H$22+(V23&lt;&gt;"NA")*$H$23)*$H21)))</f>
        <v>?</v>
      </c>
      <c r="W21" s="78" t="str">
        <f aca="false">IF(OR(W22="ER",W23="ER"),"ER",IF(OR(W22="?",W23="?"),"?",IF(AND(W22="NA",W23="NA"),"NA",SUM(W22,W23)/((W22&lt;&gt;"NA")*$H$22+(W23&lt;&gt;"NA")*$H$23)*$H21)))</f>
        <v>?</v>
      </c>
      <c r="X21" s="78" t="str">
        <f aca="false">IF(OR(X22="ER",X23="ER"),"ER",IF(OR(X22="?",X23="?"),"?",IF(AND(X22="NA",X23="NA"),"NA",SUM(X22,X23)/((X22&lt;&gt;"NA")*$H$22+(X23&lt;&gt;"NA")*$H$23)*$H21)))</f>
        <v>?</v>
      </c>
      <c r="Y21" s="78" t="str">
        <f aca="false">IF(OR(Y22="ER",Y23="ER"),"ER",IF(OR(Y22="?",Y23="?"),"?",IF(AND(Y22="NA",Y23="NA"),"NA",SUM(Y22,Y23)/((Y22&lt;&gt;"NA")*$H$22+(Y23&lt;&gt;"NA")*$H$23)*$H21)))</f>
        <v>?</v>
      </c>
      <c r="Z21" s="78" t="str">
        <f aca="false">IF(OR(Z22="ER",Z23="ER"),"ER",IF(OR(Z22="?",Z23="?"),"?",IF(AND(Z22="NA",Z23="NA"),"NA",SUM(Z22,Z23)/((Z22&lt;&gt;"NA")*$H$22+(Z23&lt;&gt;"NA")*$H$23)*$H21)))</f>
        <v>?</v>
      </c>
      <c r="AA21" s="78" t="str">
        <f aca="false">IF(OR(AA22="ER",AA23="ER"),"ER",IF(OR(AA22="?",AA23="?"),"?",IF(AND(AA22="NA",AA23="NA"),"NA",SUM(AA22,AA23)/((AA22&lt;&gt;"NA")*$H$22+(AA23&lt;&gt;"NA")*$H$23)*$H21)))</f>
        <v>?</v>
      </c>
      <c r="AB21" s="78" t="str">
        <f aca="false">IF(OR(AB22="ER",AB23="ER"),"ER",IF(OR(AB22="?",AB23="?"),"?",IF(AND(AB22="NA",AB23="NA"),"NA",SUM(AB22,AB23)/((AB22&lt;&gt;"NA")*$H$22+(AB23&lt;&gt;"NA")*$H$23)*$H21)))</f>
        <v>?</v>
      </c>
      <c r="AC21" s="78" t="str">
        <f aca="false">IF(OR(AC22="ER",AC23="ER"),"ER",IF(OR(AC22="?",AC23="?"),"?",IF(AND(AC22="NA",AC23="NA"),"NA",SUM(AC22,AC23)/((AC22&lt;&gt;"NA")*$H$22+(AC23&lt;&gt;"NA")*$H$23)*$H21)))</f>
        <v>?</v>
      </c>
      <c r="AD21" s="78" t="str">
        <f aca="false">IF(OR(AD22="ER",AD23="ER"),"ER",IF(OR(AD22="?",AD23="?"),"?",IF(AND(AD22="NA",AD23="NA"),"NA",SUM(AD22,AD23)/((AD22&lt;&gt;"NA")*$H$22+(AD23&lt;&gt;"NA")*$H$23)*$H21)))</f>
        <v>?</v>
      </c>
      <c r="AE21" s="78" t="str">
        <f aca="false">IF(OR(AE22="ER",AE23="ER"),"ER",IF(OR(AE22="?",AE23="?"),"?",IF(AND(AE22="NA",AE23="NA"),"NA",SUM(AE22,AE23)/((AE22&lt;&gt;"NA")*$H$22+(AE23&lt;&gt;"NA")*$H$23)*$H21)))</f>
        <v>?</v>
      </c>
      <c r="AF21" s="78" t="str">
        <f aca="false">IF(OR(AF22="ER",AF23="ER"),"ER",IF(OR(AF22="?",AF23="?"),"?",IF(AND(AF22="NA",AF23="NA"),"NA",SUM(AF22,AF23)/((AF22&lt;&gt;"NA")*$H$22+(AF23&lt;&gt;"NA")*$H$23)*$H21)))</f>
        <v>?</v>
      </c>
      <c r="AG21" s="78" t="str">
        <f aca="false">IF(OR(AG22="ER",AG23="ER"),"ER",IF(OR(AG22="?",AG23="?"),"?",IF(AND(AG22="NA",AG23="NA"),"NA",SUM(AG22,AG23)/((AG22&lt;&gt;"NA")*$H$22+(AG23&lt;&gt;"NA")*$H$23)*$H21)))</f>
        <v>?</v>
      </c>
      <c r="AH21" s="78" t="str">
        <f aca="false">IF(OR(AH22="ER",AH23="ER"),"ER",IF(OR(AH22="?",AH23="?"),"?",IF(AND(AH22="NA",AH23="NA"),"NA",SUM(AH22,AH23)/((AH22&lt;&gt;"NA")*$H$22+(AH23&lt;&gt;"NA")*$H$23)*$H21)))</f>
        <v>?</v>
      </c>
      <c r="AI21" s="78" t="str">
        <f aca="false">IF(OR(AI22="ER",AI23="ER"),"ER",IF(OR(AI22="?",AI23="?"),"?",IF(AND(AI22="NA",AI23="NA"),"NA",SUM(AI22,AI23)/((AI22&lt;&gt;"NA")*$H$22+(AI23&lt;&gt;"NA")*$H$23)*$H21)))</f>
        <v>?</v>
      </c>
      <c r="AJ21" s="78" t="str">
        <f aca="false">IF(OR(AJ22="ER",AJ23="ER"),"ER",IF(OR(AJ22="?",AJ23="?"),"?",IF(AND(AJ22="NA",AJ23="NA"),"NA",SUM(AJ22,AJ23)/((AJ22&lt;&gt;"NA")*$H$22+(AJ23&lt;&gt;"NA")*$H$23)*$H21)))</f>
        <v>?</v>
      </c>
      <c r="AK21" s="78" t="str">
        <f aca="false">IF(OR(AK22="ER",AK23="ER"),"ER",IF(OR(AK22="?",AK23="?"),"?",IF(AND(AK22="NA",AK23="NA"),"NA",SUM(AK22,AK23)/((AK22&lt;&gt;"NA")*$H$22+(AK23&lt;&gt;"NA")*$H$23)*$H21)))</f>
        <v>?</v>
      </c>
    </row>
    <row r="22" customFormat="false" ht="14.25" hidden="false" customHeight="true" outlineLevel="0" collapsed="false">
      <c r="A22" s="74" t="s">
        <v>123</v>
      </c>
      <c r="B22" s="75" t="str">
        <f aca="false">IF(ISBLANK($A22),"NO_CODE",VLOOKUP($A22,'UPD Questions_290926 '!$E$1:$N$300,MATCH(B$1,'UPD Questions_290926 '!$E$1:$N$1,0),0)&amp;"")</f>
        <v>Planning </v>
      </c>
      <c r="C22" s="75" t="str">
        <f aca="false">IF(ISBLANK($A22),"NO_CODE",VLOOKUP($A22,'UPD Questions_290926 '!$E$1:$N$300,MATCH(C$1,'UPD Questions_290926 '!$E$1:$N$1,0),0)&amp;"")</f>
        <v>Municipal/City Plan preparation, participation and review</v>
      </c>
      <c r="D22" s="75" t="str">
        <f aca="false">IF(ISBLANK($A22),"NO_CODE",VLOOKUP($A22,'UPD Questions_290926 '!$E$1:$N$300,MATCH(D$1,'UPD Questions_290926 '!$E$1:$N$1,0),0)&amp;"")</f>
        <v>Public participation and scrutiny</v>
      </c>
      <c r="E22" s="75" t="str">
        <f aca="false">IF(ISBLANK($A22),"NO_CODE",VLOOKUP($A22,'UPD Questions_290926 '!$E$1:$N$300,MATCH(E$1,'UPD Questions_290926 '!$E$1:$N$1,0),0)&amp;"")</f>
        <v>SQ</v>
      </c>
      <c r="F22" s="75" t="str">
        <f aca="false">IF(ISBLANK($A22),"NO_CODE",VLOOKUP($A22,'UPD Questions_290926 '!$E$1:$N$300,MATCH(F$1,'UPD Questions_290926 '!$E$1:$N$1,0),0)&amp;"")</f>
        <v>Does the law mandate public scrutiny for (including objections and responses) municipal/city plan through Area Sabhas / Ward Sabhas and other means?</v>
      </c>
      <c r="G22" s="75" t="str">
        <f aca="false">IF(ISBLANK($A22),"NO_CODE",VLOOKUP($A22,'UPD Questions_290926 '!$E$1:$N$300,MATCH(G$1,'UPD Questions_290926 '!$E$1:$N$1,0),0)&amp;"")</f>
        <v>Law/Policy</v>
      </c>
      <c r="H22" s="77" t="n">
        <f aca="false">IF(ISBLANK($A22),"NO_CODE",VLOOKUP($A22,'UPD Questions_290926 '!$E$1:$N$300,MATCH(H$1,'UPD Questions_290926 '!$E$1:$N$1,0),0))</f>
        <v>5</v>
      </c>
      <c r="I22" s="78" t="str">
        <f aca="true">IF($H22=0,"NA",IF($A22=INDIRECT("'"&amp;$A22&amp;"'!$B$1"),IF(VLOOKUP(I$1,INDIRECT("'"&amp;$A22&amp;"'!$A$12:$Z$41"),MATCH("Points (Auto-generate)",INDIRECT("'"&amp;$A22&amp;"'!$A$12:$Z$12"),0),0)="","?",VLOOKUP(I$1,INDIRECT("'"&amp;$A22&amp;"'!$A$12:$Z$41"),MATCH("Points (Auto-generate)",INDIRECT("'"&amp;$A22&amp;"'!$A$12:$Z$12"),0),0)),"ER"))</f>
        <v>?</v>
      </c>
      <c r="J22" s="78" t="str">
        <f aca="true">IF($H22=0,"NA",IF($A22=INDIRECT("'"&amp;$A22&amp;"'!$B$1"),IF(VLOOKUP(J$1,INDIRECT("'"&amp;$A22&amp;"'!$A$12:$Z$41"),MATCH("Points (Auto-generate)",INDIRECT("'"&amp;$A22&amp;"'!$A$12:$Z$12"),0),0)="","?",VLOOKUP(J$1,INDIRECT("'"&amp;$A22&amp;"'!$A$12:$Z$41"),MATCH("Points (Auto-generate)",INDIRECT("'"&amp;$A22&amp;"'!$A$12:$Z$12"),0),0)),"ER"))</f>
        <v>?</v>
      </c>
      <c r="K22" s="78" t="str">
        <f aca="true">IF($H22=0,"NA",IF($A22=INDIRECT("'"&amp;$A22&amp;"'!$B$1"),IF(VLOOKUP(K$1,INDIRECT("'"&amp;$A22&amp;"'!$A$12:$Z$41"),MATCH("Points (Auto-generate)",INDIRECT("'"&amp;$A22&amp;"'!$A$12:$Z$12"),0),0)="","?",VLOOKUP(K$1,INDIRECT("'"&amp;$A22&amp;"'!$A$12:$Z$41"),MATCH("Points (Auto-generate)",INDIRECT("'"&amp;$A22&amp;"'!$A$12:$Z$12"),0),0)),"ER"))</f>
        <v>?</v>
      </c>
      <c r="L22" s="78" t="str">
        <f aca="true">IF($H22=0,"NA",IF($A22=INDIRECT("'"&amp;$A22&amp;"'!$B$1"),IF(VLOOKUP(L$1,INDIRECT("'"&amp;$A22&amp;"'!$A$12:$Z$41"),MATCH("Points (Auto-generate)",INDIRECT("'"&amp;$A22&amp;"'!$A$12:$Z$12"),0),0)="","?",VLOOKUP(L$1,INDIRECT("'"&amp;$A22&amp;"'!$A$12:$Z$41"),MATCH("Points (Auto-generate)",INDIRECT("'"&amp;$A22&amp;"'!$A$12:$Z$12"),0),0)),"ER"))</f>
        <v>?</v>
      </c>
      <c r="M22" s="78" t="str">
        <f aca="true">IF($H22=0,"NA",IF($A22=INDIRECT("'"&amp;$A22&amp;"'!$B$1"),IF(VLOOKUP(M$1,INDIRECT("'"&amp;$A22&amp;"'!$A$12:$Z$41"),MATCH("Points (Auto-generate)",INDIRECT("'"&amp;$A22&amp;"'!$A$12:$Z$12"),0),0)="","?",VLOOKUP(M$1,INDIRECT("'"&amp;$A22&amp;"'!$A$12:$Z$41"),MATCH("Points (Auto-generate)",INDIRECT("'"&amp;$A22&amp;"'!$A$12:$Z$12"),0),0)),"ER"))</f>
        <v>?</v>
      </c>
      <c r="N22" s="78" t="str">
        <f aca="true">IF($H22=0,"NA",IF($A22=INDIRECT("'"&amp;$A22&amp;"'!$B$1"),IF(VLOOKUP(N$1,INDIRECT("'"&amp;$A22&amp;"'!$A$12:$Z$41"),MATCH("Points (Auto-generate)",INDIRECT("'"&amp;$A22&amp;"'!$A$12:$Z$12"),0),0)="","?",VLOOKUP(N$1,INDIRECT("'"&amp;$A22&amp;"'!$A$12:$Z$41"),MATCH("Points (Auto-generate)",INDIRECT("'"&amp;$A22&amp;"'!$A$12:$Z$12"),0),0)),"ER"))</f>
        <v>?</v>
      </c>
      <c r="O22" s="78" t="str">
        <f aca="true">IF($H22=0,"NA",IF($A22=INDIRECT("'"&amp;$A22&amp;"'!$B$1"),IF(VLOOKUP(O$1,INDIRECT("'"&amp;$A22&amp;"'!$A$12:$Z$41"),MATCH("Points (Auto-generate)",INDIRECT("'"&amp;$A22&amp;"'!$A$12:$Z$12"),0),0)="","?",VLOOKUP(O$1,INDIRECT("'"&amp;$A22&amp;"'!$A$12:$Z$41"),MATCH("Points (Auto-generate)",INDIRECT("'"&amp;$A22&amp;"'!$A$12:$Z$12"),0),0)),"ER"))</f>
        <v>?</v>
      </c>
      <c r="P22" s="78" t="str">
        <f aca="true">IF($H22=0,"NA",IF($A22=INDIRECT("'"&amp;$A22&amp;"'!$B$1"),IF(VLOOKUP(P$1,INDIRECT("'"&amp;$A22&amp;"'!$A$12:$Z$41"),MATCH("Points (Auto-generate)",INDIRECT("'"&amp;$A22&amp;"'!$A$12:$Z$12"),0),0)="","?",VLOOKUP(P$1,INDIRECT("'"&amp;$A22&amp;"'!$A$12:$Z$41"),MATCH("Points (Auto-generate)",INDIRECT("'"&amp;$A22&amp;"'!$A$12:$Z$12"),0),0)),"ER"))</f>
        <v>?</v>
      </c>
      <c r="Q22" s="78" t="str">
        <f aca="true">IF($H22=0,"NA",IF($A22=INDIRECT("'"&amp;$A22&amp;"'!$B$1"),IF(VLOOKUP(Q$1,INDIRECT("'"&amp;$A22&amp;"'!$A$12:$Z$41"),MATCH("Points (Auto-generate)",INDIRECT("'"&amp;$A22&amp;"'!$A$12:$Z$12"),0),0)="","?",VLOOKUP(Q$1,INDIRECT("'"&amp;$A22&amp;"'!$A$12:$Z$41"),MATCH("Points (Auto-generate)",INDIRECT("'"&amp;$A22&amp;"'!$A$12:$Z$12"),0),0)),"ER"))</f>
        <v>?</v>
      </c>
      <c r="R22" s="78" t="str">
        <f aca="true">IF($H22=0,"NA",IF($A22=INDIRECT("'"&amp;$A22&amp;"'!$B$1"),IF(VLOOKUP(R$1,INDIRECT("'"&amp;$A22&amp;"'!$A$12:$Z$41"),MATCH("Points (Auto-generate)",INDIRECT("'"&amp;$A22&amp;"'!$A$12:$Z$12"),0),0)="","?",VLOOKUP(R$1,INDIRECT("'"&amp;$A22&amp;"'!$A$12:$Z$41"),MATCH("Points (Auto-generate)",INDIRECT("'"&amp;$A22&amp;"'!$A$12:$Z$12"),0),0)),"ER"))</f>
        <v>?</v>
      </c>
      <c r="S22" s="78" t="str">
        <f aca="true">IF($H22=0,"NA",IF($A22=INDIRECT("'"&amp;$A22&amp;"'!$B$1"),IF(VLOOKUP(S$1,INDIRECT("'"&amp;$A22&amp;"'!$A$12:$Z$41"),MATCH("Points (Auto-generate)",INDIRECT("'"&amp;$A22&amp;"'!$A$12:$Z$12"),0),0)="","?",VLOOKUP(S$1,INDIRECT("'"&amp;$A22&amp;"'!$A$12:$Z$41"),MATCH("Points (Auto-generate)",INDIRECT("'"&amp;$A22&amp;"'!$A$12:$Z$12"),0),0)),"ER"))</f>
        <v>?</v>
      </c>
      <c r="T22" s="78" t="str">
        <f aca="true">IF($H22=0,"NA",IF($A22=INDIRECT("'"&amp;$A22&amp;"'!$B$1"),IF(VLOOKUP(T$1,INDIRECT("'"&amp;$A22&amp;"'!$A$12:$Z$41"),MATCH("Points (Auto-generate)",INDIRECT("'"&amp;$A22&amp;"'!$A$12:$Z$12"),0),0)="","?",VLOOKUP(T$1,INDIRECT("'"&amp;$A22&amp;"'!$A$12:$Z$41"),MATCH("Points (Auto-generate)",INDIRECT("'"&amp;$A22&amp;"'!$A$12:$Z$12"),0),0)),"ER"))</f>
        <v>?</v>
      </c>
      <c r="U22" s="78" t="str">
        <f aca="true">IF($H22=0,"NA",IF($A22=INDIRECT("'"&amp;$A22&amp;"'!$B$1"),IF(VLOOKUP(U$1,INDIRECT("'"&amp;$A22&amp;"'!$A$12:$Z$41"),MATCH("Points (Auto-generate)",INDIRECT("'"&amp;$A22&amp;"'!$A$12:$Z$12"),0),0)="","?",VLOOKUP(U$1,INDIRECT("'"&amp;$A22&amp;"'!$A$12:$Z$41"),MATCH("Points (Auto-generate)",INDIRECT("'"&amp;$A22&amp;"'!$A$12:$Z$12"),0),0)),"ER"))</f>
        <v>?</v>
      </c>
      <c r="V22" s="78" t="str">
        <f aca="true">IF($H22=0,"NA",IF($A22=INDIRECT("'"&amp;$A22&amp;"'!$B$1"),IF(VLOOKUP(V$1,INDIRECT("'"&amp;$A22&amp;"'!$A$12:$Z$41"),MATCH("Points (Auto-generate)",INDIRECT("'"&amp;$A22&amp;"'!$A$12:$Z$12"),0),0)="","?",VLOOKUP(V$1,INDIRECT("'"&amp;$A22&amp;"'!$A$12:$Z$41"),MATCH("Points (Auto-generate)",INDIRECT("'"&amp;$A22&amp;"'!$A$12:$Z$12"),0),0)),"ER"))</f>
        <v>?</v>
      </c>
      <c r="W22" s="78" t="str">
        <f aca="true">IF($H22=0,"NA",IF($A22=INDIRECT("'"&amp;$A22&amp;"'!$B$1"),IF(VLOOKUP(W$1,INDIRECT("'"&amp;$A22&amp;"'!$A$12:$Z$41"),MATCH("Points (Auto-generate)",INDIRECT("'"&amp;$A22&amp;"'!$A$12:$Z$12"),0),0)="","?",VLOOKUP(W$1,INDIRECT("'"&amp;$A22&amp;"'!$A$12:$Z$41"),MATCH("Points (Auto-generate)",INDIRECT("'"&amp;$A22&amp;"'!$A$12:$Z$12"),0),0)),"ER"))</f>
        <v>?</v>
      </c>
      <c r="X22" s="78" t="str">
        <f aca="true">IF($H22=0,"NA",IF($A22=INDIRECT("'"&amp;$A22&amp;"'!$B$1"),IF(VLOOKUP(X$1,INDIRECT("'"&amp;$A22&amp;"'!$A$12:$Z$41"),MATCH("Points (Auto-generate)",INDIRECT("'"&amp;$A22&amp;"'!$A$12:$Z$12"),0),0)="","?",VLOOKUP(X$1,INDIRECT("'"&amp;$A22&amp;"'!$A$12:$Z$41"),MATCH("Points (Auto-generate)",INDIRECT("'"&amp;$A22&amp;"'!$A$12:$Z$12"),0),0)),"ER"))</f>
        <v>?</v>
      </c>
      <c r="Y22" s="78" t="str">
        <f aca="true">IF($H22=0,"NA",IF($A22=INDIRECT("'"&amp;$A22&amp;"'!$B$1"),IF(VLOOKUP(Y$1,INDIRECT("'"&amp;$A22&amp;"'!$A$12:$Z$41"),MATCH("Points (Auto-generate)",INDIRECT("'"&amp;$A22&amp;"'!$A$12:$Z$12"),0),0)="","?",VLOOKUP(Y$1,INDIRECT("'"&amp;$A22&amp;"'!$A$12:$Z$41"),MATCH("Points (Auto-generate)",INDIRECT("'"&amp;$A22&amp;"'!$A$12:$Z$12"),0),0)),"ER"))</f>
        <v>?</v>
      </c>
      <c r="Z22" s="78" t="str">
        <f aca="true">IF($H22=0,"NA",IF($A22=INDIRECT("'"&amp;$A22&amp;"'!$B$1"),IF(VLOOKUP(Z$1,INDIRECT("'"&amp;$A22&amp;"'!$A$12:$Z$41"),MATCH("Points (Auto-generate)",INDIRECT("'"&amp;$A22&amp;"'!$A$12:$Z$12"),0),0)="","?",VLOOKUP(Z$1,INDIRECT("'"&amp;$A22&amp;"'!$A$12:$Z$41"),MATCH("Points (Auto-generate)",INDIRECT("'"&amp;$A22&amp;"'!$A$12:$Z$12"),0),0)),"ER"))</f>
        <v>?</v>
      </c>
      <c r="AA22" s="78" t="str">
        <f aca="true">IF($H22=0,"NA",IF($A22=INDIRECT("'"&amp;$A22&amp;"'!$B$1"),IF(VLOOKUP(AA$1,INDIRECT("'"&amp;$A22&amp;"'!$A$12:$Z$41"),MATCH("Points (Auto-generate)",INDIRECT("'"&amp;$A22&amp;"'!$A$12:$Z$12"),0),0)="","?",VLOOKUP(AA$1,INDIRECT("'"&amp;$A22&amp;"'!$A$12:$Z$41"),MATCH("Points (Auto-generate)",INDIRECT("'"&amp;$A22&amp;"'!$A$12:$Z$12"),0),0)),"ER"))</f>
        <v>?</v>
      </c>
      <c r="AB22" s="78" t="str">
        <f aca="true">IF($H22=0,"NA",IF($A22=INDIRECT("'"&amp;$A22&amp;"'!$B$1"),IF(VLOOKUP(AB$1,INDIRECT("'"&amp;$A22&amp;"'!$A$12:$Z$41"),MATCH("Points (Auto-generate)",INDIRECT("'"&amp;$A22&amp;"'!$A$12:$Z$12"),0),0)="","?",VLOOKUP(AB$1,INDIRECT("'"&amp;$A22&amp;"'!$A$12:$Z$41"),MATCH("Points (Auto-generate)",INDIRECT("'"&amp;$A22&amp;"'!$A$12:$Z$12"),0),0)),"ER"))</f>
        <v>?</v>
      </c>
      <c r="AC22" s="78" t="str">
        <f aca="true">IF($H22=0,"NA",IF($A22=INDIRECT("'"&amp;$A22&amp;"'!$B$1"),IF(VLOOKUP(AC$1,INDIRECT("'"&amp;$A22&amp;"'!$A$12:$Z$41"),MATCH("Points (Auto-generate)",INDIRECT("'"&amp;$A22&amp;"'!$A$12:$Z$12"),0),0)="","?",VLOOKUP(AC$1,INDIRECT("'"&amp;$A22&amp;"'!$A$12:$Z$41"),MATCH("Points (Auto-generate)",INDIRECT("'"&amp;$A22&amp;"'!$A$12:$Z$12"),0),0)),"ER"))</f>
        <v>?</v>
      </c>
      <c r="AD22" s="78" t="str">
        <f aca="true">IF($H22=0,"NA",IF($A22=INDIRECT("'"&amp;$A22&amp;"'!$B$1"),IF(VLOOKUP(AD$1,INDIRECT("'"&amp;$A22&amp;"'!$A$12:$Z$41"),MATCH("Points (Auto-generate)",INDIRECT("'"&amp;$A22&amp;"'!$A$12:$Z$12"),0),0)="","?",VLOOKUP(AD$1,INDIRECT("'"&amp;$A22&amp;"'!$A$12:$Z$41"),MATCH("Points (Auto-generate)",INDIRECT("'"&amp;$A22&amp;"'!$A$12:$Z$12"),0),0)),"ER"))</f>
        <v>?</v>
      </c>
      <c r="AE22" s="78" t="str">
        <f aca="true">IF($H22=0,"NA",IF($A22=INDIRECT("'"&amp;$A22&amp;"'!$B$1"),IF(VLOOKUP(AE$1,INDIRECT("'"&amp;$A22&amp;"'!$A$12:$Z$41"),MATCH("Points (Auto-generate)",INDIRECT("'"&amp;$A22&amp;"'!$A$12:$Z$12"),0),0)="","?",VLOOKUP(AE$1,INDIRECT("'"&amp;$A22&amp;"'!$A$12:$Z$41"),MATCH("Points (Auto-generate)",INDIRECT("'"&amp;$A22&amp;"'!$A$12:$Z$12"),0),0)),"ER"))</f>
        <v>?</v>
      </c>
      <c r="AF22" s="78" t="str">
        <f aca="true">IF($H22=0,"NA",IF($A22=INDIRECT("'"&amp;$A22&amp;"'!$B$1"),IF(VLOOKUP(AF$1,INDIRECT("'"&amp;$A22&amp;"'!$A$12:$Z$41"),MATCH("Points (Auto-generate)",INDIRECT("'"&amp;$A22&amp;"'!$A$12:$Z$12"),0),0)="","?",VLOOKUP(AF$1,INDIRECT("'"&amp;$A22&amp;"'!$A$12:$Z$41"),MATCH("Points (Auto-generate)",INDIRECT("'"&amp;$A22&amp;"'!$A$12:$Z$12"),0),0)),"ER"))</f>
        <v>?</v>
      </c>
      <c r="AG22" s="78" t="str">
        <f aca="true">IF($H22=0,"NA",IF($A22=INDIRECT("'"&amp;$A22&amp;"'!$B$1"),IF(VLOOKUP(AG$1,INDIRECT("'"&amp;$A22&amp;"'!$A$12:$Z$41"),MATCH("Points (Auto-generate)",INDIRECT("'"&amp;$A22&amp;"'!$A$12:$Z$12"),0),0)="","?",VLOOKUP(AG$1,INDIRECT("'"&amp;$A22&amp;"'!$A$12:$Z$41"),MATCH("Points (Auto-generate)",INDIRECT("'"&amp;$A22&amp;"'!$A$12:$Z$12"),0),0)),"ER"))</f>
        <v>?</v>
      </c>
      <c r="AH22" s="78" t="str">
        <f aca="true">IF($H22=0,"NA",IF($A22=INDIRECT("'"&amp;$A22&amp;"'!$B$1"),IF(VLOOKUP(AH$1,INDIRECT("'"&amp;$A22&amp;"'!$A$12:$Z$41"),MATCH("Points (Auto-generate)",INDIRECT("'"&amp;$A22&amp;"'!$A$12:$Z$12"),0),0)="","?",VLOOKUP(AH$1,INDIRECT("'"&amp;$A22&amp;"'!$A$12:$Z$41"),MATCH("Points (Auto-generate)",INDIRECT("'"&amp;$A22&amp;"'!$A$12:$Z$12"),0),0)),"ER"))</f>
        <v>?</v>
      </c>
      <c r="AI22" s="78" t="str">
        <f aca="true">IF($H22=0,"NA",IF($A22=INDIRECT("'"&amp;$A22&amp;"'!$B$1"),IF(VLOOKUP(AI$1,INDIRECT("'"&amp;$A22&amp;"'!$A$12:$Z$41"),MATCH("Points (Auto-generate)",INDIRECT("'"&amp;$A22&amp;"'!$A$12:$Z$12"),0),0)="","?",VLOOKUP(AI$1,INDIRECT("'"&amp;$A22&amp;"'!$A$12:$Z$41"),MATCH("Points (Auto-generate)",INDIRECT("'"&amp;$A22&amp;"'!$A$12:$Z$12"),0),0)),"ER"))</f>
        <v>?</v>
      </c>
      <c r="AJ22" s="78" t="str">
        <f aca="true">IF($H22=0,"NA",IF($A22=INDIRECT("'"&amp;$A22&amp;"'!$B$1"),IF(VLOOKUP(AJ$1,INDIRECT("'"&amp;$A22&amp;"'!$A$12:$Z$41"),MATCH("Points (Auto-generate)",INDIRECT("'"&amp;$A22&amp;"'!$A$12:$Z$12"),0),0)="","?",VLOOKUP(AJ$1,INDIRECT("'"&amp;$A22&amp;"'!$A$12:$Z$41"),MATCH("Points (Auto-generate)",INDIRECT("'"&amp;$A22&amp;"'!$A$12:$Z$12"),0),0)),"ER"))</f>
        <v>?</v>
      </c>
      <c r="AK22" s="78" t="str">
        <f aca="true">IF($H22=0,"NA",IF($A22=INDIRECT("'"&amp;$A22&amp;"'!$B$1"),IF(VLOOKUP(AK$1,INDIRECT("'"&amp;$A22&amp;"'!$A$12:$Z$41"),MATCH("Points (Auto-generate)",INDIRECT("'"&amp;$A22&amp;"'!$A$12:$Z$12"),0),0)="","?",VLOOKUP(AK$1,INDIRECT("'"&amp;$A22&amp;"'!$A$12:$Z$41"),MATCH("Points (Auto-generate)",INDIRECT("'"&amp;$A22&amp;"'!$A$12:$Z$12"),0),0)),"ER"))</f>
        <v>?</v>
      </c>
    </row>
    <row r="23" customFormat="false" ht="14.25" hidden="false" customHeight="true" outlineLevel="0" collapsed="false">
      <c r="A23" s="74" t="s">
        <v>128</v>
      </c>
      <c r="B23" s="75" t="str">
        <f aca="false">IF(ISBLANK($A23),"NO_CODE",VLOOKUP($A23,'UPD Questions_290926 '!$E$1:$N$300,MATCH(B$1,'UPD Questions_290926 '!$E$1:$N$1,0),0)&amp;"")</f>
        <v>Planning </v>
      </c>
      <c r="C23" s="75" t="str">
        <f aca="false">IF(ISBLANK($A23),"NO_CODE",VLOOKUP($A23,'UPD Questions_290926 '!$E$1:$N$300,MATCH(C$1,'UPD Questions_290926 '!$E$1:$N$1,0),0)&amp;"")</f>
        <v>Municipal/City Plan preparation, participation and review</v>
      </c>
      <c r="D23" s="75" t="str">
        <f aca="false">IF(ISBLANK($A23),"NO_CODE",VLOOKUP($A23,'UPD Questions_290926 '!$E$1:$N$300,MATCH(D$1,'UPD Questions_290926 '!$E$1:$N$1,0),0)&amp;"")</f>
        <v>Public participation and scrutiny</v>
      </c>
      <c r="E23" s="75" t="str">
        <f aca="false">IF(ISBLANK($A23),"NO_CODE",VLOOKUP($A23,'UPD Questions_290926 '!$E$1:$N$300,MATCH(E$1,'UPD Questions_290926 '!$E$1:$N$1,0),0)&amp;"")</f>
        <v>SQ</v>
      </c>
      <c r="F23" s="75" t="str">
        <f aca="false">IF(ISBLANK($A23),"NO_CODE",VLOOKUP($A23,'UPD Questions_290926 '!$E$1:$N$300,MATCH(F$1,'UPD Questions_290926 '!$E$1:$N$1,0),0)&amp;"")</f>
        <v>Was the public scrutiny undertaken for (including objections and responses) municipal/city plan?</v>
      </c>
      <c r="G23" s="75" t="str">
        <f aca="false">IF(ISBLANK($A23),"NO_CODE",VLOOKUP($A23,'UPD Questions_290926 '!$E$1:$N$300,MATCH(G$1,'UPD Questions_290926 '!$E$1:$N$1,0),0)&amp;"")</f>
        <v>Implementation</v>
      </c>
      <c r="H23" s="77" t="n">
        <f aca="false">IF(ISBLANK($A23),"NO_CODE",VLOOKUP($A23,'UPD Questions_290926 '!$E$1:$N$300,MATCH(H$1,'UPD Questions_290926 '!$E$1:$N$1,0),0))</f>
        <v>5</v>
      </c>
      <c r="I23" s="78" t="str">
        <f aca="true">IF($H23=0,"NA",IF($A23=INDIRECT("'"&amp;$A23&amp;"'!$B$1"),IF(VLOOKUP(I$1,INDIRECT("'"&amp;$A23&amp;"'!$A$12:$Z$41"),MATCH("Points (Auto-generate)",INDIRECT("'"&amp;$A23&amp;"'!$A$12:$Z$12"),0),0)="","?",VLOOKUP(I$1,INDIRECT("'"&amp;$A23&amp;"'!$A$12:$Z$41"),MATCH("Points (Auto-generate)",INDIRECT("'"&amp;$A23&amp;"'!$A$12:$Z$12"),0),0)),"ER"))</f>
        <v>?</v>
      </c>
      <c r="J23" s="78" t="str">
        <f aca="true">IF($H23=0,"NA",IF($A23=INDIRECT("'"&amp;$A23&amp;"'!$B$1"),IF(VLOOKUP(J$1,INDIRECT("'"&amp;$A23&amp;"'!$A$12:$Z$41"),MATCH("Points (Auto-generate)",INDIRECT("'"&amp;$A23&amp;"'!$A$12:$Z$12"),0),0)="","?",VLOOKUP(J$1,INDIRECT("'"&amp;$A23&amp;"'!$A$12:$Z$41"),MATCH("Points (Auto-generate)",INDIRECT("'"&amp;$A23&amp;"'!$A$12:$Z$12"),0),0)),"ER"))</f>
        <v>?</v>
      </c>
      <c r="K23" s="78" t="str">
        <f aca="true">IF($H23=0,"NA",IF($A23=INDIRECT("'"&amp;$A23&amp;"'!$B$1"),IF(VLOOKUP(K$1,INDIRECT("'"&amp;$A23&amp;"'!$A$12:$Z$41"),MATCH("Points (Auto-generate)",INDIRECT("'"&amp;$A23&amp;"'!$A$12:$Z$12"),0),0)="","?",VLOOKUP(K$1,INDIRECT("'"&amp;$A23&amp;"'!$A$12:$Z$41"),MATCH("Points (Auto-generate)",INDIRECT("'"&amp;$A23&amp;"'!$A$12:$Z$12"),0),0)),"ER"))</f>
        <v>?</v>
      </c>
      <c r="L23" s="78" t="str">
        <f aca="true">IF($H23=0,"NA",IF($A23=INDIRECT("'"&amp;$A23&amp;"'!$B$1"),IF(VLOOKUP(L$1,INDIRECT("'"&amp;$A23&amp;"'!$A$12:$Z$41"),MATCH("Points (Auto-generate)",INDIRECT("'"&amp;$A23&amp;"'!$A$12:$Z$12"),0),0)="","?",VLOOKUP(L$1,INDIRECT("'"&amp;$A23&amp;"'!$A$12:$Z$41"),MATCH("Points (Auto-generate)",INDIRECT("'"&amp;$A23&amp;"'!$A$12:$Z$12"),0),0)),"ER"))</f>
        <v>?</v>
      </c>
      <c r="M23" s="78" t="str">
        <f aca="true">IF($H23=0,"NA",IF($A23=INDIRECT("'"&amp;$A23&amp;"'!$B$1"),IF(VLOOKUP(M$1,INDIRECT("'"&amp;$A23&amp;"'!$A$12:$Z$41"),MATCH("Points (Auto-generate)",INDIRECT("'"&amp;$A23&amp;"'!$A$12:$Z$12"),0),0)="","?",VLOOKUP(M$1,INDIRECT("'"&amp;$A23&amp;"'!$A$12:$Z$41"),MATCH("Points (Auto-generate)",INDIRECT("'"&amp;$A23&amp;"'!$A$12:$Z$12"),0),0)),"ER"))</f>
        <v>?</v>
      </c>
      <c r="N23" s="78" t="str">
        <f aca="true">IF($H23=0,"NA",IF($A23=INDIRECT("'"&amp;$A23&amp;"'!$B$1"),IF(VLOOKUP(N$1,INDIRECT("'"&amp;$A23&amp;"'!$A$12:$Z$41"),MATCH("Points (Auto-generate)",INDIRECT("'"&amp;$A23&amp;"'!$A$12:$Z$12"),0),0)="","?",VLOOKUP(N$1,INDIRECT("'"&amp;$A23&amp;"'!$A$12:$Z$41"),MATCH("Points (Auto-generate)",INDIRECT("'"&amp;$A23&amp;"'!$A$12:$Z$12"),0),0)),"ER"))</f>
        <v>?</v>
      </c>
      <c r="O23" s="78" t="str">
        <f aca="true">IF($H23=0,"NA",IF($A23=INDIRECT("'"&amp;$A23&amp;"'!$B$1"),IF(VLOOKUP(O$1,INDIRECT("'"&amp;$A23&amp;"'!$A$12:$Z$41"),MATCH("Points (Auto-generate)",INDIRECT("'"&amp;$A23&amp;"'!$A$12:$Z$12"),0),0)="","?",VLOOKUP(O$1,INDIRECT("'"&amp;$A23&amp;"'!$A$12:$Z$41"),MATCH("Points (Auto-generate)",INDIRECT("'"&amp;$A23&amp;"'!$A$12:$Z$12"),0),0)),"ER"))</f>
        <v>?</v>
      </c>
      <c r="P23" s="78" t="str">
        <f aca="true">IF($H23=0,"NA",IF($A23=INDIRECT("'"&amp;$A23&amp;"'!$B$1"),IF(VLOOKUP(P$1,INDIRECT("'"&amp;$A23&amp;"'!$A$12:$Z$41"),MATCH("Points (Auto-generate)",INDIRECT("'"&amp;$A23&amp;"'!$A$12:$Z$12"),0),0)="","?",VLOOKUP(P$1,INDIRECT("'"&amp;$A23&amp;"'!$A$12:$Z$41"),MATCH("Points (Auto-generate)",INDIRECT("'"&amp;$A23&amp;"'!$A$12:$Z$12"),0),0)),"ER"))</f>
        <v>?</v>
      </c>
      <c r="Q23" s="78" t="str">
        <f aca="true">IF($H23=0,"NA",IF($A23=INDIRECT("'"&amp;$A23&amp;"'!$B$1"),IF(VLOOKUP(Q$1,INDIRECT("'"&amp;$A23&amp;"'!$A$12:$Z$41"),MATCH("Points (Auto-generate)",INDIRECT("'"&amp;$A23&amp;"'!$A$12:$Z$12"),0),0)="","?",VLOOKUP(Q$1,INDIRECT("'"&amp;$A23&amp;"'!$A$12:$Z$41"),MATCH("Points (Auto-generate)",INDIRECT("'"&amp;$A23&amp;"'!$A$12:$Z$12"),0),0)),"ER"))</f>
        <v>?</v>
      </c>
      <c r="R23" s="78" t="str">
        <f aca="true">IF($H23=0,"NA",IF($A23=INDIRECT("'"&amp;$A23&amp;"'!$B$1"),IF(VLOOKUP(R$1,INDIRECT("'"&amp;$A23&amp;"'!$A$12:$Z$41"),MATCH("Points (Auto-generate)",INDIRECT("'"&amp;$A23&amp;"'!$A$12:$Z$12"),0),0)="","?",VLOOKUP(R$1,INDIRECT("'"&amp;$A23&amp;"'!$A$12:$Z$41"),MATCH("Points (Auto-generate)",INDIRECT("'"&amp;$A23&amp;"'!$A$12:$Z$12"),0),0)),"ER"))</f>
        <v>?</v>
      </c>
      <c r="S23" s="78" t="str">
        <f aca="true">IF($H23=0,"NA",IF($A23=INDIRECT("'"&amp;$A23&amp;"'!$B$1"),IF(VLOOKUP(S$1,INDIRECT("'"&amp;$A23&amp;"'!$A$12:$Z$41"),MATCH("Points (Auto-generate)",INDIRECT("'"&amp;$A23&amp;"'!$A$12:$Z$12"),0),0)="","?",VLOOKUP(S$1,INDIRECT("'"&amp;$A23&amp;"'!$A$12:$Z$41"),MATCH("Points (Auto-generate)",INDIRECT("'"&amp;$A23&amp;"'!$A$12:$Z$12"),0),0)),"ER"))</f>
        <v>?</v>
      </c>
      <c r="T23" s="78" t="str">
        <f aca="true">IF($H23=0,"NA",IF($A23=INDIRECT("'"&amp;$A23&amp;"'!$B$1"),IF(VLOOKUP(T$1,INDIRECT("'"&amp;$A23&amp;"'!$A$12:$Z$41"),MATCH("Points (Auto-generate)",INDIRECT("'"&amp;$A23&amp;"'!$A$12:$Z$12"),0),0)="","?",VLOOKUP(T$1,INDIRECT("'"&amp;$A23&amp;"'!$A$12:$Z$41"),MATCH("Points (Auto-generate)",INDIRECT("'"&amp;$A23&amp;"'!$A$12:$Z$12"),0),0)),"ER"))</f>
        <v>?</v>
      </c>
      <c r="U23" s="78" t="str">
        <f aca="true">IF($H23=0,"NA",IF($A23=INDIRECT("'"&amp;$A23&amp;"'!$B$1"),IF(VLOOKUP(U$1,INDIRECT("'"&amp;$A23&amp;"'!$A$12:$Z$41"),MATCH("Points (Auto-generate)",INDIRECT("'"&amp;$A23&amp;"'!$A$12:$Z$12"),0),0)="","?",VLOOKUP(U$1,INDIRECT("'"&amp;$A23&amp;"'!$A$12:$Z$41"),MATCH("Points (Auto-generate)",INDIRECT("'"&amp;$A23&amp;"'!$A$12:$Z$12"),0),0)),"ER"))</f>
        <v>?</v>
      </c>
      <c r="V23" s="78" t="str">
        <f aca="true">IF($H23=0,"NA",IF($A23=INDIRECT("'"&amp;$A23&amp;"'!$B$1"),IF(VLOOKUP(V$1,INDIRECT("'"&amp;$A23&amp;"'!$A$12:$Z$41"),MATCH("Points (Auto-generate)",INDIRECT("'"&amp;$A23&amp;"'!$A$12:$Z$12"),0),0)="","?",VLOOKUP(V$1,INDIRECT("'"&amp;$A23&amp;"'!$A$12:$Z$41"),MATCH("Points (Auto-generate)",INDIRECT("'"&amp;$A23&amp;"'!$A$12:$Z$12"),0),0)),"ER"))</f>
        <v>?</v>
      </c>
      <c r="W23" s="78" t="str">
        <f aca="true">IF($H23=0,"NA",IF($A23=INDIRECT("'"&amp;$A23&amp;"'!$B$1"),IF(VLOOKUP(W$1,INDIRECT("'"&amp;$A23&amp;"'!$A$12:$Z$41"),MATCH("Points (Auto-generate)",INDIRECT("'"&amp;$A23&amp;"'!$A$12:$Z$12"),0),0)="","?",VLOOKUP(W$1,INDIRECT("'"&amp;$A23&amp;"'!$A$12:$Z$41"),MATCH("Points (Auto-generate)",INDIRECT("'"&amp;$A23&amp;"'!$A$12:$Z$12"),0),0)),"ER"))</f>
        <v>?</v>
      </c>
      <c r="X23" s="78" t="str">
        <f aca="true">IF($H23=0,"NA",IF($A23=INDIRECT("'"&amp;$A23&amp;"'!$B$1"),IF(VLOOKUP(X$1,INDIRECT("'"&amp;$A23&amp;"'!$A$12:$Z$41"),MATCH("Points (Auto-generate)",INDIRECT("'"&amp;$A23&amp;"'!$A$12:$Z$12"),0),0)="","?",VLOOKUP(X$1,INDIRECT("'"&amp;$A23&amp;"'!$A$12:$Z$41"),MATCH("Points (Auto-generate)",INDIRECT("'"&amp;$A23&amp;"'!$A$12:$Z$12"),0),0)),"ER"))</f>
        <v>?</v>
      </c>
      <c r="Y23" s="78" t="str">
        <f aca="true">IF($H23=0,"NA",IF($A23=INDIRECT("'"&amp;$A23&amp;"'!$B$1"),IF(VLOOKUP(Y$1,INDIRECT("'"&amp;$A23&amp;"'!$A$12:$Z$41"),MATCH("Points (Auto-generate)",INDIRECT("'"&amp;$A23&amp;"'!$A$12:$Z$12"),0),0)="","?",VLOOKUP(Y$1,INDIRECT("'"&amp;$A23&amp;"'!$A$12:$Z$41"),MATCH("Points (Auto-generate)",INDIRECT("'"&amp;$A23&amp;"'!$A$12:$Z$12"),0),0)),"ER"))</f>
        <v>?</v>
      </c>
      <c r="Z23" s="78" t="str">
        <f aca="true">IF($H23=0,"NA",IF($A23=INDIRECT("'"&amp;$A23&amp;"'!$B$1"),IF(VLOOKUP(Z$1,INDIRECT("'"&amp;$A23&amp;"'!$A$12:$Z$41"),MATCH("Points (Auto-generate)",INDIRECT("'"&amp;$A23&amp;"'!$A$12:$Z$12"),0),0)="","?",VLOOKUP(Z$1,INDIRECT("'"&amp;$A23&amp;"'!$A$12:$Z$41"),MATCH("Points (Auto-generate)",INDIRECT("'"&amp;$A23&amp;"'!$A$12:$Z$12"),0),0)),"ER"))</f>
        <v>?</v>
      </c>
      <c r="AA23" s="78" t="str">
        <f aca="true">IF($H23=0,"NA",IF($A23=INDIRECT("'"&amp;$A23&amp;"'!$B$1"),IF(VLOOKUP(AA$1,INDIRECT("'"&amp;$A23&amp;"'!$A$12:$Z$41"),MATCH("Points (Auto-generate)",INDIRECT("'"&amp;$A23&amp;"'!$A$12:$Z$12"),0),0)="","?",VLOOKUP(AA$1,INDIRECT("'"&amp;$A23&amp;"'!$A$12:$Z$41"),MATCH("Points (Auto-generate)",INDIRECT("'"&amp;$A23&amp;"'!$A$12:$Z$12"),0),0)),"ER"))</f>
        <v>?</v>
      </c>
      <c r="AB23" s="78" t="str">
        <f aca="true">IF($H23=0,"NA",IF($A23=INDIRECT("'"&amp;$A23&amp;"'!$B$1"),IF(VLOOKUP(AB$1,INDIRECT("'"&amp;$A23&amp;"'!$A$12:$Z$41"),MATCH("Points (Auto-generate)",INDIRECT("'"&amp;$A23&amp;"'!$A$12:$Z$12"),0),0)="","?",VLOOKUP(AB$1,INDIRECT("'"&amp;$A23&amp;"'!$A$12:$Z$41"),MATCH("Points (Auto-generate)",INDIRECT("'"&amp;$A23&amp;"'!$A$12:$Z$12"),0),0)),"ER"))</f>
        <v>?</v>
      </c>
      <c r="AC23" s="78" t="str">
        <f aca="true">IF($H23=0,"NA",IF($A23=INDIRECT("'"&amp;$A23&amp;"'!$B$1"),IF(VLOOKUP(AC$1,INDIRECT("'"&amp;$A23&amp;"'!$A$12:$Z$41"),MATCH("Points (Auto-generate)",INDIRECT("'"&amp;$A23&amp;"'!$A$12:$Z$12"),0),0)="","?",VLOOKUP(AC$1,INDIRECT("'"&amp;$A23&amp;"'!$A$12:$Z$41"),MATCH("Points (Auto-generate)",INDIRECT("'"&amp;$A23&amp;"'!$A$12:$Z$12"),0),0)),"ER"))</f>
        <v>?</v>
      </c>
      <c r="AD23" s="78" t="str">
        <f aca="true">IF($H23=0,"NA",IF($A23=INDIRECT("'"&amp;$A23&amp;"'!$B$1"),IF(VLOOKUP(AD$1,INDIRECT("'"&amp;$A23&amp;"'!$A$12:$Z$41"),MATCH("Points (Auto-generate)",INDIRECT("'"&amp;$A23&amp;"'!$A$12:$Z$12"),0),0)="","?",VLOOKUP(AD$1,INDIRECT("'"&amp;$A23&amp;"'!$A$12:$Z$41"),MATCH("Points (Auto-generate)",INDIRECT("'"&amp;$A23&amp;"'!$A$12:$Z$12"),0),0)),"ER"))</f>
        <v>?</v>
      </c>
      <c r="AE23" s="78" t="str">
        <f aca="true">IF($H23=0,"NA",IF($A23=INDIRECT("'"&amp;$A23&amp;"'!$B$1"),IF(VLOOKUP(AE$1,INDIRECT("'"&amp;$A23&amp;"'!$A$12:$Z$41"),MATCH("Points (Auto-generate)",INDIRECT("'"&amp;$A23&amp;"'!$A$12:$Z$12"),0),0)="","?",VLOOKUP(AE$1,INDIRECT("'"&amp;$A23&amp;"'!$A$12:$Z$41"),MATCH("Points (Auto-generate)",INDIRECT("'"&amp;$A23&amp;"'!$A$12:$Z$12"),0),0)),"ER"))</f>
        <v>?</v>
      </c>
      <c r="AF23" s="78" t="str">
        <f aca="true">IF($H23=0,"NA",IF($A23=INDIRECT("'"&amp;$A23&amp;"'!$B$1"),IF(VLOOKUP(AF$1,INDIRECT("'"&amp;$A23&amp;"'!$A$12:$Z$41"),MATCH("Points (Auto-generate)",INDIRECT("'"&amp;$A23&amp;"'!$A$12:$Z$12"),0),0)="","?",VLOOKUP(AF$1,INDIRECT("'"&amp;$A23&amp;"'!$A$12:$Z$41"),MATCH("Points (Auto-generate)",INDIRECT("'"&amp;$A23&amp;"'!$A$12:$Z$12"),0),0)),"ER"))</f>
        <v>?</v>
      </c>
      <c r="AG23" s="78" t="str">
        <f aca="true">IF($H23=0,"NA",IF($A23=INDIRECT("'"&amp;$A23&amp;"'!$B$1"),IF(VLOOKUP(AG$1,INDIRECT("'"&amp;$A23&amp;"'!$A$12:$Z$41"),MATCH("Points (Auto-generate)",INDIRECT("'"&amp;$A23&amp;"'!$A$12:$Z$12"),0),0)="","?",VLOOKUP(AG$1,INDIRECT("'"&amp;$A23&amp;"'!$A$12:$Z$41"),MATCH("Points (Auto-generate)",INDIRECT("'"&amp;$A23&amp;"'!$A$12:$Z$12"),0),0)),"ER"))</f>
        <v>?</v>
      </c>
      <c r="AH23" s="78" t="str">
        <f aca="true">IF($H23=0,"NA",IF($A23=INDIRECT("'"&amp;$A23&amp;"'!$B$1"),IF(VLOOKUP(AH$1,INDIRECT("'"&amp;$A23&amp;"'!$A$12:$Z$41"),MATCH("Points (Auto-generate)",INDIRECT("'"&amp;$A23&amp;"'!$A$12:$Z$12"),0),0)="","?",VLOOKUP(AH$1,INDIRECT("'"&amp;$A23&amp;"'!$A$12:$Z$41"),MATCH("Points (Auto-generate)",INDIRECT("'"&amp;$A23&amp;"'!$A$12:$Z$12"),0),0)),"ER"))</f>
        <v>?</v>
      </c>
      <c r="AI23" s="78" t="str">
        <f aca="true">IF($H23=0,"NA",IF($A23=INDIRECT("'"&amp;$A23&amp;"'!$B$1"),IF(VLOOKUP(AI$1,INDIRECT("'"&amp;$A23&amp;"'!$A$12:$Z$41"),MATCH("Points (Auto-generate)",INDIRECT("'"&amp;$A23&amp;"'!$A$12:$Z$12"),0),0)="","?",VLOOKUP(AI$1,INDIRECT("'"&amp;$A23&amp;"'!$A$12:$Z$41"),MATCH("Points (Auto-generate)",INDIRECT("'"&amp;$A23&amp;"'!$A$12:$Z$12"),0),0)),"ER"))</f>
        <v>?</v>
      </c>
      <c r="AJ23" s="78" t="str">
        <f aca="true">IF($H23=0,"NA",IF($A23=INDIRECT("'"&amp;$A23&amp;"'!$B$1"),IF(VLOOKUP(AJ$1,INDIRECT("'"&amp;$A23&amp;"'!$A$12:$Z$41"),MATCH("Points (Auto-generate)",INDIRECT("'"&amp;$A23&amp;"'!$A$12:$Z$12"),0),0)="","?",VLOOKUP(AJ$1,INDIRECT("'"&amp;$A23&amp;"'!$A$12:$Z$41"),MATCH("Points (Auto-generate)",INDIRECT("'"&amp;$A23&amp;"'!$A$12:$Z$12"),0),0)),"ER"))</f>
        <v>?</v>
      </c>
      <c r="AK23" s="78" t="str">
        <f aca="true">IF($H23=0,"NA",IF($A23=INDIRECT("'"&amp;$A23&amp;"'!$B$1"),IF(VLOOKUP(AK$1,INDIRECT("'"&amp;$A23&amp;"'!$A$12:$Z$41"),MATCH("Points (Auto-generate)",INDIRECT("'"&amp;$A23&amp;"'!$A$12:$Z$12"),0),0)="","?",VLOOKUP(AK$1,INDIRECT("'"&amp;$A23&amp;"'!$A$12:$Z$41"),MATCH("Points (Auto-generate)",INDIRECT("'"&amp;$A23&amp;"'!$A$12:$Z$12"),0),0)),"ER"))</f>
        <v>?</v>
      </c>
    </row>
    <row r="24" customFormat="false" ht="14.25" hidden="false" customHeight="true" outlineLevel="0" collapsed="false">
      <c r="A24" s="74" t="s">
        <v>132</v>
      </c>
      <c r="B24" s="75" t="str">
        <f aca="false">IF(ISBLANK($A24),"NO_CODE",VLOOKUP($A24,'UPD Questions_290926 '!$E$1:$N$300,MATCH(B$1,'UPD Questions_290926 '!$E$1:$N$1,0),0)&amp;"")</f>
        <v>Planning </v>
      </c>
      <c r="C24" s="75" t="str">
        <f aca="false">IF(ISBLANK($A24),"NO_CODE",VLOOKUP($A24,'UPD Questions_290926 '!$E$1:$N$300,MATCH(C$1,'UPD Questions_290926 '!$E$1:$N$1,0),0)&amp;"")</f>
        <v>Municipal/City Plan preparation, participation and review</v>
      </c>
      <c r="D24" s="75" t="str">
        <f aca="false">IF(ISBLANK($A24),"NO_CODE",VLOOKUP($A24,'UPD Questions_290926 '!$E$1:$N$300,MATCH(D$1,'UPD Questions_290926 '!$E$1:$N$1,0),0)&amp;"")</f>
        <v>Plan modification and implementation review</v>
      </c>
      <c r="E24" s="75" t="str">
        <f aca="false">IF(ISBLANK($A24),"NO_CODE",VLOOKUP($A24,'UPD Questions_290926 '!$E$1:$N$300,MATCH(E$1,'UPD Questions_290926 '!$E$1:$N$1,0),0)&amp;"")</f>
        <v>MQ</v>
      </c>
      <c r="F24" s="75" t="str">
        <f aca="false">IF(ISBLANK($A24),"NO_CODE",VLOOKUP($A24,'UPD Questions_290926 '!$E$1:$N$300,MATCH(F$1,'UPD Questions_290926 '!$E$1:$N$1,0),0)&amp;"")</f>
        <v>Does the law mandate periodic review and revision of the notified municipal/city plan, including corresponding revisions to the Development Control Regulations (DCRs)?</v>
      </c>
      <c r="G24" s="75" t="str">
        <f aca="false">IF(ISBLANK($A24),"NO_CODE",VLOOKUP($A24,'UPD Questions_290926 '!$E$1:$N$300,MATCH(G$1,'UPD Questions_290926 '!$E$1:$N$1,0),0)&amp;"")</f>
        <v>Law or Policy</v>
      </c>
      <c r="H24" s="77" t="n">
        <f aca="false">IF(ISBLANK($A24),"NO_CODE",VLOOKUP($A24,'UPD Questions_290926 '!$E$1:$N$300,MATCH(H$1,'UPD Questions_290926 '!$E$1:$N$1,0),0))</f>
        <v>10</v>
      </c>
      <c r="I24" s="78" t="str">
        <f aca="true">IF($H24=0,"NA",IF($A24=INDIRECT("'"&amp;$A24&amp;"'!$B$1"),IF(VLOOKUP(I$1,INDIRECT("'"&amp;$A24&amp;"'!$A$12:$Z$41"),MATCH("Points (Auto-generate)",INDIRECT("'"&amp;$A24&amp;"'!$A$12:$Z$12"),0),0)="","?",VLOOKUP(I$1,INDIRECT("'"&amp;$A24&amp;"'!$A$12:$Z$41"),MATCH("Points (Auto-generate)",INDIRECT("'"&amp;$A24&amp;"'!$A$12:$Z$12"),0),0)),"ER"))</f>
        <v>?</v>
      </c>
      <c r="J24" s="78" t="str">
        <f aca="true">IF($H24=0,"NA",IF($A24=INDIRECT("'"&amp;$A24&amp;"'!$B$1"),IF(VLOOKUP(J$1,INDIRECT("'"&amp;$A24&amp;"'!$A$12:$Z$41"),MATCH("Points (Auto-generate)",INDIRECT("'"&amp;$A24&amp;"'!$A$12:$Z$12"),0),0)="","?",VLOOKUP(J$1,INDIRECT("'"&amp;$A24&amp;"'!$A$12:$Z$41"),MATCH("Points (Auto-generate)",INDIRECT("'"&amp;$A24&amp;"'!$A$12:$Z$12"),0),0)),"ER"))</f>
        <v>?</v>
      </c>
      <c r="K24" s="78" t="str">
        <f aca="true">IF($H24=0,"NA",IF($A24=INDIRECT("'"&amp;$A24&amp;"'!$B$1"),IF(VLOOKUP(K$1,INDIRECT("'"&amp;$A24&amp;"'!$A$12:$Z$41"),MATCH("Points (Auto-generate)",INDIRECT("'"&amp;$A24&amp;"'!$A$12:$Z$12"),0),0)="","?",VLOOKUP(K$1,INDIRECT("'"&amp;$A24&amp;"'!$A$12:$Z$41"),MATCH("Points (Auto-generate)",INDIRECT("'"&amp;$A24&amp;"'!$A$12:$Z$12"),0),0)),"ER"))</f>
        <v>?</v>
      </c>
      <c r="L24" s="78" t="str">
        <f aca="true">IF($H24=0,"NA",IF($A24=INDIRECT("'"&amp;$A24&amp;"'!$B$1"),IF(VLOOKUP(L$1,INDIRECT("'"&amp;$A24&amp;"'!$A$12:$Z$41"),MATCH("Points (Auto-generate)",INDIRECT("'"&amp;$A24&amp;"'!$A$12:$Z$12"),0),0)="","?",VLOOKUP(L$1,INDIRECT("'"&amp;$A24&amp;"'!$A$12:$Z$41"),MATCH("Points (Auto-generate)",INDIRECT("'"&amp;$A24&amp;"'!$A$12:$Z$12"),0),0)),"ER"))</f>
        <v>?</v>
      </c>
      <c r="M24" s="78" t="str">
        <f aca="true">IF($H24=0,"NA",IF($A24=INDIRECT("'"&amp;$A24&amp;"'!$B$1"),IF(VLOOKUP(M$1,INDIRECT("'"&amp;$A24&amp;"'!$A$12:$Z$41"),MATCH("Points (Auto-generate)",INDIRECT("'"&amp;$A24&amp;"'!$A$12:$Z$12"),0),0)="","?",VLOOKUP(M$1,INDIRECT("'"&amp;$A24&amp;"'!$A$12:$Z$41"),MATCH("Points (Auto-generate)",INDIRECT("'"&amp;$A24&amp;"'!$A$12:$Z$12"),0),0)),"ER"))</f>
        <v>?</v>
      </c>
      <c r="N24" s="78" t="str">
        <f aca="true">IF($H24=0,"NA",IF($A24=INDIRECT("'"&amp;$A24&amp;"'!$B$1"),IF(VLOOKUP(N$1,INDIRECT("'"&amp;$A24&amp;"'!$A$12:$Z$41"),MATCH("Points (Auto-generate)",INDIRECT("'"&amp;$A24&amp;"'!$A$12:$Z$12"),0),0)="","?",VLOOKUP(N$1,INDIRECT("'"&amp;$A24&amp;"'!$A$12:$Z$41"),MATCH("Points (Auto-generate)",INDIRECT("'"&amp;$A24&amp;"'!$A$12:$Z$12"),0),0)),"ER"))</f>
        <v>?</v>
      </c>
      <c r="O24" s="78" t="str">
        <f aca="true">IF($H24=0,"NA",IF($A24=INDIRECT("'"&amp;$A24&amp;"'!$B$1"),IF(VLOOKUP(O$1,INDIRECT("'"&amp;$A24&amp;"'!$A$12:$Z$41"),MATCH("Points (Auto-generate)",INDIRECT("'"&amp;$A24&amp;"'!$A$12:$Z$12"),0),0)="","?",VLOOKUP(O$1,INDIRECT("'"&amp;$A24&amp;"'!$A$12:$Z$41"),MATCH("Points (Auto-generate)",INDIRECT("'"&amp;$A24&amp;"'!$A$12:$Z$12"),0),0)),"ER"))</f>
        <v>?</v>
      </c>
      <c r="P24" s="78" t="str">
        <f aca="true">IF($H24=0,"NA",IF($A24=INDIRECT("'"&amp;$A24&amp;"'!$B$1"),IF(VLOOKUP(P$1,INDIRECT("'"&amp;$A24&amp;"'!$A$12:$Z$41"),MATCH("Points (Auto-generate)",INDIRECT("'"&amp;$A24&amp;"'!$A$12:$Z$12"),0),0)="","?",VLOOKUP(P$1,INDIRECT("'"&amp;$A24&amp;"'!$A$12:$Z$41"),MATCH("Points (Auto-generate)",INDIRECT("'"&amp;$A24&amp;"'!$A$12:$Z$12"),0),0)),"ER"))</f>
        <v>?</v>
      </c>
      <c r="Q24" s="78" t="str">
        <f aca="true">IF($H24=0,"NA",IF($A24=INDIRECT("'"&amp;$A24&amp;"'!$B$1"),IF(VLOOKUP(Q$1,INDIRECT("'"&amp;$A24&amp;"'!$A$12:$Z$41"),MATCH("Points (Auto-generate)",INDIRECT("'"&amp;$A24&amp;"'!$A$12:$Z$12"),0),0)="","?",VLOOKUP(Q$1,INDIRECT("'"&amp;$A24&amp;"'!$A$12:$Z$41"),MATCH("Points (Auto-generate)",INDIRECT("'"&amp;$A24&amp;"'!$A$12:$Z$12"),0),0)),"ER"))</f>
        <v>?</v>
      </c>
      <c r="R24" s="78" t="str">
        <f aca="true">IF($H24=0,"NA",IF($A24=INDIRECT("'"&amp;$A24&amp;"'!$B$1"),IF(VLOOKUP(R$1,INDIRECT("'"&amp;$A24&amp;"'!$A$12:$Z$41"),MATCH("Points (Auto-generate)",INDIRECT("'"&amp;$A24&amp;"'!$A$12:$Z$12"),0),0)="","?",VLOOKUP(R$1,INDIRECT("'"&amp;$A24&amp;"'!$A$12:$Z$41"),MATCH("Points (Auto-generate)",INDIRECT("'"&amp;$A24&amp;"'!$A$12:$Z$12"),0),0)),"ER"))</f>
        <v>?</v>
      </c>
      <c r="S24" s="78" t="str">
        <f aca="true">IF($H24=0,"NA",IF($A24=INDIRECT("'"&amp;$A24&amp;"'!$B$1"),IF(VLOOKUP(S$1,INDIRECT("'"&amp;$A24&amp;"'!$A$12:$Z$41"),MATCH("Points (Auto-generate)",INDIRECT("'"&amp;$A24&amp;"'!$A$12:$Z$12"),0),0)="","?",VLOOKUP(S$1,INDIRECT("'"&amp;$A24&amp;"'!$A$12:$Z$41"),MATCH("Points (Auto-generate)",INDIRECT("'"&amp;$A24&amp;"'!$A$12:$Z$12"),0),0)),"ER"))</f>
        <v>?</v>
      </c>
      <c r="T24" s="78" t="str">
        <f aca="true">IF($H24=0,"NA",IF($A24=INDIRECT("'"&amp;$A24&amp;"'!$B$1"),IF(VLOOKUP(T$1,INDIRECT("'"&amp;$A24&amp;"'!$A$12:$Z$41"),MATCH("Points (Auto-generate)",INDIRECT("'"&amp;$A24&amp;"'!$A$12:$Z$12"),0),0)="","?",VLOOKUP(T$1,INDIRECT("'"&amp;$A24&amp;"'!$A$12:$Z$41"),MATCH("Points (Auto-generate)",INDIRECT("'"&amp;$A24&amp;"'!$A$12:$Z$12"),0),0)),"ER"))</f>
        <v>?</v>
      </c>
      <c r="U24" s="78" t="str">
        <f aca="true">IF($H24=0,"NA",IF($A24=INDIRECT("'"&amp;$A24&amp;"'!$B$1"),IF(VLOOKUP(U$1,INDIRECT("'"&amp;$A24&amp;"'!$A$12:$Z$41"),MATCH("Points (Auto-generate)",INDIRECT("'"&amp;$A24&amp;"'!$A$12:$Z$12"),0),0)="","?",VLOOKUP(U$1,INDIRECT("'"&amp;$A24&amp;"'!$A$12:$Z$41"),MATCH("Points (Auto-generate)",INDIRECT("'"&amp;$A24&amp;"'!$A$12:$Z$12"),0),0)),"ER"))</f>
        <v>?</v>
      </c>
      <c r="V24" s="78" t="str">
        <f aca="true">IF($H24=0,"NA",IF($A24=INDIRECT("'"&amp;$A24&amp;"'!$B$1"),IF(VLOOKUP(V$1,INDIRECT("'"&amp;$A24&amp;"'!$A$12:$Z$41"),MATCH("Points (Auto-generate)",INDIRECT("'"&amp;$A24&amp;"'!$A$12:$Z$12"),0),0)="","?",VLOOKUP(V$1,INDIRECT("'"&amp;$A24&amp;"'!$A$12:$Z$41"),MATCH("Points (Auto-generate)",INDIRECT("'"&amp;$A24&amp;"'!$A$12:$Z$12"),0),0)),"ER"))</f>
        <v>?</v>
      </c>
      <c r="W24" s="78" t="str">
        <f aca="true">IF($H24=0,"NA",IF($A24=INDIRECT("'"&amp;$A24&amp;"'!$B$1"),IF(VLOOKUP(W$1,INDIRECT("'"&amp;$A24&amp;"'!$A$12:$Z$41"),MATCH("Points (Auto-generate)",INDIRECT("'"&amp;$A24&amp;"'!$A$12:$Z$12"),0),0)="","?",VLOOKUP(W$1,INDIRECT("'"&amp;$A24&amp;"'!$A$12:$Z$41"),MATCH("Points (Auto-generate)",INDIRECT("'"&amp;$A24&amp;"'!$A$12:$Z$12"),0),0)),"ER"))</f>
        <v>?</v>
      </c>
      <c r="X24" s="78" t="str">
        <f aca="true">IF($H24=0,"NA",IF($A24=INDIRECT("'"&amp;$A24&amp;"'!$B$1"),IF(VLOOKUP(X$1,INDIRECT("'"&amp;$A24&amp;"'!$A$12:$Z$41"),MATCH("Points (Auto-generate)",INDIRECT("'"&amp;$A24&amp;"'!$A$12:$Z$12"),0),0)="","?",VLOOKUP(X$1,INDIRECT("'"&amp;$A24&amp;"'!$A$12:$Z$41"),MATCH("Points (Auto-generate)",INDIRECT("'"&amp;$A24&amp;"'!$A$12:$Z$12"),0),0)),"ER"))</f>
        <v>?</v>
      </c>
      <c r="Y24" s="78" t="str">
        <f aca="true">IF($H24=0,"NA",IF($A24=INDIRECT("'"&amp;$A24&amp;"'!$B$1"),IF(VLOOKUP(Y$1,INDIRECT("'"&amp;$A24&amp;"'!$A$12:$Z$41"),MATCH("Points (Auto-generate)",INDIRECT("'"&amp;$A24&amp;"'!$A$12:$Z$12"),0),0)="","?",VLOOKUP(Y$1,INDIRECT("'"&amp;$A24&amp;"'!$A$12:$Z$41"),MATCH("Points (Auto-generate)",INDIRECT("'"&amp;$A24&amp;"'!$A$12:$Z$12"),0),0)),"ER"))</f>
        <v>?</v>
      </c>
      <c r="Z24" s="78" t="str">
        <f aca="true">IF($H24=0,"NA",IF($A24=INDIRECT("'"&amp;$A24&amp;"'!$B$1"),IF(VLOOKUP(Z$1,INDIRECT("'"&amp;$A24&amp;"'!$A$12:$Z$41"),MATCH("Points (Auto-generate)",INDIRECT("'"&amp;$A24&amp;"'!$A$12:$Z$12"),0),0)="","?",VLOOKUP(Z$1,INDIRECT("'"&amp;$A24&amp;"'!$A$12:$Z$41"),MATCH("Points (Auto-generate)",INDIRECT("'"&amp;$A24&amp;"'!$A$12:$Z$12"),0),0)),"ER"))</f>
        <v>?</v>
      </c>
      <c r="AA24" s="78" t="str">
        <f aca="true">IF($H24=0,"NA",IF($A24=INDIRECT("'"&amp;$A24&amp;"'!$B$1"),IF(VLOOKUP(AA$1,INDIRECT("'"&amp;$A24&amp;"'!$A$12:$Z$41"),MATCH("Points (Auto-generate)",INDIRECT("'"&amp;$A24&amp;"'!$A$12:$Z$12"),0),0)="","?",VLOOKUP(AA$1,INDIRECT("'"&amp;$A24&amp;"'!$A$12:$Z$41"),MATCH("Points (Auto-generate)",INDIRECT("'"&amp;$A24&amp;"'!$A$12:$Z$12"),0),0)),"ER"))</f>
        <v>?</v>
      </c>
      <c r="AB24" s="78" t="str">
        <f aca="true">IF($H24=0,"NA",IF($A24=INDIRECT("'"&amp;$A24&amp;"'!$B$1"),IF(VLOOKUP(AB$1,INDIRECT("'"&amp;$A24&amp;"'!$A$12:$Z$41"),MATCH("Points (Auto-generate)",INDIRECT("'"&amp;$A24&amp;"'!$A$12:$Z$12"),0),0)="","?",VLOOKUP(AB$1,INDIRECT("'"&amp;$A24&amp;"'!$A$12:$Z$41"),MATCH("Points (Auto-generate)",INDIRECT("'"&amp;$A24&amp;"'!$A$12:$Z$12"),0),0)),"ER"))</f>
        <v>?</v>
      </c>
      <c r="AC24" s="78" t="str">
        <f aca="true">IF($H24=0,"NA",IF($A24=INDIRECT("'"&amp;$A24&amp;"'!$B$1"),IF(VLOOKUP(AC$1,INDIRECT("'"&amp;$A24&amp;"'!$A$12:$Z$41"),MATCH("Points (Auto-generate)",INDIRECT("'"&amp;$A24&amp;"'!$A$12:$Z$12"),0),0)="","?",VLOOKUP(AC$1,INDIRECT("'"&amp;$A24&amp;"'!$A$12:$Z$41"),MATCH("Points (Auto-generate)",INDIRECT("'"&amp;$A24&amp;"'!$A$12:$Z$12"),0),0)),"ER"))</f>
        <v>?</v>
      </c>
      <c r="AD24" s="78" t="str">
        <f aca="true">IF($H24=0,"NA",IF($A24=INDIRECT("'"&amp;$A24&amp;"'!$B$1"),IF(VLOOKUP(AD$1,INDIRECT("'"&amp;$A24&amp;"'!$A$12:$Z$41"),MATCH("Points (Auto-generate)",INDIRECT("'"&amp;$A24&amp;"'!$A$12:$Z$12"),0),0)="","?",VLOOKUP(AD$1,INDIRECT("'"&amp;$A24&amp;"'!$A$12:$Z$41"),MATCH("Points (Auto-generate)",INDIRECT("'"&amp;$A24&amp;"'!$A$12:$Z$12"),0),0)),"ER"))</f>
        <v>?</v>
      </c>
      <c r="AE24" s="78" t="str">
        <f aca="true">IF($H24=0,"NA",IF($A24=INDIRECT("'"&amp;$A24&amp;"'!$B$1"),IF(VLOOKUP(AE$1,INDIRECT("'"&amp;$A24&amp;"'!$A$12:$Z$41"),MATCH("Points (Auto-generate)",INDIRECT("'"&amp;$A24&amp;"'!$A$12:$Z$12"),0),0)="","?",VLOOKUP(AE$1,INDIRECT("'"&amp;$A24&amp;"'!$A$12:$Z$41"),MATCH("Points (Auto-generate)",INDIRECT("'"&amp;$A24&amp;"'!$A$12:$Z$12"),0),0)),"ER"))</f>
        <v>?</v>
      </c>
      <c r="AF24" s="78" t="str">
        <f aca="true">IF($H24=0,"NA",IF($A24=INDIRECT("'"&amp;$A24&amp;"'!$B$1"),IF(VLOOKUP(AF$1,INDIRECT("'"&amp;$A24&amp;"'!$A$12:$Z$41"),MATCH("Points (Auto-generate)",INDIRECT("'"&amp;$A24&amp;"'!$A$12:$Z$12"),0),0)="","?",VLOOKUP(AF$1,INDIRECT("'"&amp;$A24&amp;"'!$A$12:$Z$41"),MATCH("Points (Auto-generate)",INDIRECT("'"&amp;$A24&amp;"'!$A$12:$Z$12"),0),0)),"ER"))</f>
        <v>?</v>
      </c>
      <c r="AG24" s="78" t="str">
        <f aca="true">IF($H24=0,"NA",IF($A24=INDIRECT("'"&amp;$A24&amp;"'!$B$1"),IF(VLOOKUP(AG$1,INDIRECT("'"&amp;$A24&amp;"'!$A$12:$Z$41"),MATCH("Points (Auto-generate)",INDIRECT("'"&amp;$A24&amp;"'!$A$12:$Z$12"),0),0)="","?",VLOOKUP(AG$1,INDIRECT("'"&amp;$A24&amp;"'!$A$12:$Z$41"),MATCH("Points (Auto-generate)",INDIRECT("'"&amp;$A24&amp;"'!$A$12:$Z$12"),0),0)),"ER"))</f>
        <v>?</v>
      </c>
      <c r="AH24" s="78" t="str">
        <f aca="true">IF($H24=0,"NA",IF($A24=INDIRECT("'"&amp;$A24&amp;"'!$B$1"),IF(VLOOKUP(AH$1,INDIRECT("'"&amp;$A24&amp;"'!$A$12:$Z$41"),MATCH("Points (Auto-generate)",INDIRECT("'"&amp;$A24&amp;"'!$A$12:$Z$12"),0),0)="","?",VLOOKUP(AH$1,INDIRECT("'"&amp;$A24&amp;"'!$A$12:$Z$41"),MATCH("Points (Auto-generate)",INDIRECT("'"&amp;$A24&amp;"'!$A$12:$Z$12"),0),0)),"ER"))</f>
        <v>?</v>
      </c>
      <c r="AI24" s="78" t="str">
        <f aca="true">IF($H24=0,"NA",IF($A24=INDIRECT("'"&amp;$A24&amp;"'!$B$1"),IF(VLOOKUP(AI$1,INDIRECT("'"&amp;$A24&amp;"'!$A$12:$Z$41"),MATCH("Points (Auto-generate)",INDIRECT("'"&amp;$A24&amp;"'!$A$12:$Z$12"),0),0)="","?",VLOOKUP(AI$1,INDIRECT("'"&amp;$A24&amp;"'!$A$12:$Z$41"),MATCH("Points (Auto-generate)",INDIRECT("'"&amp;$A24&amp;"'!$A$12:$Z$12"),0),0)),"ER"))</f>
        <v>?</v>
      </c>
      <c r="AJ24" s="78" t="str">
        <f aca="true">IF($H24=0,"NA",IF($A24=INDIRECT("'"&amp;$A24&amp;"'!$B$1"),IF(VLOOKUP(AJ$1,INDIRECT("'"&amp;$A24&amp;"'!$A$12:$Z$41"),MATCH("Points (Auto-generate)",INDIRECT("'"&amp;$A24&amp;"'!$A$12:$Z$12"),0),0)="","?",VLOOKUP(AJ$1,INDIRECT("'"&amp;$A24&amp;"'!$A$12:$Z$41"),MATCH("Points (Auto-generate)",INDIRECT("'"&amp;$A24&amp;"'!$A$12:$Z$12"),0),0)),"ER"))</f>
        <v>?</v>
      </c>
      <c r="AK24" s="78" t="str">
        <f aca="true">IF($H24=0,"NA",IF($A24=INDIRECT("'"&amp;$A24&amp;"'!$B$1"),IF(VLOOKUP(AK$1,INDIRECT("'"&amp;$A24&amp;"'!$A$12:$Z$41"),MATCH("Points (Auto-generate)",INDIRECT("'"&amp;$A24&amp;"'!$A$12:$Z$12"),0),0)="","?",VLOOKUP(AK$1,INDIRECT("'"&amp;$A24&amp;"'!$A$12:$Z$41"),MATCH("Points (Auto-generate)",INDIRECT("'"&amp;$A24&amp;"'!$A$12:$Z$12"),0),0)),"ER"))</f>
        <v>?</v>
      </c>
    </row>
    <row r="25" customFormat="false" ht="14.25" hidden="false" customHeight="true" outlineLevel="0" collapsed="false">
      <c r="A25" s="74" t="s">
        <v>137</v>
      </c>
      <c r="B25" s="75" t="str">
        <f aca="false">IF(ISBLANK($A25),"NO_CODE",VLOOKUP($A25,'UPD Questions_290926 '!$E$1:$N$300,MATCH(B$1,'UPD Questions_290926 '!$E$1:$N$1,0),0)&amp;"")</f>
        <v>Planning </v>
      </c>
      <c r="C25" s="75" t="str">
        <f aca="false">IF(ISBLANK($A25),"NO_CODE",VLOOKUP($A25,'UPD Questions_290926 '!$E$1:$N$300,MATCH(C$1,'UPD Questions_290926 '!$E$1:$N$1,0),0)&amp;"")</f>
        <v>Municipal/City Plan objectives and contents</v>
      </c>
      <c r="D25" s="75" t="str">
        <f aca="false">IF(ISBLANK($A25),"NO_CODE",VLOOKUP($A25,'UPD Questions_290926 '!$E$1:$N$300,MATCH(D$1,'UPD Questions_290926 '!$E$1:$N$1,0),0)&amp;"")</f>
        <v>Statutory requirements for plan content</v>
      </c>
      <c r="E25" s="75" t="str">
        <f aca="false">IF(ISBLANK($A25),"NO_CODE",VLOOKUP($A25,'UPD Questions_290926 '!$E$1:$N$300,MATCH(E$1,'UPD Questions_290926 '!$E$1:$N$1,0),0)&amp;"")</f>
        <v>MQ</v>
      </c>
      <c r="F25" s="75" t="str">
        <f aca="false">IF(ISBLANK($A25),"NO_CODE",VLOOKUP($A25,'UPD Questions_290926 '!$E$1:$N$300,MATCH(F$1,'UPD Questions_290926 '!$E$1:$N$1,0),0)&amp;"")</f>
        <v>Does the T&amp;CP Act mandate the planning for:  </v>
      </c>
      <c r="G25" s="75" t="str">
        <f aca="false">IF(ISBLANK($A25),"NO_CODE",VLOOKUP($A25,'UPD Questions_290926 '!$E$1:$N$300,MATCH(G$1,'UPD Questions_290926 '!$E$1:$N$1,0),0)&amp;"")</f>
        <v>NA- question already covered in ASICS 2017</v>
      </c>
      <c r="H25" s="77" t="n">
        <f aca="false">IF(ISBLANK($A25),"NO_CODE",VLOOKUP($A25,'UPD Questions_290926 '!$E$1:$N$300,MATCH(H$1,'UPD Questions_290926 '!$E$1:$N$1,0),0))</f>
        <v>10</v>
      </c>
      <c r="I25" s="78" t="str">
        <f aca="false">IF(OR(I26="ER",I27="ER",I28="ER",I29="ER",I30="ER",I31="ER"),"ER",IF(OR(I26="?",I27="?",I28="?",I29="?",I30="?",I31="?"),"?",IF(AND(I26="NA",I27="NA",I28="NA",I29="NA",I30="NA",I31="NA"),"NA",SUM(I26,I27,I28,I29,I30,I31)/((I26&lt;&gt;"NA")*$H$26+(I27&lt;&gt;"NA")*$H$27+(I28&lt;&gt;"NA")*$H$28+(I29&lt;&gt;"NA")*$H$29+(I30&lt;&gt;"NA")*$H$30+(I31&lt;&gt;"NA")*$H$31)*$H25)))</f>
        <v>?</v>
      </c>
      <c r="J25" s="78" t="str">
        <f aca="false">IF(OR(J26="ER",J27="ER",J28="ER",J29="ER",J30="ER",J31="ER"),"ER",IF(OR(J26="?",J27="?",J28="?",J29="?",J30="?",J31="?"),"?",IF(AND(J26="NA",J27="NA",J28="NA",J29="NA",J30="NA",J31="NA"),"NA",SUM(J26,J27,J28,J29,J30,J31)/((J26&lt;&gt;"NA")*$H$26+(J27&lt;&gt;"NA")*$H$27+(J28&lt;&gt;"NA")*$H$28+(J29&lt;&gt;"NA")*$H$29+(J30&lt;&gt;"NA")*$H$30+(J31&lt;&gt;"NA")*$H$31)*$H25)))</f>
        <v>?</v>
      </c>
      <c r="K25" s="78" t="str">
        <f aca="false">IF(OR(K26="ER",K27="ER",K28="ER",K29="ER",K30="ER",K31="ER"),"ER",IF(OR(K26="?",K27="?",K28="?",K29="?",K30="?",K31="?"),"?",IF(AND(K26="NA",K27="NA",K28="NA",K29="NA",K30="NA",K31="NA"),"NA",SUM(K26,K27,K28,K29,K30,K31)/((K26&lt;&gt;"NA")*$H$26+(K27&lt;&gt;"NA")*$H$27+(K28&lt;&gt;"NA")*$H$28+(K29&lt;&gt;"NA")*$H$29+(K30&lt;&gt;"NA")*$H$30+(K31&lt;&gt;"NA")*$H$31)*$H25)))</f>
        <v>?</v>
      </c>
      <c r="L25" s="78" t="str">
        <f aca="false">IF(OR(L26="ER",L27="ER",L28="ER",L29="ER",L30="ER",L31="ER"),"ER",IF(OR(L26="?",L27="?",L28="?",L29="?",L30="?",L31="?"),"?",IF(AND(L26="NA",L27="NA",L28="NA",L29="NA",L30="NA",L31="NA"),"NA",SUM(L26,L27,L28,L29,L30,L31)/((L26&lt;&gt;"NA")*$H$26+(L27&lt;&gt;"NA")*$H$27+(L28&lt;&gt;"NA")*$H$28+(L29&lt;&gt;"NA")*$H$29+(L30&lt;&gt;"NA")*$H$30+(L31&lt;&gt;"NA")*$H$31)*$H25)))</f>
        <v>?</v>
      </c>
      <c r="M25" s="78" t="str">
        <f aca="false">IF(OR(M26="ER",M27="ER",M28="ER",M29="ER",M30="ER",M31="ER"),"ER",IF(OR(M26="?",M27="?",M28="?",M29="?",M30="?",M31="?"),"?",IF(AND(M26="NA",M27="NA",M28="NA",M29="NA",M30="NA",M31="NA"),"NA",SUM(M26,M27,M28,M29,M30,M31)/((M26&lt;&gt;"NA")*$H$26+(M27&lt;&gt;"NA")*$H$27+(M28&lt;&gt;"NA")*$H$28+(M29&lt;&gt;"NA")*$H$29+(M30&lt;&gt;"NA")*$H$30+(M31&lt;&gt;"NA")*$H$31)*$H25)))</f>
        <v>?</v>
      </c>
      <c r="N25" s="78" t="str">
        <f aca="false">IF(OR(N26="ER",N27="ER",N28="ER",N29="ER",N30="ER",N31="ER"),"ER",IF(OR(N26="?",N27="?",N28="?",N29="?",N30="?",N31="?"),"?",IF(AND(N26="NA",N27="NA",N28="NA",N29="NA",N30="NA",N31="NA"),"NA",SUM(N26,N27,N28,N29,N30,N31)/((N26&lt;&gt;"NA")*$H$26+(N27&lt;&gt;"NA")*$H$27+(N28&lt;&gt;"NA")*$H$28+(N29&lt;&gt;"NA")*$H$29+(N30&lt;&gt;"NA")*$H$30+(N31&lt;&gt;"NA")*$H$31)*$H25)))</f>
        <v>?</v>
      </c>
      <c r="O25" s="78" t="str">
        <f aca="false">IF(OR(O26="ER",O27="ER",O28="ER",O29="ER",O30="ER",O31="ER"),"ER",IF(OR(O26="?",O27="?",O28="?",O29="?",O30="?",O31="?"),"?",IF(AND(O26="NA",O27="NA",O28="NA",O29="NA",O30="NA",O31="NA"),"NA",SUM(O26,O27,O28,O29,O30,O31)/((O26&lt;&gt;"NA")*$H$26+(O27&lt;&gt;"NA")*$H$27+(O28&lt;&gt;"NA")*$H$28+(O29&lt;&gt;"NA")*$H$29+(O30&lt;&gt;"NA")*$H$30+(O31&lt;&gt;"NA")*$H$31)*$H25)))</f>
        <v>?</v>
      </c>
      <c r="P25" s="78" t="str">
        <f aca="false">IF(OR(P26="ER",P27="ER",P28="ER",P29="ER",P30="ER",P31="ER"),"ER",IF(OR(P26="?",P27="?",P28="?",P29="?",P30="?",P31="?"),"?",IF(AND(P26="NA",P27="NA",P28="NA",P29="NA",P30="NA",P31="NA"),"NA",SUM(P26,P27,P28,P29,P30,P31)/((P26&lt;&gt;"NA")*$H$26+(P27&lt;&gt;"NA")*$H$27+(P28&lt;&gt;"NA")*$H$28+(P29&lt;&gt;"NA")*$H$29+(P30&lt;&gt;"NA")*$H$30+(P31&lt;&gt;"NA")*$H$31)*$H25)))</f>
        <v>?</v>
      </c>
      <c r="Q25" s="78" t="str">
        <f aca="false">IF(OR(Q26="ER",Q27="ER",Q28="ER",Q29="ER",Q30="ER",Q31="ER"),"ER",IF(OR(Q26="?",Q27="?",Q28="?",Q29="?",Q30="?",Q31="?"),"?",IF(AND(Q26="NA",Q27="NA",Q28="NA",Q29="NA",Q30="NA",Q31="NA"),"NA",SUM(Q26,Q27,Q28,Q29,Q30,Q31)/((Q26&lt;&gt;"NA")*$H$26+(Q27&lt;&gt;"NA")*$H$27+(Q28&lt;&gt;"NA")*$H$28+(Q29&lt;&gt;"NA")*$H$29+(Q30&lt;&gt;"NA")*$H$30+(Q31&lt;&gt;"NA")*$H$31)*$H25)))</f>
        <v>?</v>
      </c>
      <c r="R25" s="78" t="str">
        <f aca="false">IF(OR(R26="ER",R27="ER",R28="ER",R29="ER",R30="ER",R31="ER"),"ER",IF(OR(R26="?",R27="?",R28="?",R29="?",R30="?",R31="?"),"?",IF(AND(R26="NA",R27="NA",R28="NA",R29="NA",R30="NA",R31="NA"),"NA",SUM(R26,R27,R28,R29,R30,R31)/((R26&lt;&gt;"NA")*$H$26+(R27&lt;&gt;"NA")*$H$27+(R28&lt;&gt;"NA")*$H$28+(R29&lt;&gt;"NA")*$H$29+(R30&lt;&gt;"NA")*$H$30+(R31&lt;&gt;"NA")*$H$31)*$H25)))</f>
        <v>?</v>
      </c>
      <c r="S25" s="78" t="str">
        <f aca="false">IF(OR(S26="ER",S27="ER",S28="ER",S29="ER",S30="ER",S31="ER"),"ER",IF(OR(S26="?",S27="?",S28="?",S29="?",S30="?",S31="?"),"?",IF(AND(S26="NA",S27="NA",S28="NA",S29="NA",S30="NA",S31="NA"),"NA",SUM(S26,S27,S28,S29,S30,S31)/((S26&lt;&gt;"NA")*$H$26+(S27&lt;&gt;"NA")*$H$27+(S28&lt;&gt;"NA")*$H$28+(S29&lt;&gt;"NA")*$H$29+(S30&lt;&gt;"NA")*$H$30+(S31&lt;&gt;"NA")*$H$31)*$H25)))</f>
        <v>?</v>
      </c>
      <c r="T25" s="78" t="str">
        <f aca="false">IF(OR(T26="ER",T27="ER",T28="ER",T29="ER",T30="ER",T31="ER"),"ER",IF(OR(T26="?",T27="?",T28="?",T29="?",T30="?",T31="?"),"?",IF(AND(T26="NA",T27="NA",T28="NA",T29="NA",T30="NA",T31="NA"),"NA",SUM(T26,T27,T28,T29,T30,T31)/((T26&lt;&gt;"NA")*$H$26+(T27&lt;&gt;"NA")*$H$27+(T28&lt;&gt;"NA")*$H$28+(T29&lt;&gt;"NA")*$H$29+(T30&lt;&gt;"NA")*$H$30+(T31&lt;&gt;"NA")*$H$31)*$H25)))</f>
        <v>?</v>
      </c>
      <c r="U25" s="78" t="str">
        <f aca="false">IF(OR(U26="ER",U27="ER",U28="ER",U29="ER",U30="ER",U31="ER"),"ER",IF(OR(U26="?",U27="?",U28="?",U29="?",U30="?",U31="?"),"?",IF(AND(U26="NA",U27="NA",U28="NA",U29="NA",U30="NA",U31="NA"),"NA",SUM(U26,U27,U28,U29,U30,U31)/((U26&lt;&gt;"NA")*$H$26+(U27&lt;&gt;"NA")*$H$27+(U28&lt;&gt;"NA")*$H$28+(U29&lt;&gt;"NA")*$H$29+(U30&lt;&gt;"NA")*$H$30+(U31&lt;&gt;"NA")*$H$31)*$H25)))</f>
        <v>?</v>
      </c>
      <c r="V25" s="78" t="str">
        <f aca="false">IF(OR(V26="ER",V27="ER",V28="ER",V29="ER",V30="ER",V31="ER"),"ER",IF(OR(V26="?",V27="?",V28="?",V29="?",V30="?",V31="?"),"?",IF(AND(V26="NA",V27="NA",V28="NA",V29="NA",V30="NA",V31="NA"),"NA",SUM(V26,V27,V28,V29,V30,V31)/((V26&lt;&gt;"NA")*$H$26+(V27&lt;&gt;"NA")*$H$27+(V28&lt;&gt;"NA")*$H$28+(V29&lt;&gt;"NA")*$H$29+(V30&lt;&gt;"NA")*$H$30+(V31&lt;&gt;"NA")*$H$31)*$H25)))</f>
        <v>?</v>
      </c>
      <c r="W25" s="78" t="str">
        <f aca="false">IF(OR(W26="ER",W27="ER",W28="ER",W29="ER",W30="ER",W31="ER"),"ER",IF(OR(W26="?",W27="?",W28="?",W29="?",W30="?",W31="?"),"?",IF(AND(W26="NA",W27="NA",W28="NA",W29="NA",W30="NA",W31="NA"),"NA",SUM(W26,W27,W28,W29,W30,W31)/((W26&lt;&gt;"NA")*$H$26+(W27&lt;&gt;"NA")*$H$27+(W28&lt;&gt;"NA")*$H$28+(W29&lt;&gt;"NA")*$H$29+(W30&lt;&gt;"NA")*$H$30+(W31&lt;&gt;"NA")*$H$31)*$H25)))</f>
        <v>?</v>
      </c>
      <c r="X25" s="78" t="str">
        <f aca="false">IF(OR(X26="ER",X27="ER",X28="ER",X29="ER",X30="ER",X31="ER"),"ER",IF(OR(X26="?",X27="?",X28="?",X29="?",X30="?",X31="?"),"?",IF(AND(X26="NA",X27="NA",X28="NA",X29="NA",X30="NA",X31="NA"),"NA",SUM(X26,X27,X28,X29,X30,X31)/((X26&lt;&gt;"NA")*$H$26+(X27&lt;&gt;"NA")*$H$27+(X28&lt;&gt;"NA")*$H$28+(X29&lt;&gt;"NA")*$H$29+(X30&lt;&gt;"NA")*$H$30+(X31&lt;&gt;"NA")*$H$31)*$H25)))</f>
        <v>?</v>
      </c>
      <c r="Y25" s="78" t="str">
        <f aca="false">IF(OR(Y26="ER",Y27="ER",Y28="ER",Y29="ER",Y30="ER",Y31="ER"),"ER",IF(OR(Y26="?",Y27="?",Y28="?",Y29="?",Y30="?",Y31="?"),"?",IF(AND(Y26="NA",Y27="NA",Y28="NA",Y29="NA",Y30="NA",Y31="NA"),"NA",SUM(Y26,Y27,Y28,Y29,Y30,Y31)/((Y26&lt;&gt;"NA")*$H$26+(Y27&lt;&gt;"NA")*$H$27+(Y28&lt;&gt;"NA")*$H$28+(Y29&lt;&gt;"NA")*$H$29+(Y30&lt;&gt;"NA")*$H$30+(Y31&lt;&gt;"NA")*$H$31)*$H25)))</f>
        <v>?</v>
      </c>
      <c r="Z25" s="78" t="str">
        <f aca="false">IF(OR(Z26="ER",Z27="ER",Z28="ER",Z29="ER",Z30="ER",Z31="ER"),"ER",IF(OR(Z26="?",Z27="?",Z28="?",Z29="?",Z30="?",Z31="?"),"?",IF(AND(Z26="NA",Z27="NA",Z28="NA",Z29="NA",Z30="NA",Z31="NA"),"NA",SUM(Z26,Z27,Z28,Z29,Z30,Z31)/((Z26&lt;&gt;"NA")*$H$26+(Z27&lt;&gt;"NA")*$H$27+(Z28&lt;&gt;"NA")*$H$28+(Z29&lt;&gt;"NA")*$H$29+(Z30&lt;&gt;"NA")*$H$30+(Z31&lt;&gt;"NA")*$H$31)*$H25)))</f>
        <v>?</v>
      </c>
      <c r="AA25" s="78" t="str">
        <f aca="false">IF(OR(AA26="ER",AA27="ER",AA28="ER",AA29="ER",AA30="ER",AA31="ER"),"ER",IF(OR(AA26="?",AA27="?",AA28="?",AA29="?",AA30="?",AA31="?"),"?",IF(AND(AA26="NA",AA27="NA",AA28="NA",AA29="NA",AA30="NA",AA31="NA"),"NA",SUM(AA26,AA27,AA28,AA29,AA30,AA31)/((AA26&lt;&gt;"NA")*$H$26+(AA27&lt;&gt;"NA")*$H$27+(AA28&lt;&gt;"NA")*$H$28+(AA29&lt;&gt;"NA")*$H$29+(AA30&lt;&gt;"NA")*$H$30+(AA31&lt;&gt;"NA")*$H$31)*$H25)))</f>
        <v>?</v>
      </c>
      <c r="AB25" s="78" t="str">
        <f aca="false">IF(OR(AB26="ER",AB27="ER",AB28="ER",AB29="ER",AB30="ER",AB31="ER"),"ER",IF(OR(AB26="?",AB27="?",AB28="?",AB29="?",AB30="?",AB31="?"),"?",IF(AND(AB26="NA",AB27="NA",AB28="NA",AB29="NA",AB30="NA",AB31="NA"),"NA",SUM(AB26,AB27,AB28,AB29,AB30,AB31)/((AB26&lt;&gt;"NA")*$H$26+(AB27&lt;&gt;"NA")*$H$27+(AB28&lt;&gt;"NA")*$H$28+(AB29&lt;&gt;"NA")*$H$29+(AB30&lt;&gt;"NA")*$H$30+(AB31&lt;&gt;"NA")*$H$31)*$H25)))</f>
        <v>?</v>
      </c>
      <c r="AC25" s="78" t="str">
        <f aca="false">IF(OR(AC26="ER",AC27="ER",AC28="ER",AC29="ER",AC30="ER",AC31="ER"),"ER",IF(OR(AC26="?",AC27="?",AC28="?",AC29="?",AC30="?",AC31="?"),"?",IF(AND(AC26="NA",AC27="NA",AC28="NA",AC29="NA",AC30="NA",AC31="NA"),"NA",SUM(AC26,AC27,AC28,AC29,AC30,AC31)/((AC26&lt;&gt;"NA")*$H$26+(AC27&lt;&gt;"NA")*$H$27+(AC28&lt;&gt;"NA")*$H$28+(AC29&lt;&gt;"NA")*$H$29+(AC30&lt;&gt;"NA")*$H$30+(AC31&lt;&gt;"NA")*$H$31)*$H25)))</f>
        <v>?</v>
      </c>
      <c r="AD25" s="78" t="str">
        <f aca="false">IF(OR(AD26="ER",AD27="ER",AD28="ER",AD29="ER",AD30="ER",AD31="ER"),"ER",IF(OR(AD26="?",AD27="?",AD28="?",AD29="?",AD30="?",AD31="?"),"?",IF(AND(AD26="NA",AD27="NA",AD28="NA",AD29="NA",AD30="NA",AD31="NA"),"NA",SUM(AD26,AD27,AD28,AD29,AD30,AD31)/((AD26&lt;&gt;"NA")*$H$26+(AD27&lt;&gt;"NA")*$H$27+(AD28&lt;&gt;"NA")*$H$28+(AD29&lt;&gt;"NA")*$H$29+(AD30&lt;&gt;"NA")*$H$30+(AD31&lt;&gt;"NA")*$H$31)*$H25)))</f>
        <v>?</v>
      </c>
      <c r="AE25" s="78" t="str">
        <f aca="false">IF(OR(AE26="ER",AE27="ER",AE28="ER",AE29="ER",AE30="ER",AE31="ER"),"ER",IF(OR(AE26="?",AE27="?",AE28="?",AE29="?",AE30="?",AE31="?"),"?",IF(AND(AE26="NA",AE27="NA",AE28="NA",AE29="NA",AE30="NA",AE31="NA"),"NA",SUM(AE26,AE27,AE28,AE29,AE30,AE31)/((AE26&lt;&gt;"NA")*$H$26+(AE27&lt;&gt;"NA")*$H$27+(AE28&lt;&gt;"NA")*$H$28+(AE29&lt;&gt;"NA")*$H$29+(AE30&lt;&gt;"NA")*$H$30+(AE31&lt;&gt;"NA")*$H$31)*$H25)))</f>
        <v>?</v>
      </c>
      <c r="AF25" s="78" t="str">
        <f aca="false">IF(OR(AF26="ER",AF27="ER",AF28="ER",AF29="ER",AF30="ER",AF31="ER"),"ER",IF(OR(AF26="?",AF27="?",AF28="?",AF29="?",AF30="?",AF31="?"),"?",IF(AND(AF26="NA",AF27="NA",AF28="NA",AF29="NA",AF30="NA",AF31="NA"),"NA",SUM(AF26,AF27,AF28,AF29,AF30,AF31)/((AF26&lt;&gt;"NA")*$H$26+(AF27&lt;&gt;"NA")*$H$27+(AF28&lt;&gt;"NA")*$H$28+(AF29&lt;&gt;"NA")*$H$29+(AF30&lt;&gt;"NA")*$H$30+(AF31&lt;&gt;"NA")*$H$31)*$H25)))</f>
        <v>?</v>
      </c>
      <c r="AG25" s="78" t="str">
        <f aca="false">IF(OR(AG26="ER",AG27="ER",AG28="ER",AG29="ER",AG30="ER",AG31="ER"),"ER",IF(OR(AG26="?",AG27="?",AG28="?",AG29="?",AG30="?",AG31="?"),"?",IF(AND(AG26="NA",AG27="NA",AG28="NA",AG29="NA",AG30="NA",AG31="NA"),"NA",SUM(AG26,AG27,AG28,AG29,AG30,AG31)/((AG26&lt;&gt;"NA")*$H$26+(AG27&lt;&gt;"NA")*$H$27+(AG28&lt;&gt;"NA")*$H$28+(AG29&lt;&gt;"NA")*$H$29+(AG30&lt;&gt;"NA")*$H$30+(AG31&lt;&gt;"NA")*$H$31)*$H25)))</f>
        <v>?</v>
      </c>
      <c r="AH25" s="78" t="str">
        <f aca="false">IF(OR(AH26="ER",AH27="ER",AH28="ER",AH29="ER",AH30="ER",AH31="ER"),"ER",IF(OR(AH26="?",AH27="?",AH28="?",AH29="?",AH30="?",AH31="?"),"?",IF(AND(AH26="NA",AH27="NA",AH28="NA",AH29="NA",AH30="NA",AH31="NA"),"NA",SUM(AH26,AH27,AH28,AH29,AH30,AH31)/((AH26&lt;&gt;"NA")*$H$26+(AH27&lt;&gt;"NA")*$H$27+(AH28&lt;&gt;"NA")*$H$28+(AH29&lt;&gt;"NA")*$H$29+(AH30&lt;&gt;"NA")*$H$30+(AH31&lt;&gt;"NA")*$H$31)*$H25)))</f>
        <v>?</v>
      </c>
      <c r="AI25" s="78" t="str">
        <f aca="false">IF(OR(AI26="ER",AI27="ER",AI28="ER",AI29="ER",AI30="ER",AI31="ER"),"ER",IF(OR(AI26="?",AI27="?",AI28="?",AI29="?",AI30="?",AI31="?"),"?",IF(AND(AI26="NA",AI27="NA",AI28="NA",AI29="NA",AI30="NA",AI31="NA"),"NA",SUM(AI26,AI27,AI28,AI29,AI30,AI31)/((AI26&lt;&gt;"NA")*$H$26+(AI27&lt;&gt;"NA")*$H$27+(AI28&lt;&gt;"NA")*$H$28+(AI29&lt;&gt;"NA")*$H$29+(AI30&lt;&gt;"NA")*$H$30+(AI31&lt;&gt;"NA")*$H$31)*$H25)))</f>
        <v>?</v>
      </c>
      <c r="AJ25" s="78" t="str">
        <f aca="false">IF(OR(AJ26="ER",AJ27="ER",AJ28="ER",AJ29="ER",AJ30="ER",AJ31="ER"),"ER",IF(OR(AJ26="?",AJ27="?",AJ28="?",AJ29="?",AJ30="?",AJ31="?"),"?",IF(AND(AJ26="NA",AJ27="NA",AJ28="NA",AJ29="NA",AJ30="NA",AJ31="NA"),"NA",SUM(AJ26,AJ27,AJ28,AJ29,AJ30,AJ31)/((AJ26&lt;&gt;"NA")*$H$26+(AJ27&lt;&gt;"NA")*$H$27+(AJ28&lt;&gt;"NA")*$H$28+(AJ29&lt;&gt;"NA")*$H$29+(AJ30&lt;&gt;"NA")*$H$30+(AJ31&lt;&gt;"NA")*$H$31)*$H25)))</f>
        <v>?</v>
      </c>
      <c r="AK25" s="78" t="str">
        <f aca="false">IF(OR(AK26="ER",AK27="ER",AK28="ER",AK29="ER",AK30="ER",AK31="ER"),"ER",IF(OR(AK26="?",AK27="?",AK28="?",AK29="?",AK30="?",AK31="?"),"?",IF(AND(AK26="NA",AK27="NA",AK28="NA",AK29="NA",AK30="NA",AK31="NA"),"NA",SUM(AK26,AK27,AK28,AK29,AK30,AK31)/((AK26&lt;&gt;"NA")*$H$26+(AK27&lt;&gt;"NA")*$H$27+(AK28&lt;&gt;"NA")*$H$28+(AK29&lt;&gt;"NA")*$H$29+(AK30&lt;&gt;"NA")*$H$30+(AK31&lt;&gt;"NA")*$H$31)*$H25)))</f>
        <v>?</v>
      </c>
    </row>
    <row r="26" customFormat="false" ht="14.25" hidden="false" customHeight="true" outlineLevel="0" collapsed="false">
      <c r="A26" s="74" t="s">
        <v>144</v>
      </c>
      <c r="B26" s="75" t="str">
        <f aca="false">IF(ISBLANK($A26),"NO_CODE",VLOOKUP($A26,'UPD Questions_290926 '!$E$1:$N$300,MATCH(B$1,'UPD Questions_290926 '!$E$1:$N$1,0),0)&amp;"")</f>
        <v>Planning </v>
      </c>
      <c r="C26" s="75" t="str">
        <f aca="false">IF(ISBLANK($A26),"NO_CODE",VLOOKUP($A26,'UPD Questions_290926 '!$E$1:$N$300,MATCH(C$1,'UPD Questions_290926 '!$E$1:$N$1,0),0)&amp;"")</f>
        <v>Municipal/City Plan objectives and contents</v>
      </c>
      <c r="D26" s="75" t="str">
        <f aca="false">IF(ISBLANK($A26),"NO_CODE",VLOOKUP($A26,'UPD Questions_290926 '!$E$1:$N$300,MATCH(D$1,'UPD Questions_290926 '!$E$1:$N$1,0),0)&amp;"")</f>
        <v>Statutory requirements for plan content</v>
      </c>
      <c r="E26" s="75" t="str">
        <f aca="false">IF(ISBLANK($A26),"NO_CODE",VLOOKUP($A26,'UPD Questions_290926 '!$E$1:$N$300,MATCH(E$1,'UPD Questions_290926 '!$E$1:$N$1,0),0)&amp;"")</f>
        <v>SQ</v>
      </c>
      <c r="F26" s="75" t="str">
        <f aca="false">IF(ISBLANK($A26),"NO_CODE",VLOOKUP($A26,'UPD Questions_290926 '!$E$1:$N$300,MATCH(F$1,'UPD Questions_290926 '!$E$1:$N$1,0),0)&amp;"")</f>
        <v>a) Water Supply/ Sewerage, Sanitation and Solid Waste Management </v>
      </c>
      <c r="G26" s="75" t="str">
        <f aca="false">IF(ISBLANK($A26),"NO_CODE",VLOOKUP($A26,'UPD Questions_290926 '!$E$1:$N$300,MATCH(G$1,'UPD Questions_290926 '!$E$1:$N$1,0),0)&amp;"")</f>
        <v>Law/Policy</v>
      </c>
      <c r="H26" s="77" t="n">
        <f aca="false">IF(ISBLANK($A26),"NO_CODE",VLOOKUP($A26,'UPD Questions_290926 '!$E$1:$N$300,MATCH(H$1,'UPD Questions_290926 '!$E$1:$N$1,0),0))</f>
        <v>1.67</v>
      </c>
      <c r="I26" s="78" t="str">
        <f aca="true">IF($H26=0,"NA",IF($A26=INDIRECT("'"&amp;$A26&amp;"'!$B$1"),IF(VLOOKUP(I$1,INDIRECT("'"&amp;$A26&amp;"'!$A$12:$Z$41"),MATCH("Points (Auto-generate)",INDIRECT("'"&amp;$A26&amp;"'!$A$12:$Z$12"),0),0)="","?",VLOOKUP(I$1,INDIRECT("'"&amp;$A26&amp;"'!$A$12:$Z$41"),MATCH("Points (Auto-generate)",INDIRECT("'"&amp;$A26&amp;"'!$A$12:$Z$12"),0),0)),"ER"))</f>
        <v>?</v>
      </c>
      <c r="J26" s="78" t="str">
        <f aca="true">IF($H26=0,"NA",IF($A26=INDIRECT("'"&amp;$A26&amp;"'!$B$1"),IF(VLOOKUP(J$1,INDIRECT("'"&amp;$A26&amp;"'!$A$12:$Z$41"),MATCH("Points (Auto-generate)",INDIRECT("'"&amp;$A26&amp;"'!$A$12:$Z$12"),0),0)="","?",VLOOKUP(J$1,INDIRECT("'"&amp;$A26&amp;"'!$A$12:$Z$41"),MATCH("Points (Auto-generate)",INDIRECT("'"&amp;$A26&amp;"'!$A$12:$Z$12"),0),0)),"ER"))</f>
        <v>?</v>
      </c>
      <c r="K26" s="78" t="str">
        <f aca="true">IF($H26=0,"NA",IF($A26=INDIRECT("'"&amp;$A26&amp;"'!$B$1"),IF(VLOOKUP(K$1,INDIRECT("'"&amp;$A26&amp;"'!$A$12:$Z$41"),MATCH("Points (Auto-generate)",INDIRECT("'"&amp;$A26&amp;"'!$A$12:$Z$12"),0),0)="","?",VLOOKUP(K$1,INDIRECT("'"&amp;$A26&amp;"'!$A$12:$Z$41"),MATCH("Points (Auto-generate)",INDIRECT("'"&amp;$A26&amp;"'!$A$12:$Z$12"),0),0)),"ER"))</f>
        <v>?</v>
      </c>
      <c r="L26" s="78" t="str">
        <f aca="true">IF($H26=0,"NA",IF($A26=INDIRECT("'"&amp;$A26&amp;"'!$B$1"),IF(VLOOKUP(L$1,INDIRECT("'"&amp;$A26&amp;"'!$A$12:$Z$41"),MATCH("Points (Auto-generate)",INDIRECT("'"&amp;$A26&amp;"'!$A$12:$Z$12"),0),0)="","?",VLOOKUP(L$1,INDIRECT("'"&amp;$A26&amp;"'!$A$12:$Z$41"),MATCH("Points (Auto-generate)",INDIRECT("'"&amp;$A26&amp;"'!$A$12:$Z$12"),0),0)),"ER"))</f>
        <v>?</v>
      </c>
      <c r="M26" s="78" t="str">
        <f aca="true">IF($H26=0,"NA",IF($A26=INDIRECT("'"&amp;$A26&amp;"'!$B$1"),IF(VLOOKUP(M$1,INDIRECT("'"&amp;$A26&amp;"'!$A$12:$Z$41"),MATCH("Points (Auto-generate)",INDIRECT("'"&amp;$A26&amp;"'!$A$12:$Z$12"),0),0)="","?",VLOOKUP(M$1,INDIRECT("'"&amp;$A26&amp;"'!$A$12:$Z$41"),MATCH("Points (Auto-generate)",INDIRECT("'"&amp;$A26&amp;"'!$A$12:$Z$12"),0),0)),"ER"))</f>
        <v>?</v>
      </c>
      <c r="N26" s="78" t="str">
        <f aca="true">IF($H26=0,"NA",IF($A26=INDIRECT("'"&amp;$A26&amp;"'!$B$1"),IF(VLOOKUP(N$1,INDIRECT("'"&amp;$A26&amp;"'!$A$12:$Z$41"),MATCH("Points (Auto-generate)",INDIRECT("'"&amp;$A26&amp;"'!$A$12:$Z$12"),0),0)="","?",VLOOKUP(N$1,INDIRECT("'"&amp;$A26&amp;"'!$A$12:$Z$41"),MATCH("Points (Auto-generate)",INDIRECT("'"&amp;$A26&amp;"'!$A$12:$Z$12"),0),0)),"ER"))</f>
        <v>?</v>
      </c>
      <c r="O26" s="78" t="str">
        <f aca="true">IF($H26=0,"NA",IF($A26=INDIRECT("'"&amp;$A26&amp;"'!$B$1"),IF(VLOOKUP(O$1,INDIRECT("'"&amp;$A26&amp;"'!$A$12:$Z$41"),MATCH("Points (Auto-generate)",INDIRECT("'"&amp;$A26&amp;"'!$A$12:$Z$12"),0),0)="","?",VLOOKUP(O$1,INDIRECT("'"&amp;$A26&amp;"'!$A$12:$Z$41"),MATCH("Points (Auto-generate)",INDIRECT("'"&amp;$A26&amp;"'!$A$12:$Z$12"),0),0)),"ER"))</f>
        <v>?</v>
      </c>
      <c r="P26" s="78" t="str">
        <f aca="true">IF($H26=0,"NA",IF($A26=INDIRECT("'"&amp;$A26&amp;"'!$B$1"),IF(VLOOKUP(P$1,INDIRECT("'"&amp;$A26&amp;"'!$A$12:$Z$41"),MATCH("Points (Auto-generate)",INDIRECT("'"&amp;$A26&amp;"'!$A$12:$Z$12"),0),0)="","?",VLOOKUP(P$1,INDIRECT("'"&amp;$A26&amp;"'!$A$12:$Z$41"),MATCH("Points (Auto-generate)",INDIRECT("'"&amp;$A26&amp;"'!$A$12:$Z$12"),0),0)),"ER"))</f>
        <v>?</v>
      </c>
      <c r="Q26" s="78" t="str">
        <f aca="true">IF($H26=0,"NA",IF($A26=INDIRECT("'"&amp;$A26&amp;"'!$B$1"),IF(VLOOKUP(Q$1,INDIRECT("'"&amp;$A26&amp;"'!$A$12:$Z$41"),MATCH("Points (Auto-generate)",INDIRECT("'"&amp;$A26&amp;"'!$A$12:$Z$12"),0),0)="","?",VLOOKUP(Q$1,INDIRECT("'"&amp;$A26&amp;"'!$A$12:$Z$41"),MATCH("Points (Auto-generate)",INDIRECT("'"&amp;$A26&amp;"'!$A$12:$Z$12"),0),0)),"ER"))</f>
        <v>?</v>
      </c>
      <c r="R26" s="78" t="str">
        <f aca="true">IF($H26=0,"NA",IF($A26=INDIRECT("'"&amp;$A26&amp;"'!$B$1"),IF(VLOOKUP(R$1,INDIRECT("'"&amp;$A26&amp;"'!$A$12:$Z$41"),MATCH("Points (Auto-generate)",INDIRECT("'"&amp;$A26&amp;"'!$A$12:$Z$12"),0),0)="","?",VLOOKUP(R$1,INDIRECT("'"&amp;$A26&amp;"'!$A$12:$Z$41"),MATCH("Points (Auto-generate)",INDIRECT("'"&amp;$A26&amp;"'!$A$12:$Z$12"),0),0)),"ER"))</f>
        <v>?</v>
      </c>
      <c r="S26" s="78" t="str">
        <f aca="true">IF($H26=0,"NA",IF($A26=INDIRECT("'"&amp;$A26&amp;"'!$B$1"),IF(VLOOKUP(S$1,INDIRECT("'"&amp;$A26&amp;"'!$A$12:$Z$41"),MATCH("Points (Auto-generate)",INDIRECT("'"&amp;$A26&amp;"'!$A$12:$Z$12"),0),0)="","?",VLOOKUP(S$1,INDIRECT("'"&amp;$A26&amp;"'!$A$12:$Z$41"),MATCH("Points (Auto-generate)",INDIRECT("'"&amp;$A26&amp;"'!$A$12:$Z$12"),0),0)),"ER"))</f>
        <v>?</v>
      </c>
      <c r="T26" s="78" t="str">
        <f aca="true">IF($H26=0,"NA",IF($A26=INDIRECT("'"&amp;$A26&amp;"'!$B$1"),IF(VLOOKUP(T$1,INDIRECT("'"&amp;$A26&amp;"'!$A$12:$Z$41"),MATCH("Points (Auto-generate)",INDIRECT("'"&amp;$A26&amp;"'!$A$12:$Z$12"),0),0)="","?",VLOOKUP(T$1,INDIRECT("'"&amp;$A26&amp;"'!$A$12:$Z$41"),MATCH("Points (Auto-generate)",INDIRECT("'"&amp;$A26&amp;"'!$A$12:$Z$12"),0),0)),"ER"))</f>
        <v>?</v>
      </c>
      <c r="U26" s="78" t="str">
        <f aca="true">IF($H26=0,"NA",IF($A26=INDIRECT("'"&amp;$A26&amp;"'!$B$1"),IF(VLOOKUP(U$1,INDIRECT("'"&amp;$A26&amp;"'!$A$12:$Z$41"),MATCH("Points (Auto-generate)",INDIRECT("'"&amp;$A26&amp;"'!$A$12:$Z$12"),0),0)="","?",VLOOKUP(U$1,INDIRECT("'"&amp;$A26&amp;"'!$A$12:$Z$41"),MATCH("Points (Auto-generate)",INDIRECT("'"&amp;$A26&amp;"'!$A$12:$Z$12"),0),0)),"ER"))</f>
        <v>?</v>
      </c>
      <c r="V26" s="78" t="str">
        <f aca="true">IF($H26=0,"NA",IF($A26=INDIRECT("'"&amp;$A26&amp;"'!$B$1"),IF(VLOOKUP(V$1,INDIRECT("'"&amp;$A26&amp;"'!$A$12:$Z$41"),MATCH("Points (Auto-generate)",INDIRECT("'"&amp;$A26&amp;"'!$A$12:$Z$12"),0),0)="","?",VLOOKUP(V$1,INDIRECT("'"&amp;$A26&amp;"'!$A$12:$Z$41"),MATCH("Points (Auto-generate)",INDIRECT("'"&amp;$A26&amp;"'!$A$12:$Z$12"),0),0)),"ER"))</f>
        <v>?</v>
      </c>
      <c r="W26" s="78" t="str">
        <f aca="true">IF($H26=0,"NA",IF($A26=INDIRECT("'"&amp;$A26&amp;"'!$B$1"),IF(VLOOKUP(W$1,INDIRECT("'"&amp;$A26&amp;"'!$A$12:$Z$41"),MATCH("Points (Auto-generate)",INDIRECT("'"&amp;$A26&amp;"'!$A$12:$Z$12"),0),0)="","?",VLOOKUP(W$1,INDIRECT("'"&amp;$A26&amp;"'!$A$12:$Z$41"),MATCH("Points (Auto-generate)",INDIRECT("'"&amp;$A26&amp;"'!$A$12:$Z$12"),0),0)),"ER"))</f>
        <v>?</v>
      </c>
      <c r="X26" s="78" t="str">
        <f aca="true">IF($H26=0,"NA",IF($A26=INDIRECT("'"&amp;$A26&amp;"'!$B$1"),IF(VLOOKUP(X$1,INDIRECT("'"&amp;$A26&amp;"'!$A$12:$Z$41"),MATCH("Points (Auto-generate)",INDIRECT("'"&amp;$A26&amp;"'!$A$12:$Z$12"),0),0)="","?",VLOOKUP(X$1,INDIRECT("'"&amp;$A26&amp;"'!$A$12:$Z$41"),MATCH("Points (Auto-generate)",INDIRECT("'"&amp;$A26&amp;"'!$A$12:$Z$12"),0),0)),"ER"))</f>
        <v>?</v>
      </c>
      <c r="Y26" s="78" t="str">
        <f aca="true">IF($H26=0,"NA",IF($A26=INDIRECT("'"&amp;$A26&amp;"'!$B$1"),IF(VLOOKUP(Y$1,INDIRECT("'"&amp;$A26&amp;"'!$A$12:$Z$41"),MATCH("Points (Auto-generate)",INDIRECT("'"&amp;$A26&amp;"'!$A$12:$Z$12"),0),0)="","?",VLOOKUP(Y$1,INDIRECT("'"&amp;$A26&amp;"'!$A$12:$Z$41"),MATCH("Points (Auto-generate)",INDIRECT("'"&amp;$A26&amp;"'!$A$12:$Z$12"),0),0)),"ER"))</f>
        <v>?</v>
      </c>
      <c r="Z26" s="78" t="str">
        <f aca="true">IF($H26=0,"NA",IF($A26=INDIRECT("'"&amp;$A26&amp;"'!$B$1"),IF(VLOOKUP(Z$1,INDIRECT("'"&amp;$A26&amp;"'!$A$12:$Z$41"),MATCH("Points (Auto-generate)",INDIRECT("'"&amp;$A26&amp;"'!$A$12:$Z$12"),0),0)="","?",VLOOKUP(Z$1,INDIRECT("'"&amp;$A26&amp;"'!$A$12:$Z$41"),MATCH("Points (Auto-generate)",INDIRECT("'"&amp;$A26&amp;"'!$A$12:$Z$12"),0),0)),"ER"))</f>
        <v>?</v>
      </c>
      <c r="AA26" s="78" t="str">
        <f aca="true">IF($H26=0,"NA",IF($A26=INDIRECT("'"&amp;$A26&amp;"'!$B$1"),IF(VLOOKUP(AA$1,INDIRECT("'"&amp;$A26&amp;"'!$A$12:$Z$41"),MATCH("Points (Auto-generate)",INDIRECT("'"&amp;$A26&amp;"'!$A$12:$Z$12"),0),0)="","?",VLOOKUP(AA$1,INDIRECT("'"&amp;$A26&amp;"'!$A$12:$Z$41"),MATCH("Points (Auto-generate)",INDIRECT("'"&amp;$A26&amp;"'!$A$12:$Z$12"),0),0)),"ER"))</f>
        <v>?</v>
      </c>
      <c r="AB26" s="78" t="str">
        <f aca="true">IF($H26=0,"NA",IF($A26=INDIRECT("'"&amp;$A26&amp;"'!$B$1"),IF(VLOOKUP(AB$1,INDIRECT("'"&amp;$A26&amp;"'!$A$12:$Z$41"),MATCH("Points (Auto-generate)",INDIRECT("'"&amp;$A26&amp;"'!$A$12:$Z$12"),0),0)="","?",VLOOKUP(AB$1,INDIRECT("'"&amp;$A26&amp;"'!$A$12:$Z$41"),MATCH("Points (Auto-generate)",INDIRECT("'"&amp;$A26&amp;"'!$A$12:$Z$12"),0),0)),"ER"))</f>
        <v>?</v>
      </c>
      <c r="AC26" s="78" t="str">
        <f aca="true">IF($H26=0,"NA",IF($A26=INDIRECT("'"&amp;$A26&amp;"'!$B$1"),IF(VLOOKUP(AC$1,INDIRECT("'"&amp;$A26&amp;"'!$A$12:$Z$41"),MATCH("Points (Auto-generate)",INDIRECT("'"&amp;$A26&amp;"'!$A$12:$Z$12"),0),0)="","?",VLOOKUP(AC$1,INDIRECT("'"&amp;$A26&amp;"'!$A$12:$Z$41"),MATCH("Points (Auto-generate)",INDIRECT("'"&amp;$A26&amp;"'!$A$12:$Z$12"),0),0)),"ER"))</f>
        <v>?</v>
      </c>
      <c r="AD26" s="78" t="str">
        <f aca="true">IF($H26=0,"NA",IF($A26=INDIRECT("'"&amp;$A26&amp;"'!$B$1"),IF(VLOOKUP(AD$1,INDIRECT("'"&amp;$A26&amp;"'!$A$12:$Z$41"),MATCH("Points (Auto-generate)",INDIRECT("'"&amp;$A26&amp;"'!$A$12:$Z$12"),0),0)="","?",VLOOKUP(AD$1,INDIRECT("'"&amp;$A26&amp;"'!$A$12:$Z$41"),MATCH("Points (Auto-generate)",INDIRECT("'"&amp;$A26&amp;"'!$A$12:$Z$12"),0),0)),"ER"))</f>
        <v>?</v>
      </c>
      <c r="AE26" s="78" t="str">
        <f aca="true">IF($H26=0,"NA",IF($A26=INDIRECT("'"&amp;$A26&amp;"'!$B$1"),IF(VLOOKUP(AE$1,INDIRECT("'"&amp;$A26&amp;"'!$A$12:$Z$41"),MATCH("Points (Auto-generate)",INDIRECT("'"&amp;$A26&amp;"'!$A$12:$Z$12"),0),0)="","?",VLOOKUP(AE$1,INDIRECT("'"&amp;$A26&amp;"'!$A$12:$Z$41"),MATCH("Points (Auto-generate)",INDIRECT("'"&amp;$A26&amp;"'!$A$12:$Z$12"),0),0)),"ER"))</f>
        <v>?</v>
      </c>
      <c r="AF26" s="78" t="str">
        <f aca="true">IF($H26=0,"NA",IF($A26=INDIRECT("'"&amp;$A26&amp;"'!$B$1"),IF(VLOOKUP(AF$1,INDIRECT("'"&amp;$A26&amp;"'!$A$12:$Z$41"),MATCH("Points (Auto-generate)",INDIRECT("'"&amp;$A26&amp;"'!$A$12:$Z$12"),0),0)="","?",VLOOKUP(AF$1,INDIRECT("'"&amp;$A26&amp;"'!$A$12:$Z$41"),MATCH("Points (Auto-generate)",INDIRECT("'"&amp;$A26&amp;"'!$A$12:$Z$12"),0),0)),"ER"))</f>
        <v>?</v>
      </c>
      <c r="AG26" s="78" t="str">
        <f aca="true">IF($H26=0,"NA",IF($A26=INDIRECT("'"&amp;$A26&amp;"'!$B$1"),IF(VLOOKUP(AG$1,INDIRECT("'"&amp;$A26&amp;"'!$A$12:$Z$41"),MATCH("Points (Auto-generate)",INDIRECT("'"&amp;$A26&amp;"'!$A$12:$Z$12"),0),0)="","?",VLOOKUP(AG$1,INDIRECT("'"&amp;$A26&amp;"'!$A$12:$Z$41"),MATCH("Points (Auto-generate)",INDIRECT("'"&amp;$A26&amp;"'!$A$12:$Z$12"),0),0)),"ER"))</f>
        <v>?</v>
      </c>
      <c r="AH26" s="78" t="str">
        <f aca="true">IF($H26=0,"NA",IF($A26=INDIRECT("'"&amp;$A26&amp;"'!$B$1"),IF(VLOOKUP(AH$1,INDIRECT("'"&amp;$A26&amp;"'!$A$12:$Z$41"),MATCH("Points (Auto-generate)",INDIRECT("'"&amp;$A26&amp;"'!$A$12:$Z$12"),0),0)="","?",VLOOKUP(AH$1,INDIRECT("'"&amp;$A26&amp;"'!$A$12:$Z$41"),MATCH("Points (Auto-generate)",INDIRECT("'"&amp;$A26&amp;"'!$A$12:$Z$12"),0),0)),"ER"))</f>
        <v>?</v>
      </c>
      <c r="AI26" s="78" t="str">
        <f aca="true">IF($H26=0,"NA",IF($A26=INDIRECT("'"&amp;$A26&amp;"'!$B$1"),IF(VLOOKUP(AI$1,INDIRECT("'"&amp;$A26&amp;"'!$A$12:$Z$41"),MATCH("Points (Auto-generate)",INDIRECT("'"&amp;$A26&amp;"'!$A$12:$Z$12"),0),0)="","?",VLOOKUP(AI$1,INDIRECT("'"&amp;$A26&amp;"'!$A$12:$Z$41"),MATCH("Points (Auto-generate)",INDIRECT("'"&amp;$A26&amp;"'!$A$12:$Z$12"),0),0)),"ER"))</f>
        <v>?</v>
      </c>
      <c r="AJ26" s="78" t="str">
        <f aca="true">IF($H26=0,"NA",IF($A26=INDIRECT("'"&amp;$A26&amp;"'!$B$1"),IF(VLOOKUP(AJ$1,INDIRECT("'"&amp;$A26&amp;"'!$A$12:$Z$41"),MATCH("Points (Auto-generate)",INDIRECT("'"&amp;$A26&amp;"'!$A$12:$Z$12"),0),0)="","?",VLOOKUP(AJ$1,INDIRECT("'"&amp;$A26&amp;"'!$A$12:$Z$41"),MATCH("Points (Auto-generate)",INDIRECT("'"&amp;$A26&amp;"'!$A$12:$Z$12"),0),0)),"ER"))</f>
        <v>?</v>
      </c>
      <c r="AK26" s="78" t="str">
        <f aca="true">IF($H26=0,"NA",IF($A26=INDIRECT("'"&amp;$A26&amp;"'!$B$1"),IF(VLOOKUP(AK$1,INDIRECT("'"&amp;$A26&amp;"'!$A$12:$Z$41"),MATCH("Points (Auto-generate)",INDIRECT("'"&amp;$A26&amp;"'!$A$12:$Z$12"),0),0)="","?",VLOOKUP(AK$1,INDIRECT("'"&amp;$A26&amp;"'!$A$12:$Z$41"),MATCH("Points (Auto-generate)",INDIRECT("'"&amp;$A26&amp;"'!$A$12:$Z$12"),0),0)),"ER"))</f>
        <v>?</v>
      </c>
    </row>
    <row r="27" customFormat="false" ht="14.25" hidden="false" customHeight="true" outlineLevel="0" collapsed="false">
      <c r="A27" s="74" t="s">
        <v>148</v>
      </c>
      <c r="B27" s="75" t="str">
        <f aca="false">IF(ISBLANK($A27),"NO_CODE",VLOOKUP($A27,'UPD Questions_290926 '!$E$1:$N$300,MATCH(B$1,'UPD Questions_290926 '!$E$1:$N$1,0),0)&amp;"")</f>
        <v>Planning </v>
      </c>
      <c r="C27" s="75" t="str">
        <f aca="false">IF(ISBLANK($A27),"NO_CODE",VLOOKUP($A27,'UPD Questions_290926 '!$E$1:$N$300,MATCH(C$1,'UPD Questions_290926 '!$E$1:$N$1,0),0)&amp;"")</f>
        <v>Municipal/City Plan objectives and contents</v>
      </c>
      <c r="D27" s="75" t="str">
        <f aca="false">IF(ISBLANK($A27),"NO_CODE",VLOOKUP($A27,'UPD Questions_290926 '!$E$1:$N$300,MATCH(D$1,'UPD Questions_290926 '!$E$1:$N$1,0),0)&amp;"")</f>
        <v>Statutory requirements for plan content</v>
      </c>
      <c r="E27" s="75" t="str">
        <f aca="false">IF(ISBLANK($A27),"NO_CODE",VLOOKUP($A27,'UPD Questions_290926 '!$E$1:$N$300,MATCH(E$1,'UPD Questions_290926 '!$E$1:$N$1,0),0)&amp;"")</f>
        <v>SQ</v>
      </c>
      <c r="F27" s="75" t="str">
        <f aca="false">IF(ISBLANK($A27),"NO_CODE",VLOOKUP($A27,'UPD Questions_290926 '!$E$1:$N$300,MATCH(F$1,'UPD Questions_290926 '!$E$1:$N$1,0),0)&amp;"")</f>
        <v>b) Disaster Resilience</v>
      </c>
      <c r="G27" s="75" t="str">
        <f aca="false">IF(ISBLANK($A27),"NO_CODE",VLOOKUP($A27,'UPD Questions_290926 '!$E$1:$N$300,MATCH(G$1,'UPD Questions_290926 '!$E$1:$N$1,0),0)&amp;"")</f>
        <v>Law/Policy</v>
      </c>
      <c r="H27" s="77" t="n">
        <f aca="false">IF(ISBLANK($A27),"NO_CODE",VLOOKUP($A27,'UPD Questions_290926 '!$E$1:$N$300,MATCH(H$1,'UPD Questions_290926 '!$E$1:$N$1,0),0))</f>
        <v>1.67</v>
      </c>
      <c r="I27" s="78" t="str">
        <f aca="true">IF($H27=0,"NA",IF($A27=INDIRECT("'"&amp;$A27&amp;"'!$B$1"),IF(VLOOKUP(I$1,INDIRECT("'"&amp;$A27&amp;"'!$A$12:$Z$41"),MATCH("Points (Auto-generate)",INDIRECT("'"&amp;$A27&amp;"'!$A$12:$Z$12"),0),0)="","?",VLOOKUP(I$1,INDIRECT("'"&amp;$A27&amp;"'!$A$12:$Z$41"),MATCH("Points (Auto-generate)",INDIRECT("'"&amp;$A27&amp;"'!$A$12:$Z$12"),0),0)),"ER"))</f>
        <v>?</v>
      </c>
      <c r="J27" s="78" t="str">
        <f aca="true">IF($H27=0,"NA",IF($A27=INDIRECT("'"&amp;$A27&amp;"'!$B$1"),IF(VLOOKUP(J$1,INDIRECT("'"&amp;$A27&amp;"'!$A$12:$Z$41"),MATCH("Points (Auto-generate)",INDIRECT("'"&amp;$A27&amp;"'!$A$12:$Z$12"),0),0)="","?",VLOOKUP(J$1,INDIRECT("'"&amp;$A27&amp;"'!$A$12:$Z$41"),MATCH("Points (Auto-generate)",INDIRECT("'"&amp;$A27&amp;"'!$A$12:$Z$12"),0),0)),"ER"))</f>
        <v>?</v>
      </c>
      <c r="K27" s="78" t="str">
        <f aca="true">IF($H27=0,"NA",IF($A27=INDIRECT("'"&amp;$A27&amp;"'!$B$1"),IF(VLOOKUP(K$1,INDIRECT("'"&amp;$A27&amp;"'!$A$12:$Z$41"),MATCH("Points (Auto-generate)",INDIRECT("'"&amp;$A27&amp;"'!$A$12:$Z$12"),0),0)="","?",VLOOKUP(K$1,INDIRECT("'"&amp;$A27&amp;"'!$A$12:$Z$41"),MATCH("Points (Auto-generate)",INDIRECT("'"&amp;$A27&amp;"'!$A$12:$Z$12"),0),0)),"ER"))</f>
        <v>?</v>
      </c>
      <c r="L27" s="78" t="str">
        <f aca="true">IF($H27=0,"NA",IF($A27=INDIRECT("'"&amp;$A27&amp;"'!$B$1"),IF(VLOOKUP(L$1,INDIRECT("'"&amp;$A27&amp;"'!$A$12:$Z$41"),MATCH("Points (Auto-generate)",INDIRECT("'"&amp;$A27&amp;"'!$A$12:$Z$12"),0),0)="","?",VLOOKUP(L$1,INDIRECT("'"&amp;$A27&amp;"'!$A$12:$Z$41"),MATCH("Points (Auto-generate)",INDIRECT("'"&amp;$A27&amp;"'!$A$12:$Z$12"),0),0)),"ER"))</f>
        <v>?</v>
      </c>
      <c r="M27" s="78" t="str">
        <f aca="true">IF($H27=0,"NA",IF($A27=INDIRECT("'"&amp;$A27&amp;"'!$B$1"),IF(VLOOKUP(M$1,INDIRECT("'"&amp;$A27&amp;"'!$A$12:$Z$41"),MATCH("Points (Auto-generate)",INDIRECT("'"&amp;$A27&amp;"'!$A$12:$Z$12"),0),0)="","?",VLOOKUP(M$1,INDIRECT("'"&amp;$A27&amp;"'!$A$12:$Z$41"),MATCH("Points (Auto-generate)",INDIRECT("'"&amp;$A27&amp;"'!$A$12:$Z$12"),0),0)),"ER"))</f>
        <v>?</v>
      </c>
      <c r="N27" s="78" t="str">
        <f aca="true">IF($H27=0,"NA",IF($A27=INDIRECT("'"&amp;$A27&amp;"'!$B$1"),IF(VLOOKUP(N$1,INDIRECT("'"&amp;$A27&amp;"'!$A$12:$Z$41"),MATCH("Points (Auto-generate)",INDIRECT("'"&amp;$A27&amp;"'!$A$12:$Z$12"),0),0)="","?",VLOOKUP(N$1,INDIRECT("'"&amp;$A27&amp;"'!$A$12:$Z$41"),MATCH("Points (Auto-generate)",INDIRECT("'"&amp;$A27&amp;"'!$A$12:$Z$12"),0),0)),"ER"))</f>
        <v>?</v>
      </c>
      <c r="O27" s="78" t="str">
        <f aca="true">IF($H27=0,"NA",IF($A27=INDIRECT("'"&amp;$A27&amp;"'!$B$1"),IF(VLOOKUP(O$1,INDIRECT("'"&amp;$A27&amp;"'!$A$12:$Z$41"),MATCH("Points (Auto-generate)",INDIRECT("'"&amp;$A27&amp;"'!$A$12:$Z$12"),0),0)="","?",VLOOKUP(O$1,INDIRECT("'"&amp;$A27&amp;"'!$A$12:$Z$41"),MATCH("Points (Auto-generate)",INDIRECT("'"&amp;$A27&amp;"'!$A$12:$Z$12"),0),0)),"ER"))</f>
        <v>?</v>
      </c>
      <c r="P27" s="78" t="str">
        <f aca="true">IF($H27=0,"NA",IF($A27=INDIRECT("'"&amp;$A27&amp;"'!$B$1"),IF(VLOOKUP(P$1,INDIRECT("'"&amp;$A27&amp;"'!$A$12:$Z$41"),MATCH("Points (Auto-generate)",INDIRECT("'"&amp;$A27&amp;"'!$A$12:$Z$12"),0),0)="","?",VLOOKUP(P$1,INDIRECT("'"&amp;$A27&amp;"'!$A$12:$Z$41"),MATCH("Points (Auto-generate)",INDIRECT("'"&amp;$A27&amp;"'!$A$12:$Z$12"),0),0)),"ER"))</f>
        <v>?</v>
      </c>
      <c r="Q27" s="78" t="str">
        <f aca="true">IF($H27=0,"NA",IF($A27=INDIRECT("'"&amp;$A27&amp;"'!$B$1"),IF(VLOOKUP(Q$1,INDIRECT("'"&amp;$A27&amp;"'!$A$12:$Z$41"),MATCH("Points (Auto-generate)",INDIRECT("'"&amp;$A27&amp;"'!$A$12:$Z$12"),0),0)="","?",VLOOKUP(Q$1,INDIRECT("'"&amp;$A27&amp;"'!$A$12:$Z$41"),MATCH("Points (Auto-generate)",INDIRECT("'"&amp;$A27&amp;"'!$A$12:$Z$12"),0),0)),"ER"))</f>
        <v>?</v>
      </c>
      <c r="R27" s="78" t="str">
        <f aca="true">IF($H27=0,"NA",IF($A27=INDIRECT("'"&amp;$A27&amp;"'!$B$1"),IF(VLOOKUP(R$1,INDIRECT("'"&amp;$A27&amp;"'!$A$12:$Z$41"),MATCH("Points (Auto-generate)",INDIRECT("'"&amp;$A27&amp;"'!$A$12:$Z$12"),0),0)="","?",VLOOKUP(R$1,INDIRECT("'"&amp;$A27&amp;"'!$A$12:$Z$41"),MATCH("Points (Auto-generate)",INDIRECT("'"&amp;$A27&amp;"'!$A$12:$Z$12"),0),0)),"ER"))</f>
        <v>?</v>
      </c>
      <c r="S27" s="78" t="str">
        <f aca="true">IF($H27=0,"NA",IF($A27=INDIRECT("'"&amp;$A27&amp;"'!$B$1"),IF(VLOOKUP(S$1,INDIRECT("'"&amp;$A27&amp;"'!$A$12:$Z$41"),MATCH("Points (Auto-generate)",INDIRECT("'"&amp;$A27&amp;"'!$A$12:$Z$12"),0),0)="","?",VLOOKUP(S$1,INDIRECT("'"&amp;$A27&amp;"'!$A$12:$Z$41"),MATCH("Points (Auto-generate)",INDIRECT("'"&amp;$A27&amp;"'!$A$12:$Z$12"),0),0)),"ER"))</f>
        <v>?</v>
      </c>
      <c r="T27" s="78" t="str">
        <f aca="true">IF($H27=0,"NA",IF($A27=INDIRECT("'"&amp;$A27&amp;"'!$B$1"),IF(VLOOKUP(T$1,INDIRECT("'"&amp;$A27&amp;"'!$A$12:$Z$41"),MATCH("Points (Auto-generate)",INDIRECT("'"&amp;$A27&amp;"'!$A$12:$Z$12"),0),0)="","?",VLOOKUP(T$1,INDIRECT("'"&amp;$A27&amp;"'!$A$12:$Z$41"),MATCH("Points (Auto-generate)",INDIRECT("'"&amp;$A27&amp;"'!$A$12:$Z$12"),0),0)),"ER"))</f>
        <v>?</v>
      </c>
      <c r="U27" s="78" t="str">
        <f aca="true">IF($H27=0,"NA",IF($A27=INDIRECT("'"&amp;$A27&amp;"'!$B$1"),IF(VLOOKUP(U$1,INDIRECT("'"&amp;$A27&amp;"'!$A$12:$Z$41"),MATCH("Points (Auto-generate)",INDIRECT("'"&amp;$A27&amp;"'!$A$12:$Z$12"),0),0)="","?",VLOOKUP(U$1,INDIRECT("'"&amp;$A27&amp;"'!$A$12:$Z$41"),MATCH("Points (Auto-generate)",INDIRECT("'"&amp;$A27&amp;"'!$A$12:$Z$12"),0),0)),"ER"))</f>
        <v>?</v>
      </c>
      <c r="V27" s="78" t="str">
        <f aca="true">IF($H27=0,"NA",IF($A27=INDIRECT("'"&amp;$A27&amp;"'!$B$1"),IF(VLOOKUP(V$1,INDIRECT("'"&amp;$A27&amp;"'!$A$12:$Z$41"),MATCH("Points (Auto-generate)",INDIRECT("'"&amp;$A27&amp;"'!$A$12:$Z$12"),0),0)="","?",VLOOKUP(V$1,INDIRECT("'"&amp;$A27&amp;"'!$A$12:$Z$41"),MATCH("Points (Auto-generate)",INDIRECT("'"&amp;$A27&amp;"'!$A$12:$Z$12"),0),0)),"ER"))</f>
        <v>?</v>
      </c>
      <c r="W27" s="78" t="str">
        <f aca="true">IF($H27=0,"NA",IF($A27=INDIRECT("'"&amp;$A27&amp;"'!$B$1"),IF(VLOOKUP(W$1,INDIRECT("'"&amp;$A27&amp;"'!$A$12:$Z$41"),MATCH("Points (Auto-generate)",INDIRECT("'"&amp;$A27&amp;"'!$A$12:$Z$12"),0),0)="","?",VLOOKUP(W$1,INDIRECT("'"&amp;$A27&amp;"'!$A$12:$Z$41"),MATCH("Points (Auto-generate)",INDIRECT("'"&amp;$A27&amp;"'!$A$12:$Z$12"),0),0)),"ER"))</f>
        <v>?</v>
      </c>
      <c r="X27" s="78" t="str">
        <f aca="true">IF($H27=0,"NA",IF($A27=INDIRECT("'"&amp;$A27&amp;"'!$B$1"),IF(VLOOKUP(X$1,INDIRECT("'"&amp;$A27&amp;"'!$A$12:$Z$41"),MATCH("Points (Auto-generate)",INDIRECT("'"&amp;$A27&amp;"'!$A$12:$Z$12"),0),0)="","?",VLOOKUP(X$1,INDIRECT("'"&amp;$A27&amp;"'!$A$12:$Z$41"),MATCH("Points (Auto-generate)",INDIRECT("'"&amp;$A27&amp;"'!$A$12:$Z$12"),0),0)),"ER"))</f>
        <v>?</v>
      </c>
      <c r="Y27" s="78" t="str">
        <f aca="true">IF($H27=0,"NA",IF($A27=INDIRECT("'"&amp;$A27&amp;"'!$B$1"),IF(VLOOKUP(Y$1,INDIRECT("'"&amp;$A27&amp;"'!$A$12:$Z$41"),MATCH("Points (Auto-generate)",INDIRECT("'"&amp;$A27&amp;"'!$A$12:$Z$12"),0),0)="","?",VLOOKUP(Y$1,INDIRECT("'"&amp;$A27&amp;"'!$A$12:$Z$41"),MATCH("Points (Auto-generate)",INDIRECT("'"&amp;$A27&amp;"'!$A$12:$Z$12"),0),0)),"ER"))</f>
        <v>?</v>
      </c>
      <c r="Z27" s="78" t="str">
        <f aca="true">IF($H27=0,"NA",IF($A27=INDIRECT("'"&amp;$A27&amp;"'!$B$1"),IF(VLOOKUP(Z$1,INDIRECT("'"&amp;$A27&amp;"'!$A$12:$Z$41"),MATCH("Points (Auto-generate)",INDIRECT("'"&amp;$A27&amp;"'!$A$12:$Z$12"),0),0)="","?",VLOOKUP(Z$1,INDIRECT("'"&amp;$A27&amp;"'!$A$12:$Z$41"),MATCH("Points (Auto-generate)",INDIRECT("'"&amp;$A27&amp;"'!$A$12:$Z$12"),0),0)),"ER"))</f>
        <v>?</v>
      </c>
      <c r="AA27" s="78" t="str">
        <f aca="true">IF($H27=0,"NA",IF($A27=INDIRECT("'"&amp;$A27&amp;"'!$B$1"),IF(VLOOKUP(AA$1,INDIRECT("'"&amp;$A27&amp;"'!$A$12:$Z$41"),MATCH("Points (Auto-generate)",INDIRECT("'"&amp;$A27&amp;"'!$A$12:$Z$12"),0),0)="","?",VLOOKUP(AA$1,INDIRECT("'"&amp;$A27&amp;"'!$A$12:$Z$41"),MATCH("Points (Auto-generate)",INDIRECT("'"&amp;$A27&amp;"'!$A$12:$Z$12"),0),0)),"ER"))</f>
        <v>?</v>
      </c>
      <c r="AB27" s="78" t="str">
        <f aca="true">IF($H27=0,"NA",IF($A27=INDIRECT("'"&amp;$A27&amp;"'!$B$1"),IF(VLOOKUP(AB$1,INDIRECT("'"&amp;$A27&amp;"'!$A$12:$Z$41"),MATCH("Points (Auto-generate)",INDIRECT("'"&amp;$A27&amp;"'!$A$12:$Z$12"),0),0)="","?",VLOOKUP(AB$1,INDIRECT("'"&amp;$A27&amp;"'!$A$12:$Z$41"),MATCH("Points (Auto-generate)",INDIRECT("'"&amp;$A27&amp;"'!$A$12:$Z$12"),0),0)),"ER"))</f>
        <v>?</v>
      </c>
      <c r="AC27" s="78" t="str">
        <f aca="true">IF($H27=0,"NA",IF($A27=INDIRECT("'"&amp;$A27&amp;"'!$B$1"),IF(VLOOKUP(AC$1,INDIRECT("'"&amp;$A27&amp;"'!$A$12:$Z$41"),MATCH("Points (Auto-generate)",INDIRECT("'"&amp;$A27&amp;"'!$A$12:$Z$12"),0),0)="","?",VLOOKUP(AC$1,INDIRECT("'"&amp;$A27&amp;"'!$A$12:$Z$41"),MATCH("Points (Auto-generate)",INDIRECT("'"&amp;$A27&amp;"'!$A$12:$Z$12"),0),0)),"ER"))</f>
        <v>?</v>
      </c>
      <c r="AD27" s="78" t="str">
        <f aca="true">IF($H27=0,"NA",IF($A27=INDIRECT("'"&amp;$A27&amp;"'!$B$1"),IF(VLOOKUP(AD$1,INDIRECT("'"&amp;$A27&amp;"'!$A$12:$Z$41"),MATCH("Points (Auto-generate)",INDIRECT("'"&amp;$A27&amp;"'!$A$12:$Z$12"),0),0)="","?",VLOOKUP(AD$1,INDIRECT("'"&amp;$A27&amp;"'!$A$12:$Z$41"),MATCH("Points (Auto-generate)",INDIRECT("'"&amp;$A27&amp;"'!$A$12:$Z$12"),0),0)),"ER"))</f>
        <v>?</v>
      </c>
      <c r="AE27" s="78" t="str">
        <f aca="true">IF($H27=0,"NA",IF($A27=INDIRECT("'"&amp;$A27&amp;"'!$B$1"),IF(VLOOKUP(AE$1,INDIRECT("'"&amp;$A27&amp;"'!$A$12:$Z$41"),MATCH("Points (Auto-generate)",INDIRECT("'"&amp;$A27&amp;"'!$A$12:$Z$12"),0),0)="","?",VLOOKUP(AE$1,INDIRECT("'"&amp;$A27&amp;"'!$A$12:$Z$41"),MATCH("Points (Auto-generate)",INDIRECT("'"&amp;$A27&amp;"'!$A$12:$Z$12"),0),0)),"ER"))</f>
        <v>?</v>
      </c>
      <c r="AF27" s="78" t="str">
        <f aca="true">IF($H27=0,"NA",IF($A27=INDIRECT("'"&amp;$A27&amp;"'!$B$1"),IF(VLOOKUP(AF$1,INDIRECT("'"&amp;$A27&amp;"'!$A$12:$Z$41"),MATCH("Points (Auto-generate)",INDIRECT("'"&amp;$A27&amp;"'!$A$12:$Z$12"),0),0)="","?",VLOOKUP(AF$1,INDIRECT("'"&amp;$A27&amp;"'!$A$12:$Z$41"),MATCH("Points (Auto-generate)",INDIRECT("'"&amp;$A27&amp;"'!$A$12:$Z$12"),0),0)),"ER"))</f>
        <v>?</v>
      </c>
      <c r="AG27" s="78" t="str">
        <f aca="true">IF($H27=0,"NA",IF($A27=INDIRECT("'"&amp;$A27&amp;"'!$B$1"),IF(VLOOKUP(AG$1,INDIRECT("'"&amp;$A27&amp;"'!$A$12:$Z$41"),MATCH("Points (Auto-generate)",INDIRECT("'"&amp;$A27&amp;"'!$A$12:$Z$12"),0),0)="","?",VLOOKUP(AG$1,INDIRECT("'"&amp;$A27&amp;"'!$A$12:$Z$41"),MATCH("Points (Auto-generate)",INDIRECT("'"&amp;$A27&amp;"'!$A$12:$Z$12"),0),0)),"ER"))</f>
        <v>?</v>
      </c>
      <c r="AH27" s="78" t="str">
        <f aca="true">IF($H27=0,"NA",IF($A27=INDIRECT("'"&amp;$A27&amp;"'!$B$1"),IF(VLOOKUP(AH$1,INDIRECT("'"&amp;$A27&amp;"'!$A$12:$Z$41"),MATCH("Points (Auto-generate)",INDIRECT("'"&amp;$A27&amp;"'!$A$12:$Z$12"),0),0)="","?",VLOOKUP(AH$1,INDIRECT("'"&amp;$A27&amp;"'!$A$12:$Z$41"),MATCH("Points (Auto-generate)",INDIRECT("'"&amp;$A27&amp;"'!$A$12:$Z$12"),0),0)),"ER"))</f>
        <v>?</v>
      </c>
      <c r="AI27" s="78" t="str">
        <f aca="true">IF($H27=0,"NA",IF($A27=INDIRECT("'"&amp;$A27&amp;"'!$B$1"),IF(VLOOKUP(AI$1,INDIRECT("'"&amp;$A27&amp;"'!$A$12:$Z$41"),MATCH("Points (Auto-generate)",INDIRECT("'"&amp;$A27&amp;"'!$A$12:$Z$12"),0),0)="","?",VLOOKUP(AI$1,INDIRECT("'"&amp;$A27&amp;"'!$A$12:$Z$41"),MATCH("Points (Auto-generate)",INDIRECT("'"&amp;$A27&amp;"'!$A$12:$Z$12"),0),0)),"ER"))</f>
        <v>?</v>
      </c>
      <c r="AJ27" s="78" t="str">
        <f aca="true">IF($H27=0,"NA",IF($A27=INDIRECT("'"&amp;$A27&amp;"'!$B$1"),IF(VLOOKUP(AJ$1,INDIRECT("'"&amp;$A27&amp;"'!$A$12:$Z$41"),MATCH("Points (Auto-generate)",INDIRECT("'"&amp;$A27&amp;"'!$A$12:$Z$12"),0),0)="","?",VLOOKUP(AJ$1,INDIRECT("'"&amp;$A27&amp;"'!$A$12:$Z$41"),MATCH("Points (Auto-generate)",INDIRECT("'"&amp;$A27&amp;"'!$A$12:$Z$12"),0),0)),"ER"))</f>
        <v>?</v>
      </c>
      <c r="AK27" s="78" t="str">
        <f aca="true">IF($H27=0,"NA",IF($A27=INDIRECT("'"&amp;$A27&amp;"'!$B$1"),IF(VLOOKUP(AK$1,INDIRECT("'"&amp;$A27&amp;"'!$A$12:$Z$41"),MATCH("Points (Auto-generate)",INDIRECT("'"&amp;$A27&amp;"'!$A$12:$Z$12"),0),0)="","?",VLOOKUP(AK$1,INDIRECT("'"&amp;$A27&amp;"'!$A$12:$Z$41"),MATCH("Points (Auto-generate)",INDIRECT("'"&amp;$A27&amp;"'!$A$12:$Z$12"),0),0)),"ER"))</f>
        <v>?</v>
      </c>
    </row>
    <row r="28" customFormat="false" ht="14.25" hidden="false" customHeight="true" outlineLevel="0" collapsed="false">
      <c r="A28" s="74" t="s">
        <v>152</v>
      </c>
      <c r="B28" s="75" t="str">
        <f aca="false">IF(ISBLANK($A28),"NO_CODE",VLOOKUP($A28,'UPD Questions_290926 '!$E$1:$N$300,MATCH(B$1,'UPD Questions_290926 '!$E$1:$N$1,0),0)&amp;"")</f>
        <v>Planning </v>
      </c>
      <c r="C28" s="75" t="str">
        <f aca="false">IF(ISBLANK($A28),"NO_CODE",VLOOKUP($A28,'UPD Questions_290926 '!$E$1:$N$300,MATCH(C$1,'UPD Questions_290926 '!$E$1:$N$1,0),0)&amp;"")</f>
        <v>Municipal/City Plan objectives and contents</v>
      </c>
      <c r="D28" s="75" t="str">
        <f aca="false">IF(ISBLANK($A28),"NO_CODE",VLOOKUP($A28,'UPD Questions_290926 '!$E$1:$N$300,MATCH(D$1,'UPD Questions_290926 '!$E$1:$N$1,0),0)&amp;"")</f>
        <v>Statutory requirements for plan content</v>
      </c>
      <c r="E28" s="75" t="str">
        <f aca="false">IF(ISBLANK($A28),"NO_CODE",VLOOKUP($A28,'UPD Questions_290926 '!$E$1:$N$300,MATCH(E$1,'UPD Questions_290926 '!$E$1:$N$1,0),0)&amp;"")</f>
        <v>SQ</v>
      </c>
      <c r="F28" s="75" t="str">
        <f aca="false">IF(ISBLANK($A28),"NO_CODE",VLOOKUP($A28,'UPD Questions_290926 '!$E$1:$N$300,MATCH(F$1,'UPD Questions_290926 '!$E$1:$N$1,0),0)&amp;"")</f>
        <v>c) Comprehensive mobility</v>
      </c>
      <c r="G28" s="75" t="str">
        <f aca="false">IF(ISBLANK($A28),"NO_CODE",VLOOKUP($A28,'UPD Questions_290926 '!$E$1:$N$300,MATCH(G$1,'UPD Questions_290926 '!$E$1:$N$1,0),0)&amp;"")</f>
        <v>Law/Policy</v>
      </c>
      <c r="H28" s="77" t="n">
        <f aca="false">IF(ISBLANK($A28),"NO_CODE",VLOOKUP($A28,'UPD Questions_290926 '!$E$1:$N$300,MATCH(H$1,'UPD Questions_290926 '!$E$1:$N$1,0),0))</f>
        <v>1.67</v>
      </c>
      <c r="I28" s="78" t="str">
        <f aca="true">IF($H28=0,"NA",IF($A28=INDIRECT("'"&amp;$A28&amp;"'!$B$1"),IF(VLOOKUP(I$1,INDIRECT("'"&amp;$A28&amp;"'!$A$12:$Z$41"),MATCH("Points (Auto-generate)",INDIRECT("'"&amp;$A28&amp;"'!$A$12:$Z$12"),0),0)="","?",VLOOKUP(I$1,INDIRECT("'"&amp;$A28&amp;"'!$A$12:$Z$41"),MATCH("Points (Auto-generate)",INDIRECT("'"&amp;$A28&amp;"'!$A$12:$Z$12"),0),0)),"ER"))</f>
        <v>?</v>
      </c>
      <c r="J28" s="78" t="str">
        <f aca="true">IF($H28=0,"NA",IF($A28=INDIRECT("'"&amp;$A28&amp;"'!$B$1"),IF(VLOOKUP(J$1,INDIRECT("'"&amp;$A28&amp;"'!$A$12:$Z$41"),MATCH("Points (Auto-generate)",INDIRECT("'"&amp;$A28&amp;"'!$A$12:$Z$12"),0),0)="","?",VLOOKUP(J$1,INDIRECT("'"&amp;$A28&amp;"'!$A$12:$Z$41"),MATCH("Points (Auto-generate)",INDIRECT("'"&amp;$A28&amp;"'!$A$12:$Z$12"),0),0)),"ER"))</f>
        <v>?</v>
      </c>
      <c r="K28" s="78" t="str">
        <f aca="true">IF($H28=0,"NA",IF($A28=INDIRECT("'"&amp;$A28&amp;"'!$B$1"),IF(VLOOKUP(K$1,INDIRECT("'"&amp;$A28&amp;"'!$A$12:$Z$41"),MATCH("Points (Auto-generate)",INDIRECT("'"&amp;$A28&amp;"'!$A$12:$Z$12"),0),0)="","?",VLOOKUP(K$1,INDIRECT("'"&amp;$A28&amp;"'!$A$12:$Z$41"),MATCH("Points (Auto-generate)",INDIRECT("'"&amp;$A28&amp;"'!$A$12:$Z$12"),0),0)),"ER"))</f>
        <v>?</v>
      </c>
      <c r="L28" s="78" t="str">
        <f aca="true">IF($H28=0,"NA",IF($A28=INDIRECT("'"&amp;$A28&amp;"'!$B$1"),IF(VLOOKUP(L$1,INDIRECT("'"&amp;$A28&amp;"'!$A$12:$Z$41"),MATCH("Points (Auto-generate)",INDIRECT("'"&amp;$A28&amp;"'!$A$12:$Z$12"),0),0)="","?",VLOOKUP(L$1,INDIRECT("'"&amp;$A28&amp;"'!$A$12:$Z$41"),MATCH("Points (Auto-generate)",INDIRECT("'"&amp;$A28&amp;"'!$A$12:$Z$12"),0),0)),"ER"))</f>
        <v>?</v>
      </c>
      <c r="M28" s="78" t="str">
        <f aca="true">IF($H28=0,"NA",IF($A28=INDIRECT("'"&amp;$A28&amp;"'!$B$1"),IF(VLOOKUP(M$1,INDIRECT("'"&amp;$A28&amp;"'!$A$12:$Z$41"),MATCH("Points (Auto-generate)",INDIRECT("'"&amp;$A28&amp;"'!$A$12:$Z$12"),0),0)="","?",VLOOKUP(M$1,INDIRECT("'"&amp;$A28&amp;"'!$A$12:$Z$41"),MATCH("Points (Auto-generate)",INDIRECT("'"&amp;$A28&amp;"'!$A$12:$Z$12"),0),0)),"ER"))</f>
        <v>?</v>
      </c>
      <c r="N28" s="78" t="str">
        <f aca="true">IF($H28=0,"NA",IF($A28=INDIRECT("'"&amp;$A28&amp;"'!$B$1"),IF(VLOOKUP(N$1,INDIRECT("'"&amp;$A28&amp;"'!$A$12:$Z$41"),MATCH("Points (Auto-generate)",INDIRECT("'"&amp;$A28&amp;"'!$A$12:$Z$12"),0),0)="","?",VLOOKUP(N$1,INDIRECT("'"&amp;$A28&amp;"'!$A$12:$Z$41"),MATCH("Points (Auto-generate)",INDIRECT("'"&amp;$A28&amp;"'!$A$12:$Z$12"),0),0)),"ER"))</f>
        <v>?</v>
      </c>
      <c r="O28" s="78" t="str">
        <f aca="true">IF($H28=0,"NA",IF($A28=INDIRECT("'"&amp;$A28&amp;"'!$B$1"),IF(VLOOKUP(O$1,INDIRECT("'"&amp;$A28&amp;"'!$A$12:$Z$41"),MATCH("Points (Auto-generate)",INDIRECT("'"&amp;$A28&amp;"'!$A$12:$Z$12"),0),0)="","?",VLOOKUP(O$1,INDIRECT("'"&amp;$A28&amp;"'!$A$12:$Z$41"),MATCH("Points (Auto-generate)",INDIRECT("'"&amp;$A28&amp;"'!$A$12:$Z$12"),0),0)),"ER"))</f>
        <v>?</v>
      </c>
      <c r="P28" s="78" t="str">
        <f aca="true">IF($H28=0,"NA",IF($A28=INDIRECT("'"&amp;$A28&amp;"'!$B$1"),IF(VLOOKUP(P$1,INDIRECT("'"&amp;$A28&amp;"'!$A$12:$Z$41"),MATCH("Points (Auto-generate)",INDIRECT("'"&amp;$A28&amp;"'!$A$12:$Z$12"),0),0)="","?",VLOOKUP(P$1,INDIRECT("'"&amp;$A28&amp;"'!$A$12:$Z$41"),MATCH("Points (Auto-generate)",INDIRECT("'"&amp;$A28&amp;"'!$A$12:$Z$12"),0),0)),"ER"))</f>
        <v>?</v>
      </c>
      <c r="Q28" s="78" t="str">
        <f aca="true">IF($H28=0,"NA",IF($A28=INDIRECT("'"&amp;$A28&amp;"'!$B$1"),IF(VLOOKUP(Q$1,INDIRECT("'"&amp;$A28&amp;"'!$A$12:$Z$41"),MATCH("Points (Auto-generate)",INDIRECT("'"&amp;$A28&amp;"'!$A$12:$Z$12"),0),0)="","?",VLOOKUP(Q$1,INDIRECT("'"&amp;$A28&amp;"'!$A$12:$Z$41"),MATCH("Points (Auto-generate)",INDIRECT("'"&amp;$A28&amp;"'!$A$12:$Z$12"),0),0)),"ER"))</f>
        <v>?</v>
      </c>
      <c r="R28" s="78" t="str">
        <f aca="true">IF($H28=0,"NA",IF($A28=INDIRECT("'"&amp;$A28&amp;"'!$B$1"),IF(VLOOKUP(R$1,INDIRECT("'"&amp;$A28&amp;"'!$A$12:$Z$41"),MATCH("Points (Auto-generate)",INDIRECT("'"&amp;$A28&amp;"'!$A$12:$Z$12"),0),0)="","?",VLOOKUP(R$1,INDIRECT("'"&amp;$A28&amp;"'!$A$12:$Z$41"),MATCH("Points (Auto-generate)",INDIRECT("'"&amp;$A28&amp;"'!$A$12:$Z$12"),0),0)),"ER"))</f>
        <v>?</v>
      </c>
      <c r="S28" s="78" t="str">
        <f aca="true">IF($H28=0,"NA",IF($A28=INDIRECT("'"&amp;$A28&amp;"'!$B$1"),IF(VLOOKUP(S$1,INDIRECT("'"&amp;$A28&amp;"'!$A$12:$Z$41"),MATCH("Points (Auto-generate)",INDIRECT("'"&amp;$A28&amp;"'!$A$12:$Z$12"),0),0)="","?",VLOOKUP(S$1,INDIRECT("'"&amp;$A28&amp;"'!$A$12:$Z$41"),MATCH("Points (Auto-generate)",INDIRECT("'"&amp;$A28&amp;"'!$A$12:$Z$12"),0),0)),"ER"))</f>
        <v>?</v>
      </c>
      <c r="T28" s="78" t="str">
        <f aca="true">IF($H28=0,"NA",IF($A28=INDIRECT("'"&amp;$A28&amp;"'!$B$1"),IF(VLOOKUP(T$1,INDIRECT("'"&amp;$A28&amp;"'!$A$12:$Z$41"),MATCH("Points (Auto-generate)",INDIRECT("'"&amp;$A28&amp;"'!$A$12:$Z$12"),0),0)="","?",VLOOKUP(T$1,INDIRECT("'"&amp;$A28&amp;"'!$A$12:$Z$41"),MATCH("Points (Auto-generate)",INDIRECT("'"&amp;$A28&amp;"'!$A$12:$Z$12"),0),0)),"ER"))</f>
        <v>?</v>
      </c>
      <c r="U28" s="78" t="str">
        <f aca="true">IF($H28=0,"NA",IF($A28=INDIRECT("'"&amp;$A28&amp;"'!$B$1"),IF(VLOOKUP(U$1,INDIRECT("'"&amp;$A28&amp;"'!$A$12:$Z$41"),MATCH("Points (Auto-generate)",INDIRECT("'"&amp;$A28&amp;"'!$A$12:$Z$12"),0),0)="","?",VLOOKUP(U$1,INDIRECT("'"&amp;$A28&amp;"'!$A$12:$Z$41"),MATCH("Points (Auto-generate)",INDIRECT("'"&amp;$A28&amp;"'!$A$12:$Z$12"),0),0)),"ER"))</f>
        <v>?</v>
      </c>
      <c r="V28" s="78" t="str">
        <f aca="true">IF($H28=0,"NA",IF($A28=INDIRECT("'"&amp;$A28&amp;"'!$B$1"),IF(VLOOKUP(V$1,INDIRECT("'"&amp;$A28&amp;"'!$A$12:$Z$41"),MATCH("Points (Auto-generate)",INDIRECT("'"&amp;$A28&amp;"'!$A$12:$Z$12"),0),0)="","?",VLOOKUP(V$1,INDIRECT("'"&amp;$A28&amp;"'!$A$12:$Z$41"),MATCH("Points (Auto-generate)",INDIRECT("'"&amp;$A28&amp;"'!$A$12:$Z$12"),0),0)),"ER"))</f>
        <v>?</v>
      </c>
      <c r="W28" s="78" t="str">
        <f aca="true">IF($H28=0,"NA",IF($A28=INDIRECT("'"&amp;$A28&amp;"'!$B$1"),IF(VLOOKUP(W$1,INDIRECT("'"&amp;$A28&amp;"'!$A$12:$Z$41"),MATCH("Points (Auto-generate)",INDIRECT("'"&amp;$A28&amp;"'!$A$12:$Z$12"),0),0)="","?",VLOOKUP(W$1,INDIRECT("'"&amp;$A28&amp;"'!$A$12:$Z$41"),MATCH("Points (Auto-generate)",INDIRECT("'"&amp;$A28&amp;"'!$A$12:$Z$12"),0),0)),"ER"))</f>
        <v>?</v>
      </c>
      <c r="X28" s="78" t="str">
        <f aca="true">IF($H28=0,"NA",IF($A28=INDIRECT("'"&amp;$A28&amp;"'!$B$1"),IF(VLOOKUP(X$1,INDIRECT("'"&amp;$A28&amp;"'!$A$12:$Z$41"),MATCH("Points (Auto-generate)",INDIRECT("'"&amp;$A28&amp;"'!$A$12:$Z$12"),0),0)="","?",VLOOKUP(X$1,INDIRECT("'"&amp;$A28&amp;"'!$A$12:$Z$41"),MATCH("Points (Auto-generate)",INDIRECT("'"&amp;$A28&amp;"'!$A$12:$Z$12"),0),0)),"ER"))</f>
        <v>?</v>
      </c>
      <c r="Y28" s="78" t="str">
        <f aca="true">IF($H28=0,"NA",IF($A28=INDIRECT("'"&amp;$A28&amp;"'!$B$1"),IF(VLOOKUP(Y$1,INDIRECT("'"&amp;$A28&amp;"'!$A$12:$Z$41"),MATCH("Points (Auto-generate)",INDIRECT("'"&amp;$A28&amp;"'!$A$12:$Z$12"),0),0)="","?",VLOOKUP(Y$1,INDIRECT("'"&amp;$A28&amp;"'!$A$12:$Z$41"),MATCH("Points (Auto-generate)",INDIRECT("'"&amp;$A28&amp;"'!$A$12:$Z$12"),0),0)),"ER"))</f>
        <v>?</v>
      </c>
      <c r="Z28" s="78" t="str">
        <f aca="true">IF($H28=0,"NA",IF($A28=INDIRECT("'"&amp;$A28&amp;"'!$B$1"),IF(VLOOKUP(Z$1,INDIRECT("'"&amp;$A28&amp;"'!$A$12:$Z$41"),MATCH("Points (Auto-generate)",INDIRECT("'"&amp;$A28&amp;"'!$A$12:$Z$12"),0),0)="","?",VLOOKUP(Z$1,INDIRECT("'"&amp;$A28&amp;"'!$A$12:$Z$41"),MATCH("Points (Auto-generate)",INDIRECT("'"&amp;$A28&amp;"'!$A$12:$Z$12"),0),0)),"ER"))</f>
        <v>?</v>
      </c>
      <c r="AA28" s="78" t="str">
        <f aca="true">IF($H28=0,"NA",IF($A28=INDIRECT("'"&amp;$A28&amp;"'!$B$1"),IF(VLOOKUP(AA$1,INDIRECT("'"&amp;$A28&amp;"'!$A$12:$Z$41"),MATCH("Points (Auto-generate)",INDIRECT("'"&amp;$A28&amp;"'!$A$12:$Z$12"),0),0)="","?",VLOOKUP(AA$1,INDIRECT("'"&amp;$A28&amp;"'!$A$12:$Z$41"),MATCH("Points (Auto-generate)",INDIRECT("'"&amp;$A28&amp;"'!$A$12:$Z$12"),0),0)),"ER"))</f>
        <v>?</v>
      </c>
      <c r="AB28" s="78" t="str">
        <f aca="true">IF($H28=0,"NA",IF($A28=INDIRECT("'"&amp;$A28&amp;"'!$B$1"),IF(VLOOKUP(AB$1,INDIRECT("'"&amp;$A28&amp;"'!$A$12:$Z$41"),MATCH("Points (Auto-generate)",INDIRECT("'"&amp;$A28&amp;"'!$A$12:$Z$12"),0),0)="","?",VLOOKUP(AB$1,INDIRECT("'"&amp;$A28&amp;"'!$A$12:$Z$41"),MATCH("Points (Auto-generate)",INDIRECT("'"&amp;$A28&amp;"'!$A$12:$Z$12"),0),0)),"ER"))</f>
        <v>?</v>
      </c>
      <c r="AC28" s="78" t="str">
        <f aca="true">IF($H28=0,"NA",IF($A28=INDIRECT("'"&amp;$A28&amp;"'!$B$1"),IF(VLOOKUP(AC$1,INDIRECT("'"&amp;$A28&amp;"'!$A$12:$Z$41"),MATCH("Points (Auto-generate)",INDIRECT("'"&amp;$A28&amp;"'!$A$12:$Z$12"),0),0)="","?",VLOOKUP(AC$1,INDIRECT("'"&amp;$A28&amp;"'!$A$12:$Z$41"),MATCH("Points (Auto-generate)",INDIRECT("'"&amp;$A28&amp;"'!$A$12:$Z$12"),0),0)),"ER"))</f>
        <v>?</v>
      </c>
      <c r="AD28" s="78" t="str">
        <f aca="true">IF($H28=0,"NA",IF($A28=INDIRECT("'"&amp;$A28&amp;"'!$B$1"),IF(VLOOKUP(AD$1,INDIRECT("'"&amp;$A28&amp;"'!$A$12:$Z$41"),MATCH("Points (Auto-generate)",INDIRECT("'"&amp;$A28&amp;"'!$A$12:$Z$12"),0),0)="","?",VLOOKUP(AD$1,INDIRECT("'"&amp;$A28&amp;"'!$A$12:$Z$41"),MATCH("Points (Auto-generate)",INDIRECT("'"&amp;$A28&amp;"'!$A$12:$Z$12"),0),0)),"ER"))</f>
        <v>?</v>
      </c>
      <c r="AE28" s="78" t="str">
        <f aca="true">IF($H28=0,"NA",IF($A28=INDIRECT("'"&amp;$A28&amp;"'!$B$1"),IF(VLOOKUP(AE$1,INDIRECT("'"&amp;$A28&amp;"'!$A$12:$Z$41"),MATCH("Points (Auto-generate)",INDIRECT("'"&amp;$A28&amp;"'!$A$12:$Z$12"),0),0)="","?",VLOOKUP(AE$1,INDIRECT("'"&amp;$A28&amp;"'!$A$12:$Z$41"),MATCH("Points (Auto-generate)",INDIRECT("'"&amp;$A28&amp;"'!$A$12:$Z$12"),0),0)),"ER"))</f>
        <v>?</v>
      </c>
      <c r="AF28" s="78" t="str">
        <f aca="true">IF($H28=0,"NA",IF($A28=INDIRECT("'"&amp;$A28&amp;"'!$B$1"),IF(VLOOKUP(AF$1,INDIRECT("'"&amp;$A28&amp;"'!$A$12:$Z$41"),MATCH("Points (Auto-generate)",INDIRECT("'"&amp;$A28&amp;"'!$A$12:$Z$12"),0),0)="","?",VLOOKUP(AF$1,INDIRECT("'"&amp;$A28&amp;"'!$A$12:$Z$41"),MATCH("Points (Auto-generate)",INDIRECT("'"&amp;$A28&amp;"'!$A$12:$Z$12"),0),0)),"ER"))</f>
        <v>?</v>
      </c>
      <c r="AG28" s="78" t="str">
        <f aca="true">IF($H28=0,"NA",IF($A28=INDIRECT("'"&amp;$A28&amp;"'!$B$1"),IF(VLOOKUP(AG$1,INDIRECT("'"&amp;$A28&amp;"'!$A$12:$Z$41"),MATCH("Points (Auto-generate)",INDIRECT("'"&amp;$A28&amp;"'!$A$12:$Z$12"),0),0)="","?",VLOOKUP(AG$1,INDIRECT("'"&amp;$A28&amp;"'!$A$12:$Z$41"),MATCH("Points (Auto-generate)",INDIRECT("'"&amp;$A28&amp;"'!$A$12:$Z$12"),0),0)),"ER"))</f>
        <v>?</v>
      </c>
      <c r="AH28" s="78" t="str">
        <f aca="true">IF($H28=0,"NA",IF($A28=INDIRECT("'"&amp;$A28&amp;"'!$B$1"),IF(VLOOKUP(AH$1,INDIRECT("'"&amp;$A28&amp;"'!$A$12:$Z$41"),MATCH("Points (Auto-generate)",INDIRECT("'"&amp;$A28&amp;"'!$A$12:$Z$12"),0),0)="","?",VLOOKUP(AH$1,INDIRECT("'"&amp;$A28&amp;"'!$A$12:$Z$41"),MATCH("Points (Auto-generate)",INDIRECT("'"&amp;$A28&amp;"'!$A$12:$Z$12"),0),0)),"ER"))</f>
        <v>?</v>
      </c>
      <c r="AI28" s="78" t="str">
        <f aca="true">IF($H28=0,"NA",IF($A28=INDIRECT("'"&amp;$A28&amp;"'!$B$1"),IF(VLOOKUP(AI$1,INDIRECT("'"&amp;$A28&amp;"'!$A$12:$Z$41"),MATCH("Points (Auto-generate)",INDIRECT("'"&amp;$A28&amp;"'!$A$12:$Z$12"),0),0)="","?",VLOOKUP(AI$1,INDIRECT("'"&amp;$A28&amp;"'!$A$12:$Z$41"),MATCH("Points (Auto-generate)",INDIRECT("'"&amp;$A28&amp;"'!$A$12:$Z$12"),0),0)),"ER"))</f>
        <v>?</v>
      </c>
      <c r="AJ28" s="78" t="str">
        <f aca="true">IF($H28=0,"NA",IF($A28=INDIRECT("'"&amp;$A28&amp;"'!$B$1"),IF(VLOOKUP(AJ$1,INDIRECT("'"&amp;$A28&amp;"'!$A$12:$Z$41"),MATCH("Points (Auto-generate)",INDIRECT("'"&amp;$A28&amp;"'!$A$12:$Z$12"),0),0)="","?",VLOOKUP(AJ$1,INDIRECT("'"&amp;$A28&amp;"'!$A$12:$Z$41"),MATCH("Points (Auto-generate)",INDIRECT("'"&amp;$A28&amp;"'!$A$12:$Z$12"),0),0)),"ER"))</f>
        <v>?</v>
      </c>
      <c r="AK28" s="78" t="str">
        <f aca="true">IF($H28=0,"NA",IF($A28=INDIRECT("'"&amp;$A28&amp;"'!$B$1"),IF(VLOOKUP(AK$1,INDIRECT("'"&amp;$A28&amp;"'!$A$12:$Z$41"),MATCH("Points (Auto-generate)",INDIRECT("'"&amp;$A28&amp;"'!$A$12:$Z$12"),0),0)="","?",VLOOKUP(AK$1,INDIRECT("'"&amp;$A28&amp;"'!$A$12:$Z$41"),MATCH("Points (Auto-generate)",INDIRECT("'"&amp;$A28&amp;"'!$A$12:$Z$12"),0),0)),"ER"))</f>
        <v>?</v>
      </c>
    </row>
    <row r="29" customFormat="false" ht="14.25" hidden="false" customHeight="true" outlineLevel="0" collapsed="false">
      <c r="A29" s="74" t="s">
        <v>156</v>
      </c>
      <c r="B29" s="75" t="str">
        <f aca="false">IF(ISBLANK($A29),"NO_CODE",VLOOKUP($A29,'UPD Questions_290926 '!$E$1:$N$300,MATCH(B$1,'UPD Questions_290926 '!$E$1:$N$1,0),0)&amp;"")</f>
        <v>Planning </v>
      </c>
      <c r="C29" s="75" t="str">
        <f aca="false">IF(ISBLANK($A29),"NO_CODE",VLOOKUP($A29,'UPD Questions_290926 '!$E$1:$N$300,MATCH(C$1,'UPD Questions_290926 '!$E$1:$N$1,0),0)&amp;"")</f>
        <v>Municipal/City Plan objectives and contents</v>
      </c>
      <c r="D29" s="75" t="str">
        <f aca="false">IF(ISBLANK($A29),"NO_CODE",VLOOKUP($A29,'UPD Questions_290926 '!$E$1:$N$300,MATCH(D$1,'UPD Questions_290926 '!$E$1:$N$1,0),0)&amp;"")</f>
        <v>Statutory requirements for plan content</v>
      </c>
      <c r="E29" s="75" t="str">
        <f aca="false">IF(ISBLANK($A29),"NO_CODE",VLOOKUP($A29,'UPD Questions_290926 '!$E$1:$N$300,MATCH(E$1,'UPD Questions_290926 '!$E$1:$N$1,0),0)&amp;"")</f>
        <v>SQ</v>
      </c>
      <c r="F29" s="75" t="str">
        <f aca="false">IF(ISBLANK($A29),"NO_CODE",VLOOKUP($A29,'UPD Questions_290926 '!$E$1:$N$300,MATCH(F$1,'UPD Questions_290926 '!$E$1:$N$1,0),0)&amp;"")</f>
        <v>d) Sustainability/Climate/Environmental conservation</v>
      </c>
      <c r="G29" s="75" t="str">
        <f aca="false">IF(ISBLANK($A29),"NO_CODE",VLOOKUP($A29,'UPD Questions_290926 '!$E$1:$N$300,MATCH(G$1,'UPD Questions_290926 '!$E$1:$N$1,0),0)&amp;"")</f>
        <v>Law/Policy</v>
      </c>
      <c r="H29" s="77" t="n">
        <f aca="false">IF(ISBLANK($A29),"NO_CODE",VLOOKUP($A29,'UPD Questions_290926 '!$E$1:$N$300,MATCH(H$1,'UPD Questions_290926 '!$E$1:$N$1,0),0))</f>
        <v>1.67</v>
      </c>
      <c r="I29" s="78" t="str">
        <f aca="true">IF($H29=0,"NA",IF($A29=INDIRECT("'"&amp;$A29&amp;"'!$B$1"),IF(VLOOKUP(I$1,INDIRECT("'"&amp;$A29&amp;"'!$A$12:$Z$41"),MATCH("Points (Auto-generate)",INDIRECT("'"&amp;$A29&amp;"'!$A$12:$Z$12"),0),0)="","?",VLOOKUP(I$1,INDIRECT("'"&amp;$A29&amp;"'!$A$12:$Z$41"),MATCH("Points (Auto-generate)",INDIRECT("'"&amp;$A29&amp;"'!$A$12:$Z$12"),0),0)),"ER"))</f>
        <v>?</v>
      </c>
      <c r="J29" s="78" t="str">
        <f aca="true">IF($H29=0,"NA",IF($A29=INDIRECT("'"&amp;$A29&amp;"'!$B$1"),IF(VLOOKUP(J$1,INDIRECT("'"&amp;$A29&amp;"'!$A$12:$Z$41"),MATCH("Points (Auto-generate)",INDIRECT("'"&amp;$A29&amp;"'!$A$12:$Z$12"),0),0)="","?",VLOOKUP(J$1,INDIRECT("'"&amp;$A29&amp;"'!$A$12:$Z$41"),MATCH("Points (Auto-generate)",INDIRECT("'"&amp;$A29&amp;"'!$A$12:$Z$12"),0),0)),"ER"))</f>
        <v>?</v>
      </c>
      <c r="K29" s="78" t="str">
        <f aca="true">IF($H29=0,"NA",IF($A29=INDIRECT("'"&amp;$A29&amp;"'!$B$1"),IF(VLOOKUP(K$1,INDIRECT("'"&amp;$A29&amp;"'!$A$12:$Z$41"),MATCH("Points (Auto-generate)",INDIRECT("'"&amp;$A29&amp;"'!$A$12:$Z$12"),0),0)="","?",VLOOKUP(K$1,INDIRECT("'"&amp;$A29&amp;"'!$A$12:$Z$41"),MATCH("Points (Auto-generate)",INDIRECT("'"&amp;$A29&amp;"'!$A$12:$Z$12"),0),0)),"ER"))</f>
        <v>?</v>
      </c>
      <c r="L29" s="78" t="str">
        <f aca="true">IF($H29=0,"NA",IF($A29=INDIRECT("'"&amp;$A29&amp;"'!$B$1"),IF(VLOOKUP(L$1,INDIRECT("'"&amp;$A29&amp;"'!$A$12:$Z$41"),MATCH("Points (Auto-generate)",INDIRECT("'"&amp;$A29&amp;"'!$A$12:$Z$12"),0),0)="","?",VLOOKUP(L$1,INDIRECT("'"&amp;$A29&amp;"'!$A$12:$Z$41"),MATCH("Points (Auto-generate)",INDIRECT("'"&amp;$A29&amp;"'!$A$12:$Z$12"),0),0)),"ER"))</f>
        <v>?</v>
      </c>
      <c r="M29" s="78" t="str">
        <f aca="true">IF($H29=0,"NA",IF($A29=INDIRECT("'"&amp;$A29&amp;"'!$B$1"),IF(VLOOKUP(M$1,INDIRECT("'"&amp;$A29&amp;"'!$A$12:$Z$41"),MATCH("Points (Auto-generate)",INDIRECT("'"&amp;$A29&amp;"'!$A$12:$Z$12"),0),0)="","?",VLOOKUP(M$1,INDIRECT("'"&amp;$A29&amp;"'!$A$12:$Z$41"),MATCH("Points (Auto-generate)",INDIRECT("'"&amp;$A29&amp;"'!$A$12:$Z$12"),0),0)),"ER"))</f>
        <v>?</v>
      </c>
      <c r="N29" s="78" t="str">
        <f aca="true">IF($H29=0,"NA",IF($A29=INDIRECT("'"&amp;$A29&amp;"'!$B$1"),IF(VLOOKUP(N$1,INDIRECT("'"&amp;$A29&amp;"'!$A$12:$Z$41"),MATCH("Points (Auto-generate)",INDIRECT("'"&amp;$A29&amp;"'!$A$12:$Z$12"),0),0)="","?",VLOOKUP(N$1,INDIRECT("'"&amp;$A29&amp;"'!$A$12:$Z$41"),MATCH("Points (Auto-generate)",INDIRECT("'"&amp;$A29&amp;"'!$A$12:$Z$12"),0),0)),"ER"))</f>
        <v>?</v>
      </c>
      <c r="O29" s="78" t="str">
        <f aca="true">IF($H29=0,"NA",IF($A29=INDIRECT("'"&amp;$A29&amp;"'!$B$1"),IF(VLOOKUP(O$1,INDIRECT("'"&amp;$A29&amp;"'!$A$12:$Z$41"),MATCH("Points (Auto-generate)",INDIRECT("'"&amp;$A29&amp;"'!$A$12:$Z$12"),0),0)="","?",VLOOKUP(O$1,INDIRECT("'"&amp;$A29&amp;"'!$A$12:$Z$41"),MATCH("Points (Auto-generate)",INDIRECT("'"&amp;$A29&amp;"'!$A$12:$Z$12"),0),0)),"ER"))</f>
        <v>?</v>
      </c>
      <c r="P29" s="78" t="str">
        <f aca="true">IF($H29=0,"NA",IF($A29=INDIRECT("'"&amp;$A29&amp;"'!$B$1"),IF(VLOOKUP(P$1,INDIRECT("'"&amp;$A29&amp;"'!$A$12:$Z$41"),MATCH("Points (Auto-generate)",INDIRECT("'"&amp;$A29&amp;"'!$A$12:$Z$12"),0),0)="","?",VLOOKUP(P$1,INDIRECT("'"&amp;$A29&amp;"'!$A$12:$Z$41"),MATCH("Points (Auto-generate)",INDIRECT("'"&amp;$A29&amp;"'!$A$12:$Z$12"),0),0)),"ER"))</f>
        <v>?</v>
      </c>
      <c r="Q29" s="78" t="str">
        <f aca="true">IF($H29=0,"NA",IF($A29=INDIRECT("'"&amp;$A29&amp;"'!$B$1"),IF(VLOOKUP(Q$1,INDIRECT("'"&amp;$A29&amp;"'!$A$12:$Z$41"),MATCH("Points (Auto-generate)",INDIRECT("'"&amp;$A29&amp;"'!$A$12:$Z$12"),0),0)="","?",VLOOKUP(Q$1,INDIRECT("'"&amp;$A29&amp;"'!$A$12:$Z$41"),MATCH("Points (Auto-generate)",INDIRECT("'"&amp;$A29&amp;"'!$A$12:$Z$12"),0),0)),"ER"))</f>
        <v>?</v>
      </c>
      <c r="R29" s="78" t="str">
        <f aca="true">IF($H29=0,"NA",IF($A29=INDIRECT("'"&amp;$A29&amp;"'!$B$1"),IF(VLOOKUP(R$1,INDIRECT("'"&amp;$A29&amp;"'!$A$12:$Z$41"),MATCH("Points (Auto-generate)",INDIRECT("'"&amp;$A29&amp;"'!$A$12:$Z$12"),0),0)="","?",VLOOKUP(R$1,INDIRECT("'"&amp;$A29&amp;"'!$A$12:$Z$41"),MATCH("Points (Auto-generate)",INDIRECT("'"&amp;$A29&amp;"'!$A$12:$Z$12"),0),0)),"ER"))</f>
        <v>?</v>
      </c>
      <c r="S29" s="78" t="str">
        <f aca="true">IF($H29=0,"NA",IF($A29=INDIRECT("'"&amp;$A29&amp;"'!$B$1"),IF(VLOOKUP(S$1,INDIRECT("'"&amp;$A29&amp;"'!$A$12:$Z$41"),MATCH("Points (Auto-generate)",INDIRECT("'"&amp;$A29&amp;"'!$A$12:$Z$12"),0),0)="","?",VLOOKUP(S$1,INDIRECT("'"&amp;$A29&amp;"'!$A$12:$Z$41"),MATCH("Points (Auto-generate)",INDIRECT("'"&amp;$A29&amp;"'!$A$12:$Z$12"),0),0)),"ER"))</f>
        <v>?</v>
      </c>
      <c r="T29" s="78" t="str">
        <f aca="true">IF($H29=0,"NA",IF($A29=INDIRECT("'"&amp;$A29&amp;"'!$B$1"),IF(VLOOKUP(T$1,INDIRECT("'"&amp;$A29&amp;"'!$A$12:$Z$41"),MATCH("Points (Auto-generate)",INDIRECT("'"&amp;$A29&amp;"'!$A$12:$Z$12"),0),0)="","?",VLOOKUP(T$1,INDIRECT("'"&amp;$A29&amp;"'!$A$12:$Z$41"),MATCH("Points (Auto-generate)",INDIRECT("'"&amp;$A29&amp;"'!$A$12:$Z$12"),0),0)),"ER"))</f>
        <v>?</v>
      </c>
      <c r="U29" s="78" t="str">
        <f aca="true">IF($H29=0,"NA",IF($A29=INDIRECT("'"&amp;$A29&amp;"'!$B$1"),IF(VLOOKUP(U$1,INDIRECT("'"&amp;$A29&amp;"'!$A$12:$Z$41"),MATCH("Points (Auto-generate)",INDIRECT("'"&amp;$A29&amp;"'!$A$12:$Z$12"),0),0)="","?",VLOOKUP(U$1,INDIRECT("'"&amp;$A29&amp;"'!$A$12:$Z$41"),MATCH("Points (Auto-generate)",INDIRECT("'"&amp;$A29&amp;"'!$A$12:$Z$12"),0),0)),"ER"))</f>
        <v>?</v>
      </c>
      <c r="V29" s="78" t="str">
        <f aca="true">IF($H29=0,"NA",IF($A29=INDIRECT("'"&amp;$A29&amp;"'!$B$1"),IF(VLOOKUP(V$1,INDIRECT("'"&amp;$A29&amp;"'!$A$12:$Z$41"),MATCH("Points (Auto-generate)",INDIRECT("'"&amp;$A29&amp;"'!$A$12:$Z$12"),0),0)="","?",VLOOKUP(V$1,INDIRECT("'"&amp;$A29&amp;"'!$A$12:$Z$41"),MATCH("Points (Auto-generate)",INDIRECT("'"&amp;$A29&amp;"'!$A$12:$Z$12"),0),0)),"ER"))</f>
        <v>?</v>
      </c>
      <c r="W29" s="78" t="str">
        <f aca="true">IF($H29=0,"NA",IF($A29=INDIRECT("'"&amp;$A29&amp;"'!$B$1"),IF(VLOOKUP(W$1,INDIRECT("'"&amp;$A29&amp;"'!$A$12:$Z$41"),MATCH("Points (Auto-generate)",INDIRECT("'"&amp;$A29&amp;"'!$A$12:$Z$12"),0),0)="","?",VLOOKUP(W$1,INDIRECT("'"&amp;$A29&amp;"'!$A$12:$Z$41"),MATCH("Points (Auto-generate)",INDIRECT("'"&amp;$A29&amp;"'!$A$12:$Z$12"),0),0)),"ER"))</f>
        <v>?</v>
      </c>
      <c r="X29" s="78" t="str">
        <f aca="true">IF($H29=0,"NA",IF($A29=INDIRECT("'"&amp;$A29&amp;"'!$B$1"),IF(VLOOKUP(X$1,INDIRECT("'"&amp;$A29&amp;"'!$A$12:$Z$41"),MATCH("Points (Auto-generate)",INDIRECT("'"&amp;$A29&amp;"'!$A$12:$Z$12"),0),0)="","?",VLOOKUP(X$1,INDIRECT("'"&amp;$A29&amp;"'!$A$12:$Z$41"),MATCH("Points (Auto-generate)",INDIRECT("'"&amp;$A29&amp;"'!$A$12:$Z$12"),0),0)),"ER"))</f>
        <v>?</v>
      </c>
      <c r="Y29" s="78" t="str">
        <f aca="true">IF($H29=0,"NA",IF($A29=INDIRECT("'"&amp;$A29&amp;"'!$B$1"),IF(VLOOKUP(Y$1,INDIRECT("'"&amp;$A29&amp;"'!$A$12:$Z$41"),MATCH("Points (Auto-generate)",INDIRECT("'"&amp;$A29&amp;"'!$A$12:$Z$12"),0),0)="","?",VLOOKUP(Y$1,INDIRECT("'"&amp;$A29&amp;"'!$A$12:$Z$41"),MATCH("Points (Auto-generate)",INDIRECT("'"&amp;$A29&amp;"'!$A$12:$Z$12"),0),0)),"ER"))</f>
        <v>?</v>
      </c>
      <c r="Z29" s="78" t="str">
        <f aca="true">IF($H29=0,"NA",IF($A29=INDIRECT("'"&amp;$A29&amp;"'!$B$1"),IF(VLOOKUP(Z$1,INDIRECT("'"&amp;$A29&amp;"'!$A$12:$Z$41"),MATCH("Points (Auto-generate)",INDIRECT("'"&amp;$A29&amp;"'!$A$12:$Z$12"),0),0)="","?",VLOOKUP(Z$1,INDIRECT("'"&amp;$A29&amp;"'!$A$12:$Z$41"),MATCH("Points (Auto-generate)",INDIRECT("'"&amp;$A29&amp;"'!$A$12:$Z$12"),0),0)),"ER"))</f>
        <v>?</v>
      </c>
      <c r="AA29" s="78" t="str">
        <f aca="true">IF($H29=0,"NA",IF($A29=INDIRECT("'"&amp;$A29&amp;"'!$B$1"),IF(VLOOKUP(AA$1,INDIRECT("'"&amp;$A29&amp;"'!$A$12:$Z$41"),MATCH("Points (Auto-generate)",INDIRECT("'"&amp;$A29&amp;"'!$A$12:$Z$12"),0),0)="","?",VLOOKUP(AA$1,INDIRECT("'"&amp;$A29&amp;"'!$A$12:$Z$41"),MATCH("Points (Auto-generate)",INDIRECT("'"&amp;$A29&amp;"'!$A$12:$Z$12"),0),0)),"ER"))</f>
        <v>?</v>
      </c>
      <c r="AB29" s="78" t="str">
        <f aca="true">IF($H29=0,"NA",IF($A29=INDIRECT("'"&amp;$A29&amp;"'!$B$1"),IF(VLOOKUP(AB$1,INDIRECT("'"&amp;$A29&amp;"'!$A$12:$Z$41"),MATCH("Points (Auto-generate)",INDIRECT("'"&amp;$A29&amp;"'!$A$12:$Z$12"),0),0)="","?",VLOOKUP(AB$1,INDIRECT("'"&amp;$A29&amp;"'!$A$12:$Z$41"),MATCH("Points (Auto-generate)",INDIRECT("'"&amp;$A29&amp;"'!$A$12:$Z$12"),0),0)),"ER"))</f>
        <v>?</v>
      </c>
      <c r="AC29" s="78" t="str">
        <f aca="true">IF($H29=0,"NA",IF($A29=INDIRECT("'"&amp;$A29&amp;"'!$B$1"),IF(VLOOKUP(AC$1,INDIRECT("'"&amp;$A29&amp;"'!$A$12:$Z$41"),MATCH("Points (Auto-generate)",INDIRECT("'"&amp;$A29&amp;"'!$A$12:$Z$12"),0),0)="","?",VLOOKUP(AC$1,INDIRECT("'"&amp;$A29&amp;"'!$A$12:$Z$41"),MATCH("Points (Auto-generate)",INDIRECT("'"&amp;$A29&amp;"'!$A$12:$Z$12"),0),0)),"ER"))</f>
        <v>?</v>
      </c>
      <c r="AD29" s="78" t="str">
        <f aca="true">IF($H29=0,"NA",IF($A29=INDIRECT("'"&amp;$A29&amp;"'!$B$1"),IF(VLOOKUP(AD$1,INDIRECT("'"&amp;$A29&amp;"'!$A$12:$Z$41"),MATCH("Points (Auto-generate)",INDIRECT("'"&amp;$A29&amp;"'!$A$12:$Z$12"),0),0)="","?",VLOOKUP(AD$1,INDIRECT("'"&amp;$A29&amp;"'!$A$12:$Z$41"),MATCH("Points (Auto-generate)",INDIRECT("'"&amp;$A29&amp;"'!$A$12:$Z$12"),0),0)),"ER"))</f>
        <v>?</v>
      </c>
      <c r="AE29" s="78" t="str">
        <f aca="true">IF($H29=0,"NA",IF($A29=INDIRECT("'"&amp;$A29&amp;"'!$B$1"),IF(VLOOKUP(AE$1,INDIRECT("'"&amp;$A29&amp;"'!$A$12:$Z$41"),MATCH("Points (Auto-generate)",INDIRECT("'"&amp;$A29&amp;"'!$A$12:$Z$12"),0),0)="","?",VLOOKUP(AE$1,INDIRECT("'"&amp;$A29&amp;"'!$A$12:$Z$41"),MATCH("Points (Auto-generate)",INDIRECT("'"&amp;$A29&amp;"'!$A$12:$Z$12"),0),0)),"ER"))</f>
        <v>?</v>
      </c>
      <c r="AF29" s="78" t="str">
        <f aca="true">IF($H29=0,"NA",IF($A29=INDIRECT("'"&amp;$A29&amp;"'!$B$1"),IF(VLOOKUP(AF$1,INDIRECT("'"&amp;$A29&amp;"'!$A$12:$Z$41"),MATCH("Points (Auto-generate)",INDIRECT("'"&amp;$A29&amp;"'!$A$12:$Z$12"),0),0)="","?",VLOOKUP(AF$1,INDIRECT("'"&amp;$A29&amp;"'!$A$12:$Z$41"),MATCH("Points (Auto-generate)",INDIRECT("'"&amp;$A29&amp;"'!$A$12:$Z$12"),0),0)),"ER"))</f>
        <v>?</v>
      </c>
      <c r="AG29" s="78" t="str">
        <f aca="true">IF($H29=0,"NA",IF($A29=INDIRECT("'"&amp;$A29&amp;"'!$B$1"),IF(VLOOKUP(AG$1,INDIRECT("'"&amp;$A29&amp;"'!$A$12:$Z$41"),MATCH("Points (Auto-generate)",INDIRECT("'"&amp;$A29&amp;"'!$A$12:$Z$12"),0),0)="","?",VLOOKUP(AG$1,INDIRECT("'"&amp;$A29&amp;"'!$A$12:$Z$41"),MATCH("Points (Auto-generate)",INDIRECT("'"&amp;$A29&amp;"'!$A$12:$Z$12"),0),0)),"ER"))</f>
        <v>?</v>
      </c>
      <c r="AH29" s="78" t="str">
        <f aca="true">IF($H29=0,"NA",IF($A29=INDIRECT("'"&amp;$A29&amp;"'!$B$1"),IF(VLOOKUP(AH$1,INDIRECT("'"&amp;$A29&amp;"'!$A$12:$Z$41"),MATCH("Points (Auto-generate)",INDIRECT("'"&amp;$A29&amp;"'!$A$12:$Z$12"),0),0)="","?",VLOOKUP(AH$1,INDIRECT("'"&amp;$A29&amp;"'!$A$12:$Z$41"),MATCH("Points (Auto-generate)",INDIRECT("'"&amp;$A29&amp;"'!$A$12:$Z$12"),0),0)),"ER"))</f>
        <v>?</v>
      </c>
      <c r="AI29" s="78" t="str">
        <f aca="true">IF($H29=0,"NA",IF($A29=INDIRECT("'"&amp;$A29&amp;"'!$B$1"),IF(VLOOKUP(AI$1,INDIRECT("'"&amp;$A29&amp;"'!$A$12:$Z$41"),MATCH("Points (Auto-generate)",INDIRECT("'"&amp;$A29&amp;"'!$A$12:$Z$12"),0),0)="","?",VLOOKUP(AI$1,INDIRECT("'"&amp;$A29&amp;"'!$A$12:$Z$41"),MATCH("Points (Auto-generate)",INDIRECT("'"&amp;$A29&amp;"'!$A$12:$Z$12"),0),0)),"ER"))</f>
        <v>?</v>
      </c>
      <c r="AJ29" s="78" t="str">
        <f aca="true">IF($H29=0,"NA",IF($A29=INDIRECT("'"&amp;$A29&amp;"'!$B$1"),IF(VLOOKUP(AJ$1,INDIRECT("'"&amp;$A29&amp;"'!$A$12:$Z$41"),MATCH("Points (Auto-generate)",INDIRECT("'"&amp;$A29&amp;"'!$A$12:$Z$12"),0),0)="","?",VLOOKUP(AJ$1,INDIRECT("'"&amp;$A29&amp;"'!$A$12:$Z$41"),MATCH("Points (Auto-generate)",INDIRECT("'"&amp;$A29&amp;"'!$A$12:$Z$12"),0),0)),"ER"))</f>
        <v>?</v>
      </c>
      <c r="AK29" s="78" t="str">
        <f aca="true">IF($H29=0,"NA",IF($A29=INDIRECT("'"&amp;$A29&amp;"'!$B$1"),IF(VLOOKUP(AK$1,INDIRECT("'"&amp;$A29&amp;"'!$A$12:$Z$41"),MATCH("Points (Auto-generate)",INDIRECT("'"&amp;$A29&amp;"'!$A$12:$Z$12"),0),0)="","?",VLOOKUP(AK$1,INDIRECT("'"&amp;$A29&amp;"'!$A$12:$Z$41"),MATCH("Points (Auto-generate)",INDIRECT("'"&amp;$A29&amp;"'!$A$12:$Z$12"),0),0)),"ER"))</f>
        <v>?</v>
      </c>
    </row>
    <row r="30" customFormat="false" ht="14.25" hidden="false" customHeight="true" outlineLevel="0" collapsed="false">
      <c r="A30" s="74" t="s">
        <v>160</v>
      </c>
      <c r="B30" s="75" t="str">
        <f aca="false">IF(ISBLANK($A30),"NO_CODE",VLOOKUP($A30,'UPD Questions_290926 '!$E$1:$N$300,MATCH(B$1,'UPD Questions_290926 '!$E$1:$N$1,0),0)&amp;"")</f>
        <v>Planning </v>
      </c>
      <c r="C30" s="75" t="str">
        <f aca="false">IF(ISBLANK($A30),"NO_CODE",VLOOKUP($A30,'UPD Questions_290926 '!$E$1:$N$300,MATCH(C$1,'UPD Questions_290926 '!$E$1:$N$1,0),0)&amp;"")</f>
        <v>Municipal/City Plan objectives and contents</v>
      </c>
      <c r="D30" s="75" t="str">
        <f aca="false">IF(ISBLANK($A30),"NO_CODE",VLOOKUP($A30,'UPD Questions_290926 '!$E$1:$N$300,MATCH(D$1,'UPD Questions_290926 '!$E$1:$N$1,0),0)&amp;"")</f>
        <v>Statutory requirements for plan content</v>
      </c>
      <c r="E30" s="75" t="str">
        <f aca="false">IF(ISBLANK($A30),"NO_CODE",VLOOKUP($A30,'UPD Questions_290926 '!$E$1:$N$300,MATCH(E$1,'UPD Questions_290926 '!$E$1:$N$1,0),0)&amp;"")</f>
        <v>SQ</v>
      </c>
      <c r="F30" s="75" t="str">
        <f aca="false">IF(ISBLANK($A30),"NO_CODE",VLOOKUP($A30,'UPD Questions_290926 '!$E$1:$N$300,MATCH(F$1,'UPD Questions_290926 '!$E$1:$N$1,0),0)&amp;"")</f>
        <v>e) Heritage conservation</v>
      </c>
      <c r="G30" s="75" t="str">
        <f aca="false">IF(ISBLANK($A30),"NO_CODE",VLOOKUP($A30,'UPD Questions_290926 '!$E$1:$N$300,MATCH(G$1,'UPD Questions_290926 '!$E$1:$N$1,0),0)&amp;"")</f>
        <v>Law/Policy</v>
      </c>
      <c r="H30" s="77" t="n">
        <f aca="false">IF(ISBLANK($A30),"NO_CODE",VLOOKUP($A30,'UPD Questions_290926 '!$E$1:$N$300,MATCH(H$1,'UPD Questions_290926 '!$E$1:$N$1,0),0))</f>
        <v>1.67</v>
      </c>
      <c r="I30" s="78" t="str">
        <f aca="true">IF($H30=0,"NA",IF($A30=INDIRECT("'"&amp;$A30&amp;"'!$B$1"),IF(VLOOKUP(I$1,INDIRECT("'"&amp;$A30&amp;"'!$A$12:$Z$41"),MATCH("Points (Auto-generate)",INDIRECT("'"&amp;$A30&amp;"'!$A$12:$Z$12"),0),0)="","?",VLOOKUP(I$1,INDIRECT("'"&amp;$A30&amp;"'!$A$12:$Z$41"),MATCH("Points (Auto-generate)",INDIRECT("'"&amp;$A30&amp;"'!$A$12:$Z$12"),0),0)),"ER"))</f>
        <v>?</v>
      </c>
      <c r="J30" s="78" t="str">
        <f aca="true">IF($H30=0,"NA",IF($A30=INDIRECT("'"&amp;$A30&amp;"'!$B$1"),IF(VLOOKUP(J$1,INDIRECT("'"&amp;$A30&amp;"'!$A$12:$Z$41"),MATCH("Points (Auto-generate)",INDIRECT("'"&amp;$A30&amp;"'!$A$12:$Z$12"),0),0)="","?",VLOOKUP(J$1,INDIRECT("'"&amp;$A30&amp;"'!$A$12:$Z$41"),MATCH("Points (Auto-generate)",INDIRECT("'"&amp;$A30&amp;"'!$A$12:$Z$12"),0),0)),"ER"))</f>
        <v>?</v>
      </c>
      <c r="K30" s="78" t="str">
        <f aca="true">IF($H30=0,"NA",IF($A30=INDIRECT("'"&amp;$A30&amp;"'!$B$1"),IF(VLOOKUP(K$1,INDIRECT("'"&amp;$A30&amp;"'!$A$12:$Z$41"),MATCH("Points (Auto-generate)",INDIRECT("'"&amp;$A30&amp;"'!$A$12:$Z$12"),0),0)="","?",VLOOKUP(K$1,INDIRECT("'"&amp;$A30&amp;"'!$A$12:$Z$41"),MATCH("Points (Auto-generate)",INDIRECT("'"&amp;$A30&amp;"'!$A$12:$Z$12"),0),0)),"ER"))</f>
        <v>?</v>
      </c>
      <c r="L30" s="78" t="str">
        <f aca="true">IF($H30=0,"NA",IF($A30=INDIRECT("'"&amp;$A30&amp;"'!$B$1"),IF(VLOOKUP(L$1,INDIRECT("'"&amp;$A30&amp;"'!$A$12:$Z$41"),MATCH("Points (Auto-generate)",INDIRECT("'"&amp;$A30&amp;"'!$A$12:$Z$12"),0),0)="","?",VLOOKUP(L$1,INDIRECT("'"&amp;$A30&amp;"'!$A$12:$Z$41"),MATCH("Points (Auto-generate)",INDIRECT("'"&amp;$A30&amp;"'!$A$12:$Z$12"),0),0)),"ER"))</f>
        <v>?</v>
      </c>
      <c r="M30" s="78" t="str">
        <f aca="true">IF($H30=0,"NA",IF($A30=INDIRECT("'"&amp;$A30&amp;"'!$B$1"),IF(VLOOKUP(M$1,INDIRECT("'"&amp;$A30&amp;"'!$A$12:$Z$41"),MATCH("Points (Auto-generate)",INDIRECT("'"&amp;$A30&amp;"'!$A$12:$Z$12"),0),0)="","?",VLOOKUP(M$1,INDIRECT("'"&amp;$A30&amp;"'!$A$12:$Z$41"),MATCH("Points (Auto-generate)",INDIRECT("'"&amp;$A30&amp;"'!$A$12:$Z$12"),0),0)),"ER"))</f>
        <v>?</v>
      </c>
      <c r="N30" s="78" t="str">
        <f aca="true">IF($H30=0,"NA",IF($A30=INDIRECT("'"&amp;$A30&amp;"'!$B$1"),IF(VLOOKUP(N$1,INDIRECT("'"&amp;$A30&amp;"'!$A$12:$Z$41"),MATCH("Points (Auto-generate)",INDIRECT("'"&amp;$A30&amp;"'!$A$12:$Z$12"),0),0)="","?",VLOOKUP(N$1,INDIRECT("'"&amp;$A30&amp;"'!$A$12:$Z$41"),MATCH("Points (Auto-generate)",INDIRECT("'"&amp;$A30&amp;"'!$A$12:$Z$12"),0),0)),"ER"))</f>
        <v>?</v>
      </c>
      <c r="O30" s="78" t="str">
        <f aca="true">IF($H30=0,"NA",IF($A30=INDIRECT("'"&amp;$A30&amp;"'!$B$1"),IF(VLOOKUP(O$1,INDIRECT("'"&amp;$A30&amp;"'!$A$12:$Z$41"),MATCH("Points (Auto-generate)",INDIRECT("'"&amp;$A30&amp;"'!$A$12:$Z$12"),0),0)="","?",VLOOKUP(O$1,INDIRECT("'"&amp;$A30&amp;"'!$A$12:$Z$41"),MATCH("Points (Auto-generate)",INDIRECT("'"&amp;$A30&amp;"'!$A$12:$Z$12"),0),0)),"ER"))</f>
        <v>?</v>
      </c>
      <c r="P30" s="78" t="str">
        <f aca="true">IF($H30=0,"NA",IF($A30=INDIRECT("'"&amp;$A30&amp;"'!$B$1"),IF(VLOOKUP(P$1,INDIRECT("'"&amp;$A30&amp;"'!$A$12:$Z$41"),MATCH("Points (Auto-generate)",INDIRECT("'"&amp;$A30&amp;"'!$A$12:$Z$12"),0),0)="","?",VLOOKUP(P$1,INDIRECT("'"&amp;$A30&amp;"'!$A$12:$Z$41"),MATCH("Points (Auto-generate)",INDIRECT("'"&amp;$A30&amp;"'!$A$12:$Z$12"),0),0)),"ER"))</f>
        <v>?</v>
      </c>
      <c r="Q30" s="78" t="str">
        <f aca="true">IF($H30=0,"NA",IF($A30=INDIRECT("'"&amp;$A30&amp;"'!$B$1"),IF(VLOOKUP(Q$1,INDIRECT("'"&amp;$A30&amp;"'!$A$12:$Z$41"),MATCH("Points (Auto-generate)",INDIRECT("'"&amp;$A30&amp;"'!$A$12:$Z$12"),0),0)="","?",VLOOKUP(Q$1,INDIRECT("'"&amp;$A30&amp;"'!$A$12:$Z$41"),MATCH("Points (Auto-generate)",INDIRECT("'"&amp;$A30&amp;"'!$A$12:$Z$12"),0),0)),"ER"))</f>
        <v>?</v>
      </c>
      <c r="R30" s="78" t="str">
        <f aca="true">IF($H30=0,"NA",IF($A30=INDIRECT("'"&amp;$A30&amp;"'!$B$1"),IF(VLOOKUP(R$1,INDIRECT("'"&amp;$A30&amp;"'!$A$12:$Z$41"),MATCH("Points (Auto-generate)",INDIRECT("'"&amp;$A30&amp;"'!$A$12:$Z$12"),0),0)="","?",VLOOKUP(R$1,INDIRECT("'"&amp;$A30&amp;"'!$A$12:$Z$41"),MATCH("Points (Auto-generate)",INDIRECT("'"&amp;$A30&amp;"'!$A$12:$Z$12"),0),0)),"ER"))</f>
        <v>?</v>
      </c>
      <c r="S30" s="78" t="str">
        <f aca="true">IF($H30=0,"NA",IF($A30=INDIRECT("'"&amp;$A30&amp;"'!$B$1"),IF(VLOOKUP(S$1,INDIRECT("'"&amp;$A30&amp;"'!$A$12:$Z$41"),MATCH("Points (Auto-generate)",INDIRECT("'"&amp;$A30&amp;"'!$A$12:$Z$12"),0),0)="","?",VLOOKUP(S$1,INDIRECT("'"&amp;$A30&amp;"'!$A$12:$Z$41"),MATCH("Points (Auto-generate)",INDIRECT("'"&amp;$A30&amp;"'!$A$12:$Z$12"),0),0)),"ER"))</f>
        <v>?</v>
      </c>
      <c r="T30" s="78" t="str">
        <f aca="true">IF($H30=0,"NA",IF($A30=INDIRECT("'"&amp;$A30&amp;"'!$B$1"),IF(VLOOKUP(T$1,INDIRECT("'"&amp;$A30&amp;"'!$A$12:$Z$41"),MATCH("Points (Auto-generate)",INDIRECT("'"&amp;$A30&amp;"'!$A$12:$Z$12"),0),0)="","?",VLOOKUP(T$1,INDIRECT("'"&amp;$A30&amp;"'!$A$12:$Z$41"),MATCH("Points (Auto-generate)",INDIRECT("'"&amp;$A30&amp;"'!$A$12:$Z$12"),0),0)),"ER"))</f>
        <v>?</v>
      </c>
      <c r="U30" s="78" t="str">
        <f aca="true">IF($H30=0,"NA",IF($A30=INDIRECT("'"&amp;$A30&amp;"'!$B$1"),IF(VLOOKUP(U$1,INDIRECT("'"&amp;$A30&amp;"'!$A$12:$Z$41"),MATCH("Points (Auto-generate)",INDIRECT("'"&amp;$A30&amp;"'!$A$12:$Z$12"),0),0)="","?",VLOOKUP(U$1,INDIRECT("'"&amp;$A30&amp;"'!$A$12:$Z$41"),MATCH("Points (Auto-generate)",INDIRECT("'"&amp;$A30&amp;"'!$A$12:$Z$12"),0),0)),"ER"))</f>
        <v>?</v>
      </c>
      <c r="V30" s="78" t="str">
        <f aca="true">IF($H30=0,"NA",IF($A30=INDIRECT("'"&amp;$A30&amp;"'!$B$1"),IF(VLOOKUP(V$1,INDIRECT("'"&amp;$A30&amp;"'!$A$12:$Z$41"),MATCH("Points (Auto-generate)",INDIRECT("'"&amp;$A30&amp;"'!$A$12:$Z$12"),0),0)="","?",VLOOKUP(V$1,INDIRECT("'"&amp;$A30&amp;"'!$A$12:$Z$41"),MATCH("Points (Auto-generate)",INDIRECT("'"&amp;$A30&amp;"'!$A$12:$Z$12"),0),0)),"ER"))</f>
        <v>?</v>
      </c>
      <c r="W30" s="78" t="str">
        <f aca="true">IF($H30=0,"NA",IF($A30=INDIRECT("'"&amp;$A30&amp;"'!$B$1"),IF(VLOOKUP(W$1,INDIRECT("'"&amp;$A30&amp;"'!$A$12:$Z$41"),MATCH("Points (Auto-generate)",INDIRECT("'"&amp;$A30&amp;"'!$A$12:$Z$12"),0),0)="","?",VLOOKUP(W$1,INDIRECT("'"&amp;$A30&amp;"'!$A$12:$Z$41"),MATCH("Points (Auto-generate)",INDIRECT("'"&amp;$A30&amp;"'!$A$12:$Z$12"),0),0)),"ER"))</f>
        <v>?</v>
      </c>
      <c r="X30" s="78" t="str">
        <f aca="true">IF($H30=0,"NA",IF($A30=INDIRECT("'"&amp;$A30&amp;"'!$B$1"),IF(VLOOKUP(X$1,INDIRECT("'"&amp;$A30&amp;"'!$A$12:$Z$41"),MATCH("Points (Auto-generate)",INDIRECT("'"&amp;$A30&amp;"'!$A$12:$Z$12"),0),0)="","?",VLOOKUP(X$1,INDIRECT("'"&amp;$A30&amp;"'!$A$12:$Z$41"),MATCH("Points (Auto-generate)",INDIRECT("'"&amp;$A30&amp;"'!$A$12:$Z$12"),0),0)),"ER"))</f>
        <v>?</v>
      </c>
      <c r="Y30" s="78" t="str">
        <f aca="true">IF($H30=0,"NA",IF($A30=INDIRECT("'"&amp;$A30&amp;"'!$B$1"),IF(VLOOKUP(Y$1,INDIRECT("'"&amp;$A30&amp;"'!$A$12:$Z$41"),MATCH("Points (Auto-generate)",INDIRECT("'"&amp;$A30&amp;"'!$A$12:$Z$12"),0),0)="","?",VLOOKUP(Y$1,INDIRECT("'"&amp;$A30&amp;"'!$A$12:$Z$41"),MATCH("Points (Auto-generate)",INDIRECT("'"&amp;$A30&amp;"'!$A$12:$Z$12"),0),0)),"ER"))</f>
        <v>?</v>
      </c>
      <c r="Z30" s="78" t="str">
        <f aca="true">IF($H30=0,"NA",IF($A30=INDIRECT("'"&amp;$A30&amp;"'!$B$1"),IF(VLOOKUP(Z$1,INDIRECT("'"&amp;$A30&amp;"'!$A$12:$Z$41"),MATCH("Points (Auto-generate)",INDIRECT("'"&amp;$A30&amp;"'!$A$12:$Z$12"),0),0)="","?",VLOOKUP(Z$1,INDIRECT("'"&amp;$A30&amp;"'!$A$12:$Z$41"),MATCH("Points (Auto-generate)",INDIRECT("'"&amp;$A30&amp;"'!$A$12:$Z$12"),0),0)),"ER"))</f>
        <v>?</v>
      </c>
      <c r="AA30" s="78" t="str">
        <f aca="true">IF($H30=0,"NA",IF($A30=INDIRECT("'"&amp;$A30&amp;"'!$B$1"),IF(VLOOKUP(AA$1,INDIRECT("'"&amp;$A30&amp;"'!$A$12:$Z$41"),MATCH("Points (Auto-generate)",INDIRECT("'"&amp;$A30&amp;"'!$A$12:$Z$12"),0),0)="","?",VLOOKUP(AA$1,INDIRECT("'"&amp;$A30&amp;"'!$A$12:$Z$41"),MATCH("Points (Auto-generate)",INDIRECT("'"&amp;$A30&amp;"'!$A$12:$Z$12"),0),0)),"ER"))</f>
        <v>?</v>
      </c>
      <c r="AB30" s="78" t="str">
        <f aca="true">IF($H30=0,"NA",IF($A30=INDIRECT("'"&amp;$A30&amp;"'!$B$1"),IF(VLOOKUP(AB$1,INDIRECT("'"&amp;$A30&amp;"'!$A$12:$Z$41"),MATCH("Points (Auto-generate)",INDIRECT("'"&amp;$A30&amp;"'!$A$12:$Z$12"),0),0)="","?",VLOOKUP(AB$1,INDIRECT("'"&amp;$A30&amp;"'!$A$12:$Z$41"),MATCH("Points (Auto-generate)",INDIRECT("'"&amp;$A30&amp;"'!$A$12:$Z$12"),0),0)),"ER"))</f>
        <v>?</v>
      </c>
      <c r="AC30" s="78" t="str">
        <f aca="true">IF($H30=0,"NA",IF($A30=INDIRECT("'"&amp;$A30&amp;"'!$B$1"),IF(VLOOKUP(AC$1,INDIRECT("'"&amp;$A30&amp;"'!$A$12:$Z$41"),MATCH("Points (Auto-generate)",INDIRECT("'"&amp;$A30&amp;"'!$A$12:$Z$12"),0),0)="","?",VLOOKUP(AC$1,INDIRECT("'"&amp;$A30&amp;"'!$A$12:$Z$41"),MATCH("Points (Auto-generate)",INDIRECT("'"&amp;$A30&amp;"'!$A$12:$Z$12"),0),0)),"ER"))</f>
        <v>?</v>
      </c>
      <c r="AD30" s="78" t="str">
        <f aca="true">IF($H30=0,"NA",IF($A30=INDIRECT("'"&amp;$A30&amp;"'!$B$1"),IF(VLOOKUP(AD$1,INDIRECT("'"&amp;$A30&amp;"'!$A$12:$Z$41"),MATCH("Points (Auto-generate)",INDIRECT("'"&amp;$A30&amp;"'!$A$12:$Z$12"),0),0)="","?",VLOOKUP(AD$1,INDIRECT("'"&amp;$A30&amp;"'!$A$12:$Z$41"),MATCH("Points (Auto-generate)",INDIRECT("'"&amp;$A30&amp;"'!$A$12:$Z$12"),0),0)),"ER"))</f>
        <v>?</v>
      </c>
      <c r="AE30" s="78" t="str">
        <f aca="true">IF($H30=0,"NA",IF($A30=INDIRECT("'"&amp;$A30&amp;"'!$B$1"),IF(VLOOKUP(AE$1,INDIRECT("'"&amp;$A30&amp;"'!$A$12:$Z$41"),MATCH("Points (Auto-generate)",INDIRECT("'"&amp;$A30&amp;"'!$A$12:$Z$12"),0),0)="","?",VLOOKUP(AE$1,INDIRECT("'"&amp;$A30&amp;"'!$A$12:$Z$41"),MATCH("Points (Auto-generate)",INDIRECT("'"&amp;$A30&amp;"'!$A$12:$Z$12"),0),0)),"ER"))</f>
        <v>?</v>
      </c>
      <c r="AF30" s="78" t="str">
        <f aca="true">IF($H30=0,"NA",IF($A30=INDIRECT("'"&amp;$A30&amp;"'!$B$1"),IF(VLOOKUP(AF$1,INDIRECT("'"&amp;$A30&amp;"'!$A$12:$Z$41"),MATCH("Points (Auto-generate)",INDIRECT("'"&amp;$A30&amp;"'!$A$12:$Z$12"),0),0)="","?",VLOOKUP(AF$1,INDIRECT("'"&amp;$A30&amp;"'!$A$12:$Z$41"),MATCH("Points (Auto-generate)",INDIRECT("'"&amp;$A30&amp;"'!$A$12:$Z$12"),0),0)),"ER"))</f>
        <v>?</v>
      </c>
      <c r="AG30" s="78" t="str">
        <f aca="true">IF($H30=0,"NA",IF($A30=INDIRECT("'"&amp;$A30&amp;"'!$B$1"),IF(VLOOKUP(AG$1,INDIRECT("'"&amp;$A30&amp;"'!$A$12:$Z$41"),MATCH("Points (Auto-generate)",INDIRECT("'"&amp;$A30&amp;"'!$A$12:$Z$12"),0),0)="","?",VLOOKUP(AG$1,INDIRECT("'"&amp;$A30&amp;"'!$A$12:$Z$41"),MATCH("Points (Auto-generate)",INDIRECT("'"&amp;$A30&amp;"'!$A$12:$Z$12"),0),0)),"ER"))</f>
        <v>?</v>
      </c>
      <c r="AH30" s="78" t="str">
        <f aca="true">IF($H30=0,"NA",IF($A30=INDIRECT("'"&amp;$A30&amp;"'!$B$1"),IF(VLOOKUP(AH$1,INDIRECT("'"&amp;$A30&amp;"'!$A$12:$Z$41"),MATCH("Points (Auto-generate)",INDIRECT("'"&amp;$A30&amp;"'!$A$12:$Z$12"),0),0)="","?",VLOOKUP(AH$1,INDIRECT("'"&amp;$A30&amp;"'!$A$12:$Z$41"),MATCH("Points (Auto-generate)",INDIRECT("'"&amp;$A30&amp;"'!$A$12:$Z$12"),0),0)),"ER"))</f>
        <v>?</v>
      </c>
      <c r="AI30" s="78" t="str">
        <f aca="true">IF($H30=0,"NA",IF($A30=INDIRECT("'"&amp;$A30&amp;"'!$B$1"),IF(VLOOKUP(AI$1,INDIRECT("'"&amp;$A30&amp;"'!$A$12:$Z$41"),MATCH("Points (Auto-generate)",INDIRECT("'"&amp;$A30&amp;"'!$A$12:$Z$12"),0),0)="","?",VLOOKUP(AI$1,INDIRECT("'"&amp;$A30&amp;"'!$A$12:$Z$41"),MATCH("Points (Auto-generate)",INDIRECT("'"&amp;$A30&amp;"'!$A$12:$Z$12"),0),0)),"ER"))</f>
        <v>?</v>
      </c>
      <c r="AJ30" s="78" t="str">
        <f aca="true">IF($H30=0,"NA",IF($A30=INDIRECT("'"&amp;$A30&amp;"'!$B$1"),IF(VLOOKUP(AJ$1,INDIRECT("'"&amp;$A30&amp;"'!$A$12:$Z$41"),MATCH("Points (Auto-generate)",INDIRECT("'"&amp;$A30&amp;"'!$A$12:$Z$12"),0),0)="","?",VLOOKUP(AJ$1,INDIRECT("'"&amp;$A30&amp;"'!$A$12:$Z$41"),MATCH("Points (Auto-generate)",INDIRECT("'"&amp;$A30&amp;"'!$A$12:$Z$12"),0),0)),"ER"))</f>
        <v>?</v>
      </c>
      <c r="AK30" s="78" t="str">
        <f aca="true">IF($H30=0,"NA",IF($A30=INDIRECT("'"&amp;$A30&amp;"'!$B$1"),IF(VLOOKUP(AK$1,INDIRECT("'"&amp;$A30&amp;"'!$A$12:$Z$41"),MATCH("Points (Auto-generate)",INDIRECT("'"&amp;$A30&amp;"'!$A$12:$Z$12"),0),0)="","?",VLOOKUP(AK$1,INDIRECT("'"&amp;$A30&amp;"'!$A$12:$Z$41"),MATCH("Points (Auto-generate)",INDIRECT("'"&amp;$A30&amp;"'!$A$12:$Z$12"),0),0)),"ER"))</f>
        <v>?</v>
      </c>
    </row>
    <row r="31" customFormat="false" ht="14.25" hidden="false" customHeight="true" outlineLevel="0" collapsed="false">
      <c r="A31" s="74" t="s">
        <v>164</v>
      </c>
      <c r="B31" s="75" t="str">
        <f aca="false">IF(ISBLANK($A31),"NO_CODE",VLOOKUP($A31,'UPD Questions_290926 '!$E$1:$N$300,MATCH(B$1,'UPD Questions_290926 '!$E$1:$N$1,0),0)&amp;"")</f>
        <v>Planning </v>
      </c>
      <c r="C31" s="75" t="str">
        <f aca="false">IF(ISBLANK($A31),"NO_CODE",VLOOKUP($A31,'UPD Questions_290926 '!$E$1:$N$300,MATCH(C$1,'UPD Questions_290926 '!$E$1:$N$1,0),0)&amp;"")</f>
        <v>Municipal/City Plan objectives and contents</v>
      </c>
      <c r="D31" s="75" t="str">
        <f aca="false">IF(ISBLANK($A31),"NO_CODE",VLOOKUP($A31,'UPD Questions_290926 '!$E$1:$N$300,MATCH(D$1,'UPD Questions_290926 '!$E$1:$N$1,0),0)&amp;"")</f>
        <v>Statutory requirements for plan content</v>
      </c>
      <c r="E31" s="75" t="str">
        <f aca="false">IF(ISBLANK($A31),"NO_CODE",VLOOKUP($A31,'UPD Questions_290926 '!$E$1:$N$300,MATCH(E$1,'UPD Questions_290926 '!$E$1:$N$1,0),0)&amp;"")</f>
        <v>SQ</v>
      </c>
      <c r="F31" s="75" t="str">
        <f aca="false">IF(ISBLANK($A31),"NO_CODE",VLOOKUP($A31,'UPD Questions_290926 '!$E$1:$N$300,MATCH(F$1,'UPD Questions_290926 '!$E$1:$N$1,0),0)&amp;"")</f>
        <v>f) Social Development        </v>
      </c>
      <c r="G31" s="75" t="str">
        <f aca="false">IF(ISBLANK($A31),"NO_CODE",VLOOKUP($A31,'UPD Questions_290926 '!$E$1:$N$300,MATCH(G$1,'UPD Questions_290926 '!$E$1:$N$1,0),0)&amp;"")</f>
        <v>Law/Policy</v>
      </c>
      <c r="H31" s="77" t="n">
        <f aca="false">IF(ISBLANK($A31),"NO_CODE",VLOOKUP($A31,'UPD Questions_290926 '!$E$1:$N$300,MATCH(H$1,'UPD Questions_290926 '!$E$1:$N$1,0),0))</f>
        <v>1.67</v>
      </c>
      <c r="I31" s="78" t="str">
        <f aca="true">IF($H31=0,"NA",IF($A31=INDIRECT("'"&amp;$A31&amp;"'!$B$1"),IF(VLOOKUP(I$1,INDIRECT("'"&amp;$A31&amp;"'!$A$12:$Z$41"),MATCH("Points (Auto-generate)",INDIRECT("'"&amp;$A31&amp;"'!$A$12:$Z$12"),0),0)="","?",VLOOKUP(I$1,INDIRECT("'"&amp;$A31&amp;"'!$A$12:$Z$41"),MATCH("Points (Auto-generate)",INDIRECT("'"&amp;$A31&amp;"'!$A$12:$Z$12"),0),0)),"ER"))</f>
        <v>?</v>
      </c>
      <c r="J31" s="78" t="str">
        <f aca="true">IF($H31=0,"NA",IF($A31=INDIRECT("'"&amp;$A31&amp;"'!$B$1"),IF(VLOOKUP(J$1,INDIRECT("'"&amp;$A31&amp;"'!$A$12:$Z$41"),MATCH("Points (Auto-generate)",INDIRECT("'"&amp;$A31&amp;"'!$A$12:$Z$12"),0),0)="","?",VLOOKUP(J$1,INDIRECT("'"&amp;$A31&amp;"'!$A$12:$Z$41"),MATCH("Points (Auto-generate)",INDIRECT("'"&amp;$A31&amp;"'!$A$12:$Z$12"),0),0)),"ER"))</f>
        <v>?</v>
      </c>
      <c r="K31" s="78" t="str">
        <f aca="true">IF($H31=0,"NA",IF($A31=INDIRECT("'"&amp;$A31&amp;"'!$B$1"),IF(VLOOKUP(K$1,INDIRECT("'"&amp;$A31&amp;"'!$A$12:$Z$41"),MATCH("Points (Auto-generate)",INDIRECT("'"&amp;$A31&amp;"'!$A$12:$Z$12"),0),0)="","?",VLOOKUP(K$1,INDIRECT("'"&amp;$A31&amp;"'!$A$12:$Z$41"),MATCH("Points (Auto-generate)",INDIRECT("'"&amp;$A31&amp;"'!$A$12:$Z$12"),0),0)),"ER"))</f>
        <v>?</v>
      </c>
      <c r="L31" s="78" t="str">
        <f aca="true">IF($H31=0,"NA",IF($A31=INDIRECT("'"&amp;$A31&amp;"'!$B$1"),IF(VLOOKUP(L$1,INDIRECT("'"&amp;$A31&amp;"'!$A$12:$Z$41"),MATCH("Points (Auto-generate)",INDIRECT("'"&amp;$A31&amp;"'!$A$12:$Z$12"),0),0)="","?",VLOOKUP(L$1,INDIRECT("'"&amp;$A31&amp;"'!$A$12:$Z$41"),MATCH("Points (Auto-generate)",INDIRECT("'"&amp;$A31&amp;"'!$A$12:$Z$12"),0),0)),"ER"))</f>
        <v>?</v>
      </c>
      <c r="M31" s="78" t="str">
        <f aca="true">IF($H31=0,"NA",IF($A31=INDIRECT("'"&amp;$A31&amp;"'!$B$1"),IF(VLOOKUP(M$1,INDIRECT("'"&amp;$A31&amp;"'!$A$12:$Z$41"),MATCH("Points (Auto-generate)",INDIRECT("'"&amp;$A31&amp;"'!$A$12:$Z$12"),0),0)="","?",VLOOKUP(M$1,INDIRECT("'"&amp;$A31&amp;"'!$A$12:$Z$41"),MATCH("Points (Auto-generate)",INDIRECT("'"&amp;$A31&amp;"'!$A$12:$Z$12"),0),0)),"ER"))</f>
        <v>?</v>
      </c>
      <c r="N31" s="78" t="str">
        <f aca="true">IF($H31=0,"NA",IF($A31=INDIRECT("'"&amp;$A31&amp;"'!$B$1"),IF(VLOOKUP(N$1,INDIRECT("'"&amp;$A31&amp;"'!$A$12:$Z$41"),MATCH("Points (Auto-generate)",INDIRECT("'"&amp;$A31&amp;"'!$A$12:$Z$12"),0),0)="","?",VLOOKUP(N$1,INDIRECT("'"&amp;$A31&amp;"'!$A$12:$Z$41"),MATCH("Points (Auto-generate)",INDIRECT("'"&amp;$A31&amp;"'!$A$12:$Z$12"),0),0)),"ER"))</f>
        <v>?</v>
      </c>
      <c r="O31" s="78" t="str">
        <f aca="true">IF($H31=0,"NA",IF($A31=INDIRECT("'"&amp;$A31&amp;"'!$B$1"),IF(VLOOKUP(O$1,INDIRECT("'"&amp;$A31&amp;"'!$A$12:$Z$41"),MATCH("Points (Auto-generate)",INDIRECT("'"&amp;$A31&amp;"'!$A$12:$Z$12"),0),0)="","?",VLOOKUP(O$1,INDIRECT("'"&amp;$A31&amp;"'!$A$12:$Z$41"),MATCH("Points (Auto-generate)",INDIRECT("'"&amp;$A31&amp;"'!$A$12:$Z$12"),0),0)),"ER"))</f>
        <v>?</v>
      </c>
      <c r="P31" s="78" t="str">
        <f aca="true">IF($H31=0,"NA",IF($A31=INDIRECT("'"&amp;$A31&amp;"'!$B$1"),IF(VLOOKUP(P$1,INDIRECT("'"&amp;$A31&amp;"'!$A$12:$Z$41"),MATCH("Points (Auto-generate)",INDIRECT("'"&amp;$A31&amp;"'!$A$12:$Z$12"),0),0)="","?",VLOOKUP(P$1,INDIRECT("'"&amp;$A31&amp;"'!$A$12:$Z$41"),MATCH("Points (Auto-generate)",INDIRECT("'"&amp;$A31&amp;"'!$A$12:$Z$12"),0),0)),"ER"))</f>
        <v>?</v>
      </c>
      <c r="Q31" s="78" t="str">
        <f aca="true">IF($H31=0,"NA",IF($A31=INDIRECT("'"&amp;$A31&amp;"'!$B$1"),IF(VLOOKUP(Q$1,INDIRECT("'"&amp;$A31&amp;"'!$A$12:$Z$41"),MATCH("Points (Auto-generate)",INDIRECT("'"&amp;$A31&amp;"'!$A$12:$Z$12"),0),0)="","?",VLOOKUP(Q$1,INDIRECT("'"&amp;$A31&amp;"'!$A$12:$Z$41"),MATCH("Points (Auto-generate)",INDIRECT("'"&amp;$A31&amp;"'!$A$12:$Z$12"),0),0)),"ER"))</f>
        <v>?</v>
      </c>
      <c r="R31" s="78" t="str">
        <f aca="true">IF($H31=0,"NA",IF($A31=INDIRECT("'"&amp;$A31&amp;"'!$B$1"),IF(VLOOKUP(R$1,INDIRECT("'"&amp;$A31&amp;"'!$A$12:$Z$41"),MATCH("Points (Auto-generate)",INDIRECT("'"&amp;$A31&amp;"'!$A$12:$Z$12"),0),0)="","?",VLOOKUP(R$1,INDIRECT("'"&amp;$A31&amp;"'!$A$12:$Z$41"),MATCH("Points (Auto-generate)",INDIRECT("'"&amp;$A31&amp;"'!$A$12:$Z$12"),0),0)),"ER"))</f>
        <v>?</v>
      </c>
      <c r="S31" s="78" t="str">
        <f aca="true">IF($H31=0,"NA",IF($A31=INDIRECT("'"&amp;$A31&amp;"'!$B$1"),IF(VLOOKUP(S$1,INDIRECT("'"&amp;$A31&amp;"'!$A$12:$Z$41"),MATCH("Points (Auto-generate)",INDIRECT("'"&amp;$A31&amp;"'!$A$12:$Z$12"),0),0)="","?",VLOOKUP(S$1,INDIRECT("'"&amp;$A31&amp;"'!$A$12:$Z$41"),MATCH("Points (Auto-generate)",INDIRECT("'"&amp;$A31&amp;"'!$A$12:$Z$12"),0),0)),"ER"))</f>
        <v>?</v>
      </c>
      <c r="T31" s="78" t="str">
        <f aca="true">IF($H31=0,"NA",IF($A31=INDIRECT("'"&amp;$A31&amp;"'!$B$1"),IF(VLOOKUP(T$1,INDIRECT("'"&amp;$A31&amp;"'!$A$12:$Z$41"),MATCH("Points (Auto-generate)",INDIRECT("'"&amp;$A31&amp;"'!$A$12:$Z$12"),0),0)="","?",VLOOKUP(T$1,INDIRECT("'"&amp;$A31&amp;"'!$A$12:$Z$41"),MATCH("Points (Auto-generate)",INDIRECT("'"&amp;$A31&amp;"'!$A$12:$Z$12"),0),0)),"ER"))</f>
        <v>?</v>
      </c>
      <c r="U31" s="78" t="str">
        <f aca="true">IF($H31=0,"NA",IF($A31=INDIRECT("'"&amp;$A31&amp;"'!$B$1"),IF(VLOOKUP(U$1,INDIRECT("'"&amp;$A31&amp;"'!$A$12:$Z$41"),MATCH("Points (Auto-generate)",INDIRECT("'"&amp;$A31&amp;"'!$A$12:$Z$12"),0),0)="","?",VLOOKUP(U$1,INDIRECT("'"&amp;$A31&amp;"'!$A$12:$Z$41"),MATCH("Points (Auto-generate)",INDIRECT("'"&amp;$A31&amp;"'!$A$12:$Z$12"),0),0)),"ER"))</f>
        <v>?</v>
      </c>
      <c r="V31" s="78" t="str">
        <f aca="true">IF($H31=0,"NA",IF($A31=INDIRECT("'"&amp;$A31&amp;"'!$B$1"),IF(VLOOKUP(V$1,INDIRECT("'"&amp;$A31&amp;"'!$A$12:$Z$41"),MATCH("Points (Auto-generate)",INDIRECT("'"&amp;$A31&amp;"'!$A$12:$Z$12"),0),0)="","?",VLOOKUP(V$1,INDIRECT("'"&amp;$A31&amp;"'!$A$12:$Z$41"),MATCH("Points (Auto-generate)",INDIRECT("'"&amp;$A31&amp;"'!$A$12:$Z$12"),0),0)),"ER"))</f>
        <v>?</v>
      </c>
      <c r="W31" s="78" t="str">
        <f aca="true">IF($H31=0,"NA",IF($A31=INDIRECT("'"&amp;$A31&amp;"'!$B$1"),IF(VLOOKUP(W$1,INDIRECT("'"&amp;$A31&amp;"'!$A$12:$Z$41"),MATCH("Points (Auto-generate)",INDIRECT("'"&amp;$A31&amp;"'!$A$12:$Z$12"),0),0)="","?",VLOOKUP(W$1,INDIRECT("'"&amp;$A31&amp;"'!$A$12:$Z$41"),MATCH("Points (Auto-generate)",INDIRECT("'"&amp;$A31&amp;"'!$A$12:$Z$12"),0),0)),"ER"))</f>
        <v>?</v>
      </c>
      <c r="X31" s="78" t="str">
        <f aca="true">IF($H31=0,"NA",IF($A31=INDIRECT("'"&amp;$A31&amp;"'!$B$1"),IF(VLOOKUP(X$1,INDIRECT("'"&amp;$A31&amp;"'!$A$12:$Z$41"),MATCH("Points (Auto-generate)",INDIRECT("'"&amp;$A31&amp;"'!$A$12:$Z$12"),0),0)="","?",VLOOKUP(X$1,INDIRECT("'"&amp;$A31&amp;"'!$A$12:$Z$41"),MATCH("Points (Auto-generate)",INDIRECT("'"&amp;$A31&amp;"'!$A$12:$Z$12"),0),0)),"ER"))</f>
        <v>?</v>
      </c>
      <c r="Y31" s="78" t="str">
        <f aca="true">IF($H31=0,"NA",IF($A31=INDIRECT("'"&amp;$A31&amp;"'!$B$1"),IF(VLOOKUP(Y$1,INDIRECT("'"&amp;$A31&amp;"'!$A$12:$Z$41"),MATCH("Points (Auto-generate)",INDIRECT("'"&amp;$A31&amp;"'!$A$12:$Z$12"),0),0)="","?",VLOOKUP(Y$1,INDIRECT("'"&amp;$A31&amp;"'!$A$12:$Z$41"),MATCH("Points (Auto-generate)",INDIRECT("'"&amp;$A31&amp;"'!$A$12:$Z$12"),0),0)),"ER"))</f>
        <v>?</v>
      </c>
      <c r="Z31" s="78" t="str">
        <f aca="true">IF($H31=0,"NA",IF($A31=INDIRECT("'"&amp;$A31&amp;"'!$B$1"),IF(VLOOKUP(Z$1,INDIRECT("'"&amp;$A31&amp;"'!$A$12:$Z$41"),MATCH("Points (Auto-generate)",INDIRECT("'"&amp;$A31&amp;"'!$A$12:$Z$12"),0),0)="","?",VLOOKUP(Z$1,INDIRECT("'"&amp;$A31&amp;"'!$A$12:$Z$41"),MATCH("Points (Auto-generate)",INDIRECT("'"&amp;$A31&amp;"'!$A$12:$Z$12"),0),0)),"ER"))</f>
        <v>?</v>
      </c>
      <c r="AA31" s="78" t="str">
        <f aca="true">IF($H31=0,"NA",IF($A31=INDIRECT("'"&amp;$A31&amp;"'!$B$1"),IF(VLOOKUP(AA$1,INDIRECT("'"&amp;$A31&amp;"'!$A$12:$Z$41"),MATCH("Points (Auto-generate)",INDIRECT("'"&amp;$A31&amp;"'!$A$12:$Z$12"),0),0)="","?",VLOOKUP(AA$1,INDIRECT("'"&amp;$A31&amp;"'!$A$12:$Z$41"),MATCH("Points (Auto-generate)",INDIRECT("'"&amp;$A31&amp;"'!$A$12:$Z$12"),0),0)),"ER"))</f>
        <v>?</v>
      </c>
      <c r="AB31" s="78" t="str">
        <f aca="true">IF($H31=0,"NA",IF($A31=INDIRECT("'"&amp;$A31&amp;"'!$B$1"),IF(VLOOKUP(AB$1,INDIRECT("'"&amp;$A31&amp;"'!$A$12:$Z$41"),MATCH("Points (Auto-generate)",INDIRECT("'"&amp;$A31&amp;"'!$A$12:$Z$12"),0),0)="","?",VLOOKUP(AB$1,INDIRECT("'"&amp;$A31&amp;"'!$A$12:$Z$41"),MATCH("Points (Auto-generate)",INDIRECT("'"&amp;$A31&amp;"'!$A$12:$Z$12"),0),0)),"ER"))</f>
        <v>?</v>
      </c>
      <c r="AC31" s="78" t="str">
        <f aca="true">IF($H31=0,"NA",IF($A31=INDIRECT("'"&amp;$A31&amp;"'!$B$1"),IF(VLOOKUP(AC$1,INDIRECT("'"&amp;$A31&amp;"'!$A$12:$Z$41"),MATCH("Points (Auto-generate)",INDIRECT("'"&amp;$A31&amp;"'!$A$12:$Z$12"),0),0)="","?",VLOOKUP(AC$1,INDIRECT("'"&amp;$A31&amp;"'!$A$12:$Z$41"),MATCH("Points (Auto-generate)",INDIRECT("'"&amp;$A31&amp;"'!$A$12:$Z$12"),0),0)),"ER"))</f>
        <v>?</v>
      </c>
      <c r="AD31" s="78" t="str">
        <f aca="true">IF($H31=0,"NA",IF($A31=INDIRECT("'"&amp;$A31&amp;"'!$B$1"),IF(VLOOKUP(AD$1,INDIRECT("'"&amp;$A31&amp;"'!$A$12:$Z$41"),MATCH("Points (Auto-generate)",INDIRECT("'"&amp;$A31&amp;"'!$A$12:$Z$12"),0),0)="","?",VLOOKUP(AD$1,INDIRECT("'"&amp;$A31&amp;"'!$A$12:$Z$41"),MATCH("Points (Auto-generate)",INDIRECT("'"&amp;$A31&amp;"'!$A$12:$Z$12"),0),0)),"ER"))</f>
        <v>?</v>
      </c>
      <c r="AE31" s="78" t="str">
        <f aca="true">IF($H31=0,"NA",IF($A31=INDIRECT("'"&amp;$A31&amp;"'!$B$1"),IF(VLOOKUP(AE$1,INDIRECT("'"&amp;$A31&amp;"'!$A$12:$Z$41"),MATCH("Points (Auto-generate)",INDIRECT("'"&amp;$A31&amp;"'!$A$12:$Z$12"),0),0)="","?",VLOOKUP(AE$1,INDIRECT("'"&amp;$A31&amp;"'!$A$12:$Z$41"),MATCH("Points (Auto-generate)",INDIRECT("'"&amp;$A31&amp;"'!$A$12:$Z$12"),0),0)),"ER"))</f>
        <v>?</v>
      </c>
      <c r="AF31" s="78" t="str">
        <f aca="true">IF($H31=0,"NA",IF($A31=INDIRECT("'"&amp;$A31&amp;"'!$B$1"),IF(VLOOKUP(AF$1,INDIRECT("'"&amp;$A31&amp;"'!$A$12:$Z$41"),MATCH("Points (Auto-generate)",INDIRECT("'"&amp;$A31&amp;"'!$A$12:$Z$12"),0),0)="","?",VLOOKUP(AF$1,INDIRECT("'"&amp;$A31&amp;"'!$A$12:$Z$41"),MATCH("Points (Auto-generate)",INDIRECT("'"&amp;$A31&amp;"'!$A$12:$Z$12"),0),0)),"ER"))</f>
        <v>?</v>
      </c>
      <c r="AG31" s="78" t="str">
        <f aca="true">IF($H31=0,"NA",IF($A31=INDIRECT("'"&amp;$A31&amp;"'!$B$1"),IF(VLOOKUP(AG$1,INDIRECT("'"&amp;$A31&amp;"'!$A$12:$Z$41"),MATCH("Points (Auto-generate)",INDIRECT("'"&amp;$A31&amp;"'!$A$12:$Z$12"),0),0)="","?",VLOOKUP(AG$1,INDIRECT("'"&amp;$A31&amp;"'!$A$12:$Z$41"),MATCH("Points (Auto-generate)",INDIRECT("'"&amp;$A31&amp;"'!$A$12:$Z$12"),0),0)),"ER"))</f>
        <v>?</v>
      </c>
      <c r="AH31" s="78" t="str">
        <f aca="true">IF($H31=0,"NA",IF($A31=INDIRECT("'"&amp;$A31&amp;"'!$B$1"),IF(VLOOKUP(AH$1,INDIRECT("'"&amp;$A31&amp;"'!$A$12:$Z$41"),MATCH("Points (Auto-generate)",INDIRECT("'"&amp;$A31&amp;"'!$A$12:$Z$12"),0),0)="","?",VLOOKUP(AH$1,INDIRECT("'"&amp;$A31&amp;"'!$A$12:$Z$41"),MATCH("Points (Auto-generate)",INDIRECT("'"&amp;$A31&amp;"'!$A$12:$Z$12"),0),0)),"ER"))</f>
        <v>?</v>
      </c>
      <c r="AI31" s="78" t="str">
        <f aca="true">IF($H31=0,"NA",IF($A31=INDIRECT("'"&amp;$A31&amp;"'!$B$1"),IF(VLOOKUP(AI$1,INDIRECT("'"&amp;$A31&amp;"'!$A$12:$Z$41"),MATCH("Points (Auto-generate)",INDIRECT("'"&amp;$A31&amp;"'!$A$12:$Z$12"),0),0)="","?",VLOOKUP(AI$1,INDIRECT("'"&amp;$A31&amp;"'!$A$12:$Z$41"),MATCH("Points (Auto-generate)",INDIRECT("'"&amp;$A31&amp;"'!$A$12:$Z$12"),0),0)),"ER"))</f>
        <v>?</v>
      </c>
      <c r="AJ31" s="78" t="str">
        <f aca="true">IF($H31=0,"NA",IF($A31=INDIRECT("'"&amp;$A31&amp;"'!$B$1"),IF(VLOOKUP(AJ$1,INDIRECT("'"&amp;$A31&amp;"'!$A$12:$Z$41"),MATCH("Points (Auto-generate)",INDIRECT("'"&amp;$A31&amp;"'!$A$12:$Z$12"),0),0)="","?",VLOOKUP(AJ$1,INDIRECT("'"&amp;$A31&amp;"'!$A$12:$Z$41"),MATCH("Points (Auto-generate)",INDIRECT("'"&amp;$A31&amp;"'!$A$12:$Z$12"),0),0)),"ER"))</f>
        <v>?</v>
      </c>
      <c r="AK31" s="78" t="str">
        <f aca="true">IF($H31=0,"NA",IF($A31=INDIRECT("'"&amp;$A31&amp;"'!$B$1"),IF(VLOOKUP(AK$1,INDIRECT("'"&amp;$A31&amp;"'!$A$12:$Z$41"),MATCH("Points (Auto-generate)",INDIRECT("'"&amp;$A31&amp;"'!$A$12:$Z$12"),0),0)="","?",VLOOKUP(AK$1,INDIRECT("'"&amp;$A31&amp;"'!$A$12:$Z$41"),MATCH("Points (Auto-generate)",INDIRECT("'"&amp;$A31&amp;"'!$A$12:$Z$12"),0),0)),"ER"))</f>
        <v>?</v>
      </c>
    </row>
    <row r="32" customFormat="false" ht="14.25" hidden="false" customHeight="true" outlineLevel="0" collapsed="false">
      <c r="A32" s="74" t="s">
        <v>168</v>
      </c>
      <c r="B32" s="75" t="str">
        <f aca="false">IF(ISBLANK($A32),"NO_CODE",VLOOKUP($A32,'UPD Questions_290926 '!$E$1:$N$300,MATCH(B$1,'UPD Questions_290926 '!$E$1:$N$1,0),0)&amp;"")</f>
        <v>Implementation</v>
      </c>
      <c r="C32" s="75" t="str">
        <f aca="false">IF(ISBLANK($A32),"NO_CODE",VLOOKUP($A32,'UPD Questions_290926 '!$E$1:$N$300,MATCH(C$1,'UPD Questions_290926 '!$E$1:$N$1,0),0)&amp;"")</f>
        <v>Municipal/City Plan status, hierarchy and coordination</v>
      </c>
      <c r="D32" s="75" t="str">
        <f aca="false">IF(ISBLANK($A32),"NO_CODE",VLOOKUP($A32,'UPD Questions_290926 '!$E$1:$N$300,MATCH(D$1,'UPD Questions_290926 '!$E$1:$N$1,0),0)&amp;"")</f>
        <v>Existence of Municipal/City Plans at each level</v>
      </c>
      <c r="E32" s="75" t="str">
        <f aca="false">IF(ISBLANK($A32),"NO_CODE",VLOOKUP($A32,'UPD Questions_290926 '!$E$1:$N$300,MATCH(E$1,'UPD Questions_290926 '!$E$1:$N$1,0),0)&amp;"")</f>
        <v>MQ</v>
      </c>
      <c r="F32" s="75" t="str">
        <f aca="false">IF(ISBLANK($A32),"NO_CODE",VLOOKUP($A32,'UPD Questions_290926 '!$E$1:$N$300,MATCH(F$1,'UPD Questions_290926 '!$E$1:$N$1,0),0)&amp;"")</f>
        <v>Are the spatial plans at the Metropolitan/Regional, Municipal and Ward(s) /Local level notified?</v>
      </c>
      <c r="G32" s="75" t="str">
        <f aca="false">IF(ISBLANK($A32),"NO_CODE",VLOOKUP($A32,'UPD Questions_290926 '!$E$1:$N$300,MATCH(G$1,'UPD Questions_290926 '!$E$1:$N$1,0),0)&amp;"")</f>
        <v>Implementation</v>
      </c>
      <c r="H32" s="77" t="n">
        <f aca="false">IF(ISBLANK($A32),"NO_CODE",VLOOKUP($A32,'UPD Questions_290926 '!$E$1:$N$300,MATCH(H$1,'UPD Questions_290926 '!$E$1:$N$1,0),0))</f>
        <v>10</v>
      </c>
      <c r="I32" s="78" t="str">
        <f aca="false">IF(OR(I33="ER",I34="ER",I35="ER"),"ER",IF(OR(I33="?",I34="?",I35="?"),"?",IF(AND(I33="NA",I34="NA",I35="NA"),"NA",SUM(I33,I34,I35)/((I33&lt;&gt;"NA")*$H$33+(I34&lt;&gt;"NA")*$H$34+(I35&lt;&gt;"NA")*$H$35)*$H32)))</f>
        <v>?</v>
      </c>
      <c r="J32" s="78" t="str">
        <f aca="false">IF(OR(J33="ER",J34="ER",J35="ER"),"ER",IF(OR(J33="?",J34="?",J35="?"),"?",IF(AND(J33="NA",J34="NA",J35="NA"),"NA",SUM(J33,J34,J35)/((J33&lt;&gt;"NA")*$H$33+(J34&lt;&gt;"NA")*$H$34+(J35&lt;&gt;"NA")*$H$35)*$H32)))</f>
        <v>?</v>
      </c>
      <c r="K32" s="78" t="str">
        <f aca="false">IF(OR(K33="ER",K34="ER",K35="ER"),"ER",IF(OR(K33="?",K34="?",K35="?"),"?",IF(AND(K33="NA",K34="NA",K35="NA"),"NA",SUM(K33,K34,K35)/((K33&lt;&gt;"NA")*$H$33+(K34&lt;&gt;"NA")*$H$34+(K35&lt;&gt;"NA")*$H$35)*$H32)))</f>
        <v>?</v>
      </c>
      <c r="L32" s="78" t="str">
        <f aca="false">IF(OR(L33="ER",L34="ER",L35="ER"),"ER",IF(OR(L33="?",L34="?",L35="?"),"?",IF(AND(L33="NA",L34="NA",L35="NA"),"NA",SUM(L33,L34,L35)/((L33&lt;&gt;"NA")*$H$33+(L34&lt;&gt;"NA")*$H$34+(L35&lt;&gt;"NA")*$H$35)*$H32)))</f>
        <v>?</v>
      </c>
      <c r="M32" s="78" t="str">
        <f aca="false">IF(OR(M33="ER",M34="ER",M35="ER"),"ER",IF(OR(M33="?",M34="?",M35="?"),"?",IF(AND(M33="NA",M34="NA",M35="NA"),"NA",SUM(M33,M34,M35)/((M33&lt;&gt;"NA")*$H$33+(M34&lt;&gt;"NA")*$H$34+(M35&lt;&gt;"NA")*$H$35)*$H32)))</f>
        <v>?</v>
      </c>
      <c r="N32" s="78" t="str">
        <f aca="false">IF(OR(N33="ER",N34="ER",N35="ER"),"ER",IF(OR(N33="?",N34="?",N35="?"),"?",IF(AND(N33="NA",N34="NA",N35="NA"),"NA",SUM(N33,N34,N35)/((N33&lt;&gt;"NA")*$H$33+(N34&lt;&gt;"NA")*$H$34+(N35&lt;&gt;"NA")*$H$35)*$H32)))</f>
        <v>?</v>
      </c>
      <c r="O32" s="78" t="str">
        <f aca="false">IF(OR(O33="ER",O34="ER",O35="ER"),"ER",IF(OR(O33="?",O34="?",O35="?"),"?",IF(AND(O33="NA",O34="NA",O35="NA"),"NA",SUM(O33,O34,O35)/((O33&lt;&gt;"NA")*$H$33+(O34&lt;&gt;"NA")*$H$34+(O35&lt;&gt;"NA")*$H$35)*$H32)))</f>
        <v>?</v>
      </c>
      <c r="P32" s="78" t="str">
        <f aca="false">IF(OR(P33="ER",P34="ER",P35="ER"),"ER",IF(OR(P33="?",P34="?",P35="?"),"?",IF(AND(P33="NA",P34="NA",P35="NA"),"NA",SUM(P33,P34,P35)/((P33&lt;&gt;"NA")*$H$33+(P34&lt;&gt;"NA")*$H$34+(P35&lt;&gt;"NA")*$H$35)*$H32)))</f>
        <v>?</v>
      </c>
      <c r="Q32" s="78" t="str">
        <f aca="false">IF(OR(Q33="ER",Q34="ER",Q35="ER"),"ER",IF(OR(Q33="?",Q34="?",Q35="?"),"?",IF(AND(Q33="NA",Q34="NA",Q35="NA"),"NA",SUM(Q33,Q34,Q35)/((Q33&lt;&gt;"NA")*$H$33+(Q34&lt;&gt;"NA")*$H$34+(Q35&lt;&gt;"NA")*$H$35)*$H32)))</f>
        <v>?</v>
      </c>
      <c r="R32" s="78" t="str">
        <f aca="false">IF(OR(R33="ER",R34="ER",R35="ER"),"ER",IF(OR(R33="?",R34="?",R35="?"),"?",IF(AND(R33="NA",R34="NA",R35="NA"),"NA",SUM(R33,R34,R35)/((R33&lt;&gt;"NA")*$H$33+(R34&lt;&gt;"NA")*$H$34+(R35&lt;&gt;"NA")*$H$35)*$H32)))</f>
        <v>?</v>
      </c>
      <c r="S32" s="78" t="str">
        <f aca="false">IF(OR(S33="ER",S34="ER",S35="ER"),"ER",IF(OR(S33="?",S34="?",S35="?"),"?",IF(AND(S33="NA",S34="NA",S35="NA"),"NA",SUM(S33,S34,S35)/((S33&lt;&gt;"NA")*$H$33+(S34&lt;&gt;"NA")*$H$34+(S35&lt;&gt;"NA")*$H$35)*$H32)))</f>
        <v>?</v>
      </c>
      <c r="T32" s="78" t="str">
        <f aca="false">IF(OR(T33="ER",T34="ER",T35="ER"),"ER",IF(OR(T33="?",T34="?",T35="?"),"?",IF(AND(T33="NA",T34="NA",T35="NA"),"NA",SUM(T33,T34,T35)/((T33&lt;&gt;"NA")*$H$33+(T34&lt;&gt;"NA")*$H$34+(T35&lt;&gt;"NA")*$H$35)*$H32)))</f>
        <v>?</v>
      </c>
      <c r="U32" s="78" t="str">
        <f aca="false">IF(OR(U33="ER",U34="ER",U35="ER"),"ER",IF(OR(U33="?",U34="?",U35="?"),"?",IF(AND(U33="NA",U34="NA",U35="NA"),"NA",SUM(U33,U34,U35)/((U33&lt;&gt;"NA")*$H$33+(U34&lt;&gt;"NA")*$H$34+(U35&lt;&gt;"NA")*$H$35)*$H32)))</f>
        <v>?</v>
      </c>
      <c r="V32" s="78" t="str">
        <f aca="false">IF(OR(V33="ER",V34="ER",V35="ER"),"ER",IF(OR(V33="?",V34="?",V35="?"),"?",IF(AND(V33="NA",V34="NA",V35="NA"),"NA",SUM(V33,V34,V35)/((V33&lt;&gt;"NA")*$H$33+(V34&lt;&gt;"NA")*$H$34+(V35&lt;&gt;"NA")*$H$35)*$H32)))</f>
        <v>?</v>
      </c>
      <c r="W32" s="78" t="str">
        <f aca="false">IF(OR(W33="ER",W34="ER",W35="ER"),"ER",IF(OR(W33="?",W34="?",W35="?"),"?",IF(AND(W33="NA",W34="NA",W35="NA"),"NA",SUM(W33,W34,W35)/((W33&lt;&gt;"NA")*$H$33+(W34&lt;&gt;"NA")*$H$34+(W35&lt;&gt;"NA")*$H$35)*$H32)))</f>
        <v>?</v>
      </c>
      <c r="X32" s="78" t="str">
        <f aca="false">IF(OR(X33="ER",X34="ER",X35="ER"),"ER",IF(OR(X33="?",X34="?",X35="?"),"?",IF(AND(X33="NA",X34="NA",X35="NA"),"NA",SUM(X33,X34,X35)/((X33&lt;&gt;"NA")*$H$33+(X34&lt;&gt;"NA")*$H$34+(X35&lt;&gt;"NA")*$H$35)*$H32)))</f>
        <v>?</v>
      </c>
      <c r="Y32" s="78" t="str">
        <f aca="false">IF(OR(Y33="ER",Y34="ER",Y35="ER"),"ER",IF(OR(Y33="?",Y34="?",Y35="?"),"?",IF(AND(Y33="NA",Y34="NA",Y35="NA"),"NA",SUM(Y33,Y34,Y35)/((Y33&lt;&gt;"NA")*$H$33+(Y34&lt;&gt;"NA")*$H$34+(Y35&lt;&gt;"NA")*$H$35)*$H32)))</f>
        <v>?</v>
      </c>
      <c r="Z32" s="78" t="str">
        <f aca="false">IF(OR(Z33="ER",Z34="ER",Z35="ER"),"ER",IF(OR(Z33="?",Z34="?",Z35="?"),"?",IF(AND(Z33="NA",Z34="NA",Z35="NA"),"NA",SUM(Z33,Z34,Z35)/((Z33&lt;&gt;"NA")*$H$33+(Z34&lt;&gt;"NA")*$H$34+(Z35&lt;&gt;"NA")*$H$35)*$H32)))</f>
        <v>?</v>
      </c>
      <c r="AA32" s="78" t="str">
        <f aca="false">IF(OR(AA33="ER",AA34="ER",AA35="ER"),"ER",IF(OR(AA33="?",AA34="?",AA35="?"),"?",IF(AND(AA33="NA",AA34="NA",AA35="NA"),"NA",SUM(AA33,AA34,AA35)/((AA33&lt;&gt;"NA")*$H$33+(AA34&lt;&gt;"NA")*$H$34+(AA35&lt;&gt;"NA")*$H$35)*$H32)))</f>
        <v>?</v>
      </c>
      <c r="AB32" s="78" t="str">
        <f aca="false">IF(OR(AB33="ER",AB34="ER",AB35="ER"),"ER",IF(OR(AB33="?",AB34="?",AB35="?"),"?",IF(AND(AB33="NA",AB34="NA",AB35="NA"),"NA",SUM(AB33,AB34,AB35)/((AB33&lt;&gt;"NA")*$H$33+(AB34&lt;&gt;"NA")*$H$34+(AB35&lt;&gt;"NA")*$H$35)*$H32)))</f>
        <v>?</v>
      </c>
      <c r="AC32" s="78" t="str">
        <f aca="false">IF(OR(AC33="ER",AC34="ER",AC35="ER"),"ER",IF(OR(AC33="?",AC34="?",AC35="?"),"?",IF(AND(AC33="NA",AC34="NA",AC35="NA"),"NA",SUM(AC33,AC34,AC35)/((AC33&lt;&gt;"NA")*$H$33+(AC34&lt;&gt;"NA")*$H$34+(AC35&lt;&gt;"NA")*$H$35)*$H32)))</f>
        <v>?</v>
      </c>
      <c r="AD32" s="78" t="str">
        <f aca="false">IF(OR(AD33="ER",AD34="ER",AD35="ER"),"ER",IF(OR(AD33="?",AD34="?",AD35="?"),"?",IF(AND(AD33="NA",AD34="NA",AD35="NA"),"NA",SUM(AD33,AD34,AD35)/((AD33&lt;&gt;"NA")*$H$33+(AD34&lt;&gt;"NA")*$H$34+(AD35&lt;&gt;"NA")*$H$35)*$H32)))</f>
        <v>?</v>
      </c>
      <c r="AE32" s="78" t="str">
        <f aca="false">IF(OR(AE33="ER",AE34="ER",AE35="ER"),"ER",IF(OR(AE33="?",AE34="?",AE35="?"),"?",IF(AND(AE33="NA",AE34="NA",AE35="NA"),"NA",SUM(AE33,AE34,AE35)/((AE33&lt;&gt;"NA")*$H$33+(AE34&lt;&gt;"NA")*$H$34+(AE35&lt;&gt;"NA")*$H$35)*$H32)))</f>
        <v>?</v>
      </c>
      <c r="AF32" s="78" t="str">
        <f aca="false">IF(OR(AF33="ER",AF34="ER",AF35="ER"),"ER",IF(OR(AF33="?",AF34="?",AF35="?"),"?",IF(AND(AF33="NA",AF34="NA",AF35="NA"),"NA",SUM(AF33,AF34,AF35)/((AF33&lt;&gt;"NA")*$H$33+(AF34&lt;&gt;"NA")*$H$34+(AF35&lt;&gt;"NA")*$H$35)*$H32)))</f>
        <v>?</v>
      </c>
      <c r="AG32" s="78" t="str">
        <f aca="false">IF(OR(AG33="ER",AG34="ER",AG35="ER"),"ER",IF(OR(AG33="?",AG34="?",AG35="?"),"?",IF(AND(AG33="NA",AG34="NA",AG35="NA"),"NA",SUM(AG33,AG34,AG35)/((AG33&lt;&gt;"NA")*$H$33+(AG34&lt;&gt;"NA")*$H$34+(AG35&lt;&gt;"NA")*$H$35)*$H32)))</f>
        <v>?</v>
      </c>
      <c r="AH32" s="78" t="str">
        <f aca="false">IF(OR(AH33="ER",AH34="ER",AH35="ER"),"ER",IF(OR(AH33="?",AH34="?",AH35="?"),"?",IF(AND(AH33="NA",AH34="NA",AH35="NA"),"NA",SUM(AH33,AH34,AH35)/((AH33&lt;&gt;"NA")*$H$33+(AH34&lt;&gt;"NA")*$H$34+(AH35&lt;&gt;"NA")*$H$35)*$H32)))</f>
        <v>?</v>
      </c>
      <c r="AI32" s="78" t="str">
        <f aca="false">IF(OR(AI33="ER",AI34="ER",AI35="ER"),"ER",IF(OR(AI33="?",AI34="?",AI35="?"),"?",IF(AND(AI33="NA",AI34="NA",AI35="NA"),"NA",SUM(AI33,AI34,AI35)/((AI33&lt;&gt;"NA")*$H$33+(AI34&lt;&gt;"NA")*$H$34+(AI35&lt;&gt;"NA")*$H$35)*$H32)))</f>
        <v>?</v>
      </c>
      <c r="AJ32" s="78" t="str">
        <f aca="false">IF(OR(AJ33="ER",AJ34="ER",AJ35="ER"),"ER",IF(OR(AJ33="?",AJ34="?",AJ35="?"),"?",IF(AND(AJ33="NA",AJ34="NA",AJ35="NA"),"NA",SUM(AJ33,AJ34,AJ35)/((AJ33&lt;&gt;"NA")*$H$33+(AJ34&lt;&gt;"NA")*$H$34+(AJ35&lt;&gt;"NA")*$H$35)*$H32)))</f>
        <v>?</v>
      </c>
      <c r="AK32" s="78" t="str">
        <f aca="false">IF(OR(AK33="ER",AK34="ER",AK35="ER"),"ER",IF(OR(AK33="?",AK34="?",AK35="?"),"?",IF(AND(AK33="NA",AK34="NA",AK35="NA"),"NA",SUM(AK33,AK34,AK35)/((AK33&lt;&gt;"NA")*$H$33+(AK34&lt;&gt;"NA")*$H$34+(AK35&lt;&gt;"NA")*$H$35)*$H32)))</f>
        <v>?</v>
      </c>
    </row>
    <row r="33" customFormat="false" ht="14.25" hidden="false" customHeight="true" outlineLevel="0" collapsed="false">
      <c r="A33" s="74" t="s">
        <v>174</v>
      </c>
      <c r="B33" s="75" t="str">
        <f aca="false">IF(ISBLANK($A33),"NO_CODE",VLOOKUP($A33,'UPD Questions_290926 '!$E$1:$N$300,MATCH(B$1,'UPD Questions_290926 '!$E$1:$N$1,0),0)&amp;"")</f>
        <v>Implementation</v>
      </c>
      <c r="C33" s="75" t="str">
        <f aca="false">IF(ISBLANK($A33),"NO_CODE",VLOOKUP($A33,'UPD Questions_290926 '!$E$1:$N$300,MATCH(C$1,'UPD Questions_290926 '!$E$1:$N$1,0),0)&amp;"")</f>
        <v>Municipal/City Plan status, hierarchy and coordination</v>
      </c>
      <c r="D33" s="75" t="str">
        <f aca="false">IF(ISBLANK($A33),"NO_CODE",VLOOKUP($A33,'UPD Questions_290926 '!$E$1:$N$300,MATCH(D$1,'UPD Questions_290926 '!$E$1:$N$1,0),0)&amp;"")</f>
        <v>Existence of Municipal/City Plans at each level</v>
      </c>
      <c r="E33" s="75" t="str">
        <f aca="false">IF(ISBLANK($A33),"NO_CODE",VLOOKUP($A33,'UPD Questions_290926 '!$E$1:$N$300,MATCH(E$1,'UPD Questions_290926 '!$E$1:$N$1,0),0)&amp;"")</f>
        <v>SQ</v>
      </c>
      <c r="F33" s="75" t="str">
        <f aca="false">IF(ISBLANK($A33),"NO_CODE",VLOOKUP($A33,'UPD Questions_290926 '!$E$1:$N$300,MATCH(F$1,'UPD Questions_290926 '!$E$1:$N$1,0),0)&amp;"")</f>
        <v>Is there a Metropolitan/Regional Plan?</v>
      </c>
      <c r="G33" s="75" t="str">
        <f aca="false">IF(ISBLANK($A33),"NO_CODE",VLOOKUP($A33,'UPD Questions_290926 '!$E$1:$N$300,MATCH(G$1,'UPD Questions_290926 '!$E$1:$N$1,0),0)&amp;"")</f>
        <v>Implementation</v>
      </c>
      <c r="H33" s="77" t="n">
        <f aca="false">IF(ISBLANK($A33),"NO_CODE",VLOOKUP($A33,'UPD Questions_290926 '!$E$1:$N$300,MATCH(H$1,'UPD Questions_290926 '!$E$1:$N$1,0),0))</f>
        <v>3.33</v>
      </c>
      <c r="I33" s="78" t="str">
        <f aca="true">IF($H33=0,"NA",IF($A33=INDIRECT("'"&amp;$A33&amp;"'!$B$1"),IF(VLOOKUP(I$1,INDIRECT("'"&amp;$A33&amp;"'!$A$12:$Z$41"),MATCH("Points (Auto-generate)",INDIRECT("'"&amp;$A33&amp;"'!$A$12:$Z$12"),0),0)="","?",VLOOKUP(I$1,INDIRECT("'"&amp;$A33&amp;"'!$A$12:$Z$41"),MATCH("Points (Auto-generate)",INDIRECT("'"&amp;$A33&amp;"'!$A$12:$Z$12"),0),0)),"ER"))</f>
        <v>?</v>
      </c>
      <c r="J33" s="78" t="str">
        <f aca="true">IF($H33=0,"NA",IF($A33=INDIRECT("'"&amp;$A33&amp;"'!$B$1"),IF(VLOOKUP(J$1,INDIRECT("'"&amp;$A33&amp;"'!$A$12:$Z$41"),MATCH("Points (Auto-generate)",INDIRECT("'"&amp;$A33&amp;"'!$A$12:$Z$12"),0),0)="","?",VLOOKUP(J$1,INDIRECT("'"&amp;$A33&amp;"'!$A$12:$Z$41"),MATCH("Points (Auto-generate)",INDIRECT("'"&amp;$A33&amp;"'!$A$12:$Z$12"),0),0)),"ER"))</f>
        <v>?</v>
      </c>
      <c r="K33" s="78" t="str">
        <f aca="true">IF($H33=0,"NA",IF($A33=INDIRECT("'"&amp;$A33&amp;"'!$B$1"),IF(VLOOKUP(K$1,INDIRECT("'"&amp;$A33&amp;"'!$A$12:$Z$41"),MATCH("Points (Auto-generate)",INDIRECT("'"&amp;$A33&amp;"'!$A$12:$Z$12"),0),0)="","?",VLOOKUP(K$1,INDIRECT("'"&amp;$A33&amp;"'!$A$12:$Z$41"),MATCH("Points (Auto-generate)",INDIRECT("'"&amp;$A33&amp;"'!$A$12:$Z$12"),0),0)),"ER"))</f>
        <v>?</v>
      </c>
      <c r="L33" s="78" t="str">
        <f aca="true">IF($H33=0,"NA",IF($A33=INDIRECT("'"&amp;$A33&amp;"'!$B$1"),IF(VLOOKUP(L$1,INDIRECT("'"&amp;$A33&amp;"'!$A$12:$Z$41"),MATCH("Points (Auto-generate)",INDIRECT("'"&amp;$A33&amp;"'!$A$12:$Z$12"),0),0)="","?",VLOOKUP(L$1,INDIRECT("'"&amp;$A33&amp;"'!$A$12:$Z$41"),MATCH("Points (Auto-generate)",INDIRECT("'"&amp;$A33&amp;"'!$A$12:$Z$12"),0),0)),"ER"))</f>
        <v>?</v>
      </c>
      <c r="M33" s="78" t="str">
        <f aca="true">IF($H33=0,"NA",IF($A33=INDIRECT("'"&amp;$A33&amp;"'!$B$1"),IF(VLOOKUP(M$1,INDIRECT("'"&amp;$A33&amp;"'!$A$12:$Z$41"),MATCH("Points (Auto-generate)",INDIRECT("'"&amp;$A33&amp;"'!$A$12:$Z$12"),0),0)="","?",VLOOKUP(M$1,INDIRECT("'"&amp;$A33&amp;"'!$A$12:$Z$41"),MATCH("Points (Auto-generate)",INDIRECT("'"&amp;$A33&amp;"'!$A$12:$Z$12"),0),0)),"ER"))</f>
        <v>?</v>
      </c>
      <c r="N33" s="78" t="str">
        <f aca="true">IF($H33=0,"NA",IF($A33=INDIRECT("'"&amp;$A33&amp;"'!$B$1"),IF(VLOOKUP(N$1,INDIRECT("'"&amp;$A33&amp;"'!$A$12:$Z$41"),MATCH("Points (Auto-generate)",INDIRECT("'"&amp;$A33&amp;"'!$A$12:$Z$12"),0),0)="","?",VLOOKUP(N$1,INDIRECT("'"&amp;$A33&amp;"'!$A$12:$Z$41"),MATCH("Points (Auto-generate)",INDIRECT("'"&amp;$A33&amp;"'!$A$12:$Z$12"),0),0)),"ER"))</f>
        <v>?</v>
      </c>
      <c r="O33" s="78" t="str">
        <f aca="true">IF($H33=0,"NA",IF($A33=INDIRECT("'"&amp;$A33&amp;"'!$B$1"),IF(VLOOKUP(O$1,INDIRECT("'"&amp;$A33&amp;"'!$A$12:$Z$41"),MATCH("Points (Auto-generate)",INDIRECT("'"&amp;$A33&amp;"'!$A$12:$Z$12"),0),0)="","?",VLOOKUP(O$1,INDIRECT("'"&amp;$A33&amp;"'!$A$12:$Z$41"),MATCH("Points (Auto-generate)",INDIRECT("'"&amp;$A33&amp;"'!$A$12:$Z$12"),0),0)),"ER"))</f>
        <v>?</v>
      </c>
      <c r="P33" s="78" t="str">
        <f aca="true">IF($H33=0,"NA",IF($A33=INDIRECT("'"&amp;$A33&amp;"'!$B$1"),IF(VLOOKUP(P$1,INDIRECT("'"&amp;$A33&amp;"'!$A$12:$Z$41"),MATCH("Points (Auto-generate)",INDIRECT("'"&amp;$A33&amp;"'!$A$12:$Z$12"),0),0)="","?",VLOOKUP(P$1,INDIRECT("'"&amp;$A33&amp;"'!$A$12:$Z$41"),MATCH("Points (Auto-generate)",INDIRECT("'"&amp;$A33&amp;"'!$A$12:$Z$12"),0),0)),"ER"))</f>
        <v>?</v>
      </c>
      <c r="Q33" s="78" t="str">
        <f aca="true">IF($H33=0,"NA",IF($A33=INDIRECT("'"&amp;$A33&amp;"'!$B$1"),IF(VLOOKUP(Q$1,INDIRECT("'"&amp;$A33&amp;"'!$A$12:$Z$41"),MATCH("Points (Auto-generate)",INDIRECT("'"&amp;$A33&amp;"'!$A$12:$Z$12"),0),0)="","?",VLOOKUP(Q$1,INDIRECT("'"&amp;$A33&amp;"'!$A$12:$Z$41"),MATCH("Points (Auto-generate)",INDIRECT("'"&amp;$A33&amp;"'!$A$12:$Z$12"),0),0)),"ER"))</f>
        <v>?</v>
      </c>
      <c r="R33" s="78" t="str">
        <f aca="true">IF($H33=0,"NA",IF($A33=INDIRECT("'"&amp;$A33&amp;"'!$B$1"),IF(VLOOKUP(R$1,INDIRECT("'"&amp;$A33&amp;"'!$A$12:$Z$41"),MATCH("Points (Auto-generate)",INDIRECT("'"&amp;$A33&amp;"'!$A$12:$Z$12"),0),0)="","?",VLOOKUP(R$1,INDIRECT("'"&amp;$A33&amp;"'!$A$12:$Z$41"),MATCH("Points (Auto-generate)",INDIRECT("'"&amp;$A33&amp;"'!$A$12:$Z$12"),0),0)),"ER"))</f>
        <v>?</v>
      </c>
      <c r="S33" s="78" t="str">
        <f aca="true">IF($H33=0,"NA",IF($A33=INDIRECT("'"&amp;$A33&amp;"'!$B$1"),IF(VLOOKUP(S$1,INDIRECT("'"&amp;$A33&amp;"'!$A$12:$Z$41"),MATCH("Points (Auto-generate)",INDIRECT("'"&amp;$A33&amp;"'!$A$12:$Z$12"),0),0)="","?",VLOOKUP(S$1,INDIRECT("'"&amp;$A33&amp;"'!$A$12:$Z$41"),MATCH("Points (Auto-generate)",INDIRECT("'"&amp;$A33&amp;"'!$A$12:$Z$12"),0),0)),"ER"))</f>
        <v>?</v>
      </c>
      <c r="T33" s="78" t="str">
        <f aca="true">IF($H33=0,"NA",IF($A33=INDIRECT("'"&amp;$A33&amp;"'!$B$1"),IF(VLOOKUP(T$1,INDIRECT("'"&amp;$A33&amp;"'!$A$12:$Z$41"),MATCH("Points (Auto-generate)",INDIRECT("'"&amp;$A33&amp;"'!$A$12:$Z$12"),0),0)="","?",VLOOKUP(T$1,INDIRECT("'"&amp;$A33&amp;"'!$A$12:$Z$41"),MATCH("Points (Auto-generate)",INDIRECT("'"&amp;$A33&amp;"'!$A$12:$Z$12"),0),0)),"ER"))</f>
        <v>?</v>
      </c>
      <c r="U33" s="78" t="str">
        <f aca="true">IF($H33=0,"NA",IF($A33=INDIRECT("'"&amp;$A33&amp;"'!$B$1"),IF(VLOOKUP(U$1,INDIRECT("'"&amp;$A33&amp;"'!$A$12:$Z$41"),MATCH("Points (Auto-generate)",INDIRECT("'"&amp;$A33&amp;"'!$A$12:$Z$12"),0),0)="","?",VLOOKUP(U$1,INDIRECT("'"&amp;$A33&amp;"'!$A$12:$Z$41"),MATCH("Points (Auto-generate)",INDIRECT("'"&amp;$A33&amp;"'!$A$12:$Z$12"),0),0)),"ER"))</f>
        <v>?</v>
      </c>
      <c r="V33" s="78" t="str">
        <f aca="true">IF($H33=0,"NA",IF($A33=INDIRECT("'"&amp;$A33&amp;"'!$B$1"),IF(VLOOKUP(V$1,INDIRECT("'"&amp;$A33&amp;"'!$A$12:$Z$41"),MATCH("Points (Auto-generate)",INDIRECT("'"&amp;$A33&amp;"'!$A$12:$Z$12"),0),0)="","?",VLOOKUP(V$1,INDIRECT("'"&amp;$A33&amp;"'!$A$12:$Z$41"),MATCH("Points (Auto-generate)",INDIRECT("'"&amp;$A33&amp;"'!$A$12:$Z$12"),0),0)),"ER"))</f>
        <v>?</v>
      </c>
      <c r="W33" s="78" t="str">
        <f aca="true">IF($H33=0,"NA",IF($A33=INDIRECT("'"&amp;$A33&amp;"'!$B$1"),IF(VLOOKUP(W$1,INDIRECT("'"&amp;$A33&amp;"'!$A$12:$Z$41"),MATCH("Points (Auto-generate)",INDIRECT("'"&amp;$A33&amp;"'!$A$12:$Z$12"),0),0)="","?",VLOOKUP(W$1,INDIRECT("'"&amp;$A33&amp;"'!$A$12:$Z$41"),MATCH("Points (Auto-generate)",INDIRECT("'"&amp;$A33&amp;"'!$A$12:$Z$12"),0),0)),"ER"))</f>
        <v>?</v>
      </c>
      <c r="X33" s="78" t="str">
        <f aca="true">IF($H33=0,"NA",IF($A33=INDIRECT("'"&amp;$A33&amp;"'!$B$1"),IF(VLOOKUP(X$1,INDIRECT("'"&amp;$A33&amp;"'!$A$12:$Z$41"),MATCH("Points (Auto-generate)",INDIRECT("'"&amp;$A33&amp;"'!$A$12:$Z$12"),0),0)="","?",VLOOKUP(X$1,INDIRECT("'"&amp;$A33&amp;"'!$A$12:$Z$41"),MATCH("Points (Auto-generate)",INDIRECT("'"&amp;$A33&amp;"'!$A$12:$Z$12"),0),0)),"ER"))</f>
        <v>?</v>
      </c>
      <c r="Y33" s="78" t="str">
        <f aca="true">IF($H33=0,"NA",IF($A33=INDIRECT("'"&amp;$A33&amp;"'!$B$1"),IF(VLOOKUP(Y$1,INDIRECT("'"&amp;$A33&amp;"'!$A$12:$Z$41"),MATCH("Points (Auto-generate)",INDIRECT("'"&amp;$A33&amp;"'!$A$12:$Z$12"),0),0)="","?",VLOOKUP(Y$1,INDIRECT("'"&amp;$A33&amp;"'!$A$12:$Z$41"),MATCH("Points (Auto-generate)",INDIRECT("'"&amp;$A33&amp;"'!$A$12:$Z$12"),0),0)),"ER"))</f>
        <v>?</v>
      </c>
      <c r="Z33" s="78" t="str">
        <f aca="true">IF($H33=0,"NA",IF($A33=INDIRECT("'"&amp;$A33&amp;"'!$B$1"),IF(VLOOKUP(Z$1,INDIRECT("'"&amp;$A33&amp;"'!$A$12:$Z$41"),MATCH("Points (Auto-generate)",INDIRECT("'"&amp;$A33&amp;"'!$A$12:$Z$12"),0),0)="","?",VLOOKUP(Z$1,INDIRECT("'"&amp;$A33&amp;"'!$A$12:$Z$41"),MATCH("Points (Auto-generate)",INDIRECT("'"&amp;$A33&amp;"'!$A$12:$Z$12"),0),0)),"ER"))</f>
        <v>?</v>
      </c>
      <c r="AA33" s="78" t="str">
        <f aca="true">IF($H33=0,"NA",IF($A33=INDIRECT("'"&amp;$A33&amp;"'!$B$1"),IF(VLOOKUP(AA$1,INDIRECT("'"&amp;$A33&amp;"'!$A$12:$Z$41"),MATCH("Points (Auto-generate)",INDIRECT("'"&amp;$A33&amp;"'!$A$12:$Z$12"),0),0)="","?",VLOOKUP(AA$1,INDIRECT("'"&amp;$A33&amp;"'!$A$12:$Z$41"),MATCH("Points (Auto-generate)",INDIRECT("'"&amp;$A33&amp;"'!$A$12:$Z$12"),0),0)),"ER"))</f>
        <v>?</v>
      </c>
      <c r="AB33" s="78" t="str">
        <f aca="true">IF($H33=0,"NA",IF($A33=INDIRECT("'"&amp;$A33&amp;"'!$B$1"),IF(VLOOKUP(AB$1,INDIRECT("'"&amp;$A33&amp;"'!$A$12:$Z$41"),MATCH("Points (Auto-generate)",INDIRECT("'"&amp;$A33&amp;"'!$A$12:$Z$12"),0),0)="","?",VLOOKUP(AB$1,INDIRECT("'"&amp;$A33&amp;"'!$A$12:$Z$41"),MATCH("Points (Auto-generate)",INDIRECT("'"&amp;$A33&amp;"'!$A$12:$Z$12"),0),0)),"ER"))</f>
        <v>?</v>
      </c>
      <c r="AC33" s="78" t="str">
        <f aca="true">IF($H33=0,"NA",IF($A33=INDIRECT("'"&amp;$A33&amp;"'!$B$1"),IF(VLOOKUP(AC$1,INDIRECT("'"&amp;$A33&amp;"'!$A$12:$Z$41"),MATCH("Points (Auto-generate)",INDIRECT("'"&amp;$A33&amp;"'!$A$12:$Z$12"),0),0)="","?",VLOOKUP(AC$1,INDIRECT("'"&amp;$A33&amp;"'!$A$12:$Z$41"),MATCH("Points (Auto-generate)",INDIRECT("'"&amp;$A33&amp;"'!$A$12:$Z$12"),0),0)),"ER"))</f>
        <v>?</v>
      </c>
      <c r="AD33" s="78" t="str">
        <f aca="true">IF($H33=0,"NA",IF($A33=INDIRECT("'"&amp;$A33&amp;"'!$B$1"),IF(VLOOKUP(AD$1,INDIRECT("'"&amp;$A33&amp;"'!$A$12:$Z$41"),MATCH("Points (Auto-generate)",INDIRECT("'"&amp;$A33&amp;"'!$A$12:$Z$12"),0),0)="","?",VLOOKUP(AD$1,INDIRECT("'"&amp;$A33&amp;"'!$A$12:$Z$41"),MATCH("Points (Auto-generate)",INDIRECT("'"&amp;$A33&amp;"'!$A$12:$Z$12"),0),0)),"ER"))</f>
        <v>?</v>
      </c>
      <c r="AE33" s="78" t="str">
        <f aca="true">IF($H33=0,"NA",IF($A33=INDIRECT("'"&amp;$A33&amp;"'!$B$1"),IF(VLOOKUP(AE$1,INDIRECT("'"&amp;$A33&amp;"'!$A$12:$Z$41"),MATCH("Points (Auto-generate)",INDIRECT("'"&amp;$A33&amp;"'!$A$12:$Z$12"),0),0)="","?",VLOOKUP(AE$1,INDIRECT("'"&amp;$A33&amp;"'!$A$12:$Z$41"),MATCH("Points (Auto-generate)",INDIRECT("'"&amp;$A33&amp;"'!$A$12:$Z$12"),0),0)),"ER"))</f>
        <v>?</v>
      </c>
      <c r="AF33" s="78" t="str">
        <f aca="true">IF($H33=0,"NA",IF($A33=INDIRECT("'"&amp;$A33&amp;"'!$B$1"),IF(VLOOKUP(AF$1,INDIRECT("'"&amp;$A33&amp;"'!$A$12:$Z$41"),MATCH("Points (Auto-generate)",INDIRECT("'"&amp;$A33&amp;"'!$A$12:$Z$12"),0),0)="","?",VLOOKUP(AF$1,INDIRECT("'"&amp;$A33&amp;"'!$A$12:$Z$41"),MATCH("Points (Auto-generate)",INDIRECT("'"&amp;$A33&amp;"'!$A$12:$Z$12"),0),0)),"ER"))</f>
        <v>?</v>
      </c>
      <c r="AG33" s="78" t="str">
        <f aca="true">IF($H33=0,"NA",IF($A33=INDIRECT("'"&amp;$A33&amp;"'!$B$1"),IF(VLOOKUP(AG$1,INDIRECT("'"&amp;$A33&amp;"'!$A$12:$Z$41"),MATCH("Points (Auto-generate)",INDIRECT("'"&amp;$A33&amp;"'!$A$12:$Z$12"),0),0)="","?",VLOOKUP(AG$1,INDIRECT("'"&amp;$A33&amp;"'!$A$12:$Z$41"),MATCH("Points (Auto-generate)",INDIRECT("'"&amp;$A33&amp;"'!$A$12:$Z$12"),0),0)),"ER"))</f>
        <v>?</v>
      </c>
      <c r="AH33" s="78" t="str">
        <f aca="true">IF($H33=0,"NA",IF($A33=INDIRECT("'"&amp;$A33&amp;"'!$B$1"),IF(VLOOKUP(AH$1,INDIRECT("'"&amp;$A33&amp;"'!$A$12:$Z$41"),MATCH("Points (Auto-generate)",INDIRECT("'"&amp;$A33&amp;"'!$A$12:$Z$12"),0),0)="","?",VLOOKUP(AH$1,INDIRECT("'"&amp;$A33&amp;"'!$A$12:$Z$41"),MATCH("Points (Auto-generate)",INDIRECT("'"&amp;$A33&amp;"'!$A$12:$Z$12"),0),0)),"ER"))</f>
        <v>?</v>
      </c>
      <c r="AI33" s="78" t="str">
        <f aca="true">IF($H33=0,"NA",IF($A33=INDIRECT("'"&amp;$A33&amp;"'!$B$1"),IF(VLOOKUP(AI$1,INDIRECT("'"&amp;$A33&amp;"'!$A$12:$Z$41"),MATCH("Points (Auto-generate)",INDIRECT("'"&amp;$A33&amp;"'!$A$12:$Z$12"),0),0)="","?",VLOOKUP(AI$1,INDIRECT("'"&amp;$A33&amp;"'!$A$12:$Z$41"),MATCH("Points (Auto-generate)",INDIRECT("'"&amp;$A33&amp;"'!$A$12:$Z$12"),0),0)),"ER"))</f>
        <v>?</v>
      </c>
      <c r="AJ33" s="78" t="str">
        <f aca="true">IF($H33=0,"NA",IF($A33=INDIRECT("'"&amp;$A33&amp;"'!$B$1"),IF(VLOOKUP(AJ$1,INDIRECT("'"&amp;$A33&amp;"'!$A$12:$Z$41"),MATCH("Points (Auto-generate)",INDIRECT("'"&amp;$A33&amp;"'!$A$12:$Z$12"),0),0)="","?",VLOOKUP(AJ$1,INDIRECT("'"&amp;$A33&amp;"'!$A$12:$Z$41"),MATCH("Points (Auto-generate)",INDIRECT("'"&amp;$A33&amp;"'!$A$12:$Z$12"),0),0)),"ER"))</f>
        <v>?</v>
      </c>
      <c r="AK33" s="78" t="str">
        <f aca="true">IF($H33=0,"NA",IF($A33=INDIRECT("'"&amp;$A33&amp;"'!$B$1"),IF(VLOOKUP(AK$1,INDIRECT("'"&amp;$A33&amp;"'!$A$12:$Z$41"),MATCH("Points (Auto-generate)",INDIRECT("'"&amp;$A33&amp;"'!$A$12:$Z$12"),0),0)="","?",VLOOKUP(AK$1,INDIRECT("'"&amp;$A33&amp;"'!$A$12:$Z$41"),MATCH("Points (Auto-generate)",INDIRECT("'"&amp;$A33&amp;"'!$A$12:$Z$12"),0),0)),"ER"))</f>
        <v>?</v>
      </c>
    </row>
    <row r="34" customFormat="false" ht="14.25" hidden="false" customHeight="true" outlineLevel="0" collapsed="false">
      <c r="A34" s="74" t="s">
        <v>179</v>
      </c>
      <c r="B34" s="75" t="str">
        <f aca="false">IF(ISBLANK($A34),"NO_CODE",VLOOKUP($A34,'UPD Questions_290926 '!$E$1:$N$300,MATCH(B$1,'UPD Questions_290926 '!$E$1:$N$1,0),0)&amp;"")</f>
        <v>Implementation</v>
      </c>
      <c r="C34" s="75" t="str">
        <f aca="false">IF(ISBLANK($A34),"NO_CODE",VLOOKUP($A34,'UPD Questions_290926 '!$E$1:$N$300,MATCH(C$1,'UPD Questions_290926 '!$E$1:$N$1,0),0)&amp;"")</f>
        <v>Municipal/City Plan status, hierarchy and coordination</v>
      </c>
      <c r="D34" s="75" t="str">
        <f aca="false">IF(ISBLANK($A34),"NO_CODE",VLOOKUP($A34,'UPD Questions_290926 '!$E$1:$N$300,MATCH(D$1,'UPD Questions_290926 '!$E$1:$N$1,0),0)&amp;"")</f>
        <v>Existence of Municipal/City Plans at each level</v>
      </c>
      <c r="E34" s="75" t="str">
        <f aca="false">IF(ISBLANK($A34),"NO_CODE",VLOOKUP($A34,'UPD Questions_290926 '!$E$1:$N$300,MATCH(E$1,'UPD Questions_290926 '!$E$1:$N$1,0),0)&amp;"")</f>
        <v>SQ</v>
      </c>
      <c r="F34" s="75" t="str">
        <f aca="false">IF(ISBLANK($A34),"NO_CODE",VLOOKUP($A34,'UPD Questions_290926 '!$E$1:$N$300,MATCH(F$1,'UPD Questions_290926 '!$E$1:$N$1,0),0)&amp;"")</f>
        <v>Is there Municipal/City Plan?</v>
      </c>
      <c r="G34" s="75" t="str">
        <f aca="false">IF(ISBLANK($A34),"NO_CODE",VLOOKUP($A34,'UPD Questions_290926 '!$E$1:$N$300,MATCH(G$1,'UPD Questions_290926 '!$E$1:$N$1,0),0)&amp;"")</f>
        <v>Implementation</v>
      </c>
      <c r="H34" s="77" t="n">
        <f aca="false">IF(ISBLANK($A34),"NO_CODE",VLOOKUP($A34,'UPD Questions_290926 '!$E$1:$N$300,MATCH(H$1,'UPD Questions_290926 '!$E$1:$N$1,0),0))</f>
        <v>3.33</v>
      </c>
      <c r="I34" s="78" t="str">
        <f aca="true">IF($H34=0,"NA",IF($A34=INDIRECT("'"&amp;$A34&amp;"'!$B$1"),IF(VLOOKUP(I$1,INDIRECT("'"&amp;$A34&amp;"'!$A$12:$Z$41"),MATCH("Points (Auto-generate)",INDIRECT("'"&amp;$A34&amp;"'!$A$12:$Z$12"),0),0)="","?",VLOOKUP(I$1,INDIRECT("'"&amp;$A34&amp;"'!$A$12:$Z$41"),MATCH("Points (Auto-generate)",INDIRECT("'"&amp;$A34&amp;"'!$A$12:$Z$12"),0),0)),"ER"))</f>
        <v>?</v>
      </c>
      <c r="J34" s="78" t="str">
        <f aca="true">IF($H34=0,"NA",IF($A34=INDIRECT("'"&amp;$A34&amp;"'!$B$1"),IF(VLOOKUP(J$1,INDIRECT("'"&amp;$A34&amp;"'!$A$12:$Z$41"),MATCH("Points (Auto-generate)",INDIRECT("'"&amp;$A34&amp;"'!$A$12:$Z$12"),0),0)="","?",VLOOKUP(J$1,INDIRECT("'"&amp;$A34&amp;"'!$A$12:$Z$41"),MATCH("Points (Auto-generate)",INDIRECT("'"&amp;$A34&amp;"'!$A$12:$Z$12"),0),0)),"ER"))</f>
        <v>?</v>
      </c>
      <c r="K34" s="78" t="str">
        <f aca="true">IF($H34=0,"NA",IF($A34=INDIRECT("'"&amp;$A34&amp;"'!$B$1"),IF(VLOOKUP(K$1,INDIRECT("'"&amp;$A34&amp;"'!$A$12:$Z$41"),MATCH("Points (Auto-generate)",INDIRECT("'"&amp;$A34&amp;"'!$A$12:$Z$12"),0),0)="","?",VLOOKUP(K$1,INDIRECT("'"&amp;$A34&amp;"'!$A$12:$Z$41"),MATCH("Points (Auto-generate)",INDIRECT("'"&amp;$A34&amp;"'!$A$12:$Z$12"),0),0)),"ER"))</f>
        <v>?</v>
      </c>
      <c r="L34" s="78" t="str">
        <f aca="true">IF($H34=0,"NA",IF($A34=INDIRECT("'"&amp;$A34&amp;"'!$B$1"),IF(VLOOKUP(L$1,INDIRECT("'"&amp;$A34&amp;"'!$A$12:$Z$41"),MATCH("Points (Auto-generate)",INDIRECT("'"&amp;$A34&amp;"'!$A$12:$Z$12"),0),0)="","?",VLOOKUP(L$1,INDIRECT("'"&amp;$A34&amp;"'!$A$12:$Z$41"),MATCH("Points (Auto-generate)",INDIRECT("'"&amp;$A34&amp;"'!$A$12:$Z$12"),0),0)),"ER"))</f>
        <v>?</v>
      </c>
      <c r="M34" s="78" t="str">
        <f aca="true">IF($H34=0,"NA",IF($A34=INDIRECT("'"&amp;$A34&amp;"'!$B$1"),IF(VLOOKUP(M$1,INDIRECT("'"&amp;$A34&amp;"'!$A$12:$Z$41"),MATCH("Points (Auto-generate)",INDIRECT("'"&amp;$A34&amp;"'!$A$12:$Z$12"),0),0)="","?",VLOOKUP(M$1,INDIRECT("'"&amp;$A34&amp;"'!$A$12:$Z$41"),MATCH("Points (Auto-generate)",INDIRECT("'"&amp;$A34&amp;"'!$A$12:$Z$12"),0),0)),"ER"))</f>
        <v>?</v>
      </c>
      <c r="N34" s="78" t="str">
        <f aca="true">IF($H34=0,"NA",IF($A34=INDIRECT("'"&amp;$A34&amp;"'!$B$1"),IF(VLOOKUP(N$1,INDIRECT("'"&amp;$A34&amp;"'!$A$12:$Z$41"),MATCH("Points (Auto-generate)",INDIRECT("'"&amp;$A34&amp;"'!$A$12:$Z$12"),0),0)="","?",VLOOKUP(N$1,INDIRECT("'"&amp;$A34&amp;"'!$A$12:$Z$41"),MATCH("Points (Auto-generate)",INDIRECT("'"&amp;$A34&amp;"'!$A$12:$Z$12"),0),0)),"ER"))</f>
        <v>?</v>
      </c>
      <c r="O34" s="78" t="str">
        <f aca="true">IF($H34=0,"NA",IF($A34=INDIRECT("'"&amp;$A34&amp;"'!$B$1"),IF(VLOOKUP(O$1,INDIRECT("'"&amp;$A34&amp;"'!$A$12:$Z$41"),MATCH("Points (Auto-generate)",INDIRECT("'"&amp;$A34&amp;"'!$A$12:$Z$12"),0),0)="","?",VLOOKUP(O$1,INDIRECT("'"&amp;$A34&amp;"'!$A$12:$Z$41"),MATCH("Points (Auto-generate)",INDIRECT("'"&amp;$A34&amp;"'!$A$12:$Z$12"),0),0)),"ER"))</f>
        <v>?</v>
      </c>
      <c r="P34" s="78" t="str">
        <f aca="true">IF($H34=0,"NA",IF($A34=INDIRECT("'"&amp;$A34&amp;"'!$B$1"),IF(VLOOKUP(P$1,INDIRECT("'"&amp;$A34&amp;"'!$A$12:$Z$41"),MATCH("Points (Auto-generate)",INDIRECT("'"&amp;$A34&amp;"'!$A$12:$Z$12"),0),0)="","?",VLOOKUP(P$1,INDIRECT("'"&amp;$A34&amp;"'!$A$12:$Z$41"),MATCH("Points (Auto-generate)",INDIRECT("'"&amp;$A34&amp;"'!$A$12:$Z$12"),0),0)),"ER"))</f>
        <v>?</v>
      </c>
      <c r="Q34" s="78" t="str">
        <f aca="true">IF($H34=0,"NA",IF($A34=INDIRECT("'"&amp;$A34&amp;"'!$B$1"),IF(VLOOKUP(Q$1,INDIRECT("'"&amp;$A34&amp;"'!$A$12:$Z$41"),MATCH("Points (Auto-generate)",INDIRECT("'"&amp;$A34&amp;"'!$A$12:$Z$12"),0),0)="","?",VLOOKUP(Q$1,INDIRECT("'"&amp;$A34&amp;"'!$A$12:$Z$41"),MATCH("Points (Auto-generate)",INDIRECT("'"&amp;$A34&amp;"'!$A$12:$Z$12"),0),0)),"ER"))</f>
        <v>?</v>
      </c>
      <c r="R34" s="78" t="str">
        <f aca="true">IF($H34=0,"NA",IF($A34=INDIRECT("'"&amp;$A34&amp;"'!$B$1"),IF(VLOOKUP(R$1,INDIRECT("'"&amp;$A34&amp;"'!$A$12:$Z$41"),MATCH("Points (Auto-generate)",INDIRECT("'"&amp;$A34&amp;"'!$A$12:$Z$12"),0),0)="","?",VLOOKUP(R$1,INDIRECT("'"&amp;$A34&amp;"'!$A$12:$Z$41"),MATCH("Points (Auto-generate)",INDIRECT("'"&amp;$A34&amp;"'!$A$12:$Z$12"),0),0)),"ER"))</f>
        <v>?</v>
      </c>
      <c r="S34" s="78" t="str">
        <f aca="true">IF($H34=0,"NA",IF($A34=INDIRECT("'"&amp;$A34&amp;"'!$B$1"),IF(VLOOKUP(S$1,INDIRECT("'"&amp;$A34&amp;"'!$A$12:$Z$41"),MATCH("Points (Auto-generate)",INDIRECT("'"&amp;$A34&amp;"'!$A$12:$Z$12"),0),0)="","?",VLOOKUP(S$1,INDIRECT("'"&amp;$A34&amp;"'!$A$12:$Z$41"),MATCH("Points (Auto-generate)",INDIRECT("'"&amp;$A34&amp;"'!$A$12:$Z$12"),0),0)),"ER"))</f>
        <v>?</v>
      </c>
      <c r="T34" s="78" t="str">
        <f aca="true">IF($H34=0,"NA",IF($A34=INDIRECT("'"&amp;$A34&amp;"'!$B$1"),IF(VLOOKUP(T$1,INDIRECT("'"&amp;$A34&amp;"'!$A$12:$Z$41"),MATCH("Points (Auto-generate)",INDIRECT("'"&amp;$A34&amp;"'!$A$12:$Z$12"),0),0)="","?",VLOOKUP(T$1,INDIRECT("'"&amp;$A34&amp;"'!$A$12:$Z$41"),MATCH("Points (Auto-generate)",INDIRECT("'"&amp;$A34&amp;"'!$A$12:$Z$12"),0),0)),"ER"))</f>
        <v>?</v>
      </c>
      <c r="U34" s="78" t="str">
        <f aca="true">IF($H34=0,"NA",IF($A34=INDIRECT("'"&amp;$A34&amp;"'!$B$1"),IF(VLOOKUP(U$1,INDIRECT("'"&amp;$A34&amp;"'!$A$12:$Z$41"),MATCH("Points (Auto-generate)",INDIRECT("'"&amp;$A34&amp;"'!$A$12:$Z$12"),0),0)="","?",VLOOKUP(U$1,INDIRECT("'"&amp;$A34&amp;"'!$A$12:$Z$41"),MATCH("Points (Auto-generate)",INDIRECT("'"&amp;$A34&amp;"'!$A$12:$Z$12"),0),0)),"ER"))</f>
        <v>?</v>
      </c>
      <c r="V34" s="78" t="str">
        <f aca="true">IF($H34=0,"NA",IF($A34=INDIRECT("'"&amp;$A34&amp;"'!$B$1"),IF(VLOOKUP(V$1,INDIRECT("'"&amp;$A34&amp;"'!$A$12:$Z$41"),MATCH("Points (Auto-generate)",INDIRECT("'"&amp;$A34&amp;"'!$A$12:$Z$12"),0),0)="","?",VLOOKUP(V$1,INDIRECT("'"&amp;$A34&amp;"'!$A$12:$Z$41"),MATCH("Points (Auto-generate)",INDIRECT("'"&amp;$A34&amp;"'!$A$12:$Z$12"),0),0)),"ER"))</f>
        <v>?</v>
      </c>
      <c r="W34" s="78" t="str">
        <f aca="true">IF($H34=0,"NA",IF($A34=INDIRECT("'"&amp;$A34&amp;"'!$B$1"),IF(VLOOKUP(W$1,INDIRECT("'"&amp;$A34&amp;"'!$A$12:$Z$41"),MATCH("Points (Auto-generate)",INDIRECT("'"&amp;$A34&amp;"'!$A$12:$Z$12"),0),0)="","?",VLOOKUP(W$1,INDIRECT("'"&amp;$A34&amp;"'!$A$12:$Z$41"),MATCH("Points (Auto-generate)",INDIRECT("'"&amp;$A34&amp;"'!$A$12:$Z$12"),0),0)),"ER"))</f>
        <v>?</v>
      </c>
      <c r="X34" s="78" t="str">
        <f aca="true">IF($H34=0,"NA",IF($A34=INDIRECT("'"&amp;$A34&amp;"'!$B$1"),IF(VLOOKUP(X$1,INDIRECT("'"&amp;$A34&amp;"'!$A$12:$Z$41"),MATCH("Points (Auto-generate)",INDIRECT("'"&amp;$A34&amp;"'!$A$12:$Z$12"),0),0)="","?",VLOOKUP(X$1,INDIRECT("'"&amp;$A34&amp;"'!$A$12:$Z$41"),MATCH("Points (Auto-generate)",INDIRECT("'"&amp;$A34&amp;"'!$A$12:$Z$12"),0),0)),"ER"))</f>
        <v>?</v>
      </c>
      <c r="Y34" s="78" t="str">
        <f aca="true">IF($H34=0,"NA",IF($A34=INDIRECT("'"&amp;$A34&amp;"'!$B$1"),IF(VLOOKUP(Y$1,INDIRECT("'"&amp;$A34&amp;"'!$A$12:$Z$41"),MATCH("Points (Auto-generate)",INDIRECT("'"&amp;$A34&amp;"'!$A$12:$Z$12"),0),0)="","?",VLOOKUP(Y$1,INDIRECT("'"&amp;$A34&amp;"'!$A$12:$Z$41"),MATCH("Points (Auto-generate)",INDIRECT("'"&amp;$A34&amp;"'!$A$12:$Z$12"),0),0)),"ER"))</f>
        <v>?</v>
      </c>
      <c r="Z34" s="78" t="str">
        <f aca="true">IF($H34=0,"NA",IF($A34=INDIRECT("'"&amp;$A34&amp;"'!$B$1"),IF(VLOOKUP(Z$1,INDIRECT("'"&amp;$A34&amp;"'!$A$12:$Z$41"),MATCH("Points (Auto-generate)",INDIRECT("'"&amp;$A34&amp;"'!$A$12:$Z$12"),0),0)="","?",VLOOKUP(Z$1,INDIRECT("'"&amp;$A34&amp;"'!$A$12:$Z$41"),MATCH("Points (Auto-generate)",INDIRECT("'"&amp;$A34&amp;"'!$A$12:$Z$12"),0),0)),"ER"))</f>
        <v>?</v>
      </c>
      <c r="AA34" s="78" t="str">
        <f aca="true">IF($H34=0,"NA",IF($A34=INDIRECT("'"&amp;$A34&amp;"'!$B$1"),IF(VLOOKUP(AA$1,INDIRECT("'"&amp;$A34&amp;"'!$A$12:$Z$41"),MATCH("Points (Auto-generate)",INDIRECT("'"&amp;$A34&amp;"'!$A$12:$Z$12"),0),0)="","?",VLOOKUP(AA$1,INDIRECT("'"&amp;$A34&amp;"'!$A$12:$Z$41"),MATCH("Points (Auto-generate)",INDIRECT("'"&amp;$A34&amp;"'!$A$12:$Z$12"),0),0)),"ER"))</f>
        <v>?</v>
      </c>
      <c r="AB34" s="78" t="str">
        <f aca="true">IF($H34=0,"NA",IF($A34=INDIRECT("'"&amp;$A34&amp;"'!$B$1"),IF(VLOOKUP(AB$1,INDIRECT("'"&amp;$A34&amp;"'!$A$12:$Z$41"),MATCH("Points (Auto-generate)",INDIRECT("'"&amp;$A34&amp;"'!$A$12:$Z$12"),0),0)="","?",VLOOKUP(AB$1,INDIRECT("'"&amp;$A34&amp;"'!$A$12:$Z$41"),MATCH("Points (Auto-generate)",INDIRECT("'"&amp;$A34&amp;"'!$A$12:$Z$12"),0),0)),"ER"))</f>
        <v>?</v>
      </c>
      <c r="AC34" s="78" t="str">
        <f aca="true">IF($H34=0,"NA",IF($A34=INDIRECT("'"&amp;$A34&amp;"'!$B$1"),IF(VLOOKUP(AC$1,INDIRECT("'"&amp;$A34&amp;"'!$A$12:$Z$41"),MATCH("Points (Auto-generate)",INDIRECT("'"&amp;$A34&amp;"'!$A$12:$Z$12"),0),0)="","?",VLOOKUP(AC$1,INDIRECT("'"&amp;$A34&amp;"'!$A$12:$Z$41"),MATCH("Points (Auto-generate)",INDIRECT("'"&amp;$A34&amp;"'!$A$12:$Z$12"),0),0)),"ER"))</f>
        <v>?</v>
      </c>
      <c r="AD34" s="78" t="str">
        <f aca="true">IF($H34=0,"NA",IF($A34=INDIRECT("'"&amp;$A34&amp;"'!$B$1"),IF(VLOOKUP(AD$1,INDIRECT("'"&amp;$A34&amp;"'!$A$12:$Z$41"),MATCH("Points (Auto-generate)",INDIRECT("'"&amp;$A34&amp;"'!$A$12:$Z$12"),0),0)="","?",VLOOKUP(AD$1,INDIRECT("'"&amp;$A34&amp;"'!$A$12:$Z$41"),MATCH("Points (Auto-generate)",INDIRECT("'"&amp;$A34&amp;"'!$A$12:$Z$12"),0),0)),"ER"))</f>
        <v>?</v>
      </c>
      <c r="AE34" s="78" t="str">
        <f aca="true">IF($H34=0,"NA",IF($A34=INDIRECT("'"&amp;$A34&amp;"'!$B$1"),IF(VLOOKUP(AE$1,INDIRECT("'"&amp;$A34&amp;"'!$A$12:$Z$41"),MATCH("Points (Auto-generate)",INDIRECT("'"&amp;$A34&amp;"'!$A$12:$Z$12"),0),0)="","?",VLOOKUP(AE$1,INDIRECT("'"&amp;$A34&amp;"'!$A$12:$Z$41"),MATCH("Points (Auto-generate)",INDIRECT("'"&amp;$A34&amp;"'!$A$12:$Z$12"),0),0)),"ER"))</f>
        <v>?</v>
      </c>
      <c r="AF34" s="78" t="str">
        <f aca="true">IF($H34=0,"NA",IF($A34=INDIRECT("'"&amp;$A34&amp;"'!$B$1"),IF(VLOOKUP(AF$1,INDIRECT("'"&amp;$A34&amp;"'!$A$12:$Z$41"),MATCH("Points (Auto-generate)",INDIRECT("'"&amp;$A34&amp;"'!$A$12:$Z$12"),0),0)="","?",VLOOKUP(AF$1,INDIRECT("'"&amp;$A34&amp;"'!$A$12:$Z$41"),MATCH("Points (Auto-generate)",INDIRECT("'"&amp;$A34&amp;"'!$A$12:$Z$12"),0),0)),"ER"))</f>
        <v>?</v>
      </c>
      <c r="AG34" s="78" t="str">
        <f aca="true">IF($H34=0,"NA",IF($A34=INDIRECT("'"&amp;$A34&amp;"'!$B$1"),IF(VLOOKUP(AG$1,INDIRECT("'"&amp;$A34&amp;"'!$A$12:$Z$41"),MATCH("Points (Auto-generate)",INDIRECT("'"&amp;$A34&amp;"'!$A$12:$Z$12"),0),0)="","?",VLOOKUP(AG$1,INDIRECT("'"&amp;$A34&amp;"'!$A$12:$Z$41"),MATCH("Points (Auto-generate)",INDIRECT("'"&amp;$A34&amp;"'!$A$12:$Z$12"),0),0)),"ER"))</f>
        <v>?</v>
      </c>
      <c r="AH34" s="78" t="str">
        <f aca="true">IF($H34=0,"NA",IF($A34=INDIRECT("'"&amp;$A34&amp;"'!$B$1"),IF(VLOOKUP(AH$1,INDIRECT("'"&amp;$A34&amp;"'!$A$12:$Z$41"),MATCH("Points (Auto-generate)",INDIRECT("'"&amp;$A34&amp;"'!$A$12:$Z$12"),0),0)="","?",VLOOKUP(AH$1,INDIRECT("'"&amp;$A34&amp;"'!$A$12:$Z$41"),MATCH("Points (Auto-generate)",INDIRECT("'"&amp;$A34&amp;"'!$A$12:$Z$12"),0),0)),"ER"))</f>
        <v>?</v>
      </c>
      <c r="AI34" s="78" t="str">
        <f aca="true">IF($H34=0,"NA",IF($A34=INDIRECT("'"&amp;$A34&amp;"'!$B$1"),IF(VLOOKUP(AI$1,INDIRECT("'"&amp;$A34&amp;"'!$A$12:$Z$41"),MATCH("Points (Auto-generate)",INDIRECT("'"&amp;$A34&amp;"'!$A$12:$Z$12"),0),0)="","?",VLOOKUP(AI$1,INDIRECT("'"&amp;$A34&amp;"'!$A$12:$Z$41"),MATCH("Points (Auto-generate)",INDIRECT("'"&amp;$A34&amp;"'!$A$12:$Z$12"),0),0)),"ER"))</f>
        <v>?</v>
      </c>
      <c r="AJ34" s="78" t="str">
        <f aca="true">IF($H34=0,"NA",IF($A34=INDIRECT("'"&amp;$A34&amp;"'!$B$1"),IF(VLOOKUP(AJ$1,INDIRECT("'"&amp;$A34&amp;"'!$A$12:$Z$41"),MATCH("Points (Auto-generate)",INDIRECT("'"&amp;$A34&amp;"'!$A$12:$Z$12"),0),0)="","?",VLOOKUP(AJ$1,INDIRECT("'"&amp;$A34&amp;"'!$A$12:$Z$41"),MATCH("Points (Auto-generate)",INDIRECT("'"&amp;$A34&amp;"'!$A$12:$Z$12"),0),0)),"ER"))</f>
        <v>?</v>
      </c>
      <c r="AK34" s="78" t="str">
        <f aca="true">IF($H34=0,"NA",IF($A34=INDIRECT("'"&amp;$A34&amp;"'!$B$1"),IF(VLOOKUP(AK$1,INDIRECT("'"&amp;$A34&amp;"'!$A$12:$Z$41"),MATCH("Points (Auto-generate)",INDIRECT("'"&amp;$A34&amp;"'!$A$12:$Z$12"),0),0)="","?",VLOOKUP(AK$1,INDIRECT("'"&amp;$A34&amp;"'!$A$12:$Z$41"),MATCH("Points (Auto-generate)",INDIRECT("'"&amp;$A34&amp;"'!$A$12:$Z$12"),0),0)),"ER"))</f>
        <v>?</v>
      </c>
    </row>
    <row r="35" customFormat="false" ht="14.25" hidden="false" customHeight="true" outlineLevel="0" collapsed="false">
      <c r="A35" s="74" t="s">
        <v>183</v>
      </c>
      <c r="B35" s="75" t="str">
        <f aca="false">IF(ISBLANK($A35),"NO_CODE",VLOOKUP($A35,'UPD Questions_290926 '!$E$1:$N$300,MATCH(B$1,'UPD Questions_290926 '!$E$1:$N$1,0),0)&amp;"")</f>
        <v>Implementation</v>
      </c>
      <c r="C35" s="75" t="str">
        <f aca="false">IF(ISBLANK($A35),"NO_CODE",VLOOKUP($A35,'UPD Questions_290926 '!$E$1:$N$300,MATCH(C$1,'UPD Questions_290926 '!$E$1:$N$1,0),0)&amp;"")</f>
        <v>Municipal/City Plan status, hierarchy and coordination</v>
      </c>
      <c r="D35" s="75" t="str">
        <f aca="false">IF(ISBLANK($A35),"NO_CODE",VLOOKUP($A35,'UPD Questions_290926 '!$E$1:$N$300,MATCH(D$1,'UPD Questions_290926 '!$E$1:$N$1,0),0)&amp;"")</f>
        <v>Existence of Municipal/City Plans at each level</v>
      </c>
      <c r="E35" s="75" t="str">
        <f aca="false">IF(ISBLANK($A35),"NO_CODE",VLOOKUP($A35,'UPD Questions_290926 '!$E$1:$N$300,MATCH(E$1,'UPD Questions_290926 '!$E$1:$N$1,0),0)&amp;"")</f>
        <v>SQ</v>
      </c>
      <c r="F35" s="75" t="str">
        <f aca="false">IF(ISBLANK($A35),"NO_CODE",VLOOKUP($A35,'UPD Questions_290926 '!$E$1:$N$300,MATCH(F$1,'UPD Questions_290926 '!$E$1:$N$1,0),0)&amp;"")</f>
        <v>Is there a Ward(s) /Local area/ neighbourhood Plan?</v>
      </c>
      <c r="G35" s="75" t="str">
        <f aca="false">IF(ISBLANK($A35),"NO_CODE",VLOOKUP($A35,'UPD Questions_290926 '!$E$1:$N$300,MATCH(G$1,'UPD Questions_290926 '!$E$1:$N$1,0),0)&amp;"")</f>
        <v>Implementation</v>
      </c>
      <c r="H35" s="77" t="n">
        <f aca="false">IF(ISBLANK($A35),"NO_CODE",VLOOKUP($A35,'UPD Questions_290926 '!$E$1:$N$300,MATCH(H$1,'UPD Questions_290926 '!$E$1:$N$1,0),0))</f>
        <v>3.33</v>
      </c>
      <c r="I35" s="78" t="str">
        <f aca="true">IF($H35=0,"NA",IF($A35=INDIRECT("'"&amp;$A35&amp;"'!$B$1"),IF(VLOOKUP(I$1,INDIRECT("'"&amp;$A35&amp;"'!$A$12:$Z$41"),MATCH("Points (Auto-generate)",INDIRECT("'"&amp;$A35&amp;"'!$A$12:$Z$12"),0),0)="","?",VLOOKUP(I$1,INDIRECT("'"&amp;$A35&amp;"'!$A$12:$Z$41"),MATCH("Points (Auto-generate)",INDIRECT("'"&amp;$A35&amp;"'!$A$12:$Z$12"),0),0)),"ER"))</f>
        <v>?</v>
      </c>
      <c r="J35" s="78" t="str">
        <f aca="true">IF($H35=0,"NA",IF($A35=INDIRECT("'"&amp;$A35&amp;"'!$B$1"),IF(VLOOKUP(J$1,INDIRECT("'"&amp;$A35&amp;"'!$A$12:$Z$41"),MATCH("Points (Auto-generate)",INDIRECT("'"&amp;$A35&amp;"'!$A$12:$Z$12"),0),0)="","?",VLOOKUP(J$1,INDIRECT("'"&amp;$A35&amp;"'!$A$12:$Z$41"),MATCH("Points (Auto-generate)",INDIRECT("'"&amp;$A35&amp;"'!$A$12:$Z$12"),0),0)),"ER"))</f>
        <v>?</v>
      </c>
      <c r="K35" s="78" t="str">
        <f aca="true">IF($H35=0,"NA",IF($A35=INDIRECT("'"&amp;$A35&amp;"'!$B$1"),IF(VLOOKUP(K$1,INDIRECT("'"&amp;$A35&amp;"'!$A$12:$Z$41"),MATCH("Points (Auto-generate)",INDIRECT("'"&amp;$A35&amp;"'!$A$12:$Z$12"),0),0)="","?",VLOOKUP(K$1,INDIRECT("'"&amp;$A35&amp;"'!$A$12:$Z$41"),MATCH("Points (Auto-generate)",INDIRECT("'"&amp;$A35&amp;"'!$A$12:$Z$12"),0),0)),"ER"))</f>
        <v>?</v>
      </c>
      <c r="L35" s="78" t="str">
        <f aca="true">IF($H35=0,"NA",IF($A35=INDIRECT("'"&amp;$A35&amp;"'!$B$1"),IF(VLOOKUP(L$1,INDIRECT("'"&amp;$A35&amp;"'!$A$12:$Z$41"),MATCH("Points (Auto-generate)",INDIRECT("'"&amp;$A35&amp;"'!$A$12:$Z$12"),0),0)="","?",VLOOKUP(L$1,INDIRECT("'"&amp;$A35&amp;"'!$A$12:$Z$41"),MATCH("Points (Auto-generate)",INDIRECT("'"&amp;$A35&amp;"'!$A$12:$Z$12"),0),0)),"ER"))</f>
        <v>?</v>
      </c>
      <c r="M35" s="78" t="str">
        <f aca="true">IF($H35=0,"NA",IF($A35=INDIRECT("'"&amp;$A35&amp;"'!$B$1"),IF(VLOOKUP(M$1,INDIRECT("'"&amp;$A35&amp;"'!$A$12:$Z$41"),MATCH("Points (Auto-generate)",INDIRECT("'"&amp;$A35&amp;"'!$A$12:$Z$12"),0),0)="","?",VLOOKUP(M$1,INDIRECT("'"&amp;$A35&amp;"'!$A$12:$Z$41"),MATCH("Points (Auto-generate)",INDIRECT("'"&amp;$A35&amp;"'!$A$12:$Z$12"),0),0)),"ER"))</f>
        <v>?</v>
      </c>
      <c r="N35" s="78" t="str">
        <f aca="true">IF($H35=0,"NA",IF($A35=INDIRECT("'"&amp;$A35&amp;"'!$B$1"),IF(VLOOKUP(N$1,INDIRECT("'"&amp;$A35&amp;"'!$A$12:$Z$41"),MATCH("Points (Auto-generate)",INDIRECT("'"&amp;$A35&amp;"'!$A$12:$Z$12"),0),0)="","?",VLOOKUP(N$1,INDIRECT("'"&amp;$A35&amp;"'!$A$12:$Z$41"),MATCH("Points (Auto-generate)",INDIRECT("'"&amp;$A35&amp;"'!$A$12:$Z$12"),0),0)),"ER"))</f>
        <v>?</v>
      </c>
      <c r="O35" s="78" t="str">
        <f aca="true">IF($H35=0,"NA",IF($A35=INDIRECT("'"&amp;$A35&amp;"'!$B$1"),IF(VLOOKUP(O$1,INDIRECT("'"&amp;$A35&amp;"'!$A$12:$Z$41"),MATCH("Points (Auto-generate)",INDIRECT("'"&amp;$A35&amp;"'!$A$12:$Z$12"),0),0)="","?",VLOOKUP(O$1,INDIRECT("'"&amp;$A35&amp;"'!$A$12:$Z$41"),MATCH("Points (Auto-generate)",INDIRECT("'"&amp;$A35&amp;"'!$A$12:$Z$12"),0),0)),"ER"))</f>
        <v>?</v>
      </c>
      <c r="P35" s="78" t="str">
        <f aca="true">IF($H35=0,"NA",IF($A35=INDIRECT("'"&amp;$A35&amp;"'!$B$1"),IF(VLOOKUP(P$1,INDIRECT("'"&amp;$A35&amp;"'!$A$12:$Z$41"),MATCH("Points (Auto-generate)",INDIRECT("'"&amp;$A35&amp;"'!$A$12:$Z$12"),0),0)="","?",VLOOKUP(P$1,INDIRECT("'"&amp;$A35&amp;"'!$A$12:$Z$41"),MATCH("Points (Auto-generate)",INDIRECT("'"&amp;$A35&amp;"'!$A$12:$Z$12"),0),0)),"ER"))</f>
        <v>?</v>
      </c>
      <c r="Q35" s="78" t="str">
        <f aca="true">IF($H35=0,"NA",IF($A35=INDIRECT("'"&amp;$A35&amp;"'!$B$1"),IF(VLOOKUP(Q$1,INDIRECT("'"&amp;$A35&amp;"'!$A$12:$Z$41"),MATCH("Points (Auto-generate)",INDIRECT("'"&amp;$A35&amp;"'!$A$12:$Z$12"),0),0)="","?",VLOOKUP(Q$1,INDIRECT("'"&amp;$A35&amp;"'!$A$12:$Z$41"),MATCH("Points (Auto-generate)",INDIRECT("'"&amp;$A35&amp;"'!$A$12:$Z$12"),0),0)),"ER"))</f>
        <v>?</v>
      </c>
      <c r="R35" s="78" t="str">
        <f aca="true">IF($H35=0,"NA",IF($A35=INDIRECT("'"&amp;$A35&amp;"'!$B$1"),IF(VLOOKUP(R$1,INDIRECT("'"&amp;$A35&amp;"'!$A$12:$Z$41"),MATCH("Points (Auto-generate)",INDIRECT("'"&amp;$A35&amp;"'!$A$12:$Z$12"),0),0)="","?",VLOOKUP(R$1,INDIRECT("'"&amp;$A35&amp;"'!$A$12:$Z$41"),MATCH("Points (Auto-generate)",INDIRECT("'"&amp;$A35&amp;"'!$A$12:$Z$12"),0),0)),"ER"))</f>
        <v>?</v>
      </c>
      <c r="S35" s="78" t="str">
        <f aca="true">IF($H35=0,"NA",IF($A35=INDIRECT("'"&amp;$A35&amp;"'!$B$1"),IF(VLOOKUP(S$1,INDIRECT("'"&amp;$A35&amp;"'!$A$12:$Z$41"),MATCH("Points (Auto-generate)",INDIRECT("'"&amp;$A35&amp;"'!$A$12:$Z$12"),0),0)="","?",VLOOKUP(S$1,INDIRECT("'"&amp;$A35&amp;"'!$A$12:$Z$41"),MATCH("Points (Auto-generate)",INDIRECT("'"&amp;$A35&amp;"'!$A$12:$Z$12"),0),0)),"ER"))</f>
        <v>?</v>
      </c>
      <c r="T35" s="78" t="str">
        <f aca="true">IF($H35=0,"NA",IF($A35=INDIRECT("'"&amp;$A35&amp;"'!$B$1"),IF(VLOOKUP(T$1,INDIRECT("'"&amp;$A35&amp;"'!$A$12:$Z$41"),MATCH("Points (Auto-generate)",INDIRECT("'"&amp;$A35&amp;"'!$A$12:$Z$12"),0),0)="","?",VLOOKUP(T$1,INDIRECT("'"&amp;$A35&amp;"'!$A$12:$Z$41"),MATCH("Points (Auto-generate)",INDIRECT("'"&amp;$A35&amp;"'!$A$12:$Z$12"),0),0)),"ER"))</f>
        <v>?</v>
      </c>
      <c r="U35" s="78" t="str">
        <f aca="true">IF($H35=0,"NA",IF($A35=INDIRECT("'"&amp;$A35&amp;"'!$B$1"),IF(VLOOKUP(U$1,INDIRECT("'"&amp;$A35&amp;"'!$A$12:$Z$41"),MATCH("Points (Auto-generate)",INDIRECT("'"&amp;$A35&amp;"'!$A$12:$Z$12"),0),0)="","?",VLOOKUP(U$1,INDIRECT("'"&amp;$A35&amp;"'!$A$12:$Z$41"),MATCH("Points (Auto-generate)",INDIRECT("'"&amp;$A35&amp;"'!$A$12:$Z$12"),0),0)),"ER"))</f>
        <v>?</v>
      </c>
      <c r="V35" s="78" t="str">
        <f aca="true">IF($H35=0,"NA",IF($A35=INDIRECT("'"&amp;$A35&amp;"'!$B$1"),IF(VLOOKUP(V$1,INDIRECT("'"&amp;$A35&amp;"'!$A$12:$Z$41"),MATCH("Points (Auto-generate)",INDIRECT("'"&amp;$A35&amp;"'!$A$12:$Z$12"),0),0)="","?",VLOOKUP(V$1,INDIRECT("'"&amp;$A35&amp;"'!$A$12:$Z$41"),MATCH("Points (Auto-generate)",INDIRECT("'"&amp;$A35&amp;"'!$A$12:$Z$12"),0),0)),"ER"))</f>
        <v>?</v>
      </c>
      <c r="W35" s="78" t="str">
        <f aca="true">IF($H35=0,"NA",IF($A35=INDIRECT("'"&amp;$A35&amp;"'!$B$1"),IF(VLOOKUP(W$1,INDIRECT("'"&amp;$A35&amp;"'!$A$12:$Z$41"),MATCH("Points (Auto-generate)",INDIRECT("'"&amp;$A35&amp;"'!$A$12:$Z$12"),0),0)="","?",VLOOKUP(W$1,INDIRECT("'"&amp;$A35&amp;"'!$A$12:$Z$41"),MATCH("Points (Auto-generate)",INDIRECT("'"&amp;$A35&amp;"'!$A$12:$Z$12"),0),0)),"ER"))</f>
        <v>?</v>
      </c>
      <c r="X35" s="78" t="str">
        <f aca="true">IF($H35=0,"NA",IF($A35=INDIRECT("'"&amp;$A35&amp;"'!$B$1"),IF(VLOOKUP(X$1,INDIRECT("'"&amp;$A35&amp;"'!$A$12:$Z$41"),MATCH("Points (Auto-generate)",INDIRECT("'"&amp;$A35&amp;"'!$A$12:$Z$12"),0),0)="","?",VLOOKUP(X$1,INDIRECT("'"&amp;$A35&amp;"'!$A$12:$Z$41"),MATCH("Points (Auto-generate)",INDIRECT("'"&amp;$A35&amp;"'!$A$12:$Z$12"),0),0)),"ER"))</f>
        <v>?</v>
      </c>
      <c r="Y35" s="78" t="str">
        <f aca="true">IF($H35=0,"NA",IF($A35=INDIRECT("'"&amp;$A35&amp;"'!$B$1"),IF(VLOOKUP(Y$1,INDIRECT("'"&amp;$A35&amp;"'!$A$12:$Z$41"),MATCH("Points (Auto-generate)",INDIRECT("'"&amp;$A35&amp;"'!$A$12:$Z$12"),0),0)="","?",VLOOKUP(Y$1,INDIRECT("'"&amp;$A35&amp;"'!$A$12:$Z$41"),MATCH("Points (Auto-generate)",INDIRECT("'"&amp;$A35&amp;"'!$A$12:$Z$12"),0),0)),"ER"))</f>
        <v>?</v>
      </c>
      <c r="Z35" s="78" t="str">
        <f aca="true">IF($H35=0,"NA",IF($A35=INDIRECT("'"&amp;$A35&amp;"'!$B$1"),IF(VLOOKUP(Z$1,INDIRECT("'"&amp;$A35&amp;"'!$A$12:$Z$41"),MATCH("Points (Auto-generate)",INDIRECT("'"&amp;$A35&amp;"'!$A$12:$Z$12"),0),0)="","?",VLOOKUP(Z$1,INDIRECT("'"&amp;$A35&amp;"'!$A$12:$Z$41"),MATCH("Points (Auto-generate)",INDIRECT("'"&amp;$A35&amp;"'!$A$12:$Z$12"),0),0)),"ER"))</f>
        <v>?</v>
      </c>
      <c r="AA35" s="78" t="str">
        <f aca="true">IF($H35=0,"NA",IF($A35=INDIRECT("'"&amp;$A35&amp;"'!$B$1"),IF(VLOOKUP(AA$1,INDIRECT("'"&amp;$A35&amp;"'!$A$12:$Z$41"),MATCH("Points (Auto-generate)",INDIRECT("'"&amp;$A35&amp;"'!$A$12:$Z$12"),0),0)="","?",VLOOKUP(AA$1,INDIRECT("'"&amp;$A35&amp;"'!$A$12:$Z$41"),MATCH("Points (Auto-generate)",INDIRECT("'"&amp;$A35&amp;"'!$A$12:$Z$12"),0),0)),"ER"))</f>
        <v>?</v>
      </c>
      <c r="AB35" s="78" t="str">
        <f aca="true">IF($H35=0,"NA",IF($A35=INDIRECT("'"&amp;$A35&amp;"'!$B$1"),IF(VLOOKUP(AB$1,INDIRECT("'"&amp;$A35&amp;"'!$A$12:$Z$41"),MATCH("Points (Auto-generate)",INDIRECT("'"&amp;$A35&amp;"'!$A$12:$Z$12"),0),0)="","?",VLOOKUP(AB$1,INDIRECT("'"&amp;$A35&amp;"'!$A$12:$Z$41"),MATCH("Points (Auto-generate)",INDIRECT("'"&amp;$A35&amp;"'!$A$12:$Z$12"),0),0)),"ER"))</f>
        <v>?</v>
      </c>
      <c r="AC35" s="78" t="str">
        <f aca="true">IF($H35=0,"NA",IF($A35=INDIRECT("'"&amp;$A35&amp;"'!$B$1"),IF(VLOOKUP(AC$1,INDIRECT("'"&amp;$A35&amp;"'!$A$12:$Z$41"),MATCH("Points (Auto-generate)",INDIRECT("'"&amp;$A35&amp;"'!$A$12:$Z$12"),0),0)="","?",VLOOKUP(AC$1,INDIRECT("'"&amp;$A35&amp;"'!$A$12:$Z$41"),MATCH("Points (Auto-generate)",INDIRECT("'"&amp;$A35&amp;"'!$A$12:$Z$12"),0),0)),"ER"))</f>
        <v>?</v>
      </c>
      <c r="AD35" s="78" t="str">
        <f aca="true">IF($H35=0,"NA",IF($A35=INDIRECT("'"&amp;$A35&amp;"'!$B$1"),IF(VLOOKUP(AD$1,INDIRECT("'"&amp;$A35&amp;"'!$A$12:$Z$41"),MATCH("Points (Auto-generate)",INDIRECT("'"&amp;$A35&amp;"'!$A$12:$Z$12"),0),0)="","?",VLOOKUP(AD$1,INDIRECT("'"&amp;$A35&amp;"'!$A$12:$Z$41"),MATCH("Points (Auto-generate)",INDIRECT("'"&amp;$A35&amp;"'!$A$12:$Z$12"),0),0)),"ER"))</f>
        <v>?</v>
      </c>
      <c r="AE35" s="78" t="str">
        <f aca="true">IF($H35=0,"NA",IF($A35=INDIRECT("'"&amp;$A35&amp;"'!$B$1"),IF(VLOOKUP(AE$1,INDIRECT("'"&amp;$A35&amp;"'!$A$12:$Z$41"),MATCH("Points (Auto-generate)",INDIRECT("'"&amp;$A35&amp;"'!$A$12:$Z$12"),0),0)="","?",VLOOKUP(AE$1,INDIRECT("'"&amp;$A35&amp;"'!$A$12:$Z$41"),MATCH("Points (Auto-generate)",INDIRECT("'"&amp;$A35&amp;"'!$A$12:$Z$12"),0),0)),"ER"))</f>
        <v>?</v>
      </c>
      <c r="AF35" s="78" t="str">
        <f aca="true">IF($H35=0,"NA",IF($A35=INDIRECT("'"&amp;$A35&amp;"'!$B$1"),IF(VLOOKUP(AF$1,INDIRECT("'"&amp;$A35&amp;"'!$A$12:$Z$41"),MATCH("Points (Auto-generate)",INDIRECT("'"&amp;$A35&amp;"'!$A$12:$Z$12"),0),0)="","?",VLOOKUP(AF$1,INDIRECT("'"&amp;$A35&amp;"'!$A$12:$Z$41"),MATCH("Points (Auto-generate)",INDIRECT("'"&amp;$A35&amp;"'!$A$12:$Z$12"),0),0)),"ER"))</f>
        <v>?</v>
      </c>
      <c r="AG35" s="78" t="str">
        <f aca="true">IF($H35=0,"NA",IF($A35=INDIRECT("'"&amp;$A35&amp;"'!$B$1"),IF(VLOOKUP(AG$1,INDIRECT("'"&amp;$A35&amp;"'!$A$12:$Z$41"),MATCH("Points (Auto-generate)",INDIRECT("'"&amp;$A35&amp;"'!$A$12:$Z$12"),0),0)="","?",VLOOKUP(AG$1,INDIRECT("'"&amp;$A35&amp;"'!$A$12:$Z$41"),MATCH("Points (Auto-generate)",INDIRECT("'"&amp;$A35&amp;"'!$A$12:$Z$12"),0),0)),"ER"))</f>
        <v>?</v>
      </c>
      <c r="AH35" s="78" t="str">
        <f aca="true">IF($H35=0,"NA",IF($A35=INDIRECT("'"&amp;$A35&amp;"'!$B$1"),IF(VLOOKUP(AH$1,INDIRECT("'"&amp;$A35&amp;"'!$A$12:$Z$41"),MATCH("Points (Auto-generate)",INDIRECT("'"&amp;$A35&amp;"'!$A$12:$Z$12"),0),0)="","?",VLOOKUP(AH$1,INDIRECT("'"&amp;$A35&amp;"'!$A$12:$Z$41"),MATCH("Points (Auto-generate)",INDIRECT("'"&amp;$A35&amp;"'!$A$12:$Z$12"),0),0)),"ER"))</f>
        <v>?</v>
      </c>
      <c r="AI35" s="78" t="str">
        <f aca="true">IF($H35=0,"NA",IF($A35=INDIRECT("'"&amp;$A35&amp;"'!$B$1"),IF(VLOOKUP(AI$1,INDIRECT("'"&amp;$A35&amp;"'!$A$12:$Z$41"),MATCH("Points (Auto-generate)",INDIRECT("'"&amp;$A35&amp;"'!$A$12:$Z$12"),0),0)="","?",VLOOKUP(AI$1,INDIRECT("'"&amp;$A35&amp;"'!$A$12:$Z$41"),MATCH("Points (Auto-generate)",INDIRECT("'"&amp;$A35&amp;"'!$A$12:$Z$12"),0),0)),"ER"))</f>
        <v>?</v>
      </c>
      <c r="AJ35" s="78" t="str">
        <f aca="true">IF($H35=0,"NA",IF($A35=INDIRECT("'"&amp;$A35&amp;"'!$B$1"),IF(VLOOKUP(AJ$1,INDIRECT("'"&amp;$A35&amp;"'!$A$12:$Z$41"),MATCH("Points (Auto-generate)",INDIRECT("'"&amp;$A35&amp;"'!$A$12:$Z$12"),0),0)="","?",VLOOKUP(AJ$1,INDIRECT("'"&amp;$A35&amp;"'!$A$12:$Z$41"),MATCH("Points (Auto-generate)",INDIRECT("'"&amp;$A35&amp;"'!$A$12:$Z$12"),0),0)),"ER"))</f>
        <v>?</v>
      </c>
      <c r="AK35" s="78" t="str">
        <f aca="true">IF($H35=0,"NA",IF($A35=INDIRECT("'"&amp;$A35&amp;"'!$B$1"),IF(VLOOKUP(AK$1,INDIRECT("'"&amp;$A35&amp;"'!$A$12:$Z$41"),MATCH("Points (Auto-generate)",INDIRECT("'"&amp;$A35&amp;"'!$A$12:$Z$12"),0),0)="","?",VLOOKUP(AK$1,INDIRECT("'"&amp;$A35&amp;"'!$A$12:$Z$41"),MATCH("Points (Auto-generate)",INDIRECT("'"&amp;$A35&amp;"'!$A$12:$Z$12"),0),0)),"ER"))</f>
        <v>?</v>
      </c>
    </row>
    <row r="36" customFormat="false" ht="14.25" hidden="false" customHeight="true" outlineLevel="0" collapsed="false">
      <c r="A36" s="74" t="s">
        <v>187</v>
      </c>
      <c r="B36" s="75" t="str">
        <f aca="false">IF(ISBLANK($A36),"NO_CODE",VLOOKUP($A36,'UPD Questions_290926 '!$E$1:$N$300,MATCH(B$1,'UPD Questions_290926 '!$E$1:$N$1,0),0)&amp;"")</f>
        <v>Implementation</v>
      </c>
      <c r="C36" s="75" t="str">
        <f aca="false">IF(ISBLANK($A36),"NO_CODE",VLOOKUP($A36,'UPD Questions_290926 '!$E$1:$N$300,MATCH(C$1,'UPD Questions_290926 '!$E$1:$N$1,0),0)&amp;"")</f>
        <v>Municipal/City Plan status, hierarchy and coordination</v>
      </c>
      <c r="D36" s="75" t="str">
        <f aca="false">IF(ISBLANK($A36),"NO_CODE",VLOOKUP($A36,'UPD Questions_290926 '!$E$1:$N$300,MATCH(D$1,'UPD Questions_290926 '!$E$1:$N$1,0),0)&amp;"")</f>
        <v>Validity of Municipal/City Plans</v>
      </c>
      <c r="E36" s="75" t="str">
        <f aca="false">IF(ISBLANK($A36),"NO_CODE",VLOOKUP($A36,'UPD Questions_290926 '!$E$1:$N$300,MATCH(E$1,'UPD Questions_290926 '!$E$1:$N$1,0),0)&amp;"")</f>
        <v>MQ</v>
      </c>
      <c r="F36" s="75" t="str">
        <f aca="false">IF(ISBLANK($A36),"NO_CODE",VLOOKUP($A36,'UPD Questions_290926 '!$E$1:$N$300,MATCH(F$1,'UPD Questions_290926 '!$E$1:$N$1,0),0)&amp;"")</f>
        <v>Does the city have a municipal/city plan that is currently in force and within its prescribed validity period?</v>
      </c>
      <c r="G36" s="75" t="str">
        <f aca="false">IF(ISBLANK($A36),"NO_CODE",VLOOKUP($A36,'UPD Questions_290926 '!$E$1:$N$300,MATCH(G$1,'UPD Questions_290926 '!$E$1:$N$1,0),0)&amp;"")</f>
        <v>Implementation</v>
      </c>
      <c r="H36" s="77" t="n">
        <f aca="false">IF(ISBLANK($A36),"NO_CODE",VLOOKUP($A36,'UPD Questions_290926 '!$E$1:$N$300,MATCH(H$1,'UPD Questions_290926 '!$E$1:$N$1,0),0))</f>
        <v>10</v>
      </c>
      <c r="I36" s="78" t="str">
        <f aca="true">IF($H36=0,"NA",IF($A36=INDIRECT("'"&amp;$A36&amp;"'!$B$1"),IF(VLOOKUP(I$1,INDIRECT("'"&amp;$A36&amp;"'!$A$12:$Z$41"),MATCH("Points (Auto-generate)",INDIRECT("'"&amp;$A36&amp;"'!$A$12:$Z$12"),0),0)="","?",VLOOKUP(I$1,INDIRECT("'"&amp;$A36&amp;"'!$A$12:$Z$41"),MATCH("Points (Auto-generate)",INDIRECT("'"&amp;$A36&amp;"'!$A$12:$Z$12"),0),0)),"ER"))</f>
        <v>?</v>
      </c>
      <c r="J36" s="78" t="str">
        <f aca="true">IF($H36=0,"NA",IF($A36=INDIRECT("'"&amp;$A36&amp;"'!$B$1"),IF(VLOOKUP(J$1,INDIRECT("'"&amp;$A36&amp;"'!$A$12:$Z$41"),MATCH("Points (Auto-generate)",INDIRECT("'"&amp;$A36&amp;"'!$A$12:$Z$12"),0),0)="","?",VLOOKUP(J$1,INDIRECT("'"&amp;$A36&amp;"'!$A$12:$Z$41"),MATCH("Points (Auto-generate)",INDIRECT("'"&amp;$A36&amp;"'!$A$12:$Z$12"),0),0)),"ER"))</f>
        <v>?</v>
      </c>
      <c r="K36" s="78" t="str">
        <f aca="true">IF($H36=0,"NA",IF($A36=INDIRECT("'"&amp;$A36&amp;"'!$B$1"),IF(VLOOKUP(K$1,INDIRECT("'"&amp;$A36&amp;"'!$A$12:$Z$41"),MATCH("Points (Auto-generate)",INDIRECT("'"&amp;$A36&amp;"'!$A$12:$Z$12"),0),0)="","?",VLOOKUP(K$1,INDIRECT("'"&amp;$A36&amp;"'!$A$12:$Z$41"),MATCH("Points (Auto-generate)",INDIRECT("'"&amp;$A36&amp;"'!$A$12:$Z$12"),0),0)),"ER"))</f>
        <v>?</v>
      </c>
      <c r="L36" s="78" t="str">
        <f aca="true">IF($H36=0,"NA",IF($A36=INDIRECT("'"&amp;$A36&amp;"'!$B$1"),IF(VLOOKUP(L$1,INDIRECT("'"&amp;$A36&amp;"'!$A$12:$Z$41"),MATCH("Points (Auto-generate)",INDIRECT("'"&amp;$A36&amp;"'!$A$12:$Z$12"),0),0)="","?",VLOOKUP(L$1,INDIRECT("'"&amp;$A36&amp;"'!$A$12:$Z$41"),MATCH("Points (Auto-generate)",INDIRECT("'"&amp;$A36&amp;"'!$A$12:$Z$12"),0),0)),"ER"))</f>
        <v>?</v>
      </c>
      <c r="M36" s="78" t="str">
        <f aca="true">IF($H36=0,"NA",IF($A36=INDIRECT("'"&amp;$A36&amp;"'!$B$1"),IF(VLOOKUP(M$1,INDIRECT("'"&amp;$A36&amp;"'!$A$12:$Z$41"),MATCH("Points (Auto-generate)",INDIRECT("'"&amp;$A36&amp;"'!$A$12:$Z$12"),0),0)="","?",VLOOKUP(M$1,INDIRECT("'"&amp;$A36&amp;"'!$A$12:$Z$41"),MATCH("Points (Auto-generate)",INDIRECT("'"&amp;$A36&amp;"'!$A$12:$Z$12"),0),0)),"ER"))</f>
        <v>?</v>
      </c>
      <c r="N36" s="78" t="str">
        <f aca="true">IF($H36=0,"NA",IF($A36=INDIRECT("'"&amp;$A36&amp;"'!$B$1"),IF(VLOOKUP(N$1,INDIRECT("'"&amp;$A36&amp;"'!$A$12:$Z$41"),MATCH("Points (Auto-generate)",INDIRECT("'"&amp;$A36&amp;"'!$A$12:$Z$12"),0),0)="","?",VLOOKUP(N$1,INDIRECT("'"&amp;$A36&amp;"'!$A$12:$Z$41"),MATCH("Points (Auto-generate)",INDIRECT("'"&amp;$A36&amp;"'!$A$12:$Z$12"),0),0)),"ER"))</f>
        <v>?</v>
      </c>
      <c r="O36" s="78" t="str">
        <f aca="true">IF($H36=0,"NA",IF($A36=INDIRECT("'"&amp;$A36&amp;"'!$B$1"),IF(VLOOKUP(O$1,INDIRECT("'"&amp;$A36&amp;"'!$A$12:$Z$41"),MATCH("Points (Auto-generate)",INDIRECT("'"&amp;$A36&amp;"'!$A$12:$Z$12"),0),0)="","?",VLOOKUP(O$1,INDIRECT("'"&amp;$A36&amp;"'!$A$12:$Z$41"),MATCH("Points (Auto-generate)",INDIRECT("'"&amp;$A36&amp;"'!$A$12:$Z$12"),0),0)),"ER"))</f>
        <v>?</v>
      </c>
      <c r="P36" s="78" t="str">
        <f aca="true">IF($H36=0,"NA",IF($A36=INDIRECT("'"&amp;$A36&amp;"'!$B$1"),IF(VLOOKUP(P$1,INDIRECT("'"&amp;$A36&amp;"'!$A$12:$Z$41"),MATCH("Points (Auto-generate)",INDIRECT("'"&amp;$A36&amp;"'!$A$12:$Z$12"),0),0)="","?",VLOOKUP(P$1,INDIRECT("'"&amp;$A36&amp;"'!$A$12:$Z$41"),MATCH("Points (Auto-generate)",INDIRECT("'"&amp;$A36&amp;"'!$A$12:$Z$12"),0),0)),"ER"))</f>
        <v>?</v>
      </c>
      <c r="Q36" s="78" t="str">
        <f aca="true">IF($H36=0,"NA",IF($A36=INDIRECT("'"&amp;$A36&amp;"'!$B$1"),IF(VLOOKUP(Q$1,INDIRECT("'"&amp;$A36&amp;"'!$A$12:$Z$41"),MATCH("Points (Auto-generate)",INDIRECT("'"&amp;$A36&amp;"'!$A$12:$Z$12"),0),0)="","?",VLOOKUP(Q$1,INDIRECT("'"&amp;$A36&amp;"'!$A$12:$Z$41"),MATCH("Points (Auto-generate)",INDIRECT("'"&amp;$A36&amp;"'!$A$12:$Z$12"),0),0)),"ER"))</f>
        <v>?</v>
      </c>
      <c r="R36" s="78" t="str">
        <f aca="true">IF($H36=0,"NA",IF($A36=INDIRECT("'"&amp;$A36&amp;"'!$B$1"),IF(VLOOKUP(R$1,INDIRECT("'"&amp;$A36&amp;"'!$A$12:$Z$41"),MATCH("Points (Auto-generate)",INDIRECT("'"&amp;$A36&amp;"'!$A$12:$Z$12"),0),0)="","?",VLOOKUP(R$1,INDIRECT("'"&amp;$A36&amp;"'!$A$12:$Z$41"),MATCH("Points (Auto-generate)",INDIRECT("'"&amp;$A36&amp;"'!$A$12:$Z$12"),0),0)),"ER"))</f>
        <v>?</v>
      </c>
      <c r="S36" s="78" t="str">
        <f aca="true">IF($H36=0,"NA",IF($A36=INDIRECT("'"&amp;$A36&amp;"'!$B$1"),IF(VLOOKUP(S$1,INDIRECT("'"&amp;$A36&amp;"'!$A$12:$Z$41"),MATCH("Points (Auto-generate)",INDIRECT("'"&amp;$A36&amp;"'!$A$12:$Z$12"),0),0)="","?",VLOOKUP(S$1,INDIRECT("'"&amp;$A36&amp;"'!$A$12:$Z$41"),MATCH("Points (Auto-generate)",INDIRECT("'"&amp;$A36&amp;"'!$A$12:$Z$12"),0),0)),"ER"))</f>
        <v>?</v>
      </c>
      <c r="T36" s="78" t="str">
        <f aca="true">IF($H36=0,"NA",IF($A36=INDIRECT("'"&amp;$A36&amp;"'!$B$1"),IF(VLOOKUP(T$1,INDIRECT("'"&amp;$A36&amp;"'!$A$12:$Z$41"),MATCH("Points (Auto-generate)",INDIRECT("'"&amp;$A36&amp;"'!$A$12:$Z$12"),0),0)="","?",VLOOKUP(T$1,INDIRECT("'"&amp;$A36&amp;"'!$A$12:$Z$41"),MATCH("Points (Auto-generate)",INDIRECT("'"&amp;$A36&amp;"'!$A$12:$Z$12"),0),0)),"ER"))</f>
        <v>?</v>
      </c>
      <c r="U36" s="78" t="str">
        <f aca="true">IF($H36=0,"NA",IF($A36=INDIRECT("'"&amp;$A36&amp;"'!$B$1"),IF(VLOOKUP(U$1,INDIRECT("'"&amp;$A36&amp;"'!$A$12:$Z$41"),MATCH("Points (Auto-generate)",INDIRECT("'"&amp;$A36&amp;"'!$A$12:$Z$12"),0),0)="","?",VLOOKUP(U$1,INDIRECT("'"&amp;$A36&amp;"'!$A$12:$Z$41"),MATCH("Points (Auto-generate)",INDIRECT("'"&amp;$A36&amp;"'!$A$12:$Z$12"),0),0)),"ER"))</f>
        <v>?</v>
      </c>
      <c r="V36" s="78" t="str">
        <f aca="true">IF($H36=0,"NA",IF($A36=INDIRECT("'"&amp;$A36&amp;"'!$B$1"),IF(VLOOKUP(V$1,INDIRECT("'"&amp;$A36&amp;"'!$A$12:$Z$41"),MATCH("Points (Auto-generate)",INDIRECT("'"&amp;$A36&amp;"'!$A$12:$Z$12"),0),0)="","?",VLOOKUP(V$1,INDIRECT("'"&amp;$A36&amp;"'!$A$12:$Z$41"),MATCH("Points (Auto-generate)",INDIRECT("'"&amp;$A36&amp;"'!$A$12:$Z$12"),0),0)),"ER"))</f>
        <v>?</v>
      </c>
      <c r="W36" s="78" t="str">
        <f aca="true">IF($H36=0,"NA",IF($A36=INDIRECT("'"&amp;$A36&amp;"'!$B$1"),IF(VLOOKUP(W$1,INDIRECT("'"&amp;$A36&amp;"'!$A$12:$Z$41"),MATCH("Points (Auto-generate)",INDIRECT("'"&amp;$A36&amp;"'!$A$12:$Z$12"),0),0)="","?",VLOOKUP(W$1,INDIRECT("'"&amp;$A36&amp;"'!$A$12:$Z$41"),MATCH("Points (Auto-generate)",INDIRECT("'"&amp;$A36&amp;"'!$A$12:$Z$12"),0),0)),"ER"))</f>
        <v>?</v>
      </c>
      <c r="X36" s="78" t="str">
        <f aca="true">IF($H36=0,"NA",IF($A36=INDIRECT("'"&amp;$A36&amp;"'!$B$1"),IF(VLOOKUP(X$1,INDIRECT("'"&amp;$A36&amp;"'!$A$12:$Z$41"),MATCH("Points (Auto-generate)",INDIRECT("'"&amp;$A36&amp;"'!$A$12:$Z$12"),0),0)="","?",VLOOKUP(X$1,INDIRECT("'"&amp;$A36&amp;"'!$A$12:$Z$41"),MATCH("Points (Auto-generate)",INDIRECT("'"&amp;$A36&amp;"'!$A$12:$Z$12"),0),0)),"ER"))</f>
        <v>?</v>
      </c>
      <c r="Y36" s="78" t="str">
        <f aca="true">IF($H36=0,"NA",IF($A36=INDIRECT("'"&amp;$A36&amp;"'!$B$1"),IF(VLOOKUP(Y$1,INDIRECT("'"&amp;$A36&amp;"'!$A$12:$Z$41"),MATCH("Points (Auto-generate)",INDIRECT("'"&amp;$A36&amp;"'!$A$12:$Z$12"),0),0)="","?",VLOOKUP(Y$1,INDIRECT("'"&amp;$A36&amp;"'!$A$12:$Z$41"),MATCH("Points (Auto-generate)",INDIRECT("'"&amp;$A36&amp;"'!$A$12:$Z$12"),0),0)),"ER"))</f>
        <v>?</v>
      </c>
      <c r="Z36" s="78" t="str">
        <f aca="true">IF($H36=0,"NA",IF($A36=INDIRECT("'"&amp;$A36&amp;"'!$B$1"),IF(VLOOKUP(Z$1,INDIRECT("'"&amp;$A36&amp;"'!$A$12:$Z$41"),MATCH("Points (Auto-generate)",INDIRECT("'"&amp;$A36&amp;"'!$A$12:$Z$12"),0),0)="","?",VLOOKUP(Z$1,INDIRECT("'"&amp;$A36&amp;"'!$A$12:$Z$41"),MATCH("Points (Auto-generate)",INDIRECT("'"&amp;$A36&amp;"'!$A$12:$Z$12"),0),0)),"ER"))</f>
        <v>?</v>
      </c>
      <c r="AA36" s="78" t="str">
        <f aca="true">IF($H36=0,"NA",IF($A36=INDIRECT("'"&amp;$A36&amp;"'!$B$1"),IF(VLOOKUP(AA$1,INDIRECT("'"&amp;$A36&amp;"'!$A$12:$Z$41"),MATCH("Points (Auto-generate)",INDIRECT("'"&amp;$A36&amp;"'!$A$12:$Z$12"),0),0)="","?",VLOOKUP(AA$1,INDIRECT("'"&amp;$A36&amp;"'!$A$12:$Z$41"),MATCH("Points (Auto-generate)",INDIRECT("'"&amp;$A36&amp;"'!$A$12:$Z$12"),0),0)),"ER"))</f>
        <v>?</v>
      </c>
      <c r="AB36" s="78" t="str">
        <f aca="true">IF($H36=0,"NA",IF($A36=INDIRECT("'"&amp;$A36&amp;"'!$B$1"),IF(VLOOKUP(AB$1,INDIRECT("'"&amp;$A36&amp;"'!$A$12:$Z$41"),MATCH("Points (Auto-generate)",INDIRECT("'"&amp;$A36&amp;"'!$A$12:$Z$12"),0),0)="","?",VLOOKUP(AB$1,INDIRECT("'"&amp;$A36&amp;"'!$A$12:$Z$41"),MATCH("Points (Auto-generate)",INDIRECT("'"&amp;$A36&amp;"'!$A$12:$Z$12"),0),0)),"ER"))</f>
        <v>?</v>
      </c>
      <c r="AC36" s="78" t="str">
        <f aca="true">IF($H36=0,"NA",IF($A36=INDIRECT("'"&amp;$A36&amp;"'!$B$1"),IF(VLOOKUP(AC$1,INDIRECT("'"&amp;$A36&amp;"'!$A$12:$Z$41"),MATCH("Points (Auto-generate)",INDIRECT("'"&amp;$A36&amp;"'!$A$12:$Z$12"),0),0)="","?",VLOOKUP(AC$1,INDIRECT("'"&amp;$A36&amp;"'!$A$12:$Z$41"),MATCH("Points (Auto-generate)",INDIRECT("'"&amp;$A36&amp;"'!$A$12:$Z$12"),0),0)),"ER"))</f>
        <v>?</v>
      </c>
      <c r="AD36" s="78" t="str">
        <f aca="true">IF($H36=0,"NA",IF($A36=INDIRECT("'"&amp;$A36&amp;"'!$B$1"),IF(VLOOKUP(AD$1,INDIRECT("'"&amp;$A36&amp;"'!$A$12:$Z$41"),MATCH("Points (Auto-generate)",INDIRECT("'"&amp;$A36&amp;"'!$A$12:$Z$12"),0),0)="","?",VLOOKUP(AD$1,INDIRECT("'"&amp;$A36&amp;"'!$A$12:$Z$41"),MATCH("Points (Auto-generate)",INDIRECT("'"&amp;$A36&amp;"'!$A$12:$Z$12"),0),0)),"ER"))</f>
        <v>?</v>
      </c>
      <c r="AE36" s="78" t="str">
        <f aca="true">IF($H36=0,"NA",IF($A36=INDIRECT("'"&amp;$A36&amp;"'!$B$1"),IF(VLOOKUP(AE$1,INDIRECT("'"&amp;$A36&amp;"'!$A$12:$Z$41"),MATCH("Points (Auto-generate)",INDIRECT("'"&amp;$A36&amp;"'!$A$12:$Z$12"),0),0)="","?",VLOOKUP(AE$1,INDIRECT("'"&amp;$A36&amp;"'!$A$12:$Z$41"),MATCH("Points (Auto-generate)",INDIRECT("'"&amp;$A36&amp;"'!$A$12:$Z$12"),0),0)),"ER"))</f>
        <v>?</v>
      </c>
      <c r="AF36" s="78" t="str">
        <f aca="true">IF($H36=0,"NA",IF($A36=INDIRECT("'"&amp;$A36&amp;"'!$B$1"),IF(VLOOKUP(AF$1,INDIRECT("'"&amp;$A36&amp;"'!$A$12:$Z$41"),MATCH("Points (Auto-generate)",INDIRECT("'"&amp;$A36&amp;"'!$A$12:$Z$12"),0),0)="","?",VLOOKUP(AF$1,INDIRECT("'"&amp;$A36&amp;"'!$A$12:$Z$41"),MATCH("Points (Auto-generate)",INDIRECT("'"&amp;$A36&amp;"'!$A$12:$Z$12"),0),0)),"ER"))</f>
        <v>?</v>
      </c>
      <c r="AG36" s="78" t="str">
        <f aca="true">IF($H36=0,"NA",IF($A36=INDIRECT("'"&amp;$A36&amp;"'!$B$1"),IF(VLOOKUP(AG$1,INDIRECT("'"&amp;$A36&amp;"'!$A$12:$Z$41"),MATCH("Points (Auto-generate)",INDIRECT("'"&amp;$A36&amp;"'!$A$12:$Z$12"),0),0)="","?",VLOOKUP(AG$1,INDIRECT("'"&amp;$A36&amp;"'!$A$12:$Z$41"),MATCH("Points (Auto-generate)",INDIRECT("'"&amp;$A36&amp;"'!$A$12:$Z$12"),0),0)),"ER"))</f>
        <v>?</v>
      </c>
      <c r="AH36" s="78" t="str">
        <f aca="true">IF($H36=0,"NA",IF($A36=INDIRECT("'"&amp;$A36&amp;"'!$B$1"),IF(VLOOKUP(AH$1,INDIRECT("'"&amp;$A36&amp;"'!$A$12:$Z$41"),MATCH("Points (Auto-generate)",INDIRECT("'"&amp;$A36&amp;"'!$A$12:$Z$12"),0),0)="","?",VLOOKUP(AH$1,INDIRECT("'"&amp;$A36&amp;"'!$A$12:$Z$41"),MATCH("Points (Auto-generate)",INDIRECT("'"&amp;$A36&amp;"'!$A$12:$Z$12"),0),0)),"ER"))</f>
        <v>?</v>
      </c>
      <c r="AI36" s="78" t="str">
        <f aca="true">IF($H36=0,"NA",IF($A36=INDIRECT("'"&amp;$A36&amp;"'!$B$1"),IF(VLOOKUP(AI$1,INDIRECT("'"&amp;$A36&amp;"'!$A$12:$Z$41"),MATCH("Points (Auto-generate)",INDIRECT("'"&amp;$A36&amp;"'!$A$12:$Z$12"),0),0)="","?",VLOOKUP(AI$1,INDIRECT("'"&amp;$A36&amp;"'!$A$12:$Z$41"),MATCH("Points (Auto-generate)",INDIRECT("'"&amp;$A36&amp;"'!$A$12:$Z$12"),0),0)),"ER"))</f>
        <v>?</v>
      </c>
      <c r="AJ36" s="78" t="str">
        <f aca="true">IF($H36=0,"NA",IF($A36=INDIRECT("'"&amp;$A36&amp;"'!$B$1"),IF(VLOOKUP(AJ$1,INDIRECT("'"&amp;$A36&amp;"'!$A$12:$Z$41"),MATCH("Points (Auto-generate)",INDIRECT("'"&amp;$A36&amp;"'!$A$12:$Z$12"),0),0)="","?",VLOOKUP(AJ$1,INDIRECT("'"&amp;$A36&amp;"'!$A$12:$Z$41"),MATCH("Points (Auto-generate)",INDIRECT("'"&amp;$A36&amp;"'!$A$12:$Z$12"),0),0)),"ER"))</f>
        <v>?</v>
      </c>
      <c r="AK36" s="78" t="str">
        <f aca="true">IF($H36=0,"NA",IF($A36=INDIRECT("'"&amp;$A36&amp;"'!$B$1"),IF(VLOOKUP(AK$1,INDIRECT("'"&amp;$A36&amp;"'!$A$12:$Z$41"),MATCH("Points (Auto-generate)",INDIRECT("'"&amp;$A36&amp;"'!$A$12:$Z$12"),0),0)="","?",VLOOKUP(AK$1,INDIRECT("'"&amp;$A36&amp;"'!$A$12:$Z$41"),MATCH("Points (Auto-generate)",INDIRECT("'"&amp;$A36&amp;"'!$A$12:$Z$12"),0),0)),"ER"))</f>
        <v>?</v>
      </c>
    </row>
    <row r="37" customFormat="false" ht="14.25" hidden="false" customHeight="true" outlineLevel="0" collapsed="false">
      <c r="A37" s="74" t="s">
        <v>79</v>
      </c>
      <c r="B37" s="75" t="str">
        <f aca="false">IF(ISBLANK($A37),"NO_CODE",VLOOKUP($A37,'UPD Questions_290926 '!$E$1:$N$300,MATCH(B$1,'UPD Questions_290926 '!$E$1:$N$1,0),0)&amp;"")</f>
        <v>Implementation</v>
      </c>
      <c r="C37" s="75" t="str">
        <f aca="false">IF(ISBLANK($A37),"NO_CODE",VLOOKUP($A37,'UPD Questions_290926 '!$E$1:$N$300,MATCH(C$1,'UPD Questions_290926 '!$E$1:$N$1,0),0)&amp;"")</f>
        <v>Municipal/City Plan status, hierarchy and coordination</v>
      </c>
      <c r="D37" s="75" t="str">
        <f aca="false">IF(ISBLANK($A37),"NO_CODE",VLOOKUP($A37,'UPD Questions_290926 '!$E$1:$N$300,MATCH(D$1,'UPD Questions_290926 '!$E$1:$N$1,0),0)&amp;"")</f>
        <v>Alignment across planning levels</v>
      </c>
      <c r="E37" s="75" t="str">
        <f aca="false">IF(ISBLANK($A37),"NO_CODE",VLOOKUP($A37,'UPD Questions_290926 '!$E$1:$N$300,MATCH(E$1,'UPD Questions_290926 '!$E$1:$N$1,0),0)&amp;"")</f>
        <v>MQ</v>
      </c>
      <c r="F37" s="75" t="str">
        <f aca="false">IF(ISBLANK($A37),"NO_CODE",VLOOKUP($A37,'UPD Questions_290926 '!$E$1:$N$300,MATCH(F$1,'UPD Questions_290926 '!$E$1:$N$1,0),0)&amp;"")</f>
        <v> Are the spatial plans at the Metropolitan/Regional, Municipal and Ward(s) /Local level in a concurrent or nested timeline of validity?</v>
      </c>
      <c r="G37" s="75" t="str">
        <f aca="false">IF(ISBLANK($A37),"NO_CODE",VLOOKUP($A37,'UPD Questions_290926 '!$E$1:$N$300,MATCH(G$1,'UPD Questions_290926 '!$E$1:$N$1,0),0)&amp;"")</f>
        <v>Implementation</v>
      </c>
      <c r="H37" s="77" t="n">
        <f aca="false">IF(ISBLANK($A37),"NO_CODE",VLOOKUP($A37,'UPD Questions_290926 '!$E$1:$N$300,MATCH(H$1,'UPD Questions_290926 '!$E$1:$N$1,0),0))</f>
        <v>10</v>
      </c>
      <c r="I37" s="78" t="str">
        <f aca="false">IF(OR(I38="ER",I39="ER"),"ER",IF(OR(I38="?",I39="?"),"?",IF(AND(I38="NA",I39="NA"),"NA",SUM(I38,I39)/((I38&lt;&gt;"NA")*$H$38+(I39&lt;&gt;"NA")*$H$39)*$H37)))</f>
        <v>?</v>
      </c>
      <c r="J37" s="78" t="str">
        <f aca="false">IF(OR(J38="ER",J39="ER"),"ER",IF(OR(J38="?",J39="?"),"?",IF(AND(J38="NA",J39="NA"),"NA",SUM(J38,J39)/((J38&lt;&gt;"NA")*$H$38+(J39&lt;&gt;"NA")*$H$39)*$H37)))</f>
        <v>?</v>
      </c>
      <c r="K37" s="78" t="str">
        <f aca="false">IF(OR(K38="ER",K39="ER"),"ER",IF(OR(K38="?",K39="?"),"?",IF(AND(K38="NA",K39="NA"),"NA",SUM(K38,K39)/((K38&lt;&gt;"NA")*$H$38+(K39&lt;&gt;"NA")*$H$39)*$H37)))</f>
        <v>?</v>
      </c>
      <c r="L37" s="78" t="str">
        <f aca="false">IF(OR(L38="ER",L39="ER"),"ER",IF(OR(L38="?",L39="?"),"?",IF(AND(L38="NA",L39="NA"),"NA",SUM(L38,L39)/((L38&lt;&gt;"NA")*$H$38+(L39&lt;&gt;"NA")*$H$39)*$H37)))</f>
        <v>?</v>
      </c>
      <c r="M37" s="78" t="str">
        <f aca="false">IF(OR(M38="ER",M39="ER"),"ER",IF(OR(M38="?",M39="?"),"?",IF(AND(M38="NA",M39="NA"),"NA",SUM(M38,M39)/((M38&lt;&gt;"NA")*$H$38+(M39&lt;&gt;"NA")*$H$39)*$H37)))</f>
        <v>?</v>
      </c>
      <c r="N37" s="78" t="str">
        <f aca="false">IF(OR(N38="ER",N39="ER"),"ER",IF(OR(N38="?",N39="?"),"?",IF(AND(N38="NA",N39="NA"),"NA",SUM(N38,N39)/((N38&lt;&gt;"NA")*$H$38+(N39&lt;&gt;"NA")*$H$39)*$H37)))</f>
        <v>?</v>
      </c>
      <c r="O37" s="78" t="str">
        <f aca="false">IF(OR(O38="ER",O39="ER"),"ER",IF(OR(O38="?",O39="?"),"?",IF(AND(O38="NA",O39="NA"),"NA",SUM(O38,O39)/((O38&lt;&gt;"NA")*$H$38+(O39&lt;&gt;"NA")*$H$39)*$H37)))</f>
        <v>?</v>
      </c>
      <c r="P37" s="78" t="str">
        <f aca="false">IF(OR(P38="ER",P39="ER"),"ER",IF(OR(P38="?",P39="?"),"?",IF(AND(P38="NA",P39="NA"),"NA",SUM(P38,P39)/((P38&lt;&gt;"NA")*$H$38+(P39&lt;&gt;"NA")*$H$39)*$H37)))</f>
        <v>?</v>
      </c>
      <c r="Q37" s="78" t="str">
        <f aca="false">IF(OR(Q38="ER",Q39="ER"),"ER",IF(OR(Q38="?",Q39="?"),"?",IF(AND(Q38="NA",Q39="NA"),"NA",SUM(Q38,Q39)/((Q38&lt;&gt;"NA")*$H$38+(Q39&lt;&gt;"NA")*$H$39)*$H37)))</f>
        <v>?</v>
      </c>
      <c r="R37" s="78" t="str">
        <f aca="false">IF(OR(R38="ER",R39="ER"),"ER",IF(OR(R38="?",R39="?"),"?",IF(AND(R38="NA",R39="NA"),"NA",SUM(R38,R39)/((R38&lt;&gt;"NA")*$H$38+(R39&lt;&gt;"NA")*$H$39)*$H37)))</f>
        <v>?</v>
      </c>
      <c r="S37" s="78" t="str">
        <f aca="false">IF(OR(S38="ER",S39="ER"),"ER",IF(OR(S38="?",S39="?"),"?",IF(AND(S38="NA",S39="NA"),"NA",SUM(S38,S39)/((S38&lt;&gt;"NA")*$H$38+(S39&lt;&gt;"NA")*$H$39)*$H37)))</f>
        <v>?</v>
      </c>
      <c r="T37" s="78" t="str">
        <f aca="false">IF(OR(T38="ER",T39="ER"),"ER",IF(OR(T38="?",T39="?"),"?",IF(AND(T38="NA",T39="NA"),"NA",SUM(T38,T39)/((T38&lt;&gt;"NA")*$H$38+(T39&lt;&gt;"NA")*$H$39)*$H37)))</f>
        <v>?</v>
      </c>
      <c r="U37" s="78" t="str">
        <f aca="false">IF(OR(U38="ER",U39="ER"),"ER",IF(OR(U38="?",U39="?"),"?",IF(AND(U38="NA",U39="NA"),"NA",SUM(U38,U39)/((U38&lt;&gt;"NA")*$H$38+(U39&lt;&gt;"NA")*$H$39)*$H37)))</f>
        <v>?</v>
      </c>
      <c r="V37" s="78" t="str">
        <f aca="false">IF(OR(V38="ER",V39="ER"),"ER",IF(OR(V38="?",V39="?"),"?",IF(AND(V38="NA",V39="NA"),"NA",SUM(V38,V39)/((V38&lt;&gt;"NA")*$H$38+(V39&lt;&gt;"NA")*$H$39)*$H37)))</f>
        <v>?</v>
      </c>
      <c r="W37" s="78" t="str">
        <f aca="false">IF(OR(W38="ER",W39="ER"),"ER",IF(OR(W38="?",W39="?"),"?",IF(AND(W38="NA",W39="NA"),"NA",SUM(W38,W39)/((W38&lt;&gt;"NA")*$H$38+(W39&lt;&gt;"NA")*$H$39)*$H37)))</f>
        <v>?</v>
      </c>
      <c r="X37" s="78" t="str">
        <f aca="false">IF(OR(X38="ER",X39="ER"),"ER",IF(OR(X38="?",X39="?"),"?",IF(AND(X38="NA",X39="NA"),"NA",SUM(X38,X39)/((X38&lt;&gt;"NA")*$H$38+(X39&lt;&gt;"NA")*$H$39)*$H37)))</f>
        <v>?</v>
      </c>
      <c r="Y37" s="78" t="str">
        <f aca="false">IF(OR(Y38="ER",Y39="ER"),"ER",IF(OR(Y38="?",Y39="?"),"?",IF(AND(Y38="NA",Y39="NA"),"NA",SUM(Y38,Y39)/((Y38&lt;&gt;"NA")*$H$38+(Y39&lt;&gt;"NA")*$H$39)*$H37)))</f>
        <v>?</v>
      </c>
      <c r="Z37" s="78" t="str">
        <f aca="false">IF(OR(Z38="ER",Z39="ER"),"ER",IF(OR(Z38="?",Z39="?"),"?",IF(AND(Z38="NA",Z39="NA"),"NA",SUM(Z38,Z39)/((Z38&lt;&gt;"NA")*$H$38+(Z39&lt;&gt;"NA")*$H$39)*$H37)))</f>
        <v>?</v>
      </c>
      <c r="AA37" s="78" t="str">
        <f aca="false">IF(OR(AA38="ER",AA39="ER"),"ER",IF(OR(AA38="?",AA39="?"),"?",IF(AND(AA38="NA",AA39="NA"),"NA",SUM(AA38,AA39)/((AA38&lt;&gt;"NA")*$H$38+(AA39&lt;&gt;"NA")*$H$39)*$H37)))</f>
        <v>?</v>
      </c>
      <c r="AB37" s="78" t="str">
        <f aca="false">IF(OR(AB38="ER",AB39="ER"),"ER",IF(OR(AB38="?",AB39="?"),"?",IF(AND(AB38="NA",AB39="NA"),"NA",SUM(AB38,AB39)/((AB38&lt;&gt;"NA")*$H$38+(AB39&lt;&gt;"NA")*$H$39)*$H37)))</f>
        <v>?</v>
      </c>
      <c r="AC37" s="78" t="str">
        <f aca="false">IF(OR(AC38="ER",AC39="ER"),"ER",IF(OR(AC38="?",AC39="?"),"?",IF(AND(AC38="NA",AC39="NA"),"NA",SUM(AC38,AC39)/((AC38&lt;&gt;"NA")*$H$38+(AC39&lt;&gt;"NA")*$H$39)*$H37)))</f>
        <v>?</v>
      </c>
      <c r="AD37" s="78" t="str">
        <f aca="false">IF(OR(AD38="ER",AD39="ER"),"ER",IF(OR(AD38="?",AD39="?"),"?",IF(AND(AD38="NA",AD39="NA"),"NA",SUM(AD38,AD39)/((AD38&lt;&gt;"NA")*$H$38+(AD39&lt;&gt;"NA")*$H$39)*$H37)))</f>
        <v>?</v>
      </c>
      <c r="AE37" s="78" t="str">
        <f aca="false">IF(OR(AE38="ER",AE39="ER"),"ER",IF(OR(AE38="?",AE39="?"),"?",IF(AND(AE38="NA",AE39="NA"),"NA",SUM(AE38,AE39)/((AE38&lt;&gt;"NA")*$H$38+(AE39&lt;&gt;"NA")*$H$39)*$H37)))</f>
        <v>?</v>
      </c>
      <c r="AF37" s="78" t="str">
        <f aca="false">IF(OR(AF38="ER",AF39="ER"),"ER",IF(OR(AF38="?",AF39="?"),"?",IF(AND(AF38="NA",AF39="NA"),"NA",SUM(AF38,AF39)/((AF38&lt;&gt;"NA")*$H$38+(AF39&lt;&gt;"NA")*$H$39)*$H37)))</f>
        <v>?</v>
      </c>
      <c r="AG37" s="78" t="str">
        <f aca="false">IF(OR(AG38="ER",AG39="ER"),"ER",IF(OR(AG38="?",AG39="?"),"?",IF(AND(AG38="NA",AG39="NA"),"NA",SUM(AG38,AG39)/((AG38&lt;&gt;"NA")*$H$38+(AG39&lt;&gt;"NA")*$H$39)*$H37)))</f>
        <v>?</v>
      </c>
      <c r="AH37" s="78" t="str">
        <f aca="false">IF(OR(AH38="ER",AH39="ER"),"ER",IF(OR(AH38="?",AH39="?"),"?",IF(AND(AH38="NA",AH39="NA"),"NA",SUM(AH38,AH39)/((AH38&lt;&gt;"NA")*$H$38+(AH39&lt;&gt;"NA")*$H$39)*$H37)))</f>
        <v>?</v>
      </c>
      <c r="AI37" s="78" t="str">
        <f aca="false">IF(OR(AI38="ER",AI39="ER"),"ER",IF(OR(AI38="?",AI39="?"),"?",IF(AND(AI38="NA",AI39="NA"),"NA",SUM(AI38,AI39)/((AI38&lt;&gt;"NA")*$H$38+(AI39&lt;&gt;"NA")*$H$39)*$H37)))</f>
        <v>?</v>
      </c>
      <c r="AJ37" s="78" t="str">
        <f aca="false">IF(OR(AJ38="ER",AJ39="ER"),"ER",IF(OR(AJ38="?",AJ39="?"),"?",IF(AND(AJ38="NA",AJ39="NA"),"NA",SUM(AJ38,AJ39)/((AJ38&lt;&gt;"NA")*$H$38+(AJ39&lt;&gt;"NA")*$H$39)*$H37)))</f>
        <v>?</v>
      </c>
      <c r="AK37" s="78" t="str">
        <f aca="false">IF(OR(AK38="ER",AK39="ER"),"ER",IF(OR(AK38="?",AK39="?"),"?",IF(AND(AK38="NA",AK39="NA"),"NA",SUM(AK38,AK39)/((AK38&lt;&gt;"NA")*$H$38+(AK39&lt;&gt;"NA")*$H$39)*$H37)))</f>
        <v>?</v>
      </c>
    </row>
    <row r="38" customFormat="false" ht="14.25" hidden="false" customHeight="true" outlineLevel="0" collapsed="false">
      <c r="A38" s="74" t="s">
        <v>86</v>
      </c>
      <c r="B38" s="75" t="str">
        <f aca="false">IF(ISBLANK($A38),"NO_CODE",VLOOKUP($A38,'UPD Questions_290926 '!$E$1:$N$300,MATCH(B$1,'UPD Questions_290926 '!$E$1:$N$1,0),0)&amp;"")</f>
        <v>Implementation</v>
      </c>
      <c r="C38" s="75" t="str">
        <f aca="false">IF(ISBLANK($A38),"NO_CODE",VLOOKUP($A38,'UPD Questions_290926 '!$E$1:$N$300,MATCH(C$1,'UPD Questions_290926 '!$E$1:$N$1,0),0)&amp;"")</f>
        <v>Municipal/City Plan status, hierarchy and coordination</v>
      </c>
      <c r="D38" s="75" t="str">
        <f aca="false">IF(ISBLANK($A38),"NO_CODE",VLOOKUP($A38,'UPD Questions_290926 '!$E$1:$N$300,MATCH(D$1,'UPD Questions_290926 '!$E$1:$N$1,0),0)&amp;"")</f>
        <v>Alignment across planning levels</v>
      </c>
      <c r="E38" s="75" t="str">
        <f aca="false">IF(ISBLANK($A38),"NO_CODE",VLOOKUP($A38,'UPD Questions_290926 '!$E$1:$N$300,MATCH(E$1,'UPD Questions_290926 '!$E$1:$N$1,0),0)&amp;"")</f>
        <v>SQ</v>
      </c>
      <c r="F38" s="75" t="str">
        <f aca="false">IF(ISBLANK($A38),"NO_CODE",VLOOKUP($A38,'UPD Questions_290926 '!$E$1:$N$300,MATCH(F$1,'UPD Questions_290926 '!$E$1:$N$1,0),0)&amp;"")</f>
        <v>Is the Metropolitan/Regional plan in a concurrent or nested timeline of validity with municipal plan?</v>
      </c>
      <c r="G38" s="75" t="str">
        <f aca="false">IF(ISBLANK($A38),"NO_CODE",VLOOKUP($A38,'UPD Questions_290926 '!$E$1:$N$300,MATCH(G$1,'UPD Questions_290926 '!$E$1:$N$1,0),0)&amp;"")</f>
        <v>Implementation</v>
      </c>
      <c r="H38" s="77" t="n">
        <f aca="false">IF(ISBLANK($A38),"NO_CODE",VLOOKUP($A38,'UPD Questions_290926 '!$E$1:$N$300,MATCH(H$1,'UPD Questions_290926 '!$E$1:$N$1,0),0))</f>
        <v>5</v>
      </c>
      <c r="I38" s="78" t="str">
        <f aca="true">IF($H38=0,"NA",IF($A38=INDIRECT("'"&amp;$A38&amp;"'!$B$1"),IF(VLOOKUP(I$1,INDIRECT("'"&amp;$A38&amp;"'!$A$12:$Z$41"),MATCH("Points (Auto-generate)",INDIRECT("'"&amp;$A38&amp;"'!$A$12:$Z$12"),0),0)="","?",VLOOKUP(I$1,INDIRECT("'"&amp;$A38&amp;"'!$A$12:$Z$41"),MATCH("Points (Auto-generate)",INDIRECT("'"&amp;$A38&amp;"'!$A$12:$Z$12"),0),0)),"ER"))</f>
        <v>?</v>
      </c>
      <c r="J38" s="78" t="str">
        <f aca="true">IF($H38=0,"NA",IF($A38=INDIRECT("'"&amp;$A38&amp;"'!$B$1"),IF(VLOOKUP(J$1,INDIRECT("'"&amp;$A38&amp;"'!$A$12:$Z$41"),MATCH("Points (Auto-generate)",INDIRECT("'"&amp;$A38&amp;"'!$A$12:$Z$12"),0),0)="","?",VLOOKUP(J$1,INDIRECT("'"&amp;$A38&amp;"'!$A$12:$Z$41"),MATCH("Points (Auto-generate)",INDIRECT("'"&amp;$A38&amp;"'!$A$12:$Z$12"),0),0)),"ER"))</f>
        <v>?</v>
      </c>
      <c r="K38" s="78" t="str">
        <f aca="true">IF($H38=0,"NA",IF($A38=INDIRECT("'"&amp;$A38&amp;"'!$B$1"),IF(VLOOKUP(K$1,INDIRECT("'"&amp;$A38&amp;"'!$A$12:$Z$41"),MATCH("Points (Auto-generate)",INDIRECT("'"&amp;$A38&amp;"'!$A$12:$Z$12"),0),0)="","?",VLOOKUP(K$1,INDIRECT("'"&amp;$A38&amp;"'!$A$12:$Z$41"),MATCH("Points (Auto-generate)",INDIRECT("'"&amp;$A38&amp;"'!$A$12:$Z$12"),0),0)),"ER"))</f>
        <v>?</v>
      </c>
      <c r="L38" s="78" t="str">
        <f aca="true">IF($H38=0,"NA",IF($A38=INDIRECT("'"&amp;$A38&amp;"'!$B$1"),IF(VLOOKUP(L$1,INDIRECT("'"&amp;$A38&amp;"'!$A$12:$Z$41"),MATCH("Points (Auto-generate)",INDIRECT("'"&amp;$A38&amp;"'!$A$12:$Z$12"),0),0)="","?",VLOOKUP(L$1,INDIRECT("'"&amp;$A38&amp;"'!$A$12:$Z$41"),MATCH("Points (Auto-generate)",INDIRECT("'"&amp;$A38&amp;"'!$A$12:$Z$12"),0),0)),"ER"))</f>
        <v>?</v>
      </c>
      <c r="M38" s="78" t="str">
        <f aca="true">IF($H38=0,"NA",IF($A38=INDIRECT("'"&amp;$A38&amp;"'!$B$1"),IF(VLOOKUP(M$1,INDIRECT("'"&amp;$A38&amp;"'!$A$12:$Z$41"),MATCH("Points (Auto-generate)",INDIRECT("'"&amp;$A38&amp;"'!$A$12:$Z$12"),0),0)="","?",VLOOKUP(M$1,INDIRECT("'"&amp;$A38&amp;"'!$A$12:$Z$41"),MATCH("Points (Auto-generate)",INDIRECT("'"&amp;$A38&amp;"'!$A$12:$Z$12"),0),0)),"ER"))</f>
        <v>?</v>
      </c>
      <c r="N38" s="78" t="str">
        <f aca="true">IF($H38=0,"NA",IF($A38=INDIRECT("'"&amp;$A38&amp;"'!$B$1"),IF(VLOOKUP(N$1,INDIRECT("'"&amp;$A38&amp;"'!$A$12:$Z$41"),MATCH("Points (Auto-generate)",INDIRECT("'"&amp;$A38&amp;"'!$A$12:$Z$12"),0),0)="","?",VLOOKUP(N$1,INDIRECT("'"&amp;$A38&amp;"'!$A$12:$Z$41"),MATCH("Points (Auto-generate)",INDIRECT("'"&amp;$A38&amp;"'!$A$12:$Z$12"),0),0)),"ER"))</f>
        <v>?</v>
      </c>
      <c r="O38" s="78" t="str">
        <f aca="true">IF($H38=0,"NA",IF($A38=INDIRECT("'"&amp;$A38&amp;"'!$B$1"),IF(VLOOKUP(O$1,INDIRECT("'"&amp;$A38&amp;"'!$A$12:$Z$41"),MATCH("Points (Auto-generate)",INDIRECT("'"&amp;$A38&amp;"'!$A$12:$Z$12"),0),0)="","?",VLOOKUP(O$1,INDIRECT("'"&amp;$A38&amp;"'!$A$12:$Z$41"),MATCH("Points (Auto-generate)",INDIRECT("'"&amp;$A38&amp;"'!$A$12:$Z$12"),0),0)),"ER"))</f>
        <v>?</v>
      </c>
      <c r="P38" s="78" t="str">
        <f aca="true">IF($H38=0,"NA",IF($A38=INDIRECT("'"&amp;$A38&amp;"'!$B$1"),IF(VLOOKUP(P$1,INDIRECT("'"&amp;$A38&amp;"'!$A$12:$Z$41"),MATCH("Points (Auto-generate)",INDIRECT("'"&amp;$A38&amp;"'!$A$12:$Z$12"),0),0)="","?",VLOOKUP(P$1,INDIRECT("'"&amp;$A38&amp;"'!$A$12:$Z$41"),MATCH("Points (Auto-generate)",INDIRECT("'"&amp;$A38&amp;"'!$A$12:$Z$12"),0),0)),"ER"))</f>
        <v>?</v>
      </c>
      <c r="Q38" s="78" t="str">
        <f aca="true">IF($H38=0,"NA",IF($A38=INDIRECT("'"&amp;$A38&amp;"'!$B$1"),IF(VLOOKUP(Q$1,INDIRECT("'"&amp;$A38&amp;"'!$A$12:$Z$41"),MATCH("Points (Auto-generate)",INDIRECT("'"&amp;$A38&amp;"'!$A$12:$Z$12"),0),0)="","?",VLOOKUP(Q$1,INDIRECT("'"&amp;$A38&amp;"'!$A$12:$Z$41"),MATCH("Points (Auto-generate)",INDIRECT("'"&amp;$A38&amp;"'!$A$12:$Z$12"),0),0)),"ER"))</f>
        <v>?</v>
      </c>
      <c r="R38" s="78" t="str">
        <f aca="true">IF($H38=0,"NA",IF($A38=INDIRECT("'"&amp;$A38&amp;"'!$B$1"),IF(VLOOKUP(R$1,INDIRECT("'"&amp;$A38&amp;"'!$A$12:$Z$41"),MATCH("Points (Auto-generate)",INDIRECT("'"&amp;$A38&amp;"'!$A$12:$Z$12"),0),0)="","?",VLOOKUP(R$1,INDIRECT("'"&amp;$A38&amp;"'!$A$12:$Z$41"),MATCH("Points (Auto-generate)",INDIRECT("'"&amp;$A38&amp;"'!$A$12:$Z$12"),0),0)),"ER"))</f>
        <v>?</v>
      </c>
      <c r="S38" s="78" t="str">
        <f aca="true">IF($H38=0,"NA",IF($A38=INDIRECT("'"&amp;$A38&amp;"'!$B$1"),IF(VLOOKUP(S$1,INDIRECT("'"&amp;$A38&amp;"'!$A$12:$Z$41"),MATCH("Points (Auto-generate)",INDIRECT("'"&amp;$A38&amp;"'!$A$12:$Z$12"),0),0)="","?",VLOOKUP(S$1,INDIRECT("'"&amp;$A38&amp;"'!$A$12:$Z$41"),MATCH("Points (Auto-generate)",INDIRECT("'"&amp;$A38&amp;"'!$A$12:$Z$12"),0),0)),"ER"))</f>
        <v>?</v>
      </c>
      <c r="T38" s="78" t="str">
        <f aca="true">IF($H38=0,"NA",IF($A38=INDIRECT("'"&amp;$A38&amp;"'!$B$1"),IF(VLOOKUP(T$1,INDIRECT("'"&amp;$A38&amp;"'!$A$12:$Z$41"),MATCH("Points (Auto-generate)",INDIRECT("'"&amp;$A38&amp;"'!$A$12:$Z$12"),0),0)="","?",VLOOKUP(T$1,INDIRECT("'"&amp;$A38&amp;"'!$A$12:$Z$41"),MATCH("Points (Auto-generate)",INDIRECT("'"&amp;$A38&amp;"'!$A$12:$Z$12"),0),0)),"ER"))</f>
        <v>?</v>
      </c>
      <c r="U38" s="78" t="str">
        <f aca="true">IF($H38=0,"NA",IF($A38=INDIRECT("'"&amp;$A38&amp;"'!$B$1"),IF(VLOOKUP(U$1,INDIRECT("'"&amp;$A38&amp;"'!$A$12:$Z$41"),MATCH("Points (Auto-generate)",INDIRECT("'"&amp;$A38&amp;"'!$A$12:$Z$12"),0),0)="","?",VLOOKUP(U$1,INDIRECT("'"&amp;$A38&amp;"'!$A$12:$Z$41"),MATCH("Points (Auto-generate)",INDIRECT("'"&amp;$A38&amp;"'!$A$12:$Z$12"),0),0)),"ER"))</f>
        <v>?</v>
      </c>
      <c r="V38" s="78" t="str">
        <f aca="true">IF($H38=0,"NA",IF($A38=INDIRECT("'"&amp;$A38&amp;"'!$B$1"),IF(VLOOKUP(V$1,INDIRECT("'"&amp;$A38&amp;"'!$A$12:$Z$41"),MATCH("Points (Auto-generate)",INDIRECT("'"&amp;$A38&amp;"'!$A$12:$Z$12"),0),0)="","?",VLOOKUP(V$1,INDIRECT("'"&amp;$A38&amp;"'!$A$12:$Z$41"),MATCH("Points (Auto-generate)",INDIRECT("'"&amp;$A38&amp;"'!$A$12:$Z$12"),0),0)),"ER"))</f>
        <v>?</v>
      </c>
      <c r="W38" s="78" t="str">
        <f aca="true">IF($H38=0,"NA",IF($A38=INDIRECT("'"&amp;$A38&amp;"'!$B$1"),IF(VLOOKUP(W$1,INDIRECT("'"&amp;$A38&amp;"'!$A$12:$Z$41"),MATCH("Points (Auto-generate)",INDIRECT("'"&amp;$A38&amp;"'!$A$12:$Z$12"),0),0)="","?",VLOOKUP(W$1,INDIRECT("'"&amp;$A38&amp;"'!$A$12:$Z$41"),MATCH("Points (Auto-generate)",INDIRECT("'"&amp;$A38&amp;"'!$A$12:$Z$12"),0),0)),"ER"))</f>
        <v>?</v>
      </c>
      <c r="X38" s="78" t="str">
        <f aca="true">IF($H38=0,"NA",IF($A38=INDIRECT("'"&amp;$A38&amp;"'!$B$1"),IF(VLOOKUP(X$1,INDIRECT("'"&amp;$A38&amp;"'!$A$12:$Z$41"),MATCH("Points (Auto-generate)",INDIRECT("'"&amp;$A38&amp;"'!$A$12:$Z$12"),0),0)="","?",VLOOKUP(X$1,INDIRECT("'"&amp;$A38&amp;"'!$A$12:$Z$41"),MATCH("Points (Auto-generate)",INDIRECT("'"&amp;$A38&amp;"'!$A$12:$Z$12"),0),0)),"ER"))</f>
        <v>?</v>
      </c>
      <c r="Y38" s="78" t="str">
        <f aca="true">IF($H38=0,"NA",IF($A38=INDIRECT("'"&amp;$A38&amp;"'!$B$1"),IF(VLOOKUP(Y$1,INDIRECT("'"&amp;$A38&amp;"'!$A$12:$Z$41"),MATCH("Points (Auto-generate)",INDIRECT("'"&amp;$A38&amp;"'!$A$12:$Z$12"),0),0)="","?",VLOOKUP(Y$1,INDIRECT("'"&amp;$A38&amp;"'!$A$12:$Z$41"),MATCH("Points (Auto-generate)",INDIRECT("'"&amp;$A38&amp;"'!$A$12:$Z$12"),0),0)),"ER"))</f>
        <v>?</v>
      </c>
      <c r="Z38" s="78" t="str">
        <f aca="true">IF($H38=0,"NA",IF($A38=INDIRECT("'"&amp;$A38&amp;"'!$B$1"),IF(VLOOKUP(Z$1,INDIRECT("'"&amp;$A38&amp;"'!$A$12:$Z$41"),MATCH("Points (Auto-generate)",INDIRECT("'"&amp;$A38&amp;"'!$A$12:$Z$12"),0),0)="","?",VLOOKUP(Z$1,INDIRECT("'"&amp;$A38&amp;"'!$A$12:$Z$41"),MATCH("Points (Auto-generate)",INDIRECT("'"&amp;$A38&amp;"'!$A$12:$Z$12"),0),0)),"ER"))</f>
        <v>?</v>
      </c>
      <c r="AA38" s="78" t="str">
        <f aca="true">IF($H38=0,"NA",IF($A38=INDIRECT("'"&amp;$A38&amp;"'!$B$1"),IF(VLOOKUP(AA$1,INDIRECT("'"&amp;$A38&amp;"'!$A$12:$Z$41"),MATCH("Points (Auto-generate)",INDIRECT("'"&amp;$A38&amp;"'!$A$12:$Z$12"),0),0)="","?",VLOOKUP(AA$1,INDIRECT("'"&amp;$A38&amp;"'!$A$12:$Z$41"),MATCH("Points (Auto-generate)",INDIRECT("'"&amp;$A38&amp;"'!$A$12:$Z$12"),0),0)),"ER"))</f>
        <v>?</v>
      </c>
      <c r="AB38" s="78" t="str">
        <f aca="true">IF($H38=0,"NA",IF($A38=INDIRECT("'"&amp;$A38&amp;"'!$B$1"),IF(VLOOKUP(AB$1,INDIRECT("'"&amp;$A38&amp;"'!$A$12:$Z$41"),MATCH("Points (Auto-generate)",INDIRECT("'"&amp;$A38&amp;"'!$A$12:$Z$12"),0),0)="","?",VLOOKUP(AB$1,INDIRECT("'"&amp;$A38&amp;"'!$A$12:$Z$41"),MATCH("Points (Auto-generate)",INDIRECT("'"&amp;$A38&amp;"'!$A$12:$Z$12"),0),0)),"ER"))</f>
        <v>?</v>
      </c>
      <c r="AC38" s="78" t="str">
        <f aca="true">IF($H38=0,"NA",IF($A38=INDIRECT("'"&amp;$A38&amp;"'!$B$1"),IF(VLOOKUP(AC$1,INDIRECT("'"&amp;$A38&amp;"'!$A$12:$Z$41"),MATCH("Points (Auto-generate)",INDIRECT("'"&amp;$A38&amp;"'!$A$12:$Z$12"),0),0)="","?",VLOOKUP(AC$1,INDIRECT("'"&amp;$A38&amp;"'!$A$12:$Z$41"),MATCH("Points (Auto-generate)",INDIRECT("'"&amp;$A38&amp;"'!$A$12:$Z$12"),0),0)),"ER"))</f>
        <v>?</v>
      </c>
      <c r="AD38" s="78" t="str">
        <f aca="true">IF($H38=0,"NA",IF($A38=INDIRECT("'"&amp;$A38&amp;"'!$B$1"),IF(VLOOKUP(AD$1,INDIRECT("'"&amp;$A38&amp;"'!$A$12:$Z$41"),MATCH("Points (Auto-generate)",INDIRECT("'"&amp;$A38&amp;"'!$A$12:$Z$12"),0),0)="","?",VLOOKUP(AD$1,INDIRECT("'"&amp;$A38&amp;"'!$A$12:$Z$41"),MATCH("Points (Auto-generate)",INDIRECT("'"&amp;$A38&amp;"'!$A$12:$Z$12"),0),0)),"ER"))</f>
        <v>?</v>
      </c>
      <c r="AE38" s="78" t="str">
        <f aca="true">IF($H38=0,"NA",IF($A38=INDIRECT("'"&amp;$A38&amp;"'!$B$1"),IF(VLOOKUP(AE$1,INDIRECT("'"&amp;$A38&amp;"'!$A$12:$Z$41"),MATCH("Points (Auto-generate)",INDIRECT("'"&amp;$A38&amp;"'!$A$12:$Z$12"),0),0)="","?",VLOOKUP(AE$1,INDIRECT("'"&amp;$A38&amp;"'!$A$12:$Z$41"),MATCH("Points (Auto-generate)",INDIRECT("'"&amp;$A38&amp;"'!$A$12:$Z$12"),0),0)),"ER"))</f>
        <v>?</v>
      </c>
      <c r="AF38" s="78" t="str">
        <f aca="true">IF($H38=0,"NA",IF($A38=INDIRECT("'"&amp;$A38&amp;"'!$B$1"),IF(VLOOKUP(AF$1,INDIRECT("'"&amp;$A38&amp;"'!$A$12:$Z$41"),MATCH("Points (Auto-generate)",INDIRECT("'"&amp;$A38&amp;"'!$A$12:$Z$12"),0),0)="","?",VLOOKUP(AF$1,INDIRECT("'"&amp;$A38&amp;"'!$A$12:$Z$41"),MATCH("Points (Auto-generate)",INDIRECT("'"&amp;$A38&amp;"'!$A$12:$Z$12"),0),0)),"ER"))</f>
        <v>?</v>
      </c>
      <c r="AG38" s="78" t="str">
        <f aca="true">IF($H38=0,"NA",IF($A38=INDIRECT("'"&amp;$A38&amp;"'!$B$1"),IF(VLOOKUP(AG$1,INDIRECT("'"&amp;$A38&amp;"'!$A$12:$Z$41"),MATCH("Points (Auto-generate)",INDIRECT("'"&amp;$A38&amp;"'!$A$12:$Z$12"),0),0)="","?",VLOOKUP(AG$1,INDIRECT("'"&amp;$A38&amp;"'!$A$12:$Z$41"),MATCH("Points (Auto-generate)",INDIRECT("'"&amp;$A38&amp;"'!$A$12:$Z$12"),0),0)),"ER"))</f>
        <v>?</v>
      </c>
      <c r="AH38" s="78" t="str">
        <f aca="true">IF($H38=0,"NA",IF($A38=INDIRECT("'"&amp;$A38&amp;"'!$B$1"),IF(VLOOKUP(AH$1,INDIRECT("'"&amp;$A38&amp;"'!$A$12:$Z$41"),MATCH("Points (Auto-generate)",INDIRECT("'"&amp;$A38&amp;"'!$A$12:$Z$12"),0),0)="","?",VLOOKUP(AH$1,INDIRECT("'"&amp;$A38&amp;"'!$A$12:$Z$41"),MATCH("Points (Auto-generate)",INDIRECT("'"&amp;$A38&amp;"'!$A$12:$Z$12"),0),0)),"ER"))</f>
        <v>?</v>
      </c>
      <c r="AI38" s="78" t="str">
        <f aca="true">IF($H38=0,"NA",IF($A38=INDIRECT("'"&amp;$A38&amp;"'!$B$1"),IF(VLOOKUP(AI$1,INDIRECT("'"&amp;$A38&amp;"'!$A$12:$Z$41"),MATCH("Points (Auto-generate)",INDIRECT("'"&amp;$A38&amp;"'!$A$12:$Z$12"),0),0)="","?",VLOOKUP(AI$1,INDIRECT("'"&amp;$A38&amp;"'!$A$12:$Z$41"),MATCH("Points (Auto-generate)",INDIRECT("'"&amp;$A38&amp;"'!$A$12:$Z$12"),0),0)),"ER"))</f>
        <v>?</v>
      </c>
      <c r="AJ38" s="78" t="str">
        <f aca="true">IF($H38=0,"NA",IF($A38=INDIRECT("'"&amp;$A38&amp;"'!$B$1"),IF(VLOOKUP(AJ$1,INDIRECT("'"&amp;$A38&amp;"'!$A$12:$Z$41"),MATCH("Points (Auto-generate)",INDIRECT("'"&amp;$A38&amp;"'!$A$12:$Z$12"),0),0)="","?",VLOOKUP(AJ$1,INDIRECT("'"&amp;$A38&amp;"'!$A$12:$Z$41"),MATCH("Points (Auto-generate)",INDIRECT("'"&amp;$A38&amp;"'!$A$12:$Z$12"),0),0)),"ER"))</f>
        <v>?</v>
      </c>
      <c r="AK38" s="78" t="str">
        <f aca="true">IF($H38=0,"NA",IF($A38=INDIRECT("'"&amp;$A38&amp;"'!$B$1"),IF(VLOOKUP(AK$1,INDIRECT("'"&amp;$A38&amp;"'!$A$12:$Z$41"),MATCH("Points (Auto-generate)",INDIRECT("'"&amp;$A38&amp;"'!$A$12:$Z$12"),0),0)="","?",VLOOKUP(AK$1,INDIRECT("'"&amp;$A38&amp;"'!$A$12:$Z$41"),MATCH("Points (Auto-generate)",INDIRECT("'"&amp;$A38&amp;"'!$A$12:$Z$12"),0),0)),"ER"))</f>
        <v>?</v>
      </c>
    </row>
    <row r="39" customFormat="false" ht="14.25" hidden="false" customHeight="true" outlineLevel="0" collapsed="false">
      <c r="A39" s="74" t="s">
        <v>93</v>
      </c>
      <c r="B39" s="75" t="str">
        <f aca="false">IF(ISBLANK($A39),"NO_CODE",VLOOKUP($A39,'UPD Questions_290926 '!$E$1:$N$300,MATCH(B$1,'UPD Questions_290926 '!$E$1:$N$1,0),0)&amp;"")</f>
        <v>Implementation</v>
      </c>
      <c r="C39" s="75" t="str">
        <f aca="false">IF(ISBLANK($A39),"NO_CODE",VLOOKUP($A39,'UPD Questions_290926 '!$E$1:$N$300,MATCH(C$1,'UPD Questions_290926 '!$E$1:$N$1,0),0)&amp;"")</f>
        <v>Municipal/City Plan status, hierarchy and coordination</v>
      </c>
      <c r="D39" s="75" t="str">
        <f aca="false">IF(ISBLANK($A39),"NO_CODE",VLOOKUP($A39,'UPD Questions_290926 '!$E$1:$N$300,MATCH(D$1,'UPD Questions_290926 '!$E$1:$N$1,0),0)&amp;"")</f>
        <v>Alignment across planning levels</v>
      </c>
      <c r="E39" s="75" t="str">
        <f aca="false">IF(ISBLANK($A39),"NO_CODE",VLOOKUP($A39,'UPD Questions_290926 '!$E$1:$N$300,MATCH(E$1,'UPD Questions_290926 '!$E$1:$N$1,0),0)&amp;"")</f>
        <v>SQ</v>
      </c>
      <c r="F39" s="75" t="str">
        <f aca="false">IF(ISBLANK($A39),"NO_CODE",VLOOKUP($A39,'UPD Questions_290926 '!$E$1:$N$300,MATCH(F$1,'UPD Questions_290926 '!$E$1:$N$1,0),0)&amp;"")</f>
        <v>Is the Municipal municipal/city plan in a concurrent or nested timeline of validity with Ward municipal/city plan?</v>
      </c>
      <c r="G39" s="75" t="str">
        <f aca="false">IF(ISBLANK($A39),"NO_CODE",VLOOKUP($A39,'UPD Questions_290926 '!$E$1:$N$300,MATCH(G$1,'UPD Questions_290926 '!$E$1:$N$1,0),0)&amp;"")</f>
        <v>Implementation</v>
      </c>
      <c r="H39" s="77" t="n">
        <f aca="false">IF(ISBLANK($A39),"NO_CODE",VLOOKUP($A39,'UPD Questions_290926 '!$E$1:$N$300,MATCH(H$1,'UPD Questions_290926 '!$E$1:$N$1,0),0))</f>
        <v>5</v>
      </c>
      <c r="I39" s="78" t="str">
        <f aca="true">IF($H39=0,"NA",IF($A39=INDIRECT("'"&amp;$A39&amp;"'!$B$1"),IF(VLOOKUP(I$1,INDIRECT("'"&amp;$A39&amp;"'!$A$12:$Z$41"),MATCH("Points (Auto-generate)",INDIRECT("'"&amp;$A39&amp;"'!$A$12:$Z$12"),0),0)="","?",VLOOKUP(I$1,INDIRECT("'"&amp;$A39&amp;"'!$A$12:$Z$41"),MATCH("Points (Auto-generate)",INDIRECT("'"&amp;$A39&amp;"'!$A$12:$Z$12"),0),0)),"ER"))</f>
        <v>?</v>
      </c>
      <c r="J39" s="78" t="str">
        <f aca="true">IF($H39=0,"NA",IF($A39=INDIRECT("'"&amp;$A39&amp;"'!$B$1"),IF(VLOOKUP(J$1,INDIRECT("'"&amp;$A39&amp;"'!$A$12:$Z$41"),MATCH("Points (Auto-generate)",INDIRECT("'"&amp;$A39&amp;"'!$A$12:$Z$12"),0),0)="","?",VLOOKUP(J$1,INDIRECT("'"&amp;$A39&amp;"'!$A$12:$Z$41"),MATCH("Points (Auto-generate)",INDIRECT("'"&amp;$A39&amp;"'!$A$12:$Z$12"),0),0)),"ER"))</f>
        <v>?</v>
      </c>
      <c r="K39" s="78" t="str">
        <f aca="true">IF($H39=0,"NA",IF($A39=INDIRECT("'"&amp;$A39&amp;"'!$B$1"),IF(VLOOKUP(K$1,INDIRECT("'"&amp;$A39&amp;"'!$A$12:$Z$41"),MATCH("Points (Auto-generate)",INDIRECT("'"&amp;$A39&amp;"'!$A$12:$Z$12"),0),0)="","?",VLOOKUP(K$1,INDIRECT("'"&amp;$A39&amp;"'!$A$12:$Z$41"),MATCH("Points (Auto-generate)",INDIRECT("'"&amp;$A39&amp;"'!$A$12:$Z$12"),0),0)),"ER"))</f>
        <v>?</v>
      </c>
      <c r="L39" s="78" t="str">
        <f aca="true">IF($H39=0,"NA",IF($A39=INDIRECT("'"&amp;$A39&amp;"'!$B$1"),IF(VLOOKUP(L$1,INDIRECT("'"&amp;$A39&amp;"'!$A$12:$Z$41"),MATCH("Points (Auto-generate)",INDIRECT("'"&amp;$A39&amp;"'!$A$12:$Z$12"),0),0)="","?",VLOOKUP(L$1,INDIRECT("'"&amp;$A39&amp;"'!$A$12:$Z$41"),MATCH("Points (Auto-generate)",INDIRECT("'"&amp;$A39&amp;"'!$A$12:$Z$12"),0),0)),"ER"))</f>
        <v>?</v>
      </c>
      <c r="M39" s="78" t="str">
        <f aca="true">IF($H39=0,"NA",IF($A39=INDIRECT("'"&amp;$A39&amp;"'!$B$1"),IF(VLOOKUP(M$1,INDIRECT("'"&amp;$A39&amp;"'!$A$12:$Z$41"),MATCH("Points (Auto-generate)",INDIRECT("'"&amp;$A39&amp;"'!$A$12:$Z$12"),0),0)="","?",VLOOKUP(M$1,INDIRECT("'"&amp;$A39&amp;"'!$A$12:$Z$41"),MATCH("Points (Auto-generate)",INDIRECT("'"&amp;$A39&amp;"'!$A$12:$Z$12"),0),0)),"ER"))</f>
        <v>?</v>
      </c>
      <c r="N39" s="78" t="str">
        <f aca="true">IF($H39=0,"NA",IF($A39=INDIRECT("'"&amp;$A39&amp;"'!$B$1"),IF(VLOOKUP(N$1,INDIRECT("'"&amp;$A39&amp;"'!$A$12:$Z$41"),MATCH("Points (Auto-generate)",INDIRECT("'"&amp;$A39&amp;"'!$A$12:$Z$12"),0),0)="","?",VLOOKUP(N$1,INDIRECT("'"&amp;$A39&amp;"'!$A$12:$Z$41"),MATCH("Points (Auto-generate)",INDIRECT("'"&amp;$A39&amp;"'!$A$12:$Z$12"),0),0)),"ER"))</f>
        <v>?</v>
      </c>
      <c r="O39" s="78" t="str">
        <f aca="true">IF($H39=0,"NA",IF($A39=INDIRECT("'"&amp;$A39&amp;"'!$B$1"),IF(VLOOKUP(O$1,INDIRECT("'"&amp;$A39&amp;"'!$A$12:$Z$41"),MATCH("Points (Auto-generate)",INDIRECT("'"&amp;$A39&amp;"'!$A$12:$Z$12"),0),0)="","?",VLOOKUP(O$1,INDIRECT("'"&amp;$A39&amp;"'!$A$12:$Z$41"),MATCH("Points (Auto-generate)",INDIRECT("'"&amp;$A39&amp;"'!$A$12:$Z$12"),0),0)),"ER"))</f>
        <v>?</v>
      </c>
      <c r="P39" s="78" t="str">
        <f aca="true">IF($H39=0,"NA",IF($A39=INDIRECT("'"&amp;$A39&amp;"'!$B$1"),IF(VLOOKUP(P$1,INDIRECT("'"&amp;$A39&amp;"'!$A$12:$Z$41"),MATCH("Points (Auto-generate)",INDIRECT("'"&amp;$A39&amp;"'!$A$12:$Z$12"),0),0)="","?",VLOOKUP(P$1,INDIRECT("'"&amp;$A39&amp;"'!$A$12:$Z$41"),MATCH("Points (Auto-generate)",INDIRECT("'"&amp;$A39&amp;"'!$A$12:$Z$12"),0),0)),"ER"))</f>
        <v>?</v>
      </c>
      <c r="Q39" s="78" t="str">
        <f aca="true">IF($H39=0,"NA",IF($A39=INDIRECT("'"&amp;$A39&amp;"'!$B$1"),IF(VLOOKUP(Q$1,INDIRECT("'"&amp;$A39&amp;"'!$A$12:$Z$41"),MATCH("Points (Auto-generate)",INDIRECT("'"&amp;$A39&amp;"'!$A$12:$Z$12"),0),0)="","?",VLOOKUP(Q$1,INDIRECT("'"&amp;$A39&amp;"'!$A$12:$Z$41"),MATCH("Points (Auto-generate)",INDIRECT("'"&amp;$A39&amp;"'!$A$12:$Z$12"),0),0)),"ER"))</f>
        <v>?</v>
      </c>
      <c r="R39" s="78" t="str">
        <f aca="true">IF($H39=0,"NA",IF($A39=INDIRECT("'"&amp;$A39&amp;"'!$B$1"),IF(VLOOKUP(R$1,INDIRECT("'"&amp;$A39&amp;"'!$A$12:$Z$41"),MATCH("Points (Auto-generate)",INDIRECT("'"&amp;$A39&amp;"'!$A$12:$Z$12"),0),0)="","?",VLOOKUP(R$1,INDIRECT("'"&amp;$A39&amp;"'!$A$12:$Z$41"),MATCH("Points (Auto-generate)",INDIRECT("'"&amp;$A39&amp;"'!$A$12:$Z$12"),0),0)),"ER"))</f>
        <v>?</v>
      </c>
      <c r="S39" s="78" t="str">
        <f aca="true">IF($H39=0,"NA",IF($A39=INDIRECT("'"&amp;$A39&amp;"'!$B$1"),IF(VLOOKUP(S$1,INDIRECT("'"&amp;$A39&amp;"'!$A$12:$Z$41"),MATCH("Points (Auto-generate)",INDIRECT("'"&amp;$A39&amp;"'!$A$12:$Z$12"),0),0)="","?",VLOOKUP(S$1,INDIRECT("'"&amp;$A39&amp;"'!$A$12:$Z$41"),MATCH("Points (Auto-generate)",INDIRECT("'"&amp;$A39&amp;"'!$A$12:$Z$12"),0),0)),"ER"))</f>
        <v>?</v>
      </c>
      <c r="T39" s="78" t="str">
        <f aca="true">IF($H39=0,"NA",IF($A39=INDIRECT("'"&amp;$A39&amp;"'!$B$1"),IF(VLOOKUP(T$1,INDIRECT("'"&amp;$A39&amp;"'!$A$12:$Z$41"),MATCH("Points (Auto-generate)",INDIRECT("'"&amp;$A39&amp;"'!$A$12:$Z$12"),0),0)="","?",VLOOKUP(T$1,INDIRECT("'"&amp;$A39&amp;"'!$A$12:$Z$41"),MATCH("Points (Auto-generate)",INDIRECT("'"&amp;$A39&amp;"'!$A$12:$Z$12"),0),0)),"ER"))</f>
        <v>?</v>
      </c>
      <c r="U39" s="78" t="str">
        <f aca="true">IF($H39=0,"NA",IF($A39=INDIRECT("'"&amp;$A39&amp;"'!$B$1"),IF(VLOOKUP(U$1,INDIRECT("'"&amp;$A39&amp;"'!$A$12:$Z$41"),MATCH("Points (Auto-generate)",INDIRECT("'"&amp;$A39&amp;"'!$A$12:$Z$12"),0),0)="","?",VLOOKUP(U$1,INDIRECT("'"&amp;$A39&amp;"'!$A$12:$Z$41"),MATCH("Points (Auto-generate)",INDIRECT("'"&amp;$A39&amp;"'!$A$12:$Z$12"),0),0)),"ER"))</f>
        <v>?</v>
      </c>
      <c r="V39" s="78" t="str">
        <f aca="true">IF($H39=0,"NA",IF($A39=INDIRECT("'"&amp;$A39&amp;"'!$B$1"),IF(VLOOKUP(V$1,INDIRECT("'"&amp;$A39&amp;"'!$A$12:$Z$41"),MATCH("Points (Auto-generate)",INDIRECT("'"&amp;$A39&amp;"'!$A$12:$Z$12"),0),0)="","?",VLOOKUP(V$1,INDIRECT("'"&amp;$A39&amp;"'!$A$12:$Z$41"),MATCH("Points (Auto-generate)",INDIRECT("'"&amp;$A39&amp;"'!$A$12:$Z$12"),0),0)),"ER"))</f>
        <v>?</v>
      </c>
      <c r="W39" s="78" t="str">
        <f aca="true">IF($H39=0,"NA",IF($A39=INDIRECT("'"&amp;$A39&amp;"'!$B$1"),IF(VLOOKUP(W$1,INDIRECT("'"&amp;$A39&amp;"'!$A$12:$Z$41"),MATCH("Points (Auto-generate)",INDIRECT("'"&amp;$A39&amp;"'!$A$12:$Z$12"),0),0)="","?",VLOOKUP(W$1,INDIRECT("'"&amp;$A39&amp;"'!$A$12:$Z$41"),MATCH("Points (Auto-generate)",INDIRECT("'"&amp;$A39&amp;"'!$A$12:$Z$12"),0),0)),"ER"))</f>
        <v>?</v>
      </c>
      <c r="X39" s="78" t="str">
        <f aca="true">IF($H39=0,"NA",IF($A39=INDIRECT("'"&amp;$A39&amp;"'!$B$1"),IF(VLOOKUP(X$1,INDIRECT("'"&amp;$A39&amp;"'!$A$12:$Z$41"),MATCH("Points (Auto-generate)",INDIRECT("'"&amp;$A39&amp;"'!$A$12:$Z$12"),0),0)="","?",VLOOKUP(X$1,INDIRECT("'"&amp;$A39&amp;"'!$A$12:$Z$41"),MATCH("Points (Auto-generate)",INDIRECT("'"&amp;$A39&amp;"'!$A$12:$Z$12"),0),0)),"ER"))</f>
        <v>?</v>
      </c>
      <c r="Y39" s="78" t="str">
        <f aca="true">IF($H39=0,"NA",IF($A39=INDIRECT("'"&amp;$A39&amp;"'!$B$1"),IF(VLOOKUP(Y$1,INDIRECT("'"&amp;$A39&amp;"'!$A$12:$Z$41"),MATCH("Points (Auto-generate)",INDIRECT("'"&amp;$A39&amp;"'!$A$12:$Z$12"),0),0)="","?",VLOOKUP(Y$1,INDIRECT("'"&amp;$A39&amp;"'!$A$12:$Z$41"),MATCH("Points (Auto-generate)",INDIRECT("'"&amp;$A39&amp;"'!$A$12:$Z$12"),0),0)),"ER"))</f>
        <v>?</v>
      </c>
      <c r="Z39" s="78" t="str">
        <f aca="true">IF($H39=0,"NA",IF($A39=INDIRECT("'"&amp;$A39&amp;"'!$B$1"),IF(VLOOKUP(Z$1,INDIRECT("'"&amp;$A39&amp;"'!$A$12:$Z$41"),MATCH("Points (Auto-generate)",INDIRECT("'"&amp;$A39&amp;"'!$A$12:$Z$12"),0),0)="","?",VLOOKUP(Z$1,INDIRECT("'"&amp;$A39&amp;"'!$A$12:$Z$41"),MATCH("Points (Auto-generate)",INDIRECT("'"&amp;$A39&amp;"'!$A$12:$Z$12"),0),0)),"ER"))</f>
        <v>?</v>
      </c>
      <c r="AA39" s="78" t="str">
        <f aca="true">IF($H39=0,"NA",IF($A39=INDIRECT("'"&amp;$A39&amp;"'!$B$1"),IF(VLOOKUP(AA$1,INDIRECT("'"&amp;$A39&amp;"'!$A$12:$Z$41"),MATCH("Points (Auto-generate)",INDIRECT("'"&amp;$A39&amp;"'!$A$12:$Z$12"),0),0)="","?",VLOOKUP(AA$1,INDIRECT("'"&amp;$A39&amp;"'!$A$12:$Z$41"),MATCH("Points (Auto-generate)",INDIRECT("'"&amp;$A39&amp;"'!$A$12:$Z$12"),0),0)),"ER"))</f>
        <v>?</v>
      </c>
      <c r="AB39" s="78" t="str">
        <f aca="true">IF($H39=0,"NA",IF($A39=INDIRECT("'"&amp;$A39&amp;"'!$B$1"),IF(VLOOKUP(AB$1,INDIRECT("'"&amp;$A39&amp;"'!$A$12:$Z$41"),MATCH("Points (Auto-generate)",INDIRECT("'"&amp;$A39&amp;"'!$A$12:$Z$12"),0),0)="","?",VLOOKUP(AB$1,INDIRECT("'"&amp;$A39&amp;"'!$A$12:$Z$41"),MATCH("Points (Auto-generate)",INDIRECT("'"&amp;$A39&amp;"'!$A$12:$Z$12"),0),0)),"ER"))</f>
        <v>?</v>
      </c>
      <c r="AC39" s="78" t="str">
        <f aca="true">IF($H39=0,"NA",IF($A39=INDIRECT("'"&amp;$A39&amp;"'!$B$1"),IF(VLOOKUP(AC$1,INDIRECT("'"&amp;$A39&amp;"'!$A$12:$Z$41"),MATCH("Points (Auto-generate)",INDIRECT("'"&amp;$A39&amp;"'!$A$12:$Z$12"),0),0)="","?",VLOOKUP(AC$1,INDIRECT("'"&amp;$A39&amp;"'!$A$12:$Z$41"),MATCH("Points (Auto-generate)",INDIRECT("'"&amp;$A39&amp;"'!$A$12:$Z$12"),0),0)),"ER"))</f>
        <v>?</v>
      </c>
      <c r="AD39" s="78" t="str">
        <f aca="true">IF($H39=0,"NA",IF($A39=INDIRECT("'"&amp;$A39&amp;"'!$B$1"),IF(VLOOKUP(AD$1,INDIRECT("'"&amp;$A39&amp;"'!$A$12:$Z$41"),MATCH("Points (Auto-generate)",INDIRECT("'"&amp;$A39&amp;"'!$A$12:$Z$12"),0),0)="","?",VLOOKUP(AD$1,INDIRECT("'"&amp;$A39&amp;"'!$A$12:$Z$41"),MATCH("Points (Auto-generate)",INDIRECT("'"&amp;$A39&amp;"'!$A$12:$Z$12"),0),0)),"ER"))</f>
        <v>?</v>
      </c>
      <c r="AE39" s="78" t="str">
        <f aca="true">IF($H39=0,"NA",IF($A39=INDIRECT("'"&amp;$A39&amp;"'!$B$1"),IF(VLOOKUP(AE$1,INDIRECT("'"&amp;$A39&amp;"'!$A$12:$Z$41"),MATCH("Points (Auto-generate)",INDIRECT("'"&amp;$A39&amp;"'!$A$12:$Z$12"),0),0)="","?",VLOOKUP(AE$1,INDIRECT("'"&amp;$A39&amp;"'!$A$12:$Z$41"),MATCH("Points (Auto-generate)",INDIRECT("'"&amp;$A39&amp;"'!$A$12:$Z$12"),0),0)),"ER"))</f>
        <v>?</v>
      </c>
      <c r="AF39" s="78" t="str">
        <f aca="true">IF($H39=0,"NA",IF($A39=INDIRECT("'"&amp;$A39&amp;"'!$B$1"),IF(VLOOKUP(AF$1,INDIRECT("'"&amp;$A39&amp;"'!$A$12:$Z$41"),MATCH("Points (Auto-generate)",INDIRECT("'"&amp;$A39&amp;"'!$A$12:$Z$12"),0),0)="","?",VLOOKUP(AF$1,INDIRECT("'"&amp;$A39&amp;"'!$A$12:$Z$41"),MATCH("Points (Auto-generate)",INDIRECT("'"&amp;$A39&amp;"'!$A$12:$Z$12"),0),0)),"ER"))</f>
        <v>?</v>
      </c>
      <c r="AG39" s="78" t="str">
        <f aca="true">IF($H39=0,"NA",IF($A39=INDIRECT("'"&amp;$A39&amp;"'!$B$1"),IF(VLOOKUP(AG$1,INDIRECT("'"&amp;$A39&amp;"'!$A$12:$Z$41"),MATCH("Points (Auto-generate)",INDIRECT("'"&amp;$A39&amp;"'!$A$12:$Z$12"),0),0)="","?",VLOOKUP(AG$1,INDIRECT("'"&amp;$A39&amp;"'!$A$12:$Z$41"),MATCH("Points (Auto-generate)",INDIRECT("'"&amp;$A39&amp;"'!$A$12:$Z$12"),0),0)),"ER"))</f>
        <v>?</v>
      </c>
      <c r="AH39" s="78" t="str">
        <f aca="true">IF($H39=0,"NA",IF($A39=INDIRECT("'"&amp;$A39&amp;"'!$B$1"),IF(VLOOKUP(AH$1,INDIRECT("'"&amp;$A39&amp;"'!$A$12:$Z$41"),MATCH("Points (Auto-generate)",INDIRECT("'"&amp;$A39&amp;"'!$A$12:$Z$12"),0),0)="","?",VLOOKUP(AH$1,INDIRECT("'"&amp;$A39&amp;"'!$A$12:$Z$41"),MATCH("Points (Auto-generate)",INDIRECT("'"&amp;$A39&amp;"'!$A$12:$Z$12"),0),0)),"ER"))</f>
        <v>?</v>
      </c>
      <c r="AI39" s="78" t="str">
        <f aca="true">IF($H39=0,"NA",IF($A39=INDIRECT("'"&amp;$A39&amp;"'!$B$1"),IF(VLOOKUP(AI$1,INDIRECT("'"&amp;$A39&amp;"'!$A$12:$Z$41"),MATCH("Points (Auto-generate)",INDIRECT("'"&amp;$A39&amp;"'!$A$12:$Z$12"),0),0)="","?",VLOOKUP(AI$1,INDIRECT("'"&amp;$A39&amp;"'!$A$12:$Z$41"),MATCH("Points (Auto-generate)",INDIRECT("'"&amp;$A39&amp;"'!$A$12:$Z$12"),0),0)),"ER"))</f>
        <v>?</v>
      </c>
      <c r="AJ39" s="78" t="str">
        <f aca="true">IF($H39=0,"NA",IF($A39=INDIRECT("'"&amp;$A39&amp;"'!$B$1"),IF(VLOOKUP(AJ$1,INDIRECT("'"&amp;$A39&amp;"'!$A$12:$Z$41"),MATCH("Points (Auto-generate)",INDIRECT("'"&amp;$A39&amp;"'!$A$12:$Z$12"),0),0)="","?",VLOOKUP(AJ$1,INDIRECT("'"&amp;$A39&amp;"'!$A$12:$Z$41"),MATCH("Points (Auto-generate)",INDIRECT("'"&amp;$A39&amp;"'!$A$12:$Z$12"),0),0)),"ER"))</f>
        <v>?</v>
      </c>
      <c r="AK39" s="78" t="str">
        <f aca="true">IF($H39=0,"NA",IF($A39=INDIRECT("'"&amp;$A39&amp;"'!$B$1"),IF(VLOOKUP(AK$1,INDIRECT("'"&amp;$A39&amp;"'!$A$12:$Z$41"),MATCH("Points (Auto-generate)",INDIRECT("'"&amp;$A39&amp;"'!$A$12:$Z$12"),0),0)="","?",VLOOKUP(AK$1,INDIRECT("'"&amp;$A39&amp;"'!$A$12:$Z$41"),MATCH("Points (Auto-generate)",INDIRECT("'"&amp;$A39&amp;"'!$A$12:$Z$12"),0),0)),"ER"))</f>
        <v>?</v>
      </c>
    </row>
    <row r="40" customFormat="false" ht="14.25" hidden="false" customHeight="true" outlineLevel="0" collapsed="false">
      <c r="A40" s="74" t="s">
        <v>202</v>
      </c>
      <c r="B40" s="75" t="str">
        <f aca="false">IF(ISBLANK($A40),"NO_CODE",VLOOKUP($A40,'UPD Questions_290926 '!$E$1:$N$300,MATCH(B$1,'UPD Questions_290926 '!$E$1:$N$1,0),0)&amp;"")</f>
        <v>Implementation</v>
      </c>
      <c r="C40" s="75" t="str">
        <f aca="false">IF(ISBLANK($A40),"NO_CODE",VLOOKUP($A40,'UPD Questions_290926 '!$E$1:$N$300,MATCH(C$1,'UPD Questions_290926 '!$E$1:$N$1,0),0)&amp;"")</f>
        <v>Municipal/City Plan status, hierarchy and coordination</v>
      </c>
      <c r="D40" s="75" t="str">
        <f aca="false">IF(ISBLANK($A40),"NO_CODE",VLOOKUP($A40,'UPD Questions_290926 '!$E$1:$N$300,MATCH(D$1,'UPD Questions_290926 '!$E$1:$N$1,0),0)&amp;"")</f>
        <v>Inter-agency coordination and integration</v>
      </c>
      <c r="E40" s="75" t="str">
        <f aca="false">IF(ISBLANK($A40),"NO_CODE",VLOOKUP($A40,'UPD Questions_290926 '!$E$1:$N$300,MATCH(E$1,'UPD Questions_290926 '!$E$1:$N$1,0),0)&amp;"")</f>
        <v>MQ</v>
      </c>
      <c r="F40" s="75" t="str">
        <f aca="false">IF(ISBLANK($A40),"NO_CODE",VLOOKUP($A40,'UPD Questions_290926 '!$E$1:$N$300,MATCH(F$1,'UPD Questions_290926 '!$E$1:$N$1,0),0)&amp;"")</f>
        <v>Do the municipal/city plans at each level, integrate the plans and priorities of various sectoral public departments and agencies? </v>
      </c>
      <c r="G40" s="75" t="str">
        <f aca="false">IF(ISBLANK($A40),"NO_CODE",VLOOKUP($A40,'UPD Questions_290926 '!$E$1:$N$300,MATCH(G$1,'UPD Questions_290926 '!$E$1:$N$1,0),0)&amp;"")</f>
        <v>Implementation</v>
      </c>
      <c r="H40" s="77" t="n">
        <f aca="false">IF(ISBLANK($A40),"NO_CODE",VLOOKUP($A40,'UPD Questions_290926 '!$E$1:$N$300,MATCH(H$1,'UPD Questions_290926 '!$E$1:$N$1,0),0))</f>
        <v>10</v>
      </c>
      <c r="I40" s="78" t="str">
        <f aca="true">IF($H40=0,"NA",IF($A40=INDIRECT("'"&amp;$A40&amp;"'!$B$1"),IF(VLOOKUP(I$1,INDIRECT("'"&amp;$A40&amp;"'!$A$12:$Z$41"),MATCH("Points (Auto-generate)",INDIRECT("'"&amp;$A40&amp;"'!$A$12:$Z$12"),0),0)="","?",VLOOKUP(I$1,INDIRECT("'"&amp;$A40&amp;"'!$A$12:$Z$41"),MATCH("Points (Auto-generate)",INDIRECT("'"&amp;$A40&amp;"'!$A$12:$Z$12"),0),0)),"ER"))</f>
        <v>?</v>
      </c>
      <c r="J40" s="78" t="n">
        <f aca="true">IF($H40=0,"NA",IF($A40=INDIRECT("'"&amp;$A40&amp;"'!$B$1"),IF(VLOOKUP(J$1,INDIRECT("'"&amp;$A40&amp;"'!$A$12:$Z$41"),MATCH("Points (Auto-generate)",INDIRECT("'"&amp;$A40&amp;"'!$A$12:$Z$12"),0),0)="","?",VLOOKUP(J$1,INDIRECT("'"&amp;$A40&amp;"'!$A$12:$Z$41"),MATCH("Points (Auto-generate)",INDIRECT("'"&amp;$A40&amp;"'!$A$12:$Z$12"),0),0)),"ER"))</f>
        <v>0</v>
      </c>
      <c r="K40" s="78" t="str">
        <f aca="true">IF($H40=0,"NA",IF($A40=INDIRECT("'"&amp;$A40&amp;"'!$B$1"),IF(VLOOKUP(K$1,INDIRECT("'"&amp;$A40&amp;"'!$A$12:$Z$41"),MATCH("Points (Auto-generate)",INDIRECT("'"&amp;$A40&amp;"'!$A$12:$Z$12"),0),0)="","?",VLOOKUP(K$1,INDIRECT("'"&amp;$A40&amp;"'!$A$12:$Z$41"),MATCH("Points (Auto-generate)",INDIRECT("'"&amp;$A40&amp;"'!$A$12:$Z$12"),0),0)),"ER"))</f>
        <v>?</v>
      </c>
      <c r="L40" s="78" t="str">
        <f aca="true">IF($H40=0,"NA",IF($A40=INDIRECT("'"&amp;$A40&amp;"'!$B$1"),IF(VLOOKUP(L$1,INDIRECT("'"&amp;$A40&amp;"'!$A$12:$Z$41"),MATCH("Points (Auto-generate)",INDIRECT("'"&amp;$A40&amp;"'!$A$12:$Z$12"),0),0)="","?",VLOOKUP(L$1,INDIRECT("'"&amp;$A40&amp;"'!$A$12:$Z$41"),MATCH("Points (Auto-generate)",INDIRECT("'"&amp;$A40&amp;"'!$A$12:$Z$12"),0),0)),"ER"))</f>
        <v>?</v>
      </c>
      <c r="M40" s="78" t="str">
        <f aca="true">IF($H40=0,"NA",IF($A40=INDIRECT("'"&amp;$A40&amp;"'!$B$1"),IF(VLOOKUP(M$1,INDIRECT("'"&amp;$A40&amp;"'!$A$12:$Z$41"),MATCH("Points (Auto-generate)",INDIRECT("'"&amp;$A40&amp;"'!$A$12:$Z$12"),0),0)="","?",VLOOKUP(M$1,INDIRECT("'"&amp;$A40&amp;"'!$A$12:$Z$41"),MATCH("Points (Auto-generate)",INDIRECT("'"&amp;$A40&amp;"'!$A$12:$Z$12"),0),0)),"ER"))</f>
        <v>?</v>
      </c>
      <c r="N40" s="78" t="str">
        <f aca="true">IF($H40=0,"NA",IF($A40=INDIRECT("'"&amp;$A40&amp;"'!$B$1"),IF(VLOOKUP(N$1,INDIRECT("'"&amp;$A40&amp;"'!$A$12:$Z$41"),MATCH("Points (Auto-generate)",INDIRECT("'"&amp;$A40&amp;"'!$A$12:$Z$12"),0),0)="","?",VLOOKUP(N$1,INDIRECT("'"&amp;$A40&amp;"'!$A$12:$Z$41"),MATCH("Points (Auto-generate)",INDIRECT("'"&amp;$A40&amp;"'!$A$12:$Z$12"),0),0)),"ER"))</f>
        <v>?</v>
      </c>
      <c r="O40" s="78" t="str">
        <f aca="true">IF($H40=0,"NA",IF($A40=INDIRECT("'"&amp;$A40&amp;"'!$B$1"),IF(VLOOKUP(O$1,INDIRECT("'"&amp;$A40&amp;"'!$A$12:$Z$41"),MATCH("Points (Auto-generate)",INDIRECT("'"&amp;$A40&amp;"'!$A$12:$Z$12"),0),0)="","?",VLOOKUP(O$1,INDIRECT("'"&amp;$A40&amp;"'!$A$12:$Z$41"),MATCH("Points (Auto-generate)",INDIRECT("'"&amp;$A40&amp;"'!$A$12:$Z$12"),0),0)),"ER"))</f>
        <v>?</v>
      </c>
      <c r="P40" s="78" t="str">
        <f aca="true">IF($H40=0,"NA",IF($A40=INDIRECT("'"&amp;$A40&amp;"'!$B$1"),IF(VLOOKUP(P$1,INDIRECT("'"&amp;$A40&amp;"'!$A$12:$Z$41"),MATCH("Points (Auto-generate)",INDIRECT("'"&amp;$A40&amp;"'!$A$12:$Z$12"),0),0)="","?",VLOOKUP(P$1,INDIRECT("'"&amp;$A40&amp;"'!$A$12:$Z$41"),MATCH("Points (Auto-generate)",INDIRECT("'"&amp;$A40&amp;"'!$A$12:$Z$12"),0),0)),"ER"))</f>
        <v>?</v>
      </c>
      <c r="Q40" s="78" t="str">
        <f aca="true">IF($H40=0,"NA",IF($A40=INDIRECT("'"&amp;$A40&amp;"'!$B$1"),IF(VLOOKUP(Q$1,INDIRECT("'"&amp;$A40&amp;"'!$A$12:$Z$41"),MATCH("Points (Auto-generate)",INDIRECT("'"&amp;$A40&amp;"'!$A$12:$Z$12"),0),0)="","?",VLOOKUP(Q$1,INDIRECT("'"&amp;$A40&amp;"'!$A$12:$Z$41"),MATCH("Points (Auto-generate)",INDIRECT("'"&amp;$A40&amp;"'!$A$12:$Z$12"),0),0)),"ER"))</f>
        <v>?</v>
      </c>
      <c r="R40" s="78" t="str">
        <f aca="true">IF($H40=0,"NA",IF($A40=INDIRECT("'"&amp;$A40&amp;"'!$B$1"),IF(VLOOKUP(R$1,INDIRECT("'"&amp;$A40&amp;"'!$A$12:$Z$41"),MATCH("Points (Auto-generate)",INDIRECT("'"&amp;$A40&amp;"'!$A$12:$Z$12"),0),0)="","?",VLOOKUP(R$1,INDIRECT("'"&amp;$A40&amp;"'!$A$12:$Z$41"),MATCH("Points (Auto-generate)",INDIRECT("'"&amp;$A40&amp;"'!$A$12:$Z$12"),0),0)),"ER"))</f>
        <v>?</v>
      </c>
      <c r="S40" s="78" t="str">
        <f aca="true">IF($H40=0,"NA",IF($A40=INDIRECT("'"&amp;$A40&amp;"'!$B$1"),IF(VLOOKUP(S$1,INDIRECT("'"&amp;$A40&amp;"'!$A$12:$Z$41"),MATCH("Points (Auto-generate)",INDIRECT("'"&amp;$A40&amp;"'!$A$12:$Z$12"),0),0)="","?",VLOOKUP(S$1,INDIRECT("'"&amp;$A40&amp;"'!$A$12:$Z$41"),MATCH("Points (Auto-generate)",INDIRECT("'"&amp;$A40&amp;"'!$A$12:$Z$12"),0),0)),"ER"))</f>
        <v>?</v>
      </c>
      <c r="T40" s="78" t="str">
        <f aca="true">IF($H40=0,"NA",IF($A40=INDIRECT("'"&amp;$A40&amp;"'!$B$1"),IF(VLOOKUP(T$1,INDIRECT("'"&amp;$A40&amp;"'!$A$12:$Z$41"),MATCH("Points (Auto-generate)",INDIRECT("'"&amp;$A40&amp;"'!$A$12:$Z$12"),0),0)="","?",VLOOKUP(T$1,INDIRECT("'"&amp;$A40&amp;"'!$A$12:$Z$41"),MATCH("Points (Auto-generate)",INDIRECT("'"&amp;$A40&amp;"'!$A$12:$Z$12"),0),0)),"ER"))</f>
        <v>?</v>
      </c>
      <c r="U40" s="78" t="str">
        <f aca="true">IF($H40=0,"NA",IF($A40=INDIRECT("'"&amp;$A40&amp;"'!$B$1"),IF(VLOOKUP(U$1,INDIRECT("'"&amp;$A40&amp;"'!$A$12:$Z$41"),MATCH("Points (Auto-generate)",INDIRECT("'"&amp;$A40&amp;"'!$A$12:$Z$12"),0),0)="","?",VLOOKUP(U$1,INDIRECT("'"&amp;$A40&amp;"'!$A$12:$Z$41"),MATCH("Points (Auto-generate)",INDIRECT("'"&amp;$A40&amp;"'!$A$12:$Z$12"),0),0)),"ER"))</f>
        <v>?</v>
      </c>
      <c r="V40" s="78" t="str">
        <f aca="true">IF($H40=0,"NA",IF($A40=INDIRECT("'"&amp;$A40&amp;"'!$B$1"),IF(VLOOKUP(V$1,INDIRECT("'"&amp;$A40&amp;"'!$A$12:$Z$41"),MATCH("Points (Auto-generate)",INDIRECT("'"&amp;$A40&amp;"'!$A$12:$Z$12"),0),0)="","?",VLOOKUP(V$1,INDIRECT("'"&amp;$A40&amp;"'!$A$12:$Z$41"),MATCH("Points (Auto-generate)",INDIRECT("'"&amp;$A40&amp;"'!$A$12:$Z$12"),0),0)),"ER"))</f>
        <v>?</v>
      </c>
      <c r="W40" s="78" t="str">
        <f aca="true">IF($H40=0,"NA",IF($A40=INDIRECT("'"&amp;$A40&amp;"'!$B$1"),IF(VLOOKUP(W$1,INDIRECT("'"&amp;$A40&amp;"'!$A$12:$Z$41"),MATCH("Points (Auto-generate)",INDIRECT("'"&amp;$A40&amp;"'!$A$12:$Z$12"),0),0)="","?",VLOOKUP(W$1,INDIRECT("'"&amp;$A40&amp;"'!$A$12:$Z$41"),MATCH("Points (Auto-generate)",INDIRECT("'"&amp;$A40&amp;"'!$A$12:$Z$12"),0),0)),"ER"))</f>
        <v>?</v>
      </c>
      <c r="X40" s="78" t="str">
        <f aca="true">IF($H40=0,"NA",IF($A40=INDIRECT("'"&amp;$A40&amp;"'!$B$1"),IF(VLOOKUP(X$1,INDIRECT("'"&amp;$A40&amp;"'!$A$12:$Z$41"),MATCH("Points (Auto-generate)",INDIRECT("'"&amp;$A40&amp;"'!$A$12:$Z$12"),0),0)="","?",VLOOKUP(X$1,INDIRECT("'"&amp;$A40&amp;"'!$A$12:$Z$41"),MATCH("Points (Auto-generate)",INDIRECT("'"&amp;$A40&amp;"'!$A$12:$Z$12"),0),0)),"ER"))</f>
        <v>?</v>
      </c>
      <c r="Y40" s="78" t="str">
        <f aca="true">IF($H40=0,"NA",IF($A40=INDIRECT("'"&amp;$A40&amp;"'!$B$1"),IF(VLOOKUP(Y$1,INDIRECT("'"&amp;$A40&amp;"'!$A$12:$Z$41"),MATCH("Points (Auto-generate)",INDIRECT("'"&amp;$A40&amp;"'!$A$12:$Z$12"),0),0)="","?",VLOOKUP(Y$1,INDIRECT("'"&amp;$A40&amp;"'!$A$12:$Z$41"),MATCH("Points (Auto-generate)",INDIRECT("'"&amp;$A40&amp;"'!$A$12:$Z$12"),0),0)),"ER"))</f>
        <v>?</v>
      </c>
      <c r="Z40" s="78" t="str">
        <f aca="true">IF($H40=0,"NA",IF($A40=INDIRECT("'"&amp;$A40&amp;"'!$B$1"),IF(VLOOKUP(Z$1,INDIRECT("'"&amp;$A40&amp;"'!$A$12:$Z$41"),MATCH("Points (Auto-generate)",INDIRECT("'"&amp;$A40&amp;"'!$A$12:$Z$12"),0),0)="","?",VLOOKUP(Z$1,INDIRECT("'"&amp;$A40&amp;"'!$A$12:$Z$41"),MATCH("Points (Auto-generate)",INDIRECT("'"&amp;$A40&amp;"'!$A$12:$Z$12"),0),0)),"ER"))</f>
        <v>?</v>
      </c>
      <c r="AA40" s="78" t="str">
        <f aca="true">IF($H40=0,"NA",IF($A40=INDIRECT("'"&amp;$A40&amp;"'!$B$1"),IF(VLOOKUP(AA$1,INDIRECT("'"&amp;$A40&amp;"'!$A$12:$Z$41"),MATCH("Points (Auto-generate)",INDIRECT("'"&amp;$A40&amp;"'!$A$12:$Z$12"),0),0)="","?",VLOOKUP(AA$1,INDIRECT("'"&amp;$A40&amp;"'!$A$12:$Z$41"),MATCH("Points (Auto-generate)",INDIRECT("'"&amp;$A40&amp;"'!$A$12:$Z$12"),0),0)),"ER"))</f>
        <v>?</v>
      </c>
      <c r="AB40" s="78" t="str">
        <f aca="true">IF($H40=0,"NA",IF($A40=INDIRECT("'"&amp;$A40&amp;"'!$B$1"),IF(VLOOKUP(AB$1,INDIRECT("'"&amp;$A40&amp;"'!$A$12:$Z$41"),MATCH("Points (Auto-generate)",INDIRECT("'"&amp;$A40&amp;"'!$A$12:$Z$12"),0),0)="","?",VLOOKUP(AB$1,INDIRECT("'"&amp;$A40&amp;"'!$A$12:$Z$41"),MATCH("Points (Auto-generate)",INDIRECT("'"&amp;$A40&amp;"'!$A$12:$Z$12"),0),0)),"ER"))</f>
        <v>?</v>
      </c>
      <c r="AC40" s="78" t="str">
        <f aca="true">IF($H40=0,"NA",IF($A40=INDIRECT("'"&amp;$A40&amp;"'!$B$1"),IF(VLOOKUP(AC$1,INDIRECT("'"&amp;$A40&amp;"'!$A$12:$Z$41"),MATCH("Points (Auto-generate)",INDIRECT("'"&amp;$A40&amp;"'!$A$12:$Z$12"),0),0)="","?",VLOOKUP(AC$1,INDIRECT("'"&amp;$A40&amp;"'!$A$12:$Z$41"),MATCH("Points (Auto-generate)",INDIRECT("'"&amp;$A40&amp;"'!$A$12:$Z$12"),0),0)),"ER"))</f>
        <v>?</v>
      </c>
      <c r="AD40" s="78" t="str">
        <f aca="true">IF($H40=0,"NA",IF($A40=INDIRECT("'"&amp;$A40&amp;"'!$B$1"),IF(VLOOKUP(AD$1,INDIRECT("'"&amp;$A40&amp;"'!$A$12:$Z$41"),MATCH("Points (Auto-generate)",INDIRECT("'"&amp;$A40&amp;"'!$A$12:$Z$12"),0),0)="","?",VLOOKUP(AD$1,INDIRECT("'"&amp;$A40&amp;"'!$A$12:$Z$41"),MATCH("Points (Auto-generate)",INDIRECT("'"&amp;$A40&amp;"'!$A$12:$Z$12"),0),0)),"ER"))</f>
        <v>?</v>
      </c>
      <c r="AE40" s="78" t="str">
        <f aca="true">IF($H40=0,"NA",IF($A40=INDIRECT("'"&amp;$A40&amp;"'!$B$1"),IF(VLOOKUP(AE$1,INDIRECT("'"&amp;$A40&amp;"'!$A$12:$Z$41"),MATCH("Points (Auto-generate)",INDIRECT("'"&amp;$A40&amp;"'!$A$12:$Z$12"),0),0)="","?",VLOOKUP(AE$1,INDIRECT("'"&amp;$A40&amp;"'!$A$12:$Z$41"),MATCH("Points (Auto-generate)",INDIRECT("'"&amp;$A40&amp;"'!$A$12:$Z$12"),0),0)),"ER"))</f>
        <v>?</v>
      </c>
      <c r="AF40" s="78" t="str">
        <f aca="true">IF($H40=0,"NA",IF($A40=INDIRECT("'"&amp;$A40&amp;"'!$B$1"),IF(VLOOKUP(AF$1,INDIRECT("'"&amp;$A40&amp;"'!$A$12:$Z$41"),MATCH("Points (Auto-generate)",INDIRECT("'"&amp;$A40&amp;"'!$A$12:$Z$12"),0),0)="","?",VLOOKUP(AF$1,INDIRECT("'"&amp;$A40&amp;"'!$A$12:$Z$41"),MATCH("Points (Auto-generate)",INDIRECT("'"&amp;$A40&amp;"'!$A$12:$Z$12"),0),0)),"ER"))</f>
        <v>?</v>
      </c>
      <c r="AG40" s="78" t="str">
        <f aca="true">IF($H40=0,"NA",IF($A40=INDIRECT("'"&amp;$A40&amp;"'!$B$1"),IF(VLOOKUP(AG$1,INDIRECT("'"&amp;$A40&amp;"'!$A$12:$Z$41"),MATCH("Points (Auto-generate)",INDIRECT("'"&amp;$A40&amp;"'!$A$12:$Z$12"),0),0)="","?",VLOOKUP(AG$1,INDIRECT("'"&amp;$A40&amp;"'!$A$12:$Z$41"),MATCH("Points (Auto-generate)",INDIRECT("'"&amp;$A40&amp;"'!$A$12:$Z$12"),0),0)),"ER"))</f>
        <v>?</v>
      </c>
      <c r="AH40" s="78" t="str">
        <f aca="true">IF($H40=0,"NA",IF($A40=INDIRECT("'"&amp;$A40&amp;"'!$B$1"),IF(VLOOKUP(AH$1,INDIRECT("'"&amp;$A40&amp;"'!$A$12:$Z$41"),MATCH("Points (Auto-generate)",INDIRECT("'"&amp;$A40&amp;"'!$A$12:$Z$12"),0),0)="","?",VLOOKUP(AH$1,INDIRECT("'"&amp;$A40&amp;"'!$A$12:$Z$41"),MATCH("Points (Auto-generate)",INDIRECT("'"&amp;$A40&amp;"'!$A$12:$Z$12"),0),0)),"ER"))</f>
        <v>?</v>
      </c>
      <c r="AI40" s="78" t="str">
        <f aca="true">IF($H40=0,"NA",IF($A40=INDIRECT("'"&amp;$A40&amp;"'!$B$1"),IF(VLOOKUP(AI$1,INDIRECT("'"&amp;$A40&amp;"'!$A$12:$Z$41"),MATCH("Points (Auto-generate)",INDIRECT("'"&amp;$A40&amp;"'!$A$12:$Z$12"),0),0)="","?",VLOOKUP(AI$1,INDIRECT("'"&amp;$A40&amp;"'!$A$12:$Z$41"),MATCH("Points (Auto-generate)",INDIRECT("'"&amp;$A40&amp;"'!$A$12:$Z$12"),0),0)),"ER"))</f>
        <v>?</v>
      </c>
      <c r="AJ40" s="78" t="str">
        <f aca="true">IF($H40=0,"NA",IF($A40=INDIRECT("'"&amp;$A40&amp;"'!$B$1"),IF(VLOOKUP(AJ$1,INDIRECT("'"&amp;$A40&amp;"'!$A$12:$Z$41"),MATCH("Points (Auto-generate)",INDIRECT("'"&amp;$A40&amp;"'!$A$12:$Z$12"),0),0)="","?",VLOOKUP(AJ$1,INDIRECT("'"&amp;$A40&amp;"'!$A$12:$Z$41"),MATCH("Points (Auto-generate)",INDIRECT("'"&amp;$A40&amp;"'!$A$12:$Z$12"),0),0)),"ER"))</f>
        <v>?</v>
      </c>
      <c r="AK40" s="78" t="str">
        <f aca="true">IF($H40=0,"NA",IF($A40=INDIRECT("'"&amp;$A40&amp;"'!$B$1"),IF(VLOOKUP(AK$1,INDIRECT("'"&amp;$A40&amp;"'!$A$12:$Z$41"),MATCH("Points (Auto-generate)",INDIRECT("'"&amp;$A40&amp;"'!$A$12:$Z$12"),0),0)="","?",VLOOKUP(AK$1,INDIRECT("'"&amp;$A40&amp;"'!$A$12:$Z$41"),MATCH("Points (Auto-generate)",INDIRECT("'"&amp;$A40&amp;"'!$A$12:$Z$12"),0),0)),"ER"))</f>
        <v>?</v>
      </c>
    </row>
    <row r="41" customFormat="false" ht="14.25" hidden="false" customHeight="true" outlineLevel="0" collapsed="false">
      <c r="A41" s="74" t="s">
        <v>111</v>
      </c>
      <c r="B41" s="75" t="str">
        <f aca="false">IF(ISBLANK($A41),"NO_CODE",VLOOKUP($A41,'UPD Questions_290926 '!$E$1:$N$300,MATCH(B$1,'UPD Questions_290926 '!$E$1:$N$1,0),0)&amp;"")</f>
        <v>Implementation</v>
      </c>
      <c r="C41" s="75" t="str">
        <f aca="false">IF(ISBLANK($A41),"NO_CODE",VLOOKUP($A41,'UPD Questions_290926 '!$E$1:$N$300,MATCH(C$1,'UPD Questions_290926 '!$E$1:$N$1,0),0)&amp;"")</f>
        <v>Municipal/City Plan status, hierarchy and coordination</v>
      </c>
      <c r="D41" s="75" t="str">
        <f aca="false">IF(ISBLANK($A41),"NO_CODE",VLOOKUP($A41,'UPD Questions_290926 '!$E$1:$N$300,MATCH(D$1,'UPD Questions_290926 '!$E$1:$N$1,0),0)&amp;"")</f>
        <v>Objectives of the Municipal/City Plan</v>
      </c>
      <c r="E41" s="75" t="str">
        <f aca="false">IF(ISBLANK($A41),"NO_CODE",VLOOKUP($A41,'UPD Questions_290926 '!$E$1:$N$300,MATCH(E$1,'UPD Questions_290926 '!$E$1:$N$1,0),0)&amp;"")</f>
        <v>MQ</v>
      </c>
      <c r="F41" s="75" t="str">
        <f aca="false">IF(ISBLANK($A41),"NO_CODE",VLOOKUP($A41,'UPD Questions_290926 '!$E$1:$N$300,MATCH(F$1,'UPD Questions_290926 '!$E$1:$N$1,0),0)&amp;"")</f>
        <v>Does the municipal/city plan include objectives on jobs and economy?</v>
      </c>
      <c r="G41" s="75" t="str">
        <f aca="false">IF(ISBLANK($A41),"NO_CODE",VLOOKUP($A41,'UPD Questions_290926 '!$E$1:$N$300,MATCH(G$1,'UPD Questions_290926 '!$E$1:$N$1,0),0)&amp;"")</f>
        <v>Implementation</v>
      </c>
      <c r="H41" s="77" t="n">
        <f aca="false">IF(ISBLANK($A41),"NO_CODE",VLOOKUP($A41,'UPD Questions_290926 '!$E$1:$N$300,MATCH(H$1,'UPD Questions_290926 '!$E$1:$N$1,0),0))</f>
        <v>10</v>
      </c>
      <c r="I41" s="78" t="str">
        <f aca="true">IF($H41=0,"NA",IF($A41=INDIRECT("'"&amp;$A41&amp;"'!$B$1"),IF(VLOOKUP(I$1,INDIRECT("'"&amp;$A41&amp;"'!$A$12:$Z$41"),MATCH("Points (Auto-generate)",INDIRECT("'"&amp;$A41&amp;"'!$A$12:$Z$12"),0),0)="","?",VLOOKUP(I$1,INDIRECT("'"&amp;$A41&amp;"'!$A$12:$Z$41"),MATCH("Points (Auto-generate)",INDIRECT("'"&amp;$A41&amp;"'!$A$12:$Z$12"),0),0)),"ER"))</f>
        <v>?</v>
      </c>
      <c r="J41" s="78" t="n">
        <f aca="true">IF($H41=0,"NA",IF($A41=INDIRECT("'"&amp;$A41&amp;"'!$B$1"),IF(VLOOKUP(J$1,INDIRECT("'"&amp;$A41&amp;"'!$A$12:$Z$41"),MATCH("Points (Auto-generate)",INDIRECT("'"&amp;$A41&amp;"'!$A$12:$Z$12"),0),0)="","?",VLOOKUP(J$1,INDIRECT("'"&amp;$A41&amp;"'!$A$12:$Z$41"),MATCH("Points (Auto-generate)",INDIRECT("'"&amp;$A41&amp;"'!$A$12:$Z$12"),0),0)),"ER"))</f>
        <v>0</v>
      </c>
      <c r="K41" s="78" t="str">
        <f aca="true">IF($H41=0,"NA",IF($A41=INDIRECT("'"&amp;$A41&amp;"'!$B$1"),IF(VLOOKUP(K$1,INDIRECT("'"&amp;$A41&amp;"'!$A$12:$Z$41"),MATCH("Points (Auto-generate)",INDIRECT("'"&amp;$A41&amp;"'!$A$12:$Z$12"),0),0)="","?",VLOOKUP(K$1,INDIRECT("'"&amp;$A41&amp;"'!$A$12:$Z$41"),MATCH("Points (Auto-generate)",INDIRECT("'"&amp;$A41&amp;"'!$A$12:$Z$12"),0),0)),"ER"))</f>
        <v>?</v>
      </c>
      <c r="L41" s="78" t="str">
        <f aca="true">IF($H41=0,"NA",IF($A41=INDIRECT("'"&amp;$A41&amp;"'!$B$1"),IF(VLOOKUP(L$1,INDIRECT("'"&amp;$A41&amp;"'!$A$12:$Z$41"),MATCH("Points (Auto-generate)",INDIRECT("'"&amp;$A41&amp;"'!$A$12:$Z$12"),0),0)="","?",VLOOKUP(L$1,INDIRECT("'"&amp;$A41&amp;"'!$A$12:$Z$41"),MATCH("Points (Auto-generate)",INDIRECT("'"&amp;$A41&amp;"'!$A$12:$Z$12"),0),0)),"ER"))</f>
        <v>?</v>
      </c>
      <c r="M41" s="78" t="str">
        <f aca="true">IF($H41=0,"NA",IF($A41=INDIRECT("'"&amp;$A41&amp;"'!$B$1"),IF(VLOOKUP(M$1,INDIRECT("'"&amp;$A41&amp;"'!$A$12:$Z$41"),MATCH("Points (Auto-generate)",INDIRECT("'"&amp;$A41&amp;"'!$A$12:$Z$12"),0),0)="","?",VLOOKUP(M$1,INDIRECT("'"&amp;$A41&amp;"'!$A$12:$Z$41"),MATCH("Points (Auto-generate)",INDIRECT("'"&amp;$A41&amp;"'!$A$12:$Z$12"),0),0)),"ER"))</f>
        <v>?</v>
      </c>
      <c r="N41" s="78" t="str">
        <f aca="true">IF($H41=0,"NA",IF($A41=INDIRECT("'"&amp;$A41&amp;"'!$B$1"),IF(VLOOKUP(N$1,INDIRECT("'"&amp;$A41&amp;"'!$A$12:$Z$41"),MATCH("Points (Auto-generate)",INDIRECT("'"&amp;$A41&amp;"'!$A$12:$Z$12"),0),0)="","?",VLOOKUP(N$1,INDIRECT("'"&amp;$A41&amp;"'!$A$12:$Z$41"),MATCH("Points (Auto-generate)",INDIRECT("'"&amp;$A41&amp;"'!$A$12:$Z$12"),0),0)),"ER"))</f>
        <v>?</v>
      </c>
      <c r="O41" s="78" t="str">
        <f aca="true">IF($H41=0,"NA",IF($A41=INDIRECT("'"&amp;$A41&amp;"'!$B$1"),IF(VLOOKUP(O$1,INDIRECT("'"&amp;$A41&amp;"'!$A$12:$Z$41"),MATCH("Points (Auto-generate)",INDIRECT("'"&amp;$A41&amp;"'!$A$12:$Z$12"),0),0)="","?",VLOOKUP(O$1,INDIRECT("'"&amp;$A41&amp;"'!$A$12:$Z$41"),MATCH("Points (Auto-generate)",INDIRECT("'"&amp;$A41&amp;"'!$A$12:$Z$12"),0),0)),"ER"))</f>
        <v>?</v>
      </c>
      <c r="P41" s="78" t="str">
        <f aca="true">IF($H41=0,"NA",IF($A41=INDIRECT("'"&amp;$A41&amp;"'!$B$1"),IF(VLOOKUP(P$1,INDIRECT("'"&amp;$A41&amp;"'!$A$12:$Z$41"),MATCH("Points (Auto-generate)",INDIRECT("'"&amp;$A41&amp;"'!$A$12:$Z$12"),0),0)="","?",VLOOKUP(P$1,INDIRECT("'"&amp;$A41&amp;"'!$A$12:$Z$41"),MATCH("Points (Auto-generate)",INDIRECT("'"&amp;$A41&amp;"'!$A$12:$Z$12"),0),0)),"ER"))</f>
        <v>?</v>
      </c>
      <c r="Q41" s="78" t="str">
        <f aca="true">IF($H41=0,"NA",IF($A41=INDIRECT("'"&amp;$A41&amp;"'!$B$1"),IF(VLOOKUP(Q$1,INDIRECT("'"&amp;$A41&amp;"'!$A$12:$Z$41"),MATCH("Points (Auto-generate)",INDIRECT("'"&amp;$A41&amp;"'!$A$12:$Z$12"),0),0)="","?",VLOOKUP(Q$1,INDIRECT("'"&amp;$A41&amp;"'!$A$12:$Z$41"),MATCH("Points (Auto-generate)",INDIRECT("'"&amp;$A41&amp;"'!$A$12:$Z$12"),0),0)),"ER"))</f>
        <v>?</v>
      </c>
      <c r="R41" s="78" t="str">
        <f aca="true">IF($H41=0,"NA",IF($A41=INDIRECT("'"&amp;$A41&amp;"'!$B$1"),IF(VLOOKUP(R$1,INDIRECT("'"&amp;$A41&amp;"'!$A$12:$Z$41"),MATCH("Points (Auto-generate)",INDIRECT("'"&amp;$A41&amp;"'!$A$12:$Z$12"),0),0)="","?",VLOOKUP(R$1,INDIRECT("'"&amp;$A41&amp;"'!$A$12:$Z$41"),MATCH("Points (Auto-generate)",INDIRECT("'"&amp;$A41&amp;"'!$A$12:$Z$12"),0),0)),"ER"))</f>
        <v>?</v>
      </c>
      <c r="S41" s="78" t="str">
        <f aca="true">IF($H41=0,"NA",IF($A41=INDIRECT("'"&amp;$A41&amp;"'!$B$1"),IF(VLOOKUP(S$1,INDIRECT("'"&amp;$A41&amp;"'!$A$12:$Z$41"),MATCH("Points (Auto-generate)",INDIRECT("'"&amp;$A41&amp;"'!$A$12:$Z$12"),0),0)="","?",VLOOKUP(S$1,INDIRECT("'"&amp;$A41&amp;"'!$A$12:$Z$41"),MATCH("Points (Auto-generate)",INDIRECT("'"&amp;$A41&amp;"'!$A$12:$Z$12"),0),0)),"ER"))</f>
        <v>?</v>
      </c>
      <c r="T41" s="78" t="str">
        <f aca="true">IF($H41=0,"NA",IF($A41=INDIRECT("'"&amp;$A41&amp;"'!$B$1"),IF(VLOOKUP(T$1,INDIRECT("'"&amp;$A41&amp;"'!$A$12:$Z$41"),MATCH("Points (Auto-generate)",INDIRECT("'"&amp;$A41&amp;"'!$A$12:$Z$12"),0),0)="","?",VLOOKUP(T$1,INDIRECT("'"&amp;$A41&amp;"'!$A$12:$Z$41"),MATCH("Points (Auto-generate)",INDIRECT("'"&amp;$A41&amp;"'!$A$12:$Z$12"),0),0)),"ER"))</f>
        <v>?</v>
      </c>
      <c r="U41" s="78" t="str">
        <f aca="true">IF($H41=0,"NA",IF($A41=INDIRECT("'"&amp;$A41&amp;"'!$B$1"),IF(VLOOKUP(U$1,INDIRECT("'"&amp;$A41&amp;"'!$A$12:$Z$41"),MATCH("Points (Auto-generate)",INDIRECT("'"&amp;$A41&amp;"'!$A$12:$Z$12"),0),0)="","?",VLOOKUP(U$1,INDIRECT("'"&amp;$A41&amp;"'!$A$12:$Z$41"),MATCH("Points (Auto-generate)",INDIRECT("'"&amp;$A41&amp;"'!$A$12:$Z$12"),0),0)),"ER"))</f>
        <v>?</v>
      </c>
      <c r="V41" s="78" t="str">
        <f aca="true">IF($H41=0,"NA",IF($A41=INDIRECT("'"&amp;$A41&amp;"'!$B$1"),IF(VLOOKUP(V$1,INDIRECT("'"&amp;$A41&amp;"'!$A$12:$Z$41"),MATCH("Points (Auto-generate)",INDIRECT("'"&amp;$A41&amp;"'!$A$12:$Z$12"),0),0)="","?",VLOOKUP(V$1,INDIRECT("'"&amp;$A41&amp;"'!$A$12:$Z$41"),MATCH("Points (Auto-generate)",INDIRECT("'"&amp;$A41&amp;"'!$A$12:$Z$12"),0),0)),"ER"))</f>
        <v>?</v>
      </c>
      <c r="W41" s="78" t="str">
        <f aca="true">IF($H41=0,"NA",IF($A41=INDIRECT("'"&amp;$A41&amp;"'!$B$1"),IF(VLOOKUP(W$1,INDIRECT("'"&amp;$A41&amp;"'!$A$12:$Z$41"),MATCH("Points (Auto-generate)",INDIRECT("'"&amp;$A41&amp;"'!$A$12:$Z$12"),0),0)="","?",VLOOKUP(W$1,INDIRECT("'"&amp;$A41&amp;"'!$A$12:$Z$41"),MATCH("Points (Auto-generate)",INDIRECT("'"&amp;$A41&amp;"'!$A$12:$Z$12"),0),0)),"ER"))</f>
        <v>?</v>
      </c>
      <c r="X41" s="78" t="str">
        <f aca="true">IF($H41=0,"NA",IF($A41=INDIRECT("'"&amp;$A41&amp;"'!$B$1"),IF(VLOOKUP(X$1,INDIRECT("'"&amp;$A41&amp;"'!$A$12:$Z$41"),MATCH("Points (Auto-generate)",INDIRECT("'"&amp;$A41&amp;"'!$A$12:$Z$12"),0),0)="","?",VLOOKUP(X$1,INDIRECT("'"&amp;$A41&amp;"'!$A$12:$Z$41"),MATCH("Points (Auto-generate)",INDIRECT("'"&amp;$A41&amp;"'!$A$12:$Z$12"),0),0)),"ER"))</f>
        <v>?</v>
      </c>
      <c r="Y41" s="78" t="str">
        <f aca="true">IF($H41=0,"NA",IF($A41=INDIRECT("'"&amp;$A41&amp;"'!$B$1"),IF(VLOOKUP(Y$1,INDIRECT("'"&amp;$A41&amp;"'!$A$12:$Z$41"),MATCH("Points (Auto-generate)",INDIRECT("'"&amp;$A41&amp;"'!$A$12:$Z$12"),0),0)="","?",VLOOKUP(Y$1,INDIRECT("'"&amp;$A41&amp;"'!$A$12:$Z$41"),MATCH("Points (Auto-generate)",INDIRECT("'"&amp;$A41&amp;"'!$A$12:$Z$12"),0),0)),"ER"))</f>
        <v>?</v>
      </c>
      <c r="Z41" s="78" t="str">
        <f aca="true">IF($H41=0,"NA",IF($A41=INDIRECT("'"&amp;$A41&amp;"'!$B$1"),IF(VLOOKUP(Z$1,INDIRECT("'"&amp;$A41&amp;"'!$A$12:$Z$41"),MATCH("Points (Auto-generate)",INDIRECT("'"&amp;$A41&amp;"'!$A$12:$Z$12"),0),0)="","?",VLOOKUP(Z$1,INDIRECT("'"&amp;$A41&amp;"'!$A$12:$Z$41"),MATCH("Points (Auto-generate)",INDIRECT("'"&amp;$A41&amp;"'!$A$12:$Z$12"),0),0)),"ER"))</f>
        <v>?</v>
      </c>
      <c r="AA41" s="78" t="str">
        <f aca="true">IF($H41=0,"NA",IF($A41=INDIRECT("'"&amp;$A41&amp;"'!$B$1"),IF(VLOOKUP(AA$1,INDIRECT("'"&amp;$A41&amp;"'!$A$12:$Z$41"),MATCH("Points (Auto-generate)",INDIRECT("'"&amp;$A41&amp;"'!$A$12:$Z$12"),0),0)="","?",VLOOKUP(AA$1,INDIRECT("'"&amp;$A41&amp;"'!$A$12:$Z$41"),MATCH("Points (Auto-generate)",INDIRECT("'"&amp;$A41&amp;"'!$A$12:$Z$12"),0),0)),"ER"))</f>
        <v>?</v>
      </c>
      <c r="AB41" s="78" t="str">
        <f aca="true">IF($H41=0,"NA",IF($A41=INDIRECT("'"&amp;$A41&amp;"'!$B$1"),IF(VLOOKUP(AB$1,INDIRECT("'"&amp;$A41&amp;"'!$A$12:$Z$41"),MATCH("Points (Auto-generate)",INDIRECT("'"&amp;$A41&amp;"'!$A$12:$Z$12"),0),0)="","?",VLOOKUP(AB$1,INDIRECT("'"&amp;$A41&amp;"'!$A$12:$Z$41"),MATCH("Points (Auto-generate)",INDIRECT("'"&amp;$A41&amp;"'!$A$12:$Z$12"),0),0)),"ER"))</f>
        <v>?</v>
      </c>
      <c r="AC41" s="78" t="str">
        <f aca="true">IF($H41=0,"NA",IF($A41=INDIRECT("'"&amp;$A41&amp;"'!$B$1"),IF(VLOOKUP(AC$1,INDIRECT("'"&amp;$A41&amp;"'!$A$12:$Z$41"),MATCH("Points (Auto-generate)",INDIRECT("'"&amp;$A41&amp;"'!$A$12:$Z$12"),0),0)="","?",VLOOKUP(AC$1,INDIRECT("'"&amp;$A41&amp;"'!$A$12:$Z$41"),MATCH("Points (Auto-generate)",INDIRECT("'"&amp;$A41&amp;"'!$A$12:$Z$12"),0),0)),"ER"))</f>
        <v>?</v>
      </c>
      <c r="AD41" s="78" t="str">
        <f aca="true">IF($H41=0,"NA",IF($A41=INDIRECT("'"&amp;$A41&amp;"'!$B$1"),IF(VLOOKUP(AD$1,INDIRECT("'"&amp;$A41&amp;"'!$A$12:$Z$41"),MATCH("Points (Auto-generate)",INDIRECT("'"&amp;$A41&amp;"'!$A$12:$Z$12"),0),0)="","?",VLOOKUP(AD$1,INDIRECT("'"&amp;$A41&amp;"'!$A$12:$Z$41"),MATCH("Points (Auto-generate)",INDIRECT("'"&amp;$A41&amp;"'!$A$12:$Z$12"),0),0)),"ER"))</f>
        <v>?</v>
      </c>
      <c r="AE41" s="78" t="str">
        <f aca="true">IF($H41=0,"NA",IF($A41=INDIRECT("'"&amp;$A41&amp;"'!$B$1"),IF(VLOOKUP(AE$1,INDIRECT("'"&amp;$A41&amp;"'!$A$12:$Z$41"),MATCH("Points (Auto-generate)",INDIRECT("'"&amp;$A41&amp;"'!$A$12:$Z$12"),0),0)="","?",VLOOKUP(AE$1,INDIRECT("'"&amp;$A41&amp;"'!$A$12:$Z$41"),MATCH("Points (Auto-generate)",INDIRECT("'"&amp;$A41&amp;"'!$A$12:$Z$12"),0),0)),"ER"))</f>
        <v>?</v>
      </c>
      <c r="AF41" s="78" t="str">
        <f aca="true">IF($H41=0,"NA",IF($A41=INDIRECT("'"&amp;$A41&amp;"'!$B$1"),IF(VLOOKUP(AF$1,INDIRECT("'"&amp;$A41&amp;"'!$A$12:$Z$41"),MATCH("Points (Auto-generate)",INDIRECT("'"&amp;$A41&amp;"'!$A$12:$Z$12"),0),0)="","?",VLOOKUP(AF$1,INDIRECT("'"&amp;$A41&amp;"'!$A$12:$Z$41"),MATCH("Points (Auto-generate)",INDIRECT("'"&amp;$A41&amp;"'!$A$12:$Z$12"),0),0)),"ER"))</f>
        <v>?</v>
      </c>
      <c r="AG41" s="78" t="str">
        <f aca="true">IF($H41=0,"NA",IF($A41=INDIRECT("'"&amp;$A41&amp;"'!$B$1"),IF(VLOOKUP(AG$1,INDIRECT("'"&amp;$A41&amp;"'!$A$12:$Z$41"),MATCH("Points (Auto-generate)",INDIRECT("'"&amp;$A41&amp;"'!$A$12:$Z$12"),0),0)="","?",VLOOKUP(AG$1,INDIRECT("'"&amp;$A41&amp;"'!$A$12:$Z$41"),MATCH("Points (Auto-generate)",INDIRECT("'"&amp;$A41&amp;"'!$A$12:$Z$12"),0),0)),"ER"))</f>
        <v>?</v>
      </c>
      <c r="AH41" s="78" t="str">
        <f aca="true">IF($H41=0,"NA",IF($A41=INDIRECT("'"&amp;$A41&amp;"'!$B$1"),IF(VLOOKUP(AH$1,INDIRECT("'"&amp;$A41&amp;"'!$A$12:$Z$41"),MATCH("Points (Auto-generate)",INDIRECT("'"&amp;$A41&amp;"'!$A$12:$Z$12"),0),0)="","?",VLOOKUP(AH$1,INDIRECT("'"&amp;$A41&amp;"'!$A$12:$Z$41"),MATCH("Points (Auto-generate)",INDIRECT("'"&amp;$A41&amp;"'!$A$12:$Z$12"),0),0)),"ER"))</f>
        <v>?</v>
      </c>
      <c r="AI41" s="78" t="str">
        <f aca="true">IF($H41=0,"NA",IF($A41=INDIRECT("'"&amp;$A41&amp;"'!$B$1"),IF(VLOOKUP(AI$1,INDIRECT("'"&amp;$A41&amp;"'!$A$12:$Z$41"),MATCH("Points (Auto-generate)",INDIRECT("'"&amp;$A41&amp;"'!$A$12:$Z$12"),0),0)="","?",VLOOKUP(AI$1,INDIRECT("'"&amp;$A41&amp;"'!$A$12:$Z$41"),MATCH("Points (Auto-generate)",INDIRECT("'"&amp;$A41&amp;"'!$A$12:$Z$12"),0),0)),"ER"))</f>
        <v>?</v>
      </c>
      <c r="AJ41" s="78" t="str">
        <f aca="true">IF($H41=0,"NA",IF($A41=INDIRECT("'"&amp;$A41&amp;"'!$B$1"),IF(VLOOKUP(AJ$1,INDIRECT("'"&amp;$A41&amp;"'!$A$12:$Z$41"),MATCH("Points (Auto-generate)",INDIRECT("'"&amp;$A41&amp;"'!$A$12:$Z$12"),0),0)="","?",VLOOKUP(AJ$1,INDIRECT("'"&amp;$A41&amp;"'!$A$12:$Z$41"),MATCH("Points (Auto-generate)",INDIRECT("'"&amp;$A41&amp;"'!$A$12:$Z$12"),0),0)),"ER"))</f>
        <v>?</v>
      </c>
      <c r="AK41" s="78" t="str">
        <f aca="true">IF($H41=0,"NA",IF($A41=INDIRECT("'"&amp;$A41&amp;"'!$B$1"),IF(VLOOKUP(AK$1,INDIRECT("'"&amp;$A41&amp;"'!$A$12:$Z$41"),MATCH("Points (Auto-generate)",INDIRECT("'"&amp;$A41&amp;"'!$A$12:$Z$12"),0),0)="","?",VLOOKUP(AK$1,INDIRECT("'"&amp;$A41&amp;"'!$A$12:$Z$41"),MATCH("Points (Auto-generate)",INDIRECT("'"&amp;$A41&amp;"'!$A$12:$Z$12"),0),0)),"ER"))</f>
        <v>?</v>
      </c>
    </row>
    <row r="42" customFormat="false" ht="14.25" hidden="false" customHeight="true" outlineLevel="0" collapsed="false">
      <c r="A42" s="74" t="s">
        <v>118</v>
      </c>
      <c r="B42" s="75" t="str">
        <f aca="false">IF(ISBLANK($A42),"NO_CODE",VLOOKUP($A42,'UPD Questions_290926 '!$E$1:$N$300,MATCH(B$1,'UPD Questions_290926 '!$E$1:$N$1,0),0)&amp;"")</f>
        <v>Implementation</v>
      </c>
      <c r="C42" s="75" t="str">
        <f aca="false">IF(ISBLANK($A42),"NO_CODE",VLOOKUP($A42,'UPD Questions_290926 '!$E$1:$N$300,MATCH(C$1,'UPD Questions_290926 '!$E$1:$N$1,0),0)&amp;"")</f>
        <v>Municipal/City Plan status, hierarchy and coordination</v>
      </c>
      <c r="D42" s="75" t="str">
        <f aca="false">IF(ISBLANK($A42),"NO_CODE",VLOOKUP($A42,'UPD Questions_290926 '!$E$1:$N$300,MATCH(D$1,'UPD Questions_290926 '!$E$1:$N$1,0),0)&amp;"")</f>
        <v>Objectives of the Municipal/City Plan</v>
      </c>
      <c r="E42" s="75" t="str">
        <f aca="false">IF(ISBLANK($A42),"NO_CODE",VLOOKUP($A42,'UPD Questions_290926 '!$E$1:$N$300,MATCH(E$1,'UPD Questions_290926 '!$E$1:$N$1,0),0)&amp;"")</f>
        <v>MQ</v>
      </c>
      <c r="F42" s="75" t="str">
        <f aca="false">IF(ISBLANK($A42),"NO_CODE",VLOOKUP($A42,'UPD Questions_290926 '!$E$1:$N$300,MATCH(F$1,'UPD Questions_290926 '!$E$1:$N$1,0),0)&amp;"")</f>
        <v>Does the municipal/city plan include objectives on environment and heritage conservation?</v>
      </c>
      <c r="G42" s="75" t="str">
        <f aca="false">IF(ISBLANK($A42),"NO_CODE",VLOOKUP($A42,'UPD Questions_290926 '!$E$1:$N$300,MATCH(G$1,'UPD Questions_290926 '!$E$1:$N$1,0),0)&amp;"")</f>
        <v>Implementation</v>
      </c>
      <c r="H42" s="77" t="n">
        <f aca="false">IF(ISBLANK($A42),"NO_CODE",VLOOKUP($A42,'UPD Questions_290926 '!$E$1:$N$300,MATCH(H$1,'UPD Questions_290926 '!$E$1:$N$1,0),0))</f>
        <v>10</v>
      </c>
      <c r="I42" s="78" t="str">
        <f aca="false">IF(OR(I43="ER",I44="ER"),"ER",IF(OR(I43="?",I44="?"),"?",IF(AND(I43="NA",I44="NA"),"NA",SUM(I43,I44)/((I43&lt;&gt;"NA")*$H$43+(I44&lt;&gt;"NA")*$H$44)*$H42)))</f>
        <v>?</v>
      </c>
      <c r="J42" s="78" t="n">
        <f aca="false">IF(OR(J43="ER",J44="ER"),"ER",IF(OR(J43="?",J44="?"),"?",IF(AND(J43="NA",J44="NA"),"NA",SUM(J43,J44)/((J43&lt;&gt;"NA")*$H$43+(J44&lt;&gt;"NA")*$H$44)*$H42)))</f>
        <v>0</v>
      </c>
      <c r="K42" s="78" t="str">
        <f aca="false">IF(OR(K43="ER",K44="ER"),"ER",IF(OR(K43="?",K44="?"),"?",IF(AND(K43="NA",K44="NA"),"NA",SUM(K43,K44)/((K43&lt;&gt;"NA")*$H$43+(K44&lt;&gt;"NA")*$H$44)*$H42)))</f>
        <v>?</v>
      </c>
      <c r="L42" s="78" t="str">
        <f aca="false">IF(OR(L43="ER",L44="ER"),"ER",IF(OR(L43="?",L44="?"),"?",IF(AND(L43="NA",L44="NA"),"NA",SUM(L43,L44)/((L43&lt;&gt;"NA")*$H$43+(L44&lt;&gt;"NA")*$H$44)*$H42)))</f>
        <v>?</v>
      </c>
      <c r="M42" s="78" t="str">
        <f aca="false">IF(OR(M43="ER",M44="ER"),"ER",IF(OR(M43="?",M44="?"),"?",IF(AND(M43="NA",M44="NA"),"NA",SUM(M43,M44)/((M43&lt;&gt;"NA")*$H$43+(M44&lt;&gt;"NA")*$H$44)*$H42)))</f>
        <v>?</v>
      </c>
      <c r="N42" s="78" t="str">
        <f aca="false">IF(OR(N43="ER",N44="ER"),"ER",IF(OR(N43="?",N44="?"),"?",IF(AND(N43="NA",N44="NA"),"NA",SUM(N43,N44)/((N43&lt;&gt;"NA")*$H$43+(N44&lt;&gt;"NA")*$H$44)*$H42)))</f>
        <v>?</v>
      </c>
      <c r="O42" s="78" t="str">
        <f aca="false">IF(OR(O43="ER",O44="ER"),"ER",IF(OR(O43="?",O44="?"),"?",IF(AND(O43="NA",O44="NA"),"NA",SUM(O43,O44)/((O43&lt;&gt;"NA")*$H$43+(O44&lt;&gt;"NA")*$H$44)*$H42)))</f>
        <v>?</v>
      </c>
      <c r="P42" s="78" t="str">
        <f aca="false">IF(OR(P43="ER",P44="ER"),"ER",IF(OR(P43="?",P44="?"),"?",IF(AND(P43="NA",P44="NA"),"NA",SUM(P43,P44)/((P43&lt;&gt;"NA")*$H$43+(P44&lt;&gt;"NA")*$H$44)*$H42)))</f>
        <v>?</v>
      </c>
      <c r="Q42" s="78" t="str">
        <f aca="false">IF(OR(Q43="ER",Q44="ER"),"ER",IF(OR(Q43="?",Q44="?"),"?",IF(AND(Q43="NA",Q44="NA"),"NA",SUM(Q43,Q44)/((Q43&lt;&gt;"NA")*$H$43+(Q44&lt;&gt;"NA")*$H$44)*$H42)))</f>
        <v>?</v>
      </c>
      <c r="R42" s="78" t="str">
        <f aca="false">IF(OR(R43="ER",R44="ER"),"ER",IF(OR(R43="?",R44="?"),"?",IF(AND(R43="NA",R44="NA"),"NA",SUM(R43,R44)/((R43&lt;&gt;"NA")*$H$43+(R44&lt;&gt;"NA")*$H$44)*$H42)))</f>
        <v>?</v>
      </c>
      <c r="S42" s="78" t="str">
        <f aca="false">IF(OR(S43="ER",S44="ER"),"ER",IF(OR(S43="?",S44="?"),"?",IF(AND(S43="NA",S44="NA"),"NA",SUM(S43,S44)/((S43&lt;&gt;"NA")*$H$43+(S44&lt;&gt;"NA")*$H$44)*$H42)))</f>
        <v>?</v>
      </c>
      <c r="T42" s="78" t="str">
        <f aca="false">IF(OR(T43="ER",T44="ER"),"ER",IF(OR(T43="?",T44="?"),"?",IF(AND(T43="NA",T44="NA"),"NA",SUM(T43,T44)/((T43&lt;&gt;"NA")*$H$43+(T44&lt;&gt;"NA")*$H$44)*$H42)))</f>
        <v>?</v>
      </c>
      <c r="U42" s="78" t="str">
        <f aca="false">IF(OR(U43="ER",U44="ER"),"ER",IF(OR(U43="?",U44="?"),"?",IF(AND(U43="NA",U44="NA"),"NA",SUM(U43,U44)/((U43&lt;&gt;"NA")*$H$43+(U44&lt;&gt;"NA")*$H$44)*$H42)))</f>
        <v>?</v>
      </c>
      <c r="V42" s="78" t="str">
        <f aca="false">IF(OR(V43="ER",V44="ER"),"ER",IF(OR(V43="?",V44="?"),"?",IF(AND(V43="NA",V44="NA"),"NA",SUM(V43,V44)/((V43&lt;&gt;"NA")*$H$43+(V44&lt;&gt;"NA")*$H$44)*$H42)))</f>
        <v>?</v>
      </c>
      <c r="W42" s="78" t="str">
        <f aca="false">IF(OR(W43="ER",W44="ER"),"ER",IF(OR(W43="?",W44="?"),"?",IF(AND(W43="NA",W44="NA"),"NA",SUM(W43,W44)/((W43&lt;&gt;"NA")*$H$43+(W44&lt;&gt;"NA")*$H$44)*$H42)))</f>
        <v>?</v>
      </c>
      <c r="X42" s="78" t="str">
        <f aca="false">IF(OR(X43="ER",X44="ER"),"ER",IF(OR(X43="?",X44="?"),"?",IF(AND(X43="NA",X44="NA"),"NA",SUM(X43,X44)/((X43&lt;&gt;"NA")*$H$43+(X44&lt;&gt;"NA")*$H$44)*$H42)))</f>
        <v>?</v>
      </c>
      <c r="Y42" s="78" t="str">
        <f aca="false">IF(OR(Y43="ER",Y44="ER"),"ER",IF(OR(Y43="?",Y44="?"),"?",IF(AND(Y43="NA",Y44="NA"),"NA",SUM(Y43,Y44)/((Y43&lt;&gt;"NA")*$H$43+(Y44&lt;&gt;"NA")*$H$44)*$H42)))</f>
        <v>?</v>
      </c>
      <c r="Z42" s="78" t="str">
        <f aca="false">IF(OR(Z43="ER",Z44="ER"),"ER",IF(OR(Z43="?",Z44="?"),"?",IF(AND(Z43="NA",Z44="NA"),"NA",SUM(Z43,Z44)/((Z43&lt;&gt;"NA")*$H$43+(Z44&lt;&gt;"NA")*$H$44)*$H42)))</f>
        <v>?</v>
      </c>
      <c r="AA42" s="78" t="str">
        <f aca="false">IF(OR(AA43="ER",AA44="ER"),"ER",IF(OR(AA43="?",AA44="?"),"?",IF(AND(AA43="NA",AA44="NA"),"NA",SUM(AA43,AA44)/((AA43&lt;&gt;"NA")*$H$43+(AA44&lt;&gt;"NA")*$H$44)*$H42)))</f>
        <v>?</v>
      </c>
      <c r="AB42" s="78" t="str">
        <f aca="false">IF(OR(AB43="ER",AB44="ER"),"ER",IF(OR(AB43="?",AB44="?"),"?",IF(AND(AB43="NA",AB44="NA"),"NA",SUM(AB43,AB44)/((AB43&lt;&gt;"NA")*$H$43+(AB44&lt;&gt;"NA")*$H$44)*$H42)))</f>
        <v>?</v>
      </c>
      <c r="AC42" s="78" t="str">
        <f aca="false">IF(OR(AC43="ER",AC44="ER"),"ER",IF(OR(AC43="?",AC44="?"),"?",IF(AND(AC43="NA",AC44="NA"),"NA",SUM(AC43,AC44)/((AC43&lt;&gt;"NA")*$H$43+(AC44&lt;&gt;"NA")*$H$44)*$H42)))</f>
        <v>?</v>
      </c>
      <c r="AD42" s="78" t="str">
        <f aca="false">IF(OR(AD43="ER",AD44="ER"),"ER",IF(OR(AD43="?",AD44="?"),"?",IF(AND(AD43="NA",AD44="NA"),"NA",SUM(AD43,AD44)/((AD43&lt;&gt;"NA")*$H$43+(AD44&lt;&gt;"NA")*$H$44)*$H42)))</f>
        <v>?</v>
      </c>
      <c r="AE42" s="78" t="str">
        <f aca="false">IF(OR(AE43="ER",AE44="ER"),"ER",IF(OR(AE43="?",AE44="?"),"?",IF(AND(AE43="NA",AE44="NA"),"NA",SUM(AE43,AE44)/((AE43&lt;&gt;"NA")*$H$43+(AE44&lt;&gt;"NA")*$H$44)*$H42)))</f>
        <v>?</v>
      </c>
      <c r="AF42" s="78" t="str">
        <f aca="false">IF(OR(AF43="ER",AF44="ER"),"ER",IF(OR(AF43="?",AF44="?"),"?",IF(AND(AF43="NA",AF44="NA"),"NA",SUM(AF43,AF44)/((AF43&lt;&gt;"NA")*$H$43+(AF44&lt;&gt;"NA")*$H$44)*$H42)))</f>
        <v>?</v>
      </c>
      <c r="AG42" s="78" t="str">
        <f aca="false">IF(OR(AG43="ER",AG44="ER"),"ER",IF(OR(AG43="?",AG44="?"),"?",IF(AND(AG43="NA",AG44="NA"),"NA",SUM(AG43,AG44)/((AG43&lt;&gt;"NA")*$H$43+(AG44&lt;&gt;"NA")*$H$44)*$H42)))</f>
        <v>?</v>
      </c>
      <c r="AH42" s="78" t="str">
        <f aca="false">IF(OR(AH43="ER",AH44="ER"),"ER",IF(OR(AH43="?",AH44="?"),"?",IF(AND(AH43="NA",AH44="NA"),"NA",SUM(AH43,AH44)/((AH43&lt;&gt;"NA")*$H$43+(AH44&lt;&gt;"NA")*$H$44)*$H42)))</f>
        <v>?</v>
      </c>
      <c r="AI42" s="78" t="str">
        <f aca="false">IF(OR(AI43="ER",AI44="ER"),"ER",IF(OR(AI43="?",AI44="?"),"?",IF(AND(AI43="NA",AI44="NA"),"NA",SUM(AI43,AI44)/((AI43&lt;&gt;"NA")*$H$43+(AI44&lt;&gt;"NA")*$H$44)*$H42)))</f>
        <v>?</v>
      </c>
      <c r="AJ42" s="78" t="str">
        <f aca="false">IF(OR(AJ43="ER",AJ44="ER"),"ER",IF(OR(AJ43="?",AJ44="?"),"?",IF(AND(AJ43="NA",AJ44="NA"),"NA",SUM(AJ43,AJ44)/((AJ43&lt;&gt;"NA")*$H$43+(AJ44&lt;&gt;"NA")*$H$44)*$H42)))</f>
        <v>?</v>
      </c>
      <c r="AK42" s="78" t="str">
        <f aca="false">IF(OR(AK43="ER",AK44="ER"),"ER",IF(OR(AK43="?",AK44="?"),"?",IF(AND(AK43="NA",AK44="NA"),"NA",SUM(AK43,AK44)/((AK43&lt;&gt;"NA")*$H$43+(AK44&lt;&gt;"NA")*$H$44)*$H42)))</f>
        <v>?</v>
      </c>
    </row>
    <row r="43" customFormat="false" ht="14.25" hidden="false" customHeight="true" outlineLevel="0" collapsed="false">
      <c r="A43" s="74" t="s">
        <v>216</v>
      </c>
      <c r="B43" s="75" t="str">
        <f aca="false">IF(ISBLANK($A43),"NO_CODE",VLOOKUP($A43,'UPD Questions_290926 '!$E$1:$N$300,MATCH(B$1,'UPD Questions_290926 '!$E$1:$N$1,0),0)&amp;"")</f>
        <v>Implementation</v>
      </c>
      <c r="C43" s="75" t="str">
        <f aca="false">IF(ISBLANK($A43),"NO_CODE",VLOOKUP($A43,'UPD Questions_290926 '!$E$1:$N$300,MATCH(C$1,'UPD Questions_290926 '!$E$1:$N$1,0),0)&amp;"")</f>
        <v>Municipal/City Plan status, hierarchy and coordination</v>
      </c>
      <c r="D43" s="75" t="str">
        <f aca="false">IF(ISBLANK($A43),"NO_CODE",VLOOKUP($A43,'UPD Questions_290926 '!$E$1:$N$300,MATCH(D$1,'UPD Questions_290926 '!$E$1:$N$1,0),0)&amp;"")</f>
        <v>Objectives of the Municipal/City Plan</v>
      </c>
      <c r="E43" s="75" t="str">
        <f aca="false">IF(ISBLANK($A43),"NO_CODE",VLOOKUP($A43,'UPD Questions_290926 '!$E$1:$N$300,MATCH(E$1,'UPD Questions_290926 '!$E$1:$N$1,0),0)&amp;"")</f>
        <v>SQ</v>
      </c>
      <c r="F43" s="75" t="str">
        <f aca="false">IF(ISBLANK($A43),"NO_CODE",VLOOKUP($A43,'UPD Questions_290926 '!$E$1:$N$300,MATCH(F$1,'UPD Questions_290926 '!$E$1:$N$1,0),0)&amp;"")</f>
        <v>a) Environmental Conservation </v>
      </c>
      <c r="G43" s="75" t="str">
        <f aca="false">IF(ISBLANK($A43),"NO_CODE",VLOOKUP($A43,'UPD Questions_290926 '!$E$1:$N$300,MATCH(G$1,'UPD Questions_290926 '!$E$1:$N$1,0),0)&amp;"")</f>
        <v>Implementation</v>
      </c>
      <c r="H43" s="77" t="n">
        <f aca="false">IF(ISBLANK($A43),"NO_CODE",VLOOKUP($A43,'UPD Questions_290926 '!$E$1:$N$300,MATCH(H$1,'UPD Questions_290926 '!$E$1:$N$1,0),0))</f>
        <v>5</v>
      </c>
      <c r="I43" s="78" t="str">
        <f aca="true">IF($H43=0,"NA",IF($A43=INDIRECT("'"&amp;$A43&amp;"'!$B$1"),IF(VLOOKUP(I$1,INDIRECT("'"&amp;$A43&amp;"'!$A$12:$Z$41"),MATCH("Points (Auto-generate)",INDIRECT("'"&amp;$A43&amp;"'!$A$12:$Z$12"),0),0)="","?",VLOOKUP(I$1,INDIRECT("'"&amp;$A43&amp;"'!$A$12:$Z$41"),MATCH("Points (Auto-generate)",INDIRECT("'"&amp;$A43&amp;"'!$A$12:$Z$12"),0),0)),"ER"))</f>
        <v>?</v>
      </c>
      <c r="J43" s="78" t="n">
        <f aca="true">IF($H43=0,"NA",IF($A43=INDIRECT("'"&amp;$A43&amp;"'!$B$1"),IF(VLOOKUP(J$1,INDIRECT("'"&amp;$A43&amp;"'!$A$12:$Z$41"),MATCH("Points (Auto-generate)",INDIRECT("'"&amp;$A43&amp;"'!$A$12:$Z$12"),0),0)="","?",VLOOKUP(J$1,INDIRECT("'"&amp;$A43&amp;"'!$A$12:$Z$41"),MATCH("Points (Auto-generate)",INDIRECT("'"&amp;$A43&amp;"'!$A$12:$Z$12"),0),0)),"ER"))</f>
        <v>0</v>
      </c>
      <c r="K43" s="78" t="str">
        <f aca="true">IF($H43=0,"NA",IF($A43=INDIRECT("'"&amp;$A43&amp;"'!$B$1"),IF(VLOOKUP(K$1,INDIRECT("'"&amp;$A43&amp;"'!$A$12:$Z$41"),MATCH("Points (Auto-generate)",INDIRECT("'"&amp;$A43&amp;"'!$A$12:$Z$12"),0),0)="","?",VLOOKUP(K$1,INDIRECT("'"&amp;$A43&amp;"'!$A$12:$Z$41"),MATCH("Points (Auto-generate)",INDIRECT("'"&amp;$A43&amp;"'!$A$12:$Z$12"),0),0)),"ER"))</f>
        <v>?</v>
      </c>
      <c r="L43" s="78" t="str">
        <f aca="true">IF($H43=0,"NA",IF($A43=INDIRECT("'"&amp;$A43&amp;"'!$B$1"),IF(VLOOKUP(L$1,INDIRECT("'"&amp;$A43&amp;"'!$A$12:$Z$41"),MATCH("Points (Auto-generate)",INDIRECT("'"&amp;$A43&amp;"'!$A$12:$Z$12"),0),0)="","?",VLOOKUP(L$1,INDIRECT("'"&amp;$A43&amp;"'!$A$12:$Z$41"),MATCH("Points (Auto-generate)",INDIRECT("'"&amp;$A43&amp;"'!$A$12:$Z$12"),0),0)),"ER"))</f>
        <v>?</v>
      </c>
      <c r="M43" s="78" t="str">
        <f aca="true">IF($H43=0,"NA",IF($A43=INDIRECT("'"&amp;$A43&amp;"'!$B$1"),IF(VLOOKUP(M$1,INDIRECT("'"&amp;$A43&amp;"'!$A$12:$Z$41"),MATCH("Points (Auto-generate)",INDIRECT("'"&amp;$A43&amp;"'!$A$12:$Z$12"),0),0)="","?",VLOOKUP(M$1,INDIRECT("'"&amp;$A43&amp;"'!$A$12:$Z$41"),MATCH("Points (Auto-generate)",INDIRECT("'"&amp;$A43&amp;"'!$A$12:$Z$12"),0),0)),"ER"))</f>
        <v>?</v>
      </c>
      <c r="N43" s="78" t="str">
        <f aca="true">IF($H43=0,"NA",IF($A43=INDIRECT("'"&amp;$A43&amp;"'!$B$1"),IF(VLOOKUP(N$1,INDIRECT("'"&amp;$A43&amp;"'!$A$12:$Z$41"),MATCH("Points (Auto-generate)",INDIRECT("'"&amp;$A43&amp;"'!$A$12:$Z$12"),0),0)="","?",VLOOKUP(N$1,INDIRECT("'"&amp;$A43&amp;"'!$A$12:$Z$41"),MATCH("Points (Auto-generate)",INDIRECT("'"&amp;$A43&amp;"'!$A$12:$Z$12"),0),0)),"ER"))</f>
        <v>?</v>
      </c>
      <c r="O43" s="78" t="str">
        <f aca="true">IF($H43=0,"NA",IF($A43=INDIRECT("'"&amp;$A43&amp;"'!$B$1"),IF(VLOOKUP(O$1,INDIRECT("'"&amp;$A43&amp;"'!$A$12:$Z$41"),MATCH("Points (Auto-generate)",INDIRECT("'"&amp;$A43&amp;"'!$A$12:$Z$12"),0),0)="","?",VLOOKUP(O$1,INDIRECT("'"&amp;$A43&amp;"'!$A$12:$Z$41"),MATCH("Points (Auto-generate)",INDIRECT("'"&amp;$A43&amp;"'!$A$12:$Z$12"),0),0)),"ER"))</f>
        <v>?</v>
      </c>
      <c r="P43" s="78" t="str">
        <f aca="true">IF($H43=0,"NA",IF($A43=INDIRECT("'"&amp;$A43&amp;"'!$B$1"),IF(VLOOKUP(P$1,INDIRECT("'"&amp;$A43&amp;"'!$A$12:$Z$41"),MATCH("Points (Auto-generate)",INDIRECT("'"&amp;$A43&amp;"'!$A$12:$Z$12"),0),0)="","?",VLOOKUP(P$1,INDIRECT("'"&amp;$A43&amp;"'!$A$12:$Z$41"),MATCH("Points (Auto-generate)",INDIRECT("'"&amp;$A43&amp;"'!$A$12:$Z$12"),0),0)),"ER"))</f>
        <v>?</v>
      </c>
      <c r="Q43" s="78" t="str">
        <f aca="true">IF($H43=0,"NA",IF($A43=INDIRECT("'"&amp;$A43&amp;"'!$B$1"),IF(VLOOKUP(Q$1,INDIRECT("'"&amp;$A43&amp;"'!$A$12:$Z$41"),MATCH("Points (Auto-generate)",INDIRECT("'"&amp;$A43&amp;"'!$A$12:$Z$12"),0),0)="","?",VLOOKUP(Q$1,INDIRECT("'"&amp;$A43&amp;"'!$A$12:$Z$41"),MATCH("Points (Auto-generate)",INDIRECT("'"&amp;$A43&amp;"'!$A$12:$Z$12"),0),0)),"ER"))</f>
        <v>?</v>
      </c>
      <c r="R43" s="78" t="str">
        <f aca="true">IF($H43=0,"NA",IF($A43=INDIRECT("'"&amp;$A43&amp;"'!$B$1"),IF(VLOOKUP(R$1,INDIRECT("'"&amp;$A43&amp;"'!$A$12:$Z$41"),MATCH("Points (Auto-generate)",INDIRECT("'"&amp;$A43&amp;"'!$A$12:$Z$12"),0),0)="","?",VLOOKUP(R$1,INDIRECT("'"&amp;$A43&amp;"'!$A$12:$Z$41"),MATCH("Points (Auto-generate)",INDIRECT("'"&amp;$A43&amp;"'!$A$12:$Z$12"),0),0)),"ER"))</f>
        <v>?</v>
      </c>
      <c r="S43" s="78" t="str">
        <f aca="true">IF($H43=0,"NA",IF($A43=INDIRECT("'"&amp;$A43&amp;"'!$B$1"),IF(VLOOKUP(S$1,INDIRECT("'"&amp;$A43&amp;"'!$A$12:$Z$41"),MATCH("Points (Auto-generate)",INDIRECT("'"&amp;$A43&amp;"'!$A$12:$Z$12"),0),0)="","?",VLOOKUP(S$1,INDIRECT("'"&amp;$A43&amp;"'!$A$12:$Z$41"),MATCH("Points (Auto-generate)",INDIRECT("'"&amp;$A43&amp;"'!$A$12:$Z$12"),0),0)),"ER"))</f>
        <v>?</v>
      </c>
      <c r="T43" s="78" t="str">
        <f aca="true">IF($H43=0,"NA",IF($A43=INDIRECT("'"&amp;$A43&amp;"'!$B$1"),IF(VLOOKUP(T$1,INDIRECT("'"&amp;$A43&amp;"'!$A$12:$Z$41"),MATCH("Points (Auto-generate)",INDIRECT("'"&amp;$A43&amp;"'!$A$12:$Z$12"),0),0)="","?",VLOOKUP(T$1,INDIRECT("'"&amp;$A43&amp;"'!$A$12:$Z$41"),MATCH("Points (Auto-generate)",INDIRECT("'"&amp;$A43&amp;"'!$A$12:$Z$12"),0),0)),"ER"))</f>
        <v>?</v>
      </c>
      <c r="U43" s="78" t="str">
        <f aca="true">IF($H43=0,"NA",IF($A43=INDIRECT("'"&amp;$A43&amp;"'!$B$1"),IF(VLOOKUP(U$1,INDIRECT("'"&amp;$A43&amp;"'!$A$12:$Z$41"),MATCH("Points (Auto-generate)",INDIRECT("'"&amp;$A43&amp;"'!$A$12:$Z$12"),0),0)="","?",VLOOKUP(U$1,INDIRECT("'"&amp;$A43&amp;"'!$A$12:$Z$41"),MATCH("Points (Auto-generate)",INDIRECT("'"&amp;$A43&amp;"'!$A$12:$Z$12"),0),0)),"ER"))</f>
        <v>?</v>
      </c>
      <c r="V43" s="78" t="str">
        <f aca="true">IF($H43=0,"NA",IF($A43=INDIRECT("'"&amp;$A43&amp;"'!$B$1"),IF(VLOOKUP(V$1,INDIRECT("'"&amp;$A43&amp;"'!$A$12:$Z$41"),MATCH("Points (Auto-generate)",INDIRECT("'"&amp;$A43&amp;"'!$A$12:$Z$12"),0),0)="","?",VLOOKUP(V$1,INDIRECT("'"&amp;$A43&amp;"'!$A$12:$Z$41"),MATCH("Points (Auto-generate)",INDIRECT("'"&amp;$A43&amp;"'!$A$12:$Z$12"),0),0)),"ER"))</f>
        <v>?</v>
      </c>
      <c r="W43" s="78" t="str">
        <f aca="true">IF($H43=0,"NA",IF($A43=INDIRECT("'"&amp;$A43&amp;"'!$B$1"),IF(VLOOKUP(W$1,INDIRECT("'"&amp;$A43&amp;"'!$A$12:$Z$41"),MATCH("Points (Auto-generate)",INDIRECT("'"&amp;$A43&amp;"'!$A$12:$Z$12"),0),0)="","?",VLOOKUP(W$1,INDIRECT("'"&amp;$A43&amp;"'!$A$12:$Z$41"),MATCH("Points (Auto-generate)",INDIRECT("'"&amp;$A43&amp;"'!$A$12:$Z$12"),0),0)),"ER"))</f>
        <v>?</v>
      </c>
      <c r="X43" s="78" t="str">
        <f aca="true">IF($H43=0,"NA",IF($A43=INDIRECT("'"&amp;$A43&amp;"'!$B$1"),IF(VLOOKUP(X$1,INDIRECT("'"&amp;$A43&amp;"'!$A$12:$Z$41"),MATCH("Points (Auto-generate)",INDIRECT("'"&amp;$A43&amp;"'!$A$12:$Z$12"),0),0)="","?",VLOOKUP(X$1,INDIRECT("'"&amp;$A43&amp;"'!$A$12:$Z$41"),MATCH("Points (Auto-generate)",INDIRECT("'"&amp;$A43&amp;"'!$A$12:$Z$12"),0),0)),"ER"))</f>
        <v>?</v>
      </c>
      <c r="Y43" s="78" t="str">
        <f aca="true">IF($H43=0,"NA",IF($A43=INDIRECT("'"&amp;$A43&amp;"'!$B$1"),IF(VLOOKUP(Y$1,INDIRECT("'"&amp;$A43&amp;"'!$A$12:$Z$41"),MATCH("Points (Auto-generate)",INDIRECT("'"&amp;$A43&amp;"'!$A$12:$Z$12"),0),0)="","?",VLOOKUP(Y$1,INDIRECT("'"&amp;$A43&amp;"'!$A$12:$Z$41"),MATCH("Points (Auto-generate)",INDIRECT("'"&amp;$A43&amp;"'!$A$12:$Z$12"),0),0)),"ER"))</f>
        <v>?</v>
      </c>
      <c r="Z43" s="78" t="str">
        <f aca="true">IF($H43=0,"NA",IF($A43=INDIRECT("'"&amp;$A43&amp;"'!$B$1"),IF(VLOOKUP(Z$1,INDIRECT("'"&amp;$A43&amp;"'!$A$12:$Z$41"),MATCH("Points (Auto-generate)",INDIRECT("'"&amp;$A43&amp;"'!$A$12:$Z$12"),0),0)="","?",VLOOKUP(Z$1,INDIRECT("'"&amp;$A43&amp;"'!$A$12:$Z$41"),MATCH("Points (Auto-generate)",INDIRECT("'"&amp;$A43&amp;"'!$A$12:$Z$12"),0),0)),"ER"))</f>
        <v>?</v>
      </c>
      <c r="AA43" s="78" t="str">
        <f aca="true">IF($H43=0,"NA",IF($A43=INDIRECT("'"&amp;$A43&amp;"'!$B$1"),IF(VLOOKUP(AA$1,INDIRECT("'"&amp;$A43&amp;"'!$A$12:$Z$41"),MATCH("Points (Auto-generate)",INDIRECT("'"&amp;$A43&amp;"'!$A$12:$Z$12"),0),0)="","?",VLOOKUP(AA$1,INDIRECT("'"&amp;$A43&amp;"'!$A$12:$Z$41"),MATCH("Points (Auto-generate)",INDIRECT("'"&amp;$A43&amp;"'!$A$12:$Z$12"),0),0)),"ER"))</f>
        <v>?</v>
      </c>
      <c r="AB43" s="78" t="str">
        <f aca="true">IF($H43=0,"NA",IF($A43=INDIRECT("'"&amp;$A43&amp;"'!$B$1"),IF(VLOOKUP(AB$1,INDIRECT("'"&amp;$A43&amp;"'!$A$12:$Z$41"),MATCH("Points (Auto-generate)",INDIRECT("'"&amp;$A43&amp;"'!$A$12:$Z$12"),0),0)="","?",VLOOKUP(AB$1,INDIRECT("'"&amp;$A43&amp;"'!$A$12:$Z$41"),MATCH("Points (Auto-generate)",INDIRECT("'"&amp;$A43&amp;"'!$A$12:$Z$12"),0),0)),"ER"))</f>
        <v>?</v>
      </c>
      <c r="AC43" s="78" t="str">
        <f aca="true">IF($H43=0,"NA",IF($A43=INDIRECT("'"&amp;$A43&amp;"'!$B$1"),IF(VLOOKUP(AC$1,INDIRECT("'"&amp;$A43&amp;"'!$A$12:$Z$41"),MATCH("Points (Auto-generate)",INDIRECT("'"&amp;$A43&amp;"'!$A$12:$Z$12"),0),0)="","?",VLOOKUP(AC$1,INDIRECT("'"&amp;$A43&amp;"'!$A$12:$Z$41"),MATCH("Points (Auto-generate)",INDIRECT("'"&amp;$A43&amp;"'!$A$12:$Z$12"),0),0)),"ER"))</f>
        <v>?</v>
      </c>
      <c r="AD43" s="78" t="str">
        <f aca="true">IF($H43=0,"NA",IF($A43=INDIRECT("'"&amp;$A43&amp;"'!$B$1"),IF(VLOOKUP(AD$1,INDIRECT("'"&amp;$A43&amp;"'!$A$12:$Z$41"),MATCH("Points (Auto-generate)",INDIRECT("'"&amp;$A43&amp;"'!$A$12:$Z$12"),0),0)="","?",VLOOKUP(AD$1,INDIRECT("'"&amp;$A43&amp;"'!$A$12:$Z$41"),MATCH("Points (Auto-generate)",INDIRECT("'"&amp;$A43&amp;"'!$A$12:$Z$12"),0),0)),"ER"))</f>
        <v>?</v>
      </c>
      <c r="AE43" s="78" t="str">
        <f aca="true">IF($H43=0,"NA",IF($A43=INDIRECT("'"&amp;$A43&amp;"'!$B$1"),IF(VLOOKUP(AE$1,INDIRECT("'"&amp;$A43&amp;"'!$A$12:$Z$41"),MATCH("Points (Auto-generate)",INDIRECT("'"&amp;$A43&amp;"'!$A$12:$Z$12"),0),0)="","?",VLOOKUP(AE$1,INDIRECT("'"&amp;$A43&amp;"'!$A$12:$Z$41"),MATCH("Points (Auto-generate)",INDIRECT("'"&amp;$A43&amp;"'!$A$12:$Z$12"),0),0)),"ER"))</f>
        <v>?</v>
      </c>
      <c r="AF43" s="78" t="str">
        <f aca="true">IF($H43=0,"NA",IF($A43=INDIRECT("'"&amp;$A43&amp;"'!$B$1"),IF(VLOOKUP(AF$1,INDIRECT("'"&amp;$A43&amp;"'!$A$12:$Z$41"),MATCH("Points (Auto-generate)",INDIRECT("'"&amp;$A43&amp;"'!$A$12:$Z$12"),0),0)="","?",VLOOKUP(AF$1,INDIRECT("'"&amp;$A43&amp;"'!$A$12:$Z$41"),MATCH("Points (Auto-generate)",INDIRECT("'"&amp;$A43&amp;"'!$A$12:$Z$12"),0),0)),"ER"))</f>
        <v>?</v>
      </c>
      <c r="AG43" s="78" t="str">
        <f aca="true">IF($H43=0,"NA",IF($A43=INDIRECT("'"&amp;$A43&amp;"'!$B$1"),IF(VLOOKUP(AG$1,INDIRECT("'"&amp;$A43&amp;"'!$A$12:$Z$41"),MATCH("Points (Auto-generate)",INDIRECT("'"&amp;$A43&amp;"'!$A$12:$Z$12"),0),0)="","?",VLOOKUP(AG$1,INDIRECT("'"&amp;$A43&amp;"'!$A$12:$Z$41"),MATCH("Points (Auto-generate)",INDIRECT("'"&amp;$A43&amp;"'!$A$12:$Z$12"),0),0)),"ER"))</f>
        <v>?</v>
      </c>
      <c r="AH43" s="78" t="str">
        <f aca="true">IF($H43=0,"NA",IF($A43=INDIRECT("'"&amp;$A43&amp;"'!$B$1"),IF(VLOOKUP(AH$1,INDIRECT("'"&amp;$A43&amp;"'!$A$12:$Z$41"),MATCH("Points (Auto-generate)",INDIRECT("'"&amp;$A43&amp;"'!$A$12:$Z$12"),0),0)="","?",VLOOKUP(AH$1,INDIRECT("'"&amp;$A43&amp;"'!$A$12:$Z$41"),MATCH("Points (Auto-generate)",INDIRECT("'"&amp;$A43&amp;"'!$A$12:$Z$12"),0),0)),"ER"))</f>
        <v>?</v>
      </c>
      <c r="AI43" s="78" t="str">
        <f aca="true">IF($H43=0,"NA",IF($A43=INDIRECT("'"&amp;$A43&amp;"'!$B$1"),IF(VLOOKUP(AI$1,INDIRECT("'"&amp;$A43&amp;"'!$A$12:$Z$41"),MATCH("Points (Auto-generate)",INDIRECT("'"&amp;$A43&amp;"'!$A$12:$Z$12"),0),0)="","?",VLOOKUP(AI$1,INDIRECT("'"&amp;$A43&amp;"'!$A$12:$Z$41"),MATCH("Points (Auto-generate)",INDIRECT("'"&amp;$A43&amp;"'!$A$12:$Z$12"),0),0)),"ER"))</f>
        <v>?</v>
      </c>
      <c r="AJ43" s="78" t="str">
        <f aca="true">IF($H43=0,"NA",IF($A43=INDIRECT("'"&amp;$A43&amp;"'!$B$1"),IF(VLOOKUP(AJ$1,INDIRECT("'"&amp;$A43&amp;"'!$A$12:$Z$41"),MATCH("Points (Auto-generate)",INDIRECT("'"&amp;$A43&amp;"'!$A$12:$Z$12"),0),0)="","?",VLOOKUP(AJ$1,INDIRECT("'"&amp;$A43&amp;"'!$A$12:$Z$41"),MATCH("Points (Auto-generate)",INDIRECT("'"&amp;$A43&amp;"'!$A$12:$Z$12"),0),0)),"ER"))</f>
        <v>?</v>
      </c>
      <c r="AK43" s="78" t="str">
        <f aca="true">IF($H43=0,"NA",IF($A43=INDIRECT("'"&amp;$A43&amp;"'!$B$1"),IF(VLOOKUP(AK$1,INDIRECT("'"&amp;$A43&amp;"'!$A$12:$Z$41"),MATCH("Points (Auto-generate)",INDIRECT("'"&amp;$A43&amp;"'!$A$12:$Z$12"),0),0)="","?",VLOOKUP(AK$1,INDIRECT("'"&amp;$A43&amp;"'!$A$12:$Z$41"),MATCH("Points (Auto-generate)",INDIRECT("'"&amp;$A43&amp;"'!$A$12:$Z$12"),0),0)),"ER"))</f>
        <v>?</v>
      </c>
    </row>
    <row r="44" customFormat="false" ht="14.25" hidden="false" customHeight="true" outlineLevel="0" collapsed="false">
      <c r="A44" s="74" t="s">
        <v>220</v>
      </c>
      <c r="B44" s="75" t="str">
        <f aca="false">IF(ISBLANK($A44),"NO_CODE",VLOOKUP($A44,'UPD Questions_290926 '!$E$1:$N$300,MATCH(B$1,'UPD Questions_290926 '!$E$1:$N$1,0),0)&amp;"")</f>
        <v>Implementation</v>
      </c>
      <c r="C44" s="75" t="str">
        <f aca="false">IF(ISBLANK($A44),"NO_CODE",VLOOKUP($A44,'UPD Questions_290926 '!$E$1:$N$300,MATCH(C$1,'UPD Questions_290926 '!$E$1:$N$1,0),0)&amp;"")</f>
        <v>Municipal/City Plan status, hierarchy and coordination</v>
      </c>
      <c r="D44" s="75" t="str">
        <f aca="false">IF(ISBLANK($A44),"NO_CODE",VLOOKUP($A44,'UPD Questions_290926 '!$E$1:$N$300,MATCH(D$1,'UPD Questions_290926 '!$E$1:$N$1,0),0)&amp;"")</f>
        <v>Objectives of the Municipal/City Plan</v>
      </c>
      <c r="E44" s="75" t="str">
        <f aca="false">IF(ISBLANK($A44),"NO_CODE",VLOOKUP($A44,'UPD Questions_290926 '!$E$1:$N$300,MATCH(E$1,'UPD Questions_290926 '!$E$1:$N$1,0),0)&amp;"")</f>
        <v>SQ</v>
      </c>
      <c r="F44" s="75" t="str">
        <f aca="false">IF(ISBLANK($A44),"NO_CODE",VLOOKUP($A44,'UPD Questions_290926 '!$E$1:$N$300,MATCH(F$1,'UPD Questions_290926 '!$E$1:$N$1,0),0)&amp;"")</f>
        <v>b) Heritage Conservation </v>
      </c>
      <c r="G44" s="75" t="str">
        <f aca="false">IF(ISBLANK($A44),"NO_CODE",VLOOKUP($A44,'UPD Questions_290926 '!$E$1:$N$300,MATCH(G$1,'UPD Questions_290926 '!$E$1:$N$1,0),0)&amp;"")</f>
        <v>Implementation</v>
      </c>
      <c r="H44" s="77" t="n">
        <f aca="false">IF(ISBLANK($A44),"NO_CODE",VLOOKUP($A44,'UPD Questions_290926 '!$E$1:$N$300,MATCH(H$1,'UPD Questions_290926 '!$E$1:$N$1,0),0))</f>
        <v>5</v>
      </c>
      <c r="I44" s="78" t="str">
        <f aca="true">IF($H44=0,"NA",IF($A44=INDIRECT("'"&amp;$A44&amp;"'!$B$1"),IF(VLOOKUP(I$1,INDIRECT("'"&amp;$A44&amp;"'!$A$12:$Z$41"),MATCH("Points (Auto-generate)",INDIRECT("'"&amp;$A44&amp;"'!$A$12:$Z$12"),0),0)="","?",VLOOKUP(I$1,INDIRECT("'"&amp;$A44&amp;"'!$A$12:$Z$41"),MATCH("Points (Auto-generate)",INDIRECT("'"&amp;$A44&amp;"'!$A$12:$Z$12"),0),0)),"ER"))</f>
        <v>?</v>
      </c>
      <c r="J44" s="78" t="n">
        <f aca="true">IF($H44=0,"NA",IF($A44=INDIRECT("'"&amp;$A44&amp;"'!$B$1"),IF(VLOOKUP(J$1,INDIRECT("'"&amp;$A44&amp;"'!$A$12:$Z$41"),MATCH("Points (Auto-generate)",INDIRECT("'"&amp;$A44&amp;"'!$A$12:$Z$12"),0),0)="","?",VLOOKUP(J$1,INDIRECT("'"&amp;$A44&amp;"'!$A$12:$Z$41"),MATCH("Points (Auto-generate)",INDIRECT("'"&amp;$A44&amp;"'!$A$12:$Z$12"),0),0)),"ER"))</f>
        <v>0</v>
      </c>
      <c r="K44" s="78" t="str">
        <f aca="true">IF($H44=0,"NA",IF($A44=INDIRECT("'"&amp;$A44&amp;"'!$B$1"),IF(VLOOKUP(K$1,INDIRECT("'"&amp;$A44&amp;"'!$A$12:$Z$41"),MATCH("Points (Auto-generate)",INDIRECT("'"&amp;$A44&amp;"'!$A$12:$Z$12"),0),0)="","?",VLOOKUP(K$1,INDIRECT("'"&amp;$A44&amp;"'!$A$12:$Z$41"),MATCH("Points (Auto-generate)",INDIRECT("'"&amp;$A44&amp;"'!$A$12:$Z$12"),0),0)),"ER"))</f>
        <v>?</v>
      </c>
      <c r="L44" s="78" t="str">
        <f aca="true">IF($H44=0,"NA",IF($A44=INDIRECT("'"&amp;$A44&amp;"'!$B$1"),IF(VLOOKUP(L$1,INDIRECT("'"&amp;$A44&amp;"'!$A$12:$Z$41"),MATCH("Points (Auto-generate)",INDIRECT("'"&amp;$A44&amp;"'!$A$12:$Z$12"),0),0)="","?",VLOOKUP(L$1,INDIRECT("'"&amp;$A44&amp;"'!$A$12:$Z$41"),MATCH("Points (Auto-generate)",INDIRECT("'"&amp;$A44&amp;"'!$A$12:$Z$12"),0),0)),"ER"))</f>
        <v>?</v>
      </c>
      <c r="M44" s="78" t="str">
        <f aca="true">IF($H44=0,"NA",IF($A44=INDIRECT("'"&amp;$A44&amp;"'!$B$1"),IF(VLOOKUP(M$1,INDIRECT("'"&amp;$A44&amp;"'!$A$12:$Z$41"),MATCH("Points (Auto-generate)",INDIRECT("'"&amp;$A44&amp;"'!$A$12:$Z$12"),0),0)="","?",VLOOKUP(M$1,INDIRECT("'"&amp;$A44&amp;"'!$A$12:$Z$41"),MATCH("Points (Auto-generate)",INDIRECT("'"&amp;$A44&amp;"'!$A$12:$Z$12"),0),0)),"ER"))</f>
        <v>?</v>
      </c>
      <c r="N44" s="78" t="str">
        <f aca="true">IF($H44=0,"NA",IF($A44=INDIRECT("'"&amp;$A44&amp;"'!$B$1"),IF(VLOOKUP(N$1,INDIRECT("'"&amp;$A44&amp;"'!$A$12:$Z$41"),MATCH("Points (Auto-generate)",INDIRECT("'"&amp;$A44&amp;"'!$A$12:$Z$12"),0),0)="","?",VLOOKUP(N$1,INDIRECT("'"&amp;$A44&amp;"'!$A$12:$Z$41"),MATCH("Points (Auto-generate)",INDIRECT("'"&amp;$A44&amp;"'!$A$12:$Z$12"),0),0)),"ER"))</f>
        <v>?</v>
      </c>
      <c r="O44" s="78" t="str">
        <f aca="true">IF($H44=0,"NA",IF($A44=INDIRECT("'"&amp;$A44&amp;"'!$B$1"),IF(VLOOKUP(O$1,INDIRECT("'"&amp;$A44&amp;"'!$A$12:$Z$41"),MATCH("Points (Auto-generate)",INDIRECT("'"&amp;$A44&amp;"'!$A$12:$Z$12"),0),0)="","?",VLOOKUP(O$1,INDIRECT("'"&amp;$A44&amp;"'!$A$12:$Z$41"),MATCH("Points (Auto-generate)",INDIRECT("'"&amp;$A44&amp;"'!$A$12:$Z$12"),0),0)),"ER"))</f>
        <v>?</v>
      </c>
      <c r="P44" s="78" t="str">
        <f aca="true">IF($H44=0,"NA",IF($A44=INDIRECT("'"&amp;$A44&amp;"'!$B$1"),IF(VLOOKUP(P$1,INDIRECT("'"&amp;$A44&amp;"'!$A$12:$Z$41"),MATCH("Points (Auto-generate)",INDIRECT("'"&amp;$A44&amp;"'!$A$12:$Z$12"),0),0)="","?",VLOOKUP(P$1,INDIRECT("'"&amp;$A44&amp;"'!$A$12:$Z$41"),MATCH("Points (Auto-generate)",INDIRECT("'"&amp;$A44&amp;"'!$A$12:$Z$12"),0),0)),"ER"))</f>
        <v>?</v>
      </c>
      <c r="Q44" s="78" t="str">
        <f aca="true">IF($H44=0,"NA",IF($A44=INDIRECT("'"&amp;$A44&amp;"'!$B$1"),IF(VLOOKUP(Q$1,INDIRECT("'"&amp;$A44&amp;"'!$A$12:$Z$41"),MATCH("Points (Auto-generate)",INDIRECT("'"&amp;$A44&amp;"'!$A$12:$Z$12"),0),0)="","?",VLOOKUP(Q$1,INDIRECT("'"&amp;$A44&amp;"'!$A$12:$Z$41"),MATCH("Points (Auto-generate)",INDIRECT("'"&amp;$A44&amp;"'!$A$12:$Z$12"),0),0)),"ER"))</f>
        <v>?</v>
      </c>
      <c r="R44" s="78" t="str">
        <f aca="true">IF($H44=0,"NA",IF($A44=INDIRECT("'"&amp;$A44&amp;"'!$B$1"),IF(VLOOKUP(R$1,INDIRECT("'"&amp;$A44&amp;"'!$A$12:$Z$41"),MATCH("Points (Auto-generate)",INDIRECT("'"&amp;$A44&amp;"'!$A$12:$Z$12"),0),0)="","?",VLOOKUP(R$1,INDIRECT("'"&amp;$A44&amp;"'!$A$12:$Z$41"),MATCH("Points (Auto-generate)",INDIRECT("'"&amp;$A44&amp;"'!$A$12:$Z$12"),0),0)),"ER"))</f>
        <v>?</v>
      </c>
      <c r="S44" s="78" t="str">
        <f aca="true">IF($H44=0,"NA",IF($A44=INDIRECT("'"&amp;$A44&amp;"'!$B$1"),IF(VLOOKUP(S$1,INDIRECT("'"&amp;$A44&amp;"'!$A$12:$Z$41"),MATCH("Points (Auto-generate)",INDIRECT("'"&amp;$A44&amp;"'!$A$12:$Z$12"),0),0)="","?",VLOOKUP(S$1,INDIRECT("'"&amp;$A44&amp;"'!$A$12:$Z$41"),MATCH("Points (Auto-generate)",INDIRECT("'"&amp;$A44&amp;"'!$A$12:$Z$12"),0),0)),"ER"))</f>
        <v>?</v>
      </c>
      <c r="T44" s="78" t="str">
        <f aca="true">IF($H44=0,"NA",IF($A44=INDIRECT("'"&amp;$A44&amp;"'!$B$1"),IF(VLOOKUP(T$1,INDIRECT("'"&amp;$A44&amp;"'!$A$12:$Z$41"),MATCH("Points (Auto-generate)",INDIRECT("'"&amp;$A44&amp;"'!$A$12:$Z$12"),0),0)="","?",VLOOKUP(T$1,INDIRECT("'"&amp;$A44&amp;"'!$A$12:$Z$41"),MATCH("Points (Auto-generate)",INDIRECT("'"&amp;$A44&amp;"'!$A$12:$Z$12"),0),0)),"ER"))</f>
        <v>?</v>
      </c>
      <c r="U44" s="78" t="str">
        <f aca="true">IF($H44=0,"NA",IF($A44=INDIRECT("'"&amp;$A44&amp;"'!$B$1"),IF(VLOOKUP(U$1,INDIRECT("'"&amp;$A44&amp;"'!$A$12:$Z$41"),MATCH("Points (Auto-generate)",INDIRECT("'"&amp;$A44&amp;"'!$A$12:$Z$12"),0),0)="","?",VLOOKUP(U$1,INDIRECT("'"&amp;$A44&amp;"'!$A$12:$Z$41"),MATCH("Points (Auto-generate)",INDIRECT("'"&amp;$A44&amp;"'!$A$12:$Z$12"),0),0)),"ER"))</f>
        <v>?</v>
      </c>
      <c r="V44" s="78" t="str">
        <f aca="true">IF($H44=0,"NA",IF($A44=INDIRECT("'"&amp;$A44&amp;"'!$B$1"),IF(VLOOKUP(V$1,INDIRECT("'"&amp;$A44&amp;"'!$A$12:$Z$41"),MATCH("Points (Auto-generate)",INDIRECT("'"&amp;$A44&amp;"'!$A$12:$Z$12"),0),0)="","?",VLOOKUP(V$1,INDIRECT("'"&amp;$A44&amp;"'!$A$12:$Z$41"),MATCH("Points (Auto-generate)",INDIRECT("'"&amp;$A44&amp;"'!$A$12:$Z$12"),0),0)),"ER"))</f>
        <v>?</v>
      </c>
      <c r="W44" s="78" t="str">
        <f aca="true">IF($H44=0,"NA",IF($A44=INDIRECT("'"&amp;$A44&amp;"'!$B$1"),IF(VLOOKUP(W$1,INDIRECT("'"&amp;$A44&amp;"'!$A$12:$Z$41"),MATCH("Points (Auto-generate)",INDIRECT("'"&amp;$A44&amp;"'!$A$12:$Z$12"),0),0)="","?",VLOOKUP(W$1,INDIRECT("'"&amp;$A44&amp;"'!$A$12:$Z$41"),MATCH("Points (Auto-generate)",INDIRECT("'"&amp;$A44&amp;"'!$A$12:$Z$12"),0),0)),"ER"))</f>
        <v>?</v>
      </c>
      <c r="X44" s="78" t="str">
        <f aca="true">IF($H44=0,"NA",IF($A44=INDIRECT("'"&amp;$A44&amp;"'!$B$1"),IF(VLOOKUP(X$1,INDIRECT("'"&amp;$A44&amp;"'!$A$12:$Z$41"),MATCH("Points (Auto-generate)",INDIRECT("'"&amp;$A44&amp;"'!$A$12:$Z$12"),0),0)="","?",VLOOKUP(X$1,INDIRECT("'"&amp;$A44&amp;"'!$A$12:$Z$41"),MATCH("Points (Auto-generate)",INDIRECT("'"&amp;$A44&amp;"'!$A$12:$Z$12"),0),0)),"ER"))</f>
        <v>?</v>
      </c>
      <c r="Y44" s="78" t="str">
        <f aca="true">IF($H44=0,"NA",IF($A44=INDIRECT("'"&amp;$A44&amp;"'!$B$1"),IF(VLOOKUP(Y$1,INDIRECT("'"&amp;$A44&amp;"'!$A$12:$Z$41"),MATCH("Points (Auto-generate)",INDIRECT("'"&amp;$A44&amp;"'!$A$12:$Z$12"),0),0)="","?",VLOOKUP(Y$1,INDIRECT("'"&amp;$A44&amp;"'!$A$12:$Z$41"),MATCH("Points (Auto-generate)",INDIRECT("'"&amp;$A44&amp;"'!$A$12:$Z$12"),0),0)),"ER"))</f>
        <v>?</v>
      </c>
      <c r="Z44" s="78" t="str">
        <f aca="true">IF($H44=0,"NA",IF($A44=INDIRECT("'"&amp;$A44&amp;"'!$B$1"),IF(VLOOKUP(Z$1,INDIRECT("'"&amp;$A44&amp;"'!$A$12:$Z$41"),MATCH("Points (Auto-generate)",INDIRECT("'"&amp;$A44&amp;"'!$A$12:$Z$12"),0),0)="","?",VLOOKUP(Z$1,INDIRECT("'"&amp;$A44&amp;"'!$A$12:$Z$41"),MATCH("Points (Auto-generate)",INDIRECT("'"&amp;$A44&amp;"'!$A$12:$Z$12"),0),0)),"ER"))</f>
        <v>?</v>
      </c>
      <c r="AA44" s="78" t="str">
        <f aca="true">IF($H44=0,"NA",IF($A44=INDIRECT("'"&amp;$A44&amp;"'!$B$1"),IF(VLOOKUP(AA$1,INDIRECT("'"&amp;$A44&amp;"'!$A$12:$Z$41"),MATCH("Points (Auto-generate)",INDIRECT("'"&amp;$A44&amp;"'!$A$12:$Z$12"),0),0)="","?",VLOOKUP(AA$1,INDIRECT("'"&amp;$A44&amp;"'!$A$12:$Z$41"),MATCH("Points (Auto-generate)",INDIRECT("'"&amp;$A44&amp;"'!$A$12:$Z$12"),0),0)),"ER"))</f>
        <v>?</v>
      </c>
      <c r="AB44" s="78" t="str">
        <f aca="true">IF($H44=0,"NA",IF($A44=INDIRECT("'"&amp;$A44&amp;"'!$B$1"),IF(VLOOKUP(AB$1,INDIRECT("'"&amp;$A44&amp;"'!$A$12:$Z$41"),MATCH("Points (Auto-generate)",INDIRECT("'"&amp;$A44&amp;"'!$A$12:$Z$12"),0),0)="","?",VLOOKUP(AB$1,INDIRECT("'"&amp;$A44&amp;"'!$A$12:$Z$41"),MATCH("Points (Auto-generate)",INDIRECT("'"&amp;$A44&amp;"'!$A$12:$Z$12"),0),0)),"ER"))</f>
        <v>?</v>
      </c>
      <c r="AC44" s="78" t="str">
        <f aca="true">IF($H44=0,"NA",IF($A44=INDIRECT("'"&amp;$A44&amp;"'!$B$1"),IF(VLOOKUP(AC$1,INDIRECT("'"&amp;$A44&amp;"'!$A$12:$Z$41"),MATCH("Points (Auto-generate)",INDIRECT("'"&amp;$A44&amp;"'!$A$12:$Z$12"),0),0)="","?",VLOOKUP(AC$1,INDIRECT("'"&amp;$A44&amp;"'!$A$12:$Z$41"),MATCH("Points (Auto-generate)",INDIRECT("'"&amp;$A44&amp;"'!$A$12:$Z$12"),0),0)),"ER"))</f>
        <v>?</v>
      </c>
      <c r="AD44" s="78" t="str">
        <f aca="true">IF($H44=0,"NA",IF($A44=INDIRECT("'"&amp;$A44&amp;"'!$B$1"),IF(VLOOKUP(AD$1,INDIRECT("'"&amp;$A44&amp;"'!$A$12:$Z$41"),MATCH("Points (Auto-generate)",INDIRECT("'"&amp;$A44&amp;"'!$A$12:$Z$12"),0),0)="","?",VLOOKUP(AD$1,INDIRECT("'"&amp;$A44&amp;"'!$A$12:$Z$41"),MATCH("Points (Auto-generate)",INDIRECT("'"&amp;$A44&amp;"'!$A$12:$Z$12"),0),0)),"ER"))</f>
        <v>?</v>
      </c>
      <c r="AE44" s="78" t="str">
        <f aca="true">IF($H44=0,"NA",IF($A44=INDIRECT("'"&amp;$A44&amp;"'!$B$1"),IF(VLOOKUP(AE$1,INDIRECT("'"&amp;$A44&amp;"'!$A$12:$Z$41"),MATCH("Points (Auto-generate)",INDIRECT("'"&amp;$A44&amp;"'!$A$12:$Z$12"),0),0)="","?",VLOOKUP(AE$1,INDIRECT("'"&amp;$A44&amp;"'!$A$12:$Z$41"),MATCH("Points (Auto-generate)",INDIRECT("'"&amp;$A44&amp;"'!$A$12:$Z$12"),0),0)),"ER"))</f>
        <v>?</v>
      </c>
      <c r="AF44" s="78" t="str">
        <f aca="true">IF($H44=0,"NA",IF($A44=INDIRECT("'"&amp;$A44&amp;"'!$B$1"),IF(VLOOKUP(AF$1,INDIRECT("'"&amp;$A44&amp;"'!$A$12:$Z$41"),MATCH("Points (Auto-generate)",INDIRECT("'"&amp;$A44&amp;"'!$A$12:$Z$12"),0),0)="","?",VLOOKUP(AF$1,INDIRECT("'"&amp;$A44&amp;"'!$A$12:$Z$41"),MATCH("Points (Auto-generate)",INDIRECT("'"&amp;$A44&amp;"'!$A$12:$Z$12"),0),0)),"ER"))</f>
        <v>?</v>
      </c>
      <c r="AG44" s="78" t="str">
        <f aca="true">IF($H44=0,"NA",IF($A44=INDIRECT("'"&amp;$A44&amp;"'!$B$1"),IF(VLOOKUP(AG$1,INDIRECT("'"&amp;$A44&amp;"'!$A$12:$Z$41"),MATCH("Points (Auto-generate)",INDIRECT("'"&amp;$A44&amp;"'!$A$12:$Z$12"),0),0)="","?",VLOOKUP(AG$1,INDIRECT("'"&amp;$A44&amp;"'!$A$12:$Z$41"),MATCH("Points (Auto-generate)",INDIRECT("'"&amp;$A44&amp;"'!$A$12:$Z$12"),0),0)),"ER"))</f>
        <v>?</v>
      </c>
      <c r="AH44" s="78" t="str">
        <f aca="true">IF($H44=0,"NA",IF($A44=INDIRECT("'"&amp;$A44&amp;"'!$B$1"),IF(VLOOKUP(AH$1,INDIRECT("'"&amp;$A44&amp;"'!$A$12:$Z$41"),MATCH("Points (Auto-generate)",INDIRECT("'"&amp;$A44&amp;"'!$A$12:$Z$12"),0),0)="","?",VLOOKUP(AH$1,INDIRECT("'"&amp;$A44&amp;"'!$A$12:$Z$41"),MATCH("Points (Auto-generate)",INDIRECT("'"&amp;$A44&amp;"'!$A$12:$Z$12"),0),0)),"ER"))</f>
        <v>?</v>
      </c>
      <c r="AI44" s="78" t="str">
        <f aca="true">IF($H44=0,"NA",IF($A44=INDIRECT("'"&amp;$A44&amp;"'!$B$1"),IF(VLOOKUP(AI$1,INDIRECT("'"&amp;$A44&amp;"'!$A$12:$Z$41"),MATCH("Points (Auto-generate)",INDIRECT("'"&amp;$A44&amp;"'!$A$12:$Z$12"),0),0)="","?",VLOOKUP(AI$1,INDIRECT("'"&amp;$A44&amp;"'!$A$12:$Z$41"),MATCH("Points (Auto-generate)",INDIRECT("'"&amp;$A44&amp;"'!$A$12:$Z$12"),0),0)),"ER"))</f>
        <v>?</v>
      </c>
      <c r="AJ44" s="78" t="str">
        <f aca="true">IF($H44=0,"NA",IF($A44=INDIRECT("'"&amp;$A44&amp;"'!$B$1"),IF(VLOOKUP(AJ$1,INDIRECT("'"&amp;$A44&amp;"'!$A$12:$Z$41"),MATCH("Points (Auto-generate)",INDIRECT("'"&amp;$A44&amp;"'!$A$12:$Z$12"),0),0)="","?",VLOOKUP(AJ$1,INDIRECT("'"&amp;$A44&amp;"'!$A$12:$Z$41"),MATCH("Points (Auto-generate)",INDIRECT("'"&amp;$A44&amp;"'!$A$12:$Z$12"),0),0)),"ER"))</f>
        <v>?</v>
      </c>
      <c r="AK44" s="78" t="str">
        <f aca="true">IF($H44=0,"NA",IF($A44=INDIRECT("'"&amp;$A44&amp;"'!$B$1"),IF(VLOOKUP(AK$1,INDIRECT("'"&amp;$A44&amp;"'!$A$12:$Z$41"),MATCH("Points (Auto-generate)",INDIRECT("'"&amp;$A44&amp;"'!$A$12:$Z$12"),0),0)="","?",VLOOKUP(AK$1,INDIRECT("'"&amp;$A44&amp;"'!$A$12:$Z$41"),MATCH("Points (Auto-generate)",INDIRECT("'"&amp;$A44&amp;"'!$A$12:$Z$12"),0),0)),"ER"))</f>
        <v>?</v>
      </c>
    </row>
    <row r="45" customFormat="false" ht="14.25" hidden="false" customHeight="true" outlineLevel="0" collapsed="false">
      <c r="A45" s="74" t="s">
        <v>226</v>
      </c>
      <c r="B45" s="75" t="str">
        <f aca="false">IF(ISBLANK($A45),"NO_CODE",VLOOKUP($A45,'UPD Questions_290926 '!$E$1:$N$300,MATCH(B$1,'UPD Questions_290926 '!$E$1:$N$1,0),0)&amp;"")</f>
        <v>Implementation</v>
      </c>
      <c r="C45" s="75" t="str">
        <f aca="false">IF(ISBLANK($A45),"NO_CODE",VLOOKUP($A45,'UPD Questions_290926 '!$E$1:$N$300,MATCH(C$1,'UPD Questions_290926 '!$E$1:$N$1,0),0)&amp;"")</f>
        <v>Municipal/City Plan status, hierarchy and coordination</v>
      </c>
      <c r="D45" s="75" t="str">
        <f aca="false">IF(ISBLANK($A45),"NO_CODE",VLOOKUP($A45,'UPD Questions_290926 '!$E$1:$N$300,MATCH(D$1,'UPD Questions_290926 '!$E$1:$N$1,0),0)&amp;"")</f>
        <v>Objectives of the Municipal/City Plan</v>
      </c>
      <c r="E45" s="75" t="str">
        <f aca="false">IF(ISBLANK($A45),"NO_CODE",VLOOKUP($A45,'UPD Questions_290926 '!$E$1:$N$300,MATCH(E$1,'UPD Questions_290926 '!$E$1:$N$1,0),0)&amp;"")</f>
        <v>MQ</v>
      </c>
      <c r="F45" s="75" t="str">
        <f aca="false">IF(ISBLANK($A45),"NO_CODE",VLOOKUP($A45,'UPD Questions_290926 '!$E$1:$N$300,MATCH(F$1,'UPD Questions_290926 '!$E$1:$N$1,0),0)&amp;"")</f>
        <v>Does the municipal/city plan include objectives on social development (health care, education)?</v>
      </c>
      <c r="G45" s="75" t="str">
        <f aca="false">IF(ISBLANK($A45),"NO_CODE",VLOOKUP($A45,'UPD Questions_290926 '!$E$1:$N$300,MATCH(G$1,'UPD Questions_290926 '!$E$1:$N$1,0),0)&amp;"")</f>
        <v>Implementation</v>
      </c>
      <c r="H45" s="77" t="n">
        <f aca="false">IF(ISBLANK($A45),"NO_CODE",VLOOKUP($A45,'UPD Questions_290926 '!$E$1:$N$300,MATCH(H$1,'UPD Questions_290926 '!$E$1:$N$1,0),0))</f>
        <v>10</v>
      </c>
      <c r="I45" s="78" t="str">
        <f aca="false">IF(OR(I46="ER",I47="ER",I48="ER"),"ER",IF(OR(I46="?",I47="?",I48="?"),"?",IF(AND(I46="NA",I47="NA",I48="NA"),"NA",SUM(I46,I47,I48)/((I46&lt;&gt;"NA")*$H$46+(I47&lt;&gt;"NA")*$H$47+(I48&lt;&gt;"NA")*$H$48)*$H45)))</f>
        <v>?</v>
      </c>
      <c r="J45" s="78" t="n">
        <f aca="false">IF(OR(J46="ER",J47="ER",J48="ER"),"ER",IF(OR(J46="?",J47="?",J48="?"),"?",IF(AND(J46="NA",J47="NA",J48="NA"),"NA",SUM(J46,J47,J48)/((J46&lt;&gt;"NA")*$H$46+(J47&lt;&gt;"NA")*$H$47+(J48&lt;&gt;"NA")*$H$48)*$H45)))</f>
        <v>0</v>
      </c>
      <c r="K45" s="78" t="str">
        <f aca="false">IF(OR(K46="ER",K47="ER",K48="ER"),"ER",IF(OR(K46="?",K47="?",K48="?"),"?",IF(AND(K46="NA",K47="NA",K48="NA"),"NA",SUM(K46,K47,K48)/((K46&lt;&gt;"NA")*$H$46+(K47&lt;&gt;"NA")*$H$47+(K48&lt;&gt;"NA")*$H$48)*$H45)))</f>
        <v>?</v>
      </c>
      <c r="L45" s="78" t="str">
        <f aca="false">IF(OR(L46="ER",L47="ER",L48="ER"),"ER",IF(OR(L46="?",L47="?",L48="?"),"?",IF(AND(L46="NA",L47="NA",L48="NA"),"NA",SUM(L46,L47,L48)/((L46&lt;&gt;"NA")*$H$46+(L47&lt;&gt;"NA")*$H$47+(L48&lt;&gt;"NA")*$H$48)*$H45)))</f>
        <v>?</v>
      </c>
      <c r="M45" s="78" t="str">
        <f aca="false">IF(OR(M46="ER",M47="ER",M48="ER"),"ER",IF(OR(M46="?",M47="?",M48="?"),"?",IF(AND(M46="NA",M47="NA",M48="NA"),"NA",SUM(M46,M47,M48)/((M46&lt;&gt;"NA")*$H$46+(M47&lt;&gt;"NA")*$H$47+(M48&lt;&gt;"NA")*$H$48)*$H45)))</f>
        <v>?</v>
      </c>
      <c r="N45" s="78" t="str">
        <f aca="false">IF(OR(N46="ER",N47="ER",N48="ER"),"ER",IF(OR(N46="?",N47="?",N48="?"),"?",IF(AND(N46="NA",N47="NA",N48="NA"),"NA",SUM(N46,N47,N48)/((N46&lt;&gt;"NA")*$H$46+(N47&lt;&gt;"NA")*$H$47+(N48&lt;&gt;"NA")*$H$48)*$H45)))</f>
        <v>?</v>
      </c>
      <c r="O45" s="78" t="str">
        <f aca="false">IF(OR(O46="ER",O47="ER",O48="ER"),"ER",IF(OR(O46="?",O47="?",O48="?"),"?",IF(AND(O46="NA",O47="NA",O48="NA"),"NA",SUM(O46,O47,O48)/((O46&lt;&gt;"NA")*$H$46+(O47&lt;&gt;"NA")*$H$47+(O48&lt;&gt;"NA")*$H$48)*$H45)))</f>
        <v>?</v>
      </c>
      <c r="P45" s="78" t="str">
        <f aca="false">IF(OR(P46="ER",P47="ER",P48="ER"),"ER",IF(OR(P46="?",P47="?",P48="?"),"?",IF(AND(P46="NA",P47="NA",P48="NA"),"NA",SUM(P46,P47,P48)/((P46&lt;&gt;"NA")*$H$46+(P47&lt;&gt;"NA")*$H$47+(P48&lt;&gt;"NA")*$H$48)*$H45)))</f>
        <v>?</v>
      </c>
      <c r="Q45" s="78" t="str">
        <f aca="false">IF(OR(Q46="ER",Q47="ER",Q48="ER"),"ER",IF(OR(Q46="?",Q47="?",Q48="?"),"?",IF(AND(Q46="NA",Q47="NA",Q48="NA"),"NA",SUM(Q46,Q47,Q48)/((Q46&lt;&gt;"NA")*$H$46+(Q47&lt;&gt;"NA")*$H$47+(Q48&lt;&gt;"NA")*$H$48)*$H45)))</f>
        <v>?</v>
      </c>
      <c r="R45" s="78" t="str">
        <f aca="false">IF(OR(R46="ER",R47="ER",R48="ER"),"ER",IF(OR(R46="?",R47="?",R48="?"),"?",IF(AND(R46="NA",R47="NA",R48="NA"),"NA",SUM(R46,R47,R48)/((R46&lt;&gt;"NA")*$H$46+(R47&lt;&gt;"NA")*$H$47+(R48&lt;&gt;"NA")*$H$48)*$H45)))</f>
        <v>?</v>
      </c>
      <c r="S45" s="78" t="str">
        <f aca="false">IF(OR(S46="ER",S47="ER",S48="ER"),"ER",IF(OR(S46="?",S47="?",S48="?"),"?",IF(AND(S46="NA",S47="NA",S48="NA"),"NA",SUM(S46,S47,S48)/((S46&lt;&gt;"NA")*$H$46+(S47&lt;&gt;"NA")*$H$47+(S48&lt;&gt;"NA")*$H$48)*$H45)))</f>
        <v>?</v>
      </c>
      <c r="T45" s="78" t="str">
        <f aca="false">IF(OR(T46="ER",T47="ER",T48="ER"),"ER",IF(OR(T46="?",T47="?",T48="?"),"?",IF(AND(T46="NA",T47="NA",T48="NA"),"NA",SUM(T46,T47,T48)/((T46&lt;&gt;"NA")*$H$46+(T47&lt;&gt;"NA")*$H$47+(T48&lt;&gt;"NA")*$H$48)*$H45)))</f>
        <v>?</v>
      </c>
      <c r="U45" s="78" t="str">
        <f aca="false">IF(OR(U46="ER",U47="ER",U48="ER"),"ER",IF(OR(U46="?",U47="?",U48="?"),"?",IF(AND(U46="NA",U47="NA",U48="NA"),"NA",SUM(U46,U47,U48)/((U46&lt;&gt;"NA")*$H$46+(U47&lt;&gt;"NA")*$H$47+(U48&lt;&gt;"NA")*$H$48)*$H45)))</f>
        <v>?</v>
      </c>
      <c r="V45" s="78" t="str">
        <f aca="false">IF(OR(V46="ER",V47="ER",V48="ER"),"ER",IF(OR(V46="?",V47="?",V48="?"),"?",IF(AND(V46="NA",V47="NA",V48="NA"),"NA",SUM(V46,V47,V48)/((V46&lt;&gt;"NA")*$H$46+(V47&lt;&gt;"NA")*$H$47+(V48&lt;&gt;"NA")*$H$48)*$H45)))</f>
        <v>?</v>
      </c>
      <c r="W45" s="78" t="str">
        <f aca="false">IF(OR(W46="ER",W47="ER",W48="ER"),"ER",IF(OR(W46="?",W47="?",W48="?"),"?",IF(AND(W46="NA",W47="NA",W48="NA"),"NA",SUM(W46,W47,W48)/((W46&lt;&gt;"NA")*$H$46+(W47&lt;&gt;"NA")*$H$47+(W48&lt;&gt;"NA")*$H$48)*$H45)))</f>
        <v>?</v>
      </c>
      <c r="X45" s="78" t="str">
        <f aca="false">IF(OR(X46="ER",X47="ER",X48="ER"),"ER",IF(OR(X46="?",X47="?",X48="?"),"?",IF(AND(X46="NA",X47="NA",X48="NA"),"NA",SUM(X46,X47,X48)/((X46&lt;&gt;"NA")*$H$46+(X47&lt;&gt;"NA")*$H$47+(X48&lt;&gt;"NA")*$H$48)*$H45)))</f>
        <v>?</v>
      </c>
      <c r="Y45" s="78" t="str">
        <f aca="false">IF(OR(Y46="ER",Y47="ER",Y48="ER"),"ER",IF(OR(Y46="?",Y47="?",Y48="?"),"?",IF(AND(Y46="NA",Y47="NA",Y48="NA"),"NA",SUM(Y46,Y47,Y48)/((Y46&lt;&gt;"NA")*$H$46+(Y47&lt;&gt;"NA")*$H$47+(Y48&lt;&gt;"NA")*$H$48)*$H45)))</f>
        <v>?</v>
      </c>
      <c r="Z45" s="78" t="str">
        <f aca="false">IF(OR(Z46="ER",Z47="ER",Z48="ER"),"ER",IF(OR(Z46="?",Z47="?",Z48="?"),"?",IF(AND(Z46="NA",Z47="NA",Z48="NA"),"NA",SUM(Z46,Z47,Z48)/((Z46&lt;&gt;"NA")*$H$46+(Z47&lt;&gt;"NA")*$H$47+(Z48&lt;&gt;"NA")*$H$48)*$H45)))</f>
        <v>?</v>
      </c>
      <c r="AA45" s="78" t="str">
        <f aca="false">IF(OR(AA46="ER",AA47="ER",AA48="ER"),"ER",IF(OR(AA46="?",AA47="?",AA48="?"),"?",IF(AND(AA46="NA",AA47="NA",AA48="NA"),"NA",SUM(AA46,AA47,AA48)/((AA46&lt;&gt;"NA")*$H$46+(AA47&lt;&gt;"NA")*$H$47+(AA48&lt;&gt;"NA")*$H$48)*$H45)))</f>
        <v>?</v>
      </c>
      <c r="AB45" s="78" t="str">
        <f aca="false">IF(OR(AB46="ER",AB47="ER",AB48="ER"),"ER",IF(OR(AB46="?",AB47="?",AB48="?"),"?",IF(AND(AB46="NA",AB47="NA",AB48="NA"),"NA",SUM(AB46,AB47,AB48)/((AB46&lt;&gt;"NA")*$H$46+(AB47&lt;&gt;"NA")*$H$47+(AB48&lt;&gt;"NA")*$H$48)*$H45)))</f>
        <v>?</v>
      </c>
      <c r="AC45" s="78" t="str">
        <f aca="false">IF(OR(AC46="ER",AC47="ER",AC48="ER"),"ER",IF(OR(AC46="?",AC47="?",AC48="?"),"?",IF(AND(AC46="NA",AC47="NA",AC48="NA"),"NA",SUM(AC46,AC47,AC48)/((AC46&lt;&gt;"NA")*$H$46+(AC47&lt;&gt;"NA")*$H$47+(AC48&lt;&gt;"NA")*$H$48)*$H45)))</f>
        <v>?</v>
      </c>
      <c r="AD45" s="78" t="str">
        <f aca="false">IF(OR(AD46="ER",AD47="ER",AD48="ER"),"ER",IF(OR(AD46="?",AD47="?",AD48="?"),"?",IF(AND(AD46="NA",AD47="NA",AD48="NA"),"NA",SUM(AD46,AD47,AD48)/((AD46&lt;&gt;"NA")*$H$46+(AD47&lt;&gt;"NA")*$H$47+(AD48&lt;&gt;"NA")*$H$48)*$H45)))</f>
        <v>?</v>
      </c>
      <c r="AE45" s="78" t="str">
        <f aca="false">IF(OR(AE46="ER",AE47="ER",AE48="ER"),"ER",IF(OR(AE46="?",AE47="?",AE48="?"),"?",IF(AND(AE46="NA",AE47="NA",AE48="NA"),"NA",SUM(AE46,AE47,AE48)/((AE46&lt;&gt;"NA")*$H$46+(AE47&lt;&gt;"NA")*$H$47+(AE48&lt;&gt;"NA")*$H$48)*$H45)))</f>
        <v>?</v>
      </c>
      <c r="AF45" s="78" t="str">
        <f aca="false">IF(OR(AF46="ER",AF47="ER",AF48="ER"),"ER",IF(OR(AF46="?",AF47="?",AF48="?"),"?",IF(AND(AF46="NA",AF47="NA",AF48="NA"),"NA",SUM(AF46,AF47,AF48)/((AF46&lt;&gt;"NA")*$H$46+(AF47&lt;&gt;"NA")*$H$47+(AF48&lt;&gt;"NA")*$H$48)*$H45)))</f>
        <v>?</v>
      </c>
      <c r="AG45" s="78" t="str">
        <f aca="false">IF(OR(AG46="ER",AG47="ER",AG48="ER"),"ER",IF(OR(AG46="?",AG47="?",AG48="?"),"?",IF(AND(AG46="NA",AG47="NA",AG48="NA"),"NA",SUM(AG46,AG47,AG48)/((AG46&lt;&gt;"NA")*$H$46+(AG47&lt;&gt;"NA")*$H$47+(AG48&lt;&gt;"NA")*$H$48)*$H45)))</f>
        <v>?</v>
      </c>
      <c r="AH45" s="78" t="str">
        <f aca="false">IF(OR(AH46="ER",AH47="ER",AH48="ER"),"ER",IF(OR(AH46="?",AH47="?",AH48="?"),"?",IF(AND(AH46="NA",AH47="NA",AH48="NA"),"NA",SUM(AH46,AH47,AH48)/((AH46&lt;&gt;"NA")*$H$46+(AH47&lt;&gt;"NA")*$H$47+(AH48&lt;&gt;"NA")*$H$48)*$H45)))</f>
        <v>?</v>
      </c>
      <c r="AI45" s="78" t="str">
        <f aca="false">IF(OR(AI46="ER",AI47="ER",AI48="ER"),"ER",IF(OR(AI46="?",AI47="?",AI48="?"),"?",IF(AND(AI46="NA",AI47="NA",AI48="NA"),"NA",SUM(AI46,AI47,AI48)/((AI46&lt;&gt;"NA")*$H$46+(AI47&lt;&gt;"NA")*$H$47+(AI48&lt;&gt;"NA")*$H$48)*$H45)))</f>
        <v>?</v>
      </c>
      <c r="AJ45" s="78" t="str">
        <f aca="false">IF(OR(AJ46="ER",AJ47="ER",AJ48="ER"),"ER",IF(OR(AJ46="?",AJ47="?",AJ48="?"),"?",IF(AND(AJ46="NA",AJ47="NA",AJ48="NA"),"NA",SUM(AJ46,AJ47,AJ48)/((AJ46&lt;&gt;"NA")*$H$46+(AJ47&lt;&gt;"NA")*$H$47+(AJ48&lt;&gt;"NA")*$H$48)*$H45)))</f>
        <v>?</v>
      </c>
      <c r="AK45" s="78" t="str">
        <f aca="false">IF(OR(AK46="ER",AK47="ER",AK48="ER"),"ER",IF(OR(AK46="?",AK47="?",AK48="?"),"?",IF(AND(AK46="NA",AK47="NA",AK48="NA"),"NA",SUM(AK46,AK47,AK48)/((AK46&lt;&gt;"NA")*$H$46+(AK47&lt;&gt;"NA")*$H$47+(AK48&lt;&gt;"NA")*$H$48)*$H45)))</f>
        <v>?</v>
      </c>
    </row>
    <row r="46" customFormat="false" ht="14.25" hidden="false" customHeight="true" outlineLevel="0" collapsed="false">
      <c r="A46" s="74" t="s">
        <v>230</v>
      </c>
      <c r="B46" s="75" t="str">
        <f aca="false">IF(ISBLANK($A46),"NO_CODE",VLOOKUP($A46,'UPD Questions_290926 '!$E$1:$N$300,MATCH(B$1,'UPD Questions_290926 '!$E$1:$N$1,0),0)&amp;"")</f>
        <v>Implementation</v>
      </c>
      <c r="C46" s="75" t="str">
        <f aca="false">IF(ISBLANK($A46),"NO_CODE",VLOOKUP($A46,'UPD Questions_290926 '!$E$1:$N$300,MATCH(C$1,'UPD Questions_290926 '!$E$1:$N$1,0),0)&amp;"")</f>
        <v>Municipal/City Plan status, hierarchy and coordination</v>
      </c>
      <c r="D46" s="75" t="str">
        <f aca="false">IF(ISBLANK($A46),"NO_CODE",VLOOKUP($A46,'UPD Questions_290926 '!$E$1:$N$300,MATCH(D$1,'UPD Questions_290926 '!$E$1:$N$1,0),0)&amp;"")</f>
        <v>Objectives of the Municipal/City Plan</v>
      </c>
      <c r="E46" s="75" t="str">
        <f aca="false">IF(ISBLANK($A46),"NO_CODE",VLOOKUP($A46,'UPD Questions_290926 '!$E$1:$N$300,MATCH(E$1,'UPD Questions_290926 '!$E$1:$N$1,0),0)&amp;"")</f>
        <v>SQ</v>
      </c>
      <c r="F46" s="75" t="str">
        <f aca="false">IF(ISBLANK($A46),"NO_CODE",VLOOKUP($A46,'UPD Questions_290926 '!$E$1:$N$300,MATCH(F$1,'UPD Questions_290926 '!$E$1:$N$1,0),0)&amp;"")</f>
        <v>a) Education </v>
      </c>
      <c r="G46" s="75" t="str">
        <f aca="false">IF(ISBLANK($A46),"NO_CODE",VLOOKUP($A46,'UPD Questions_290926 '!$E$1:$N$300,MATCH(G$1,'UPD Questions_290926 '!$E$1:$N$1,0),0)&amp;"")</f>
        <v>Implementation</v>
      </c>
      <c r="H46" s="77" t="n">
        <f aca="false">IF(ISBLANK($A46),"NO_CODE",VLOOKUP($A46,'UPD Questions_290926 '!$E$1:$N$300,MATCH(H$1,'UPD Questions_290926 '!$E$1:$N$1,0),0))</f>
        <v>3.33</v>
      </c>
      <c r="I46" s="78" t="str">
        <f aca="true">IF($H46=0,"NA",IF($A46=INDIRECT("'"&amp;$A46&amp;"'!$B$1"),IF(VLOOKUP(I$1,INDIRECT("'"&amp;$A46&amp;"'!$A$12:$Z$41"),MATCH("Points (Auto-generate)",INDIRECT("'"&amp;$A46&amp;"'!$A$12:$Z$12"),0),0)="","?",VLOOKUP(I$1,INDIRECT("'"&amp;$A46&amp;"'!$A$12:$Z$41"),MATCH("Points (Auto-generate)",INDIRECT("'"&amp;$A46&amp;"'!$A$12:$Z$12"),0),0)),"ER"))</f>
        <v>?</v>
      </c>
      <c r="J46" s="78" t="n">
        <f aca="true">IF($H46=0,"NA",IF($A46=INDIRECT("'"&amp;$A46&amp;"'!$B$1"),IF(VLOOKUP(J$1,INDIRECT("'"&amp;$A46&amp;"'!$A$12:$Z$41"),MATCH("Points (Auto-generate)",INDIRECT("'"&amp;$A46&amp;"'!$A$12:$Z$12"),0),0)="","?",VLOOKUP(J$1,INDIRECT("'"&amp;$A46&amp;"'!$A$12:$Z$41"),MATCH("Points (Auto-generate)",INDIRECT("'"&amp;$A46&amp;"'!$A$12:$Z$12"),0),0)),"ER"))</f>
        <v>0</v>
      </c>
      <c r="K46" s="78" t="str">
        <f aca="true">IF($H46=0,"NA",IF($A46=INDIRECT("'"&amp;$A46&amp;"'!$B$1"),IF(VLOOKUP(K$1,INDIRECT("'"&amp;$A46&amp;"'!$A$12:$Z$41"),MATCH("Points (Auto-generate)",INDIRECT("'"&amp;$A46&amp;"'!$A$12:$Z$12"),0),0)="","?",VLOOKUP(K$1,INDIRECT("'"&amp;$A46&amp;"'!$A$12:$Z$41"),MATCH("Points (Auto-generate)",INDIRECT("'"&amp;$A46&amp;"'!$A$12:$Z$12"),0),0)),"ER"))</f>
        <v>?</v>
      </c>
      <c r="L46" s="78" t="str">
        <f aca="true">IF($H46=0,"NA",IF($A46=INDIRECT("'"&amp;$A46&amp;"'!$B$1"),IF(VLOOKUP(L$1,INDIRECT("'"&amp;$A46&amp;"'!$A$12:$Z$41"),MATCH("Points (Auto-generate)",INDIRECT("'"&amp;$A46&amp;"'!$A$12:$Z$12"),0),0)="","?",VLOOKUP(L$1,INDIRECT("'"&amp;$A46&amp;"'!$A$12:$Z$41"),MATCH("Points (Auto-generate)",INDIRECT("'"&amp;$A46&amp;"'!$A$12:$Z$12"),0),0)),"ER"))</f>
        <v>?</v>
      </c>
      <c r="M46" s="78" t="str">
        <f aca="true">IF($H46=0,"NA",IF($A46=INDIRECT("'"&amp;$A46&amp;"'!$B$1"),IF(VLOOKUP(M$1,INDIRECT("'"&amp;$A46&amp;"'!$A$12:$Z$41"),MATCH("Points (Auto-generate)",INDIRECT("'"&amp;$A46&amp;"'!$A$12:$Z$12"),0),0)="","?",VLOOKUP(M$1,INDIRECT("'"&amp;$A46&amp;"'!$A$12:$Z$41"),MATCH("Points (Auto-generate)",INDIRECT("'"&amp;$A46&amp;"'!$A$12:$Z$12"),0),0)),"ER"))</f>
        <v>?</v>
      </c>
      <c r="N46" s="78" t="str">
        <f aca="true">IF($H46=0,"NA",IF($A46=INDIRECT("'"&amp;$A46&amp;"'!$B$1"),IF(VLOOKUP(N$1,INDIRECT("'"&amp;$A46&amp;"'!$A$12:$Z$41"),MATCH("Points (Auto-generate)",INDIRECT("'"&amp;$A46&amp;"'!$A$12:$Z$12"),0),0)="","?",VLOOKUP(N$1,INDIRECT("'"&amp;$A46&amp;"'!$A$12:$Z$41"),MATCH("Points (Auto-generate)",INDIRECT("'"&amp;$A46&amp;"'!$A$12:$Z$12"),0),0)),"ER"))</f>
        <v>?</v>
      </c>
      <c r="O46" s="78" t="str">
        <f aca="true">IF($H46=0,"NA",IF($A46=INDIRECT("'"&amp;$A46&amp;"'!$B$1"),IF(VLOOKUP(O$1,INDIRECT("'"&amp;$A46&amp;"'!$A$12:$Z$41"),MATCH("Points (Auto-generate)",INDIRECT("'"&amp;$A46&amp;"'!$A$12:$Z$12"),0),0)="","?",VLOOKUP(O$1,INDIRECT("'"&amp;$A46&amp;"'!$A$12:$Z$41"),MATCH("Points (Auto-generate)",INDIRECT("'"&amp;$A46&amp;"'!$A$12:$Z$12"),0),0)),"ER"))</f>
        <v>?</v>
      </c>
      <c r="P46" s="78" t="str">
        <f aca="true">IF($H46=0,"NA",IF($A46=INDIRECT("'"&amp;$A46&amp;"'!$B$1"),IF(VLOOKUP(P$1,INDIRECT("'"&amp;$A46&amp;"'!$A$12:$Z$41"),MATCH("Points (Auto-generate)",INDIRECT("'"&amp;$A46&amp;"'!$A$12:$Z$12"),0),0)="","?",VLOOKUP(P$1,INDIRECT("'"&amp;$A46&amp;"'!$A$12:$Z$41"),MATCH("Points (Auto-generate)",INDIRECT("'"&amp;$A46&amp;"'!$A$12:$Z$12"),0),0)),"ER"))</f>
        <v>?</v>
      </c>
      <c r="Q46" s="78" t="str">
        <f aca="true">IF($H46=0,"NA",IF($A46=INDIRECT("'"&amp;$A46&amp;"'!$B$1"),IF(VLOOKUP(Q$1,INDIRECT("'"&amp;$A46&amp;"'!$A$12:$Z$41"),MATCH("Points (Auto-generate)",INDIRECT("'"&amp;$A46&amp;"'!$A$12:$Z$12"),0),0)="","?",VLOOKUP(Q$1,INDIRECT("'"&amp;$A46&amp;"'!$A$12:$Z$41"),MATCH("Points (Auto-generate)",INDIRECT("'"&amp;$A46&amp;"'!$A$12:$Z$12"),0),0)),"ER"))</f>
        <v>?</v>
      </c>
      <c r="R46" s="78" t="str">
        <f aca="true">IF($H46=0,"NA",IF($A46=INDIRECT("'"&amp;$A46&amp;"'!$B$1"),IF(VLOOKUP(R$1,INDIRECT("'"&amp;$A46&amp;"'!$A$12:$Z$41"),MATCH("Points (Auto-generate)",INDIRECT("'"&amp;$A46&amp;"'!$A$12:$Z$12"),0),0)="","?",VLOOKUP(R$1,INDIRECT("'"&amp;$A46&amp;"'!$A$12:$Z$41"),MATCH("Points (Auto-generate)",INDIRECT("'"&amp;$A46&amp;"'!$A$12:$Z$12"),0),0)),"ER"))</f>
        <v>?</v>
      </c>
      <c r="S46" s="78" t="str">
        <f aca="true">IF($H46=0,"NA",IF($A46=INDIRECT("'"&amp;$A46&amp;"'!$B$1"),IF(VLOOKUP(S$1,INDIRECT("'"&amp;$A46&amp;"'!$A$12:$Z$41"),MATCH("Points (Auto-generate)",INDIRECT("'"&amp;$A46&amp;"'!$A$12:$Z$12"),0),0)="","?",VLOOKUP(S$1,INDIRECT("'"&amp;$A46&amp;"'!$A$12:$Z$41"),MATCH("Points (Auto-generate)",INDIRECT("'"&amp;$A46&amp;"'!$A$12:$Z$12"),0),0)),"ER"))</f>
        <v>?</v>
      </c>
      <c r="T46" s="78" t="str">
        <f aca="true">IF($H46=0,"NA",IF($A46=INDIRECT("'"&amp;$A46&amp;"'!$B$1"),IF(VLOOKUP(T$1,INDIRECT("'"&amp;$A46&amp;"'!$A$12:$Z$41"),MATCH("Points (Auto-generate)",INDIRECT("'"&amp;$A46&amp;"'!$A$12:$Z$12"),0),0)="","?",VLOOKUP(T$1,INDIRECT("'"&amp;$A46&amp;"'!$A$12:$Z$41"),MATCH("Points (Auto-generate)",INDIRECT("'"&amp;$A46&amp;"'!$A$12:$Z$12"),0),0)),"ER"))</f>
        <v>?</v>
      </c>
      <c r="U46" s="78" t="str">
        <f aca="true">IF($H46=0,"NA",IF($A46=INDIRECT("'"&amp;$A46&amp;"'!$B$1"),IF(VLOOKUP(U$1,INDIRECT("'"&amp;$A46&amp;"'!$A$12:$Z$41"),MATCH("Points (Auto-generate)",INDIRECT("'"&amp;$A46&amp;"'!$A$12:$Z$12"),0),0)="","?",VLOOKUP(U$1,INDIRECT("'"&amp;$A46&amp;"'!$A$12:$Z$41"),MATCH("Points (Auto-generate)",INDIRECT("'"&amp;$A46&amp;"'!$A$12:$Z$12"),0),0)),"ER"))</f>
        <v>?</v>
      </c>
      <c r="V46" s="78" t="str">
        <f aca="true">IF($H46=0,"NA",IF($A46=INDIRECT("'"&amp;$A46&amp;"'!$B$1"),IF(VLOOKUP(V$1,INDIRECT("'"&amp;$A46&amp;"'!$A$12:$Z$41"),MATCH("Points (Auto-generate)",INDIRECT("'"&amp;$A46&amp;"'!$A$12:$Z$12"),0),0)="","?",VLOOKUP(V$1,INDIRECT("'"&amp;$A46&amp;"'!$A$12:$Z$41"),MATCH("Points (Auto-generate)",INDIRECT("'"&amp;$A46&amp;"'!$A$12:$Z$12"),0),0)),"ER"))</f>
        <v>?</v>
      </c>
      <c r="W46" s="78" t="str">
        <f aca="true">IF($H46=0,"NA",IF($A46=INDIRECT("'"&amp;$A46&amp;"'!$B$1"),IF(VLOOKUP(W$1,INDIRECT("'"&amp;$A46&amp;"'!$A$12:$Z$41"),MATCH("Points (Auto-generate)",INDIRECT("'"&amp;$A46&amp;"'!$A$12:$Z$12"),0),0)="","?",VLOOKUP(W$1,INDIRECT("'"&amp;$A46&amp;"'!$A$12:$Z$41"),MATCH("Points (Auto-generate)",INDIRECT("'"&amp;$A46&amp;"'!$A$12:$Z$12"),0),0)),"ER"))</f>
        <v>?</v>
      </c>
      <c r="X46" s="78" t="str">
        <f aca="true">IF($H46=0,"NA",IF($A46=INDIRECT("'"&amp;$A46&amp;"'!$B$1"),IF(VLOOKUP(X$1,INDIRECT("'"&amp;$A46&amp;"'!$A$12:$Z$41"),MATCH("Points (Auto-generate)",INDIRECT("'"&amp;$A46&amp;"'!$A$12:$Z$12"),0),0)="","?",VLOOKUP(X$1,INDIRECT("'"&amp;$A46&amp;"'!$A$12:$Z$41"),MATCH("Points (Auto-generate)",INDIRECT("'"&amp;$A46&amp;"'!$A$12:$Z$12"),0),0)),"ER"))</f>
        <v>?</v>
      </c>
      <c r="Y46" s="78" t="str">
        <f aca="true">IF($H46=0,"NA",IF($A46=INDIRECT("'"&amp;$A46&amp;"'!$B$1"),IF(VLOOKUP(Y$1,INDIRECT("'"&amp;$A46&amp;"'!$A$12:$Z$41"),MATCH("Points (Auto-generate)",INDIRECT("'"&amp;$A46&amp;"'!$A$12:$Z$12"),0),0)="","?",VLOOKUP(Y$1,INDIRECT("'"&amp;$A46&amp;"'!$A$12:$Z$41"),MATCH("Points (Auto-generate)",INDIRECT("'"&amp;$A46&amp;"'!$A$12:$Z$12"),0),0)),"ER"))</f>
        <v>?</v>
      </c>
      <c r="Z46" s="78" t="str">
        <f aca="true">IF($H46=0,"NA",IF($A46=INDIRECT("'"&amp;$A46&amp;"'!$B$1"),IF(VLOOKUP(Z$1,INDIRECT("'"&amp;$A46&amp;"'!$A$12:$Z$41"),MATCH("Points (Auto-generate)",INDIRECT("'"&amp;$A46&amp;"'!$A$12:$Z$12"),0),0)="","?",VLOOKUP(Z$1,INDIRECT("'"&amp;$A46&amp;"'!$A$12:$Z$41"),MATCH("Points (Auto-generate)",INDIRECT("'"&amp;$A46&amp;"'!$A$12:$Z$12"),0),0)),"ER"))</f>
        <v>?</v>
      </c>
      <c r="AA46" s="78" t="str">
        <f aca="true">IF($H46=0,"NA",IF($A46=INDIRECT("'"&amp;$A46&amp;"'!$B$1"),IF(VLOOKUP(AA$1,INDIRECT("'"&amp;$A46&amp;"'!$A$12:$Z$41"),MATCH("Points (Auto-generate)",INDIRECT("'"&amp;$A46&amp;"'!$A$12:$Z$12"),0),0)="","?",VLOOKUP(AA$1,INDIRECT("'"&amp;$A46&amp;"'!$A$12:$Z$41"),MATCH("Points (Auto-generate)",INDIRECT("'"&amp;$A46&amp;"'!$A$12:$Z$12"),0),0)),"ER"))</f>
        <v>?</v>
      </c>
      <c r="AB46" s="78" t="str">
        <f aca="true">IF($H46=0,"NA",IF($A46=INDIRECT("'"&amp;$A46&amp;"'!$B$1"),IF(VLOOKUP(AB$1,INDIRECT("'"&amp;$A46&amp;"'!$A$12:$Z$41"),MATCH("Points (Auto-generate)",INDIRECT("'"&amp;$A46&amp;"'!$A$12:$Z$12"),0),0)="","?",VLOOKUP(AB$1,INDIRECT("'"&amp;$A46&amp;"'!$A$12:$Z$41"),MATCH("Points (Auto-generate)",INDIRECT("'"&amp;$A46&amp;"'!$A$12:$Z$12"),0),0)),"ER"))</f>
        <v>?</v>
      </c>
      <c r="AC46" s="78" t="str">
        <f aca="true">IF($H46=0,"NA",IF($A46=INDIRECT("'"&amp;$A46&amp;"'!$B$1"),IF(VLOOKUP(AC$1,INDIRECT("'"&amp;$A46&amp;"'!$A$12:$Z$41"),MATCH("Points (Auto-generate)",INDIRECT("'"&amp;$A46&amp;"'!$A$12:$Z$12"),0),0)="","?",VLOOKUP(AC$1,INDIRECT("'"&amp;$A46&amp;"'!$A$12:$Z$41"),MATCH("Points (Auto-generate)",INDIRECT("'"&amp;$A46&amp;"'!$A$12:$Z$12"),0),0)),"ER"))</f>
        <v>?</v>
      </c>
      <c r="AD46" s="78" t="str">
        <f aca="true">IF($H46=0,"NA",IF($A46=INDIRECT("'"&amp;$A46&amp;"'!$B$1"),IF(VLOOKUP(AD$1,INDIRECT("'"&amp;$A46&amp;"'!$A$12:$Z$41"),MATCH("Points (Auto-generate)",INDIRECT("'"&amp;$A46&amp;"'!$A$12:$Z$12"),0),0)="","?",VLOOKUP(AD$1,INDIRECT("'"&amp;$A46&amp;"'!$A$12:$Z$41"),MATCH("Points (Auto-generate)",INDIRECT("'"&amp;$A46&amp;"'!$A$12:$Z$12"),0),0)),"ER"))</f>
        <v>?</v>
      </c>
      <c r="AE46" s="78" t="str">
        <f aca="true">IF($H46=0,"NA",IF($A46=INDIRECT("'"&amp;$A46&amp;"'!$B$1"),IF(VLOOKUP(AE$1,INDIRECT("'"&amp;$A46&amp;"'!$A$12:$Z$41"),MATCH("Points (Auto-generate)",INDIRECT("'"&amp;$A46&amp;"'!$A$12:$Z$12"),0),0)="","?",VLOOKUP(AE$1,INDIRECT("'"&amp;$A46&amp;"'!$A$12:$Z$41"),MATCH("Points (Auto-generate)",INDIRECT("'"&amp;$A46&amp;"'!$A$12:$Z$12"),0),0)),"ER"))</f>
        <v>?</v>
      </c>
      <c r="AF46" s="78" t="str">
        <f aca="true">IF($H46=0,"NA",IF($A46=INDIRECT("'"&amp;$A46&amp;"'!$B$1"),IF(VLOOKUP(AF$1,INDIRECT("'"&amp;$A46&amp;"'!$A$12:$Z$41"),MATCH("Points (Auto-generate)",INDIRECT("'"&amp;$A46&amp;"'!$A$12:$Z$12"),0),0)="","?",VLOOKUP(AF$1,INDIRECT("'"&amp;$A46&amp;"'!$A$12:$Z$41"),MATCH("Points (Auto-generate)",INDIRECT("'"&amp;$A46&amp;"'!$A$12:$Z$12"),0),0)),"ER"))</f>
        <v>?</v>
      </c>
      <c r="AG46" s="78" t="str">
        <f aca="true">IF($H46=0,"NA",IF($A46=INDIRECT("'"&amp;$A46&amp;"'!$B$1"),IF(VLOOKUP(AG$1,INDIRECT("'"&amp;$A46&amp;"'!$A$12:$Z$41"),MATCH("Points (Auto-generate)",INDIRECT("'"&amp;$A46&amp;"'!$A$12:$Z$12"),0),0)="","?",VLOOKUP(AG$1,INDIRECT("'"&amp;$A46&amp;"'!$A$12:$Z$41"),MATCH("Points (Auto-generate)",INDIRECT("'"&amp;$A46&amp;"'!$A$12:$Z$12"),0),0)),"ER"))</f>
        <v>?</v>
      </c>
      <c r="AH46" s="78" t="str">
        <f aca="true">IF($H46=0,"NA",IF($A46=INDIRECT("'"&amp;$A46&amp;"'!$B$1"),IF(VLOOKUP(AH$1,INDIRECT("'"&amp;$A46&amp;"'!$A$12:$Z$41"),MATCH("Points (Auto-generate)",INDIRECT("'"&amp;$A46&amp;"'!$A$12:$Z$12"),0),0)="","?",VLOOKUP(AH$1,INDIRECT("'"&amp;$A46&amp;"'!$A$12:$Z$41"),MATCH("Points (Auto-generate)",INDIRECT("'"&amp;$A46&amp;"'!$A$12:$Z$12"),0),0)),"ER"))</f>
        <v>?</v>
      </c>
      <c r="AI46" s="78" t="str">
        <f aca="true">IF($H46=0,"NA",IF($A46=INDIRECT("'"&amp;$A46&amp;"'!$B$1"),IF(VLOOKUP(AI$1,INDIRECT("'"&amp;$A46&amp;"'!$A$12:$Z$41"),MATCH("Points (Auto-generate)",INDIRECT("'"&amp;$A46&amp;"'!$A$12:$Z$12"),0),0)="","?",VLOOKUP(AI$1,INDIRECT("'"&amp;$A46&amp;"'!$A$12:$Z$41"),MATCH("Points (Auto-generate)",INDIRECT("'"&amp;$A46&amp;"'!$A$12:$Z$12"),0),0)),"ER"))</f>
        <v>?</v>
      </c>
      <c r="AJ46" s="78" t="str">
        <f aca="true">IF($H46=0,"NA",IF($A46=INDIRECT("'"&amp;$A46&amp;"'!$B$1"),IF(VLOOKUP(AJ$1,INDIRECT("'"&amp;$A46&amp;"'!$A$12:$Z$41"),MATCH("Points (Auto-generate)",INDIRECT("'"&amp;$A46&amp;"'!$A$12:$Z$12"),0),0)="","?",VLOOKUP(AJ$1,INDIRECT("'"&amp;$A46&amp;"'!$A$12:$Z$41"),MATCH("Points (Auto-generate)",INDIRECT("'"&amp;$A46&amp;"'!$A$12:$Z$12"),0),0)),"ER"))</f>
        <v>?</v>
      </c>
      <c r="AK46" s="78" t="str">
        <f aca="true">IF($H46=0,"NA",IF($A46=INDIRECT("'"&amp;$A46&amp;"'!$B$1"),IF(VLOOKUP(AK$1,INDIRECT("'"&amp;$A46&amp;"'!$A$12:$Z$41"),MATCH("Points (Auto-generate)",INDIRECT("'"&amp;$A46&amp;"'!$A$12:$Z$12"),0),0)="","?",VLOOKUP(AK$1,INDIRECT("'"&amp;$A46&amp;"'!$A$12:$Z$41"),MATCH("Points (Auto-generate)",INDIRECT("'"&amp;$A46&amp;"'!$A$12:$Z$12"),0),0)),"ER"))</f>
        <v>?</v>
      </c>
    </row>
    <row r="47" customFormat="false" ht="14.25" hidden="false" customHeight="true" outlineLevel="0" collapsed="false">
      <c r="A47" s="74" t="s">
        <v>234</v>
      </c>
      <c r="B47" s="75" t="str">
        <f aca="false">IF(ISBLANK($A47),"NO_CODE",VLOOKUP($A47,'UPD Questions_290926 '!$E$1:$N$300,MATCH(B$1,'UPD Questions_290926 '!$E$1:$N$1,0),0)&amp;"")</f>
        <v>Implementation</v>
      </c>
      <c r="C47" s="75" t="str">
        <f aca="false">IF(ISBLANK($A47),"NO_CODE",VLOOKUP($A47,'UPD Questions_290926 '!$E$1:$N$300,MATCH(C$1,'UPD Questions_290926 '!$E$1:$N$1,0),0)&amp;"")</f>
        <v>Municipal/City Plan status, hierarchy and coordination</v>
      </c>
      <c r="D47" s="75" t="str">
        <f aca="false">IF(ISBLANK($A47),"NO_CODE",VLOOKUP($A47,'UPD Questions_290926 '!$E$1:$N$300,MATCH(D$1,'UPD Questions_290926 '!$E$1:$N$1,0),0)&amp;"")</f>
        <v>Objectives of the Municipal/City Plan</v>
      </c>
      <c r="E47" s="75" t="str">
        <f aca="false">IF(ISBLANK($A47),"NO_CODE",VLOOKUP($A47,'UPD Questions_290926 '!$E$1:$N$300,MATCH(E$1,'UPD Questions_290926 '!$E$1:$N$1,0),0)&amp;"")</f>
        <v>SQ</v>
      </c>
      <c r="F47" s="75" t="str">
        <f aca="false">IF(ISBLANK($A47),"NO_CODE",VLOOKUP($A47,'UPD Questions_290926 '!$E$1:$N$300,MATCH(F$1,'UPD Questions_290926 '!$E$1:$N$1,0),0)&amp;"")</f>
        <v>b) Healthcare</v>
      </c>
      <c r="G47" s="75" t="str">
        <f aca="false">IF(ISBLANK($A47),"NO_CODE",VLOOKUP($A47,'UPD Questions_290926 '!$E$1:$N$300,MATCH(G$1,'UPD Questions_290926 '!$E$1:$N$1,0),0)&amp;"")</f>
        <v>Implementation</v>
      </c>
      <c r="H47" s="77" t="n">
        <f aca="false">IF(ISBLANK($A47),"NO_CODE",VLOOKUP($A47,'UPD Questions_290926 '!$E$1:$N$300,MATCH(H$1,'UPD Questions_290926 '!$E$1:$N$1,0),0))</f>
        <v>3.33</v>
      </c>
      <c r="I47" s="78" t="str">
        <f aca="true">IF($H47=0,"NA",IF($A47=INDIRECT("'"&amp;$A47&amp;"'!$B$1"),IF(VLOOKUP(I$1,INDIRECT("'"&amp;$A47&amp;"'!$A$12:$Z$41"),MATCH("Points (Auto-generate)",INDIRECT("'"&amp;$A47&amp;"'!$A$12:$Z$12"),0),0)="","?",VLOOKUP(I$1,INDIRECT("'"&amp;$A47&amp;"'!$A$12:$Z$41"),MATCH("Points (Auto-generate)",INDIRECT("'"&amp;$A47&amp;"'!$A$12:$Z$12"),0),0)),"ER"))</f>
        <v>?</v>
      </c>
      <c r="J47" s="78" t="n">
        <f aca="true">IF($H47=0,"NA",IF($A47=INDIRECT("'"&amp;$A47&amp;"'!$B$1"),IF(VLOOKUP(J$1,INDIRECT("'"&amp;$A47&amp;"'!$A$12:$Z$41"),MATCH("Points (Auto-generate)",INDIRECT("'"&amp;$A47&amp;"'!$A$12:$Z$12"),0),0)="","?",VLOOKUP(J$1,INDIRECT("'"&amp;$A47&amp;"'!$A$12:$Z$41"),MATCH("Points (Auto-generate)",INDIRECT("'"&amp;$A47&amp;"'!$A$12:$Z$12"),0),0)),"ER"))</f>
        <v>0</v>
      </c>
      <c r="K47" s="78" t="str">
        <f aca="true">IF($H47=0,"NA",IF($A47=INDIRECT("'"&amp;$A47&amp;"'!$B$1"),IF(VLOOKUP(K$1,INDIRECT("'"&amp;$A47&amp;"'!$A$12:$Z$41"),MATCH("Points (Auto-generate)",INDIRECT("'"&amp;$A47&amp;"'!$A$12:$Z$12"),0),0)="","?",VLOOKUP(K$1,INDIRECT("'"&amp;$A47&amp;"'!$A$12:$Z$41"),MATCH("Points (Auto-generate)",INDIRECT("'"&amp;$A47&amp;"'!$A$12:$Z$12"),0),0)),"ER"))</f>
        <v>?</v>
      </c>
      <c r="L47" s="78" t="str">
        <f aca="true">IF($H47=0,"NA",IF($A47=INDIRECT("'"&amp;$A47&amp;"'!$B$1"),IF(VLOOKUP(L$1,INDIRECT("'"&amp;$A47&amp;"'!$A$12:$Z$41"),MATCH("Points (Auto-generate)",INDIRECT("'"&amp;$A47&amp;"'!$A$12:$Z$12"),0),0)="","?",VLOOKUP(L$1,INDIRECT("'"&amp;$A47&amp;"'!$A$12:$Z$41"),MATCH("Points (Auto-generate)",INDIRECT("'"&amp;$A47&amp;"'!$A$12:$Z$12"),0),0)),"ER"))</f>
        <v>?</v>
      </c>
      <c r="M47" s="78" t="str">
        <f aca="true">IF($H47=0,"NA",IF($A47=INDIRECT("'"&amp;$A47&amp;"'!$B$1"),IF(VLOOKUP(M$1,INDIRECT("'"&amp;$A47&amp;"'!$A$12:$Z$41"),MATCH("Points (Auto-generate)",INDIRECT("'"&amp;$A47&amp;"'!$A$12:$Z$12"),0),0)="","?",VLOOKUP(M$1,INDIRECT("'"&amp;$A47&amp;"'!$A$12:$Z$41"),MATCH("Points (Auto-generate)",INDIRECT("'"&amp;$A47&amp;"'!$A$12:$Z$12"),0),0)),"ER"))</f>
        <v>?</v>
      </c>
      <c r="N47" s="78" t="str">
        <f aca="true">IF($H47=0,"NA",IF($A47=INDIRECT("'"&amp;$A47&amp;"'!$B$1"),IF(VLOOKUP(N$1,INDIRECT("'"&amp;$A47&amp;"'!$A$12:$Z$41"),MATCH("Points (Auto-generate)",INDIRECT("'"&amp;$A47&amp;"'!$A$12:$Z$12"),0),0)="","?",VLOOKUP(N$1,INDIRECT("'"&amp;$A47&amp;"'!$A$12:$Z$41"),MATCH("Points (Auto-generate)",INDIRECT("'"&amp;$A47&amp;"'!$A$12:$Z$12"),0),0)),"ER"))</f>
        <v>?</v>
      </c>
      <c r="O47" s="78" t="str">
        <f aca="true">IF($H47=0,"NA",IF($A47=INDIRECT("'"&amp;$A47&amp;"'!$B$1"),IF(VLOOKUP(O$1,INDIRECT("'"&amp;$A47&amp;"'!$A$12:$Z$41"),MATCH("Points (Auto-generate)",INDIRECT("'"&amp;$A47&amp;"'!$A$12:$Z$12"),0),0)="","?",VLOOKUP(O$1,INDIRECT("'"&amp;$A47&amp;"'!$A$12:$Z$41"),MATCH("Points (Auto-generate)",INDIRECT("'"&amp;$A47&amp;"'!$A$12:$Z$12"),0),0)),"ER"))</f>
        <v>?</v>
      </c>
      <c r="P47" s="78" t="str">
        <f aca="true">IF($H47=0,"NA",IF($A47=INDIRECT("'"&amp;$A47&amp;"'!$B$1"),IF(VLOOKUP(P$1,INDIRECT("'"&amp;$A47&amp;"'!$A$12:$Z$41"),MATCH("Points (Auto-generate)",INDIRECT("'"&amp;$A47&amp;"'!$A$12:$Z$12"),0),0)="","?",VLOOKUP(P$1,INDIRECT("'"&amp;$A47&amp;"'!$A$12:$Z$41"),MATCH("Points (Auto-generate)",INDIRECT("'"&amp;$A47&amp;"'!$A$12:$Z$12"),0),0)),"ER"))</f>
        <v>?</v>
      </c>
      <c r="Q47" s="78" t="str">
        <f aca="true">IF($H47=0,"NA",IF($A47=INDIRECT("'"&amp;$A47&amp;"'!$B$1"),IF(VLOOKUP(Q$1,INDIRECT("'"&amp;$A47&amp;"'!$A$12:$Z$41"),MATCH("Points (Auto-generate)",INDIRECT("'"&amp;$A47&amp;"'!$A$12:$Z$12"),0),0)="","?",VLOOKUP(Q$1,INDIRECT("'"&amp;$A47&amp;"'!$A$12:$Z$41"),MATCH("Points (Auto-generate)",INDIRECT("'"&amp;$A47&amp;"'!$A$12:$Z$12"),0),0)),"ER"))</f>
        <v>?</v>
      </c>
      <c r="R47" s="78" t="str">
        <f aca="true">IF($H47=0,"NA",IF($A47=INDIRECT("'"&amp;$A47&amp;"'!$B$1"),IF(VLOOKUP(R$1,INDIRECT("'"&amp;$A47&amp;"'!$A$12:$Z$41"),MATCH("Points (Auto-generate)",INDIRECT("'"&amp;$A47&amp;"'!$A$12:$Z$12"),0),0)="","?",VLOOKUP(R$1,INDIRECT("'"&amp;$A47&amp;"'!$A$12:$Z$41"),MATCH("Points (Auto-generate)",INDIRECT("'"&amp;$A47&amp;"'!$A$12:$Z$12"),0),0)),"ER"))</f>
        <v>?</v>
      </c>
      <c r="S47" s="78" t="str">
        <f aca="true">IF($H47=0,"NA",IF($A47=INDIRECT("'"&amp;$A47&amp;"'!$B$1"),IF(VLOOKUP(S$1,INDIRECT("'"&amp;$A47&amp;"'!$A$12:$Z$41"),MATCH("Points (Auto-generate)",INDIRECT("'"&amp;$A47&amp;"'!$A$12:$Z$12"),0),0)="","?",VLOOKUP(S$1,INDIRECT("'"&amp;$A47&amp;"'!$A$12:$Z$41"),MATCH("Points (Auto-generate)",INDIRECT("'"&amp;$A47&amp;"'!$A$12:$Z$12"),0),0)),"ER"))</f>
        <v>?</v>
      </c>
      <c r="T47" s="78" t="str">
        <f aca="true">IF($H47=0,"NA",IF($A47=INDIRECT("'"&amp;$A47&amp;"'!$B$1"),IF(VLOOKUP(T$1,INDIRECT("'"&amp;$A47&amp;"'!$A$12:$Z$41"),MATCH("Points (Auto-generate)",INDIRECT("'"&amp;$A47&amp;"'!$A$12:$Z$12"),0),0)="","?",VLOOKUP(T$1,INDIRECT("'"&amp;$A47&amp;"'!$A$12:$Z$41"),MATCH("Points (Auto-generate)",INDIRECT("'"&amp;$A47&amp;"'!$A$12:$Z$12"),0),0)),"ER"))</f>
        <v>?</v>
      </c>
      <c r="U47" s="78" t="str">
        <f aca="true">IF($H47=0,"NA",IF($A47=INDIRECT("'"&amp;$A47&amp;"'!$B$1"),IF(VLOOKUP(U$1,INDIRECT("'"&amp;$A47&amp;"'!$A$12:$Z$41"),MATCH("Points (Auto-generate)",INDIRECT("'"&amp;$A47&amp;"'!$A$12:$Z$12"),0),0)="","?",VLOOKUP(U$1,INDIRECT("'"&amp;$A47&amp;"'!$A$12:$Z$41"),MATCH("Points (Auto-generate)",INDIRECT("'"&amp;$A47&amp;"'!$A$12:$Z$12"),0),0)),"ER"))</f>
        <v>?</v>
      </c>
      <c r="V47" s="78" t="str">
        <f aca="true">IF($H47=0,"NA",IF($A47=INDIRECT("'"&amp;$A47&amp;"'!$B$1"),IF(VLOOKUP(V$1,INDIRECT("'"&amp;$A47&amp;"'!$A$12:$Z$41"),MATCH("Points (Auto-generate)",INDIRECT("'"&amp;$A47&amp;"'!$A$12:$Z$12"),0),0)="","?",VLOOKUP(V$1,INDIRECT("'"&amp;$A47&amp;"'!$A$12:$Z$41"),MATCH("Points (Auto-generate)",INDIRECT("'"&amp;$A47&amp;"'!$A$12:$Z$12"),0),0)),"ER"))</f>
        <v>?</v>
      </c>
      <c r="W47" s="78" t="str">
        <f aca="true">IF($H47=0,"NA",IF($A47=INDIRECT("'"&amp;$A47&amp;"'!$B$1"),IF(VLOOKUP(W$1,INDIRECT("'"&amp;$A47&amp;"'!$A$12:$Z$41"),MATCH("Points (Auto-generate)",INDIRECT("'"&amp;$A47&amp;"'!$A$12:$Z$12"),0),0)="","?",VLOOKUP(W$1,INDIRECT("'"&amp;$A47&amp;"'!$A$12:$Z$41"),MATCH("Points (Auto-generate)",INDIRECT("'"&amp;$A47&amp;"'!$A$12:$Z$12"),0),0)),"ER"))</f>
        <v>?</v>
      </c>
      <c r="X47" s="78" t="str">
        <f aca="true">IF($H47=0,"NA",IF($A47=INDIRECT("'"&amp;$A47&amp;"'!$B$1"),IF(VLOOKUP(X$1,INDIRECT("'"&amp;$A47&amp;"'!$A$12:$Z$41"),MATCH("Points (Auto-generate)",INDIRECT("'"&amp;$A47&amp;"'!$A$12:$Z$12"),0),0)="","?",VLOOKUP(X$1,INDIRECT("'"&amp;$A47&amp;"'!$A$12:$Z$41"),MATCH("Points (Auto-generate)",INDIRECT("'"&amp;$A47&amp;"'!$A$12:$Z$12"),0),0)),"ER"))</f>
        <v>?</v>
      </c>
      <c r="Y47" s="78" t="str">
        <f aca="true">IF($H47=0,"NA",IF($A47=INDIRECT("'"&amp;$A47&amp;"'!$B$1"),IF(VLOOKUP(Y$1,INDIRECT("'"&amp;$A47&amp;"'!$A$12:$Z$41"),MATCH("Points (Auto-generate)",INDIRECT("'"&amp;$A47&amp;"'!$A$12:$Z$12"),0),0)="","?",VLOOKUP(Y$1,INDIRECT("'"&amp;$A47&amp;"'!$A$12:$Z$41"),MATCH("Points (Auto-generate)",INDIRECT("'"&amp;$A47&amp;"'!$A$12:$Z$12"),0),0)),"ER"))</f>
        <v>?</v>
      </c>
      <c r="Z47" s="78" t="str">
        <f aca="true">IF($H47=0,"NA",IF($A47=INDIRECT("'"&amp;$A47&amp;"'!$B$1"),IF(VLOOKUP(Z$1,INDIRECT("'"&amp;$A47&amp;"'!$A$12:$Z$41"),MATCH("Points (Auto-generate)",INDIRECT("'"&amp;$A47&amp;"'!$A$12:$Z$12"),0),0)="","?",VLOOKUP(Z$1,INDIRECT("'"&amp;$A47&amp;"'!$A$12:$Z$41"),MATCH("Points (Auto-generate)",INDIRECT("'"&amp;$A47&amp;"'!$A$12:$Z$12"),0),0)),"ER"))</f>
        <v>?</v>
      </c>
      <c r="AA47" s="78" t="str">
        <f aca="true">IF($H47=0,"NA",IF($A47=INDIRECT("'"&amp;$A47&amp;"'!$B$1"),IF(VLOOKUP(AA$1,INDIRECT("'"&amp;$A47&amp;"'!$A$12:$Z$41"),MATCH("Points (Auto-generate)",INDIRECT("'"&amp;$A47&amp;"'!$A$12:$Z$12"),0),0)="","?",VLOOKUP(AA$1,INDIRECT("'"&amp;$A47&amp;"'!$A$12:$Z$41"),MATCH("Points (Auto-generate)",INDIRECT("'"&amp;$A47&amp;"'!$A$12:$Z$12"),0),0)),"ER"))</f>
        <v>?</v>
      </c>
      <c r="AB47" s="78" t="str">
        <f aca="true">IF($H47=0,"NA",IF($A47=INDIRECT("'"&amp;$A47&amp;"'!$B$1"),IF(VLOOKUP(AB$1,INDIRECT("'"&amp;$A47&amp;"'!$A$12:$Z$41"),MATCH("Points (Auto-generate)",INDIRECT("'"&amp;$A47&amp;"'!$A$12:$Z$12"),0),0)="","?",VLOOKUP(AB$1,INDIRECT("'"&amp;$A47&amp;"'!$A$12:$Z$41"),MATCH("Points (Auto-generate)",INDIRECT("'"&amp;$A47&amp;"'!$A$12:$Z$12"),0),0)),"ER"))</f>
        <v>?</v>
      </c>
      <c r="AC47" s="78" t="str">
        <f aca="true">IF($H47=0,"NA",IF($A47=INDIRECT("'"&amp;$A47&amp;"'!$B$1"),IF(VLOOKUP(AC$1,INDIRECT("'"&amp;$A47&amp;"'!$A$12:$Z$41"),MATCH("Points (Auto-generate)",INDIRECT("'"&amp;$A47&amp;"'!$A$12:$Z$12"),0),0)="","?",VLOOKUP(AC$1,INDIRECT("'"&amp;$A47&amp;"'!$A$12:$Z$41"),MATCH("Points (Auto-generate)",INDIRECT("'"&amp;$A47&amp;"'!$A$12:$Z$12"),0),0)),"ER"))</f>
        <v>?</v>
      </c>
      <c r="AD47" s="78" t="str">
        <f aca="true">IF($H47=0,"NA",IF($A47=INDIRECT("'"&amp;$A47&amp;"'!$B$1"),IF(VLOOKUP(AD$1,INDIRECT("'"&amp;$A47&amp;"'!$A$12:$Z$41"),MATCH("Points (Auto-generate)",INDIRECT("'"&amp;$A47&amp;"'!$A$12:$Z$12"),0),0)="","?",VLOOKUP(AD$1,INDIRECT("'"&amp;$A47&amp;"'!$A$12:$Z$41"),MATCH("Points (Auto-generate)",INDIRECT("'"&amp;$A47&amp;"'!$A$12:$Z$12"),0),0)),"ER"))</f>
        <v>?</v>
      </c>
      <c r="AE47" s="78" t="str">
        <f aca="true">IF($H47=0,"NA",IF($A47=INDIRECT("'"&amp;$A47&amp;"'!$B$1"),IF(VLOOKUP(AE$1,INDIRECT("'"&amp;$A47&amp;"'!$A$12:$Z$41"),MATCH("Points (Auto-generate)",INDIRECT("'"&amp;$A47&amp;"'!$A$12:$Z$12"),0),0)="","?",VLOOKUP(AE$1,INDIRECT("'"&amp;$A47&amp;"'!$A$12:$Z$41"),MATCH("Points (Auto-generate)",INDIRECT("'"&amp;$A47&amp;"'!$A$12:$Z$12"),0),0)),"ER"))</f>
        <v>?</v>
      </c>
      <c r="AF47" s="78" t="str">
        <f aca="true">IF($H47=0,"NA",IF($A47=INDIRECT("'"&amp;$A47&amp;"'!$B$1"),IF(VLOOKUP(AF$1,INDIRECT("'"&amp;$A47&amp;"'!$A$12:$Z$41"),MATCH("Points (Auto-generate)",INDIRECT("'"&amp;$A47&amp;"'!$A$12:$Z$12"),0),0)="","?",VLOOKUP(AF$1,INDIRECT("'"&amp;$A47&amp;"'!$A$12:$Z$41"),MATCH("Points (Auto-generate)",INDIRECT("'"&amp;$A47&amp;"'!$A$12:$Z$12"),0),0)),"ER"))</f>
        <v>?</v>
      </c>
      <c r="AG47" s="78" t="str">
        <f aca="true">IF($H47=0,"NA",IF($A47=INDIRECT("'"&amp;$A47&amp;"'!$B$1"),IF(VLOOKUP(AG$1,INDIRECT("'"&amp;$A47&amp;"'!$A$12:$Z$41"),MATCH("Points (Auto-generate)",INDIRECT("'"&amp;$A47&amp;"'!$A$12:$Z$12"),0),0)="","?",VLOOKUP(AG$1,INDIRECT("'"&amp;$A47&amp;"'!$A$12:$Z$41"),MATCH("Points (Auto-generate)",INDIRECT("'"&amp;$A47&amp;"'!$A$12:$Z$12"),0),0)),"ER"))</f>
        <v>?</v>
      </c>
      <c r="AH47" s="78" t="str">
        <f aca="true">IF($H47=0,"NA",IF($A47=INDIRECT("'"&amp;$A47&amp;"'!$B$1"),IF(VLOOKUP(AH$1,INDIRECT("'"&amp;$A47&amp;"'!$A$12:$Z$41"),MATCH("Points (Auto-generate)",INDIRECT("'"&amp;$A47&amp;"'!$A$12:$Z$12"),0),0)="","?",VLOOKUP(AH$1,INDIRECT("'"&amp;$A47&amp;"'!$A$12:$Z$41"),MATCH("Points (Auto-generate)",INDIRECT("'"&amp;$A47&amp;"'!$A$12:$Z$12"),0),0)),"ER"))</f>
        <v>?</v>
      </c>
      <c r="AI47" s="78" t="str">
        <f aca="true">IF($H47=0,"NA",IF($A47=INDIRECT("'"&amp;$A47&amp;"'!$B$1"),IF(VLOOKUP(AI$1,INDIRECT("'"&amp;$A47&amp;"'!$A$12:$Z$41"),MATCH("Points (Auto-generate)",INDIRECT("'"&amp;$A47&amp;"'!$A$12:$Z$12"),0),0)="","?",VLOOKUP(AI$1,INDIRECT("'"&amp;$A47&amp;"'!$A$12:$Z$41"),MATCH("Points (Auto-generate)",INDIRECT("'"&amp;$A47&amp;"'!$A$12:$Z$12"),0),0)),"ER"))</f>
        <v>?</v>
      </c>
      <c r="AJ47" s="78" t="str">
        <f aca="true">IF($H47=0,"NA",IF($A47=INDIRECT("'"&amp;$A47&amp;"'!$B$1"),IF(VLOOKUP(AJ$1,INDIRECT("'"&amp;$A47&amp;"'!$A$12:$Z$41"),MATCH("Points (Auto-generate)",INDIRECT("'"&amp;$A47&amp;"'!$A$12:$Z$12"),0),0)="","?",VLOOKUP(AJ$1,INDIRECT("'"&amp;$A47&amp;"'!$A$12:$Z$41"),MATCH("Points (Auto-generate)",INDIRECT("'"&amp;$A47&amp;"'!$A$12:$Z$12"),0),0)),"ER"))</f>
        <v>?</v>
      </c>
      <c r="AK47" s="78" t="str">
        <f aca="true">IF($H47=0,"NA",IF($A47=INDIRECT("'"&amp;$A47&amp;"'!$B$1"),IF(VLOOKUP(AK$1,INDIRECT("'"&amp;$A47&amp;"'!$A$12:$Z$41"),MATCH("Points (Auto-generate)",INDIRECT("'"&amp;$A47&amp;"'!$A$12:$Z$12"),0),0)="","?",VLOOKUP(AK$1,INDIRECT("'"&amp;$A47&amp;"'!$A$12:$Z$41"),MATCH("Points (Auto-generate)",INDIRECT("'"&amp;$A47&amp;"'!$A$12:$Z$12"),0),0)),"ER"))</f>
        <v>?</v>
      </c>
    </row>
    <row r="48" customFormat="false" ht="14.25" hidden="false" customHeight="true" outlineLevel="0" collapsed="false">
      <c r="A48" s="74" t="s">
        <v>238</v>
      </c>
      <c r="B48" s="75" t="str">
        <f aca="false">IF(ISBLANK($A48),"NO_CODE",VLOOKUP($A48,'UPD Questions_290926 '!$E$1:$N$300,MATCH(B$1,'UPD Questions_290926 '!$E$1:$N$1,0),0)&amp;"")</f>
        <v>Implementation</v>
      </c>
      <c r="C48" s="75" t="str">
        <f aca="false">IF(ISBLANK($A48),"NO_CODE",VLOOKUP($A48,'UPD Questions_290926 '!$E$1:$N$300,MATCH(C$1,'UPD Questions_290926 '!$E$1:$N$1,0),0)&amp;"")</f>
        <v>Municipal/City Plan status, hierarchy and coordination</v>
      </c>
      <c r="D48" s="75" t="str">
        <f aca="false">IF(ISBLANK($A48),"NO_CODE",VLOOKUP($A48,'UPD Questions_290926 '!$E$1:$N$300,MATCH(D$1,'UPD Questions_290926 '!$E$1:$N$1,0),0)&amp;"")</f>
        <v>Objectives of the Municipal/City Plan</v>
      </c>
      <c r="E48" s="75" t="str">
        <f aca="false">IF(ISBLANK($A48),"NO_CODE",VLOOKUP($A48,'UPD Questions_290926 '!$E$1:$N$300,MATCH(E$1,'UPD Questions_290926 '!$E$1:$N$1,0),0)&amp;"")</f>
        <v>SQ</v>
      </c>
      <c r="F48" s="75" t="str">
        <f aca="false">IF(ISBLANK($A48),"NO_CODE",VLOOKUP($A48,'UPD Questions_290926 '!$E$1:$N$300,MATCH(F$1,'UPD Questions_290926 '!$E$1:$N$1,0),0)&amp;"")</f>
        <v>c) Affordable housing </v>
      </c>
      <c r="G48" s="75" t="str">
        <f aca="false">IF(ISBLANK($A48),"NO_CODE",VLOOKUP($A48,'UPD Questions_290926 '!$E$1:$N$300,MATCH(G$1,'UPD Questions_290926 '!$E$1:$N$1,0),0)&amp;"")</f>
        <v>Implementation</v>
      </c>
      <c r="H48" s="77" t="n">
        <f aca="false">IF(ISBLANK($A48),"NO_CODE",VLOOKUP($A48,'UPD Questions_290926 '!$E$1:$N$300,MATCH(H$1,'UPD Questions_290926 '!$E$1:$N$1,0),0))</f>
        <v>3.33</v>
      </c>
      <c r="I48" s="78" t="str">
        <f aca="true">IF($H48=0,"NA",IF($A48=INDIRECT("'"&amp;$A48&amp;"'!$B$1"),IF(VLOOKUP(I$1,INDIRECT("'"&amp;$A48&amp;"'!$A$12:$Z$41"),MATCH("Points (Auto-generate)",INDIRECT("'"&amp;$A48&amp;"'!$A$12:$Z$12"),0),0)="","?",VLOOKUP(I$1,INDIRECT("'"&amp;$A48&amp;"'!$A$12:$Z$41"),MATCH("Points (Auto-generate)",INDIRECT("'"&amp;$A48&amp;"'!$A$12:$Z$12"),0),0)),"ER"))</f>
        <v>?</v>
      </c>
      <c r="J48" s="78" t="n">
        <f aca="true">IF($H48=0,"NA",IF($A48=INDIRECT("'"&amp;$A48&amp;"'!$B$1"),IF(VLOOKUP(J$1,INDIRECT("'"&amp;$A48&amp;"'!$A$12:$Z$41"),MATCH("Points (Auto-generate)",INDIRECT("'"&amp;$A48&amp;"'!$A$12:$Z$12"),0),0)="","?",VLOOKUP(J$1,INDIRECT("'"&amp;$A48&amp;"'!$A$12:$Z$41"),MATCH("Points (Auto-generate)",INDIRECT("'"&amp;$A48&amp;"'!$A$12:$Z$12"),0),0)),"ER"))</f>
        <v>0</v>
      </c>
      <c r="K48" s="78" t="str">
        <f aca="true">IF($H48=0,"NA",IF($A48=INDIRECT("'"&amp;$A48&amp;"'!$B$1"),IF(VLOOKUP(K$1,INDIRECT("'"&amp;$A48&amp;"'!$A$12:$Z$41"),MATCH("Points (Auto-generate)",INDIRECT("'"&amp;$A48&amp;"'!$A$12:$Z$12"),0),0)="","?",VLOOKUP(K$1,INDIRECT("'"&amp;$A48&amp;"'!$A$12:$Z$41"),MATCH("Points (Auto-generate)",INDIRECT("'"&amp;$A48&amp;"'!$A$12:$Z$12"),0),0)),"ER"))</f>
        <v>?</v>
      </c>
      <c r="L48" s="78" t="str">
        <f aca="true">IF($H48=0,"NA",IF($A48=INDIRECT("'"&amp;$A48&amp;"'!$B$1"),IF(VLOOKUP(L$1,INDIRECT("'"&amp;$A48&amp;"'!$A$12:$Z$41"),MATCH("Points (Auto-generate)",INDIRECT("'"&amp;$A48&amp;"'!$A$12:$Z$12"),0),0)="","?",VLOOKUP(L$1,INDIRECT("'"&amp;$A48&amp;"'!$A$12:$Z$41"),MATCH("Points (Auto-generate)",INDIRECT("'"&amp;$A48&amp;"'!$A$12:$Z$12"),0),0)),"ER"))</f>
        <v>?</v>
      </c>
      <c r="M48" s="78" t="str">
        <f aca="true">IF($H48=0,"NA",IF($A48=INDIRECT("'"&amp;$A48&amp;"'!$B$1"),IF(VLOOKUP(M$1,INDIRECT("'"&amp;$A48&amp;"'!$A$12:$Z$41"),MATCH("Points (Auto-generate)",INDIRECT("'"&amp;$A48&amp;"'!$A$12:$Z$12"),0),0)="","?",VLOOKUP(M$1,INDIRECT("'"&amp;$A48&amp;"'!$A$12:$Z$41"),MATCH("Points (Auto-generate)",INDIRECT("'"&amp;$A48&amp;"'!$A$12:$Z$12"),0),0)),"ER"))</f>
        <v>?</v>
      </c>
      <c r="N48" s="78" t="str">
        <f aca="true">IF($H48=0,"NA",IF($A48=INDIRECT("'"&amp;$A48&amp;"'!$B$1"),IF(VLOOKUP(N$1,INDIRECT("'"&amp;$A48&amp;"'!$A$12:$Z$41"),MATCH("Points (Auto-generate)",INDIRECT("'"&amp;$A48&amp;"'!$A$12:$Z$12"),0),0)="","?",VLOOKUP(N$1,INDIRECT("'"&amp;$A48&amp;"'!$A$12:$Z$41"),MATCH("Points (Auto-generate)",INDIRECT("'"&amp;$A48&amp;"'!$A$12:$Z$12"),0),0)),"ER"))</f>
        <v>?</v>
      </c>
      <c r="O48" s="78" t="str">
        <f aca="true">IF($H48=0,"NA",IF($A48=INDIRECT("'"&amp;$A48&amp;"'!$B$1"),IF(VLOOKUP(O$1,INDIRECT("'"&amp;$A48&amp;"'!$A$12:$Z$41"),MATCH("Points (Auto-generate)",INDIRECT("'"&amp;$A48&amp;"'!$A$12:$Z$12"),0),0)="","?",VLOOKUP(O$1,INDIRECT("'"&amp;$A48&amp;"'!$A$12:$Z$41"),MATCH("Points (Auto-generate)",INDIRECT("'"&amp;$A48&amp;"'!$A$12:$Z$12"),0),0)),"ER"))</f>
        <v>?</v>
      </c>
      <c r="P48" s="78" t="str">
        <f aca="true">IF($H48=0,"NA",IF($A48=INDIRECT("'"&amp;$A48&amp;"'!$B$1"),IF(VLOOKUP(P$1,INDIRECT("'"&amp;$A48&amp;"'!$A$12:$Z$41"),MATCH("Points (Auto-generate)",INDIRECT("'"&amp;$A48&amp;"'!$A$12:$Z$12"),0),0)="","?",VLOOKUP(P$1,INDIRECT("'"&amp;$A48&amp;"'!$A$12:$Z$41"),MATCH("Points (Auto-generate)",INDIRECT("'"&amp;$A48&amp;"'!$A$12:$Z$12"),0),0)),"ER"))</f>
        <v>?</v>
      </c>
      <c r="Q48" s="78" t="str">
        <f aca="true">IF($H48=0,"NA",IF($A48=INDIRECT("'"&amp;$A48&amp;"'!$B$1"),IF(VLOOKUP(Q$1,INDIRECT("'"&amp;$A48&amp;"'!$A$12:$Z$41"),MATCH("Points (Auto-generate)",INDIRECT("'"&amp;$A48&amp;"'!$A$12:$Z$12"),0),0)="","?",VLOOKUP(Q$1,INDIRECT("'"&amp;$A48&amp;"'!$A$12:$Z$41"),MATCH("Points (Auto-generate)",INDIRECT("'"&amp;$A48&amp;"'!$A$12:$Z$12"),0),0)),"ER"))</f>
        <v>?</v>
      </c>
      <c r="R48" s="78" t="str">
        <f aca="true">IF($H48=0,"NA",IF($A48=INDIRECT("'"&amp;$A48&amp;"'!$B$1"),IF(VLOOKUP(R$1,INDIRECT("'"&amp;$A48&amp;"'!$A$12:$Z$41"),MATCH("Points (Auto-generate)",INDIRECT("'"&amp;$A48&amp;"'!$A$12:$Z$12"),0),0)="","?",VLOOKUP(R$1,INDIRECT("'"&amp;$A48&amp;"'!$A$12:$Z$41"),MATCH("Points (Auto-generate)",INDIRECT("'"&amp;$A48&amp;"'!$A$12:$Z$12"),0),0)),"ER"))</f>
        <v>?</v>
      </c>
      <c r="S48" s="78" t="str">
        <f aca="true">IF($H48=0,"NA",IF($A48=INDIRECT("'"&amp;$A48&amp;"'!$B$1"),IF(VLOOKUP(S$1,INDIRECT("'"&amp;$A48&amp;"'!$A$12:$Z$41"),MATCH("Points (Auto-generate)",INDIRECT("'"&amp;$A48&amp;"'!$A$12:$Z$12"),0),0)="","?",VLOOKUP(S$1,INDIRECT("'"&amp;$A48&amp;"'!$A$12:$Z$41"),MATCH("Points (Auto-generate)",INDIRECT("'"&amp;$A48&amp;"'!$A$12:$Z$12"),0),0)),"ER"))</f>
        <v>?</v>
      </c>
      <c r="T48" s="78" t="str">
        <f aca="true">IF($H48=0,"NA",IF($A48=INDIRECT("'"&amp;$A48&amp;"'!$B$1"),IF(VLOOKUP(T$1,INDIRECT("'"&amp;$A48&amp;"'!$A$12:$Z$41"),MATCH("Points (Auto-generate)",INDIRECT("'"&amp;$A48&amp;"'!$A$12:$Z$12"),0),0)="","?",VLOOKUP(T$1,INDIRECT("'"&amp;$A48&amp;"'!$A$12:$Z$41"),MATCH("Points (Auto-generate)",INDIRECT("'"&amp;$A48&amp;"'!$A$12:$Z$12"),0),0)),"ER"))</f>
        <v>?</v>
      </c>
      <c r="U48" s="78" t="str">
        <f aca="true">IF($H48=0,"NA",IF($A48=INDIRECT("'"&amp;$A48&amp;"'!$B$1"),IF(VLOOKUP(U$1,INDIRECT("'"&amp;$A48&amp;"'!$A$12:$Z$41"),MATCH("Points (Auto-generate)",INDIRECT("'"&amp;$A48&amp;"'!$A$12:$Z$12"),0),0)="","?",VLOOKUP(U$1,INDIRECT("'"&amp;$A48&amp;"'!$A$12:$Z$41"),MATCH("Points (Auto-generate)",INDIRECT("'"&amp;$A48&amp;"'!$A$12:$Z$12"),0),0)),"ER"))</f>
        <v>?</v>
      </c>
      <c r="V48" s="78" t="str">
        <f aca="true">IF($H48=0,"NA",IF($A48=INDIRECT("'"&amp;$A48&amp;"'!$B$1"),IF(VLOOKUP(V$1,INDIRECT("'"&amp;$A48&amp;"'!$A$12:$Z$41"),MATCH("Points (Auto-generate)",INDIRECT("'"&amp;$A48&amp;"'!$A$12:$Z$12"),0),0)="","?",VLOOKUP(V$1,INDIRECT("'"&amp;$A48&amp;"'!$A$12:$Z$41"),MATCH("Points (Auto-generate)",INDIRECT("'"&amp;$A48&amp;"'!$A$12:$Z$12"),0),0)),"ER"))</f>
        <v>?</v>
      </c>
      <c r="W48" s="78" t="str">
        <f aca="true">IF($H48=0,"NA",IF($A48=INDIRECT("'"&amp;$A48&amp;"'!$B$1"),IF(VLOOKUP(W$1,INDIRECT("'"&amp;$A48&amp;"'!$A$12:$Z$41"),MATCH("Points (Auto-generate)",INDIRECT("'"&amp;$A48&amp;"'!$A$12:$Z$12"),0),0)="","?",VLOOKUP(W$1,INDIRECT("'"&amp;$A48&amp;"'!$A$12:$Z$41"),MATCH("Points (Auto-generate)",INDIRECT("'"&amp;$A48&amp;"'!$A$12:$Z$12"),0),0)),"ER"))</f>
        <v>?</v>
      </c>
      <c r="X48" s="78" t="str">
        <f aca="true">IF($H48=0,"NA",IF($A48=INDIRECT("'"&amp;$A48&amp;"'!$B$1"),IF(VLOOKUP(X$1,INDIRECT("'"&amp;$A48&amp;"'!$A$12:$Z$41"),MATCH("Points (Auto-generate)",INDIRECT("'"&amp;$A48&amp;"'!$A$12:$Z$12"),0),0)="","?",VLOOKUP(X$1,INDIRECT("'"&amp;$A48&amp;"'!$A$12:$Z$41"),MATCH("Points (Auto-generate)",INDIRECT("'"&amp;$A48&amp;"'!$A$12:$Z$12"),0),0)),"ER"))</f>
        <v>?</v>
      </c>
      <c r="Y48" s="78" t="str">
        <f aca="true">IF($H48=0,"NA",IF($A48=INDIRECT("'"&amp;$A48&amp;"'!$B$1"),IF(VLOOKUP(Y$1,INDIRECT("'"&amp;$A48&amp;"'!$A$12:$Z$41"),MATCH("Points (Auto-generate)",INDIRECT("'"&amp;$A48&amp;"'!$A$12:$Z$12"),0),0)="","?",VLOOKUP(Y$1,INDIRECT("'"&amp;$A48&amp;"'!$A$12:$Z$41"),MATCH("Points (Auto-generate)",INDIRECT("'"&amp;$A48&amp;"'!$A$12:$Z$12"),0),0)),"ER"))</f>
        <v>?</v>
      </c>
      <c r="Z48" s="78" t="str">
        <f aca="true">IF($H48=0,"NA",IF($A48=INDIRECT("'"&amp;$A48&amp;"'!$B$1"),IF(VLOOKUP(Z$1,INDIRECT("'"&amp;$A48&amp;"'!$A$12:$Z$41"),MATCH("Points (Auto-generate)",INDIRECT("'"&amp;$A48&amp;"'!$A$12:$Z$12"),0),0)="","?",VLOOKUP(Z$1,INDIRECT("'"&amp;$A48&amp;"'!$A$12:$Z$41"),MATCH("Points (Auto-generate)",INDIRECT("'"&amp;$A48&amp;"'!$A$12:$Z$12"),0),0)),"ER"))</f>
        <v>?</v>
      </c>
      <c r="AA48" s="78" t="str">
        <f aca="true">IF($H48=0,"NA",IF($A48=INDIRECT("'"&amp;$A48&amp;"'!$B$1"),IF(VLOOKUP(AA$1,INDIRECT("'"&amp;$A48&amp;"'!$A$12:$Z$41"),MATCH("Points (Auto-generate)",INDIRECT("'"&amp;$A48&amp;"'!$A$12:$Z$12"),0),0)="","?",VLOOKUP(AA$1,INDIRECT("'"&amp;$A48&amp;"'!$A$12:$Z$41"),MATCH("Points (Auto-generate)",INDIRECT("'"&amp;$A48&amp;"'!$A$12:$Z$12"),0),0)),"ER"))</f>
        <v>?</v>
      </c>
      <c r="AB48" s="78" t="str">
        <f aca="true">IF($H48=0,"NA",IF($A48=INDIRECT("'"&amp;$A48&amp;"'!$B$1"),IF(VLOOKUP(AB$1,INDIRECT("'"&amp;$A48&amp;"'!$A$12:$Z$41"),MATCH("Points (Auto-generate)",INDIRECT("'"&amp;$A48&amp;"'!$A$12:$Z$12"),0),0)="","?",VLOOKUP(AB$1,INDIRECT("'"&amp;$A48&amp;"'!$A$12:$Z$41"),MATCH("Points (Auto-generate)",INDIRECT("'"&amp;$A48&amp;"'!$A$12:$Z$12"),0),0)),"ER"))</f>
        <v>?</v>
      </c>
      <c r="AC48" s="78" t="str">
        <f aca="true">IF($H48=0,"NA",IF($A48=INDIRECT("'"&amp;$A48&amp;"'!$B$1"),IF(VLOOKUP(AC$1,INDIRECT("'"&amp;$A48&amp;"'!$A$12:$Z$41"),MATCH("Points (Auto-generate)",INDIRECT("'"&amp;$A48&amp;"'!$A$12:$Z$12"),0),0)="","?",VLOOKUP(AC$1,INDIRECT("'"&amp;$A48&amp;"'!$A$12:$Z$41"),MATCH("Points (Auto-generate)",INDIRECT("'"&amp;$A48&amp;"'!$A$12:$Z$12"),0),0)),"ER"))</f>
        <v>?</v>
      </c>
      <c r="AD48" s="78" t="str">
        <f aca="true">IF($H48=0,"NA",IF($A48=INDIRECT("'"&amp;$A48&amp;"'!$B$1"),IF(VLOOKUP(AD$1,INDIRECT("'"&amp;$A48&amp;"'!$A$12:$Z$41"),MATCH("Points (Auto-generate)",INDIRECT("'"&amp;$A48&amp;"'!$A$12:$Z$12"),0),0)="","?",VLOOKUP(AD$1,INDIRECT("'"&amp;$A48&amp;"'!$A$12:$Z$41"),MATCH("Points (Auto-generate)",INDIRECT("'"&amp;$A48&amp;"'!$A$12:$Z$12"),0),0)),"ER"))</f>
        <v>?</v>
      </c>
      <c r="AE48" s="78" t="str">
        <f aca="true">IF($H48=0,"NA",IF($A48=INDIRECT("'"&amp;$A48&amp;"'!$B$1"),IF(VLOOKUP(AE$1,INDIRECT("'"&amp;$A48&amp;"'!$A$12:$Z$41"),MATCH("Points (Auto-generate)",INDIRECT("'"&amp;$A48&amp;"'!$A$12:$Z$12"),0),0)="","?",VLOOKUP(AE$1,INDIRECT("'"&amp;$A48&amp;"'!$A$12:$Z$41"),MATCH("Points (Auto-generate)",INDIRECT("'"&amp;$A48&amp;"'!$A$12:$Z$12"),0),0)),"ER"))</f>
        <v>?</v>
      </c>
      <c r="AF48" s="78" t="str">
        <f aca="true">IF($H48=0,"NA",IF($A48=INDIRECT("'"&amp;$A48&amp;"'!$B$1"),IF(VLOOKUP(AF$1,INDIRECT("'"&amp;$A48&amp;"'!$A$12:$Z$41"),MATCH("Points (Auto-generate)",INDIRECT("'"&amp;$A48&amp;"'!$A$12:$Z$12"),0),0)="","?",VLOOKUP(AF$1,INDIRECT("'"&amp;$A48&amp;"'!$A$12:$Z$41"),MATCH("Points (Auto-generate)",INDIRECT("'"&amp;$A48&amp;"'!$A$12:$Z$12"),0),0)),"ER"))</f>
        <v>?</v>
      </c>
      <c r="AG48" s="78" t="str">
        <f aca="true">IF($H48=0,"NA",IF($A48=INDIRECT("'"&amp;$A48&amp;"'!$B$1"),IF(VLOOKUP(AG$1,INDIRECT("'"&amp;$A48&amp;"'!$A$12:$Z$41"),MATCH("Points (Auto-generate)",INDIRECT("'"&amp;$A48&amp;"'!$A$12:$Z$12"),0),0)="","?",VLOOKUP(AG$1,INDIRECT("'"&amp;$A48&amp;"'!$A$12:$Z$41"),MATCH("Points (Auto-generate)",INDIRECT("'"&amp;$A48&amp;"'!$A$12:$Z$12"),0),0)),"ER"))</f>
        <v>?</v>
      </c>
      <c r="AH48" s="78" t="str">
        <f aca="true">IF($H48=0,"NA",IF($A48=INDIRECT("'"&amp;$A48&amp;"'!$B$1"),IF(VLOOKUP(AH$1,INDIRECT("'"&amp;$A48&amp;"'!$A$12:$Z$41"),MATCH("Points (Auto-generate)",INDIRECT("'"&amp;$A48&amp;"'!$A$12:$Z$12"),0),0)="","?",VLOOKUP(AH$1,INDIRECT("'"&amp;$A48&amp;"'!$A$12:$Z$41"),MATCH("Points (Auto-generate)",INDIRECT("'"&amp;$A48&amp;"'!$A$12:$Z$12"),0),0)),"ER"))</f>
        <v>?</v>
      </c>
      <c r="AI48" s="78" t="str">
        <f aca="true">IF($H48=0,"NA",IF($A48=INDIRECT("'"&amp;$A48&amp;"'!$B$1"),IF(VLOOKUP(AI$1,INDIRECT("'"&amp;$A48&amp;"'!$A$12:$Z$41"),MATCH("Points (Auto-generate)",INDIRECT("'"&amp;$A48&amp;"'!$A$12:$Z$12"),0),0)="","?",VLOOKUP(AI$1,INDIRECT("'"&amp;$A48&amp;"'!$A$12:$Z$41"),MATCH("Points (Auto-generate)",INDIRECT("'"&amp;$A48&amp;"'!$A$12:$Z$12"),0),0)),"ER"))</f>
        <v>?</v>
      </c>
      <c r="AJ48" s="78" t="str">
        <f aca="true">IF($H48=0,"NA",IF($A48=INDIRECT("'"&amp;$A48&amp;"'!$B$1"),IF(VLOOKUP(AJ$1,INDIRECT("'"&amp;$A48&amp;"'!$A$12:$Z$41"),MATCH("Points (Auto-generate)",INDIRECT("'"&amp;$A48&amp;"'!$A$12:$Z$12"),0),0)="","?",VLOOKUP(AJ$1,INDIRECT("'"&amp;$A48&amp;"'!$A$12:$Z$41"),MATCH("Points (Auto-generate)",INDIRECT("'"&amp;$A48&amp;"'!$A$12:$Z$12"),0),0)),"ER"))</f>
        <v>?</v>
      </c>
      <c r="AK48" s="78" t="str">
        <f aca="true">IF($H48=0,"NA",IF($A48=INDIRECT("'"&amp;$A48&amp;"'!$B$1"),IF(VLOOKUP(AK$1,INDIRECT("'"&amp;$A48&amp;"'!$A$12:$Z$41"),MATCH("Points (Auto-generate)",INDIRECT("'"&amp;$A48&amp;"'!$A$12:$Z$12"),0),0)="","?",VLOOKUP(AK$1,INDIRECT("'"&amp;$A48&amp;"'!$A$12:$Z$41"),MATCH("Points (Auto-generate)",INDIRECT("'"&amp;$A48&amp;"'!$A$12:$Z$12"),0),0)),"ER"))</f>
        <v>?</v>
      </c>
    </row>
    <row r="49" customFormat="false" ht="14.25" hidden="false" customHeight="true" outlineLevel="0" collapsed="false">
      <c r="A49" s="74" t="s">
        <v>243</v>
      </c>
      <c r="B49" s="75" t="str">
        <f aca="false">IF(ISBLANK($A49),"NO_CODE",VLOOKUP($A49,'UPD Questions_290926 '!$E$1:$N$300,MATCH(B$1,'UPD Questions_290926 '!$E$1:$N$1,0),0)&amp;"")</f>
        <v>Implementation</v>
      </c>
      <c r="C49" s="75" t="str">
        <f aca="false">IF(ISBLANK($A49),"NO_CODE",VLOOKUP($A49,'UPD Questions_290926 '!$E$1:$N$300,MATCH(C$1,'UPD Questions_290926 '!$E$1:$N$1,0),0)&amp;"")</f>
        <v>Municipal/City Plan status, hierarchy and coordination</v>
      </c>
      <c r="D49" s="75" t="str">
        <f aca="false">IF(ISBLANK($A49),"NO_CODE",VLOOKUP($A49,'UPD Questions_290926 '!$E$1:$N$300,MATCH(D$1,'UPD Questions_290926 '!$E$1:$N$1,0),0)&amp;"")</f>
        <v>Objectives of the Municipal/City Plan</v>
      </c>
      <c r="E49" s="75" t="str">
        <f aca="false">IF(ISBLANK($A49),"NO_CODE",VLOOKUP($A49,'UPD Questions_290926 '!$E$1:$N$300,MATCH(E$1,'UPD Questions_290926 '!$E$1:$N$1,0),0)&amp;"")</f>
        <v>MQ</v>
      </c>
      <c r="F49" s="75" t="str">
        <f aca="false">IF(ISBLANK($A49),"NO_CODE",VLOOKUP($A49,'UPD Questions_290926 '!$E$1:$N$300,MATCH(F$1,'UPD Questions_290926 '!$E$1:$N$1,0),0)&amp;"")</f>
        <v>Does the municipal/city plan include objectives for women?</v>
      </c>
      <c r="G49" s="75" t="str">
        <f aca="false">IF(ISBLANK($A49),"NO_CODE",VLOOKUP($A49,'UPD Questions_290926 '!$E$1:$N$300,MATCH(G$1,'UPD Questions_290926 '!$E$1:$N$1,0),0)&amp;"")</f>
        <v>Implementation</v>
      </c>
      <c r="H49" s="77" t="n">
        <f aca="false">IF(ISBLANK($A49),"NO_CODE",VLOOKUP($A49,'UPD Questions_290926 '!$E$1:$N$300,MATCH(H$1,'UPD Questions_290926 '!$E$1:$N$1,0),0))</f>
        <v>10</v>
      </c>
      <c r="I49" s="78" t="str">
        <f aca="true">IF($H49=0,"NA",IF($A49=INDIRECT("'"&amp;$A49&amp;"'!$B$1"),IF(VLOOKUP(I$1,INDIRECT("'"&amp;$A49&amp;"'!$A$12:$Z$41"),MATCH("Points (Auto-generate)",INDIRECT("'"&amp;$A49&amp;"'!$A$12:$Z$12"),0),0)="","?",VLOOKUP(I$1,INDIRECT("'"&amp;$A49&amp;"'!$A$12:$Z$41"),MATCH("Points (Auto-generate)",INDIRECT("'"&amp;$A49&amp;"'!$A$12:$Z$12"),0),0)),"ER"))</f>
        <v>?</v>
      </c>
      <c r="J49" s="78" t="n">
        <f aca="true">IF($H49=0,"NA",IF($A49=INDIRECT("'"&amp;$A49&amp;"'!$B$1"),IF(VLOOKUP(J$1,INDIRECT("'"&amp;$A49&amp;"'!$A$12:$Z$41"),MATCH("Points (Auto-generate)",INDIRECT("'"&amp;$A49&amp;"'!$A$12:$Z$12"),0),0)="","?",VLOOKUP(J$1,INDIRECT("'"&amp;$A49&amp;"'!$A$12:$Z$41"),MATCH("Points (Auto-generate)",INDIRECT("'"&amp;$A49&amp;"'!$A$12:$Z$12"),0),0)),"ER"))</f>
        <v>0</v>
      </c>
      <c r="K49" s="78" t="str">
        <f aca="true">IF($H49=0,"NA",IF($A49=INDIRECT("'"&amp;$A49&amp;"'!$B$1"),IF(VLOOKUP(K$1,INDIRECT("'"&amp;$A49&amp;"'!$A$12:$Z$41"),MATCH("Points (Auto-generate)",INDIRECT("'"&amp;$A49&amp;"'!$A$12:$Z$12"),0),0)="","?",VLOOKUP(K$1,INDIRECT("'"&amp;$A49&amp;"'!$A$12:$Z$41"),MATCH("Points (Auto-generate)",INDIRECT("'"&amp;$A49&amp;"'!$A$12:$Z$12"),0),0)),"ER"))</f>
        <v>?</v>
      </c>
      <c r="L49" s="78" t="str">
        <f aca="true">IF($H49=0,"NA",IF($A49=INDIRECT("'"&amp;$A49&amp;"'!$B$1"),IF(VLOOKUP(L$1,INDIRECT("'"&amp;$A49&amp;"'!$A$12:$Z$41"),MATCH("Points (Auto-generate)",INDIRECT("'"&amp;$A49&amp;"'!$A$12:$Z$12"),0),0)="","?",VLOOKUP(L$1,INDIRECT("'"&amp;$A49&amp;"'!$A$12:$Z$41"),MATCH("Points (Auto-generate)",INDIRECT("'"&amp;$A49&amp;"'!$A$12:$Z$12"),0),0)),"ER"))</f>
        <v>?</v>
      </c>
      <c r="M49" s="78" t="str">
        <f aca="true">IF($H49=0,"NA",IF($A49=INDIRECT("'"&amp;$A49&amp;"'!$B$1"),IF(VLOOKUP(M$1,INDIRECT("'"&amp;$A49&amp;"'!$A$12:$Z$41"),MATCH("Points (Auto-generate)",INDIRECT("'"&amp;$A49&amp;"'!$A$12:$Z$12"),0),0)="","?",VLOOKUP(M$1,INDIRECT("'"&amp;$A49&amp;"'!$A$12:$Z$41"),MATCH("Points (Auto-generate)",INDIRECT("'"&amp;$A49&amp;"'!$A$12:$Z$12"),0),0)),"ER"))</f>
        <v>?</v>
      </c>
      <c r="N49" s="78" t="str">
        <f aca="true">IF($H49=0,"NA",IF($A49=INDIRECT("'"&amp;$A49&amp;"'!$B$1"),IF(VLOOKUP(N$1,INDIRECT("'"&amp;$A49&amp;"'!$A$12:$Z$41"),MATCH("Points (Auto-generate)",INDIRECT("'"&amp;$A49&amp;"'!$A$12:$Z$12"),0),0)="","?",VLOOKUP(N$1,INDIRECT("'"&amp;$A49&amp;"'!$A$12:$Z$41"),MATCH("Points (Auto-generate)",INDIRECT("'"&amp;$A49&amp;"'!$A$12:$Z$12"),0),0)),"ER"))</f>
        <v>?</v>
      </c>
      <c r="O49" s="78" t="str">
        <f aca="true">IF($H49=0,"NA",IF($A49=INDIRECT("'"&amp;$A49&amp;"'!$B$1"),IF(VLOOKUP(O$1,INDIRECT("'"&amp;$A49&amp;"'!$A$12:$Z$41"),MATCH("Points (Auto-generate)",INDIRECT("'"&amp;$A49&amp;"'!$A$12:$Z$12"),0),0)="","?",VLOOKUP(O$1,INDIRECT("'"&amp;$A49&amp;"'!$A$12:$Z$41"),MATCH("Points (Auto-generate)",INDIRECT("'"&amp;$A49&amp;"'!$A$12:$Z$12"),0),0)),"ER"))</f>
        <v>?</v>
      </c>
      <c r="P49" s="78" t="str">
        <f aca="true">IF($H49=0,"NA",IF($A49=INDIRECT("'"&amp;$A49&amp;"'!$B$1"),IF(VLOOKUP(P$1,INDIRECT("'"&amp;$A49&amp;"'!$A$12:$Z$41"),MATCH("Points (Auto-generate)",INDIRECT("'"&amp;$A49&amp;"'!$A$12:$Z$12"),0),0)="","?",VLOOKUP(P$1,INDIRECT("'"&amp;$A49&amp;"'!$A$12:$Z$41"),MATCH("Points (Auto-generate)",INDIRECT("'"&amp;$A49&amp;"'!$A$12:$Z$12"),0),0)),"ER"))</f>
        <v>?</v>
      </c>
      <c r="Q49" s="78" t="str">
        <f aca="true">IF($H49=0,"NA",IF($A49=INDIRECT("'"&amp;$A49&amp;"'!$B$1"),IF(VLOOKUP(Q$1,INDIRECT("'"&amp;$A49&amp;"'!$A$12:$Z$41"),MATCH("Points (Auto-generate)",INDIRECT("'"&amp;$A49&amp;"'!$A$12:$Z$12"),0),0)="","?",VLOOKUP(Q$1,INDIRECT("'"&amp;$A49&amp;"'!$A$12:$Z$41"),MATCH("Points (Auto-generate)",INDIRECT("'"&amp;$A49&amp;"'!$A$12:$Z$12"),0),0)),"ER"))</f>
        <v>?</v>
      </c>
      <c r="R49" s="78" t="str">
        <f aca="true">IF($H49=0,"NA",IF($A49=INDIRECT("'"&amp;$A49&amp;"'!$B$1"),IF(VLOOKUP(R$1,INDIRECT("'"&amp;$A49&amp;"'!$A$12:$Z$41"),MATCH("Points (Auto-generate)",INDIRECT("'"&amp;$A49&amp;"'!$A$12:$Z$12"),0),0)="","?",VLOOKUP(R$1,INDIRECT("'"&amp;$A49&amp;"'!$A$12:$Z$41"),MATCH("Points (Auto-generate)",INDIRECT("'"&amp;$A49&amp;"'!$A$12:$Z$12"),0),0)),"ER"))</f>
        <v>?</v>
      </c>
      <c r="S49" s="78" t="str">
        <f aca="true">IF($H49=0,"NA",IF($A49=INDIRECT("'"&amp;$A49&amp;"'!$B$1"),IF(VLOOKUP(S$1,INDIRECT("'"&amp;$A49&amp;"'!$A$12:$Z$41"),MATCH("Points (Auto-generate)",INDIRECT("'"&amp;$A49&amp;"'!$A$12:$Z$12"),0),0)="","?",VLOOKUP(S$1,INDIRECT("'"&amp;$A49&amp;"'!$A$12:$Z$41"),MATCH("Points (Auto-generate)",INDIRECT("'"&amp;$A49&amp;"'!$A$12:$Z$12"),0),0)),"ER"))</f>
        <v>?</v>
      </c>
      <c r="T49" s="78" t="str">
        <f aca="true">IF($H49=0,"NA",IF($A49=INDIRECT("'"&amp;$A49&amp;"'!$B$1"),IF(VLOOKUP(T$1,INDIRECT("'"&amp;$A49&amp;"'!$A$12:$Z$41"),MATCH("Points (Auto-generate)",INDIRECT("'"&amp;$A49&amp;"'!$A$12:$Z$12"),0),0)="","?",VLOOKUP(T$1,INDIRECT("'"&amp;$A49&amp;"'!$A$12:$Z$41"),MATCH("Points (Auto-generate)",INDIRECT("'"&amp;$A49&amp;"'!$A$12:$Z$12"),0),0)),"ER"))</f>
        <v>?</v>
      </c>
      <c r="U49" s="78" t="str">
        <f aca="true">IF($H49=0,"NA",IF($A49=INDIRECT("'"&amp;$A49&amp;"'!$B$1"),IF(VLOOKUP(U$1,INDIRECT("'"&amp;$A49&amp;"'!$A$12:$Z$41"),MATCH("Points (Auto-generate)",INDIRECT("'"&amp;$A49&amp;"'!$A$12:$Z$12"),0),0)="","?",VLOOKUP(U$1,INDIRECT("'"&amp;$A49&amp;"'!$A$12:$Z$41"),MATCH("Points (Auto-generate)",INDIRECT("'"&amp;$A49&amp;"'!$A$12:$Z$12"),0),0)),"ER"))</f>
        <v>?</v>
      </c>
      <c r="V49" s="78" t="str">
        <f aca="true">IF($H49=0,"NA",IF($A49=INDIRECT("'"&amp;$A49&amp;"'!$B$1"),IF(VLOOKUP(V$1,INDIRECT("'"&amp;$A49&amp;"'!$A$12:$Z$41"),MATCH("Points (Auto-generate)",INDIRECT("'"&amp;$A49&amp;"'!$A$12:$Z$12"),0),0)="","?",VLOOKUP(V$1,INDIRECT("'"&amp;$A49&amp;"'!$A$12:$Z$41"),MATCH("Points (Auto-generate)",INDIRECT("'"&amp;$A49&amp;"'!$A$12:$Z$12"),0),0)),"ER"))</f>
        <v>?</v>
      </c>
      <c r="W49" s="78" t="str">
        <f aca="true">IF($H49=0,"NA",IF($A49=INDIRECT("'"&amp;$A49&amp;"'!$B$1"),IF(VLOOKUP(W$1,INDIRECT("'"&amp;$A49&amp;"'!$A$12:$Z$41"),MATCH("Points (Auto-generate)",INDIRECT("'"&amp;$A49&amp;"'!$A$12:$Z$12"),0),0)="","?",VLOOKUP(W$1,INDIRECT("'"&amp;$A49&amp;"'!$A$12:$Z$41"),MATCH("Points (Auto-generate)",INDIRECT("'"&amp;$A49&amp;"'!$A$12:$Z$12"),0),0)),"ER"))</f>
        <v>?</v>
      </c>
      <c r="X49" s="78" t="str">
        <f aca="true">IF($H49=0,"NA",IF($A49=INDIRECT("'"&amp;$A49&amp;"'!$B$1"),IF(VLOOKUP(X$1,INDIRECT("'"&amp;$A49&amp;"'!$A$12:$Z$41"),MATCH("Points (Auto-generate)",INDIRECT("'"&amp;$A49&amp;"'!$A$12:$Z$12"),0),0)="","?",VLOOKUP(X$1,INDIRECT("'"&amp;$A49&amp;"'!$A$12:$Z$41"),MATCH("Points (Auto-generate)",INDIRECT("'"&amp;$A49&amp;"'!$A$12:$Z$12"),0),0)),"ER"))</f>
        <v>?</v>
      </c>
      <c r="Y49" s="78" t="str">
        <f aca="true">IF($H49=0,"NA",IF($A49=INDIRECT("'"&amp;$A49&amp;"'!$B$1"),IF(VLOOKUP(Y$1,INDIRECT("'"&amp;$A49&amp;"'!$A$12:$Z$41"),MATCH("Points (Auto-generate)",INDIRECT("'"&amp;$A49&amp;"'!$A$12:$Z$12"),0),0)="","?",VLOOKUP(Y$1,INDIRECT("'"&amp;$A49&amp;"'!$A$12:$Z$41"),MATCH("Points (Auto-generate)",INDIRECT("'"&amp;$A49&amp;"'!$A$12:$Z$12"),0),0)),"ER"))</f>
        <v>?</v>
      </c>
      <c r="Z49" s="78" t="str">
        <f aca="true">IF($H49=0,"NA",IF($A49=INDIRECT("'"&amp;$A49&amp;"'!$B$1"),IF(VLOOKUP(Z$1,INDIRECT("'"&amp;$A49&amp;"'!$A$12:$Z$41"),MATCH("Points (Auto-generate)",INDIRECT("'"&amp;$A49&amp;"'!$A$12:$Z$12"),0),0)="","?",VLOOKUP(Z$1,INDIRECT("'"&amp;$A49&amp;"'!$A$12:$Z$41"),MATCH("Points (Auto-generate)",INDIRECT("'"&amp;$A49&amp;"'!$A$12:$Z$12"),0),0)),"ER"))</f>
        <v>?</v>
      </c>
      <c r="AA49" s="78" t="str">
        <f aca="true">IF($H49=0,"NA",IF($A49=INDIRECT("'"&amp;$A49&amp;"'!$B$1"),IF(VLOOKUP(AA$1,INDIRECT("'"&amp;$A49&amp;"'!$A$12:$Z$41"),MATCH("Points (Auto-generate)",INDIRECT("'"&amp;$A49&amp;"'!$A$12:$Z$12"),0),0)="","?",VLOOKUP(AA$1,INDIRECT("'"&amp;$A49&amp;"'!$A$12:$Z$41"),MATCH("Points (Auto-generate)",INDIRECT("'"&amp;$A49&amp;"'!$A$12:$Z$12"),0),0)),"ER"))</f>
        <v>?</v>
      </c>
      <c r="AB49" s="78" t="str">
        <f aca="true">IF($H49=0,"NA",IF($A49=INDIRECT("'"&amp;$A49&amp;"'!$B$1"),IF(VLOOKUP(AB$1,INDIRECT("'"&amp;$A49&amp;"'!$A$12:$Z$41"),MATCH("Points (Auto-generate)",INDIRECT("'"&amp;$A49&amp;"'!$A$12:$Z$12"),0),0)="","?",VLOOKUP(AB$1,INDIRECT("'"&amp;$A49&amp;"'!$A$12:$Z$41"),MATCH("Points (Auto-generate)",INDIRECT("'"&amp;$A49&amp;"'!$A$12:$Z$12"),0),0)),"ER"))</f>
        <v>?</v>
      </c>
      <c r="AC49" s="78" t="str">
        <f aca="true">IF($H49=0,"NA",IF($A49=INDIRECT("'"&amp;$A49&amp;"'!$B$1"),IF(VLOOKUP(AC$1,INDIRECT("'"&amp;$A49&amp;"'!$A$12:$Z$41"),MATCH("Points (Auto-generate)",INDIRECT("'"&amp;$A49&amp;"'!$A$12:$Z$12"),0),0)="","?",VLOOKUP(AC$1,INDIRECT("'"&amp;$A49&amp;"'!$A$12:$Z$41"),MATCH("Points (Auto-generate)",INDIRECT("'"&amp;$A49&amp;"'!$A$12:$Z$12"),0),0)),"ER"))</f>
        <v>?</v>
      </c>
      <c r="AD49" s="78" t="str">
        <f aca="true">IF($H49=0,"NA",IF($A49=INDIRECT("'"&amp;$A49&amp;"'!$B$1"),IF(VLOOKUP(AD$1,INDIRECT("'"&amp;$A49&amp;"'!$A$12:$Z$41"),MATCH("Points (Auto-generate)",INDIRECT("'"&amp;$A49&amp;"'!$A$12:$Z$12"),0),0)="","?",VLOOKUP(AD$1,INDIRECT("'"&amp;$A49&amp;"'!$A$12:$Z$41"),MATCH("Points (Auto-generate)",INDIRECT("'"&amp;$A49&amp;"'!$A$12:$Z$12"),0),0)),"ER"))</f>
        <v>?</v>
      </c>
      <c r="AE49" s="78" t="str">
        <f aca="true">IF($H49=0,"NA",IF($A49=INDIRECT("'"&amp;$A49&amp;"'!$B$1"),IF(VLOOKUP(AE$1,INDIRECT("'"&amp;$A49&amp;"'!$A$12:$Z$41"),MATCH("Points (Auto-generate)",INDIRECT("'"&amp;$A49&amp;"'!$A$12:$Z$12"),0),0)="","?",VLOOKUP(AE$1,INDIRECT("'"&amp;$A49&amp;"'!$A$12:$Z$41"),MATCH("Points (Auto-generate)",INDIRECT("'"&amp;$A49&amp;"'!$A$12:$Z$12"),0),0)),"ER"))</f>
        <v>?</v>
      </c>
      <c r="AF49" s="78" t="str">
        <f aca="true">IF($H49=0,"NA",IF($A49=INDIRECT("'"&amp;$A49&amp;"'!$B$1"),IF(VLOOKUP(AF$1,INDIRECT("'"&amp;$A49&amp;"'!$A$12:$Z$41"),MATCH("Points (Auto-generate)",INDIRECT("'"&amp;$A49&amp;"'!$A$12:$Z$12"),0),0)="","?",VLOOKUP(AF$1,INDIRECT("'"&amp;$A49&amp;"'!$A$12:$Z$41"),MATCH("Points (Auto-generate)",INDIRECT("'"&amp;$A49&amp;"'!$A$12:$Z$12"),0),0)),"ER"))</f>
        <v>?</v>
      </c>
      <c r="AG49" s="78" t="str">
        <f aca="true">IF($H49=0,"NA",IF($A49=INDIRECT("'"&amp;$A49&amp;"'!$B$1"),IF(VLOOKUP(AG$1,INDIRECT("'"&amp;$A49&amp;"'!$A$12:$Z$41"),MATCH("Points (Auto-generate)",INDIRECT("'"&amp;$A49&amp;"'!$A$12:$Z$12"),0),0)="","?",VLOOKUP(AG$1,INDIRECT("'"&amp;$A49&amp;"'!$A$12:$Z$41"),MATCH("Points (Auto-generate)",INDIRECT("'"&amp;$A49&amp;"'!$A$12:$Z$12"),0),0)),"ER"))</f>
        <v>?</v>
      </c>
      <c r="AH49" s="78" t="str">
        <f aca="true">IF($H49=0,"NA",IF($A49=INDIRECT("'"&amp;$A49&amp;"'!$B$1"),IF(VLOOKUP(AH$1,INDIRECT("'"&amp;$A49&amp;"'!$A$12:$Z$41"),MATCH("Points (Auto-generate)",INDIRECT("'"&amp;$A49&amp;"'!$A$12:$Z$12"),0),0)="","?",VLOOKUP(AH$1,INDIRECT("'"&amp;$A49&amp;"'!$A$12:$Z$41"),MATCH("Points (Auto-generate)",INDIRECT("'"&amp;$A49&amp;"'!$A$12:$Z$12"),0),0)),"ER"))</f>
        <v>?</v>
      </c>
      <c r="AI49" s="78" t="str">
        <f aca="true">IF($H49=0,"NA",IF($A49=INDIRECT("'"&amp;$A49&amp;"'!$B$1"),IF(VLOOKUP(AI$1,INDIRECT("'"&amp;$A49&amp;"'!$A$12:$Z$41"),MATCH("Points (Auto-generate)",INDIRECT("'"&amp;$A49&amp;"'!$A$12:$Z$12"),0),0)="","?",VLOOKUP(AI$1,INDIRECT("'"&amp;$A49&amp;"'!$A$12:$Z$41"),MATCH("Points (Auto-generate)",INDIRECT("'"&amp;$A49&amp;"'!$A$12:$Z$12"),0),0)),"ER"))</f>
        <v>?</v>
      </c>
      <c r="AJ49" s="78" t="str">
        <f aca="true">IF($H49=0,"NA",IF($A49=INDIRECT("'"&amp;$A49&amp;"'!$B$1"),IF(VLOOKUP(AJ$1,INDIRECT("'"&amp;$A49&amp;"'!$A$12:$Z$41"),MATCH("Points (Auto-generate)",INDIRECT("'"&amp;$A49&amp;"'!$A$12:$Z$12"),0),0)="","?",VLOOKUP(AJ$1,INDIRECT("'"&amp;$A49&amp;"'!$A$12:$Z$41"),MATCH("Points (Auto-generate)",INDIRECT("'"&amp;$A49&amp;"'!$A$12:$Z$12"),0),0)),"ER"))</f>
        <v>?</v>
      </c>
      <c r="AK49" s="78" t="str">
        <f aca="true">IF($H49=0,"NA",IF($A49=INDIRECT("'"&amp;$A49&amp;"'!$B$1"),IF(VLOOKUP(AK$1,INDIRECT("'"&amp;$A49&amp;"'!$A$12:$Z$41"),MATCH("Points (Auto-generate)",INDIRECT("'"&amp;$A49&amp;"'!$A$12:$Z$12"),0),0)="","?",VLOOKUP(AK$1,INDIRECT("'"&amp;$A49&amp;"'!$A$12:$Z$41"),MATCH("Points (Auto-generate)",INDIRECT("'"&amp;$A49&amp;"'!$A$12:$Z$12"),0),0)),"ER"))</f>
        <v>?</v>
      </c>
    </row>
    <row r="50" customFormat="false" ht="14.25" hidden="false" customHeight="true" outlineLevel="0" collapsed="false">
      <c r="A50" s="74" t="s">
        <v>247</v>
      </c>
      <c r="B50" s="75" t="str">
        <f aca="false">IF(ISBLANK($A50),"NO_CODE",VLOOKUP($A50,'UPD Questions_290926 '!$E$1:$N$300,MATCH(B$1,'UPD Questions_290926 '!$E$1:$N$1,0),0)&amp;"")</f>
        <v>Implementation</v>
      </c>
      <c r="C50" s="75" t="str">
        <f aca="false">IF(ISBLANK($A50),"NO_CODE",VLOOKUP($A50,'UPD Questions_290926 '!$E$1:$N$300,MATCH(C$1,'UPD Questions_290926 '!$E$1:$N$1,0),0)&amp;"")</f>
        <v>Municipal/City Plan status, hierarchy and coordination</v>
      </c>
      <c r="D50" s="75" t="str">
        <f aca="false">IF(ISBLANK($A50),"NO_CODE",VLOOKUP($A50,'UPD Questions_290926 '!$E$1:$N$300,MATCH(D$1,'UPD Questions_290926 '!$E$1:$N$1,0),0)&amp;"")</f>
        <v>Shared spatial information and data coordination</v>
      </c>
      <c r="E50" s="75" t="str">
        <f aca="false">IF(ISBLANK($A50),"NO_CODE",VLOOKUP($A50,'UPD Questions_290926 '!$E$1:$N$300,MATCH(E$1,'UPD Questions_290926 '!$E$1:$N$1,0),0)&amp;"")</f>
        <v>MQ</v>
      </c>
      <c r="F50" s="75" t="str">
        <f aca="false">IF(ISBLANK($A50),"NO_CODE",VLOOKUP($A50,'UPD Questions_290926 '!$E$1:$N$300,MATCH(F$1,'UPD Questions_290926 '!$E$1:$N$1,0),0)&amp;"")</f>
        <v>Is there a common digital base municipal/city plan Map shared among Planning Authorities, and data updated through GIS with fixed periodicity by the relevent sectoral agencies (transport, network infrastructure, land use changes)</v>
      </c>
      <c r="G50" s="75" t="str">
        <f aca="false">IF(ISBLANK($A50),"NO_CODE",VLOOKUP($A50,'UPD Questions_290926 '!$E$1:$N$300,MATCH(G$1,'UPD Questions_290926 '!$E$1:$N$1,0),0)&amp;"")</f>
        <v>Implementation</v>
      </c>
      <c r="H50" s="77" t="n">
        <f aca="false">IF(ISBLANK($A50),"NO_CODE",VLOOKUP($A50,'UPD Questions_290926 '!$E$1:$N$300,MATCH(H$1,'UPD Questions_290926 '!$E$1:$N$1,0),0))</f>
        <v>10</v>
      </c>
      <c r="I50" s="78" t="str">
        <f aca="true">IF($H50=0,"NA",IF($A50=INDIRECT("'"&amp;$A50&amp;"'!$B$1"),IF(VLOOKUP(I$1,INDIRECT("'"&amp;$A50&amp;"'!$A$12:$Z$41"),MATCH("Points (Auto-generate)",INDIRECT("'"&amp;$A50&amp;"'!$A$12:$Z$12"),0),0)="","?",VLOOKUP(I$1,INDIRECT("'"&amp;$A50&amp;"'!$A$12:$Z$41"),MATCH("Points (Auto-generate)",INDIRECT("'"&amp;$A50&amp;"'!$A$12:$Z$12"),0),0)),"ER"))</f>
        <v>?</v>
      </c>
      <c r="J50" s="78" t="n">
        <f aca="true">IF($H50=0,"NA",IF($A50=INDIRECT("'"&amp;$A50&amp;"'!$B$1"),IF(VLOOKUP(J$1,INDIRECT("'"&amp;$A50&amp;"'!$A$12:$Z$41"),MATCH("Points (Auto-generate)",INDIRECT("'"&amp;$A50&amp;"'!$A$12:$Z$12"),0),0)="","?",VLOOKUP(J$1,INDIRECT("'"&amp;$A50&amp;"'!$A$12:$Z$41"),MATCH("Points (Auto-generate)",INDIRECT("'"&amp;$A50&amp;"'!$A$12:$Z$12"),0),0)),"ER"))</f>
        <v>10</v>
      </c>
      <c r="K50" s="78" t="str">
        <f aca="true">IF($H50=0,"NA",IF($A50=INDIRECT("'"&amp;$A50&amp;"'!$B$1"),IF(VLOOKUP(K$1,INDIRECT("'"&amp;$A50&amp;"'!$A$12:$Z$41"),MATCH("Points (Auto-generate)",INDIRECT("'"&amp;$A50&amp;"'!$A$12:$Z$12"),0),0)="","?",VLOOKUP(K$1,INDIRECT("'"&amp;$A50&amp;"'!$A$12:$Z$41"),MATCH("Points (Auto-generate)",INDIRECT("'"&amp;$A50&amp;"'!$A$12:$Z$12"),0),0)),"ER"))</f>
        <v>?</v>
      </c>
      <c r="L50" s="78" t="str">
        <f aca="true">IF($H50=0,"NA",IF($A50=INDIRECT("'"&amp;$A50&amp;"'!$B$1"),IF(VLOOKUP(L$1,INDIRECT("'"&amp;$A50&amp;"'!$A$12:$Z$41"),MATCH("Points (Auto-generate)",INDIRECT("'"&amp;$A50&amp;"'!$A$12:$Z$12"),0),0)="","?",VLOOKUP(L$1,INDIRECT("'"&amp;$A50&amp;"'!$A$12:$Z$41"),MATCH("Points (Auto-generate)",INDIRECT("'"&amp;$A50&amp;"'!$A$12:$Z$12"),0),0)),"ER"))</f>
        <v>?</v>
      </c>
      <c r="M50" s="78" t="str">
        <f aca="true">IF($H50=0,"NA",IF($A50=INDIRECT("'"&amp;$A50&amp;"'!$B$1"),IF(VLOOKUP(M$1,INDIRECT("'"&amp;$A50&amp;"'!$A$12:$Z$41"),MATCH("Points (Auto-generate)",INDIRECT("'"&amp;$A50&amp;"'!$A$12:$Z$12"),0),0)="","?",VLOOKUP(M$1,INDIRECT("'"&amp;$A50&amp;"'!$A$12:$Z$41"),MATCH("Points (Auto-generate)",INDIRECT("'"&amp;$A50&amp;"'!$A$12:$Z$12"),0),0)),"ER"))</f>
        <v>?</v>
      </c>
      <c r="N50" s="78" t="str">
        <f aca="true">IF($H50=0,"NA",IF($A50=INDIRECT("'"&amp;$A50&amp;"'!$B$1"),IF(VLOOKUP(N$1,INDIRECT("'"&amp;$A50&amp;"'!$A$12:$Z$41"),MATCH("Points (Auto-generate)",INDIRECT("'"&amp;$A50&amp;"'!$A$12:$Z$12"),0),0)="","?",VLOOKUP(N$1,INDIRECT("'"&amp;$A50&amp;"'!$A$12:$Z$41"),MATCH("Points (Auto-generate)",INDIRECT("'"&amp;$A50&amp;"'!$A$12:$Z$12"),0),0)),"ER"))</f>
        <v>?</v>
      </c>
      <c r="O50" s="78" t="str">
        <f aca="true">IF($H50=0,"NA",IF($A50=INDIRECT("'"&amp;$A50&amp;"'!$B$1"),IF(VLOOKUP(O$1,INDIRECT("'"&amp;$A50&amp;"'!$A$12:$Z$41"),MATCH("Points (Auto-generate)",INDIRECT("'"&amp;$A50&amp;"'!$A$12:$Z$12"),0),0)="","?",VLOOKUP(O$1,INDIRECT("'"&amp;$A50&amp;"'!$A$12:$Z$41"),MATCH("Points (Auto-generate)",INDIRECT("'"&amp;$A50&amp;"'!$A$12:$Z$12"),0),0)),"ER"))</f>
        <v>?</v>
      </c>
      <c r="P50" s="78" t="str">
        <f aca="true">IF($H50=0,"NA",IF($A50=INDIRECT("'"&amp;$A50&amp;"'!$B$1"),IF(VLOOKUP(P$1,INDIRECT("'"&amp;$A50&amp;"'!$A$12:$Z$41"),MATCH("Points (Auto-generate)",INDIRECT("'"&amp;$A50&amp;"'!$A$12:$Z$12"),0),0)="","?",VLOOKUP(P$1,INDIRECT("'"&amp;$A50&amp;"'!$A$12:$Z$41"),MATCH("Points (Auto-generate)",INDIRECT("'"&amp;$A50&amp;"'!$A$12:$Z$12"),0),0)),"ER"))</f>
        <v>?</v>
      </c>
      <c r="Q50" s="78" t="str">
        <f aca="true">IF($H50=0,"NA",IF($A50=INDIRECT("'"&amp;$A50&amp;"'!$B$1"),IF(VLOOKUP(Q$1,INDIRECT("'"&amp;$A50&amp;"'!$A$12:$Z$41"),MATCH("Points (Auto-generate)",INDIRECT("'"&amp;$A50&amp;"'!$A$12:$Z$12"),0),0)="","?",VLOOKUP(Q$1,INDIRECT("'"&amp;$A50&amp;"'!$A$12:$Z$41"),MATCH("Points (Auto-generate)",INDIRECT("'"&amp;$A50&amp;"'!$A$12:$Z$12"),0),0)),"ER"))</f>
        <v>?</v>
      </c>
      <c r="R50" s="78" t="str">
        <f aca="true">IF($H50=0,"NA",IF($A50=INDIRECT("'"&amp;$A50&amp;"'!$B$1"),IF(VLOOKUP(R$1,INDIRECT("'"&amp;$A50&amp;"'!$A$12:$Z$41"),MATCH("Points (Auto-generate)",INDIRECT("'"&amp;$A50&amp;"'!$A$12:$Z$12"),0),0)="","?",VLOOKUP(R$1,INDIRECT("'"&amp;$A50&amp;"'!$A$12:$Z$41"),MATCH("Points (Auto-generate)",INDIRECT("'"&amp;$A50&amp;"'!$A$12:$Z$12"),0),0)),"ER"))</f>
        <v>?</v>
      </c>
      <c r="S50" s="78" t="str">
        <f aca="true">IF($H50=0,"NA",IF($A50=INDIRECT("'"&amp;$A50&amp;"'!$B$1"),IF(VLOOKUP(S$1,INDIRECT("'"&amp;$A50&amp;"'!$A$12:$Z$41"),MATCH("Points (Auto-generate)",INDIRECT("'"&amp;$A50&amp;"'!$A$12:$Z$12"),0),0)="","?",VLOOKUP(S$1,INDIRECT("'"&amp;$A50&amp;"'!$A$12:$Z$41"),MATCH("Points (Auto-generate)",INDIRECT("'"&amp;$A50&amp;"'!$A$12:$Z$12"),0),0)),"ER"))</f>
        <v>?</v>
      </c>
      <c r="T50" s="78" t="str">
        <f aca="true">IF($H50=0,"NA",IF($A50=INDIRECT("'"&amp;$A50&amp;"'!$B$1"),IF(VLOOKUP(T$1,INDIRECT("'"&amp;$A50&amp;"'!$A$12:$Z$41"),MATCH("Points (Auto-generate)",INDIRECT("'"&amp;$A50&amp;"'!$A$12:$Z$12"),0),0)="","?",VLOOKUP(T$1,INDIRECT("'"&amp;$A50&amp;"'!$A$12:$Z$41"),MATCH("Points (Auto-generate)",INDIRECT("'"&amp;$A50&amp;"'!$A$12:$Z$12"),0),0)),"ER"))</f>
        <v>?</v>
      </c>
      <c r="U50" s="78" t="str">
        <f aca="true">IF($H50=0,"NA",IF($A50=INDIRECT("'"&amp;$A50&amp;"'!$B$1"),IF(VLOOKUP(U$1,INDIRECT("'"&amp;$A50&amp;"'!$A$12:$Z$41"),MATCH("Points (Auto-generate)",INDIRECT("'"&amp;$A50&amp;"'!$A$12:$Z$12"),0),0)="","?",VLOOKUP(U$1,INDIRECT("'"&amp;$A50&amp;"'!$A$12:$Z$41"),MATCH("Points (Auto-generate)",INDIRECT("'"&amp;$A50&amp;"'!$A$12:$Z$12"),0),0)),"ER"))</f>
        <v>?</v>
      </c>
      <c r="V50" s="78" t="str">
        <f aca="true">IF($H50=0,"NA",IF($A50=INDIRECT("'"&amp;$A50&amp;"'!$B$1"),IF(VLOOKUP(V$1,INDIRECT("'"&amp;$A50&amp;"'!$A$12:$Z$41"),MATCH("Points (Auto-generate)",INDIRECT("'"&amp;$A50&amp;"'!$A$12:$Z$12"),0),0)="","?",VLOOKUP(V$1,INDIRECT("'"&amp;$A50&amp;"'!$A$12:$Z$41"),MATCH("Points (Auto-generate)",INDIRECT("'"&amp;$A50&amp;"'!$A$12:$Z$12"),0),0)),"ER"))</f>
        <v>?</v>
      </c>
      <c r="W50" s="78" t="str">
        <f aca="true">IF($H50=0,"NA",IF($A50=INDIRECT("'"&amp;$A50&amp;"'!$B$1"),IF(VLOOKUP(W$1,INDIRECT("'"&amp;$A50&amp;"'!$A$12:$Z$41"),MATCH("Points (Auto-generate)",INDIRECT("'"&amp;$A50&amp;"'!$A$12:$Z$12"),0),0)="","?",VLOOKUP(W$1,INDIRECT("'"&amp;$A50&amp;"'!$A$12:$Z$41"),MATCH("Points (Auto-generate)",INDIRECT("'"&amp;$A50&amp;"'!$A$12:$Z$12"),0),0)),"ER"))</f>
        <v>?</v>
      </c>
      <c r="X50" s="78" t="str">
        <f aca="true">IF($H50=0,"NA",IF($A50=INDIRECT("'"&amp;$A50&amp;"'!$B$1"),IF(VLOOKUP(X$1,INDIRECT("'"&amp;$A50&amp;"'!$A$12:$Z$41"),MATCH("Points (Auto-generate)",INDIRECT("'"&amp;$A50&amp;"'!$A$12:$Z$12"),0),0)="","?",VLOOKUP(X$1,INDIRECT("'"&amp;$A50&amp;"'!$A$12:$Z$41"),MATCH("Points (Auto-generate)",INDIRECT("'"&amp;$A50&amp;"'!$A$12:$Z$12"),0),0)),"ER"))</f>
        <v>?</v>
      </c>
      <c r="Y50" s="78" t="str">
        <f aca="true">IF($H50=0,"NA",IF($A50=INDIRECT("'"&amp;$A50&amp;"'!$B$1"),IF(VLOOKUP(Y$1,INDIRECT("'"&amp;$A50&amp;"'!$A$12:$Z$41"),MATCH("Points (Auto-generate)",INDIRECT("'"&amp;$A50&amp;"'!$A$12:$Z$12"),0),0)="","?",VLOOKUP(Y$1,INDIRECT("'"&amp;$A50&amp;"'!$A$12:$Z$41"),MATCH("Points (Auto-generate)",INDIRECT("'"&amp;$A50&amp;"'!$A$12:$Z$12"),0),0)),"ER"))</f>
        <v>?</v>
      </c>
      <c r="Z50" s="78" t="str">
        <f aca="true">IF($H50=0,"NA",IF($A50=INDIRECT("'"&amp;$A50&amp;"'!$B$1"),IF(VLOOKUP(Z$1,INDIRECT("'"&amp;$A50&amp;"'!$A$12:$Z$41"),MATCH("Points (Auto-generate)",INDIRECT("'"&amp;$A50&amp;"'!$A$12:$Z$12"),0),0)="","?",VLOOKUP(Z$1,INDIRECT("'"&amp;$A50&amp;"'!$A$12:$Z$41"),MATCH("Points (Auto-generate)",INDIRECT("'"&amp;$A50&amp;"'!$A$12:$Z$12"),0),0)),"ER"))</f>
        <v>?</v>
      </c>
      <c r="AA50" s="78" t="str">
        <f aca="true">IF($H50=0,"NA",IF($A50=INDIRECT("'"&amp;$A50&amp;"'!$B$1"),IF(VLOOKUP(AA$1,INDIRECT("'"&amp;$A50&amp;"'!$A$12:$Z$41"),MATCH("Points (Auto-generate)",INDIRECT("'"&amp;$A50&amp;"'!$A$12:$Z$12"),0),0)="","?",VLOOKUP(AA$1,INDIRECT("'"&amp;$A50&amp;"'!$A$12:$Z$41"),MATCH("Points (Auto-generate)",INDIRECT("'"&amp;$A50&amp;"'!$A$12:$Z$12"),0),0)),"ER"))</f>
        <v>?</v>
      </c>
      <c r="AB50" s="78" t="str">
        <f aca="true">IF($H50=0,"NA",IF($A50=INDIRECT("'"&amp;$A50&amp;"'!$B$1"),IF(VLOOKUP(AB$1,INDIRECT("'"&amp;$A50&amp;"'!$A$12:$Z$41"),MATCH("Points (Auto-generate)",INDIRECT("'"&amp;$A50&amp;"'!$A$12:$Z$12"),0),0)="","?",VLOOKUP(AB$1,INDIRECT("'"&amp;$A50&amp;"'!$A$12:$Z$41"),MATCH("Points (Auto-generate)",INDIRECT("'"&amp;$A50&amp;"'!$A$12:$Z$12"),0),0)),"ER"))</f>
        <v>?</v>
      </c>
      <c r="AC50" s="78" t="str">
        <f aca="true">IF($H50=0,"NA",IF($A50=INDIRECT("'"&amp;$A50&amp;"'!$B$1"),IF(VLOOKUP(AC$1,INDIRECT("'"&amp;$A50&amp;"'!$A$12:$Z$41"),MATCH("Points (Auto-generate)",INDIRECT("'"&amp;$A50&amp;"'!$A$12:$Z$12"),0),0)="","?",VLOOKUP(AC$1,INDIRECT("'"&amp;$A50&amp;"'!$A$12:$Z$41"),MATCH("Points (Auto-generate)",INDIRECT("'"&amp;$A50&amp;"'!$A$12:$Z$12"),0),0)),"ER"))</f>
        <v>?</v>
      </c>
      <c r="AD50" s="78" t="str">
        <f aca="true">IF($H50=0,"NA",IF($A50=INDIRECT("'"&amp;$A50&amp;"'!$B$1"),IF(VLOOKUP(AD$1,INDIRECT("'"&amp;$A50&amp;"'!$A$12:$Z$41"),MATCH("Points (Auto-generate)",INDIRECT("'"&amp;$A50&amp;"'!$A$12:$Z$12"),0),0)="","?",VLOOKUP(AD$1,INDIRECT("'"&amp;$A50&amp;"'!$A$12:$Z$41"),MATCH("Points (Auto-generate)",INDIRECT("'"&amp;$A50&amp;"'!$A$12:$Z$12"),0),0)),"ER"))</f>
        <v>?</v>
      </c>
      <c r="AE50" s="78" t="str">
        <f aca="true">IF($H50=0,"NA",IF($A50=INDIRECT("'"&amp;$A50&amp;"'!$B$1"),IF(VLOOKUP(AE$1,INDIRECT("'"&amp;$A50&amp;"'!$A$12:$Z$41"),MATCH("Points (Auto-generate)",INDIRECT("'"&amp;$A50&amp;"'!$A$12:$Z$12"),0),0)="","?",VLOOKUP(AE$1,INDIRECT("'"&amp;$A50&amp;"'!$A$12:$Z$41"),MATCH("Points (Auto-generate)",INDIRECT("'"&amp;$A50&amp;"'!$A$12:$Z$12"),0),0)),"ER"))</f>
        <v>?</v>
      </c>
      <c r="AF50" s="78" t="str">
        <f aca="true">IF($H50=0,"NA",IF($A50=INDIRECT("'"&amp;$A50&amp;"'!$B$1"),IF(VLOOKUP(AF$1,INDIRECT("'"&amp;$A50&amp;"'!$A$12:$Z$41"),MATCH("Points (Auto-generate)",INDIRECT("'"&amp;$A50&amp;"'!$A$12:$Z$12"),0),0)="","?",VLOOKUP(AF$1,INDIRECT("'"&amp;$A50&amp;"'!$A$12:$Z$41"),MATCH("Points (Auto-generate)",INDIRECT("'"&amp;$A50&amp;"'!$A$12:$Z$12"),0),0)),"ER"))</f>
        <v>?</v>
      </c>
      <c r="AG50" s="78" t="str">
        <f aca="true">IF($H50=0,"NA",IF($A50=INDIRECT("'"&amp;$A50&amp;"'!$B$1"),IF(VLOOKUP(AG$1,INDIRECT("'"&amp;$A50&amp;"'!$A$12:$Z$41"),MATCH("Points (Auto-generate)",INDIRECT("'"&amp;$A50&amp;"'!$A$12:$Z$12"),0),0)="","?",VLOOKUP(AG$1,INDIRECT("'"&amp;$A50&amp;"'!$A$12:$Z$41"),MATCH("Points (Auto-generate)",INDIRECT("'"&amp;$A50&amp;"'!$A$12:$Z$12"),0),0)),"ER"))</f>
        <v>?</v>
      </c>
      <c r="AH50" s="78" t="str">
        <f aca="true">IF($H50=0,"NA",IF($A50=INDIRECT("'"&amp;$A50&amp;"'!$B$1"),IF(VLOOKUP(AH$1,INDIRECT("'"&amp;$A50&amp;"'!$A$12:$Z$41"),MATCH("Points (Auto-generate)",INDIRECT("'"&amp;$A50&amp;"'!$A$12:$Z$12"),0),0)="","?",VLOOKUP(AH$1,INDIRECT("'"&amp;$A50&amp;"'!$A$12:$Z$41"),MATCH("Points (Auto-generate)",INDIRECT("'"&amp;$A50&amp;"'!$A$12:$Z$12"),0),0)),"ER"))</f>
        <v>?</v>
      </c>
      <c r="AI50" s="78" t="str">
        <f aca="true">IF($H50=0,"NA",IF($A50=INDIRECT("'"&amp;$A50&amp;"'!$B$1"),IF(VLOOKUP(AI$1,INDIRECT("'"&amp;$A50&amp;"'!$A$12:$Z$41"),MATCH("Points (Auto-generate)",INDIRECT("'"&amp;$A50&amp;"'!$A$12:$Z$12"),0),0)="","?",VLOOKUP(AI$1,INDIRECT("'"&amp;$A50&amp;"'!$A$12:$Z$41"),MATCH("Points (Auto-generate)",INDIRECT("'"&amp;$A50&amp;"'!$A$12:$Z$12"),0),0)),"ER"))</f>
        <v>?</v>
      </c>
      <c r="AJ50" s="78" t="str">
        <f aca="true">IF($H50=0,"NA",IF($A50=INDIRECT("'"&amp;$A50&amp;"'!$B$1"),IF(VLOOKUP(AJ$1,INDIRECT("'"&amp;$A50&amp;"'!$A$12:$Z$41"),MATCH("Points (Auto-generate)",INDIRECT("'"&amp;$A50&amp;"'!$A$12:$Z$12"),0),0)="","?",VLOOKUP(AJ$1,INDIRECT("'"&amp;$A50&amp;"'!$A$12:$Z$41"),MATCH("Points (Auto-generate)",INDIRECT("'"&amp;$A50&amp;"'!$A$12:$Z$12"),0),0)),"ER"))</f>
        <v>?</v>
      </c>
      <c r="AK50" s="78" t="str">
        <f aca="true">IF($H50=0,"NA",IF($A50=INDIRECT("'"&amp;$A50&amp;"'!$B$1"),IF(VLOOKUP(AK$1,INDIRECT("'"&amp;$A50&amp;"'!$A$12:$Z$41"),MATCH("Points (Auto-generate)",INDIRECT("'"&amp;$A50&amp;"'!$A$12:$Z$12"),0),0)="","?",VLOOKUP(AK$1,INDIRECT("'"&amp;$A50&amp;"'!$A$12:$Z$41"),MATCH("Points (Auto-generate)",INDIRECT("'"&amp;$A50&amp;"'!$A$12:$Z$12"),0),0)),"ER"))</f>
        <v>?</v>
      </c>
    </row>
    <row r="51" customFormat="false" ht="14.25" hidden="false" customHeight="true" outlineLevel="0" collapsed="false">
      <c r="A51" s="74" t="s">
        <v>252</v>
      </c>
      <c r="B51" s="75" t="str">
        <f aca="false">IF(ISBLANK($A51),"NO_CODE",VLOOKUP($A51,'UPD Questions_290926 '!$E$1:$N$300,MATCH(B$1,'UPD Questions_290926 '!$E$1:$N$1,0),0)&amp;"")</f>
        <v>Implementation</v>
      </c>
      <c r="C51" s="75" t="str">
        <f aca="false">IF(ISBLANK($A51),"NO_CODE",VLOOKUP($A51,'UPD Questions_290926 '!$E$1:$N$300,MATCH(C$1,'UPD Questions_290926 '!$E$1:$N$1,0),0)&amp;"")</f>
        <v>Sectoral planning</v>
      </c>
      <c r="D51" s="75" t="str">
        <f aca="false">IF(ISBLANK($A51),"NO_CODE",VLOOKUP($A51,'UPD Questions_290926 '!$E$1:$N$300,MATCH(D$1,'UPD Questions_290926 '!$E$1:$N$1,0),0)&amp;"")</f>
        <v>Water supply and sewerage, sanitation, solid waste management </v>
      </c>
      <c r="E51" s="75" t="str">
        <f aca="false">IF(ISBLANK($A51),"NO_CODE",VLOOKUP($A51,'UPD Questions_290926 '!$E$1:$N$300,MATCH(E$1,'UPD Questions_290926 '!$E$1:$N$1,0),0)&amp;"")</f>
        <v>MQ</v>
      </c>
      <c r="F51" s="75" t="str">
        <f aca="false">IF(ISBLANK($A51),"NO_CODE",VLOOKUP($A51,'UPD Questions_290926 '!$E$1:$N$300,MATCH(F$1,'UPD Questions_290926 '!$E$1:$N$1,0),0)&amp;"")</f>
        <v>Does the city have a Water Supply and Sewerage Plan, City Sanitation Plan, and Solid Waste Management Plan  that clearly articulates development priorities, measurable objectives, and the roles and responsibilities of the ULG?</v>
      </c>
      <c r="G51" s="75" t="str">
        <f aca="false">IF(ISBLANK($A51),"NO_CODE",VLOOKUP($A51,'UPD Questions_290926 '!$E$1:$N$300,MATCH(G$1,'UPD Questions_290926 '!$E$1:$N$1,0),0)&amp;"")</f>
        <v>Implementation</v>
      </c>
      <c r="H51" s="77" t="n">
        <f aca="false">IF(ISBLANK($A51),"NO_CODE",VLOOKUP($A51,'UPD Questions_290926 '!$E$1:$N$300,MATCH(H$1,'UPD Questions_290926 '!$E$1:$N$1,0),0))</f>
        <v>10</v>
      </c>
      <c r="I51" s="78" t="str">
        <f aca="false">IF(OR(I52="ER",I56="ER",I60="ER"),"ER",IF(OR(I52="?",I56="?",I60="?"),"?",IF(AND(I52="NA",I56="NA",I60="NA"),"NA",SUM(I52,I56,I60)/((I52&lt;&gt;"NA")*$H$52+(I56&lt;&gt;"NA")*$H$56+(I60&lt;&gt;"NA")*$H$60)*$H51)))</f>
        <v>?</v>
      </c>
      <c r="J51" s="78" t="n">
        <f aca="false">IF(OR(J52="ER",J56="ER",J60="ER"),"ER",IF(OR(J52="?",J56="?",J60="?"),"?",IF(AND(J52="NA",J56="NA",J60="NA"),"NA",SUM(J52,J56,J60)/((J52&lt;&gt;"NA")*$H$52+(J56&lt;&gt;"NA")*$H$56+(J60&lt;&gt;"NA")*$H$60)*$H51)))</f>
        <v>2.22222222222222</v>
      </c>
      <c r="K51" s="78" t="str">
        <f aca="false">IF(OR(K52="ER",K56="ER",K60="ER"),"ER",IF(OR(K52="?",K56="?",K60="?"),"?",IF(AND(K52="NA",K56="NA",K60="NA"),"NA",SUM(K52,K56,K60)/((K52&lt;&gt;"NA")*$H$52+(K56&lt;&gt;"NA")*$H$56+(K60&lt;&gt;"NA")*$H$60)*$H51)))</f>
        <v>?</v>
      </c>
      <c r="L51" s="78" t="str">
        <f aca="false">IF(OR(L52="ER",L56="ER",L60="ER"),"ER",IF(OR(L52="?",L56="?",L60="?"),"?",IF(AND(L52="NA",L56="NA",L60="NA"),"NA",SUM(L52,L56,L60)/((L52&lt;&gt;"NA")*$H$52+(L56&lt;&gt;"NA")*$H$56+(L60&lt;&gt;"NA")*$H$60)*$H51)))</f>
        <v>?</v>
      </c>
      <c r="M51" s="78" t="str">
        <f aca="false">IF(OR(M52="ER",M56="ER",M60="ER"),"ER",IF(OR(M52="?",M56="?",M60="?"),"?",IF(AND(M52="NA",M56="NA",M60="NA"),"NA",SUM(M52,M56,M60)/((M52&lt;&gt;"NA")*$H$52+(M56&lt;&gt;"NA")*$H$56+(M60&lt;&gt;"NA")*$H$60)*$H51)))</f>
        <v>?</v>
      </c>
      <c r="N51" s="78" t="str">
        <f aca="false">IF(OR(N52="ER",N56="ER",N60="ER"),"ER",IF(OR(N52="?",N56="?",N60="?"),"?",IF(AND(N52="NA",N56="NA",N60="NA"),"NA",SUM(N52,N56,N60)/((N52&lt;&gt;"NA")*$H$52+(N56&lt;&gt;"NA")*$H$56+(N60&lt;&gt;"NA")*$H$60)*$H51)))</f>
        <v>?</v>
      </c>
      <c r="O51" s="78" t="str">
        <f aca="false">IF(OR(O52="ER",O56="ER",O60="ER"),"ER",IF(OR(O52="?",O56="?",O60="?"),"?",IF(AND(O52="NA",O56="NA",O60="NA"),"NA",SUM(O52,O56,O60)/((O52&lt;&gt;"NA")*$H$52+(O56&lt;&gt;"NA")*$H$56+(O60&lt;&gt;"NA")*$H$60)*$H51)))</f>
        <v>?</v>
      </c>
      <c r="P51" s="78" t="str">
        <f aca="false">IF(OR(P52="ER",P56="ER",P60="ER"),"ER",IF(OR(P52="?",P56="?",P60="?"),"?",IF(AND(P52="NA",P56="NA",P60="NA"),"NA",SUM(P52,P56,P60)/((P52&lt;&gt;"NA")*$H$52+(P56&lt;&gt;"NA")*$H$56+(P60&lt;&gt;"NA")*$H$60)*$H51)))</f>
        <v>?</v>
      </c>
      <c r="Q51" s="78" t="str">
        <f aca="false">IF(OR(Q52="ER",Q56="ER",Q60="ER"),"ER",IF(OR(Q52="?",Q56="?",Q60="?"),"?",IF(AND(Q52="NA",Q56="NA",Q60="NA"),"NA",SUM(Q52,Q56,Q60)/((Q52&lt;&gt;"NA")*$H$52+(Q56&lt;&gt;"NA")*$H$56+(Q60&lt;&gt;"NA")*$H$60)*$H51)))</f>
        <v>?</v>
      </c>
      <c r="R51" s="78" t="str">
        <f aca="false">IF(OR(R52="ER",R56="ER",R60="ER"),"ER",IF(OR(R52="?",R56="?",R60="?"),"?",IF(AND(R52="NA",R56="NA",R60="NA"),"NA",SUM(R52,R56,R60)/((R52&lt;&gt;"NA")*$H$52+(R56&lt;&gt;"NA")*$H$56+(R60&lt;&gt;"NA")*$H$60)*$H51)))</f>
        <v>?</v>
      </c>
      <c r="S51" s="78" t="str">
        <f aca="false">IF(OR(S52="ER",S56="ER",S60="ER"),"ER",IF(OR(S52="?",S56="?",S60="?"),"?",IF(AND(S52="NA",S56="NA",S60="NA"),"NA",SUM(S52,S56,S60)/((S52&lt;&gt;"NA")*$H$52+(S56&lt;&gt;"NA")*$H$56+(S60&lt;&gt;"NA")*$H$60)*$H51)))</f>
        <v>?</v>
      </c>
      <c r="T51" s="78" t="str">
        <f aca="false">IF(OR(T52="ER",T56="ER",T60="ER"),"ER",IF(OR(T52="?",T56="?",T60="?"),"?",IF(AND(T52="NA",T56="NA",T60="NA"),"NA",SUM(T52,T56,T60)/((T52&lt;&gt;"NA")*$H$52+(T56&lt;&gt;"NA")*$H$56+(T60&lt;&gt;"NA")*$H$60)*$H51)))</f>
        <v>?</v>
      </c>
      <c r="U51" s="78" t="str">
        <f aca="false">IF(OR(U52="ER",U56="ER",U60="ER"),"ER",IF(OR(U52="?",U56="?",U60="?"),"?",IF(AND(U52="NA",U56="NA",U60="NA"),"NA",SUM(U52,U56,U60)/((U52&lt;&gt;"NA")*$H$52+(U56&lt;&gt;"NA")*$H$56+(U60&lt;&gt;"NA")*$H$60)*$H51)))</f>
        <v>?</v>
      </c>
      <c r="V51" s="78" t="str">
        <f aca="false">IF(OR(V52="ER",V56="ER",V60="ER"),"ER",IF(OR(V52="?",V56="?",V60="?"),"?",IF(AND(V52="NA",V56="NA",V60="NA"),"NA",SUM(V52,V56,V60)/((V52&lt;&gt;"NA")*$H$52+(V56&lt;&gt;"NA")*$H$56+(V60&lt;&gt;"NA")*$H$60)*$H51)))</f>
        <v>?</v>
      </c>
      <c r="W51" s="78" t="str">
        <f aca="false">IF(OR(W52="ER",W56="ER",W60="ER"),"ER",IF(OR(W52="?",W56="?",W60="?"),"?",IF(AND(W52="NA",W56="NA",W60="NA"),"NA",SUM(W52,W56,W60)/((W52&lt;&gt;"NA")*$H$52+(W56&lt;&gt;"NA")*$H$56+(W60&lt;&gt;"NA")*$H$60)*$H51)))</f>
        <v>?</v>
      </c>
      <c r="X51" s="78" t="str">
        <f aca="false">IF(OR(X52="ER",X56="ER",X60="ER"),"ER",IF(OR(X52="?",X56="?",X60="?"),"?",IF(AND(X52="NA",X56="NA",X60="NA"),"NA",SUM(X52,X56,X60)/((X52&lt;&gt;"NA")*$H$52+(X56&lt;&gt;"NA")*$H$56+(X60&lt;&gt;"NA")*$H$60)*$H51)))</f>
        <v>?</v>
      </c>
      <c r="Y51" s="78" t="str">
        <f aca="false">IF(OR(Y52="ER",Y56="ER",Y60="ER"),"ER",IF(OR(Y52="?",Y56="?",Y60="?"),"?",IF(AND(Y52="NA",Y56="NA",Y60="NA"),"NA",SUM(Y52,Y56,Y60)/((Y52&lt;&gt;"NA")*$H$52+(Y56&lt;&gt;"NA")*$H$56+(Y60&lt;&gt;"NA")*$H$60)*$H51)))</f>
        <v>?</v>
      </c>
      <c r="Z51" s="78" t="str">
        <f aca="false">IF(OR(Z52="ER",Z56="ER",Z60="ER"),"ER",IF(OR(Z52="?",Z56="?",Z60="?"),"?",IF(AND(Z52="NA",Z56="NA",Z60="NA"),"NA",SUM(Z52,Z56,Z60)/((Z52&lt;&gt;"NA")*$H$52+(Z56&lt;&gt;"NA")*$H$56+(Z60&lt;&gt;"NA")*$H$60)*$H51)))</f>
        <v>?</v>
      </c>
      <c r="AA51" s="78" t="str">
        <f aca="false">IF(OR(AA52="ER",AA56="ER",AA60="ER"),"ER",IF(OR(AA52="?",AA56="?",AA60="?"),"?",IF(AND(AA52="NA",AA56="NA",AA60="NA"),"NA",SUM(AA52,AA56,AA60)/((AA52&lt;&gt;"NA")*$H$52+(AA56&lt;&gt;"NA")*$H$56+(AA60&lt;&gt;"NA")*$H$60)*$H51)))</f>
        <v>?</v>
      </c>
      <c r="AB51" s="78" t="str">
        <f aca="false">IF(OR(AB52="ER",AB56="ER",AB60="ER"),"ER",IF(OR(AB52="?",AB56="?",AB60="?"),"?",IF(AND(AB52="NA",AB56="NA",AB60="NA"),"NA",SUM(AB52,AB56,AB60)/((AB52&lt;&gt;"NA")*$H$52+(AB56&lt;&gt;"NA")*$H$56+(AB60&lt;&gt;"NA")*$H$60)*$H51)))</f>
        <v>?</v>
      </c>
      <c r="AC51" s="78" t="str">
        <f aca="false">IF(OR(AC52="ER",AC56="ER",AC60="ER"),"ER",IF(OR(AC52="?",AC56="?",AC60="?"),"?",IF(AND(AC52="NA",AC56="NA",AC60="NA"),"NA",SUM(AC52,AC56,AC60)/((AC52&lt;&gt;"NA")*$H$52+(AC56&lt;&gt;"NA")*$H$56+(AC60&lt;&gt;"NA")*$H$60)*$H51)))</f>
        <v>?</v>
      </c>
      <c r="AD51" s="78" t="str">
        <f aca="false">IF(OR(AD52="ER",AD56="ER",AD60="ER"),"ER",IF(OR(AD52="?",AD56="?",AD60="?"),"?",IF(AND(AD52="NA",AD56="NA",AD60="NA"),"NA",SUM(AD52,AD56,AD60)/((AD52&lt;&gt;"NA")*$H$52+(AD56&lt;&gt;"NA")*$H$56+(AD60&lt;&gt;"NA")*$H$60)*$H51)))</f>
        <v>?</v>
      </c>
      <c r="AE51" s="78" t="str">
        <f aca="false">IF(OR(AE52="ER",AE56="ER",AE60="ER"),"ER",IF(OR(AE52="?",AE56="?",AE60="?"),"?",IF(AND(AE52="NA",AE56="NA",AE60="NA"),"NA",SUM(AE52,AE56,AE60)/((AE52&lt;&gt;"NA")*$H$52+(AE56&lt;&gt;"NA")*$H$56+(AE60&lt;&gt;"NA")*$H$60)*$H51)))</f>
        <v>?</v>
      </c>
      <c r="AF51" s="78" t="str">
        <f aca="false">IF(OR(AF52="ER",AF56="ER",AF60="ER"),"ER",IF(OR(AF52="?",AF56="?",AF60="?"),"?",IF(AND(AF52="NA",AF56="NA",AF60="NA"),"NA",SUM(AF52,AF56,AF60)/((AF52&lt;&gt;"NA")*$H$52+(AF56&lt;&gt;"NA")*$H$56+(AF60&lt;&gt;"NA")*$H$60)*$H51)))</f>
        <v>?</v>
      </c>
      <c r="AG51" s="78" t="str">
        <f aca="false">IF(OR(AG52="ER",AG56="ER",AG60="ER"),"ER",IF(OR(AG52="?",AG56="?",AG60="?"),"?",IF(AND(AG52="NA",AG56="NA",AG60="NA"),"NA",SUM(AG52,AG56,AG60)/((AG52&lt;&gt;"NA")*$H$52+(AG56&lt;&gt;"NA")*$H$56+(AG60&lt;&gt;"NA")*$H$60)*$H51)))</f>
        <v>?</v>
      </c>
      <c r="AH51" s="78" t="str">
        <f aca="false">IF(OR(AH52="ER",AH56="ER",AH60="ER"),"ER",IF(OR(AH52="?",AH56="?",AH60="?"),"?",IF(AND(AH52="NA",AH56="NA",AH60="NA"),"NA",SUM(AH52,AH56,AH60)/((AH52&lt;&gt;"NA")*$H$52+(AH56&lt;&gt;"NA")*$H$56+(AH60&lt;&gt;"NA")*$H$60)*$H51)))</f>
        <v>?</v>
      </c>
      <c r="AI51" s="78" t="str">
        <f aca="false">IF(OR(AI52="ER",AI56="ER",AI60="ER"),"ER",IF(OR(AI52="?",AI56="?",AI60="?"),"?",IF(AND(AI52="NA",AI56="NA",AI60="NA"),"NA",SUM(AI52,AI56,AI60)/((AI52&lt;&gt;"NA")*$H$52+(AI56&lt;&gt;"NA")*$H$56+(AI60&lt;&gt;"NA")*$H$60)*$H51)))</f>
        <v>?</v>
      </c>
      <c r="AJ51" s="78" t="str">
        <f aca="false">IF(OR(AJ52="ER",AJ56="ER",AJ60="ER"),"ER",IF(OR(AJ52="?",AJ56="?",AJ60="?"),"?",IF(AND(AJ52="NA",AJ56="NA",AJ60="NA"),"NA",SUM(AJ52,AJ56,AJ60)/((AJ52&lt;&gt;"NA")*$H$52+(AJ56&lt;&gt;"NA")*$H$56+(AJ60&lt;&gt;"NA")*$H$60)*$H51)))</f>
        <v>?</v>
      </c>
      <c r="AK51" s="78" t="str">
        <f aca="false">IF(OR(AK52="ER",AK56="ER",AK60="ER"),"ER",IF(OR(AK52="?",AK56="?",AK60="?"),"?",IF(AND(AK52="NA",AK56="NA",AK60="NA"),"NA",SUM(AK52,AK56,AK60)/((AK52&lt;&gt;"NA")*$H$52+(AK56&lt;&gt;"NA")*$H$56+(AK60&lt;&gt;"NA")*$H$60)*$H51)))</f>
        <v>?</v>
      </c>
    </row>
    <row r="52" customFormat="false" ht="14.25" hidden="false" customHeight="true" outlineLevel="0" collapsed="false">
      <c r="A52" s="74" t="s">
        <v>258</v>
      </c>
      <c r="B52" s="75" t="str">
        <f aca="false">IF(ISBLANK($A52),"NO_CODE",VLOOKUP($A52,'UPD Questions_290926 '!$E$1:$N$300,MATCH(B$1,'UPD Questions_290926 '!$E$1:$N$1,0),0)&amp;"")</f>
        <v>Implementation</v>
      </c>
      <c r="C52" s="75" t="str">
        <f aca="false">IF(ISBLANK($A52),"NO_CODE",VLOOKUP($A52,'UPD Questions_290926 '!$E$1:$N$300,MATCH(C$1,'UPD Questions_290926 '!$E$1:$N$1,0),0)&amp;"")</f>
        <v>Sectoral planning</v>
      </c>
      <c r="D52" s="75" t="str">
        <f aca="false">IF(ISBLANK($A52),"NO_CODE",VLOOKUP($A52,'UPD Questions_290926 '!$E$1:$N$300,MATCH(D$1,'UPD Questions_290926 '!$E$1:$N$1,0),0)&amp;"")</f>
        <v>Water supply and sewerage, sanitation, solid waste management </v>
      </c>
      <c r="E52" s="75" t="str">
        <f aca="false">IF(ISBLANK($A52),"NO_CODE",VLOOKUP($A52,'UPD Questions_290926 '!$E$1:$N$300,MATCH(E$1,'UPD Questions_290926 '!$E$1:$N$1,0),0)&amp;"")</f>
        <v>SQ</v>
      </c>
      <c r="F52" s="75" t="str">
        <f aca="false">IF(ISBLANK($A52),"NO_CODE",VLOOKUP($A52,'UPD Questions_290926 '!$E$1:$N$300,MATCH(F$1,'UPD Questions_290926 '!$E$1:$N$1,0),0)&amp;"")</f>
        <v>Does the city have a notified and active Plan?</v>
      </c>
      <c r="G52" s="75" t="str">
        <f aca="false">IF(ISBLANK($A52),"NO_CODE",VLOOKUP($A52,'UPD Questions_290926 '!$E$1:$N$300,MATCH(G$1,'UPD Questions_290926 '!$E$1:$N$1,0),0)&amp;"")</f>
        <v>Implementation</v>
      </c>
      <c r="H52" s="77" t="n">
        <f aca="false">IF(ISBLANK($A52),"NO_CODE",VLOOKUP($A52,'UPD Questions_290926 '!$E$1:$N$300,MATCH(H$1,'UPD Questions_290926 '!$E$1:$N$1,0),0))</f>
        <v>3.33</v>
      </c>
      <c r="I52" s="78" t="str">
        <f aca="true">IF($H52=0,"NA",IF($A52=INDIRECT("'"&amp;$A52&amp;"'!$B$1"),IF(VLOOKUP(I$1,INDIRECT("'"&amp;$A52&amp;"'!$A$12:$Z$41"),MATCH("Points (Auto-generate)",INDIRECT("'"&amp;$A52&amp;"'!$A$12:$Z$12"),0),0)="","?",VLOOKUP(I$1,INDIRECT("'"&amp;$A52&amp;"'!$A$12:$Z$41"),MATCH("Points (Auto-generate)",INDIRECT("'"&amp;$A52&amp;"'!$A$12:$Z$12"),0),0)),"ER"))</f>
        <v>?</v>
      </c>
      <c r="J52" s="78" t="n">
        <f aca="true">IF($H52=0,"NA",IF($A52=INDIRECT("'"&amp;$A52&amp;"'!$B$1"),IF(VLOOKUP(J$1,INDIRECT("'"&amp;$A52&amp;"'!$A$12:$Z$41"),MATCH("Points (Auto-generate)",INDIRECT("'"&amp;$A52&amp;"'!$A$12:$Z$12"),0),0)="","?",VLOOKUP(J$1,INDIRECT("'"&amp;$A52&amp;"'!$A$12:$Z$41"),MATCH("Points (Auto-generate)",INDIRECT("'"&amp;$A52&amp;"'!$A$12:$Z$12"),0),0)),"ER"))</f>
        <v>1.11</v>
      </c>
      <c r="K52" s="78" t="str">
        <f aca="true">IF($H52=0,"NA",IF($A52=INDIRECT("'"&amp;$A52&amp;"'!$B$1"),IF(VLOOKUP(K$1,INDIRECT("'"&amp;$A52&amp;"'!$A$12:$Z$41"),MATCH("Points (Auto-generate)",INDIRECT("'"&amp;$A52&amp;"'!$A$12:$Z$12"),0),0)="","?",VLOOKUP(K$1,INDIRECT("'"&amp;$A52&amp;"'!$A$12:$Z$41"),MATCH("Points (Auto-generate)",INDIRECT("'"&amp;$A52&amp;"'!$A$12:$Z$12"),0),0)),"ER"))</f>
        <v>?</v>
      </c>
      <c r="L52" s="78" t="str">
        <f aca="true">IF($H52=0,"NA",IF($A52=INDIRECT("'"&amp;$A52&amp;"'!$B$1"),IF(VLOOKUP(L$1,INDIRECT("'"&amp;$A52&amp;"'!$A$12:$Z$41"),MATCH("Points (Auto-generate)",INDIRECT("'"&amp;$A52&amp;"'!$A$12:$Z$12"),0),0)="","?",VLOOKUP(L$1,INDIRECT("'"&amp;$A52&amp;"'!$A$12:$Z$41"),MATCH("Points (Auto-generate)",INDIRECT("'"&amp;$A52&amp;"'!$A$12:$Z$12"),0),0)),"ER"))</f>
        <v>?</v>
      </c>
      <c r="M52" s="78" t="str">
        <f aca="true">IF($H52=0,"NA",IF($A52=INDIRECT("'"&amp;$A52&amp;"'!$B$1"),IF(VLOOKUP(M$1,INDIRECT("'"&amp;$A52&amp;"'!$A$12:$Z$41"),MATCH("Points (Auto-generate)",INDIRECT("'"&amp;$A52&amp;"'!$A$12:$Z$12"),0),0)="","?",VLOOKUP(M$1,INDIRECT("'"&amp;$A52&amp;"'!$A$12:$Z$41"),MATCH("Points (Auto-generate)",INDIRECT("'"&amp;$A52&amp;"'!$A$12:$Z$12"),0),0)),"ER"))</f>
        <v>?</v>
      </c>
      <c r="N52" s="78" t="str">
        <f aca="true">IF($H52=0,"NA",IF($A52=INDIRECT("'"&amp;$A52&amp;"'!$B$1"),IF(VLOOKUP(N$1,INDIRECT("'"&amp;$A52&amp;"'!$A$12:$Z$41"),MATCH("Points (Auto-generate)",INDIRECT("'"&amp;$A52&amp;"'!$A$12:$Z$12"),0),0)="","?",VLOOKUP(N$1,INDIRECT("'"&amp;$A52&amp;"'!$A$12:$Z$41"),MATCH("Points (Auto-generate)",INDIRECT("'"&amp;$A52&amp;"'!$A$12:$Z$12"),0),0)),"ER"))</f>
        <v>?</v>
      </c>
      <c r="O52" s="78" t="str">
        <f aca="true">IF($H52=0,"NA",IF($A52=INDIRECT("'"&amp;$A52&amp;"'!$B$1"),IF(VLOOKUP(O$1,INDIRECT("'"&amp;$A52&amp;"'!$A$12:$Z$41"),MATCH("Points (Auto-generate)",INDIRECT("'"&amp;$A52&amp;"'!$A$12:$Z$12"),0),0)="","?",VLOOKUP(O$1,INDIRECT("'"&amp;$A52&amp;"'!$A$12:$Z$41"),MATCH("Points (Auto-generate)",INDIRECT("'"&amp;$A52&amp;"'!$A$12:$Z$12"),0),0)),"ER"))</f>
        <v>?</v>
      </c>
      <c r="P52" s="78" t="str">
        <f aca="true">IF($H52=0,"NA",IF($A52=INDIRECT("'"&amp;$A52&amp;"'!$B$1"),IF(VLOOKUP(P$1,INDIRECT("'"&amp;$A52&amp;"'!$A$12:$Z$41"),MATCH("Points (Auto-generate)",INDIRECT("'"&amp;$A52&amp;"'!$A$12:$Z$12"),0),0)="","?",VLOOKUP(P$1,INDIRECT("'"&amp;$A52&amp;"'!$A$12:$Z$41"),MATCH("Points (Auto-generate)",INDIRECT("'"&amp;$A52&amp;"'!$A$12:$Z$12"),0),0)),"ER"))</f>
        <v>?</v>
      </c>
      <c r="Q52" s="78" t="str">
        <f aca="true">IF($H52=0,"NA",IF($A52=INDIRECT("'"&amp;$A52&amp;"'!$B$1"),IF(VLOOKUP(Q$1,INDIRECT("'"&amp;$A52&amp;"'!$A$12:$Z$41"),MATCH("Points (Auto-generate)",INDIRECT("'"&amp;$A52&amp;"'!$A$12:$Z$12"),0),0)="","?",VLOOKUP(Q$1,INDIRECT("'"&amp;$A52&amp;"'!$A$12:$Z$41"),MATCH("Points (Auto-generate)",INDIRECT("'"&amp;$A52&amp;"'!$A$12:$Z$12"),0),0)),"ER"))</f>
        <v>?</v>
      </c>
      <c r="R52" s="78" t="str">
        <f aca="true">IF($H52=0,"NA",IF($A52=INDIRECT("'"&amp;$A52&amp;"'!$B$1"),IF(VLOOKUP(R$1,INDIRECT("'"&amp;$A52&amp;"'!$A$12:$Z$41"),MATCH("Points (Auto-generate)",INDIRECT("'"&amp;$A52&amp;"'!$A$12:$Z$12"),0),0)="","?",VLOOKUP(R$1,INDIRECT("'"&amp;$A52&amp;"'!$A$12:$Z$41"),MATCH("Points (Auto-generate)",INDIRECT("'"&amp;$A52&amp;"'!$A$12:$Z$12"),0),0)),"ER"))</f>
        <v>?</v>
      </c>
      <c r="S52" s="78" t="str">
        <f aca="true">IF($H52=0,"NA",IF($A52=INDIRECT("'"&amp;$A52&amp;"'!$B$1"),IF(VLOOKUP(S$1,INDIRECT("'"&amp;$A52&amp;"'!$A$12:$Z$41"),MATCH("Points (Auto-generate)",INDIRECT("'"&amp;$A52&amp;"'!$A$12:$Z$12"),0),0)="","?",VLOOKUP(S$1,INDIRECT("'"&amp;$A52&amp;"'!$A$12:$Z$41"),MATCH("Points (Auto-generate)",INDIRECT("'"&amp;$A52&amp;"'!$A$12:$Z$12"),0),0)),"ER"))</f>
        <v>?</v>
      </c>
      <c r="T52" s="78" t="str">
        <f aca="true">IF($H52=0,"NA",IF($A52=INDIRECT("'"&amp;$A52&amp;"'!$B$1"),IF(VLOOKUP(T$1,INDIRECT("'"&amp;$A52&amp;"'!$A$12:$Z$41"),MATCH("Points (Auto-generate)",INDIRECT("'"&amp;$A52&amp;"'!$A$12:$Z$12"),0),0)="","?",VLOOKUP(T$1,INDIRECT("'"&amp;$A52&amp;"'!$A$12:$Z$41"),MATCH("Points (Auto-generate)",INDIRECT("'"&amp;$A52&amp;"'!$A$12:$Z$12"),0),0)),"ER"))</f>
        <v>?</v>
      </c>
      <c r="U52" s="78" t="str">
        <f aca="true">IF($H52=0,"NA",IF($A52=INDIRECT("'"&amp;$A52&amp;"'!$B$1"),IF(VLOOKUP(U$1,INDIRECT("'"&amp;$A52&amp;"'!$A$12:$Z$41"),MATCH("Points (Auto-generate)",INDIRECT("'"&amp;$A52&amp;"'!$A$12:$Z$12"),0),0)="","?",VLOOKUP(U$1,INDIRECT("'"&amp;$A52&amp;"'!$A$12:$Z$41"),MATCH("Points (Auto-generate)",INDIRECT("'"&amp;$A52&amp;"'!$A$12:$Z$12"),0),0)),"ER"))</f>
        <v>?</v>
      </c>
      <c r="V52" s="78" t="str">
        <f aca="true">IF($H52=0,"NA",IF($A52=INDIRECT("'"&amp;$A52&amp;"'!$B$1"),IF(VLOOKUP(V$1,INDIRECT("'"&amp;$A52&amp;"'!$A$12:$Z$41"),MATCH("Points (Auto-generate)",INDIRECT("'"&amp;$A52&amp;"'!$A$12:$Z$12"),0),0)="","?",VLOOKUP(V$1,INDIRECT("'"&amp;$A52&amp;"'!$A$12:$Z$41"),MATCH("Points (Auto-generate)",INDIRECT("'"&amp;$A52&amp;"'!$A$12:$Z$12"),0),0)),"ER"))</f>
        <v>?</v>
      </c>
      <c r="W52" s="78" t="str">
        <f aca="true">IF($H52=0,"NA",IF($A52=INDIRECT("'"&amp;$A52&amp;"'!$B$1"),IF(VLOOKUP(W$1,INDIRECT("'"&amp;$A52&amp;"'!$A$12:$Z$41"),MATCH("Points (Auto-generate)",INDIRECT("'"&amp;$A52&amp;"'!$A$12:$Z$12"),0),0)="","?",VLOOKUP(W$1,INDIRECT("'"&amp;$A52&amp;"'!$A$12:$Z$41"),MATCH("Points (Auto-generate)",INDIRECT("'"&amp;$A52&amp;"'!$A$12:$Z$12"),0),0)),"ER"))</f>
        <v>?</v>
      </c>
      <c r="X52" s="78" t="str">
        <f aca="true">IF($H52=0,"NA",IF($A52=INDIRECT("'"&amp;$A52&amp;"'!$B$1"),IF(VLOOKUP(X$1,INDIRECT("'"&amp;$A52&amp;"'!$A$12:$Z$41"),MATCH("Points (Auto-generate)",INDIRECT("'"&amp;$A52&amp;"'!$A$12:$Z$12"),0),0)="","?",VLOOKUP(X$1,INDIRECT("'"&amp;$A52&amp;"'!$A$12:$Z$41"),MATCH("Points (Auto-generate)",INDIRECT("'"&amp;$A52&amp;"'!$A$12:$Z$12"),0),0)),"ER"))</f>
        <v>?</v>
      </c>
      <c r="Y52" s="78" t="str">
        <f aca="true">IF($H52=0,"NA",IF($A52=INDIRECT("'"&amp;$A52&amp;"'!$B$1"),IF(VLOOKUP(Y$1,INDIRECT("'"&amp;$A52&amp;"'!$A$12:$Z$41"),MATCH("Points (Auto-generate)",INDIRECT("'"&amp;$A52&amp;"'!$A$12:$Z$12"),0),0)="","?",VLOOKUP(Y$1,INDIRECT("'"&amp;$A52&amp;"'!$A$12:$Z$41"),MATCH("Points (Auto-generate)",INDIRECT("'"&amp;$A52&amp;"'!$A$12:$Z$12"),0),0)),"ER"))</f>
        <v>?</v>
      </c>
      <c r="Z52" s="78" t="str">
        <f aca="true">IF($H52=0,"NA",IF($A52=INDIRECT("'"&amp;$A52&amp;"'!$B$1"),IF(VLOOKUP(Z$1,INDIRECT("'"&amp;$A52&amp;"'!$A$12:$Z$41"),MATCH("Points (Auto-generate)",INDIRECT("'"&amp;$A52&amp;"'!$A$12:$Z$12"),0),0)="","?",VLOOKUP(Z$1,INDIRECT("'"&amp;$A52&amp;"'!$A$12:$Z$41"),MATCH("Points (Auto-generate)",INDIRECT("'"&amp;$A52&amp;"'!$A$12:$Z$12"),0),0)),"ER"))</f>
        <v>?</v>
      </c>
      <c r="AA52" s="78" t="str">
        <f aca="true">IF($H52=0,"NA",IF($A52=INDIRECT("'"&amp;$A52&amp;"'!$B$1"),IF(VLOOKUP(AA$1,INDIRECT("'"&amp;$A52&amp;"'!$A$12:$Z$41"),MATCH("Points (Auto-generate)",INDIRECT("'"&amp;$A52&amp;"'!$A$12:$Z$12"),0),0)="","?",VLOOKUP(AA$1,INDIRECT("'"&amp;$A52&amp;"'!$A$12:$Z$41"),MATCH("Points (Auto-generate)",INDIRECT("'"&amp;$A52&amp;"'!$A$12:$Z$12"),0),0)),"ER"))</f>
        <v>?</v>
      </c>
      <c r="AB52" s="78" t="str">
        <f aca="true">IF($H52=0,"NA",IF($A52=INDIRECT("'"&amp;$A52&amp;"'!$B$1"),IF(VLOOKUP(AB$1,INDIRECT("'"&amp;$A52&amp;"'!$A$12:$Z$41"),MATCH("Points (Auto-generate)",INDIRECT("'"&amp;$A52&amp;"'!$A$12:$Z$12"),0),0)="","?",VLOOKUP(AB$1,INDIRECT("'"&amp;$A52&amp;"'!$A$12:$Z$41"),MATCH("Points (Auto-generate)",INDIRECT("'"&amp;$A52&amp;"'!$A$12:$Z$12"),0),0)),"ER"))</f>
        <v>?</v>
      </c>
      <c r="AC52" s="78" t="str">
        <f aca="true">IF($H52=0,"NA",IF($A52=INDIRECT("'"&amp;$A52&amp;"'!$B$1"),IF(VLOOKUP(AC$1,INDIRECT("'"&amp;$A52&amp;"'!$A$12:$Z$41"),MATCH("Points (Auto-generate)",INDIRECT("'"&amp;$A52&amp;"'!$A$12:$Z$12"),0),0)="","?",VLOOKUP(AC$1,INDIRECT("'"&amp;$A52&amp;"'!$A$12:$Z$41"),MATCH("Points (Auto-generate)",INDIRECT("'"&amp;$A52&amp;"'!$A$12:$Z$12"),0),0)),"ER"))</f>
        <v>?</v>
      </c>
      <c r="AD52" s="78" t="str">
        <f aca="true">IF($H52=0,"NA",IF($A52=INDIRECT("'"&amp;$A52&amp;"'!$B$1"),IF(VLOOKUP(AD$1,INDIRECT("'"&amp;$A52&amp;"'!$A$12:$Z$41"),MATCH("Points (Auto-generate)",INDIRECT("'"&amp;$A52&amp;"'!$A$12:$Z$12"),0),0)="","?",VLOOKUP(AD$1,INDIRECT("'"&amp;$A52&amp;"'!$A$12:$Z$41"),MATCH("Points (Auto-generate)",INDIRECT("'"&amp;$A52&amp;"'!$A$12:$Z$12"),0),0)),"ER"))</f>
        <v>?</v>
      </c>
      <c r="AE52" s="78" t="str">
        <f aca="true">IF($H52=0,"NA",IF($A52=INDIRECT("'"&amp;$A52&amp;"'!$B$1"),IF(VLOOKUP(AE$1,INDIRECT("'"&amp;$A52&amp;"'!$A$12:$Z$41"),MATCH("Points (Auto-generate)",INDIRECT("'"&amp;$A52&amp;"'!$A$12:$Z$12"),0),0)="","?",VLOOKUP(AE$1,INDIRECT("'"&amp;$A52&amp;"'!$A$12:$Z$41"),MATCH("Points (Auto-generate)",INDIRECT("'"&amp;$A52&amp;"'!$A$12:$Z$12"),0),0)),"ER"))</f>
        <v>?</v>
      </c>
      <c r="AF52" s="78" t="str">
        <f aca="true">IF($H52=0,"NA",IF($A52=INDIRECT("'"&amp;$A52&amp;"'!$B$1"),IF(VLOOKUP(AF$1,INDIRECT("'"&amp;$A52&amp;"'!$A$12:$Z$41"),MATCH("Points (Auto-generate)",INDIRECT("'"&amp;$A52&amp;"'!$A$12:$Z$12"),0),0)="","?",VLOOKUP(AF$1,INDIRECT("'"&amp;$A52&amp;"'!$A$12:$Z$41"),MATCH("Points (Auto-generate)",INDIRECT("'"&amp;$A52&amp;"'!$A$12:$Z$12"),0),0)),"ER"))</f>
        <v>?</v>
      </c>
      <c r="AG52" s="78" t="str">
        <f aca="true">IF($H52=0,"NA",IF($A52=INDIRECT("'"&amp;$A52&amp;"'!$B$1"),IF(VLOOKUP(AG$1,INDIRECT("'"&amp;$A52&amp;"'!$A$12:$Z$41"),MATCH("Points (Auto-generate)",INDIRECT("'"&amp;$A52&amp;"'!$A$12:$Z$12"),0),0)="","?",VLOOKUP(AG$1,INDIRECT("'"&amp;$A52&amp;"'!$A$12:$Z$41"),MATCH("Points (Auto-generate)",INDIRECT("'"&amp;$A52&amp;"'!$A$12:$Z$12"),0),0)),"ER"))</f>
        <v>?</v>
      </c>
      <c r="AH52" s="78" t="str">
        <f aca="true">IF($H52=0,"NA",IF($A52=INDIRECT("'"&amp;$A52&amp;"'!$B$1"),IF(VLOOKUP(AH$1,INDIRECT("'"&amp;$A52&amp;"'!$A$12:$Z$41"),MATCH("Points (Auto-generate)",INDIRECT("'"&amp;$A52&amp;"'!$A$12:$Z$12"),0),0)="","?",VLOOKUP(AH$1,INDIRECT("'"&amp;$A52&amp;"'!$A$12:$Z$41"),MATCH("Points (Auto-generate)",INDIRECT("'"&amp;$A52&amp;"'!$A$12:$Z$12"),0),0)),"ER"))</f>
        <v>?</v>
      </c>
      <c r="AI52" s="78" t="str">
        <f aca="true">IF($H52=0,"NA",IF($A52=INDIRECT("'"&amp;$A52&amp;"'!$B$1"),IF(VLOOKUP(AI$1,INDIRECT("'"&amp;$A52&amp;"'!$A$12:$Z$41"),MATCH("Points (Auto-generate)",INDIRECT("'"&amp;$A52&amp;"'!$A$12:$Z$12"),0),0)="","?",VLOOKUP(AI$1,INDIRECT("'"&amp;$A52&amp;"'!$A$12:$Z$41"),MATCH("Points (Auto-generate)",INDIRECT("'"&amp;$A52&amp;"'!$A$12:$Z$12"),0),0)),"ER"))</f>
        <v>?</v>
      </c>
      <c r="AJ52" s="78" t="str">
        <f aca="true">IF($H52=0,"NA",IF($A52=INDIRECT("'"&amp;$A52&amp;"'!$B$1"),IF(VLOOKUP(AJ$1,INDIRECT("'"&amp;$A52&amp;"'!$A$12:$Z$41"),MATCH("Points (Auto-generate)",INDIRECT("'"&amp;$A52&amp;"'!$A$12:$Z$12"),0),0)="","?",VLOOKUP(AJ$1,INDIRECT("'"&amp;$A52&amp;"'!$A$12:$Z$41"),MATCH("Points (Auto-generate)",INDIRECT("'"&amp;$A52&amp;"'!$A$12:$Z$12"),0),0)),"ER"))</f>
        <v>?</v>
      </c>
      <c r="AK52" s="78" t="str">
        <f aca="true">IF($H52=0,"NA",IF($A52=INDIRECT("'"&amp;$A52&amp;"'!$B$1"),IF(VLOOKUP(AK$1,INDIRECT("'"&amp;$A52&amp;"'!$A$12:$Z$41"),MATCH("Points (Auto-generate)",INDIRECT("'"&amp;$A52&amp;"'!$A$12:$Z$12"),0),0)="","?",VLOOKUP(AK$1,INDIRECT("'"&amp;$A52&amp;"'!$A$12:$Z$41"),MATCH("Points (Auto-generate)",INDIRECT("'"&amp;$A52&amp;"'!$A$12:$Z$12"),0),0)),"ER"))</f>
        <v>?</v>
      </c>
    </row>
    <row r="53" customFormat="false" ht="14.25" hidden="false" customHeight="true" outlineLevel="0" collapsed="false">
      <c r="A53" s="74" t="s">
        <v>262</v>
      </c>
      <c r="B53" s="75" t="str">
        <f aca="false">IF(ISBLANK($A53),"NO_CODE",VLOOKUP($A53,'UPD Questions_290926 '!$E$1:$N$300,MATCH(B$1,'UPD Questions_290926 '!$E$1:$N$1,0),0)&amp;"")</f>
        <v>Implementation</v>
      </c>
      <c r="C53" s="75" t="str">
        <f aca="false">IF(ISBLANK($A53),"NO_CODE",VLOOKUP($A53,'UPD Questions_290926 '!$E$1:$N$300,MATCH(C$1,'UPD Questions_290926 '!$E$1:$N$1,0),0)&amp;"")</f>
        <v>Sectoral planning</v>
      </c>
      <c r="D53" s="75" t="str">
        <f aca="false">IF(ISBLANK($A53),"NO_CODE",VLOOKUP($A53,'UPD Questions_290926 '!$E$1:$N$300,MATCH(D$1,'UPD Questions_290926 '!$E$1:$N$1,0),0)&amp;"")</f>
        <v>Water supply and sewerage, sanitation, solid waste management </v>
      </c>
      <c r="E53" s="75" t="str">
        <f aca="false">IF(ISBLANK($A53),"NO_CODE",VLOOKUP($A53,'UPD Questions_290926 '!$E$1:$N$300,MATCH(E$1,'UPD Questions_290926 '!$E$1:$N$1,0),0)&amp;"")</f>
        <v>SQ1</v>
      </c>
      <c r="F53" s="75" t="str">
        <f aca="false">IF(ISBLANK($A53),"NO_CODE",VLOOKUP($A53,'UPD Questions_290926 '!$E$1:$N$300,MATCH(F$1,'UPD Questions_290926 '!$E$1:$N$1,0),0)&amp;"")</f>
        <v>a) Water Supply and Sewerage Plan</v>
      </c>
      <c r="G53" s="75" t="str">
        <f aca="false">IF(ISBLANK($A53),"NO_CODE",VLOOKUP($A53,'UPD Questions_290926 '!$E$1:$N$300,MATCH(G$1,'UPD Questions_290926 '!$E$1:$N$1,0),0)&amp;"")</f>
        <v>Implementation</v>
      </c>
      <c r="H53" s="77" t="n">
        <f aca="false">IF(ISBLANK($A53),"NO_CODE",VLOOKUP($A53,'UPD Questions_290926 '!$E$1:$N$300,MATCH(H$1,'UPD Questions_290926 '!$E$1:$N$1,0),0))</f>
        <v>1.11</v>
      </c>
      <c r="I53" s="78" t="str">
        <f aca="true">IF(INDEX(INDIRECT("'"&amp;LEFT($A53,LEN($A53)-1)&amp;"'!$H$13:$J$41"),MATCH(I$1,INDIRECT("'"&amp;LEFT($A53,LEN($A53)-1)&amp;"'!$A$13:$A$41"),0),VALUE(RIGHT($A53,1)))="YES",$H53,IF(INDEX(INDIRECT("'"&amp;LEFT($A53,LEN($A53)-1)&amp;"'!$H$13:$J$41"),MATCH(I$1,INDIRECT("'"&amp;LEFT($A53,LEN($A53)-1)&amp;"'!$A$13:$A$41"),0),VALUE(RIGHT($A53,1)))="NO",0,"?"))</f>
        <v>?</v>
      </c>
      <c r="J53" s="78" t="n">
        <f aca="true">IF(INDEX(INDIRECT("'"&amp;LEFT($A53,LEN($A53)-1)&amp;"'!$H$13:$J$41"),MATCH(J$1,INDIRECT("'"&amp;LEFT($A53,LEN($A53)-1)&amp;"'!$A$13:$A$41"),0),VALUE(RIGHT($A53,1)))="YES",$H53,IF(INDEX(INDIRECT("'"&amp;LEFT($A53,LEN($A53)-1)&amp;"'!$H$13:$J$41"),MATCH(J$1,INDIRECT("'"&amp;LEFT($A53,LEN($A53)-1)&amp;"'!$A$13:$A$41"),0),VALUE(RIGHT($A53,1)))="NO",0,"?"))</f>
        <v>1.11</v>
      </c>
      <c r="K53" s="78" t="str">
        <f aca="true">IF(INDEX(INDIRECT("'"&amp;LEFT($A53,LEN($A53)-1)&amp;"'!$H$13:$J$41"),MATCH(K$1,INDIRECT("'"&amp;LEFT($A53,LEN($A53)-1)&amp;"'!$A$13:$A$41"),0),VALUE(RIGHT($A53,1)))="YES",$H53,IF(INDEX(INDIRECT("'"&amp;LEFT($A53,LEN($A53)-1)&amp;"'!$H$13:$J$41"),MATCH(K$1,INDIRECT("'"&amp;LEFT($A53,LEN($A53)-1)&amp;"'!$A$13:$A$41"),0),VALUE(RIGHT($A53,1)))="NO",0,"?"))</f>
        <v>?</v>
      </c>
      <c r="L53" s="78" t="str">
        <f aca="true">IF(INDEX(INDIRECT("'"&amp;LEFT($A53,LEN($A53)-1)&amp;"'!$H$13:$J$41"),MATCH(L$1,INDIRECT("'"&amp;LEFT($A53,LEN($A53)-1)&amp;"'!$A$13:$A$41"),0),VALUE(RIGHT($A53,1)))="YES",$H53,IF(INDEX(INDIRECT("'"&amp;LEFT($A53,LEN($A53)-1)&amp;"'!$H$13:$J$41"),MATCH(L$1,INDIRECT("'"&amp;LEFT($A53,LEN($A53)-1)&amp;"'!$A$13:$A$41"),0),VALUE(RIGHT($A53,1)))="NO",0,"?"))</f>
        <v>?</v>
      </c>
      <c r="M53" s="78" t="str">
        <f aca="true">IF(INDEX(INDIRECT("'"&amp;LEFT($A53,LEN($A53)-1)&amp;"'!$H$13:$J$41"),MATCH(M$1,INDIRECT("'"&amp;LEFT($A53,LEN($A53)-1)&amp;"'!$A$13:$A$41"),0),VALUE(RIGHT($A53,1)))="YES",$H53,IF(INDEX(INDIRECT("'"&amp;LEFT($A53,LEN($A53)-1)&amp;"'!$H$13:$J$41"),MATCH(M$1,INDIRECT("'"&amp;LEFT($A53,LEN($A53)-1)&amp;"'!$A$13:$A$41"),0),VALUE(RIGHT($A53,1)))="NO",0,"?"))</f>
        <v>?</v>
      </c>
      <c r="N53" s="78" t="str">
        <f aca="true">IF(INDEX(INDIRECT("'"&amp;LEFT($A53,LEN($A53)-1)&amp;"'!$H$13:$J$41"),MATCH(N$1,INDIRECT("'"&amp;LEFT($A53,LEN($A53)-1)&amp;"'!$A$13:$A$41"),0),VALUE(RIGHT($A53,1)))="YES",$H53,IF(INDEX(INDIRECT("'"&amp;LEFT($A53,LEN($A53)-1)&amp;"'!$H$13:$J$41"),MATCH(N$1,INDIRECT("'"&amp;LEFT($A53,LEN($A53)-1)&amp;"'!$A$13:$A$41"),0),VALUE(RIGHT($A53,1)))="NO",0,"?"))</f>
        <v>?</v>
      </c>
      <c r="O53" s="78" t="str">
        <f aca="true">IF(INDEX(INDIRECT("'"&amp;LEFT($A53,LEN($A53)-1)&amp;"'!$H$13:$J$41"),MATCH(O$1,INDIRECT("'"&amp;LEFT($A53,LEN($A53)-1)&amp;"'!$A$13:$A$41"),0),VALUE(RIGHT($A53,1)))="YES",$H53,IF(INDEX(INDIRECT("'"&amp;LEFT($A53,LEN($A53)-1)&amp;"'!$H$13:$J$41"),MATCH(O$1,INDIRECT("'"&amp;LEFT($A53,LEN($A53)-1)&amp;"'!$A$13:$A$41"),0),VALUE(RIGHT($A53,1)))="NO",0,"?"))</f>
        <v>?</v>
      </c>
      <c r="P53" s="78" t="str">
        <f aca="true">IF(INDEX(INDIRECT("'"&amp;LEFT($A53,LEN($A53)-1)&amp;"'!$H$13:$J$41"),MATCH(P$1,INDIRECT("'"&amp;LEFT($A53,LEN($A53)-1)&amp;"'!$A$13:$A$41"),0),VALUE(RIGHT($A53,1)))="YES",$H53,IF(INDEX(INDIRECT("'"&amp;LEFT($A53,LEN($A53)-1)&amp;"'!$H$13:$J$41"),MATCH(P$1,INDIRECT("'"&amp;LEFT($A53,LEN($A53)-1)&amp;"'!$A$13:$A$41"),0),VALUE(RIGHT($A53,1)))="NO",0,"?"))</f>
        <v>?</v>
      </c>
      <c r="Q53" s="78" t="str">
        <f aca="true">IF(INDEX(INDIRECT("'"&amp;LEFT($A53,LEN($A53)-1)&amp;"'!$H$13:$J$41"),MATCH(Q$1,INDIRECT("'"&amp;LEFT($A53,LEN($A53)-1)&amp;"'!$A$13:$A$41"),0),VALUE(RIGHT($A53,1)))="YES",$H53,IF(INDEX(INDIRECT("'"&amp;LEFT($A53,LEN($A53)-1)&amp;"'!$H$13:$J$41"),MATCH(Q$1,INDIRECT("'"&amp;LEFT($A53,LEN($A53)-1)&amp;"'!$A$13:$A$41"),0),VALUE(RIGHT($A53,1)))="NO",0,"?"))</f>
        <v>?</v>
      </c>
      <c r="R53" s="78" t="str">
        <f aca="true">IF(INDEX(INDIRECT("'"&amp;LEFT($A53,LEN($A53)-1)&amp;"'!$H$13:$J$41"),MATCH(R$1,INDIRECT("'"&amp;LEFT($A53,LEN($A53)-1)&amp;"'!$A$13:$A$41"),0),VALUE(RIGHT($A53,1)))="YES",$H53,IF(INDEX(INDIRECT("'"&amp;LEFT($A53,LEN($A53)-1)&amp;"'!$H$13:$J$41"),MATCH(R$1,INDIRECT("'"&amp;LEFT($A53,LEN($A53)-1)&amp;"'!$A$13:$A$41"),0),VALUE(RIGHT($A53,1)))="NO",0,"?"))</f>
        <v>?</v>
      </c>
      <c r="S53" s="78" t="str">
        <f aca="true">IF(INDEX(INDIRECT("'"&amp;LEFT($A53,LEN($A53)-1)&amp;"'!$H$13:$J$41"),MATCH(S$1,INDIRECT("'"&amp;LEFT($A53,LEN($A53)-1)&amp;"'!$A$13:$A$41"),0),VALUE(RIGHT($A53,1)))="YES",$H53,IF(INDEX(INDIRECT("'"&amp;LEFT($A53,LEN($A53)-1)&amp;"'!$H$13:$J$41"),MATCH(S$1,INDIRECT("'"&amp;LEFT($A53,LEN($A53)-1)&amp;"'!$A$13:$A$41"),0),VALUE(RIGHT($A53,1)))="NO",0,"?"))</f>
        <v>?</v>
      </c>
      <c r="T53" s="78" t="str">
        <f aca="true">IF(INDEX(INDIRECT("'"&amp;LEFT($A53,LEN($A53)-1)&amp;"'!$H$13:$J$41"),MATCH(T$1,INDIRECT("'"&amp;LEFT($A53,LEN($A53)-1)&amp;"'!$A$13:$A$41"),0),VALUE(RIGHT($A53,1)))="YES",$H53,IF(INDEX(INDIRECT("'"&amp;LEFT($A53,LEN($A53)-1)&amp;"'!$H$13:$J$41"),MATCH(T$1,INDIRECT("'"&amp;LEFT($A53,LEN($A53)-1)&amp;"'!$A$13:$A$41"),0),VALUE(RIGHT($A53,1)))="NO",0,"?"))</f>
        <v>?</v>
      </c>
      <c r="U53" s="78" t="str">
        <f aca="true">IF(INDEX(INDIRECT("'"&amp;LEFT($A53,LEN($A53)-1)&amp;"'!$H$13:$J$41"),MATCH(U$1,INDIRECT("'"&amp;LEFT($A53,LEN($A53)-1)&amp;"'!$A$13:$A$41"),0),VALUE(RIGHT($A53,1)))="YES",$H53,IF(INDEX(INDIRECT("'"&amp;LEFT($A53,LEN($A53)-1)&amp;"'!$H$13:$J$41"),MATCH(U$1,INDIRECT("'"&amp;LEFT($A53,LEN($A53)-1)&amp;"'!$A$13:$A$41"),0),VALUE(RIGHT($A53,1)))="NO",0,"?"))</f>
        <v>?</v>
      </c>
      <c r="V53" s="78" t="str">
        <f aca="true">IF(INDEX(INDIRECT("'"&amp;LEFT($A53,LEN($A53)-1)&amp;"'!$H$13:$J$41"),MATCH(V$1,INDIRECT("'"&amp;LEFT($A53,LEN($A53)-1)&amp;"'!$A$13:$A$41"),0),VALUE(RIGHT($A53,1)))="YES",$H53,IF(INDEX(INDIRECT("'"&amp;LEFT($A53,LEN($A53)-1)&amp;"'!$H$13:$J$41"),MATCH(V$1,INDIRECT("'"&amp;LEFT($A53,LEN($A53)-1)&amp;"'!$A$13:$A$41"),0),VALUE(RIGHT($A53,1)))="NO",0,"?"))</f>
        <v>?</v>
      </c>
      <c r="W53" s="78" t="str">
        <f aca="true">IF(INDEX(INDIRECT("'"&amp;LEFT($A53,LEN($A53)-1)&amp;"'!$H$13:$J$41"),MATCH(W$1,INDIRECT("'"&amp;LEFT($A53,LEN($A53)-1)&amp;"'!$A$13:$A$41"),0),VALUE(RIGHT($A53,1)))="YES",$H53,IF(INDEX(INDIRECT("'"&amp;LEFT($A53,LEN($A53)-1)&amp;"'!$H$13:$J$41"),MATCH(W$1,INDIRECT("'"&amp;LEFT($A53,LEN($A53)-1)&amp;"'!$A$13:$A$41"),0),VALUE(RIGHT($A53,1)))="NO",0,"?"))</f>
        <v>?</v>
      </c>
      <c r="X53" s="78" t="str">
        <f aca="true">IF(INDEX(INDIRECT("'"&amp;LEFT($A53,LEN($A53)-1)&amp;"'!$H$13:$J$41"),MATCH(X$1,INDIRECT("'"&amp;LEFT($A53,LEN($A53)-1)&amp;"'!$A$13:$A$41"),0),VALUE(RIGHT($A53,1)))="YES",$H53,IF(INDEX(INDIRECT("'"&amp;LEFT($A53,LEN($A53)-1)&amp;"'!$H$13:$J$41"),MATCH(X$1,INDIRECT("'"&amp;LEFT($A53,LEN($A53)-1)&amp;"'!$A$13:$A$41"),0),VALUE(RIGHT($A53,1)))="NO",0,"?"))</f>
        <v>?</v>
      </c>
      <c r="Y53" s="78" t="str">
        <f aca="true">IF(INDEX(INDIRECT("'"&amp;LEFT($A53,LEN($A53)-1)&amp;"'!$H$13:$J$41"),MATCH(Y$1,INDIRECT("'"&amp;LEFT($A53,LEN($A53)-1)&amp;"'!$A$13:$A$41"),0),VALUE(RIGHT($A53,1)))="YES",$H53,IF(INDEX(INDIRECT("'"&amp;LEFT($A53,LEN($A53)-1)&amp;"'!$H$13:$J$41"),MATCH(Y$1,INDIRECT("'"&amp;LEFT($A53,LEN($A53)-1)&amp;"'!$A$13:$A$41"),0),VALUE(RIGHT($A53,1)))="NO",0,"?"))</f>
        <v>?</v>
      </c>
      <c r="Z53" s="78" t="str">
        <f aca="true">IF(INDEX(INDIRECT("'"&amp;LEFT($A53,LEN($A53)-1)&amp;"'!$H$13:$J$41"),MATCH(Z$1,INDIRECT("'"&amp;LEFT($A53,LEN($A53)-1)&amp;"'!$A$13:$A$41"),0),VALUE(RIGHT($A53,1)))="YES",$H53,IF(INDEX(INDIRECT("'"&amp;LEFT($A53,LEN($A53)-1)&amp;"'!$H$13:$J$41"),MATCH(Z$1,INDIRECT("'"&amp;LEFT($A53,LEN($A53)-1)&amp;"'!$A$13:$A$41"),0),VALUE(RIGHT($A53,1)))="NO",0,"?"))</f>
        <v>?</v>
      </c>
      <c r="AA53" s="78" t="str">
        <f aca="true">IF(INDEX(INDIRECT("'"&amp;LEFT($A53,LEN($A53)-1)&amp;"'!$H$13:$J$41"),MATCH(AA$1,INDIRECT("'"&amp;LEFT($A53,LEN($A53)-1)&amp;"'!$A$13:$A$41"),0),VALUE(RIGHT($A53,1)))="YES",$H53,IF(INDEX(INDIRECT("'"&amp;LEFT($A53,LEN($A53)-1)&amp;"'!$H$13:$J$41"),MATCH(AA$1,INDIRECT("'"&amp;LEFT($A53,LEN($A53)-1)&amp;"'!$A$13:$A$41"),0),VALUE(RIGHT($A53,1)))="NO",0,"?"))</f>
        <v>?</v>
      </c>
      <c r="AB53" s="78" t="str">
        <f aca="true">IF(INDEX(INDIRECT("'"&amp;LEFT($A53,LEN($A53)-1)&amp;"'!$H$13:$J$41"),MATCH(AB$1,INDIRECT("'"&amp;LEFT($A53,LEN($A53)-1)&amp;"'!$A$13:$A$41"),0),VALUE(RIGHT($A53,1)))="YES",$H53,IF(INDEX(INDIRECT("'"&amp;LEFT($A53,LEN($A53)-1)&amp;"'!$H$13:$J$41"),MATCH(AB$1,INDIRECT("'"&amp;LEFT($A53,LEN($A53)-1)&amp;"'!$A$13:$A$41"),0),VALUE(RIGHT($A53,1)))="NO",0,"?"))</f>
        <v>?</v>
      </c>
      <c r="AC53" s="78" t="str">
        <f aca="true">IF(INDEX(INDIRECT("'"&amp;LEFT($A53,LEN($A53)-1)&amp;"'!$H$13:$J$41"),MATCH(AC$1,INDIRECT("'"&amp;LEFT($A53,LEN($A53)-1)&amp;"'!$A$13:$A$41"),0),VALUE(RIGHT($A53,1)))="YES",$H53,IF(INDEX(INDIRECT("'"&amp;LEFT($A53,LEN($A53)-1)&amp;"'!$H$13:$J$41"),MATCH(AC$1,INDIRECT("'"&amp;LEFT($A53,LEN($A53)-1)&amp;"'!$A$13:$A$41"),0),VALUE(RIGHT($A53,1)))="NO",0,"?"))</f>
        <v>?</v>
      </c>
      <c r="AD53" s="78" t="str">
        <f aca="true">IF(INDEX(INDIRECT("'"&amp;LEFT($A53,LEN($A53)-1)&amp;"'!$H$13:$J$41"),MATCH(AD$1,INDIRECT("'"&amp;LEFT($A53,LEN($A53)-1)&amp;"'!$A$13:$A$41"),0),VALUE(RIGHT($A53,1)))="YES",$H53,IF(INDEX(INDIRECT("'"&amp;LEFT($A53,LEN($A53)-1)&amp;"'!$H$13:$J$41"),MATCH(AD$1,INDIRECT("'"&amp;LEFT($A53,LEN($A53)-1)&amp;"'!$A$13:$A$41"),0),VALUE(RIGHT($A53,1)))="NO",0,"?"))</f>
        <v>?</v>
      </c>
      <c r="AE53" s="78" t="str">
        <f aca="true">IF(INDEX(INDIRECT("'"&amp;LEFT($A53,LEN($A53)-1)&amp;"'!$H$13:$J$41"),MATCH(AE$1,INDIRECT("'"&amp;LEFT($A53,LEN($A53)-1)&amp;"'!$A$13:$A$41"),0),VALUE(RIGHT($A53,1)))="YES",$H53,IF(INDEX(INDIRECT("'"&amp;LEFT($A53,LEN($A53)-1)&amp;"'!$H$13:$J$41"),MATCH(AE$1,INDIRECT("'"&amp;LEFT($A53,LEN($A53)-1)&amp;"'!$A$13:$A$41"),0),VALUE(RIGHT($A53,1)))="NO",0,"?"))</f>
        <v>?</v>
      </c>
      <c r="AF53" s="78" t="str">
        <f aca="true">IF(INDEX(INDIRECT("'"&amp;LEFT($A53,LEN($A53)-1)&amp;"'!$H$13:$J$41"),MATCH(AF$1,INDIRECT("'"&amp;LEFT($A53,LEN($A53)-1)&amp;"'!$A$13:$A$41"),0),VALUE(RIGHT($A53,1)))="YES",$H53,IF(INDEX(INDIRECT("'"&amp;LEFT($A53,LEN($A53)-1)&amp;"'!$H$13:$J$41"),MATCH(AF$1,INDIRECT("'"&amp;LEFT($A53,LEN($A53)-1)&amp;"'!$A$13:$A$41"),0),VALUE(RIGHT($A53,1)))="NO",0,"?"))</f>
        <v>?</v>
      </c>
      <c r="AG53" s="78" t="str">
        <f aca="true">IF(INDEX(INDIRECT("'"&amp;LEFT($A53,LEN($A53)-1)&amp;"'!$H$13:$J$41"),MATCH(AG$1,INDIRECT("'"&amp;LEFT($A53,LEN($A53)-1)&amp;"'!$A$13:$A$41"),0),VALUE(RIGHT($A53,1)))="YES",$H53,IF(INDEX(INDIRECT("'"&amp;LEFT($A53,LEN($A53)-1)&amp;"'!$H$13:$J$41"),MATCH(AG$1,INDIRECT("'"&amp;LEFT($A53,LEN($A53)-1)&amp;"'!$A$13:$A$41"),0),VALUE(RIGHT($A53,1)))="NO",0,"?"))</f>
        <v>?</v>
      </c>
      <c r="AH53" s="78" t="str">
        <f aca="true">IF(INDEX(INDIRECT("'"&amp;LEFT($A53,LEN($A53)-1)&amp;"'!$H$13:$J$41"),MATCH(AH$1,INDIRECT("'"&amp;LEFT($A53,LEN($A53)-1)&amp;"'!$A$13:$A$41"),0),VALUE(RIGHT($A53,1)))="YES",$H53,IF(INDEX(INDIRECT("'"&amp;LEFT($A53,LEN($A53)-1)&amp;"'!$H$13:$J$41"),MATCH(AH$1,INDIRECT("'"&amp;LEFT($A53,LEN($A53)-1)&amp;"'!$A$13:$A$41"),0),VALUE(RIGHT($A53,1)))="NO",0,"?"))</f>
        <v>?</v>
      </c>
      <c r="AI53" s="78" t="str">
        <f aca="true">IF(INDEX(INDIRECT("'"&amp;LEFT($A53,LEN($A53)-1)&amp;"'!$H$13:$J$41"),MATCH(AI$1,INDIRECT("'"&amp;LEFT($A53,LEN($A53)-1)&amp;"'!$A$13:$A$41"),0),VALUE(RIGHT($A53,1)))="YES",$H53,IF(INDEX(INDIRECT("'"&amp;LEFT($A53,LEN($A53)-1)&amp;"'!$H$13:$J$41"),MATCH(AI$1,INDIRECT("'"&amp;LEFT($A53,LEN($A53)-1)&amp;"'!$A$13:$A$41"),0),VALUE(RIGHT($A53,1)))="NO",0,"?"))</f>
        <v>?</v>
      </c>
      <c r="AJ53" s="78" t="str">
        <f aca="true">IF(INDEX(INDIRECT("'"&amp;LEFT($A53,LEN($A53)-1)&amp;"'!$H$13:$J$41"),MATCH(AJ$1,INDIRECT("'"&amp;LEFT($A53,LEN($A53)-1)&amp;"'!$A$13:$A$41"),0),VALUE(RIGHT($A53,1)))="YES",$H53,IF(INDEX(INDIRECT("'"&amp;LEFT($A53,LEN($A53)-1)&amp;"'!$H$13:$J$41"),MATCH(AJ$1,INDIRECT("'"&amp;LEFT($A53,LEN($A53)-1)&amp;"'!$A$13:$A$41"),0),VALUE(RIGHT($A53,1)))="NO",0,"?"))</f>
        <v>?</v>
      </c>
      <c r="AK53" s="78" t="str">
        <f aca="true">IF(INDEX(INDIRECT("'"&amp;LEFT($A53,LEN($A53)-1)&amp;"'!$H$13:$J$41"),MATCH(AK$1,INDIRECT("'"&amp;LEFT($A53,LEN($A53)-1)&amp;"'!$A$13:$A$41"),0),VALUE(RIGHT($A53,1)))="YES",$H53,IF(INDEX(INDIRECT("'"&amp;LEFT($A53,LEN($A53)-1)&amp;"'!$H$13:$J$41"),MATCH(AK$1,INDIRECT("'"&amp;LEFT($A53,LEN($A53)-1)&amp;"'!$A$13:$A$41"),0),VALUE(RIGHT($A53,1)))="NO",0,"?"))</f>
        <v>?</v>
      </c>
    </row>
    <row r="54" customFormat="false" ht="14.25" hidden="false" customHeight="true" outlineLevel="0" collapsed="false">
      <c r="A54" s="74" t="s">
        <v>267</v>
      </c>
      <c r="B54" s="75" t="str">
        <f aca="false">IF(ISBLANK($A54),"NO_CODE",VLOOKUP($A54,'UPD Questions_290926 '!$E$1:$N$300,MATCH(B$1,'UPD Questions_290926 '!$E$1:$N$1,0),0)&amp;"")</f>
        <v>Implementation</v>
      </c>
      <c r="C54" s="75" t="str">
        <f aca="false">IF(ISBLANK($A54),"NO_CODE",VLOOKUP($A54,'UPD Questions_290926 '!$E$1:$N$300,MATCH(C$1,'UPD Questions_290926 '!$E$1:$N$1,0),0)&amp;"")</f>
        <v>Sectoral planning</v>
      </c>
      <c r="D54" s="75" t="str">
        <f aca="false">IF(ISBLANK($A54),"NO_CODE",VLOOKUP($A54,'UPD Questions_290926 '!$E$1:$N$300,MATCH(D$1,'UPD Questions_290926 '!$E$1:$N$1,0),0)&amp;"")</f>
        <v>Water supply and sewerage, sanitation, solid waste management </v>
      </c>
      <c r="E54" s="75" t="str">
        <f aca="false">IF(ISBLANK($A54),"NO_CODE",VLOOKUP($A54,'UPD Questions_290926 '!$E$1:$N$300,MATCH(E$1,'UPD Questions_290926 '!$E$1:$N$1,0),0)&amp;"")</f>
        <v>SQ2</v>
      </c>
      <c r="F54" s="75" t="str">
        <f aca="false">IF(ISBLANK($A54),"NO_CODE",VLOOKUP($A54,'UPD Questions_290926 '!$E$1:$N$300,MATCH(F$1,'UPD Questions_290926 '!$E$1:$N$1,0),0)&amp;"")</f>
        <v>b) Solid Waste Management Plan </v>
      </c>
      <c r="G54" s="75" t="str">
        <f aca="false">IF(ISBLANK($A54),"NO_CODE",VLOOKUP($A54,'UPD Questions_290926 '!$E$1:$N$300,MATCH(G$1,'UPD Questions_290926 '!$E$1:$N$1,0),0)&amp;"")</f>
        <v>Implementation</v>
      </c>
      <c r="H54" s="77" t="n">
        <f aca="false">IF(ISBLANK($A54),"NO_CODE",VLOOKUP($A54,'UPD Questions_290926 '!$E$1:$N$300,MATCH(H$1,'UPD Questions_290926 '!$E$1:$N$1,0),0))</f>
        <v>1.11</v>
      </c>
      <c r="I54" s="78" t="str">
        <f aca="true">IF(INDEX(INDIRECT("'"&amp;LEFT($A54,LEN($A54)-1)&amp;"'!$H$13:$J$41"),MATCH(I$1,INDIRECT("'"&amp;LEFT($A54,LEN($A54)-1)&amp;"'!$A$13:$A$41"),0),VALUE(RIGHT($A54,1)))="YES",$H54,IF(INDEX(INDIRECT("'"&amp;LEFT($A54,LEN($A54)-1)&amp;"'!$H$13:$J$41"),MATCH(I$1,INDIRECT("'"&amp;LEFT($A54,LEN($A54)-1)&amp;"'!$A$13:$A$41"),0),VALUE(RIGHT($A54,1)))="NO",0,"?"))</f>
        <v>?</v>
      </c>
      <c r="J54" s="78" t="n">
        <f aca="true">IF(INDEX(INDIRECT("'"&amp;LEFT($A54,LEN($A54)-1)&amp;"'!$H$13:$J$41"),MATCH(J$1,INDIRECT("'"&amp;LEFT($A54,LEN($A54)-1)&amp;"'!$A$13:$A$41"),0),VALUE(RIGHT($A54,1)))="YES",$H54,IF(INDEX(INDIRECT("'"&amp;LEFT($A54,LEN($A54)-1)&amp;"'!$H$13:$J$41"),MATCH(J$1,INDIRECT("'"&amp;LEFT($A54,LEN($A54)-1)&amp;"'!$A$13:$A$41"),0),VALUE(RIGHT($A54,1)))="NO",0,"?"))</f>
        <v>0</v>
      </c>
      <c r="K54" s="78" t="str">
        <f aca="true">IF(INDEX(INDIRECT("'"&amp;LEFT($A54,LEN($A54)-1)&amp;"'!$H$13:$J$41"),MATCH(K$1,INDIRECT("'"&amp;LEFT($A54,LEN($A54)-1)&amp;"'!$A$13:$A$41"),0),VALUE(RIGHT($A54,1)))="YES",$H54,IF(INDEX(INDIRECT("'"&amp;LEFT($A54,LEN($A54)-1)&amp;"'!$H$13:$J$41"),MATCH(K$1,INDIRECT("'"&amp;LEFT($A54,LEN($A54)-1)&amp;"'!$A$13:$A$41"),0),VALUE(RIGHT($A54,1)))="NO",0,"?"))</f>
        <v>?</v>
      </c>
      <c r="L54" s="78" t="str">
        <f aca="true">IF(INDEX(INDIRECT("'"&amp;LEFT($A54,LEN($A54)-1)&amp;"'!$H$13:$J$41"),MATCH(L$1,INDIRECT("'"&amp;LEFT($A54,LEN($A54)-1)&amp;"'!$A$13:$A$41"),0),VALUE(RIGHT($A54,1)))="YES",$H54,IF(INDEX(INDIRECT("'"&amp;LEFT($A54,LEN($A54)-1)&amp;"'!$H$13:$J$41"),MATCH(L$1,INDIRECT("'"&amp;LEFT($A54,LEN($A54)-1)&amp;"'!$A$13:$A$41"),0),VALUE(RIGHT($A54,1)))="NO",0,"?"))</f>
        <v>?</v>
      </c>
      <c r="M54" s="78" t="str">
        <f aca="true">IF(INDEX(INDIRECT("'"&amp;LEFT($A54,LEN($A54)-1)&amp;"'!$H$13:$J$41"),MATCH(M$1,INDIRECT("'"&amp;LEFT($A54,LEN($A54)-1)&amp;"'!$A$13:$A$41"),0),VALUE(RIGHT($A54,1)))="YES",$H54,IF(INDEX(INDIRECT("'"&amp;LEFT($A54,LEN($A54)-1)&amp;"'!$H$13:$J$41"),MATCH(M$1,INDIRECT("'"&amp;LEFT($A54,LEN($A54)-1)&amp;"'!$A$13:$A$41"),0),VALUE(RIGHT($A54,1)))="NO",0,"?"))</f>
        <v>?</v>
      </c>
      <c r="N54" s="78" t="str">
        <f aca="true">IF(INDEX(INDIRECT("'"&amp;LEFT($A54,LEN($A54)-1)&amp;"'!$H$13:$J$41"),MATCH(N$1,INDIRECT("'"&amp;LEFT($A54,LEN($A54)-1)&amp;"'!$A$13:$A$41"),0),VALUE(RIGHT($A54,1)))="YES",$H54,IF(INDEX(INDIRECT("'"&amp;LEFT($A54,LEN($A54)-1)&amp;"'!$H$13:$J$41"),MATCH(N$1,INDIRECT("'"&amp;LEFT($A54,LEN($A54)-1)&amp;"'!$A$13:$A$41"),0),VALUE(RIGHT($A54,1)))="NO",0,"?"))</f>
        <v>?</v>
      </c>
      <c r="O54" s="78" t="str">
        <f aca="true">IF(INDEX(INDIRECT("'"&amp;LEFT($A54,LEN($A54)-1)&amp;"'!$H$13:$J$41"),MATCH(O$1,INDIRECT("'"&amp;LEFT($A54,LEN($A54)-1)&amp;"'!$A$13:$A$41"),0),VALUE(RIGHT($A54,1)))="YES",$H54,IF(INDEX(INDIRECT("'"&amp;LEFT($A54,LEN($A54)-1)&amp;"'!$H$13:$J$41"),MATCH(O$1,INDIRECT("'"&amp;LEFT($A54,LEN($A54)-1)&amp;"'!$A$13:$A$41"),0),VALUE(RIGHT($A54,1)))="NO",0,"?"))</f>
        <v>?</v>
      </c>
      <c r="P54" s="78" t="str">
        <f aca="true">IF(INDEX(INDIRECT("'"&amp;LEFT($A54,LEN($A54)-1)&amp;"'!$H$13:$J$41"),MATCH(P$1,INDIRECT("'"&amp;LEFT($A54,LEN($A54)-1)&amp;"'!$A$13:$A$41"),0),VALUE(RIGHT($A54,1)))="YES",$H54,IF(INDEX(INDIRECT("'"&amp;LEFT($A54,LEN($A54)-1)&amp;"'!$H$13:$J$41"),MATCH(P$1,INDIRECT("'"&amp;LEFT($A54,LEN($A54)-1)&amp;"'!$A$13:$A$41"),0),VALUE(RIGHT($A54,1)))="NO",0,"?"))</f>
        <v>?</v>
      </c>
      <c r="Q54" s="78" t="str">
        <f aca="true">IF(INDEX(INDIRECT("'"&amp;LEFT($A54,LEN($A54)-1)&amp;"'!$H$13:$J$41"),MATCH(Q$1,INDIRECT("'"&amp;LEFT($A54,LEN($A54)-1)&amp;"'!$A$13:$A$41"),0),VALUE(RIGHT($A54,1)))="YES",$H54,IF(INDEX(INDIRECT("'"&amp;LEFT($A54,LEN($A54)-1)&amp;"'!$H$13:$J$41"),MATCH(Q$1,INDIRECT("'"&amp;LEFT($A54,LEN($A54)-1)&amp;"'!$A$13:$A$41"),0),VALUE(RIGHT($A54,1)))="NO",0,"?"))</f>
        <v>?</v>
      </c>
      <c r="R54" s="78" t="str">
        <f aca="true">IF(INDEX(INDIRECT("'"&amp;LEFT($A54,LEN($A54)-1)&amp;"'!$H$13:$J$41"),MATCH(R$1,INDIRECT("'"&amp;LEFT($A54,LEN($A54)-1)&amp;"'!$A$13:$A$41"),0),VALUE(RIGHT($A54,1)))="YES",$H54,IF(INDEX(INDIRECT("'"&amp;LEFT($A54,LEN($A54)-1)&amp;"'!$H$13:$J$41"),MATCH(R$1,INDIRECT("'"&amp;LEFT($A54,LEN($A54)-1)&amp;"'!$A$13:$A$41"),0),VALUE(RIGHT($A54,1)))="NO",0,"?"))</f>
        <v>?</v>
      </c>
      <c r="S54" s="78" t="str">
        <f aca="true">IF(INDEX(INDIRECT("'"&amp;LEFT($A54,LEN($A54)-1)&amp;"'!$H$13:$J$41"),MATCH(S$1,INDIRECT("'"&amp;LEFT($A54,LEN($A54)-1)&amp;"'!$A$13:$A$41"),0),VALUE(RIGHT($A54,1)))="YES",$H54,IF(INDEX(INDIRECT("'"&amp;LEFT($A54,LEN($A54)-1)&amp;"'!$H$13:$J$41"),MATCH(S$1,INDIRECT("'"&amp;LEFT($A54,LEN($A54)-1)&amp;"'!$A$13:$A$41"),0),VALUE(RIGHT($A54,1)))="NO",0,"?"))</f>
        <v>?</v>
      </c>
      <c r="T54" s="78" t="str">
        <f aca="true">IF(INDEX(INDIRECT("'"&amp;LEFT($A54,LEN($A54)-1)&amp;"'!$H$13:$J$41"),MATCH(T$1,INDIRECT("'"&amp;LEFT($A54,LEN($A54)-1)&amp;"'!$A$13:$A$41"),0),VALUE(RIGHT($A54,1)))="YES",$H54,IF(INDEX(INDIRECT("'"&amp;LEFT($A54,LEN($A54)-1)&amp;"'!$H$13:$J$41"),MATCH(T$1,INDIRECT("'"&amp;LEFT($A54,LEN($A54)-1)&amp;"'!$A$13:$A$41"),0),VALUE(RIGHT($A54,1)))="NO",0,"?"))</f>
        <v>?</v>
      </c>
      <c r="U54" s="78" t="str">
        <f aca="true">IF(INDEX(INDIRECT("'"&amp;LEFT($A54,LEN($A54)-1)&amp;"'!$H$13:$J$41"),MATCH(U$1,INDIRECT("'"&amp;LEFT($A54,LEN($A54)-1)&amp;"'!$A$13:$A$41"),0),VALUE(RIGHT($A54,1)))="YES",$H54,IF(INDEX(INDIRECT("'"&amp;LEFT($A54,LEN($A54)-1)&amp;"'!$H$13:$J$41"),MATCH(U$1,INDIRECT("'"&amp;LEFT($A54,LEN($A54)-1)&amp;"'!$A$13:$A$41"),0),VALUE(RIGHT($A54,1)))="NO",0,"?"))</f>
        <v>?</v>
      </c>
      <c r="V54" s="78" t="str">
        <f aca="true">IF(INDEX(INDIRECT("'"&amp;LEFT($A54,LEN($A54)-1)&amp;"'!$H$13:$J$41"),MATCH(V$1,INDIRECT("'"&amp;LEFT($A54,LEN($A54)-1)&amp;"'!$A$13:$A$41"),0),VALUE(RIGHT($A54,1)))="YES",$H54,IF(INDEX(INDIRECT("'"&amp;LEFT($A54,LEN($A54)-1)&amp;"'!$H$13:$J$41"),MATCH(V$1,INDIRECT("'"&amp;LEFT($A54,LEN($A54)-1)&amp;"'!$A$13:$A$41"),0),VALUE(RIGHT($A54,1)))="NO",0,"?"))</f>
        <v>?</v>
      </c>
      <c r="W54" s="78" t="str">
        <f aca="true">IF(INDEX(INDIRECT("'"&amp;LEFT($A54,LEN($A54)-1)&amp;"'!$H$13:$J$41"),MATCH(W$1,INDIRECT("'"&amp;LEFT($A54,LEN($A54)-1)&amp;"'!$A$13:$A$41"),0),VALUE(RIGHT($A54,1)))="YES",$H54,IF(INDEX(INDIRECT("'"&amp;LEFT($A54,LEN($A54)-1)&amp;"'!$H$13:$J$41"),MATCH(W$1,INDIRECT("'"&amp;LEFT($A54,LEN($A54)-1)&amp;"'!$A$13:$A$41"),0),VALUE(RIGHT($A54,1)))="NO",0,"?"))</f>
        <v>?</v>
      </c>
      <c r="X54" s="78" t="str">
        <f aca="true">IF(INDEX(INDIRECT("'"&amp;LEFT($A54,LEN($A54)-1)&amp;"'!$H$13:$J$41"),MATCH(X$1,INDIRECT("'"&amp;LEFT($A54,LEN($A54)-1)&amp;"'!$A$13:$A$41"),0),VALUE(RIGHT($A54,1)))="YES",$H54,IF(INDEX(INDIRECT("'"&amp;LEFT($A54,LEN($A54)-1)&amp;"'!$H$13:$J$41"),MATCH(X$1,INDIRECT("'"&amp;LEFT($A54,LEN($A54)-1)&amp;"'!$A$13:$A$41"),0),VALUE(RIGHT($A54,1)))="NO",0,"?"))</f>
        <v>?</v>
      </c>
      <c r="Y54" s="78" t="str">
        <f aca="true">IF(INDEX(INDIRECT("'"&amp;LEFT($A54,LEN($A54)-1)&amp;"'!$H$13:$J$41"),MATCH(Y$1,INDIRECT("'"&amp;LEFT($A54,LEN($A54)-1)&amp;"'!$A$13:$A$41"),0),VALUE(RIGHT($A54,1)))="YES",$H54,IF(INDEX(INDIRECT("'"&amp;LEFT($A54,LEN($A54)-1)&amp;"'!$H$13:$J$41"),MATCH(Y$1,INDIRECT("'"&amp;LEFT($A54,LEN($A54)-1)&amp;"'!$A$13:$A$41"),0),VALUE(RIGHT($A54,1)))="NO",0,"?"))</f>
        <v>?</v>
      </c>
      <c r="Z54" s="78" t="str">
        <f aca="true">IF(INDEX(INDIRECT("'"&amp;LEFT($A54,LEN($A54)-1)&amp;"'!$H$13:$J$41"),MATCH(Z$1,INDIRECT("'"&amp;LEFT($A54,LEN($A54)-1)&amp;"'!$A$13:$A$41"),0),VALUE(RIGHT($A54,1)))="YES",$H54,IF(INDEX(INDIRECT("'"&amp;LEFT($A54,LEN($A54)-1)&amp;"'!$H$13:$J$41"),MATCH(Z$1,INDIRECT("'"&amp;LEFT($A54,LEN($A54)-1)&amp;"'!$A$13:$A$41"),0),VALUE(RIGHT($A54,1)))="NO",0,"?"))</f>
        <v>?</v>
      </c>
      <c r="AA54" s="78" t="str">
        <f aca="true">IF(INDEX(INDIRECT("'"&amp;LEFT($A54,LEN($A54)-1)&amp;"'!$H$13:$J$41"),MATCH(AA$1,INDIRECT("'"&amp;LEFT($A54,LEN($A54)-1)&amp;"'!$A$13:$A$41"),0),VALUE(RIGHT($A54,1)))="YES",$H54,IF(INDEX(INDIRECT("'"&amp;LEFT($A54,LEN($A54)-1)&amp;"'!$H$13:$J$41"),MATCH(AA$1,INDIRECT("'"&amp;LEFT($A54,LEN($A54)-1)&amp;"'!$A$13:$A$41"),0),VALUE(RIGHT($A54,1)))="NO",0,"?"))</f>
        <v>?</v>
      </c>
      <c r="AB54" s="78" t="str">
        <f aca="true">IF(INDEX(INDIRECT("'"&amp;LEFT($A54,LEN($A54)-1)&amp;"'!$H$13:$J$41"),MATCH(AB$1,INDIRECT("'"&amp;LEFT($A54,LEN($A54)-1)&amp;"'!$A$13:$A$41"),0),VALUE(RIGHT($A54,1)))="YES",$H54,IF(INDEX(INDIRECT("'"&amp;LEFT($A54,LEN($A54)-1)&amp;"'!$H$13:$J$41"),MATCH(AB$1,INDIRECT("'"&amp;LEFT($A54,LEN($A54)-1)&amp;"'!$A$13:$A$41"),0),VALUE(RIGHT($A54,1)))="NO",0,"?"))</f>
        <v>?</v>
      </c>
      <c r="AC54" s="78" t="str">
        <f aca="true">IF(INDEX(INDIRECT("'"&amp;LEFT($A54,LEN($A54)-1)&amp;"'!$H$13:$J$41"),MATCH(AC$1,INDIRECT("'"&amp;LEFT($A54,LEN($A54)-1)&amp;"'!$A$13:$A$41"),0),VALUE(RIGHT($A54,1)))="YES",$H54,IF(INDEX(INDIRECT("'"&amp;LEFT($A54,LEN($A54)-1)&amp;"'!$H$13:$J$41"),MATCH(AC$1,INDIRECT("'"&amp;LEFT($A54,LEN($A54)-1)&amp;"'!$A$13:$A$41"),0),VALUE(RIGHT($A54,1)))="NO",0,"?"))</f>
        <v>?</v>
      </c>
      <c r="AD54" s="78" t="str">
        <f aca="true">IF(INDEX(INDIRECT("'"&amp;LEFT($A54,LEN($A54)-1)&amp;"'!$H$13:$J$41"),MATCH(AD$1,INDIRECT("'"&amp;LEFT($A54,LEN($A54)-1)&amp;"'!$A$13:$A$41"),0),VALUE(RIGHT($A54,1)))="YES",$H54,IF(INDEX(INDIRECT("'"&amp;LEFT($A54,LEN($A54)-1)&amp;"'!$H$13:$J$41"),MATCH(AD$1,INDIRECT("'"&amp;LEFT($A54,LEN($A54)-1)&amp;"'!$A$13:$A$41"),0),VALUE(RIGHT($A54,1)))="NO",0,"?"))</f>
        <v>?</v>
      </c>
      <c r="AE54" s="78" t="str">
        <f aca="true">IF(INDEX(INDIRECT("'"&amp;LEFT($A54,LEN($A54)-1)&amp;"'!$H$13:$J$41"),MATCH(AE$1,INDIRECT("'"&amp;LEFT($A54,LEN($A54)-1)&amp;"'!$A$13:$A$41"),0),VALUE(RIGHT($A54,1)))="YES",$H54,IF(INDEX(INDIRECT("'"&amp;LEFT($A54,LEN($A54)-1)&amp;"'!$H$13:$J$41"),MATCH(AE$1,INDIRECT("'"&amp;LEFT($A54,LEN($A54)-1)&amp;"'!$A$13:$A$41"),0),VALUE(RIGHT($A54,1)))="NO",0,"?"))</f>
        <v>?</v>
      </c>
      <c r="AF54" s="78" t="str">
        <f aca="true">IF(INDEX(INDIRECT("'"&amp;LEFT($A54,LEN($A54)-1)&amp;"'!$H$13:$J$41"),MATCH(AF$1,INDIRECT("'"&amp;LEFT($A54,LEN($A54)-1)&amp;"'!$A$13:$A$41"),0),VALUE(RIGHT($A54,1)))="YES",$H54,IF(INDEX(INDIRECT("'"&amp;LEFT($A54,LEN($A54)-1)&amp;"'!$H$13:$J$41"),MATCH(AF$1,INDIRECT("'"&amp;LEFT($A54,LEN($A54)-1)&amp;"'!$A$13:$A$41"),0),VALUE(RIGHT($A54,1)))="NO",0,"?"))</f>
        <v>?</v>
      </c>
      <c r="AG54" s="78" t="str">
        <f aca="true">IF(INDEX(INDIRECT("'"&amp;LEFT($A54,LEN($A54)-1)&amp;"'!$H$13:$J$41"),MATCH(AG$1,INDIRECT("'"&amp;LEFT($A54,LEN($A54)-1)&amp;"'!$A$13:$A$41"),0),VALUE(RIGHT($A54,1)))="YES",$H54,IF(INDEX(INDIRECT("'"&amp;LEFT($A54,LEN($A54)-1)&amp;"'!$H$13:$J$41"),MATCH(AG$1,INDIRECT("'"&amp;LEFT($A54,LEN($A54)-1)&amp;"'!$A$13:$A$41"),0),VALUE(RIGHT($A54,1)))="NO",0,"?"))</f>
        <v>?</v>
      </c>
      <c r="AH54" s="78" t="str">
        <f aca="true">IF(INDEX(INDIRECT("'"&amp;LEFT($A54,LEN($A54)-1)&amp;"'!$H$13:$J$41"),MATCH(AH$1,INDIRECT("'"&amp;LEFT($A54,LEN($A54)-1)&amp;"'!$A$13:$A$41"),0),VALUE(RIGHT($A54,1)))="YES",$H54,IF(INDEX(INDIRECT("'"&amp;LEFT($A54,LEN($A54)-1)&amp;"'!$H$13:$J$41"),MATCH(AH$1,INDIRECT("'"&amp;LEFT($A54,LEN($A54)-1)&amp;"'!$A$13:$A$41"),0),VALUE(RIGHT($A54,1)))="NO",0,"?"))</f>
        <v>?</v>
      </c>
      <c r="AI54" s="78" t="str">
        <f aca="true">IF(INDEX(INDIRECT("'"&amp;LEFT($A54,LEN($A54)-1)&amp;"'!$H$13:$J$41"),MATCH(AI$1,INDIRECT("'"&amp;LEFT($A54,LEN($A54)-1)&amp;"'!$A$13:$A$41"),0),VALUE(RIGHT($A54,1)))="YES",$H54,IF(INDEX(INDIRECT("'"&amp;LEFT($A54,LEN($A54)-1)&amp;"'!$H$13:$J$41"),MATCH(AI$1,INDIRECT("'"&amp;LEFT($A54,LEN($A54)-1)&amp;"'!$A$13:$A$41"),0),VALUE(RIGHT($A54,1)))="NO",0,"?"))</f>
        <v>?</v>
      </c>
      <c r="AJ54" s="78" t="str">
        <f aca="true">IF(INDEX(INDIRECT("'"&amp;LEFT($A54,LEN($A54)-1)&amp;"'!$H$13:$J$41"),MATCH(AJ$1,INDIRECT("'"&amp;LEFT($A54,LEN($A54)-1)&amp;"'!$A$13:$A$41"),0),VALUE(RIGHT($A54,1)))="YES",$H54,IF(INDEX(INDIRECT("'"&amp;LEFT($A54,LEN($A54)-1)&amp;"'!$H$13:$J$41"),MATCH(AJ$1,INDIRECT("'"&amp;LEFT($A54,LEN($A54)-1)&amp;"'!$A$13:$A$41"),0),VALUE(RIGHT($A54,1)))="NO",0,"?"))</f>
        <v>?</v>
      </c>
      <c r="AK54" s="78" t="str">
        <f aca="true">IF(INDEX(INDIRECT("'"&amp;LEFT($A54,LEN($A54)-1)&amp;"'!$H$13:$J$41"),MATCH(AK$1,INDIRECT("'"&amp;LEFT($A54,LEN($A54)-1)&amp;"'!$A$13:$A$41"),0),VALUE(RIGHT($A54,1)))="YES",$H54,IF(INDEX(INDIRECT("'"&amp;LEFT($A54,LEN($A54)-1)&amp;"'!$H$13:$J$41"),MATCH(AK$1,INDIRECT("'"&amp;LEFT($A54,LEN($A54)-1)&amp;"'!$A$13:$A$41"),0),VALUE(RIGHT($A54,1)))="NO",0,"?"))</f>
        <v>?</v>
      </c>
    </row>
    <row r="55" customFormat="false" ht="14.25" hidden="false" customHeight="true" outlineLevel="0" collapsed="false">
      <c r="A55" s="74" t="s">
        <v>271</v>
      </c>
      <c r="B55" s="75" t="str">
        <f aca="false">IF(ISBLANK($A55),"NO_CODE",VLOOKUP($A55,'UPD Questions_290926 '!$E$1:$N$300,MATCH(B$1,'UPD Questions_290926 '!$E$1:$N$1,0),0)&amp;"")</f>
        <v>Implementation</v>
      </c>
      <c r="C55" s="75" t="str">
        <f aca="false">IF(ISBLANK($A55),"NO_CODE",VLOOKUP($A55,'UPD Questions_290926 '!$E$1:$N$300,MATCH(C$1,'UPD Questions_290926 '!$E$1:$N$1,0),0)&amp;"")</f>
        <v>Sectoral planning</v>
      </c>
      <c r="D55" s="75" t="str">
        <f aca="false">IF(ISBLANK($A55),"NO_CODE",VLOOKUP($A55,'UPD Questions_290926 '!$E$1:$N$300,MATCH(D$1,'UPD Questions_290926 '!$E$1:$N$1,0),0)&amp;"")</f>
        <v>Water supply and sewerage, sanitation, solid waste management </v>
      </c>
      <c r="E55" s="75" t="str">
        <f aca="false">IF(ISBLANK($A55),"NO_CODE",VLOOKUP($A55,'UPD Questions_290926 '!$E$1:$N$300,MATCH(E$1,'UPD Questions_290926 '!$E$1:$N$1,0),0)&amp;"")</f>
        <v>SQ3</v>
      </c>
      <c r="F55" s="75" t="str">
        <f aca="false">IF(ISBLANK($A55),"NO_CODE",VLOOKUP($A55,'UPD Questions_290926 '!$E$1:$N$300,MATCH(F$1,'UPD Questions_290926 '!$E$1:$N$1,0),0)&amp;"")</f>
        <v>c)  City Sanitation Plan</v>
      </c>
      <c r="G55" s="75" t="str">
        <f aca="false">IF(ISBLANK($A55),"NO_CODE",VLOOKUP($A55,'UPD Questions_290926 '!$E$1:$N$300,MATCH(G$1,'UPD Questions_290926 '!$E$1:$N$1,0),0)&amp;"")</f>
        <v>Implementation</v>
      </c>
      <c r="H55" s="77" t="n">
        <f aca="false">IF(ISBLANK($A55),"NO_CODE",VLOOKUP($A55,'UPD Questions_290926 '!$E$1:$N$300,MATCH(H$1,'UPD Questions_290926 '!$E$1:$N$1,0),0))</f>
        <v>1.11</v>
      </c>
      <c r="I55" s="78" t="str">
        <f aca="true">IF(INDEX(INDIRECT("'"&amp;LEFT($A55,LEN($A55)-1)&amp;"'!$H$13:$J$41"),MATCH(I$1,INDIRECT("'"&amp;LEFT($A55,LEN($A55)-1)&amp;"'!$A$13:$A$41"),0),VALUE(RIGHT($A55,1)))="YES",$H55,IF(INDEX(INDIRECT("'"&amp;LEFT($A55,LEN($A55)-1)&amp;"'!$H$13:$J$41"),MATCH(I$1,INDIRECT("'"&amp;LEFT($A55,LEN($A55)-1)&amp;"'!$A$13:$A$41"),0),VALUE(RIGHT($A55,1)))="NO",0,"?"))</f>
        <v>?</v>
      </c>
      <c r="J55" s="78" t="n">
        <f aca="true">IF(INDEX(INDIRECT("'"&amp;LEFT($A55,LEN($A55)-1)&amp;"'!$H$13:$J$41"),MATCH(J$1,INDIRECT("'"&amp;LEFT($A55,LEN($A55)-1)&amp;"'!$A$13:$A$41"),0),VALUE(RIGHT($A55,1)))="YES",$H55,IF(INDEX(INDIRECT("'"&amp;LEFT($A55,LEN($A55)-1)&amp;"'!$H$13:$J$41"),MATCH(J$1,INDIRECT("'"&amp;LEFT($A55,LEN($A55)-1)&amp;"'!$A$13:$A$41"),0),VALUE(RIGHT($A55,1)))="NO",0,"?"))</f>
        <v>0</v>
      </c>
      <c r="K55" s="78" t="str">
        <f aca="true">IF(INDEX(INDIRECT("'"&amp;LEFT($A55,LEN($A55)-1)&amp;"'!$H$13:$J$41"),MATCH(K$1,INDIRECT("'"&amp;LEFT($A55,LEN($A55)-1)&amp;"'!$A$13:$A$41"),0),VALUE(RIGHT($A55,1)))="YES",$H55,IF(INDEX(INDIRECT("'"&amp;LEFT($A55,LEN($A55)-1)&amp;"'!$H$13:$J$41"),MATCH(K$1,INDIRECT("'"&amp;LEFT($A55,LEN($A55)-1)&amp;"'!$A$13:$A$41"),0),VALUE(RIGHT($A55,1)))="NO",0,"?"))</f>
        <v>?</v>
      </c>
      <c r="L55" s="78" t="str">
        <f aca="true">IF(INDEX(INDIRECT("'"&amp;LEFT($A55,LEN($A55)-1)&amp;"'!$H$13:$J$41"),MATCH(L$1,INDIRECT("'"&amp;LEFT($A55,LEN($A55)-1)&amp;"'!$A$13:$A$41"),0),VALUE(RIGHT($A55,1)))="YES",$H55,IF(INDEX(INDIRECT("'"&amp;LEFT($A55,LEN($A55)-1)&amp;"'!$H$13:$J$41"),MATCH(L$1,INDIRECT("'"&amp;LEFT($A55,LEN($A55)-1)&amp;"'!$A$13:$A$41"),0),VALUE(RIGHT($A55,1)))="NO",0,"?"))</f>
        <v>?</v>
      </c>
      <c r="M55" s="78" t="str">
        <f aca="true">IF(INDEX(INDIRECT("'"&amp;LEFT($A55,LEN($A55)-1)&amp;"'!$H$13:$J$41"),MATCH(M$1,INDIRECT("'"&amp;LEFT($A55,LEN($A55)-1)&amp;"'!$A$13:$A$41"),0),VALUE(RIGHT($A55,1)))="YES",$H55,IF(INDEX(INDIRECT("'"&amp;LEFT($A55,LEN($A55)-1)&amp;"'!$H$13:$J$41"),MATCH(M$1,INDIRECT("'"&amp;LEFT($A55,LEN($A55)-1)&amp;"'!$A$13:$A$41"),0),VALUE(RIGHT($A55,1)))="NO",0,"?"))</f>
        <v>?</v>
      </c>
      <c r="N55" s="78" t="str">
        <f aca="true">IF(INDEX(INDIRECT("'"&amp;LEFT($A55,LEN($A55)-1)&amp;"'!$H$13:$J$41"),MATCH(N$1,INDIRECT("'"&amp;LEFT($A55,LEN($A55)-1)&amp;"'!$A$13:$A$41"),0),VALUE(RIGHT($A55,1)))="YES",$H55,IF(INDEX(INDIRECT("'"&amp;LEFT($A55,LEN($A55)-1)&amp;"'!$H$13:$J$41"),MATCH(N$1,INDIRECT("'"&amp;LEFT($A55,LEN($A55)-1)&amp;"'!$A$13:$A$41"),0),VALUE(RIGHT($A55,1)))="NO",0,"?"))</f>
        <v>?</v>
      </c>
      <c r="O55" s="78" t="str">
        <f aca="true">IF(INDEX(INDIRECT("'"&amp;LEFT($A55,LEN($A55)-1)&amp;"'!$H$13:$J$41"),MATCH(O$1,INDIRECT("'"&amp;LEFT($A55,LEN($A55)-1)&amp;"'!$A$13:$A$41"),0),VALUE(RIGHT($A55,1)))="YES",$H55,IF(INDEX(INDIRECT("'"&amp;LEFT($A55,LEN($A55)-1)&amp;"'!$H$13:$J$41"),MATCH(O$1,INDIRECT("'"&amp;LEFT($A55,LEN($A55)-1)&amp;"'!$A$13:$A$41"),0),VALUE(RIGHT($A55,1)))="NO",0,"?"))</f>
        <v>?</v>
      </c>
      <c r="P55" s="78" t="str">
        <f aca="true">IF(INDEX(INDIRECT("'"&amp;LEFT($A55,LEN($A55)-1)&amp;"'!$H$13:$J$41"),MATCH(P$1,INDIRECT("'"&amp;LEFT($A55,LEN($A55)-1)&amp;"'!$A$13:$A$41"),0),VALUE(RIGHT($A55,1)))="YES",$H55,IF(INDEX(INDIRECT("'"&amp;LEFT($A55,LEN($A55)-1)&amp;"'!$H$13:$J$41"),MATCH(P$1,INDIRECT("'"&amp;LEFT($A55,LEN($A55)-1)&amp;"'!$A$13:$A$41"),0),VALUE(RIGHT($A55,1)))="NO",0,"?"))</f>
        <v>?</v>
      </c>
      <c r="Q55" s="78" t="str">
        <f aca="true">IF(INDEX(INDIRECT("'"&amp;LEFT($A55,LEN($A55)-1)&amp;"'!$H$13:$J$41"),MATCH(Q$1,INDIRECT("'"&amp;LEFT($A55,LEN($A55)-1)&amp;"'!$A$13:$A$41"),0),VALUE(RIGHT($A55,1)))="YES",$H55,IF(INDEX(INDIRECT("'"&amp;LEFT($A55,LEN($A55)-1)&amp;"'!$H$13:$J$41"),MATCH(Q$1,INDIRECT("'"&amp;LEFT($A55,LEN($A55)-1)&amp;"'!$A$13:$A$41"),0),VALUE(RIGHT($A55,1)))="NO",0,"?"))</f>
        <v>?</v>
      </c>
      <c r="R55" s="78" t="str">
        <f aca="true">IF(INDEX(INDIRECT("'"&amp;LEFT($A55,LEN($A55)-1)&amp;"'!$H$13:$J$41"),MATCH(R$1,INDIRECT("'"&amp;LEFT($A55,LEN($A55)-1)&amp;"'!$A$13:$A$41"),0),VALUE(RIGHT($A55,1)))="YES",$H55,IF(INDEX(INDIRECT("'"&amp;LEFT($A55,LEN($A55)-1)&amp;"'!$H$13:$J$41"),MATCH(R$1,INDIRECT("'"&amp;LEFT($A55,LEN($A55)-1)&amp;"'!$A$13:$A$41"),0),VALUE(RIGHT($A55,1)))="NO",0,"?"))</f>
        <v>?</v>
      </c>
      <c r="S55" s="78" t="str">
        <f aca="true">IF(INDEX(INDIRECT("'"&amp;LEFT($A55,LEN($A55)-1)&amp;"'!$H$13:$J$41"),MATCH(S$1,INDIRECT("'"&amp;LEFT($A55,LEN($A55)-1)&amp;"'!$A$13:$A$41"),0),VALUE(RIGHT($A55,1)))="YES",$H55,IF(INDEX(INDIRECT("'"&amp;LEFT($A55,LEN($A55)-1)&amp;"'!$H$13:$J$41"),MATCH(S$1,INDIRECT("'"&amp;LEFT($A55,LEN($A55)-1)&amp;"'!$A$13:$A$41"),0),VALUE(RIGHT($A55,1)))="NO",0,"?"))</f>
        <v>?</v>
      </c>
      <c r="T55" s="78" t="str">
        <f aca="true">IF(INDEX(INDIRECT("'"&amp;LEFT($A55,LEN($A55)-1)&amp;"'!$H$13:$J$41"),MATCH(T$1,INDIRECT("'"&amp;LEFT($A55,LEN($A55)-1)&amp;"'!$A$13:$A$41"),0),VALUE(RIGHT($A55,1)))="YES",$H55,IF(INDEX(INDIRECT("'"&amp;LEFT($A55,LEN($A55)-1)&amp;"'!$H$13:$J$41"),MATCH(T$1,INDIRECT("'"&amp;LEFT($A55,LEN($A55)-1)&amp;"'!$A$13:$A$41"),0),VALUE(RIGHT($A55,1)))="NO",0,"?"))</f>
        <v>?</v>
      </c>
      <c r="U55" s="78" t="str">
        <f aca="true">IF(INDEX(INDIRECT("'"&amp;LEFT($A55,LEN($A55)-1)&amp;"'!$H$13:$J$41"),MATCH(U$1,INDIRECT("'"&amp;LEFT($A55,LEN($A55)-1)&amp;"'!$A$13:$A$41"),0),VALUE(RIGHT($A55,1)))="YES",$H55,IF(INDEX(INDIRECT("'"&amp;LEFT($A55,LEN($A55)-1)&amp;"'!$H$13:$J$41"),MATCH(U$1,INDIRECT("'"&amp;LEFT($A55,LEN($A55)-1)&amp;"'!$A$13:$A$41"),0),VALUE(RIGHT($A55,1)))="NO",0,"?"))</f>
        <v>?</v>
      </c>
      <c r="V55" s="78" t="str">
        <f aca="true">IF(INDEX(INDIRECT("'"&amp;LEFT($A55,LEN($A55)-1)&amp;"'!$H$13:$J$41"),MATCH(V$1,INDIRECT("'"&amp;LEFT($A55,LEN($A55)-1)&amp;"'!$A$13:$A$41"),0),VALUE(RIGHT($A55,1)))="YES",$H55,IF(INDEX(INDIRECT("'"&amp;LEFT($A55,LEN($A55)-1)&amp;"'!$H$13:$J$41"),MATCH(V$1,INDIRECT("'"&amp;LEFT($A55,LEN($A55)-1)&amp;"'!$A$13:$A$41"),0),VALUE(RIGHT($A55,1)))="NO",0,"?"))</f>
        <v>?</v>
      </c>
      <c r="W55" s="78" t="str">
        <f aca="true">IF(INDEX(INDIRECT("'"&amp;LEFT($A55,LEN($A55)-1)&amp;"'!$H$13:$J$41"),MATCH(W$1,INDIRECT("'"&amp;LEFT($A55,LEN($A55)-1)&amp;"'!$A$13:$A$41"),0),VALUE(RIGHT($A55,1)))="YES",$H55,IF(INDEX(INDIRECT("'"&amp;LEFT($A55,LEN($A55)-1)&amp;"'!$H$13:$J$41"),MATCH(W$1,INDIRECT("'"&amp;LEFT($A55,LEN($A55)-1)&amp;"'!$A$13:$A$41"),0),VALUE(RIGHT($A55,1)))="NO",0,"?"))</f>
        <v>?</v>
      </c>
      <c r="X55" s="78" t="str">
        <f aca="true">IF(INDEX(INDIRECT("'"&amp;LEFT($A55,LEN($A55)-1)&amp;"'!$H$13:$J$41"),MATCH(X$1,INDIRECT("'"&amp;LEFT($A55,LEN($A55)-1)&amp;"'!$A$13:$A$41"),0),VALUE(RIGHT($A55,1)))="YES",$H55,IF(INDEX(INDIRECT("'"&amp;LEFT($A55,LEN($A55)-1)&amp;"'!$H$13:$J$41"),MATCH(X$1,INDIRECT("'"&amp;LEFT($A55,LEN($A55)-1)&amp;"'!$A$13:$A$41"),0),VALUE(RIGHT($A55,1)))="NO",0,"?"))</f>
        <v>?</v>
      </c>
      <c r="Y55" s="78" t="str">
        <f aca="true">IF(INDEX(INDIRECT("'"&amp;LEFT($A55,LEN($A55)-1)&amp;"'!$H$13:$J$41"),MATCH(Y$1,INDIRECT("'"&amp;LEFT($A55,LEN($A55)-1)&amp;"'!$A$13:$A$41"),0),VALUE(RIGHT($A55,1)))="YES",$H55,IF(INDEX(INDIRECT("'"&amp;LEFT($A55,LEN($A55)-1)&amp;"'!$H$13:$J$41"),MATCH(Y$1,INDIRECT("'"&amp;LEFT($A55,LEN($A55)-1)&amp;"'!$A$13:$A$41"),0),VALUE(RIGHT($A55,1)))="NO",0,"?"))</f>
        <v>?</v>
      </c>
      <c r="Z55" s="78" t="str">
        <f aca="true">IF(INDEX(INDIRECT("'"&amp;LEFT($A55,LEN($A55)-1)&amp;"'!$H$13:$J$41"),MATCH(Z$1,INDIRECT("'"&amp;LEFT($A55,LEN($A55)-1)&amp;"'!$A$13:$A$41"),0),VALUE(RIGHT($A55,1)))="YES",$H55,IF(INDEX(INDIRECT("'"&amp;LEFT($A55,LEN($A55)-1)&amp;"'!$H$13:$J$41"),MATCH(Z$1,INDIRECT("'"&amp;LEFT($A55,LEN($A55)-1)&amp;"'!$A$13:$A$41"),0),VALUE(RIGHT($A55,1)))="NO",0,"?"))</f>
        <v>?</v>
      </c>
      <c r="AA55" s="78" t="str">
        <f aca="true">IF(INDEX(INDIRECT("'"&amp;LEFT($A55,LEN($A55)-1)&amp;"'!$H$13:$J$41"),MATCH(AA$1,INDIRECT("'"&amp;LEFT($A55,LEN($A55)-1)&amp;"'!$A$13:$A$41"),0),VALUE(RIGHT($A55,1)))="YES",$H55,IF(INDEX(INDIRECT("'"&amp;LEFT($A55,LEN($A55)-1)&amp;"'!$H$13:$J$41"),MATCH(AA$1,INDIRECT("'"&amp;LEFT($A55,LEN($A55)-1)&amp;"'!$A$13:$A$41"),0),VALUE(RIGHT($A55,1)))="NO",0,"?"))</f>
        <v>?</v>
      </c>
      <c r="AB55" s="78" t="str">
        <f aca="true">IF(INDEX(INDIRECT("'"&amp;LEFT($A55,LEN($A55)-1)&amp;"'!$H$13:$J$41"),MATCH(AB$1,INDIRECT("'"&amp;LEFT($A55,LEN($A55)-1)&amp;"'!$A$13:$A$41"),0),VALUE(RIGHT($A55,1)))="YES",$H55,IF(INDEX(INDIRECT("'"&amp;LEFT($A55,LEN($A55)-1)&amp;"'!$H$13:$J$41"),MATCH(AB$1,INDIRECT("'"&amp;LEFT($A55,LEN($A55)-1)&amp;"'!$A$13:$A$41"),0),VALUE(RIGHT($A55,1)))="NO",0,"?"))</f>
        <v>?</v>
      </c>
      <c r="AC55" s="78" t="str">
        <f aca="true">IF(INDEX(INDIRECT("'"&amp;LEFT($A55,LEN($A55)-1)&amp;"'!$H$13:$J$41"),MATCH(AC$1,INDIRECT("'"&amp;LEFT($A55,LEN($A55)-1)&amp;"'!$A$13:$A$41"),0),VALUE(RIGHT($A55,1)))="YES",$H55,IF(INDEX(INDIRECT("'"&amp;LEFT($A55,LEN($A55)-1)&amp;"'!$H$13:$J$41"),MATCH(AC$1,INDIRECT("'"&amp;LEFT($A55,LEN($A55)-1)&amp;"'!$A$13:$A$41"),0),VALUE(RIGHT($A55,1)))="NO",0,"?"))</f>
        <v>?</v>
      </c>
      <c r="AD55" s="78" t="str">
        <f aca="true">IF(INDEX(INDIRECT("'"&amp;LEFT($A55,LEN($A55)-1)&amp;"'!$H$13:$J$41"),MATCH(AD$1,INDIRECT("'"&amp;LEFT($A55,LEN($A55)-1)&amp;"'!$A$13:$A$41"),0),VALUE(RIGHT($A55,1)))="YES",$H55,IF(INDEX(INDIRECT("'"&amp;LEFT($A55,LEN($A55)-1)&amp;"'!$H$13:$J$41"),MATCH(AD$1,INDIRECT("'"&amp;LEFT($A55,LEN($A55)-1)&amp;"'!$A$13:$A$41"),0),VALUE(RIGHT($A55,1)))="NO",0,"?"))</f>
        <v>?</v>
      </c>
      <c r="AE55" s="78" t="str">
        <f aca="true">IF(INDEX(INDIRECT("'"&amp;LEFT($A55,LEN($A55)-1)&amp;"'!$H$13:$J$41"),MATCH(AE$1,INDIRECT("'"&amp;LEFT($A55,LEN($A55)-1)&amp;"'!$A$13:$A$41"),0),VALUE(RIGHT($A55,1)))="YES",$H55,IF(INDEX(INDIRECT("'"&amp;LEFT($A55,LEN($A55)-1)&amp;"'!$H$13:$J$41"),MATCH(AE$1,INDIRECT("'"&amp;LEFT($A55,LEN($A55)-1)&amp;"'!$A$13:$A$41"),0),VALUE(RIGHT($A55,1)))="NO",0,"?"))</f>
        <v>?</v>
      </c>
      <c r="AF55" s="78" t="str">
        <f aca="true">IF(INDEX(INDIRECT("'"&amp;LEFT($A55,LEN($A55)-1)&amp;"'!$H$13:$J$41"),MATCH(AF$1,INDIRECT("'"&amp;LEFT($A55,LEN($A55)-1)&amp;"'!$A$13:$A$41"),0),VALUE(RIGHT($A55,1)))="YES",$H55,IF(INDEX(INDIRECT("'"&amp;LEFT($A55,LEN($A55)-1)&amp;"'!$H$13:$J$41"),MATCH(AF$1,INDIRECT("'"&amp;LEFT($A55,LEN($A55)-1)&amp;"'!$A$13:$A$41"),0),VALUE(RIGHT($A55,1)))="NO",0,"?"))</f>
        <v>?</v>
      </c>
      <c r="AG55" s="78" t="str">
        <f aca="true">IF(INDEX(INDIRECT("'"&amp;LEFT($A55,LEN($A55)-1)&amp;"'!$H$13:$J$41"),MATCH(AG$1,INDIRECT("'"&amp;LEFT($A55,LEN($A55)-1)&amp;"'!$A$13:$A$41"),0),VALUE(RIGHT($A55,1)))="YES",$H55,IF(INDEX(INDIRECT("'"&amp;LEFT($A55,LEN($A55)-1)&amp;"'!$H$13:$J$41"),MATCH(AG$1,INDIRECT("'"&amp;LEFT($A55,LEN($A55)-1)&amp;"'!$A$13:$A$41"),0),VALUE(RIGHT($A55,1)))="NO",0,"?"))</f>
        <v>?</v>
      </c>
      <c r="AH55" s="78" t="str">
        <f aca="true">IF(INDEX(INDIRECT("'"&amp;LEFT($A55,LEN($A55)-1)&amp;"'!$H$13:$J$41"),MATCH(AH$1,INDIRECT("'"&amp;LEFT($A55,LEN($A55)-1)&amp;"'!$A$13:$A$41"),0),VALUE(RIGHT($A55,1)))="YES",$H55,IF(INDEX(INDIRECT("'"&amp;LEFT($A55,LEN($A55)-1)&amp;"'!$H$13:$J$41"),MATCH(AH$1,INDIRECT("'"&amp;LEFT($A55,LEN($A55)-1)&amp;"'!$A$13:$A$41"),0),VALUE(RIGHT($A55,1)))="NO",0,"?"))</f>
        <v>?</v>
      </c>
      <c r="AI55" s="78" t="str">
        <f aca="true">IF(INDEX(INDIRECT("'"&amp;LEFT($A55,LEN($A55)-1)&amp;"'!$H$13:$J$41"),MATCH(AI$1,INDIRECT("'"&amp;LEFT($A55,LEN($A55)-1)&amp;"'!$A$13:$A$41"),0),VALUE(RIGHT($A55,1)))="YES",$H55,IF(INDEX(INDIRECT("'"&amp;LEFT($A55,LEN($A55)-1)&amp;"'!$H$13:$J$41"),MATCH(AI$1,INDIRECT("'"&amp;LEFT($A55,LEN($A55)-1)&amp;"'!$A$13:$A$41"),0),VALUE(RIGHT($A55,1)))="NO",0,"?"))</f>
        <v>?</v>
      </c>
      <c r="AJ55" s="78" t="str">
        <f aca="true">IF(INDEX(INDIRECT("'"&amp;LEFT($A55,LEN($A55)-1)&amp;"'!$H$13:$J$41"),MATCH(AJ$1,INDIRECT("'"&amp;LEFT($A55,LEN($A55)-1)&amp;"'!$A$13:$A$41"),0),VALUE(RIGHT($A55,1)))="YES",$H55,IF(INDEX(INDIRECT("'"&amp;LEFT($A55,LEN($A55)-1)&amp;"'!$H$13:$J$41"),MATCH(AJ$1,INDIRECT("'"&amp;LEFT($A55,LEN($A55)-1)&amp;"'!$A$13:$A$41"),0),VALUE(RIGHT($A55,1)))="NO",0,"?"))</f>
        <v>?</v>
      </c>
      <c r="AK55" s="78" t="str">
        <f aca="true">IF(INDEX(INDIRECT("'"&amp;LEFT($A55,LEN($A55)-1)&amp;"'!$H$13:$J$41"),MATCH(AK$1,INDIRECT("'"&amp;LEFT($A55,LEN($A55)-1)&amp;"'!$A$13:$A$41"),0),VALUE(RIGHT($A55,1)))="YES",$H55,IF(INDEX(INDIRECT("'"&amp;LEFT($A55,LEN($A55)-1)&amp;"'!$H$13:$J$41"),MATCH(AK$1,INDIRECT("'"&amp;LEFT($A55,LEN($A55)-1)&amp;"'!$A$13:$A$41"),0),VALUE(RIGHT($A55,1)))="NO",0,"?"))</f>
        <v>?</v>
      </c>
    </row>
    <row r="56" customFormat="false" ht="14.25" hidden="false" customHeight="true" outlineLevel="0" collapsed="false">
      <c r="A56" s="74" t="s">
        <v>275</v>
      </c>
      <c r="B56" s="75" t="str">
        <f aca="false">IF(ISBLANK($A56),"NO_CODE",VLOOKUP($A56,'UPD Questions_290926 '!$E$1:$N$300,MATCH(B$1,'UPD Questions_290926 '!$E$1:$N$1,0),0)&amp;"")</f>
        <v>Implementation</v>
      </c>
      <c r="C56" s="75" t="str">
        <f aca="false">IF(ISBLANK($A56),"NO_CODE",VLOOKUP($A56,'UPD Questions_290926 '!$E$1:$N$300,MATCH(C$1,'UPD Questions_290926 '!$E$1:$N$1,0),0)&amp;"")</f>
        <v>Sectoral planning</v>
      </c>
      <c r="D56" s="75" t="str">
        <f aca="false">IF(ISBLANK($A56),"NO_CODE",VLOOKUP($A56,'UPD Questions_290926 '!$E$1:$N$300,MATCH(D$1,'UPD Questions_290926 '!$E$1:$N$1,0),0)&amp;"")</f>
        <v>Water supply and sewerage, sanitation, solid waste management </v>
      </c>
      <c r="E56" s="75" t="str">
        <f aca="false">IF(ISBLANK($A56),"NO_CODE",VLOOKUP($A56,'UPD Questions_290926 '!$E$1:$N$300,MATCH(E$1,'UPD Questions_290926 '!$E$1:$N$1,0),0)&amp;"")</f>
        <v>SQ</v>
      </c>
      <c r="F56" s="75" t="str">
        <f aca="false">IF(ISBLANK($A56),"NO_CODE",VLOOKUP($A56,'UPD Questions_290926 '!$E$1:$N$300,MATCH(F$1,'UPD Questions_290926 '!$E$1:$N$1,0),0)&amp;"")</f>
        <v>Does the plan have development priorities and measureable objectives?</v>
      </c>
      <c r="G56" s="75" t="str">
        <f aca="false">IF(ISBLANK($A56),"NO_CODE",VLOOKUP($A56,'UPD Questions_290926 '!$E$1:$N$300,MATCH(G$1,'UPD Questions_290926 '!$E$1:$N$1,0),0)&amp;"")</f>
        <v>Implementation</v>
      </c>
      <c r="H56" s="77" t="n">
        <f aca="false">IF(ISBLANK($A56),"NO_CODE",VLOOKUP($A56,'UPD Questions_290926 '!$E$1:$N$300,MATCH(H$1,'UPD Questions_290926 '!$E$1:$N$1,0),0))</f>
        <v>3.33</v>
      </c>
      <c r="I56" s="78" t="str">
        <f aca="true">IF($H56=0,"NA",IF($A56=INDIRECT("'"&amp;$A56&amp;"'!$B$1"),IF(VLOOKUP(I$1,INDIRECT("'"&amp;$A56&amp;"'!$A$12:$Z$41"),MATCH("Points (Auto-generate)",INDIRECT("'"&amp;$A56&amp;"'!$A$12:$Z$12"),0),0)="","?",VLOOKUP(I$1,INDIRECT("'"&amp;$A56&amp;"'!$A$12:$Z$41"),MATCH("Points (Auto-generate)",INDIRECT("'"&amp;$A56&amp;"'!$A$12:$Z$12"),0),0)),"ER"))</f>
        <v>?</v>
      </c>
      <c r="J56" s="78" t="n">
        <f aca="true">IF($H56=0,"NA",IF($A56=INDIRECT("'"&amp;$A56&amp;"'!$B$1"),IF(VLOOKUP(J$1,INDIRECT("'"&amp;$A56&amp;"'!$A$12:$Z$41"),MATCH("Points (Auto-generate)",INDIRECT("'"&amp;$A56&amp;"'!$A$12:$Z$12"),0),0)="","?",VLOOKUP(J$1,INDIRECT("'"&amp;$A56&amp;"'!$A$12:$Z$41"),MATCH("Points (Auto-generate)",INDIRECT("'"&amp;$A56&amp;"'!$A$12:$Z$12"),0),0)),"ER"))</f>
        <v>1.11</v>
      </c>
      <c r="K56" s="78" t="str">
        <f aca="true">IF($H56=0,"NA",IF($A56=INDIRECT("'"&amp;$A56&amp;"'!$B$1"),IF(VLOOKUP(K$1,INDIRECT("'"&amp;$A56&amp;"'!$A$12:$Z$41"),MATCH("Points (Auto-generate)",INDIRECT("'"&amp;$A56&amp;"'!$A$12:$Z$12"),0),0)="","?",VLOOKUP(K$1,INDIRECT("'"&amp;$A56&amp;"'!$A$12:$Z$41"),MATCH("Points (Auto-generate)",INDIRECT("'"&amp;$A56&amp;"'!$A$12:$Z$12"),0),0)),"ER"))</f>
        <v>?</v>
      </c>
      <c r="L56" s="78" t="str">
        <f aca="true">IF($H56=0,"NA",IF($A56=INDIRECT("'"&amp;$A56&amp;"'!$B$1"),IF(VLOOKUP(L$1,INDIRECT("'"&amp;$A56&amp;"'!$A$12:$Z$41"),MATCH("Points (Auto-generate)",INDIRECT("'"&amp;$A56&amp;"'!$A$12:$Z$12"),0),0)="","?",VLOOKUP(L$1,INDIRECT("'"&amp;$A56&amp;"'!$A$12:$Z$41"),MATCH("Points (Auto-generate)",INDIRECT("'"&amp;$A56&amp;"'!$A$12:$Z$12"),0),0)),"ER"))</f>
        <v>?</v>
      </c>
      <c r="M56" s="78" t="str">
        <f aca="true">IF($H56=0,"NA",IF($A56=INDIRECT("'"&amp;$A56&amp;"'!$B$1"),IF(VLOOKUP(M$1,INDIRECT("'"&amp;$A56&amp;"'!$A$12:$Z$41"),MATCH("Points (Auto-generate)",INDIRECT("'"&amp;$A56&amp;"'!$A$12:$Z$12"),0),0)="","?",VLOOKUP(M$1,INDIRECT("'"&amp;$A56&amp;"'!$A$12:$Z$41"),MATCH("Points (Auto-generate)",INDIRECT("'"&amp;$A56&amp;"'!$A$12:$Z$12"),0),0)),"ER"))</f>
        <v>?</v>
      </c>
      <c r="N56" s="78" t="str">
        <f aca="true">IF($H56=0,"NA",IF($A56=INDIRECT("'"&amp;$A56&amp;"'!$B$1"),IF(VLOOKUP(N$1,INDIRECT("'"&amp;$A56&amp;"'!$A$12:$Z$41"),MATCH("Points (Auto-generate)",INDIRECT("'"&amp;$A56&amp;"'!$A$12:$Z$12"),0),0)="","?",VLOOKUP(N$1,INDIRECT("'"&amp;$A56&amp;"'!$A$12:$Z$41"),MATCH("Points (Auto-generate)",INDIRECT("'"&amp;$A56&amp;"'!$A$12:$Z$12"),0),0)),"ER"))</f>
        <v>?</v>
      </c>
      <c r="O56" s="78" t="str">
        <f aca="true">IF($H56=0,"NA",IF($A56=INDIRECT("'"&amp;$A56&amp;"'!$B$1"),IF(VLOOKUP(O$1,INDIRECT("'"&amp;$A56&amp;"'!$A$12:$Z$41"),MATCH("Points (Auto-generate)",INDIRECT("'"&amp;$A56&amp;"'!$A$12:$Z$12"),0),0)="","?",VLOOKUP(O$1,INDIRECT("'"&amp;$A56&amp;"'!$A$12:$Z$41"),MATCH("Points (Auto-generate)",INDIRECT("'"&amp;$A56&amp;"'!$A$12:$Z$12"),0),0)),"ER"))</f>
        <v>?</v>
      </c>
      <c r="P56" s="78" t="str">
        <f aca="true">IF($H56=0,"NA",IF($A56=INDIRECT("'"&amp;$A56&amp;"'!$B$1"),IF(VLOOKUP(P$1,INDIRECT("'"&amp;$A56&amp;"'!$A$12:$Z$41"),MATCH("Points (Auto-generate)",INDIRECT("'"&amp;$A56&amp;"'!$A$12:$Z$12"),0),0)="","?",VLOOKUP(P$1,INDIRECT("'"&amp;$A56&amp;"'!$A$12:$Z$41"),MATCH("Points (Auto-generate)",INDIRECT("'"&amp;$A56&amp;"'!$A$12:$Z$12"),0),0)),"ER"))</f>
        <v>?</v>
      </c>
      <c r="Q56" s="78" t="str">
        <f aca="true">IF($H56=0,"NA",IF($A56=INDIRECT("'"&amp;$A56&amp;"'!$B$1"),IF(VLOOKUP(Q$1,INDIRECT("'"&amp;$A56&amp;"'!$A$12:$Z$41"),MATCH("Points (Auto-generate)",INDIRECT("'"&amp;$A56&amp;"'!$A$12:$Z$12"),0),0)="","?",VLOOKUP(Q$1,INDIRECT("'"&amp;$A56&amp;"'!$A$12:$Z$41"),MATCH("Points (Auto-generate)",INDIRECT("'"&amp;$A56&amp;"'!$A$12:$Z$12"),0),0)),"ER"))</f>
        <v>?</v>
      </c>
      <c r="R56" s="78" t="str">
        <f aca="true">IF($H56=0,"NA",IF($A56=INDIRECT("'"&amp;$A56&amp;"'!$B$1"),IF(VLOOKUP(R$1,INDIRECT("'"&amp;$A56&amp;"'!$A$12:$Z$41"),MATCH("Points (Auto-generate)",INDIRECT("'"&amp;$A56&amp;"'!$A$12:$Z$12"),0),0)="","?",VLOOKUP(R$1,INDIRECT("'"&amp;$A56&amp;"'!$A$12:$Z$41"),MATCH("Points (Auto-generate)",INDIRECT("'"&amp;$A56&amp;"'!$A$12:$Z$12"),0),0)),"ER"))</f>
        <v>?</v>
      </c>
      <c r="S56" s="78" t="str">
        <f aca="true">IF($H56=0,"NA",IF($A56=INDIRECT("'"&amp;$A56&amp;"'!$B$1"),IF(VLOOKUP(S$1,INDIRECT("'"&amp;$A56&amp;"'!$A$12:$Z$41"),MATCH("Points (Auto-generate)",INDIRECT("'"&amp;$A56&amp;"'!$A$12:$Z$12"),0),0)="","?",VLOOKUP(S$1,INDIRECT("'"&amp;$A56&amp;"'!$A$12:$Z$41"),MATCH("Points (Auto-generate)",INDIRECT("'"&amp;$A56&amp;"'!$A$12:$Z$12"),0),0)),"ER"))</f>
        <v>?</v>
      </c>
      <c r="T56" s="78" t="str">
        <f aca="true">IF($H56=0,"NA",IF($A56=INDIRECT("'"&amp;$A56&amp;"'!$B$1"),IF(VLOOKUP(T$1,INDIRECT("'"&amp;$A56&amp;"'!$A$12:$Z$41"),MATCH("Points (Auto-generate)",INDIRECT("'"&amp;$A56&amp;"'!$A$12:$Z$12"),0),0)="","?",VLOOKUP(T$1,INDIRECT("'"&amp;$A56&amp;"'!$A$12:$Z$41"),MATCH("Points (Auto-generate)",INDIRECT("'"&amp;$A56&amp;"'!$A$12:$Z$12"),0),0)),"ER"))</f>
        <v>?</v>
      </c>
      <c r="U56" s="78" t="str">
        <f aca="true">IF($H56=0,"NA",IF($A56=INDIRECT("'"&amp;$A56&amp;"'!$B$1"),IF(VLOOKUP(U$1,INDIRECT("'"&amp;$A56&amp;"'!$A$12:$Z$41"),MATCH("Points (Auto-generate)",INDIRECT("'"&amp;$A56&amp;"'!$A$12:$Z$12"),0),0)="","?",VLOOKUP(U$1,INDIRECT("'"&amp;$A56&amp;"'!$A$12:$Z$41"),MATCH("Points (Auto-generate)",INDIRECT("'"&amp;$A56&amp;"'!$A$12:$Z$12"),0),0)),"ER"))</f>
        <v>?</v>
      </c>
      <c r="V56" s="78" t="str">
        <f aca="true">IF($H56=0,"NA",IF($A56=INDIRECT("'"&amp;$A56&amp;"'!$B$1"),IF(VLOOKUP(V$1,INDIRECT("'"&amp;$A56&amp;"'!$A$12:$Z$41"),MATCH("Points (Auto-generate)",INDIRECT("'"&amp;$A56&amp;"'!$A$12:$Z$12"),0),0)="","?",VLOOKUP(V$1,INDIRECT("'"&amp;$A56&amp;"'!$A$12:$Z$41"),MATCH("Points (Auto-generate)",INDIRECT("'"&amp;$A56&amp;"'!$A$12:$Z$12"),0),0)),"ER"))</f>
        <v>?</v>
      </c>
      <c r="W56" s="78" t="str">
        <f aca="true">IF($H56=0,"NA",IF($A56=INDIRECT("'"&amp;$A56&amp;"'!$B$1"),IF(VLOOKUP(W$1,INDIRECT("'"&amp;$A56&amp;"'!$A$12:$Z$41"),MATCH("Points (Auto-generate)",INDIRECT("'"&amp;$A56&amp;"'!$A$12:$Z$12"),0),0)="","?",VLOOKUP(W$1,INDIRECT("'"&amp;$A56&amp;"'!$A$12:$Z$41"),MATCH("Points (Auto-generate)",INDIRECT("'"&amp;$A56&amp;"'!$A$12:$Z$12"),0),0)),"ER"))</f>
        <v>?</v>
      </c>
      <c r="X56" s="78" t="str">
        <f aca="true">IF($H56=0,"NA",IF($A56=INDIRECT("'"&amp;$A56&amp;"'!$B$1"),IF(VLOOKUP(X$1,INDIRECT("'"&amp;$A56&amp;"'!$A$12:$Z$41"),MATCH("Points (Auto-generate)",INDIRECT("'"&amp;$A56&amp;"'!$A$12:$Z$12"),0),0)="","?",VLOOKUP(X$1,INDIRECT("'"&amp;$A56&amp;"'!$A$12:$Z$41"),MATCH("Points (Auto-generate)",INDIRECT("'"&amp;$A56&amp;"'!$A$12:$Z$12"),0),0)),"ER"))</f>
        <v>?</v>
      </c>
      <c r="Y56" s="78" t="str">
        <f aca="true">IF($H56=0,"NA",IF($A56=INDIRECT("'"&amp;$A56&amp;"'!$B$1"),IF(VLOOKUP(Y$1,INDIRECT("'"&amp;$A56&amp;"'!$A$12:$Z$41"),MATCH("Points (Auto-generate)",INDIRECT("'"&amp;$A56&amp;"'!$A$12:$Z$12"),0),0)="","?",VLOOKUP(Y$1,INDIRECT("'"&amp;$A56&amp;"'!$A$12:$Z$41"),MATCH("Points (Auto-generate)",INDIRECT("'"&amp;$A56&amp;"'!$A$12:$Z$12"),0),0)),"ER"))</f>
        <v>?</v>
      </c>
      <c r="Z56" s="78" t="str">
        <f aca="true">IF($H56=0,"NA",IF($A56=INDIRECT("'"&amp;$A56&amp;"'!$B$1"),IF(VLOOKUP(Z$1,INDIRECT("'"&amp;$A56&amp;"'!$A$12:$Z$41"),MATCH("Points (Auto-generate)",INDIRECT("'"&amp;$A56&amp;"'!$A$12:$Z$12"),0),0)="","?",VLOOKUP(Z$1,INDIRECT("'"&amp;$A56&amp;"'!$A$12:$Z$41"),MATCH("Points (Auto-generate)",INDIRECT("'"&amp;$A56&amp;"'!$A$12:$Z$12"),0),0)),"ER"))</f>
        <v>?</v>
      </c>
      <c r="AA56" s="78" t="str">
        <f aca="true">IF($H56=0,"NA",IF($A56=INDIRECT("'"&amp;$A56&amp;"'!$B$1"),IF(VLOOKUP(AA$1,INDIRECT("'"&amp;$A56&amp;"'!$A$12:$Z$41"),MATCH("Points (Auto-generate)",INDIRECT("'"&amp;$A56&amp;"'!$A$12:$Z$12"),0),0)="","?",VLOOKUP(AA$1,INDIRECT("'"&amp;$A56&amp;"'!$A$12:$Z$41"),MATCH("Points (Auto-generate)",INDIRECT("'"&amp;$A56&amp;"'!$A$12:$Z$12"),0),0)),"ER"))</f>
        <v>?</v>
      </c>
      <c r="AB56" s="78" t="str">
        <f aca="true">IF($H56=0,"NA",IF($A56=INDIRECT("'"&amp;$A56&amp;"'!$B$1"),IF(VLOOKUP(AB$1,INDIRECT("'"&amp;$A56&amp;"'!$A$12:$Z$41"),MATCH("Points (Auto-generate)",INDIRECT("'"&amp;$A56&amp;"'!$A$12:$Z$12"),0),0)="","?",VLOOKUP(AB$1,INDIRECT("'"&amp;$A56&amp;"'!$A$12:$Z$41"),MATCH("Points (Auto-generate)",INDIRECT("'"&amp;$A56&amp;"'!$A$12:$Z$12"),0),0)),"ER"))</f>
        <v>?</v>
      </c>
      <c r="AC56" s="78" t="str">
        <f aca="true">IF($H56=0,"NA",IF($A56=INDIRECT("'"&amp;$A56&amp;"'!$B$1"),IF(VLOOKUP(AC$1,INDIRECT("'"&amp;$A56&amp;"'!$A$12:$Z$41"),MATCH("Points (Auto-generate)",INDIRECT("'"&amp;$A56&amp;"'!$A$12:$Z$12"),0),0)="","?",VLOOKUP(AC$1,INDIRECT("'"&amp;$A56&amp;"'!$A$12:$Z$41"),MATCH("Points (Auto-generate)",INDIRECT("'"&amp;$A56&amp;"'!$A$12:$Z$12"),0),0)),"ER"))</f>
        <v>?</v>
      </c>
      <c r="AD56" s="78" t="str">
        <f aca="true">IF($H56=0,"NA",IF($A56=INDIRECT("'"&amp;$A56&amp;"'!$B$1"),IF(VLOOKUP(AD$1,INDIRECT("'"&amp;$A56&amp;"'!$A$12:$Z$41"),MATCH("Points (Auto-generate)",INDIRECT("'"&amp;$A56&amp;"'!$A$12:$Z$12"),0),0)="","?",VLOOKUP(AD$1,INDIRECT("'"&amp;$A56&amp;"'!$A$12:$Z$41"),MATCH("Points (Auto-generate)",INDIRECT("'"&amp;$A56&amp;"'!$A$12:$Z$12"),0),0)),"ER"))</f>
        <v>?</v>
      </c>
      <c r="AE56" s="78" t="str">
        <f aca="true">IF($H56=0,"NA",IF($A56=INDIRECT("'"&amp;$A56&amp;"'!$B$1"),IF(VLOOKUP(AE$1,INDIRECT("'"&amp;$A56&amp;"'!$A$12:$Z$41"),MATCH("Points (Auto-generate)",INDIRECT("'"&amp;$A56&amp;"'!$A$12:$Z$12"),0),0)="","?",VLOOKUP(AE$1,INDIRECT("'"&amp;$A56&amp;"'!$A$12:$Z$41"),MATCH("Points (Auto-generate)",INDIRECT("'"&amp;$A56&amp;"'!$A$12:$Z$12"),0),0)),"ER"))</f>
        <v>?</v>
      </c>
      <c r="AF56" s="78" t="str">
        <f aca="true">IF($H56=0,"NA",IF($A56=INDIRECT("'"&amp;$A56&amp;"'!$B$1"),IF(VLOOKUP(AF$1,INDIRECT("'"&amp;$A56&amp;"'!$A$12:$Z$41"),MATCH("Points (Auto-generate)",INDIRECT("'"&amp;$A56&amp;"'!$A$12:$Z$12"),0),0)="","?",VLOOKUP(AF$1,INDIRECT("'"&amp;$A56&amp;"'!$A$12:$Z$41"),MATCH("Points (Auto-generate)",INDIRECT("'"&amp;$A56&amp;"'!$A$12:$Z$12"),0),0)),"ER"))</f>
        <v>?</v>
      </c>
      <c r="AG56" s="78" t="str">
        <f aca="true">IF($H56=0,"NA",IF($A56=INDIRECT("'"&amp;$A56&amp;"'!$B$1"),IF(VLOOKUP(AG$1,INDIRECT("'"&amp;$A56&amp;"'!$A$12:$Z$41"),MATCH("Points (Auto-generate)",INDIRECT("'"&amp;$A56&amp;"'!$A$12:$Z$12"),0),0)="","?",VLOOKUP(AG$1,INDIRECT("'"&amp;$A56&amp;"'!$A$12:$Z$41"),MATCH("Points (Auto-generate)",INDIRECT("'"&amp;$A56&amp;"'!$A$12:$Z$12"),0),0)),"ER"))</f>
        <v>?</v>
      </c>
      <c r="AH56" s="78" t="str">
        <f aca="true">IF($H56=0,"NA",IF($A56=INDIRECT("'"&amp;$A56&amp;"'!$B$1"),IF(VLOOKUP(AH$1,INDIRECT("'"&amp;$A56&amp;"'!$A$12:$Z$41"),MATCH("Points (Auto-generate)",INDIRECT("'"&amp;$A56&amp;"'!$A$12:$Z$12"),0),0)="","?",VLOOKUP(AH$1,INDIRECT("'"&amp;$A56&amp;"'!$A$12:$Z$41"),MATCH("Points (Auto-generate)",INDIRECT("'"&amp;$A56&amp;"'!$A$12:$Z$12"),0),0)),"ER"))</f>
        <v>?</v>
      </c>
      <c r="AI56" s="78" t="str">
        <f aca="true">IF($H56=0,"NA",IF($A56=INDIRECT("'"&amp;$A56&amp;"'!$B$1"),IF(VLOOKUP(AI$1,INDIRECT("'"&amp;$A56&amp;"'!$A$12:$Z$41"),MATCH("Points (Auto-generate)",INDIRECT("'"&amp;$A56&amp;"'!$A$12:$Z$12"),0),0)="","?",VLOOKUP(AI$1,INDIRECT("'"&amp;$A56&amp;"'!$A$12:$Z$41"),MATCH("Points (Auto-generate)",INDIRECT("'"&amp;$A56&amp;"'!$A$12:$Z$12"),0),0)),"ER"))</f>
        <v>?</v>
      </c>
      <c r="AJ56" s="78" t="str">
        <f aca="true">IF($H56=0,"NA",IF($A56=INDIRECT("'"&amp;$A56&amp;"'!$B$1"),IF(VLOOKUP(AJ$1,INDIRECT("'"&amp;$A56&amp;"'!$A$12:$Z$41"),MATCH("Points (Auto-generate)",INDIRECT("'"&amp;$A56&amp;"'!$A$12:$Z$12"),0),0)="","?",VLOOKUP(AJ$1,INDIRECT("'"&amp;$A56&amp;"'!$A$12:$Z$41"),MATCH("Points (Auto-generate)",INDIRECT("'"&amp;$A56&amp;"'!$A$12:$Z$12"),0),0)),"ER"))</f>
        <v>?</v>
      </c>
      <c r="AK56" s="78" t="str">
        <f aca="true">IF($H56=0,"NA",IF($A56=INDIRECT("'"&amp;$A56&amp;"'!$B$1"),IF(VLOOKUP(AK$1,INDIRECT("'"&amp;$A56&amp;"'!$A$12:$Z$41"),MATCH("Points (Auto-generate)",INDIRECT("'"&amp;$A56&amp;"'!$A$12:$Z$12"),0),0)="","?",VLOOKUP(AK$1,INDIRECT("'"&amp;$A56&amp;"'!$A$12:$Z$41"),MATCH("Points (Auto-generate)",INDIRECT("'"&amp;$A56&amp;"'!$A$12:$Z$12"),0),0)),"ER"))</f>
        <v>?</v>
      </c>
    </row>
    <row r="57" customFormat="false" ht="14.25" hidden="false" customHeight="true" outlineLevel="0" collapsed="false">
      <c r="A57" s="74" t="s">
        <v>279</v>
      </c>
      <c r="B57" s="75" t="str">
        <f aca="false">IF(ISBLANK($A57),"NO_CODE",VLOOKUP($A57,'UPD Questions_290926 '!$E$1:$N$300,MATCH(B$1,'UPD Questions_290926 '!$E$1:$N$1,0),0)&amp;"")</f>
        <v>Implementation</v>
      </c>
      <c r="C57" s="75" t="str">
        <f aca="false">IF(ISBLANK($A57),"NO_CODE",VLOOKUP($A57,'UPD Questions_290926 '!$E$1:$N$300,MATCH(C$1,'UPD Questions_290926 '!$E$1:$N$1,0),0)&amp;"")</f>
        <v>Sectoral planning</v>
      </c>
      <c r="D57" s="75" t="str">
        <f aca="false">IF(ISBLANK($A57),"NO_CODE",VLOOKUP($A57,'UPD Questions_290926 '!$E$1:$N$300,MATCH(D$1,'UPD Questions_290926 '!$E$1:$N$1,0),0)&amp;"")</f>
        <v>Water supply and sewerage, sanitation, solid waste management </v>
      </c>
      <c r="E57" s="75" t="str">
        <f aca="false">IF(ISBLANK($A57),"NO_CODE",VLOOKUP($A57,'UPD Questions_290926 '!$E$1:$N$300,MATCH(E$1,'UPD Questions_290926 '!$E$1:$N$1,0),0)&amp;"")</f>
        <v>SQ1</v>
      </c>
      <c r="F57" s="75" t="str">
        <f aca="false">IF(ISBLANK($A57),"NO_CODE",VLOOKUP($A57,'UPD Questions_290926 '!$E$1:$N$300,MATCH(F$1,'UPD Questions_290926 '!$E$1:$N$1,0),0)&amp;"")</f>
        <v>a) Water Supply and Sewerage Plan</v>
      </c>
      <c r="G57" s="75" t="str">
        <f aca="false">IF(ISBLANK($A57),"NO_CODE",VLOOKUP($A57,'UPD Questions_290926 '!$E$1:$N$300,MATCH(G$1,'UPD Questions_290926 '!$E$1:$N$1,0),0)&amp;"")</f>
        <v>Implementation</v>
      </c>
      <c r="H57" s="77" t="n">
        <f aca="false">IF(ISBLANK($A57),"NO_CODE",VLOOKUP($A57,'UPD Questions_290926 '!$E$1:$N$300,MATCH(H$1,'UPD Questions_290926 '!$E$1:$N$1,0),0))</f>
        <v>1.11</v>
      </c>
      <c r="I57" s="78" t="str">
        <f aca="true">IF(INDEX(INDIRECT("'"&amp;LEFT($A57,LEN($A57)-1)&amp;"'!$H$13:$J$41"),MATCH(I$1,INDIRECT("'"&amp;LEFT($A57,LEN($A57)-1)&amp;"'!$A$13:$A$41"),0),VALUE(RIGHT($A57,1)))="YES",$H57,IF(INDEX(INDIRECT("'"&amp;LEFT($A57,LEN($A57)-1)&amp;"'!$H$13:$J$41"),MATCH(I$1,INDIRECT("'"&amp;LEFT($A57,LEN($A57)-1)&amp;"'!$A$13:$A$41"),0),VALUE(RIGHT($A57,1)))="NO",0,"?"))</f>
        <v>?</v>
      </c>
      <c r="J57" s="78" t="n">
        <f aca="true">IF(INDEX(INDIRECT("'"&amp;LEFT($A57,LEN($A57)-1)&amp;"'!$H$13:$J$41"),MATCH(J$1,INDIRECT("'"&amp;LEFT($A57,LEN($A57)-1)&amp;"'!$A$13:$A$41"),0),VALUE(RIGHT($A57,1)))="YES",$H57,IF(INDEX(INDIRECT("'"&amp;LEFT($A57,LEN($A57)-1)&amp;"'!$H$13:$J$41"),MATCH(J$1,INDIRECT("'"&amp;LEFT($A57,LEN($A57)-1)&amp;"'!$A$13:$A$41"),0),VALUE(RIGHT($A57,1)))="NO",0,"?"))</f>
        <v>1.11</v>
      </c>
      <c r="K57" s="78" t="str">
        <f aca="true">IF(INDEX(INDIRECT("'"&amp;LEFT($A57,LEN($A57)-1)&amp;"'!$H$13:$J$41"),MATCH(K$1,INDIRECT("'"&amp;LEFT($A57,LEN($A57)-1)&amp;"'!$A$13:$A$41"),0),VALUE(RIGHT($A57,1)))="YES",$H57,IF(INDEX(INDIRECT("'"&amp;LEFT($A57,LEN($A57)-1)&amp;"'!$H$13:$J$41"),MATCH(K$1,INDIRECT("'"&amp;LEFT($A57,LEN($A57)-1)&amp;"'!$A$13:$A$41"),0),VALUE(RIGHT($A57,1)))="NO",0,"?"))</f>
        <v>?</v>
      </c>
      <c r="L57" s="78" t="str">
        <f aca="true">IF(INDEX(INDIRECT("'"&amp;LEFT($A57,LEN($A57)-1)&amp;"'!$H$13:$J$41"),MATCH(L$1,INDIRECT("'"&amp;LEFT($A57,LEN($A57)-1)&amp;"'!$A$13:$A$41"),0),VALUE(RIGHT($A57,1)))="YES",$H57,IF(INDEX(INDIRECT("'"&amp;LEFT($A57,LEN($A57)-1)&amp;"'!$H$13:$J$41"),MATCH(L$1,INDIRECT("'"&amp;LEFT($A57,LEN($A57)-1)&amp;"'!$A$13:$A$41"),0),VALUE(RIGHT($A57,1)))="NO",0,"?"))</f>
        <v>?</v>
      </c>
      <c r="M57" s="78" t="str">
        <f aca="true">IF(INDEX(INDIRECT("'"&amp;LEFT($A57,LEN($A57)-1)&amp;"'!$H$13:$J$41"),MATCH(M$1,INDIRECT("'"&amp;LEFT($A57,LEN($A57)-1)&amp;"'!$A$13:$A$41"),0),VALUE(RIGHT($A57,1)))="YES",$H57,IF(INDEX(INDIRECT("'"&amp;LEFT($A57,LEN($A57)-1)&amp;"'!$H$13:$J$41"),MATCH(M$1,INDIRECT("'"&amp;LEFT($A57,LEN($A57)-1)&amp;"'!$A$13:$A$41"),0),VALUE(RIGHT($A57,1)))="NO",0,"?"))</f>
        <v>?</v>
      </c>
      <c r="N57" s="78" t="str">
        <f aca="true">IF(INDEX(INDIRECT("'"&amp;LEFT($A57,LEN($A57)-1)&amp;"'!$H$13:$J$41"),MATCH(N$1,INDIRECT("'"&amp;LEFT($A57,LEN($A57)-1)&amp;"'!$A$13:$A$41"),0),VALUE(RIGHT($A57,1)))="YES",$H57,IF(INDEX(INDIRECT("'"&amp;LEFT($A57,LEN($A57)-1)&amp;"'!$H$13:$J$41"),MATCH(N$1,INDIRECT("'"&amp;LEFT($A57,LEN($A57)-1)&amp;"'!$A$13:$A$41"),0),VALUE(RIGHT($A57,1)))="NO",0,"?"))</f>
        <v>?</v>
      </c>
      <c r="O57" s="78" t="str">
        <f aca="true">IF(INDEX(INDIRECT("'"&amp;LEFT($A57,LEN($A57)-1)&amp;"'!$H$13:$J$41"),MATCH(O$1,INDIRECT("'"&amp;LEFT($A57,LEN($A57)-1)&amp;"'!$A$13:$A$41"),0),VALUE(RIGHT($A57,1)))="YES",$H57,IF(INDEX(INDIRECT("'"&amp;LEFT($A57,LEN($A57)-1)&amp;"'!$H$13:$J$41"),MATCH(O$1,INDIRECT("'"&amp;LEFT($A57,LEN($A57)-1)&amp;"'!$A$13:$A$41"),0),VALUE(RIGHT($A57,1)))="NO",0,"?"))</f>
        <v>?</v>
      </c>
      <c r="P57" s="78" t="str">
        <f aca="true">IF(INDEX(INDIRECT("'"&amp;LEFT($A57,LEN($A57)-1)&amp;"'!$H$13:$J$41"),MATCH(P$1,INDIRECT("'"&amp;LEFT($A57,LEN($A57)-1)&amp;"'!$A$13:$A$41"),0),VALUE(RIGHT($A57,1)))="YES",$H57,IF(INDEX(INDIRECT("'"&amp;LEFT($A57,LEN($A57)-1)&amp;"'!$H$13:$J$41"),MATCH(P$1,INDIRECT("'"&amp;LEFT($A57,LEN($A57)-1)&amp;"'!$A$13:$A$41"),0),VALUE(RIGHT($A57,1)))="NO",0,"?"))</f>
        <v>?</v>
      </c>
      <c r="Q57" s="78" t="str">
        <f aca="true">IF(INDEX(INDIRECT("'"&amp;LEFT($A57,LEN($A57)-1)&amp;"'!$H$13:$J$41"),MATCH(Q$1,INDIRECT("'"&amp;LEFT($A57,LEN($A57)-1)&amp;"'!$A$13:$A$41"),0),VALUE(RIGHT($A57,1)))="YES",$H57,IF(INDEX(INDIRECT("'"&amp;LEFT($A57,LEN($A57)-1)&amp;"'!$H$13:$J$41"),MATCH(Q$1,INDIRECT("'"&amp;LEFT($A57,LEN($A57)-1)&amp;"'!$A$13:$A$41"),0),VALUE(RIGHT($A57,1)))="NO",0,"?"))</f>
        <v>?</v>
      </c>
      <c r="R57" s="78" t="str">
        <f aca="true">IF(INDEX(INDIRECT("'"&amp;LEFT($A57,LEN($A57)-1)&amp;"'!$H$13:$J$41"),MATCH(R$1,INDIRECT("'"&amp;LEFT($A57,LEN($A57)-1)&amp;"'!$A$13:$A$41"),0),VALUE(RIGHT($A57,1)))="YES",$H57,IF(INDEX(INDIRECT("'"&amp;LEFT($A57,LEN($A57)-1)&amp;"'!$H$13:$J$41"),MATCH(R$1,INDIRECT("'"&amp;LEFT($A57,LEN($A57)-1)&amp;"'!$A$13:$A$41"),0),VALUE(RIGHT($A57,1)))="NO",0,"?"))</f>
        <v>?</v>
      </c>
      <c r="S57" s="78" t="str">
        <f aca="true">IF(INDEX(INDIRECT("'"&amp;LEFT($A57,LEN($A57)-1)&amp;"'!$H$13:$J$41"),MATCH(S$1,INDIRECT("'"&amp;LEFT($A57,LEN($A57)-1)&amp;"'!$A$13:$A$41"),0),VALUE(RIGHT($A57,1)))="YES",$H57,IF(INDEX(INDIRECT("'"&amp;LEFT($A57,LEN($A57)-1)&amp;"'!$H$13:$J$41"),MATCH(S$1,INDIRECT("'"&amp;LEFT($A57,LEN($A57)-1)&amp;"'!$A$13:$A$41"),0),VALUE(RIGHT($A57,1)))="NO",0,"?"))</f>
        <v>?</v>
      </c>
      <c r="T57" s="78" t="str">
        <f aca="true">IF(INDEX(INDIRECT("'"&amp;LEFT($A57,LEN($A57)-1)&amp;"'!$H$13:$J$41"),MATCH(T$1,INDIRECT("'"&amp;LEFT($A57,LEN($A57)-1)&amp;"'!$A$13:$A$41"),0),VALUE(RIGHT($A57,1)))="YES",$H57,IF(INDEX(INDIRECT("'"&amp;LEFT($A57,LEN($A57)-1)&amp;"'!$H$13:$J$41"),MATCH(T$1,INDIRECT("'"&amp;LEFT($A57,LEN($A57)-1)&amp;"'!$A$13:$A$41"),0),VALUE(RIGHT($A57,1)))="NO",0,"?"))</f>
        <v>?</v>
      </c>
      <c r="U57" s="78" t="str">
        <f aca="true">IF(INDEX(INDIRECT("'"&amp;LEFT($A57,LEN($A57)-1)&amp;"'!$H$13:$J$41"),MATCH(U$1,INDIRECT("'"&amp;LEFT($A57,LEN($A57)-1)&amp;"'!$A$13:$A$41"),0),VALUE(RIGHT($A57,1)))="YES",$H57,IF(INDEX(INDIRECT("'"&amp;LEFT($A57,LEN($A57)-1)&amp;"'!$H$13:$J$41"),MATCH(U$1,INDIRECT("'"&amp;LEFT($A57,LEN($A57)-1)&amp;"'!$A$13:$A$41"),0),VALUE(RIGHT($A57,1)))="NO",0,"?"))</f>
        <v>?</v>
      </c>
      <c r="V57" s="78" t="str">
        <f aca="true">IF(INDEX(INDIRECT("'"&amp;LEFT($A57,LEN($A57)-1)&amp;"'!$H$13:$J$41"),MATCH(V$1,INDIRECT("'"&amp;LEFT($A57,LEN($A57)-1)&amp;"'!$A$13:$A$41"),0),VALUE(RIGHT($A57,1)))="YES",$H57,IF(INDEX(INDIRECT("'"&amp;LEFT($A57,LEN($A57)-1)&amp;"'!$H$13:$J$41"),MATCH(V$1,INDIRECT("'"&amp;LEFT($A57,LEN($A57)-1)&amp;"'!$A$13:$A$41"),0),VALUE(RIGHT($A57,1)))="NO",0,"?"))</f>
        <v>?</v>
      </c>
      <c r="W57" s="78" t="str">
        <f aca="true">IF(INDEX(INDIRECT("'"&amp;LEFT($A57,LEN($A57)-1)&amp;"'!$H$13:$J$41"),MATCH(W$1,INDIRECT("'"&amp;LEFT($A57,LEN($A57)-1)&amp;"'!$A$13:$A$41"),0),VALUE(RIGHT($A57,1)))="YES",$H57,IF(INDEX(INDIRECT("'"&amp;LEFT($A57,LEN($A57)-1)&amp;"'!$H$13:$J$41"),MATCH(W$1,INDIRECT("'"&amp;LEFT($A57,LEN($A57)-1)&amp;"'!$A$13:$A$41"),0),VALUE(RIGHT($A57,1)))="NO",0,"?"))</f>
        <v>?</v>
      </c>
      <c r="X57" s="78" t="str">
        <f aca="true">IF(INDEX(INDIRECT("'"&amp;LEFT($A57,LEN($A57)-1)&amp;"'!$H$13:$J$41"),MATCH(X$1,INDIRECT("'"&amp;LEFT($A57,LEN($A57)-1)&amp;"'!$A$13:$A$41"),0),VALUE(RIGHT($A57,1)))="YES",$H57,IF(INDEX(INDIRECT("'"&amp;LEFT($A57,LEN($A57)-1)&amp;"'!$H$13:$J$41"),MATCH(X$1,INDIRECT("'"&amp;LEFT($A57,LEN($A57)-1)&amp;"'!$A$13:$A$41"),0),VALUE(RIGHT($A57,1)))="NO",0,"?"))</f>
        <v>?</v>
      </c>
      <c r="Y57" s="78" t="str">
        <f aca="true">IF(INDEX(INDIRECT("'"&amp;LEFT($A57,LEN($A57)-1)&amp;"'!$H$13:$J$41"),MATCH(Y$1,INDIRECT("'"&amp;LEFT($A57,LEN($A57)-1)&amp;"'!$A$13:$A$41"),0),VALUE(RIGHT($A57,1)))="YES",$H57,IF(INDEX(INDIRECT("'"&amp;LEFT($A57,LEN($A57)-1)&amp;"'!$H$13:$J$41"),MATCH(Y$1,INDIRECT("'"&amp;LEFT($A57,LEN($A57)-1)&amp;"'!$A$13:$A$41"),0),VALUE(RIGHT($A57,1)))="NO",0,"?"))</f>
        <v>?</v>
      </c>
      <c r="Z57" s="78" t="str">
        <f aca="true">IF(INDEX(INDIRECT("'"&amp;LEFT($A57,LEN($A57)-1)&amp;"'!$H$13:$J$41"),MATCH(Z$1,INDIRECT("'"&amp;LEFT($A57,LEN($A57)-1)&amp;"'!$A$13:$A$41"),0),VALUE(RIGHT($A57,1)))="YES",$H57,IF(INDEX(INDIRECT("'"&amp;LEFT($A57,LEN($A57)-1)&amp;"'!$H$13:$J$41"),MATCH(Z$1,INDIRECT("'"&amp;LEFT($A57,LEN($A57)-1)&amp;"'!$A$13:$A$41"),0),VALUE(RIGHT($A57,1)))="NO",0,"?"))</f>
        <v>?</v>
      </c>
      <c r="AA57" s="78" t="str">
        <f aca="true">IF(INDEX(INDIRECT("'"&amp;LEFT($A57,LEN($A57)-1)&amp;"'!$H$13:$J$41"),MATCH(AA$1,INDIRECT("'"&amp;LEFT($A57,LEN($A57)-1)&amp;"'!$A$13:$A$41"),0),VALUE(RIGHT($A57,1)))="YES",$H57,IF(INDEX(INDIRECT("'"&amp;LEFT($A57,LEN($A57)-1)&amp;"'!$H$13:$J$41"),MATCH(AA$1,INDIRECT("'"&amp;LEFT($A57,LEN($A57)-1)&amp;"'!$A$13:$A$41"),0),VALUE(RIGHT($A57,1)))="NO",0,"?"))</f>
        <v>?</v>
      </c>
      <c r="AB57" s="78" t="str">
        <f aca="true">IF(INDEX(INDIRECT("'"&amp;LEFT($A57,LEN($A57)-1)&amp;"'!$H$13:$J$41"),MATCH(AB$1,INDIRECT("'"&amp;LEFT($A57,LEN($A57)-1)&amp;"'!$A$13:$A$41"),0),VALUE(RIGHT($A57,1)))="YES",$H57,IF(INDEX(INDIRECT("'"&amp;LEFT($A57,LEN($A57)-1)&amp;"'!$H$13:$J$41"),MATCH(AB$1,INDIRECT("'"&amp;LEFT($A57,LEN($A57)-1)&amp;"'!$A$13:$A$41"),0),VALUE(RIGHT($A57,1)))="NO",0,"?"))</f>
        <v>?</v>
      </c>
      <c r="AC57" s="78" t="str">
        <f aca="true">IF(INDEX(INDIRECT("'"&amp;LEFT($A57,LEN($A57)-1)&amp;"'!$H$13:$J$41"),MATCH(AC$1,INDIRECT("'"&amp;LEFT($A57,LEN($A57)-1)&amp;"'!$A$13:$A$41"),0),VALUE(RIGHT($A57,1)))="YES",$H57,IF(INDEX(INDIRECT("'"&amp;LEFT($A57,LEN($A57)-1)&amp;"'!$H$13:$J$41"),MATCH(AC$1,INDIRECT("'"&amp;LEFT($A57,LEN($A57)-1)&amp;"'!$A$13:$A$41"),0),VALUE(RIGHT($A57,1)))="NO",0,"?"))</f>
        <v>?</v>
      </c>
      <c r="AD57" s="78" t="str">
        <f aca="true">IF(INDEX(INDIRECT("'"&amp;LEFT($A57,LEN($A57)-1)&amp;"'!$H$13:$J$41"),MATCH(AD$1,INDIRECT("'"&amp;LEFT($A57,LEN($A57)-1)&amp;"'!$A$13:$A$41"),0),VALUE(RIGHT($A57,1)))="YES",$H57,IF(INDEX(INDIRECT("'"&amp;LEFT($A57,LEN($A57)-1)&amp;"'!$H$13:$J$41"),MATCH(AD$1,INDIRECT("'"&amp;LEFT($A57,LEN($A57)-1)&amp;"'!$A$13:$A$41"),0),VALUE(RIGHT($A57,1)))="NO",0,"?"))</f>
        <v>?</v>
      </c>
      <c r="AE57" s="78" t="str">
        <f aca="true">IF(INDEX(INDIRECT("'"&amp;LEFT($A57,LEN($A57)-1)&amp;"'!$H$13:$J$41"),MATCH(AE$1,INDIRECT("'"&amp;LEFT($A57,LEN($A57)-1)&amp;"'!$A$13:$A$41"),0),VALUE(RIGHT($A57,1)))="YES",$H57,IF(INDEX(INDIRECT("'"&amp;LEFT($A57,LEN($A57)-1)&amp;"'!$H$13:$J$41"),MATCH(AE$1,INDIRECT("'"&amp;LEFT($A57,LEN($A57)-1)&amp;"'!$A$13:$A$41"),0),VALUE(RIGHT($A57,1)))="NO",0,"?"))</f>
        <v>?</v>
      </c>
      <c r="AF57" s="78" t="str">
        <f aca="true">IF(INDEX(INDIRECT("'"&amp;LEFT($A57,LEN($A57)-1)&amp;"'!$H$13:$J$41"),MATCH(AF$1,INDIRECT("'"&amp;LEFT($A57,LEN($A57)-1)&amp;"'!$A$13:$A$41"),0),VALUE(RIGHT($A57,1)))="YES",$H57,IF(INDEX(INDIRECT("'"&amp;LEFT($A57,LEN($A57)-1)&amp;"'!$H$13:$J$41"),MATCH(AF$1,INDIRECT("'"&amp;LEFT($A57,LEN($A57)-1)&amp;"'!$A$13:$A$41"),0),VALUE(RIGHT($A57,1)))="NO",0,"?"))</f>
        <v>?</v>
      </c>
      <c r="AG57" s="78" t="str">
        <f aca="true">IF(INDEX(INDIRECT("'"&amp;LEFT($A57,LEN($A57)-1)&amp;"'!$H$13:$J$41"),MATCH(AG$1,INDIRECT("'"&amp;LEFT($A57,LEN($A57)-1)&amp;"'!$A$13:$A$41"),0),VALUE(RIGHT($A57,1)))="YES",$H57,IF(INDEX(INDIRECT("'"&amp;LEFT($A57,LEN($A57)-1)&amp;"'!$H$13:$J$41"),MATCH(AG$1,INDIRECT("'"&amp;LEFT($A57,LEN($A57)-1)&amp;"'!$A$13:$A$41"),0),VALUE(RIGHT($A57,1)))="NO",0,"?"))</f>
        <v>?</v>
      </c>
      <c r="AH57" s="78" t="str">
        <f aca="true">IF(INDEX(INDIRECT("'"&amp;LEFT($A57,LEN($A57)-1)&amp;"'!$H$13:$J$41"),MATCH(AH$1,INDIRECT("'"&amp;LEFT($A57,LEN($A57)-1)&amp;"'!$A$13:$A$41"),0),VALUE(RIGHT($A57,1)))="YES",$H57,IF(INDEX(INDIRECT("'"&amp;LEFT($A57,LEN($A57)-1)&amp;"'!$H$13:$J$41"),MATCH(AH$1,INDIRECT("'"&amp;LEFT($A57,LEN($A57)-1)&amp;"'!$A$13:$A$41"),0),VALUE(RIGHT($A57,1)))="NO",0,"?"))</f>
        <v>?</v>
      </c>
      <c r="AI57" s="78" t="str">
        <f aca="true">IF(INDEX(INDIRECT("'"&amp;LEFT($A57,LEN($A57)-1)&amp;"'!$H$13:$J$41"),MATCH(AI$1,INDIRECT("'"&amp;LEFT($A57,LEN($A57)-1)&amp;"'!$A$13:$A$41"),0),VALUE(RIGHT($A57,1)))="YES",$H57,IF(INDEX(INDIRECT("'"&amp;LEFT($A57,LEN($A57)-1)&amp;"'!$H$13:$J$41"),MATCH(AI$1,INDIRECT("'"&amp;LEFT($A57,LEN($A57)-1)&amp;"'!$A$13:$A$41"),0),VALUE(RIGHT($A57,1)))="NO",0,"?"))</f>
        <v>?</v>
      </c>
      <c r="AJ57" s="78" t="str">
        <f aca="true">IF(INDEX(INDIRECT("'"&amp;LEFT($A57,LEN($A57)-1)&amp;"'!$H$13:$J$41"),MATCH(AJ$1,INDIRECT("'"&amp;LEFT($A57,LEN($A57)-1)&amp;"'!$A$13:$A$41"),0),VALUE(RIGHT($A57,1)))="YES",$H57,IF(INDEX(INDIRECT("'"&amp;LEFT($A57,LEN($A57)-1)&amp;"'!$H$13:$J$41"),MATCH(AJ$1,INDIRECT("'"&amp;LEFT($A57,LEN($A57)-1)&amp;"'!$A$13:$A$41"),0),VALUE(RIGHT($A57,1)))="NO",0,"?"))</f>
        <v>?</v>
      </c>
      <c r="AK57" s="78" t="str">
        <f aca="true">IF(INDEX(INDIRECT("'"&amp;LEFT($A57,LEN($A57)-1)&amp;"'!$H$13:$J$41"),MATCH(AK$1,INDIRECT("'"&amp;LEFT($A57,LEN($A57)-1)&amp;"'!$A$13:$A$41"),0),VALUE(RIGHT($A57,1)))="YES",$H57,IF(INDEX(INDIRECT("'"&amp;LEFT($A57,LEN($A57)-1)&amp;"'!$H$13:$J$41"),MATCH(AK$1,INDIRECT("'"&amp;LEFT($A57,LEN($A57)-1)&amp;"'!$A$13:$A$41"),0),VALUE(RIGHT($A57,1)))="NO",0,"?"))</f>
        <v>?</v>
      </c>
    </row>
    <row r="58" customFormat="false" ht="14.25" hidden="false" customHeight="true" outlineLevel="0" collapsed="false">
      <c r="A58" s="74" t="s">
        <v>281</v>
      </c>
      <c r="B58" s="75" t="str">
        <f aca="false">IF(ISBLANK($A58),"NO_CODE",VLOOKUP($A58,'UPD Questions_290926 '!$E$1:$N$300,MATCH(B$1,'UPD Questions_290926 '!$E$1:$N$1,0),0)&amp;"")</f>
        <v>Implementation</v>
      </c>
      <c r="C58" s="75" t="str">
        <f aca="false">IF(ISBLANK($A58),"NO_CODE",VLOOKUP($A58,'UPD Questions_290926 '!$E$1:$N$300,MATCH(C$1,'UPD Questions_290926 '!$E$1:$N$1,0),0)&amp;"")</f>
        <v>Sectoral planning</v>
      </c>
      <c r="D58" s="75" t="str">
        <f aca="false">IF(ISBLANK($A58),"NO_CODE",VLOOKUP($A58,'UPD Questions_290926 '!$E$1:$N$300,MATCH(D$1,'UPD Questions_290926 '!$E$1:$N$1,0),0)&amp;"")</f>
        <v>Water supply and sewerage, sanitation, solid waste management </v>
      </c>
      <c r="E58" s="75" t="str">
        <f aca="false">IF(ISBLANK($A58),"NO_CODE",VLOOKUP($A58,'UPD Questions_290926 '!$E$1:$N$300,MATCH(E$1,'UPD Questions_290926 '!$E$1:$N$1,0),0)&amp;"")</f>
        <v>SQ2</v>
      </c>
      <c r="F58" s="75" t="str">
        <f aca="false">IF(ISBLANK($A58),"NO_CODE",VLOOKUP($A58,'UPD Questions_290926 '!$E$1:$N$300,MATCH(F$1,'UPD Questions_290926 '!$E$1:$N$1,0),0)&amp;"")</f>
        <v>b) Solid Waste Management Plan </v>
      </c>
      <c r="G58" s="75" t="str">
        <f aca="false">IF(ISBLANK($A58),"NO_CODE",VLOOKUP($A58,'UPD Questions_290926 '!$E$1:$N$300,MATCH(G$1,'UPD Questions_290926 '!$E$1:$N$1,0),0)&amp;"")</f>
        <v>Implementation</v>
      </c>
      <c r="H58" s="77" t="n">
        <f aca="false">IF(ISBLANK($A58),"NO_CODE",VLOOKUP($A58,'UPD Questions_290926 '!$E$1:$N$300,MATCH(H$1,'UPD Questions_290926 '!$E$1:$N$1,0),0))</f>
        <v>1.11</v>
      </c>
      <c r="I58" s="78" t="str">
        <f aca="true">IF(INDEX(INDIRECT("'"&amp;LEFT($A58,LEN($A58)-1)&amp;"'!$H$13:$J$41"),MATCH(I$1,INDIRECT("'"&amp;LEFT($A58,LEN($A58)-1)&amp;"'!$A$13:$A$41"),0),VALUE(RIGHT($A58,1)))="YES",$H58,IF(INDEX(INDIRECT("'"&amp;LEFT($A58,LEN($A58)-1)&amp;"'!$H$13:$J$41"),MATCH(I$1,INDIRECT("'"&amp;LEFT($A58,LEN($A58)-1)&amp;"'!$A$13:$A$41"),0),VALUE(RIGHT($A58,1)))="NO",0,"?"))</f>
        <v>?</v>
      </c>
      <c r="J58" s="78" t="n">
        <f aca="true">IF(INDEX(INDIRECT("'"&amp;LEFT($A58,LEN($A58)-1)&amp;"'!$H$13:$J$41"),MATCH(J$1,INDIRECT("'"&amp;LEFT($A58,LEN($A58)-1)&amp;"'!$A$13:$A$41"),0),VALUE(RIGHT($A58,1)))="YES",$H58,IF(INDEX(INDIRECT("'"&amp;LEFT($A58,LEN($A58)-1)&amp;"'!$H$13:$J$41"),MATCH(J$1,INDIRECT("'"&amp;LEFT($A58,LEN($A58)-1)&amp;"'!$A$13:$A$41"),0),VALUE(RIGHT($A58,1)))="NO",0,"?"))</f>
        <v>0</v>
      </c>
      <c r="K58" s="78" t="str">
        <f aca="true">IF(INDEX(INDIRECT("'"&amp;LEFT($A58,LEN($A58)-1)&amp;"'!$H$13:$J$41"),MATCH(K$1,INDIRECT("'"&amp;LEFT($A58,LEN($A58)-1)&amp;"'!$A$13:$A$41"),0),VALUE(RIGHT($A58,1)))="YES",$H58,IF(INDEX(INDIRECT("'"&amp;LEFT($A58,LEN($A58)-1)&amp;"'!$H$13:$J$41"),MATCH(K$1,INDIRECT("'"&amp;LEFT($A58,LEN($A58)-1)&amp;"'!$A$13:$A$41"),0),VALUE(RIGHT($A58,1)))="NO",0,"?"))</f>
        <v>?</v>
      </c>
      <c r="L58" s="78" t="str">
        <f aca="true">IF(INDEX(INDIRECT("'"&amp;LEFT($A58,LEN($A58)-1)&amp;"'!$H$13:$J$41"),MATCH(L$1,INDIRECT("'"&amp;LEFT($A58,LEN($A58)-1)&amp;"'!$A$13:$A$41"),0),VALUE(RIGHT($A58,1)))="YES",$H58,IF(INDEX(INDIRECT("'"&amp;LEFT($A58,LEN($A58)-1)&amp;"'!$H$13:$J$41"),MATCH(L$1,INDIRECT("'"&amp;LEFT($A58,LEN($A58)-1)&amp;"'!$A$13:$A$41"),0),VALUE(RIGHT($A58,1)))="NO",0,"?"))</f>
        <v>?</v>
      </c>
      <c r="M58" s="78" t="str">
        <f aca="true">IF(INDEX(INDIRECT("'"&amp;LEFT($A58,LEN($A58)-1)&amp;"'!$H$13:$J$41"),MATCH(M$1,INDIRECT("'"&amp;LEFT($A58,LEN($A58)-1)&amp;"'!$A$13:$A$41"),0),VALUE(RIGHT($A58,1)))="YES",$H58,IF(INDEX(INDIRECT("'"&amp;LEFT($A58,LEN($A58)-1)&amp;"'!$H$13:$J$41"),MATCH(M$1,INDIRECT("'"&amp;LEFT($A58,LEN($A58)-1)&amp;"'!$A$13:$A$41"),0),VALUE(RIGHT($A58,1)))="NO",0,"?"))</f>
        <v>?</v>
      </c>
      <c r="N58" s="78" t="str">
        <f aca="true">IF(INDEX(INDIRECT("'"&amp;LEFT($A58,LEN($A58)-1)&amp;"'!$H$13:$J$41"),MATCH(N$1,INDIRECT("'"&amp;LEFT($A58,LEN($A58)-1)&amp;"'!$A$13:$A$41"),0),VALUE(RIGHT($A58,1)))="YES",$H58,IF(INDEX(INDIRECT("'"&amp;LEFT($A58,LEN($A58)-1)&amp;"'!$H$13:$J$41"),MATCH(N$1,INDIRECT("'"&amp;LEFT($A58,LEN($A58)-1)&amp;"'!$A$13:$A$41"),0),VALUE(RIGHT($A58,1)))="NO",0,"?"))</f>
        <v>?</v>
      </c>
      <c r="O58" s="78" t="str">
        <f aca="true">IF(INDEX(INDIRECT("'"&amp;LEFT($A58,LEN($A58)-1)&amp;"'!$H$13:$J$41"),MATCH(O$1,INDIRECT("'"&amp;LEFT($A58,LEN($A58)-1)&amp;"'!$A$13:$A$41"),0),VALUE(RIGHT($A58,1)))="YES",$H58,IF(INDEX(INDIRECT("'"&amp;LEFT($A58,LEN($A58)-1)&amp;"'!$H$13:$J$41"),MATCH(O$1,INDIRECT("'"&amp;LEFT($A58,LEN($A58)-1)&amp;"'!$A$13:$A$41"),0),VALUE(RIGHT($A58,1)))="NO",0,"?"))</f>
        <v>?</v>
      </c>
      <c r="P58" s="78" t="str">
        <f aca="true">IF(INDEX(INDIRECT("'"&amp;LEFT($A58,LEN($A58)-1)&amp;"'!$H$13:$J$41"),MATCH(P$1,INDIRECT("'"&amp;LEFT($A58,LEN($A58)-1)&amp;"'!$A$13:$A$41"),0),VALUE(RIGHT($A58,1)))="YES",$H58,IF(INDEX(INDIRECT("'"&amp;LEFT($A58,LEN($A58)-1)&amp;"'!$H$13:$J$41"),MATCH(P$1,INDIRECT("'"&amp;LEFT($A58,LEN($A58)-1)&amp;"'!$A$13:$A$41"),0),VALUE(RIGHT($A58,1)))="NO",0,"?"))</f>
        <v>?</v>
      </c>
      <c r="Q58" s="78" t="str">
        <f aca="true">IF(INDEX(INDIRECT("'"&amp;LEFT($A58,LEN($A58)-1)&amp;"'!$H$13:$J$41"),MATCH(Q$1,INDIRECT("'"&amp;LEFT($A58,LEN($A58)-1)&amp;"'!$A$13:$A$41"),0),VALUE(RIGHT($A58,1)))="YES",$H58,IF(INDEX(INDIRECT("'"&amp;LEFT($A58,LEN($A58)-1)&amp;"'!$H$13:$J$41"),MATCH(Q$1,INDIRECT("'"&amp;LEFT($A58,LEN($A58)-1)&amp;"'!$A$13:$A$41"),0),VALUE(RIGHT($A58,1)))="NO",0,"?"))</f>
        <v>?</v>
      </c>
      <c r="R58" s="78" t="str">
        <f aca="true">IF(INDEX(INDIRECT("'"&amp;LEFT($A58,LEN($A58)-1)&amp;"'!$H$13:$J$41"),MATCH(R$1,INDIRECT("'"&amp;LEFT($A58,LEN($A58)-1)&amp;"'!$A$13:$A$41"),0),VALUE(RIGHT($A58,1)))="YES",$H58,IF(INDEX(INDIRECT("'"&amp;LEFT($A58,LEN($A58)-1)&amp;"'!$H$13:$J$41"),MATCH(R$1,INDIRECT("'"&amp;LEFT($A58,LEN($A58)-1)&amp;"'!$A$13:$A$41"),0),VALUE(RIGHT($A58,1)))="NO",0,"?"))</f>
        <v>?</v>
      </c>
      <c r="S58" s="78" t="str">
        <f aca="true">IF(INDEX(INDIRECT("'"&amp;LEFT($A58,LEN($A58)-1)&amp;"'!$H$13:$J$41"),MATCH(S$1,INDIRECT("'"&amp;LEFT($A58,LEN($A58)-1)&amp;"'!$A$13:$A$41"),0),VALUE(RIGHT($A58,1)))="YES",$H58,IF(INDEX(INDIRECT("'"&amp;LEFT($A58,LEN($A58)-1)&amp;"'!$H$13:$J$41"),MATCH(S$1,INDIRECT("'"&amp;LEFT($A58,LEN($A58)-1)&amp;"'!$A$13:$A$41"),0),VALUE(RIGHT($A58,1)))="NO",0,"?"))</f>
        <v>?</v>
      </c>
      <c r="T58" s="78" t="str">
        <f aca="true">IF(INDEX(INDIRECT("'"&amp;LEFT($A58,LEN($A58)-1)&amp;"'!$H$13:$J$41"),MATCH(T$1,INDIRECT("'"&amp;LEFT($A58,LEN($A58)-1)&amp;"'!$A$13:$A$41"),0),VALUE(RIGHT($A58,1)))="YES",$H58,IF(INDEX(INDIRECT("'"&amp;LEFT($A58,LEN($A58)-1)&amp;"'!$H$13:$J$41"),MATCH(T$1,INDIRECT("'"&amp;LEFT($A58,LEN($A58)-1)&amp;"'!$A$13:$A$41"),0),VALUE(RIGHT($A58,1)))="NO",0,"?"))</f>
        <v>?</v>
      </c>
      <c r="U58" s="78" t="str">
        <f aca="true">IF(INDEX(INDIRECT("'"&amp;LEFT($A58,LEN($A58)-1)&amp;"'!$H$13:$J$41"),MATCH(U$1,INDIRECT("'"&amp;LEFT($A58,LEN($A58)-1)&amp;"'!$A$13:$A$41"),0),VALUE(RIGHT($A58,1)))="YES",$H58,IF(INDEX(INDIRECT("'"&amp;LEFT($A58,LEN($A58)-1)&amp;"'!$H$13:$J$41"),MATCH(U$1,INDIRECT("'"&amp;LEFT($A58,LEN($A58)-1)&amp;"'!$A$13:$A$41"),0),VALUE(RIGHT($A58,1)))="NO",0,"?"))</f>
        <v>?</v>
      </c>
      <c r="V58" s="78" t="str">
        <f aca="true">IF(INDEX(INDIRECT("'"&amp;LEFT($A58,LEN($A58)-1)&amp;"'!$H$13:$J$41"),MATCH(V$1,INDIRECT("'"&amp;LEFT($A58,LEN($A58)-1)&amp;"'!$A$13:$A$41"),0),VALUE(RIGHT($A58,1)))="YES",$H58,IF(INDEX(INDIRECT("'"&amp;LEFT($A58,LEN($A58)-1)&amp;"'!$H$13:$J$41"),MATCH(V$1,INDIRECT("'"&amp;LEFT($A58,LEN($A58)-1)&amp;"'!$A$13:$A$41"),0),VALUE(RIGHT($A58,1)))="NO",0,"?"))</f>
        <v>?</v>
      </c>
      <c r="W58" s="78" t="str">
        <f aca="true">IF(INDEX(INDIRECT("'"&amp;LEFT($A58,LEN($A58)-1)&amp;"'!$H$13:$J$41"),MATCH(W$1,INDIRECT("'"&amp;LEFT($A58,LEN($A58)-1)&amp;"'!$A$13:$A$41"),0),VALUE(RIGHT($A58,1)))="YES",$H58,IF(INDEX(INDIRECT("'"&amp;LEFT($A58,LEN($A58)-1)&amp;"'!$H$13:$J$41"),MATCH(W$1,INDIRECT("'"&amp;LEFT($A58,LEN($A58)-1)&amp;"'!$A$13:$A$41"),0),VALUE(RIGHT($A58,1)))="NO",0,"?"))</f>
        <v>?</v>
      </c>
      <c r="X58" s="78" t="str">
        <f aca="true">IF(INDEX(INDIRECT("'"&amp;LEFT($A58,LEN($A58)-1)&amp;"'!$H$13:$J$41"),MATCH(X$1,INDIRECT("'"&amp;LEFT($A58,LEN($A58)-1)&amp;"'!$A$13:$A$41"),0),VALUE(RIGHT($A58,1)))="YES",$H58,IF(INDEX(INDIRECT("'"&amp;LEFT($A58,LEN($A58)-1)&amp;"'!$H$13:$J$41"),MATCH(X$1,INDIRECT("'"&amp;LEFT($A58,LEN($A58)-1)&amp;"'!$A$13:$A$41"),0),VALUE(RIGHT($A58,1)))="NO",0,"?"))</f>
        <v>?</v>
      </c>
      <c r="Y58" s="78" t="str">
        <f aca="true">IF(INDEX(INDIRECT("'"&amp;LEFT($A58,LEN($A58)-1)&amp;"'!$H$13:$J$41"),MATCH(Y$1,INDIRECT("'"&amp;LEFT($A58,LEN($A58)-1)&amp;"'!$A$13:$A$41"),0),VALUE(RIGHT($A58,1)))="YES",$H58,IF(INDEX(INDIRECT("'"&amp;LEFT($A58,LEN($A58)-1)&amp;"'!$H$13:$J$41"),MATCH(Y$1,INDIRECT("'"&amp;LEFT($A58,LEN($A58)-1)&amp;"'!$A$13:$A$41"),0),VALUE(RIGHT($A58,1)))="NO",0,"?"))</f>
        <v>?</v>
      </c>
      <c r="Z58" s="78" t="str">
        <f aca="true">IF(INDEX(INDIRECT("'"&amp;LEFT($A58,LEN($A58)-1)&amp;"'!$H$13:$J$41"),MATCH(Z$1,INDIRECT("'"&amp;LEFT($A58,LEN($A58)-1)&amp;"'!$A$13:$A$41"),0),VALUE(RIGHT($A58,1)))="YES",$H58,IF(INDEX(INDIRECT("'"&amp;LEFT($A58,LEN($A58)-1)&amp;"'!$H$13:$J$41"),MATCH(Z$1,INDIRECT("'"&amp;LEFT($A58,LEN($A58)-1)&amp;"'!$A$13:$A$41"),0),VALUE(RIGHT($A58,1)))="NO",0,"?"))</f>
        <v>?</v>
      </c>
      <c r="AA58" s="78" t="str">
        <f aca="true">IF(INDEX(INDIRECT("'"&amp;LEFT($A58,LEN($A58)-1)&amp;"'!$H$13:$J$41"),MATCH(AA$1,INDIRECT("'"&amp;LEFT($A58,LEN($A58)-1)&amp;"'!$A$13:$A$41"),0),VALUE(RIGHT($A58,1)))="YES",$H58,IF(INDEX(INDIRECT("'"&amp;LEFT($A58,LEN($A58)-1)&amp;"'!$H$13:$J$41"),MATCH(AA$1,INDIRECT("'"&amp;LEFT($A58,LEN($A58)-1)&amp;"'!$A$13:$A$41"),0),VALUE(RIGHT($A58,1)))="NO",0,"?"))</f>
        <v>?</v>
      </c>
      <c r="AB58" s="78" t="str">
        <f aca="true">IF(INDEX(INDIRECT("'"&amp;LEFT($A58,LEN($A58)-1)&amp;"'!$H$13:$J$41"),MATCH(AB$1,INDIRECT("'"&amp;LEFT($A58,LEN($A58)-1)&amp;"'!$A$13:$A$41"),0),VALUE(RIGHT($A58,1)))="YES",$H58,IF(INDEX(INDIRECT("'"&amp;LEFT($A58,LEN($A58)-1)&amp;"'!$H$13:$J$41"),MATCH(AB$1,INDIRECT("'"&amp;LEFT($A58,LEN($A58)-1)&amp;"'!$A$13:$A$41"),0),VALUE(RIGHT($A58,1)))="NO",0,"?"))</f>
        <v>?</v>
      </c>
      <c r="AC58" s="78" t="str">
        <f aca="true">IF(INDEX(INDIRECT("'"&amp;LEFT($A58,LEN($A58)-1)&amp;"'!$H$13:$J$41"),MATCH(AC$1,INDIRECT("'"&amp;LEFT($A58,LEN($A58)-1)&amp;"'!$A$13:$A$41"),0),VALUE(RIGHT($A58,1)))="YES",$H58,IF(INDEX(INDIRECT("'"&amp;LEFT($A58,LEN($A58)-1)&amp;"'!$H$13:$J$41"),MATCH(AC$1,INDIRECT("'"&amp;LEFT($A58,LEN($A58)-1)&amp;"'!$A$13:$A$41"),0),VALUE(RIGHT($A58,1)))="NO",0,"?"))</f>
        <v>?</v>
      </c>
      <c r="AD58" s="78" t="str">
        <f aca="true">IF(INDEX(INDIRECT("'"&amp;LEFT($A58,LEN($A58)-1)&amp;"'!$H$13:$J$41"),MATCH(AD$1,INDIRECT("'"&amp;LEFT($A58,LEN($A58)-1)&amp;"'!$A$13:$A$41"),0),VALUE(RIGHT($A58,1)))="YES",$H58,IF(INDEX(INDIRECT("'"&amp;LEFT($A58,LEN($A58)-1)&amp;"'!$H$13:$J$41"),MATCH(AD$1,INDIRECT("'"&amp;LEFT($A58,LEN($A58)-1)&amp;"'!$A$13:$A$41"),0),VALUE(RIGHT($A58,1)))="NO",0,"?"))</f>
        <v>?</v>
      </c>
      <c r="AE58" s="78" t="str">
        <f aca="true">IF(INDEX(INDIRECT("'"&amp;LEFT($A58,LEN($A58)-1)&amp;"'!$H$13:$J$41"),MATCH(AE$1,INDIRECT("'"&amp;LEFT($A58,LEN($A58)-1)&amp;"'!$A$13:$A$41"),0),VALUE(RIGHT($A58,1)))="YES",$H58,IF(INDEX(INDIRECT("'"&amp;LEFT($A58,LEN($A58)-1)&amp;"'!$H$13:$J$41"),MATCH(AE$1,INDIRECT("'"&amp;LEFT($A58,LEN($A58)-1)&amp;"'!$A$13:$A$41"),0),VALUE(RIGHT($A58,1)))="NO",0,"?"))</f>
        <v>?</v>
      </c>
      <c r="AF58" s="78" t="str">
        <f aca="true">IF(INDEX(INDIRECT("'"&amp;LEFT($A58,LEN($A58)-1)&amp;"'!$H$13:$J$41"),MATCH(AF$1,INDIRECT("'"&amp;LEFT($A58,LEN($A58)-1)&amp;"'!$A$13:$A$41"),0),VALUE(RIGHT($A58,1)))="YES",$H58,IF(INDEX(INDIRECT("'"&amp;LEFT($A58,LEN($A58)-1)&amp;"'!$H$13:$J$41"),MATCH(AF$1,INDIRECT("'"&amp;LEFT($A58,LEN($A58)-1)&amp;"'!$A$13:$A$41"),0),VALUE(RIGHT($A58,1)))="NO",0,"?"))</f>
        <v>?</v>
      </c>
      <c r="AG58" s="78" t="str">
        <f aca="true">IF(INDEX(INDIRECT("'"&amp;LEFT($A58,LEN($A58)-1)&amp;"'!$H$13:$J$41"),MATCH(AG$1,INDIRECT("'"&amp;LEFT($A58,LEN($A58)-1)&amp;"'!$A$13:$A$41"),0),VALUE(RIGHT($A58,1)))="YES",$H58,IF(INDEX(INDIRECT("'"&amp;LEFT($A58,LEN($A58)-1)&amp;"'!$H$13:$J$41"),MATCH(AG$1,INDIRECT("'"&amp;LEFT($A58,LEN($A58)-1)&amp;"'!$A$13:$A$41"),0),VALUE(RIGHT($A58,1)))="NO",0,"?"))</f>
        <v>?</v>
      </c>
      <c r="AH58" s="78" t="str">
        <f aca="true">IF(INDEX(INDIRECT("'"&amp;LEFT($A58,LEN($A58)-1)&amp;"'!$H$13:$J$41"),MATCH(AH$1,INDIRECT("'"&amp;LEFT($A58,LEN($A58)-1)&amp;"'!$A$13:$A$41"),0),VALUE(RIGHT($A58,1)))="YES",$H58,IF(INDEX(INDIRECT("'"&amp;LEFT($A58,LEN($A58)-1)&amp;"'!$H$13:$J$41"),MATCH(AH$1,INDIRECT("'"&amp;LEFT($A58,LEN($A58)-1)&amp;"'!$A$13:$A$41"),0),VALUE(RIGHT($A58,1)))="NO",0,"?"))</f>
        <v>?</v>
      </c>
      <c r="AI58" s="78" t="str">
        <f aca="true">IF(INDEX(INDIRECT("'"&amp;LEFT($A58,LEN($A58)-1)&amp;"'!$H$13:$J$41"),MATCH(AI$1,INDIRECT("'"&amp;LEFT($A58,LEN($A58)-1)&amp;"'!$A$13:$A$41"),0),VALUE(RIGHT($A58,1)))="YES",$H58,IF(INDEX(INDIRECT("'"&amp;LEFT($A58,LEN($A58)-1)&amp;"'!$H$13:$J$41"),MATCH(AI$1,INDIRECT("'"&amp;LEFT($A58,LEN($A58)-1)&amp;"'!$A$13:$A$41"),0),VALUE(RIGHT($A58,1)))="NO",0,"?"))</f>
        <v>?</v>
      </c>
      <c r="AJ58" s="78" t="str">
        <f aca="true">IF(INDEX(INDIRECT("'"&amp;LEFT($A58,LEN($A58)-1)&amp;"'!$H$13:$J$41"),MATCH(AJ$1,INDIRECT("'"&amp;LEFT($A58,LEN($A58)-1)&amp;"'!$A$13:$A$41"),0),VALUE(RIGHT($A58,1)))="YES",$H58,IF(INDEX(INDIRECT("'"&amp;LEFT($A58,LEN($A58)-1)&amp;"'!$H$13:$J$41"),MATCH(AJ$1,INDIRECT("'"&amp;LEFT($A58,LEN($A58)-1)&amp;"'!$A$13:$A$41"),0),VALUE(RIGHT($A58,1)))="NO",0,"?"))</f>
        <v>?</v>
      </c>
      <c r="AK58" s="78" t="str">
        <f aca="true">IF(INDEX(INDIRECT("'"&amp;LEFT($A58,LEN($A58)-1)&amp;"'!$H$13:$J$41"),MATCH(AK$1,INDIRECT("'"&amp;LEFT($A58,LEN($A58)-1)&amp;"'!$A$13:$A$41"),0),VALUE(RIGHT($A58,1)))="YES",$H58,IF(INDEX(INDIRECT("'"&amp;LEFT($A58,LEN($A58)-1)&amp;"'!$H$13:$J$41"),MATCH(AK$1,INDIRECT("'"&amp;LEFT($A58,LEN($A58)-1)&amp;"'!$A$13:$A$41"),0),VALUE(RIGHT($A58,1)))="NO",0,"?"))</f>
        <v>?</v>
      </c>
    </row>
    <row r="59" customFormat="false" ht="14.25" hidden="false" customHeight="true" outlineLevel="0" collapsed="false">
      <c r="A59" s="74" t="s">
        <v>283</v>
      </c>
      <c r="B59" s="75" t="str">
        <f aca="false">IF(ISBLANK($A59),"NO_CODE",VLOOKUP($A59,'UPD Questions_290926 '!$E$1:$N$300,MATCH(B$1,'UPD Questions_290926 '!$E$1:$N$1,0),0)&amp;"")</f>
        <v>Implementation</v>
      </c>
      <c r="C59" s="75" t="str">
        <f aca="false">IF(ISBLANK($A59),"NO_CODE",VLOOKUP($A59,'UPD Questions_290926 '!$E$1:$N$300,MATCH(C$1,'UPD Questions_290926 '!$E$1:$N$1,0),0)&amp;"")</f>
        <v>Sectoral planning</v>
      </c>
      <c r="D59" s="75" t="str">
        <f aca="false">IF(ISBLANK($A59),"NO_CODE",VLOOKUP($A59,'UPD Questions_290926 '!$E$1:$N$300,MATCH(D$1,'UPD Questions_290926 '!$E$1:$N$1,0),0)&amp;"")</f>
        <v>Water supply and sewerage, sanitation, solid waste management </v>
      </c>
      <c r="E59" s="75" t="str">
        <f aca="false">IF(ISBLANK($A59),"NO_CODE",VLOOKUP($A59,'UPD Questions_290926 '!$E$1:$N$300,MATCH(E$1,'UPD Questions_290926 '!$E$1:$N$1,0),0)&amp;"")</f>
        <v>SQ3</v>
      </c>
      <c r="F59" s="75" t="str">
        <f aca="false">IF(ISBLANK($A59),"NO_CODE",VLOOKUP($A59,'UPD Questions_290926 '!$E$1:$N$300,MATCH(F$1,'UPD Questions_290926 '!$E$1:$N$1,0),0)&amp;"")</f>
        <v>c)  City Sanitation Plan</v>
      </c>
      <c r="G59" s="75" t="str">
        <f aca="false">IF(ISBLANK($A59),"NO_CODE",VLOOKUP($A59,'UPD Questions_290926 '!$E$1:$N$300,MATCH(G$1,'UPD Questions_290926 '!$E$1:$N$1,0),0)&amp;"")</f>
        <v>Implementation</v>
      </c>
      <c r="H59" s="77" t="n">
        <f aca="false">IF(ISBLANK($A59),"NO_CODE",VLOOKUP($A59,'UPD Questions_290926 '!$E$1:$N$300,MATCH(H$1,'UPD Questions_290926 '!$E$1:$N$1,0),0))</f>
        <v>1.11</v>
      </c>
      <c r="I59" s="78" t="str">
        <f aca="true">IF(INDEX(INDIRECT("'"&amp;LEFT($A59,LEN($A59)-1)&amp;"'!$H$13:$J$41"),MATCH(I$1,INDIRECT("'"&amp;LEFT($A59,LEN($A59)-1)&amp;"'!$A$13:$A$41"),0),VALUE(RIGHT($A59,1)))="YES",$H59,IF(INDEX(INDIRECT("'"&amp;LEFT($A59,LEN($A59)-1)&amp;"'!$H$13:$J$41"),MATCH(I$1,INDIRECT("'"&amp;LEFT($A59,LEN($A59)-1)&amp;"'!$A$13:$A$41"),0),VALUE(RIGHT($A59,1)))="NO",0,"?"))</f>
        <v>?</v>
      </c>
      <c r="J59" s="78" t="n">
        <f aca="true">IF(INDEX(INDIRECT("'"&amp;LEFT($A59,LEN($A59)-1)&amp;"'!$H$13:$J$41"),MATCH(J$1,INDIRECT("'"&amp;LEFT($A59,LEN($A59)-1)&amp;"'!$A$13:$A$41"),0),VALUE(RIGHT($A59,1)))="YES",$H59,IF(INDEX(INDIRECT("'"&amp;LEFT($A59,LEN($A59)-1)&amp;"'!$H$13:$J$41"),MATCH(J$1,INDIRECT("'"&amp;LEFT($A59,LEN($A59)-1)&amp;"'!$A$13:$A$41"),0),VALUE(RIGHT($A59,1)))="NO",0,"?"))</f>
        <v>0</v>
      </c>
      <c r="K59" s="78" t="str">
        <f aca="true">IF(INDEX(INDIRECT("'"&amp;LEFT($A59,LEN($A59)-1)&amp;"'!$H$13:$J$41"),MATCH(K$1,INDIRECT("'"&amp;LEFT($A59,LEN($A59)-1)&amp;"'!$A$13:$A$41"),0),VALUE(RIGHT($A59,1)))="YES",$H59,IF(INDEX(INDIRECT("'"&amp;LEFT($A59,LEN($A59)-1)&amp;"'!$H$13:$J$41"),MATCH(K$1,INDIRECT("'"&amp;LEFT($A59,LEN($A59)-1)&amp;"'!$A$13:$A$41"),0),VALUE(RIGHT($A59,1)))="NO",0,"?"))</f>
        <v>?</v>
      </c>
      <c r="L59" s="78" t="str">
        <f aca="true">IF(INDEX(INDIRECT("'"&amp;LEFT($A59,LEN($A59)-1)&amp;"'!$H$13:$J$41"),MATCH(L$1,INDIRECT("'"&amp;LEFT($A59,LEN($A59)-1)&amp;"'!$A$13:$A$41"),0),VALUE(RIGHT($A59,1)))="YES",$H59,IF(INDEX(INDIRECT("'"&amp;LEFT($A59,LEN($A59)-1)&amp;"'!$H$13:$J$41"),MATCH(L$1,INDIRECT("'"&amp;LEFT($A59,LEN($A59)-1)&amp;"'!$A$13:$A$41"),0),VALUE(RIGHT($A59,1)))="NO",0,"?"))</f>
        <v>?</v>
      </c>
      <c r="M59" s="78" t="str">
        <f aca="true">IF(INDEX(INDIRECT("'"&amp;LEFT($A59,LEN($A59)-1)&amp;"'!$H$13:$J$41"),MATCH(M$1,INDIRECT("'"&amp;LEFT($A59,LEN($A59)-1)&amp;"'!$A$13:$A$41"),0),VALUE(RIGHT($A59,1)))="YES",$H59,IF(INDEX(INDIRECT("'"&amp;LEFT($A59,LEN($A59)-1)&amp;"'!$H$13:$J$41"),MATCH(M$1,INDIRECT("'"&amp;LEFT($A59,LEN($A59)-1)&amp;"'!$A$13:$A$41"),0),VALUE(RIGHT($A59,1)))="NO",0,"?"))</f>
        <v>?</v>
      </c>
      <c r="N59" s="78" t="str">
        <f aca="true">IF(INDEX(INDIRECT("'"&amp;LEFT($A59,LEN($A59)-1)&amp;"'!$H$13:$J$41"),MATCH(N$1,INDIRECT("'"&amp;LEFT($A59,LEN($A59)-1)&amp;"'!$A$13:$A$41"),0),VALUE(RIGHT($A59,1)))="YES",$H59,IF(INDEX(INDIRECT("'"&amp;LEFT($A59,LEN($A59)-1)&amp;"'!$H$13:$J$41"),MATCH(N$1,INDIRECT("'"&amp;LEFT($A59,LEN($A59)-1)&amp;"'!$A$13:$A$41"),0),VALUE(RIGHT($A59,1)))="NO",0,"?"))</f>
        <v>?</v>
      </c>
      <c r="O59" s="78" t="str">
        <f aca="true">IF(INDEX(INDIRECT("'"&amp;LEFT($A59,LEN($A59)-1)&amp;"'!$H$13:$J$41"),MATCH(O$1,INDIRECT("'"&amp;LEFT($A59,LEN($A59)-1)&amp;"'!$A$13:$A$41"),0),VALUE(RIGHT($A59,1)))="YES",$H59,IF(INDEX(INDIRECT("'"&amp;LEFT($A59,LEN($A59)-1)&amp;"'!$H$13:$J$41"),MATCH(O$1,INDIRECT("'"&amp;LEFT($A59,LEN($A59)-1)&amp;"'!$A$13:$A$41"),0),VALUE(RIGHT($A59,1)))="NO",0,"?"))</f>
        <v>?</v>
      </c>
      <c r="P59" s="78" t="str">
        <f aca="true">IF(INDEX(INDIRECT("'"&amp;LEFT($A59,LEN($A59)-1)&amp;"'!$H$13:$J$41"),MATCH(P$1,INDIRECT("'"&amp;LEFT($A59,LEN($A59)-1)&amp;"'!$A$13:$A$41"),0),VALUE(RIGHT($A59,1)))="YES",$H59,IF(INDEX(INDIRECT("'"&amp;LEFT($A59,LEN($A59)-1)&amp;"'!$H$13:$J$41"),MATCH(P$1,INDIRECT("'"&amp;LEFT($A59,LEN($A59)-1)&amp;"'!$A$13:$A$41"),0),VALUE(RIGHT($A59,1)))="NO",0,"?"))</f>
        <v>?</v>
      </c>
      <c r="Q59" s="78" t="str">
        <f aca="true">IF(INDEX(INDIRECT("'"&amp;LEFT($A59,LEN($A59)-1)&amp;"'!$H$13:$J$41"),MATCH(Q$1,INDIRECT("'"&amp;LEFT($A59,LEN($A59)-1)&amp;"'!$A$13:$A$41"),0),VALUE(RIGHT($A59,1)))="YES",$H59,IF(INDEX(INDIRECT("'"&amp;LEFT($A59,LEN($A59)-1)&amp;"'!$H$13:$J$41"),MATCH(Q$1,INDIRECT("'"&amp;LEFT($A59,LEN($A59)-1)&amp;"'!$A$13:$A$41"),0),VALUE(RIGHT($A59,1)))="NO",0,"?"))</f>
        <v>?</v>
      </c>
      <c r="R59" s="78" t="str">
        <f aca="true">IF(INDEX(INDIRECT("'"&amp;LEFT($A59,LEN($A59)-1)&amp;"'!$H$13:$J$41"),MATCH(R$1,INDIRECT("'"&amp;LEFT($A59,LEN($A59)-1)&amp;"'!$A$13:$A$41"),0),VALUE(RIGHT($A59,1)))="YES",$H59,IF(INDEX(INDIRECT("'"&amp;LEFT($A59,LEN($A59)-1)&amp;"'!$H$13:$J$41"),MATCH(R$1,INDIRECT("'"&amp;LEFT($A59,LEN($A59)-1)&amp;"'!$A$13:$A$41"),0),VALUE(RIGHT($A59,1)))="NO",0,"?"))</f>
        <v>?</v>
      </c>
      <c r="S59" s="78" t="str">
        <f aca="true">IF(INDEX(INDIRECT("'"&amp;LEFT($A59,LEN($A59)-1)&amp;"'!$H$13:$J$41"),MATCH(S$1,INDIRECT("'"&amp;LEFT($A59,LEN($A59)-1)&amp;"'!$A$13:$A$41"),0),VALUE(RIGHT($A59,1)))="YES",$H59,IF(INDEX(INDIRECT("'"&amp;LEFT($A59,LEN($A59)-1)&amp;"'!$H$13:$J$41"),MATCH(S$1,INDIRECT("'"&amp;LEFT($A59,LEN($A59)-1)&amp;"'!$A$13:$A$41"),0),VALUE(RIGHT($A59,1)))="NO",0,"?"))</f>
        <v>?</v>
      </c>
      <c r="T59" s="78" t="str">
        <f aca="true">IF(INDEX(INDIRECT("'"&amp;LEFT($A59,LEN($A59)-1)&amp;"'!$H$13:$J$41"),MATCH(T$1,INDIRECT("'"&amp;LEFT($A59,LEN($A59)-1)&amp;"'!$A$13:$A$41"),0),VALUE(RIGHT($A59,1)))="YES",$H59,IF(INDEX(INDIRECT("'"&amp;LEFT($A59,LEN($A59)-1)&amp;"'!$H$13:$J$41"),MATCH(T$1,INDIRECT("'"&amp;LEFT($A59,LEN($A59)-1)&amp;"'!$A$13:$A$41"),0),VALUE(RIGHT($A59,1)))="NO",0,"?"))</f>
        <v>?</v>
      </c>
      <c r="U59" s="78" t="str">
        <f aca="true">IF(INDEX(INDIRECT("'"&amp;LEFT($A59,LEN($A59)-1)&amp;"'!$H$13:$J$41"),MATCH(U$1,INDIRECT("'"&amp;LEFT($A59,LEN($A59)-1)&amp;"'!$A$13:$A$41"),0),VALUE(RIGHT($A59,1)))="YES",$H59,IF(INDEX(INDIRECT("'"&amp;LEFT($A59,LEN($A59)-1)&amp;"'!$H$13:$J$41"),MATCH(U$1,INDIRECT("'"&amp;LEFT($A59,LEN($A59)-1)&amp;"'!$A$13:$A$41"),0),VALUE(RIGHT($A59,1)))="NO",0,"?"))</f>
        <v>?</v>
      </c>
      <c r="V59" s="78" t="str">
        <f aca="true">IF(INDEX(INDIRECT("'"&amp;LEFT($A59,LEN($A59)-1)&amp;"'!$H$13:$J$41"),MATCH(V$1,INDIRECT("'"&amp;LEFT($A59,LEN($A59)-1)&amp;"'!$A$13:$A$41"),0),VALUE(RIGHT($A59,1)))="YES",$H59,IF(INDEX(INDIRECT("'"&amp;LEFT($A59,LEN($A59)-1)&amp;"'!$H$13:$J$41"),MATCH(V$1,INDIRECT("'"&amp;LEFT($A59,LEN($A59)-1)&amp;"'!$A$13:$A$41"),0),VALUE(RIGHT($A59,1)))="NO",0,"?"))</f>
        <v>?</v>
      </c>
      <c r="W59" s="78" t="str">
        <f aca="true">IF(INDEX(INDIRECT("'"&amp;LEFT($A59,LEN($A59)-1)&amp;"'!$H$13:$J$41"),MATCH(W$1,INDIRECT("'"&amp;LEFT($A59,LEN($A59)-1)&amp;"'!$A$13:$A$41"),0),VALUE(RIGHT($A59,1)))="YES",$H59,IF(INDEX(INDIRECT("'"&amp;LEFT($A59,LEN($A59)-1)&amp;"'!$H$13:$J$41"),MATCH(W$1,INDIRECT("'"&amp;LEFT($A59,LEN($A59)-1)&amp;"'!$A$13:$A$41"),0),VALUE(RIGHT($A59,1)))="NO",0,"?"))</f>
        <v>?</v>
      </c>
      <c r="X59" s="78" t="str">
        <f aca="true">IF(INDEX(INDIRECT("'"&amp;LEFT($A59,LEN($A59)-1)&amp;"'!$H$13:$J$41"),MATCH(X$1,INDIRECT("'"&amp;LEFT($A59,LEN($A59)-1)&amp;"'!$A$13:$A$41"),0),VALUE(RIGHT($A59,1)))="YES",$H59,IF(INDEX(INDIRECT("'"&amp;LEFT($A59,LEN($A59)-1)&amp;"'!$H$13:$J$41"),MATCH(X$1,INDIRECT("'"&amp;LEFT($A59,LEN($A59)-1)&amp;"'!$A$13:$A$41"),0),VALUE(RIGHT($A59,1)))="NO",0,"?"))</f>
        <v>?</v>
      </c>
      <c r="Y59" s="78" t="str">
        <f aca="true">IF(INDEX(INDIRECT("'"&amp;LEFT($A59,LEN($A59)-1)&amp;"'!$H$13:$J$41"),MATCH(Y$1,INDIRECT("'"&amp;LEFT($A59,LEN($A59)-1)&amp;"'!$A$13:$A$41"),0),VALUE(RIGHT($A59,1)))="YES",$H59,IF(INDEX(INDIRECT("'"&amp;LEFT($A59,LEN($A59)-1)&amp;"'!$H$13:$J$41"),MATCH(Y$1,INDIRECT("'"&amp;LEFT($A59,LEN($A59)-1)&amp;"'!$A$13:$A$41"),0),VALUE(RIGHT($A59,1)))="NO",0,"?"))</f>
        <v>?</v>
      </c>
      <c r="Z59" s="78" t="str">
        <f aca="true">IF(INDEX(INDIRECT("'"&amp;LEFT($A59,LEN($A59)-1)&amp;"'!$H$13:$J$41"),MATCH(Z$1,INDIRECT("'"&amp;LEFT($A59,LEN($A59)-1)&amp;"'!$A$13:$A$41"),0),VALUE(RIGHT($A59,1)))="YES",$H59,IF(INDEX(INDIRECT("'"&amp;LEFT($A59,LEN($A59)-1)&amp;"'!$H$13:$J$41"),MATCH(Z$1,INDIRECT("'"&amp;LEFT($A59,LEN($A59)-1)&amp;"'!$A$13:$A$41"),0),VALUE(RIGHT($A59,1)))="NO",0,"?"))</f>
        <v>?</v>
      </c>
      <c r="AA59" s="78" t="str">
        <f aca="true">IF(INDEX(INDIRECT("'"&amp;LEFT($A59,LEN($A59)-1)&amp;"'!$H$13:$J$41"),MATCH(AA$1,INDIRECT("'"&amp;LEFT($A59,LEN($A59)-1)&amp;"'!$A$13:$A$41"),0),VALUE(RIGHT($A59,1)))="YES",$H59,IF(INDEX(INDIRECT("'"&amp;LEFT($A59,LEN($A59)-1)&amp;"'!$H$13:$J$41"),MATCH(AA$1,INDIRECT("'"&amp;LEFT($A59,LEN($A59)-1)&amp;"'!$A$13:$A$41"),0),VALUE(RIGHT($A59,1)))="NO",0,"?"))</f>
        <v>?</v>
      </c>
      <c r="AB59" s="78" t="str">
        <f aca="true">IF(INDEX(INDIRECT("'"&amp;LEFT($A59,LEN($A59)-1)&amp;"'!$H$13:$J$41"),MATCH(AB$1,INDIRECT("'"&amp;LEFT($A59,LEN($A59)-1)&amp;"'!$A$13:$A$41"),0),VALUE(RIGHT($A59,1)))="YES",$H59,IF(INDEX(INDIRECT("'"&amp;LEFT($A59,LEN($A59)-1)&amp;"'!$H$13:$J$41"),MATCH(AB$1,INDIRECT("'"&amp;LEFT($A59,LEN($A59)-1)&amp;"'!$A$13:$A$41"),0),VALUE(RIGHT($A59,1)))="NO",0,"?"))</f>
        <v>?</v>
      </c>
      <c r="AC59" s="78" t="str">
        <f aca="true">IF(INDEX(INDIRECT("'"&amp;LEFT($A59,LEN($A59)-1)&amp;"'!$H$13:$J$41"),MATCH(AC$1,INDIRECT("'"&amp;LEFT($A59,LEN($A59)-1)&amp;"'!$A$13:$A$41"),0),VALUE(RIGHT($A59,1)))="YES",$H59,IF(INDEX(INDIRECT("'"&amp;LEFT($A59,LEN($A59)-1)&amp;"'!$H$13:$J$41"),MATCH(AC$1,INDIRECT("'"&amp;LEFT($A59,LEN($A59)-1)&amp;"'!$A$13:$A$41"),0),VALUE(RIGHT($A59,1)))="NO",0,"?"))</f>
        <v>?</v>
      </c>
      <c r="AD59" s="78" t="str">
        <f aca="true">IF(INDEX(INDIRECT("'"&amp;LEFT($A59,LEN($A59)-1)&amp;"'!$H$13:$J$41"),MATCH(AD$1,INDIRECT("'"&amp;LEFT($A59,LEN($A59)-1)&amp;"'!$A$13:$A$41"),0),VALUE(RIGHT($A59,1)))="YES",$H59,IF(INDEX(INDIRECT("'"&amp;LEFT($A59,LEN($A59)-1)&amp;"'!$H$13:$J$41"),MATCH(AD$1,INDIRECT("'"&amp;LEFT($A59,LEN($A59)-1)&amp;"'!$A$13:$A$41"),0),VALUE(RIGHT($A59,1)))="NO",0,"?"))</f>
        <v>?</v>
      </c>
      <c r="AE59" s="78" t="str">
        <f aca="true">IF(INDEX(INDIRECT("'"&amp;LEFT($A59,LEN($A59)-1)&amp;"'!$H$13:$J$41"),MATCH(AE$1,INDIRECT("'"&amp;LEFT($A59,LEN($A59)-1)&amp;"'!$A$13:$A$41"),0),VALUE(RIGHT($A59,1)))="YES",$H59,IF(INDEX(INDIRECT("'"&amp;LEFT($A59,LEN($A59)-1)&amp;"'!$H$13:$J$41"),MATCH(AE$1,INDIRECT("'"&amp;LEFT($A59,LEN($A59)-1)&amp;"'!$A$13:$A$41"),0),VALUE(RIGHT($A59,1)))="NO",0,"?"))</f>
        <v>?</v>
      </c>
      <c r="AF59" s="78" t="str">
        <f aca="true">IF(INDEX(INDIRECT("'"&amp;LEFT($A59,LEN($A59)-1)&amp;"'!$H$13:$J$41"),MATCH(AF$1,INDIRECT("'"&amp;LEFT($A59,LEN($A59)-1)&amp;"'!$A$13:$A$41"),0),VALUE(RIGHT($A59,1)))="YES",$H59,IF(INDEX(INDIRECT("'"&amp;LEFT($A59,LEN($A59)-1)&amp;"'!$H$13:$J$41"),MATCH(AF$1,INDIRECT("'"&amp;LEFT($A59,LEN($A59)-1)&amp;"'!$A$13:$A$41"),0),VALUE(RIGHT($A59,1)))="NO",0,"?"))</f>
        <v>?</v>
      </c>
      <c r="AG59" s="78" t="str">
        <f aca="true">IF(INDEX(INDIRECT("'"&amp;LEFT($A59,LEN($A59)-1)&amp;"'!$H$13:$J$41"),MATCH(AG$1,INDIRECT("'"&amp;LEFT($A59,LEN($A59)-1)&amp;"'!$A$13:$A$41"),0),VALUE(RIGHT($A59,1)))="YES",$H59,IF(INDEX(INDIRECT("'"&amp;LEFT($A59,LEN($A59)-1)&amp;"'!$H$13:$J$41"),MATCH(AG$1,INDIRECT("'"&amp;LEFT($A59,LEN($A59)-1)&amp;"'!$A$13:$A$41"),0),VALUE(RIGHT($A59,1)))="NO",0,"?"))</f>
        <v>?</v>
      </c>
      <c r="AH59" s="78" t="str">
        <f aca="true">IF(INDEX(INDIRECT("'"&amp;LEFT($A59,LEN($A59)-1)&amp;"'!$H$13:$J$41"),MATCH(AH$1,INDIRECT("'"&amp;LEFT($A59,LEN($A59)-1)&amp;"'!$A$13:$A$41"),0),VALUE(RIGHT($A59,1)))="YES",$H59,IF(INDEX(INDIRECT("'"&amp;LEFT($A59,LEN($A59)-1)&amp;"'!$H$13:$J$41"),MATCH(AH$1,INDIRECT("'"&amp;LEFT($A59,LEN($A59)-1)&amp;"'!$A$13:$A$41"),0),VALUE(RIGHT($A59,1)))="NO",0,"?"))</f>
        <v>?</v>
      </c>
      <c r="AI59" s="78" t="str">
        <f aca="true">IF(INDEX(INDIRECT("'"&amp;LEFT($A59,LEN($A59)-1)&amp;"'!$H$13:$J$41"),MATCH(AI$1,INDIRECT("'"&amp;LEFT($A59,LEN($A59)-1)&amp;"'!$A$13:$A$41"),0),VALUE(RIGHT($A59,1)))="YES",$H59,IF(INDEX(INDIRECT("'"&amp;LEFT($A59,LEN($A59)-1)&amp;"'!$H$13:$J$41"),MATCH(AI$1,INDIRECT("'"&amp;LEFT($A59,LEN($A59)-1)&amp;"'!$A$13:$A$41"),0),VALUE(RIGHT($A59,1)))="NO",0,"?"))</f>
        <v>?</v>
      </c>
      <c r="AJ59" s="78" t="str">
        <f aca="true">IF(INDEX(INDIRECT("'"&amp;LEFT($A59,LEN($A59)-1)&amp;"'!$H$13:$J$41"),MATCH(AJ$1,INDIRECT("'"&amp;LEFT($A59,LEN($A59)-1)&amp;"'!$A$13:$A$41"),0),VALUE(RIGHT($A59,1)))="YES",$H59,IF(INDEX(INDIRECT("'"&amp;LEFT($A59,LEN($A59)-1)&amp;"'!$H$13:$J$41"),MATCH(AJ$1,INDIRECT("'"&amp;LEFT($A59,LEN($A59)-1)&amp;"'!$A$13:$A$41"),0),VALUE(RIGHT($A59,1)))="NO",0,"?"))</f>
        <v>?</v>
      </c>
      <c r="AK59" s="78" t="str">
        <f aca="true">IF(INDEX(INDIRECT("'"&amp;LEFT($A59,LEN($A59)-1)&amp;"'!$H$13:$J$41"),MATCH(AK$1,INDIRECT("'"&amp;LEFT($A59,LEN($A59)-1)&amp;"'!$A$13:$A$41"),0),VALUE(RIGHT($A59,1)))="YES",$H59,IF(INDEX(INDIRECT("'"&amp;LEFT($A59,LEN($A59)-1)&amp;"'!$H$13:$J$41"),MATCH(AK$1,INDIRECT("'"&amp;LEFT($A59,LEN($A59)-1)&amp;"'!$A$13:$A$41"),0),VALUE(RIGHT($A59,1)))="NO",0,"?"))</f>
        <v>?</v>
      </c>
    </row>
    <row r="60" customFormat="false" ht="14.25" hidden="false" customHeight="true" outlineLevel="0" collapsed="false">
      <c r="A60" s="74" t="s">
        <v>285</v>
      </c>
      <c r="B60" s="75" t="str">
        <f aca="false">IF(ISBLANK($A60),"NO_CODE",VLOOKUP($A60,'UPD Questions_290926 '!$E$1:$N$300,MATCH(B$1,'UPD Questions_290926 '!$E$1:$N$1,0),0)&amp;"")</f>
        <v>Implementation</v>
      </c>
      <c r="C60" s="75" t="str">
        <f aca="false">IF(ISBLANK($A60),"NO_CODE",VLOOKUP($A60,'UPD Questions_290926 '!$E$1:$N$300,MATCH(C$1,'UPD Questions_290926 '!$E$1:$N$1,0),0)&amp;"")</f>
        <v>Sectoral planning</v>
      </c>
      <c r="D60" s="75" t="str">
        <f aca="false">IF(ISBLANK($A60),"NO_CODE",VLOOKUP($A60,'UPD Questions_290926 '!$E$1:$N$300,MATCH(D$1,'UPD Questions_290926 '!$E$1:$N$1,0),0)&amp;"")</f>
        <v>Water supply and sewerage, sanitation, solid waste management </v>
      </c>
      <c r="E60" s="75" t="str">
        <f aca="false">IF(ISBLANK($A60),"NO_CODE",VLOOKUP($A60,'UPD Questions_290926 '!$E$1:$N$300,MATCH(E$1,'UPD Questions_290926 '!$E$1:$N$1,0),0)&amp;"")</f>
        <v>SQ</v>
      </c>
      <c r="F60" s="75" t="str">
        <f aca="false">IF(ISBLANK($A60),"NO_CODE",VLOOKUP($A60,'UPD Questions_290926 '!$E$1:$N$300,MATCH(F$1,'UPD Questions_290926 '!$E$1:$N$1,0),0)&amp;"")</f>
        <v>Does the plan clearly articulate the role of the ULG?</v>
      </c>
      <c r="G60" s="75" t="str">
        <f aca="false">IF(ISBLANK($A60),"NO_CODE",VLOOKUP($A60,'UPD Questions_290926 '!$E$1:$N$300,MATCH(G$1,'UPD Questions_290926 '!$E$1:$N$1,0),0)&amp;"")</f>
        <v>Implementation</v>
      </c>
      <c r="H60" s="77" t="n">
        <f aca="false">IF(ISBLANK($A60),"NO_CODE",VLOOKUP($A60,'UPD Questions_290926 '!$E$1:$N$300,MATCH(H$1,'UPD Questions_290926 '!$E$1:$N$1,0),0))</f>
        <v>3.33</v>
      </c>
      <c r="I60" s="78" t="str">
        <f aca="true">IF($H60=0,"NA",IF($A60=INDIRECT("'"&amp;$A60&amp;"'!$B$1"),IF(VLOOKUP(I$1,INDIRECT("'"&amp;$A60&amp;"'!$A$12:$Z$41"),MATCH("Points (Auto-generate)",INDIRECT("'"&amp;$A60&amp;"'!$A$12:$Z$12"),0),0)="","?",VLOOKUP(I$1,INDIRECT("'"&amp;$A60&amp;"'!$A$12:$Z$41"),MATCH("Points (Auto-generate)",INDIRECT("'"&amp;$A60&amp;"'!$A$12:$Z$12"),0),0)),"ER"))</f>
        <v>?</v>
      </c>
      <c r="J60" s="78" t="n">
        <f aca="true">IF($H60=0,"NA",IF($A60=INDIRECT("'"&amp;$A60&amp;"'!$B$1"),IF(VLOOKUP(J$1,INDIRECT("'"&amp;$A60&amp;"'!$A$12:$Z$41"),MATCH("Points (Auto-generate)",INDIRECT("'"&amp;$A60&amp;"'!$A$12:$Z$12"),0),0)="","?",VLOOKUP(J$1,INDIRECT("'"&amp;$A60&amp;"'!$A$12:$Z$41"),MATCH("Points (Auto-generate)",INDIRECT("'"&amp;$A60&amp;"'!$A$12:$Z$12"),0),0)),"ER"))</f>
        <v>0</v>
      </c>
      <c r="K60" s="78" t="str">
        <f aca="true">IF($H60=0,"NA",IF($A60=INDIRECT("'"&amp;$A60&amp;"'!$B$1"),IF(VLOOKUP(K$1,INDIRECT("'"&amp;$A60&amp;"'!$A$12:$Z$41"),MATCH("Points (Auto-generate)",INDIRECT("'"&amp;$A60&amp;"'!$A$12:$Z$12"),0),0)="","?",VLOOKUP(K$1,INDIRECT("'"&amp;$A60&amp;"'!$A$12:$Z$41"),MATCH("Points (Auto-generate)",INDIRECT("'"&amp;$A60&amp;"'!$A$12:$Z$12"),0),0)),"ER"))</f>
        <v>?</v>
      </c>
      <c r="L60" s="78" t="str">
        <f aca="true">IF($H60=0,"NA",IF($A60=INDIRECT("'"&amp;$A60&amp;"'!$B$1"),IF(VLOOKUP(L$1,INDIRECT("'"&amp;$A60&amp;"'!$A$12:$Z$41"),MATCH("Points (Auto-generate)",INDIRECT("'"&amp;$A60&amp;"'!$A$12:$Z$12"),0),0)="","?",VLOOKUP(L$1,INDIRECT("'"&amp;$A60&amp;"'!$A$12:$Z$41"),MATCH("Points (Auto-generate)",INDIRECT("'"&amp;$A60&amp;"'!$A$12:$Z$12"),0),0)),"ER"))</f>
        <v>?</v>
      </c>
      <c r="M60" s="78" t="str">
        <f aca="true">IF($H60=0,"NA",IF($A60=INDIRECT("'"&amp;$A60&amp;"'!$B$1"),IF(VLOOKUP(M$1,INDIRECT("'"&amp;$A60&amp;"'!$A$12:$Z$41"),MATCH("Points (Auto-generate)",INDIRECT("'"&amp;$A60&amp;"'!$A$12:$Z$12"),0),0)="","?",VLOOKUP(M$1,INDIRECT("'"&amp;$A60&amp;"'!$A$12:$Z$41"),MATCH("Points (Auto-generate)",INDIRECT("'"&amp;$A60&amp;"'!$A$12:$Z$12"),0),0)),"ER"))</f>
        <v>?</v>
      </c>
      <c r="N60" s="78" t="str">
        <f aca="true">IF($H60=0,"NA",IF($A60=INDIRECT("'"&amp;$A60&amp;"'!$B$1"),IF(VLOOKUP(N$1,INDIRECT("'"&amp;$A60&amp;"'!$A$12:$Z$41"),MATCH("Points (Auto-generate)",INDIRECT("'"&amp;$A60&amp;"'!$A$12:$Z$12"),0),0)="","?",VLOOKUP(N$1,INDIRECT("'"&amp;$A60&amp;"'!$A$12:$Z$41"),MATCH("Points (Auto-generate)",INDIRECT("'"&amp;$A60&amp;"'!$A$12:$Z$12"),0),0)),"ER"))</f>
        <v>?</v>
      </c>
      <c r="O60" s="78" t="str">
        <f aca="true">IF($H60=0,"NA",IF($A60=INDIRECT("'"&amp;$A60&amp;"'!$B$1"),IF(VLOOKUP(O$1,INDIRECT("'"&amp;$A60&amp;"'!$A$12:$Z$41"),MATCH("Points (Auto-generate)",INDIRECT("'"&amp;$A60&amp;"'!$A$12:$Z$12"),0),0)="","?",VLOOKUP(O$1,INDIRECT("'"&amp;$A60&amp;"'!$A$12:$Z$41"),MATCH("Points (Auto-generate)",INDIRECT("'"&amp;$A60&amp;"'!$A$12:$Z$12"),0),0)),"ER"))</f>
        <v>?</v>
      </c>
      <c r="P60" s="78" t="str">
        <f aca="true">IF($H60=0,"NA",IF($A60=INDIRECT("'"&amp;$A60&amp;"'!$B$1"),IF(VLOOKUP(P$1,INDIRECT("'"&amp;$A60&amp;"'!$A$12:$Z$41"),MATCH("Points (Auto-generate)",INDIRECT("'"&amp;$A60&amp;"'!$A$12:$Z$12"),0),0)="","?",VLOOKUP(P$1,INDIRECT("'"&amp;$A60&amp;"'!$A$12:$Z$41"),MATCH("Points (Auto-generate)",INDIRECT("'"&amp;$A60&amp;"'!$A$12:$Z$12"),0),0)),"ER"))</f>
        <v>?</v>
      </c>
      <c r="Q60" s="78" t="str">
        <f aca="true">IF($H60=0,"NA",IF($A60=INDIRECT("'"&amp;$A60&amp;"'!$B$1"),IF(VLOOKUP(Q$1,INDIRECT("'"&amp;$A60&amp;"'!$A$12:$Z$41"),MATCH("Points (Auto-generate)",INDIRECT("'"&amp;$A60&amp;"'!$A$12:$Z$12"),0),0)="","?",VLOOKUP(Q$1,INDIRECT("'"&amp;$A60&amp;"'!$A$12:$Z$41"),MATCH("Points (Auto-generate)",INDIRECT("'"&amp;$A60&amp;"'!$A$12:$Z$12"),0),0)),"ER"))</f>
        <v>?</v>
      </c>
      <c r="R60" s="78" t="str">
        <f aca="true">IF($H60=0,"NA",IF($A60=INDIRECT("'"&amp;$A60&amp;"'!$B$1"),IF(VLOOKUP(R$1,INDIRECT("'"&amp;$A60&amp;"'!$A$12:$Z$41"),MATCH("Points (Auto-generate)",INDIRECT("'"&amp;$A60&amp;"'!$A$12:$Z$12"),0),0)="","?",VLOOKUP(R$1,INDIRECT("'"&amp;$A60&amp;"'!$A$12:$Z$41"),MATCH("Points (Auto-generate)",INDIRECT("'"&amp;$A60&amp;"'!$A$12:$Z$12"),0),0)),"ER"))</f>
        <v>?</v>
      </c>
      <c r="S60" s="78" t="str">
        <f aca="true">IF($H60=0,"NA",IF($A60=INDIRECT("'"&amp;$A60&amp;"'!$B$1"),IF(VLOOKUP(S$1,INDIRECT("'"&amp;$A60&amp;"'!$A$12:$Z$41"),MATCH("Points (Auto-generate)",INDIRECT("'"&amp;$A60&amp;"'!$A$12:$Z$12"),0),0)="","?",VLOOKUP(S$1,INDIRECT("'"&amp;$A60&amp;"'!$A$12:$Z$41"),MATCH("Points (Auto-generate)",INDIRECT("'"&amp;$A60&amp;"'!$A$12:$Z$12"),0),0)),"ER"))</f>
        <v>?</v>
      </c>
      <c r="T60" s="78" t="str">
        <f aca="true">IF($H60=0,"NA",IF($A60=INDIRECT("'"&amp;$A60&amp;"'!$B$1"),IF(VLOOKUP(T$1,INDIRECT("'"&amp;$A60&amp;"'!$A$12:$Z$41"),MATCH("Points (Auto-generate)",INDIRECT("'"&amp;$A60&amp;"'!$A$12:$Z$12"),0),0)="","?",VLOOKUP(T$1,INDIRECT("'"&amp;$A60&amp;"'!$A$12:$Z$41"),MATCH("Points (Auto-generate)",INDIRECT("'"&amp;$A60&amp;"'!$A$12:$Z$12"),0),0)),"ER"))</f>
        <v>?</v>
      </c>
      <c r="U60" s="78" t="str">
        <f aca="true">IF($H60=0,"NA",IF($A60=INDIRECT("'"&amp;$A60&amp;"'!$B$1"),IF(VLOOKUP(U$1,INDIRECT("'"&amp;$A60&amp;"'!$A$12:$Z$41"),MATCH("Points (Auto-generate)",INDIRECT("'"&amp;$A60&amp;"'!$A$12:$Z$12"),0),0)="","?",VLOOKUP(U$1,INDIRECT("'"&amp;$A60&amp;"'!$A$12:$Z$41"),MATCH("Points (Auto-generate)",INDIRECT("'"&amp;$A60&amp;"'!$A$12:$Z$12"),0),0)),"ER"))</f>
        <v>?</v>
      </c>
      <c r="V60" s="78" t="str">
        <f aca="true">IF($H60=0,"NA",IF($A60=INDIRECT("'"&amp;$A60&amp;"'!$B$1"),IF(VLOOKUP(V$1,INDIRECT("'"&amp;$A60&amp;"'!$A$12:$Z$41"),MATCH("Points (Auto-generate)",INDIRECT("'"&amp;$A60&amp;"'!$A$12:$Z$12"),0),0)="","?",VLOOKUP(V$1,INDIRECT("'"&amp;$A60&amp;"'!$A$12:$Z$41"),MATCH("Points (Auto-generate)",INDIRECT("'"&amp;$A60&amp;"'!$A$12:$Z$12"),0),0)),"ER"))</f>
        <v>?</v>
      </c>
      <c r="W60" s="78" t="str">
        <f aca="true">IF($H60=0,"NA",IF($A60=INDIRECT("'"&amp;$A60&amp;"'!$B$1"),IF(VLOOKUP(W$1,INDIRECT("'"&amp;$A60&amp;"'!$A$12:$Z$41"),MATCH("Points (Auto-generate)",INDIRECT("'"&amp;$A60&amp;"'!$A$12:$Z$12"),0),0)="","?",VLOOKUP(W$1,INDIRECT("'"&amp;$A60&amp;"'!$A$12:$Z$41"),MATCH("Points (Auto-generate)",INDIRECT("'"&amp;$A60&amp;"'!$A$12:$Z$12"),0),0)),"ER"))</f>
        <v>?</v>
      </c>
      <c r="X60" s="78" t="str">
        <f aca="true">IF($H60=0,"NA",IF($A60=INDIRECT("'"&amp;$A60&amp;"'!$B$1"),IF(VLOOKUP(X$1,INDIRECT("'"&amp;$A60&amp;"'!$A$12:$Z$41"),MATCH("Points (Auto-generate)",INDIRECT("'"&amp;$A60&amp;"'!$A$12:$Z$12"),0),0)="","?",VLOOKUP(X$1,INDIRECT("'"&amp;$A60&amp;"'!$A$12:$Z$41"),MATCH("Points (Auto-generate)",INDIRECT("'"&amp;$A60&amp;"'!$A$12:$Z$12"),0),0)),"ER"))</f>
        <v>?</v>
      </c>
      <c r="Y60" s="78" t="str">
        <f aca="true">IF($H60=0,"NA",IF($A60=INDIRECT("'"&amp;$A60&amp;"'!$B$1"),IF(VLOOKUP(Y$1,INDIRECT("'"&amp;$A60&amp;"'!$A$12:$Z$41"),MATCH("Points (Auto-generate)",INDIRECT("'"&amp;$A60&amp;"'!$A$12:$Z$12"),0),0)="","?",VLOOKUP(Y$1,INDIRECT("'"&amp;$A60&amp;"'!$A$12:$Z$41"),MATCH("Points (Auto-generate)",INDIRECT("'"&amp;$A60&amp;"'!$A$12:$Z$12"),0),0)),"ER"))</f>
        <v>?</v>
      </c>
      <c r="Z60" s="78" t="str">
        <f aca="true">IF($H60=0,"NA",IF($A60=INDIRECT("'"&amp;$A60&amp;"'!$B$1"),IF(VLOOKUP(Z$1,INDIRECT("'"&amp;$A60&amp;"'!$A$12:$Z$41"),MATCH("Points (Auto-generate)",INDIRECT("'"&amp;$A60&amp;"'!$A$12:$Z$12"),0),0)="","?",VLOOKUP(Z$1,INDIRECT("'"&amp;$A60&amp;"'!$A$12:$Z$41"),MATCH("Points (Auto-generate)",INDIRECT("'"&amp;$A60&amp;"'!$A$12:$Z$12"),0),0)),"ER"))</f>
        <v>?</v>
      </c>
      <c r="AA60" s="78" t="str">
        <f aca="true">IF($H60=0,"NA",IF($A60=INDIRECT("'"&amp;$A60&amp;"'!$B$1"),IF(VLOOKUP(AA$1,INDIRECT("'"&amp;$A60&amp;"'!$A$12:$Z$41"),MATCH("Points (Auto-generate)",INDIRECT("'"&amp;$A60&amp;"'!$A$12:$Z$12"),0),0)="","?",VLOOKUP(AA$1,INDIRECT("'"&amp;$A60&amp;"'!$A$12:$Z$41"),MATCH("Points (Auto-generate)",INDIRECT("'"&amp;$A60&amp;"'!$A$12:$Z$12"),0),0)),"ER"))</f>
        <v>?</v>
      </c>
      <c r="AB60" s="78" t="str">
        <f aca="true">IF($H60=0,"NA",IF($A60=INDIRECT("'"&amp;$A60&amp;"'!$B$1"),IF(VLOOKUP(AB$1,INDIRECT("'"&amp;$A60&amp;"'!$A$12:$Z$41"),MATCH("Points (Auto-generate)",INDIRECT("'"&amp;$A60&amp;"'!$A$12:$Z$12"),0),0)="","?",VLOOKUP(AB$1,INDIRECT("'"&amp;$A60&amp;"'!$A$12:$Z$41"),MATCH("Points (Auto-generate)",INDIRECT("'"&amp;$A60&amp;"'!$A$12:$Z$12"),0),0)),"ER"))</f>
        <v>?</v>
      </c>
      <c r="AC60" s="78" t="str">
        <f aca="true">IF($H60=0,"NA",IF($A60=INDIRECT("'"&amp;$A60&amp;"'!$B$1"),IF(VLOOKUP(AC$1,INDIRECT("'"&amp;$A60&amp;"'!$A$12:$Z$41"),MATCH("Points (Auto-generate)",INDIRECT("'"&amp;$A60&amp;"'!$A$12:$Z$12"),0),0)="","?",VLOOKUP(AC$1,INDIRECT("'"&amp;$A60&amp;"'!$A$12:$Z$41"),MATCH("Points (Auto-generate)",INDIRECT("'"&amp;$A60&amp;"'!$A$12:$Z$12"),0),0)),"ER"))</f>
        <v>?</v>
      </c>
      <c r="AD60" s="78" t="str">
        <f aca="true">IF($H60=0,"NA",IF($A60=INDIRECT("'"&amp;$A60&amp;"'!$B$1"),IF(VLOOKUP(AD$1,INDIRECT("'"&amp;$A60&amp;"'!$A$12:$Z$41"),MATCH("Points (Auto-generate)",INDIRECT("'"&amp;$A60&amp;"'!$A$12:$Z$12"),0),0)="","?",VLOOKUP(AD$1,INDIRECT("'"&amp;$A60&amp;"'!$A$12:$Z$41"),MATCH("Points (Auto-generate)",INDIRECT("'"&amp;$A60&amp;"'!$A$12:$Z$12"),0),0)),"ER"))</f>
        <v>?</v>
      </c>
      <c r="AE60" s="78" t="str">
        <f aca="true">IF($H60=0,"NA",IF($A60=INDIRECT("'"&amp;$A60&amp;"'!$B$1"),IF(VLOOKUP(AE$1,INDIRECT("'"&amp;$A60&amp;"'!$A$12:$Z$41"),MATCH("Points (Auto-generate)",INDIRECT("'"&amp;$A60&amp;"'!$A$12:$Z$12"),0),0)="","?",VLOOKUP(AE$1,INDIRECT("'"&amp;$A60&amp;"'!$A$12:$Z$41"),MATCH("Points (Auto-generate)",INDIRECT("'"&amp;$A60&amp;"'!$A$12:$Z$12"),0),0)),"ER"))</f>
        <v>?</v>
      </c>
      <c r="AF60" s="78" t="str">
        <f aca="true">IF($H60=0,"NA",IF($A60=INDIRECT("'"&amp;$A60&amp;"'!$B$1"),IF(VLOOKUP(AF$1,INDIRECT("'"&amp;$A60&amp;"'!$A$12:$Z$41"),MATCH("Points (Auto-generate)",INDIRECT("'"&amp;$A60&amp;"'!$A$12:$Z$12"),0),0)="","?",VLOOKUP(AF$1,INDIRECT("'"&amp;$A60&amp;"'!$A$12:$Z$41"),MATCH("Points (Auto-generate)",INDIRECT("'"&amp;$A60&amp;"'!$A$12:$Z$12"),0),0)),"ER"))</f>
        <v>?</v>
      </c>
      <c r="AG60" s="78" t="str">
        <f aca="true">IF($H60=0,"NA",IF($A60=INDIRECT("'"&amp;$A60&amp;"'!$B$1"),IF(VLOOKUP(AG$1,INDIRECT("'"&amp;$A60&amp;"'!$A$12:$Z$41"),MATCH("Points (Auto-generate)",INDIRECT("'"&amp;$A60&amp;"'!$A$12:$Z$12"),0),0)="","?",VLOOKUP(AG$1,INDIRECT("'"&amp;$A60&amp;"'!$A$12:$Z$41"),MATCH("Points (Auto-generate)",INDIRECT("'"&amp;$A60&amp;"'!$A$12:$Z$12"),0),0)),"ER"))</f>
        <v>?</v>
      </c>
      <c r="AH60" s="78" t="str">
        <f aca="true">IF($H60=0,"NA",IF($A60=INDIRECT("'"&amp;$A60&amp;"'!$B$1"),IF(VLOOKUP(AH$1,INDIRECT("'"&amp;$A60&amp;"'!$A$12:$Z$41"),MATCH("Points (Auto-generate)",INDIRECT("'"&amp;$A60&amp;"'!$A$12:$Z$12"),0),0)="","?",VLOOKUP(AH$1,INDIRECT("'"&amp;$A60&amp;"'!$A$12:$Z$41"),MATCH("Points (Auto-generate)",INDIRECT("'"&amp;$A60&amp;"'!$A$12:$Z$12"),0),0)),"ER"))</f>
        <v>?</v>
      </c>
      <c r="AI60" s="78" t="str">
        <f aca="true">IF($H60=0,"NA",IF($A60=INDIRECT("'"&amp;$A60&amp;"'!$B$1"),IF(VLOOKUP(AI$1,INDIRECT("'"&amp;$A60&amp;"'!$A$12:$Z$41"),MATCH("Points (Auto-generate)",INDIRECT("'"&amp;$A60&amp;"'!$A$12:$Z$12"),0),0)="","?",VLOOKUP(AI$1,INDIRECT("'"&amp;$A60&amp;"'!$A$12:$Z$41"),MATCH("Points (Auto-generate)",INDIRECT("'"&amp;$A60&amp;"'!$A$12:$Z$12"),0),0)),"ER"))</f>
        <v>?</v>
      </c>
      <c r="AJ60" s="78" t="str">
        <f aca="true">IF($H60=0,"NA",IF($A60=INDIRECT("'"&amp;$A60&amp;"'!$B$1"),IF(VLOOKUP(AJ$1,INDIRECT("'"&amp;$A60&amp;"'!$A$12:$Z$41"),MATCH("Points (Auto-generate)",INDIRECT("'"&amp;$A60&amp;"'!$A$12:$Z$12"),0),0)="","?",VLOOKUP(AJ$1,INDIRECT("'"&amp;$A60&amp;"'!$A$12:$Z$41"),MATCH("Points (Auto-generate)",INDIRECT("'"&amp;$A60&amp;"'!$A$12:$Z$12"),0),0)),"ER"))</f>
        <v>?</v>
      </c>
      <c r="AK60" s="78" t="str">
        <f aca="true">IF($H60=0,"NA",IF($A60=INDIRECT("'"&amp;$A60&amp;"'!$B$1"),IF(VLOOKUP(AK$1,INDIRECT("'"&amp;$A60&amp;"'!$A$12:$Z$41"),MATCH("Points (Auto-generate)",INDIRECT("'"&amp;$A60&amp;"'!$A$12:$Z$12"),0),0)="","?",VLOOKUP(AK$1,INDIRECT("'"&amp;$A60&amp;"'!$A$12:$Z$41"),MATCH("Points (Auto-generate)",INDIRECT("'"&amp;$A60&amp;"'!$A$12:$Z$12"),0),0)),"ER"))</f>
        <v>?</v>
      </c>
    </row>
    <row r="61" customFormat="false" ht="14.25" hidden="false" customHeight="true" outlineLevel="0" collapsed="false">
      <c r="A61" s="74" t="s">
        <v>289</v>
      </c>
      <c r="B61" s="75" t="str">
        <f aca="false">IF(ISBLANK($A61),"NO_CODE",VLOOKUP($A61,'UPD Questions_290926 '!$E$1:$N$300,MATCH(B$1,'UPD Questions_290926 '!$E$1:$N$1,0),0)&amp;"")</f>
        <v>Implementation</v>
      </c>
      <c r="C61" s="75" t="str">
        <f aca="false">IF(ISBLANK($A61),"NO_CODE",VLOOKUP($A61,'UPD Questions_290926 '!$E$1:$N$300,MATCH(C$1,'UPD Questions_290926 '!$E$1:$N$1,0),0)&amp;"")</f>
        <v>Sectoral planning</v>
      </c>
      <c r="D61" s="75" t="str">
        <f aca="false">IF(ISBLANK($A61),"NO_CODE",VLOOKUP($A61,'UPD Questions_290926 '!$E$1:$N$300,MATCH(D$1,'UPD Questions_290926 '!$E$1:$N$1,0),0)&amp;"")</f>
        <v>Water supply and sewerage, sanitation, solid waste management </v>
      </c>
      <c r="E61" s="75" t="str">
        <f aca="false">IF(ISBLANK($A61),"NO_CODE",VLOOKUP($A61,'UPD Questions_290926 '!$E$1:$N$300,MATCH(E$1,'UPD Questions_290926 '!$E$1:$N$1,0),0)&amp;"")</f>
        <v>SQ1</v>
      </c>
      <c r="F61" s="75" t="str">
        <f aca="false">IF(ISBLANK($A61),"NO_CODE",VLOOKUP($A61,'UPD Questions_290926 '!$E$1:$N$300,MATCH(F$1,'UPD Questions_290926 '!$E$1:$N$1,0),0)&amp;"")</f>
        <v>a) Water Supply and Sewerage Plan</v>
      </c>
      <c r="G61" s="75" t="str">
        <f aca="false">IF(ISBLANK($A61),"NO_CODE",VLOOKUP($A61,'UPD Questions_290926 '!$E$1:$N$300,MATCH(G$1,'UPD Questions_290926 '!$E$1:$N$1,0),0)&amp;"")</f>
        <v>Implementation</v>
      </c>
      <c r="H61" s="77" t="n">
        <f aca="false">IF(ISBLANK($A61),"NO_CODE",VLOOKUP($A61,'UPD Questions_290926 '!$E$1:$N$300,MATCH(H$1,'UPD Questions_290926 '!$E$1:$N$1,0),0))</f>
        <v>1.11</v>
      </c>
      <c r="I61" s="78" t="str">
        <f aca="true">IF(INDEX(INDIRECT("'"&amp;LEFT($A61,LEN($A61)-1)&amp;"'!$H$13:$J$41"),MATCH(I$1,INDIRECT("'"&amp;LEFT($A61,LEN($A61)-1)&amp;"'!$A$13:$A$41"),0),VALUE(RIGHT($A61,1)))="YES",$H61,IF(INDEX(INDIRECT("'"&amp;LEFT($A61,LEN($A61)-1)&amp;"'!$H$13:$J$41"),MATCH(I$1,INDIRECT("'"&amp;LEFT($A61,LEN($A61)-1)&amp;"'!$A$13:$A$41"),0),VALUE(RIGHT($A61,1)))="NO",0,"?"))</f>
        <v>?</v>
      </c>
      <c r="J61" s="78" t="n">
        <f aca="true">IF(INDEX(INDIRECT("'"&amp;LEFT($A61,LEN($A61)-1)&amp;"'!$H$13:$J$41"),MATCH(J$1,INDIRECT("'"&amp;LEFT($A61,LEN($A61)-1)&amp;"'!$A$13:$A$41"),0),VALUE(RIGHT($A61,1)))="YES",$H61,IF(INDEX(INDIRECT("'"&amp;LEFT($A61,LEN($A61)-1)&amp;"'!$H$13:$J$41"),MATCH(J$1,INDIRECT("'"&amp;LEFT($A61,LEN($A61)-1)&amp;"'!$A$13:$A$41"),0),VALUE(RIGHT($A61,1)))="NO",0,"?"))</f>
        <v>0</v>
      </c>
      <c r="K61" s="78" t="str">
        <f aca="true">IF(INDEX(INDIRECT("'"&amp;LEFT($A61,LEN($A61)-1)&amp;"'!$H$13:$J$41"),MATCH(K$1,INDIRECT("'"&amp;LEFT($A61,LEN($A61)-1)&amp;"'!$A$13:$A$41"),0),VALUE(RIGHT($A61,1)))="YES",$H61,IF(INDEX(INDIRECT("'"&amp;LEFT($A61,LEN($A61)-1)&amp;"'!$H$13:$J$41"),MATCH(K$1,INDIRECT("'"&amp;LEFT($A61,LEN($A61)-1)&amp;"'!$A$13:$A$41"),0),VALUE(RIGHT($A61,1)))="NO",0,"?"))</f>
        <v>?</v>
      </c>
      <c r="L61" s="78" t="str">
        <f aca="true">IF(INDEX(INDIRECT("'"&amp;LEFT($A61,LEN($A61)-1)&amp;"'!$H$13:$J$41"),MATCH(L$1,INDIRECT("'"&amp;LEFT($A61,LEN($A61)-1)&amp;"'!$A$13:$A$41"),0),VALUE(RIGHT($A61,1)))="YES",$H61,IF(INDEX(INDIRECT("'"&amp;LEFT($A61,LEN($A61)-1)&amp;"'!$H$13:$J$41"),MATCH(L$1,INDIRECT("'"&amp;LEFT($A61,LEN($A61)-1)&amp;"'!$A$13:$A$41"),0),VALUE(RIGHT($A61,1)))="NO",0,"?"))</f>
        <v>?</v>
      </c>
      <c r="M61" s="78" t="str">
        <f aca="true">IF(INDEX(INDIRECT("'"&amp;LEFT($A61,LEN($A61)-1)&amp;"'!$H$13:$J$41"),MATCH(M$1,INDIRECT("'"&amp;LEFT($A61,LEN($A61)-1)&amp;"'!$A$13:$A$41"),0),VALUE(RIGHT($A61,1)))="YES",$H61,IF(INDEX(INDIRECT("'"&amp;LEFT($A61,LEN($A61)-1)&amp;"'!$H$13:$J$41"),MATCH(M$1,INDIRECT("'"&amp;LEFT($A61,LEN($A61)-1)&amp;"'!$A$13:$A$41"),0),VALUE(RIGHT($A61,1)))="NO",0,"?"))</f>
        <v>?</v>
      </c>
      <c r="N61" s="78" t="str">
        <f aca="true">IF(INDEX(INDIRECT("'"&amp;LEFT($A61,LEN($A61)-1)&amp;"'!$H$13:$J$41"),MATCH(N$1,INDIRECT("'"&amp;LEFT($A61,LEN($A61)-1)&amp;"'!$A$13:$A$41"),0),VALUE(RIGHT($A61,1)))="YES",$H61,IF(INDEX(INDIRECT("'"&amp;LEFT($A61,LEN($A61)-1)&amp;"'!$H$13:$J$41"),MATCH(N$1,INDIRECT("'"&amp;LEFT($A61,LEN($A61)-1)&amp;"'!$A$13:$A$41"),0),VALUE(RIGHT($A61,1)))="NO",0,"?"))</f>
        <v>?</v>
      </c>
      <c r="O61" s="78" t="str">
        <f aca="true">IF(INDEX(INDIRECT("'"&amp;LEFT($A61,LEN($A61)-1)&amp;"'!$H$13:$J$41"),MATCH(O$1,INDIRECT("'"&amp;LEFT($A61,LEN($A61)-1)&amp;"'!$A$13:$A$41"),0),VALUE(RIGHT($A61,1)))="YES",$H61,IF(INDEX(INDIRECT("'"&amp;LEFT($A61,LEN($A61)-1)&amp;"'!$H$13:$J$41"),MATCH(O$1,INDIRECT("'"&amp;LEFT($A61,LEN($A61)-1)&amp;"'!$A$13:$A$41"),0),VALUE(RIGHT($A61,1)))="NO",0,"?"))</f>
        <v>?</v>
      </c>
      <c r="P61" s="78" t="str">
        <f aca="true">IF(INDEX(INDIRECT("'"&amp;LEFT($A61,LEN($A61)-1)&amp;"'!$H$13:$J$41"),MATCH(P$1,INDIRECT("'"&amp;LEFT($A61,LEN($A61)-1)&amp;"'!$A$13:$A$41"),0),VALUE(RIGHT($A61,1)))="YES",$H61,IF(INDEX(INDIRECT("'"&amp;LEFT($A61,LEN($A61)-1)&amp;"'!$H$13:$J$41"),MATCH(P$1,INDIRECT("'"&amp;LEFT($A61,LEN($A61)-1)&amp;"'!$A$13:$A$41"),0),VALUE(RIGHT($A61,1)))="NO",0,"?"))</f>
        <v>?</v>
      </c>
      <c r="Q61" s="78" t="str">
        <f aca="true">IF(INDEX(INDIRECT("'"&amp;LEFT($A61,LEN($A61)-1)&amp;"'!$H$13:$J$41"),MATCH(Q$1,INDIRECT("'"&amp;LEFT($A61,LEN($A61)-1)&amp;"'!$A$13:$A$41"),0),VALUE(RIGHT($A61,1)))="YES",$H61,IF(INDEX(INDIRECT("'"&amp;LEFT($A61,LEN($A61)-1)&amp;"'!$H$13:$J$41"),MATCH(Q$1,INDIRECT("'"&amp;LEFT($A61,LEN($A61)-1)&amp;"'!$A$13:$A$41"),0),VALUE(RIGHT($A61,1)))="NO",0,"?"))</f>
        <v>?</v>
      </c>
      <c r="R61" s="78" t="str">
        <f aca="true">IF(INDEX(INDIRECT("'"&amp;LEFT($A61,LEN($A61)-1)&amp;"'!$H$13:$J$41"),MATCH(R$1,INDIRECT("'"&amp;LEFT($A61,LEN($A61)-1)&amp;"'!$A$13:$A$41"),0),VALUE(RIGHT($A61,1)))="YES",$H61,IF(INDEX(INDIRECT("'"&amp;LEFT($A61,LEN($A61)-1)&amp;"'!$H$13:$J$41"),MATCH(R$1,INDIRECT("'"&amp;LEFT($A61,LEN($A61)-1)&amp;"'!$A$13:$A$41"),0),VALUE(RIGHT($A61,1)))="NO",0,"?"))</f>
        <v>?</v>
      </c>
      <c r="S61" s="78" t="str">
        <f aca="true">IF(INDEX(INDIRECT("'"&amp;LEFT($A61,LEN($A61)-1)&amp;"'!$H$13:$J$41"),MATCH(S$1,INDIRECT("'"&amp;LEFT($A61,LEN($A61)-1)&amp;"'!$A$13:$A$41"),0),VALUE(RIGHT($A61,1)))="YES",$H61,IF(INDEX(INDIRECT("'"&amp;LEFT($A61,LEN($A61)-1)&amp;"'!$H$13:$J$41"),MATCH(S$1,INDIRECT("'"&amp;LEFT($A61,LEN($A61)-1)&amp;"'!$A$13:$A$41"),0),VALUE(RIGHT($A61,1)))="NO",0,"?"))</f>
        <v>?</v>
      </c>
      <c r="T61" s="78" t="str">
        <f aca="true">IF(INDEX(INDIRECT("'"&amp;LEFT($A61,LEN($A61)-1)&amp;"'!$H$13:$J$41"),MATCH(T$1,INDIRECT("'"&amp;LEFT($A61,LEN($A61)-1)&amp;"'!$A$13:$A$41"),0),VALUE(RIGHT($A61,1)))="YES",$H61,IF(INDEX(INDIRECT("'"&amp;LEFT($A61,LEN($A61)-1)&amp;"'!$H$13:$J$41"),MATCH(T$1,INDIRECT("'"&amp;LEFT($A61,LEN($A61)-1)&amp;"'!$A$13:$A$41"),0),VALUE(RIGHT($A61,1)))="NO",0,"?"))</f>
        <v>?</v>
      </c>
      <c r="U61" s="78" t="str">
        <f aca="true">IF(INDEX(INDIRECT("'"&amp;LEFT($A61,LEN($A61)-1)&amp;"'!$H$13:$J$41"),MATCH(U$1,INDIRECT("'"&amp;LEFT($A61,LEN($A61)-1)&amp;"'!$A$13:$A$41"),0),VALUE(RIGHT($A61,1)))="YES",$H61,IF(INDEX(INDIRECT("'"&amp;LEFT($A61,LEN($A61)-1)&amp;"'!$H$13:$J$41"),MATCH(U$1,INDIRECT("'"&amp;LEFT($A61,LEN($A61)-1)&amp;"'!$A$13:$A$41"),0),VALUE(RIGHT($A61,1)))="NO",0,"?"))</f>
        <v>?</v>
      </c>
      <c r="V61" s="78" t="str">
        <f aca="true">IF(INDEX(INDIRECT("'"&amp;LEFT($A61,LEN($A61)-1)&amp;"'!$H$13:$J$41"),MATCH(V$1,INDIRECT("'"&amp;LEFT($A61,LEN($A61)-1)&amp;"'!$A$13:$A$41"),0),VALUE(RIGHT($A61,1)))="YES",$H61,IF(INDEX(INDIRECT("'"&amp;LEFT($A61,LEN($A61)-1)&amp;"'!$H$13:$J$41"),MATCH(V$1,INDIRECT("'"&amp;LEFT($A61,LEN($A61)-1)&amp;"'!$A$13:$A$41"),0),VALUE(RIGHT($A61,1)))="NO",0,"?"))</f>
        <v>?</v>
      </c>
      <c r="W61" s="78" t="str">
        <f aca="true">IF(INDEX(INDIRECT("'"&amp;LEFT($A61,LEN($A61)-1)&amp;"'!$H$13:$J$41"),MATCH(W$1,INDIRECT("'"&amp;LEFT($A61,LEN($A61)-1)&amp;"'!$A$13:$A$41"),0),VALUE(RIGHT($A61,1)))="YES",$H61,IF(INDEX(INDIRECT("'"&amp;LEFT($A61,LEN($A61)-1)&amp;"'!$H$13:$J$41"),MATCH(W$1,INDIRECT("'"&amp;LEFT($A61,LEN($A61)-1)&amp;"'!$A$13:$A$41"),0),VALUE(RIGHT($A61,1)))="NO",0,"?"))</f>
        <v>?</v>
      </c>
      <c r="X61" s="78" t="str">
        <f aca="true">IF(INDEX(INDIRECT("'"&amp;LEFT($A61,LEN($A61)-1)&amp;"'!$H$13:$J$41"),MATCH(X$1,INDIRECT("'"&amp;LEFT($A61,LEN($A61)-1)&amp;"'!$A$13:$A$41"),0),VALUE(RIGHT($A61,1)))="YES",$H61,IF(INDEX(INDIRECT("'"&amp;LEFT($A61,LEN($A61)-1)&amp;"'!$H$13:$J$41"),MATCH(X$1,INDIRECT("'"&amp;LEFT($A61,LEN($A61)-1)&amp;"'!$A$13:$A$41"),0),VALUE(RIGHT($A61,1)))="NO",0,"?"))</f>
        <v>?</v>
      </c>
      <c r="Y61" s="78" t="str">
        <f aca="true">IF(INDEX(INDIRECT("'"&amp;LEFT($A61,LEN($A61)-1)&amp;"'!$H$13:$J$41"),MATCH(Y$1,INDIRECT("'"&amp;LEFT($A61,LEN($A61)-1)&amp;"'!$A$13:$A$41"),0),VALUE(RIGHT($A61,1)))="YES",$H61,IF(INDEX(INDIRECT("'"&amp;LEFT($A61,LEN($A61)-1)&amp;"'!$H$13:$J$41"),MATCH(Y$1,INDIRECT("'"&amp;LEFT($A61,LEN($A61)-1)&amp;"'!$A$13:$A$41"),0),VALUE(RIGHT($A61,1)))="NO",0,"?"))</f>
        <v>?</v>
      </c>
      <c r="Z61" s="78" t="str">
        <f aca="true">IF(INDEX(INDIRECT("'"&amp;LEFT($A61,LEN($A61)-1)&amp;"'!$H$13:$J$41"),MATCH(Z$1,INDIRECT("'"&amp;LEFT($A61,LEN($A61)-1)&amp;"'!$A$13:$A$41"),0),VALUE(RIGHT($A61,1)))="YES",$H61,IF(INDEX(INDIRECT("'"&amp;LEFT($A61,LEN($A61)-1)&amp;"'!$H$13:$J$41"),MATCH(Z$1,INDIRECT("'"&amp;LEFT($A61,LEN($A61)-1)&amp;"'!$A$13:$A$41"),0),VALUE(RIGHT($A61,1)))="NO",0,"?"))</f>
        <v>?</v>
      </c>
      <c r="AA61" s="78" t="str">
        <f aca="true">IF(INDEX(INDIRECT("'"&amp;LEFT($A61,LEN($A61)-1)&amp;"'!$H$13:$J$41"),MATCH(AA$1,INDIRECT("'"&amp;LEFT($A61,LEN($A61)-1)&amp;"'!$A$13:$A$41"),0),VALUE(RIGHT($A61,1)))="YES",$H61,IF(INDEX(INDIRECT("'"&amp;LEFT($A61,LEN($A61)-1)&amp;"'!$H$13:$J$41"),MATCH(AA$1,INDIRECT("'"&amp;LEFT($A61,LEN($A61)-1)&amp;"'!$A$13:$A$41"),0),VALUE(RIGHT($A61,1)))="NO",0,"?"))</f>
        <v>?</v>
      </c>
      <c r="AB61" s="78" t="str">
        <f aca="true">IF(INDEX(INDIRECT("'"&amp;LEFT($A61,LEN($A61)-1)&amp;"'!$H$13:$J$41"),MATCH(AB$1,INDIRECT("'"&amp;LEFT($A61,LEN($A61)-1)&amp;"'!$A$13:$A$41"),0),VALUE(RIGHT($A61,1)))="YES",$H61,IF(INDEX(INDIRECT("'"&amp;LEFT($A61,LEN($A61)-1)&amp;"'!$H$13:$J$41"),MATCH(AB$1,INDIRECT("'"&amp;LEFT($A61,LEN($A61)-1)&amp;"'!$A$13:$A$41"),0),VALUE(RIGHT($A61,1)))="NO",0,"?"))</f>
        <v>?</v>
      </c>
      <c r="AC61" s="78" t="str">
        <f aca="true">IF(INDEX(INDIRECT("'"&amp;LEFT($A61,LEN($A61)-1)&amp;"'!$H$13:$J$41"),MATCH(AC$1,INDIRECT("'"&amp;LEFT($A61,LEN($A61)-1)&amp;"'!$A$13:$A$41"),0),VALUE(RIGHT($A61,1)))="YES",$H61,IF(INDEX(INDIRECT("'"&amp;LEFT($A61,LEN($A61)-1)&amp;"'!$H$13:$J$41"),MATCH(AC$1,INDIRECT("'"&amp;LEFT($A61,LEN($A61)-1)&amp;"'!$A$13:$A$41"),0),VALUE(RIGHT($A61,1)))="NO",0,"?"))</f>
        <v>?</v>
      </c>
      <c r="AD61" s="78" t="str">
        <f aca="true">IF(INDEX(INDIRECT("'"&amp;LEFT($A61,LEN($A61)-1)&amp;"'!$H$13:$J$41"),MATCH(AD$1,INDIRECT("'"&amp;LEFT($A61,LEN($A61)-1)&amp;"'!$A$13:$A$41"),0),VALUE(RIGHT($A61,1)))="YES",$H61,IF(INDEX(INDIRECT("'"&amp;LEFT($A61,LEN($A61)-1)&amp;"'!$H$13:$J$41"),MATCH(AD$1,INDIRECT("'"&amp;LEFT($A61,LEN($A61)-1)&amp;"'!$A$13:$A$41"),0),VALUE(RIGHT($A61,1)))="NO",0,"?"))</f>
        <v>?</v>
      </c>
      <c r="AE61" s="78" t="str">
        <f aca="true">IF(INDEX(INDIRECT("'"&amp;LEFT($A61,LEN($A61)-1)&amp;"'!$H$13:$J$41"),MATCH(AE$1,INDIRECT("'"&amp;LEFT($A61,LEN($A61)-1)&amp;"'!$A$13:$A$41"),0),VALUE(RIGHT($A61,1)))="YES",$H61,IF(INDEX(INDIRECT("'"&amp;LEFT($A61,LEN($A61)-1)&amp;"'!$H$13:$J$41"),MATCH(AE$1,INDIRECT("'"&amp;LEFT($A61,LEN($A61)-1)&amp;"'!$A$13:$A$41"),0),VALUE(RIGHT($A61,1)))="NO",0,"?"))</f>
        <v>?</v>
      </c>
      <c r="AF61" s="78" t="str">
        <f aca="true">IF(INDEX(INDIRECT("'"&amp;LEFT($A61,LEN($A61)-1)&amp;"'!$H$13:$J$41"),MATCH(AF$1,INDIRECT("'"&amp;LEFT($A61,LEN($A61)-1)&amp;"'!$A$13:$A$41"),0),VALUE(RIGHT($A61,1)))="YES",$H61,IF(INDEX(INDIRECT("'"&amp;LEFT($A61,LEN($A61)-1)&amp;"'!$H$13:$J$41"),MATCH(AF$1,INDIRECT("'"&amp;LEFT($A61,LEN($A61)-1)&amp;"'!$A$13:$A$41"),0),VALUE(RIGHT($A61,1)))="NO",0,"?"))</f>
        <v>?</v>
      </c>
      <c r="AG61" s="78" t="str">
        <f aca="true">IF(INDEX(INDIRECT("'"&amp;LEFT($A61,LEN($A61)-1)&amp;"'!$H$13:$J$41"),MATCH(AG$1,INDIRECT("'"&amp;LEFT($A61,LEN($A61)-1)&amp;"'!$A$13:$A$41"),0),VALUE(RIGHT($A61,1)))="YES",$H61,IF(INDEX(INDIRECT("'"&amp;LEFT($A61,LEN($A61)-1)&amp;"'!$H$13:$J$41"),MATCH(AG$1,INDIRECT("'"&amp;LEFT($A61,LEN($A61)-1)&amp;"'!$A$13:$A$41"),0),VALUE(RIGHT($A61,1)))="NO",0,"?"))</f>
        <v>?</v>
      </c>
      <c r="AH61" s="78" t="str">
        <f aca="true">IF(INDEX(INDIRECT("'"&amp;LEFT($A61,LEN($A61)-1)&amp;"'!$H$13:$J$41"),MATCH(AH$1,INDIRECT("'"&amp;LEFT($A61,LEN($A61)-1)&amp;"'!$A$13:$A$41"),0),VALUE(RIGHT($A61,1)))="YES",$H61,IF(INDEX(INDIRECT("'"&amp;LEFT($A61,LEN($A61)-1)&amp;"'!$H$13:$J$41"),MATCH(AH$1,INDIRECT("'"&amp;LEFT($A61,LEN($A61)-1)&amp;"'!$A$13:$A$41"),0),VALUE(RIGHT($A61,1)))="NO",0,"?"))</f>
        <v>?</v>
      </c>
      <c r="AI61" s="78" t="str">
        <f aca="true">IF(INDEX(INDIRECT("'"&amp;LEFT($A61,LEN($A61)-1)&amp;"'!$H$13:$J$41"),MATCH(AI$1,INDIRECT("'"&amp;LEFT($A61,LEN($A61)-1)&amp;"'!$A$13:$A$41"),0),VALUE(RIGHT($A61,1)))="YES",$H61,IF(INDEX(INDIRECT("'"&amp;LEFT($A61,LEN($A61)-1)&amp;"'!$H$13:$J$41"),MATCH(AI$1,INDIRECT("'"&amp;LEFT($A61,LEN($A61)-1)&amp;"'!$A$13:$A$41"),0),VALUE(RIGHT($A61,1)))="NO",0,"?"))</f>
        <v>?</v>
      </c>
      <c r="AJ61" s="78" t="str">
        <f aca="true">IF(INDEX(INDIRECT("'"&amp;LEFT($A61,LEN($A61)-1)&amp;"'!$H$13:$J$41"),MATCH(AJ$1,INDIRECT("'"&amp;LEFT($A61,LEN($A61)-1)&amp;"'!$A$13:$A$41"),0),VALUE(RIGHT($A61,1)))="YES",$H61,IF(INDEX(INDIRECT("'"&amp;LEFT($A61,LEN($A61)-1)&amp;"'!$H$13:$J$41"),MATCH(AJ$1,INDIRECT("'"&amp;LEFT($A61,LEN($A61)-1)&amp;"'!$A$13:$A$41"),0),VALUE(RIGHT($A61,1)))="NO",0,"?"))</f>
        <v>?</v>
      </c>
      <c r="AK61" s="78" t="str">
        <f aca="true">IF(INDEX(INDIRECT("'"&amp;LEFT($A61,LEN($A61)-1)&amp;"'!$H$13:$J$41"),MATCH(AK$1,INDIRECT("'"&amp;LEFT($A61,LEN($A61)-1)&amp;"'!$A$13:$A$41"),0),VALUE(RIGHT($A61,1)))="YES",$H61,IF(INDEX(INDIRECT("'"&amp;LEFT($A61,LEN($A61)-1)&amp;"'!$H$13:$J$41"),MATCH(AK$1,INDIRECT("'"&amp;LEFT($A61,LEN($A61)-1)&amp;"'!$A$13:$A$41"),0),VALUE(RIGHT($A61,1)))="NO",0,"?"))</f>
        <v>?</v>
      </c>
    </row>
    <row r="62" customFormat="false" ht="14.25" hidden="false" customHeight="true" outlineLevel="0" collapsed="false">
      <c r="A62" s="74" t="s">
        <v>291</v>
      </c>
      <c r="B62" s="75" t="str">
        <f aca="false">IF(ISBLANK($A62),"NO_CODE",VLOOKUP($A62,'UPD Questions_290926 '!$E$1:$N$300,MATCH(B$1,'UPD Questions_290926 '!$E$1:$N$1,0),0)&amp;"")</f>
        <v>Implementation</v>
      </c>
      <c r="C62" s="75" t="str">
        <f aca="false">IF(ISBLANK($A62),"NO_CODE",VLOOKUP($A62,'UPD Questions_290926 '!$E$1:$N$300,MATCH(C$1,'UPD Questions_290926 '!$E$1:$N$1,0),0)&amp;"")</f>
        <v>Sectoral planning</v>
      </c>
      <c r="D62" s="75" t="str">
        <f aca="false">IF(ISBLANK($A62),"NO_CODE",VLOOKUP($A62,'UPD Questions_290926 '!$E$1:$N$300,MATCH(D$1,'UPD Questions_290926 '!$E$1:$N$1,0),0)&amp;"")</f>
        <v>Water supply and sewerage, sanitation, solid waste management </v>
      </c>
      <c r="E62" s="75" t="str">
        <f aca="false">IF(ISBLANK($A62),"NO_CODE",VLOOKUP($A62,'UPD Questions_290926 '!$E$1:$N$300,MATCH(E$1,'UPD Questions_290926 '!$E$1:$N$1,0),0)&amp;"")</f>
        <v>SQ2</v>
      </c>
      <c r="F62" s="75" t="str">
        <f aca="false">IF(ISBLANK($A62),"NO_CODE",VLOOKUP($A62,'UPD Questions_290926 '!$E$1:$N$300,MATCH(F$1,'UPD Questions_290926 '!$E$1:$N$1,0),0)&amp;"")</f>
        <v>b) Solid Waste Management Plan </v>
      </c>
      <c r="G62" s="75" t="str">
        <f aca="false">IF(ISBLANK($A62),"NO_CODE",VLOOKUP($A62,'UPD Questions_290926 '!$E$1:$N$300,MATCH(G$1,'UPD Questions_290926 '!$E$1:$N$1,0),0)&amp;"")</f>
        <v>Implementation</v>
      </c>
      <c r="H62" s="77" t="n">
        <f aca="false">IF(ISBLANK($A62),"NO_CODE",VLOOKUP($A62,'UPD Questions_290926 '!$E$1:$N$300,MATCH(H$1,'UPD Questions_290926 '!$E$1:$N$1,0),0))</f>
        <v>1.11</v>
      </c>
      <c r="I62" s="78" t="str">
        <f aca="true">IF(INDEX(INDIRECT("'"&amp;LEFT($A62,LEN($A62)-1)&amp;"'!$H$13:$J$41"),MATCH(I$1,INDIRECT("'"&amp;LEFT($A62,LEN($A62)-1)&amp;"'!$A$13:$A$41"),0),VALUE(RIGHT($A62,1)))="YES",$H62,IF(INDEX(INDIRECT("'"&amp;LEFT($A62,LEN($A62)-1)&amp;"'!$H$13:$J$41"),MATCH(I$1,INDIRECT("'"&amp;LEFT($A62,LEN($A62)-1)&amp;"'!$A$13:$A$41"),0),VALUE(RIGHT($A62,1)))="NO",0,"?"))</f>
        <v>?</v>
      </c>
      <c r="J62" s="78" t="n">
        <f aca="true">IF(INDEX(INDIRECT("'"&amp;LEFT($A62,LEN($A62)-1)&amp;"'!$H$13:$J$41"),MATCH(J$1,INDIRECT("'"&amp;LEFT($A62,LEN($A62)-1)&amp;"'!$A$13:$A$41"),0),VALUE(RIGHT($A62,1)))="YES",$H62,IF(INDEX(INDIRECT("'"&amp;LEFT($A62,LEN($A62)-1)&amp;"'!$H$13:$J$41"),MATCH(J$1,INDIRECT("'"&amp;LEFT($A62,LEN($A62)-1)&amp;"'!$A$13:$A$41"),0),VALUE(RIGHT($A62,1)))="NO",0,"?"))</f>
        <v>0</v>
      </c>
      <c r="K62" s="78" t="str">
        <f aca="true">IF(INDEX(INDIRECT("'"&amp;LEFT($A62,LEN($A62)-1)&amp;"'!$H$13:$J$41"),MATCH(K$1,INDIRECT("'"&amp;LEFT($A62,LEN($A62)-1)&amp;"'!$A$13:$A$41"),0),VALUE(RIGHT($A62,1)))="YES",$H62,IF(INDEX(INDIRECT("'"&amp;LEFT($A62,LEN($A62)-1)&amp;"'!$H$13:$J$41"),MATCH(K$1,INDIRECT("'"&amp;LEFT($A62,LEN($A62)-1)&amp;"'!$A$13:$A$41"),0),VALUE(RIGHT($A62,1)))="NO",0,"?"))</f>
        <v>?</v>
      </c>
      <c r="L62" s="78" t="str">
        <f aca="true">IF(INDEX(INDIRECT("'"&amp;LEFT($A62,LEN($A62)-1)&amp;"'!$H$13:$J$41"),MATCH(L$1,INDIRECT("'"&amp;LEFT($A62,LEN($A62)-1)&amp;"'!$A$13:$A$41"),0),VALUE(RIGHT($A62,1)))="YES",$H62,IF(INDEX(INDIRECT("'"&amp;LEFT($A62,LEN($A62)-1)&amp;"'!$H$13:$J$41"),MATCH(L$1,INDIRECT("'"&amp;LEFT($A62,LEN($A62)-1)&amp;"'!$A$13:$A$41"),0),VALUE(RIGHT($A62,1)))="NO",0,"?"))</f>
        <v>?</v>
      </c>
      <c r="M62" s="78" t="str">
        <f aca="true">IF(INDEX(INDIRECT("'"&amp;LEFT($A62,LEN($A62)-1)&amp;"'!$H$13:$J$41"),MATCH(M$1,INDIRECT("'"&amp;LEFT($A62,LEN($A62)-1)&amp;"'!$A$13:$A$41"),0),VALUE(RIGHT($A62,1)))="YES",$H62,IF(INDEX(INDIRECT("'"&amp;LEFT($A62,LEN($A62)-1)&amp;"'!$H$13:$J$41"),MATCH(M$1,INDIRECT("'"&amp;LEFT($A62,LEN($A62)-1)&amp;"'!$A$13:$A$41"),0),VALUE(RIGHT($A62,1)))="NO",0,"?"))</f>
        <v>?</v>
      </c>
      <c r="N62" s="78" t="str">
        <f aca="true">IF(INDEX(INDIRECT("'"&amp;LEFT($A62,LEN($A62)-1)&amp;"'!$H$13:$J$41"),MATCH(N$1,INDIRECT("'"&amp;LEFT($A62,LEN($A62)-1)&amp;"'!$A$13:$A$41"),0),VALUE(RIGHT($A62,1)))="YES",$H62,IF(INDEX(INDIRECT("'"&amp;LEFT($A62,LEN($A62)-1)&amp;"'!$H$13:$J$41"),MATCH(N$1,INDIRECT("'"&amp;LEFT($A62,LEN($A62)-1)&amp;"'!$A$13:$A$41"),0),VALUE(RIGHT($A62,1)))="NO",0,"?"))</f>
        <v>?</v>
      </c>
      <c r="O62" s="78" t="str">
        <f aca="true">IF(INDEX(INDIRECT("'"&amp;LEFT($A62,LEN($A62)-1)&amp;"'!$H$13:$J$41"),MATCH(O$1,INDIRECT("'"&amp;LEFT($A62,LEN($A62)-1)&amp;"'!$A$13:$A$41"),0),VALUE(RIGHT($A62,1)))="YES",$H62,IF(INDEX(INDIRECT("'"&amp;LEFT($A62,LEN($A62)-1)&amp;"'!$H$13:$J$41"),MATCH(O$1,INDIRECT("'"&amp;LEFT($A62,LEN($A62)-1)&amp;"'!$A$13:$A$41"),0),VALUE(RIGHT($A62,1)))="NO",0,"?"))</f>
        <v>?</v>
      </c>
      <c r="P62" s="78" t="str">
        <f aca="true">IF(INDEX(INDIRECT("'"&amp;LEFT($A62,LEN($A62)-1)&amp;"'!$H$13:$J$41"),MATCH(P$1,INDIRECT("'"&amp;LEFT($A62,LEN($A62)-1)&amp;"'!$A$13:$A$41"),0),VALUE(RIGHT($A62,1)))="YES",$H62,IF(INDEX(INDIRECT("'"&amp;LEFT($A62,LEN($A62)-1)&amp;"'!$H$13:$J$41"),MATCH(P$1,INDIRECT("'"&amp;LEFT($A62,LEN($A62)-1)&amp;"'!$A$13:$A$41"),0),VALUE(RIGHT($A62,1)))="NO",0,"?"))</f>
        <v>?</v>
      </c>
      <c r="Q62" s="78" t="str">
        <f aca="true">IF(INDEX(INDIRECT("'"&amp;LEFT($A62,LEN($A62)-1)&amp;"'!$H$13:$J$41"),MATCH(Q$1,INDIRECT("'"&amp;LEFT($A62,LEN($A62)-1)&amp;"'!$A$13:$A$41"),0),VALUE(RIGHT($A62,1)))="YES",$H62,IF(INDEX(INDIRECT("'"&amp;LEFT($A62,LEN($A62)-1)&amp;"'!$H$13:$J$41"),MATCH(Q$1,INDIRECT("'"&amp;LEFT($A62,LEN($A62)-1)&amp;"'!$A$13:$A$41"),0),VALUE(RIGHT($A62,1)))="NO",0,"?"))</f>
        <v>?</v>
      </c>
      <c r="R62" s="78" t="str">
        <f aca="true">IF(INDEX(INDIRECT("'"&amp;LEFT($A62,LEN($A62)-1)&amp;"'!$H$13:$J$41"),MATCH(R$1,INDIRECT("'"&amp;LEFT($A62,LEN($A62)-1)&amp;"'!$A$13:$A$41"),0),VALUE(RIGHT($A62,1)))="YES",$H62,IF(INDEX(INDIRECT("'"&amp;LEFT($A62,LEN($A62)-1)&amp;"'!$H$13:$J$41"),MATCH(R$1,INDIRECT("'"&amp;LEFT($A62,LEN($A62)-1)&amp;"'!$A$13:$A$41"),0),VALUE(RIGHT($A62,1)))="NO",0,"?"))</f>
        <v>?</v>
      </c>
      <c r="S62" s="78" t="str">
        <f aca="true">IF(INDEX(INDIRECT("'"&amp;LEFT($A62,LEN($A62)-1)&amp;"'!$H$13:$J$41"),MATCH(S$1,INDIRECT("'"&amp;LEFT($A62,LEN($A62)-1)&amp;"'!$A$13:$A$41"),0),VALUE(RIGHT($A62,1)))="YES",$H62,IF(INDEX(INDIRECT("'"&amp;LEFT($A62,LEN($A62)-1)&amp;"'!$H$13:$J$41"),MATCH(S$1,INDIRECT("'"&amp;LEFT($A62,LEN($A62)-1)&amp;"'!$A$13:$A$41"),0),VALUE(RIGHT($A62,1)))="NO",0,"?"))</f>
        <v>?</v>
      </c>
      <c r="T62" s="78" t="str">
        <f aca="true">IF(INDEX(INDIRECT("'"&amp;LEFT($A62,LEN($A62)-1)&amp;"'!$H$13:$J$41"),MATCH(T$1,INDIRECT("'"&amp;LEFT($A62,LEN($A62)-1)&amp;"'!$A$13:$A$41"),0),VALUE(RIGHT($A62,1)))="YES",$H62,IF(INDEX(INDIRECT("'"&amp;LEFT($A62,LEN($A62)-1)&amp;"'!$H$13:$J$41"),MATCH(T$1,INDIRECT("'"&amp;LEFT($A62,LEN($A62)-1)&amp;"'!$A$13:$A$41"),0),VALUE(RIGHT($A62,1)))="NO",0,"?"))</f>
        <v>?</v>
      </c>
      <c r="U62" s="78" t="str">
        <f aca="true">IF(INDEX(INDIRECT("'"&amp;LEFT($A62,LEN($A62)-1)&amp;"'!$H$13:$J$41"),MATCH(U$1,INDIRECT("'"&amp;LEFT($A62,LEN($A62)-1)&amp;"'!$A$13:$A$41"),0),VALUE(RIGHT($A62,1)))="YES",$H62,IF(INDEX(INDIRECT("'"&amp;LEFT($A62,LEN($A62)-1)&amp;"'!$H$13:$J$41"),MATCH(U$1,INDIRECT("'"&amp;LEFT($A62,LEN($A62)-1)&amp;"'!$A$13:$A$41"),0),VALUE(RIGHT($A62,1)))="NO",0,"?"))</f>
        <v>?</v>
      </c>
      <c r="V62" s="78" t="str">
        <f aca="true">IF(INDEX(INDIRECT("'"&amp;LEFT($A62,LEN($A62)-1)&amp;"'!$H$13:$J$41"),MATCH(V$1,INDIRECT("'"&amp;LEFT($A62,LEN($A62)-1)&amp;"'!$A$13:$A$41"),0),VALUE(RIGHT($A62,1)))="YES",$H62,IF(INDEX(INDIRECT("'"&amp;LEFT($A62,LEN($A62)-1)&amp;"'!$H$13:$J$41"),MATCH(V$1,INDIRECT("'"&amp;LEFT($A62,LEN($A62)-1)&amp;"'!$A$13:$A$41"),0),VALUE(RIGHT($A62,1)))="NO",0,"?"))</f>
        <v>?</v>
      </c>
      <c r="W62" s="78" t="str">
        <f aca="true">IF(INDEX(INDIRECT("'"&amp;LEFT($A62,LEN($A62)-1)&amp;"'!$H$13:$J$41"),MATCH(W$1,INDIRECT("'"&amp;LEFT($A62,LEN($A62)-1)&amp;"'!$A$13:$A$41"),0),VALUE(RIGHT($A62,1)))="YES",$H62,IF(INDEX(INDIRECT("'"&amp;LEFT($A62,LEN($A62)-1)&amp;"'!$H$13:$J$41"),MATCH(W$1,INDIRECT("'"&amp;LEFT($A62,LEN($A62)-1)&amp;"'!$A$13:$A$41"),0),VALUE(RIGHT($A62,1)))="NO",0,"?"))</f>
        <v>?</v>
      </c>
      <c r="X62" s="78" t="str">
        <f aca="true">IF(INDEX(INDIRECT("'"&amp;LEFT($A62,LEN($A62)-1)&amp;"'!$H$13:$J$41"),MATCH(X$1,INDIRECT("'"&amp;LEFT($A62,LEN($A62)-1)&amp;"'!$A$13:$A$41"),0),VALUE(RIGHT($A62,1)))="YES",$H62,IF(INDEX(INDIRECT("'"&amp;LEFT($A62,LEN($A62)-1)&amp;"'!$H$13:$J$41"),MATCH(X$1,INDIRECT("'"&amp;LEFT($A62,LEN($A62)-1)&amp;"'!$A$13:$A$41"),0),VALUE(RIGHT($A62,1)))="NO",0,"?"))</f>
        <v>?</v>
      </c>
      <c r="Y62" s="78" t="str">
        <f aca="true">IF(INDEX(INDIRECT("'"&amp;LEFT($A62,LEN($A62)-1)&amp;"'!$H$13:$J$41"),MATCH(Y$1,INDIRECT("'"&amp;LEFT($A62,LEN($A62)-1)&amp;"'!$A$13:$A$41"),0),VALUE(RIGHT($A62,1)))="YES",$H62,IF(INDEX(INDIRECT("'"&amp;LEFT($A62,LEN($A62)-1)&amp;"'!$H$13:$J$41"),MATCH(Y$1,INDIRECT("'"&amp;LEFT($A62,LEN($A62)-1)&amp;"'!$A$13:$A$41"),0),VALUE(RIGHT($A62,1)))="NO",0,"?"))</f>
        <v>?</v>
      </c>
      <c r="Z62" s="78" t="str">
        <f aca="true">IF(INDEX(INDIRECT("'"&amp;LEFT($A62,LEN($A62)-1)&amp;"'!$H$13:$J$41"),MATCH(Z$1,INDIRECT("'"&amp;LEFT($A62,LEN($A62)-1)&amp;"'!$A$13:$A$41"),0),VALUE(RIGHT($A62,1)))="YES",$H62,IF(INDEX(INDIRECT("'"&amp;LEFT($A62,LEN($A62)-1)&amp;"'!$H$13:$J$41"),MATCH(Z$1,INDIRECT("'"&amp;LEFT($A62,LEN($A62)-1)&amp;"'!$A$13:$A$41"),0),VALUE(RIGHT($A62,1)))="NO",0,"?"))</f>
        <v>?</v>
      </c>
      <c r="AA62" s="78" t="str">
        <f aca="true">IF(INDEX(INDIRECT("'"&amp;LEFT($A62,LEN($A62)-1)&amp;"'!$H$13:$J$41"),MATCH(AA$1,INDIRECT("'"&amp;LEFT($A62,LEN($A62)-1)&amp;"'!$A$13:$A$41"),0),VALUE(RIGHT($A62,1)))="YES",$H62,IF(INDEX(INDIRECT("'"&amp;LEFT($A62,LEN($A62)-1)&amp;"'!$H$13:$J$41"),MATCH(AA$1,INDIRECT("'"&amp;LEFT($A62,LEN($A62)-1)&amp;"'!$A$13:$A$41"),0),VALUE(RIGHT($A62,1)))="NO",0,"?"))</f>
        <v>?</v>
      </c>
      <c r="AB62" s="78" t="str">
        <f aca="true">IF(INDEX(INDIRECT("'"&amp;LEFT($A62,LEN($A62)-1)&amp;"'!$H$13:$J$41"),MATCH(AB$1,INDIRECT("'"&amp;LEFT($A62,LEN($A62)-1)&amp;"'!$A$13:$A$41"),0),VALUE(RIGHT($A62,1)))="YES",$H62,IF(INDEX(INDIRECT("'"&amp;LEFT($A62,LEN($A62)-1)&amp;"'!$H$13:$J$41"),MATCH(AB$1,INDIRECT("'"&amp;LEFT($A62,LEN($A62)-1)&amp;"'!$A$13:$A$41"),0),VALUE(RIGHT($A62,1)))="NO",0,"?"))</f>
        <v>?</v>
      </c>
      <c r="AC62" s="78" t="str">
        <f aca="true">IF(INDEX(INDIRECT("'"&amp;LEFT($A62,LEN($A62)-1)&amp;"'!$H$13:$J$41"),MATCH(AC$1,INDIRECT("'"&amp;LEFT($A62,LEN($A62)-1)&amp;"'!$A$13:$A$41"),0),VALUE(RIGHT($A62,1)))="YES",$H62,IF(INDEX(INDIRECT("'"&amp;LEFT($A62,LEN($A62)-1)&amp;"'!$H$13:$J$41"),MATCH(AC$1,INDIRECT("'"&amp;LEFT($A62,LEN($A62)-1)&amp;"'!$A$13:$A$41"),0),VALUE(RIGHT($A62,1)))="NO",0,"?"))</f>
        <v>?</v>
      </c>
      <c r="AD62" s="78" t="str">
        <f aca="true">IF(INDEX(INDIRECT("'"&amp;LEFT($A62,LEN($A62)-1)&amp;"'!$H$13:$J$41"),MATCH(AD$1,INDIRECT("'"&amp;LEFT($A62,LEN($A62)-1)&amp;"'!$A$13:$A$41"),0),VALUE(RIGHT($A62,1)))="YES",$H62,IF(INDEX(INDIRECT("'"&amp;LEFT($A62,LEN($A62)-1)&amp;"'!$H$13:$J$41"),MATCH(AD$1,INDIRECT("'"&amp;LEFT($A62,LEN($A62)-1)&amp;"'!$A$13:$A$41"),0),VALUE(RIGHT($A62,1)))="NO",0,"?"))</f>
        <v>?</v>
      </c>
      <c r="AE62" s="78" t="str">
        <f aca="true">IF(INDEX(INDIRECT("'"&amp;LEFT($A62,LEN($A62)-1)&amp;"'!$H$13:$J$41"),MATCH(AE$1,INDIRECT("'"&amp;LEFT($A62,LEN($A62)-1)&amp;"'!$A$13:$A$41"),0),VALUE(RIGHT($A62,1)))="YES",$H62,IF(INDEX(INDIRECT("'"&amp;LEFT($A62,LEN($A62)-1)&amp;"'!$H$13:$J$41"),MATCH(AE$1,INDIRECT("'"&amp;LEFT($A62,LEN($A62)-1)&amp;"'!$A$13:$A$41"),0),VALUE(RIGHT($A62,1)))="NO",0,"?"))</f>
        <v>?</v>
      </c>
      <c r="AF62" s="78" t="str">
        <f aca="true">IF(INDEX(INDIRECT("'"&amp;LEFT($A62,LEN($A62)-1)&amp;"'!$H$13:$J$41"),MATCH(AF$1,INDIRECT("'"&amp;LEFT($A62,LEN($A62)-1)&amp;"'!$A$13:$A$41"),0),VALUE(RIGHT($A62,1)))="YES",$H62,IF(INDEX(INDIRECT("'"&amp;LEFT($A62,LEN($A62)-1)&amp;"'!$H$13:$J$41"),MATCH(AF$1,INDIRECT("'"&amp;LEFT($A62,LEN($A62)-1)&amp;"'!$A$13:$A$41"),0),VALUE(RIGHT($A62,1)))="NO",0,"?"))</f>
        <v>?</v>
      </c>
      <c r="AG62" s="78" t="str">
        <f aca="true">IF(INDEX(INDIRECT("'"&amp;LEFT($A62,LEN($A62)-1)&amp;"'!$H$13:$J$41"),MATCH(AG$1,INDIRECT("'"&amp;LEFT($A62,LEN($A62)-1)&amp;"'!$A$13:$A$41"),0),VALUE(RIGHT($A62,1)))="YES",$H62,IF(INDEX(INDIRECT("'"&amp;LEFT($A62,LEN($A62)-1)&amp;"'!$H$13:$J$41"),MATCH(AG$1,INDIRECT("'"&amp;LEFT($A62,LEN($A62)-1)&amp;"'!$A$13:$A$41"),0),VALUE(RIGHT($A62,1)))="NO",0,"?"))</f>
        <v>?</v>
      </c>
      <c r="AH62" s="78" t="str">
        <f aca="true">IF(INDEX(INDIRECT("'"&amp;LEFT($A62,LEN($A62)-1)&amp;"'!$H$13:$J$41"),MATCH(AH$1,INDIRECT("'"&amp;LEFT($A62,LEN($A62)-1)&amp;"'!$A$13:$A$41"),0),VALUE(RIGHT($A62,1)))="YES",$H62,IF(INDEX(INDIRECT("'"&amp;LEFT($A62,LEN($A62)-1)&amp;"'!$H$13:$J$41"),MATCH(AH$1,INDIRECT("'"&amp;LEFT($A62,LEN($A62)-1)&amp;"'!$A$13:$A$41"),0),VALUE(RIGHT($A62,1)))="NO",0,"?"))</f>
        <v>?</v>
      </c>
      <c r="AI62" s="78" t="str">
        <f aca="true">IF(INDEX(INDIRECT("'"&amp;LEFT($A62,LEN($A62)-1)&amp;"'!$H$13:$J$41"),MATCH(AI$1,INDIRECT("'"&amp;LEFT($A62,LEN($A62)-1)&amp;"'!$A$13:$A$41"),0),VALUE(RIGHT($A62,1)))="YES",$H62,IF(INDEX(INDIRECT("'"&amp;LEFT($A62,LEN($A62)-1)&amp;"'!$H$13:$J$41"),MATCH(AI$1,INDIRECT("'"&amp;LEFT($A62,LEN($A62)-1)&amp;"'!$A$13:$A$41"),0),VALUE(RIGHT($A62,1)))="NO",0,"?"))</f>
        <v>?</v>
      </c>
      <c r="AJ62" s="78" t="str">
        <f aca="true">IF(INDEX(INDIRECT("'"&amp;LEFT($A62,LEN($A62)-1)&amp;"'!$H$13:$J$41"),MATCH(AJ$1,INDIRECT("'"&amp;LEFT($A62,LEN($A62)-1)&amp;"'!$A$13:$A$41"),0),VALUE(RIGHT($A62,1)))="YES",$H62,IF(INDEX(INDIRECT("'"&amp;LEFT($A62,LEN($A62)-1)&amp;"'!$H$13:$J$41"),MATCH(AJ$1,INDIRECT("'"&amp;LEFT($A62,LEN($A62)-1)&amp;"'!$A$13:$A$41"),0),VALUE(RIGHT($A62,1)))="NO",0,"?"))</f>
        <v>?</v>
      </c>
      <c r="AK62" s="78" t="str">
        <f aca="true">IF(INDEX(INDIRECT("'"&amp;LEFT($A62,LEN($A62)-1)&amp;"'!$H$13:$J$41"),MATCH(AK$1,INDIRECT("'"&amp;LEFT($A62,LEN($A62)-1)&amp;"'!$A$13:$A$41"),0),VALUE(RIGHT($A62,1)))="YES",$H62,IF(INDEX(INDIRECT("'"&amp;LEFT($A62,LEN($A62)-1)&amp;"'!$H$13:$J$41"),MATCH(AK$1,INDIRECT("'"&amp;LEFT($A62,LEN($A62)-1)&amp;"'!$A$13:$A$41"),0),VALUE(RIGHT($A62,1)))="NO",0,"?"))</f>
        <v>?</v>
      </c>
    </row>
    <row r="63" customFormat="false" ht="14.25" hidden="false" customHeight="true" outlineLevel="0" collapsed="false">
      <c r="A63" s="74" t="s">
        <v>293</v>
      </c>
      <c r="B63" s="75" t="str">
        <f aca="false">IF(ISBLANK($A63),"NO_CODE",VLOOKUP($A63,'UPD Questions_290926 '!$E$1:$N$300,MATCH(B$1,'UPD Questions_290926 '!$E$1:$N$1,0),0)&amp;"")</f>
        <v>Implementation</v>
      </c>
      <c r="C63" s="75" t="str">
        <f aca="false">IF(ISBLANK($A63),"NO_CODE",VLOOKUP($A63,'UPD Questions_290926 '!$E$1:$N$300,MATCH(C$1,'UPD Questions_290926 '!$E$1:$N$1,0),0)&amp;"")</f>
        <v>Sectoral planning</v>
      </c>
      <c r="D63" s="75" t="str">
        <f aca="false">IF(ISBLANK($A63),"NO_CODE",VLOOKUP($A63,'UPD Questions_290926 '!$E$1:$N$300,MATCH(D$1,'UPD Questions_290926 '!$E$1:$N$1,0),0)&amp;"")</f>
        <v>Water supply and sewerage, sanitation, solid waste management </v>
      </c>
      <c r="E63" s="75" t="str">
        <f aca="false">IF(ISBLANK($A63),"NO_CODE",VLOOKUP($A63,'UPD Questions_290926 '!$E$1:$N$300,MATCH(E$1,'UPD Questions_290926 '!$E$1:$N$1,0),0)&amp;"")</f>
        <v>SQ3</v>
      </c>
      <c r="F63" s="75" t="str">
        <f aca="false">IF(ISBLANK($A63),"NO_CODE",VLOOKUP($A63,'UPD Questions_290926 '!$E$1:$N$300,MATCH(F$1,'UPD Questions_290926 '!$E$1:$N$1,0),0)&amp;"")</f>
        <v>c)  City Sanitation Plan</v>
      </c>
      <c r="G63" s="75" t="str">
        <f aca="false">IF(ISBLANK($A63),"NO_CODE",VLOOKUP($A63,'UPD Questions_290926 '!$E$1:$N$300,MATCH(G$1,'UPD Questions_290926 '!$E$1:$N$1,0),0)&amp;"")</f>
        <v>Implementation</v>
      </c>
      <c r="H63" s="77" t="n">
        <f aca="false">IF(ISBLANK($A63),"NO_CODE",VLOOKUP($A63,'UPD Questions_290926 '!$E$1:$N$300,MATCH(H$1,'UPD Questions_290926 '!$E$1:$N$1,0),0))</f>
        <v>1.11</v>
      </c>
      <c r="I63" s="78" t="str">
        <f aca="true">IF(INDEX(INDIRECT("'"&amp;LEFT($A63,LEN($A63)-1)&amp;"'!$H$13:$J$41"),MATCH(I$1,INDIRECT("'"&amp;LEFT($A63,LEN($A63)-1)&amp;"'!$A$13:$A$41"),0),VALUE(RIGHT($A63,1)))="YES",$H63,IF(INDEX(INDIRECT("'"&amp;LEFT($A63,LEN($A63)-1)&amp;"'!$H$13:$J$41"),MATCH(I$1,INDIRECT("'"&amp;LEFT($A63,LEN($A63)-1)&amp;"'!$A$13:$A$41"),0),VALUE(RIGHT($A63,1)))="NO",0,"?"))</f>
        <v>?</v>
      </c>
      <c r="J63" s="78" t="n">
        <f aca="true">IF(INDEX(INDIRECT("'"&amp;LEFT($A63,LEN($A63)-1)&amp;"'!$H$13:$J$41"),MATCH(J$1,INDIRECT("'"&amp;LEFT($A63,LEN($A63)-1)&amp;"'!$A$13:$A$41"),0),VALUE(RIGHT($A63,1)))="YES",$H63,IF(INDEX(INDIRECT("'"&amp;LEFT($A63,LEN($A63)-1)&amp;"'!$H$13:$J$41"),MATCH(J$1,INDIRECT("'"&amp;LEFT($A63,LEN($A63)-1)&amp;"'!$A$13:$A$41"),0),VALUE(RIGHT($A63,1)))="NO",0,"?"))</f>
        <v>0</v>
      </c>
      <c r="K63" s="78" t="str">
        <f aca="true">IF(INDEX(INDIRECT("'"&amp;LEFT($A63,LEN($A63)-1)&amp;"'!$H$13:$J$41"),MATCH(K$1,INDIRECT("'"&amp;LEFT($A63,LEN($A63)-1)&amp;"'!$A$13:$A$41"),0),VALUE(RIGHT($A63,1)))="YES",$H63,IF(INDEX(INDIRECT("'"&amp;LEFT($A63,LEN($A63)-1)&amp;"'!$H$13:$J$41"),MATCH(K$1,INDIRECT("'"&amp;LEFT($A63,LEN($A63)-1)&amp;"'!$A$13:$A$41"),0),VALUE(RIGHT($A63,1)))="NO",0,"?"))</f>
        <v>?</v>
      </c>
      <c r="L63" s="78" t="str">
        <f aca="true">IF(INDEX(INDIRECT("'"&amp;LEFT($A63,LEN($A63)-1)&amp;"'!$H$13:$J$41"),MATCH(L$1,INDIRECT("'"&amp;LEFT($A63,LEN($A63)-1)&amp;"'!$A$13:$A$41"),0),VALUE(RIGHT($A63,1)))="YES",$H63,IF(INDEX(INDIRECT("'"&amp;LEFT($A63,LEN($A63)-1)&amp;"'!$H$13:$J$41"),MATCH(L$1,INDIRECT("'"&amp;LEFT($A63,LEN($A63)-1)&amp;"'!$A$13:$A$41"),0),VALUE(RIGHT($A63,1)))="NO",0,"?"))</f>
        <v>?</v>
      </c>
      <c r="M63" s="78" t="str">
        <f aca="true">IF(INDEX(INDIRECT("'"&amp;LEFT($A63,LEN($A63)-1)&amp;"'!$H$13:$J$41"),MATCH(M$1,INDIRECT("'"&amp;LEFT($A63,LEN($A63)-1)&amp;"'!$A$13:$A$41"),0),VALUE(RIGHT($A63,1)))="YES",$H63,IF(INDEX(INDIRECT("'"&amp;LEFT($A63,LEN($A63)-1)&amp;"'!$H$13:$J$41"),MATCH(M$1,INDIRECT("'"&amp;LEFT($A63,LEN($A63)-1)&amp;"'!$A$13:$A$41"),0),VALUE(RIGHT($A63,1)))="NO",0,"?"))</f>
        <v>?</v>
      </c>
      <c r="N63" s="78" t="str">
        <f aca="true">IF(INDEX(INDIRECT("'"&amp;LEFT($A63,LEN($A63)-1)&amp;"'!$H$13:$J$41"),MATCH(N$1,INDIRECT("'"&amp;LEFT($A63,LEN($A63)-1)&amp;"'!$A$13:$A$41"),0),VALUE(RIGHT($A63,1)))="YES",$H63,IF(INDEX(INDIRECT("'"&amp;LEFT($A63,LEN($A63)-1)&amp;"'!$H$13:$J$41"),MATCH(N$1,INDIRECT("'"&amp;LEFT($A63,LEN($A63)-1)&amp;"'!$A$13:$A$41"),0),VALUE(RIGHT($A63,1)))="NO",0,"?"))</f>
        <v>?</v>
      </c>
      <c r="O63" s="78" t="str">
        <f aca="true">IF(INDEX(INDIRECT("'"&amp;LEFT($A63,LEN($A63)-1)&amp;"'!$H$13:$J$41"),MATCH(O$1,INDIRECT("'"&amp;LEFT($A63,LEN($A63)-1)&amp;"'!$A$13:$A$41"),0),VALUE(RIGHT($A63,1)))="YES",$H63,IF(INDEX(INDIRECT("'"&amp;LEFT($A63,LEN($A63)-1)&amp;"'!$H$13:$J$41"),MATCH(O$1,INDIRECT("'"&amp;LEFT($A63,LEN($A63)-1)&amp;"'!$A$13:$A$41"),0),VALUE(RIGHT($A63,1)))="NO",0,"?"))</f>
        <v>?</v>
      </c>
      <c r="P63" s="78" t="str">
        <f aca="true">IF(INDEX(INDIRECT("'"&amp;LEFT($A63,LEN($A63)-1)&amp;"'!$H$13:$J$41"),MATCH(P$1,INDIRECT("'"&amp;LEFT($A63,LEN($A63)-1)&amp;"'!$A$13:$A$41"),0),VALUE(RIGHT($A63,1)))="YES",$H63,IF(INDEX(INDIRECT("'"&amp;LEFT($A63,LEN($A63)-1)&amp;"'!$H$13:$J$41"),MATCH(P$1,INDIRECT("'"&amp;LEFT($A63,LEN($A63)-1)&amp;"'!$A$13:$A$41"),0),VALUE(RIGHT($A63,1)))="NO",0,"?"))</f>
        <v>?</v>
      </c>
      <c r="Q63" s="78" t="str">
        <f aca="true">IF(INDEX(INDIRECT("'"&amp;LEFT($A63,LEN($A63)-1)&amp;"'!$H$13:$J$41"),MATCH(Q$1,INDIRECT("'"&amp;LEFT($A63,LEN($A63)-1)&amp;"'!$A$13:$A$41"),0),VALUE(RIGHT($A63,1)))="YES",$H63,IF(INDEX(INDIRECT("'"&amp;LEFT($A63,LEN($A63)-1)&amp;"'!$H$13:$J$41"),MATCH(Q$1,INDIRECT("'"&amp;LEFT($A63,LEN($A63)-1)&amp;"'!$A$13:$A$41"),0),VALUE(RIGHT($A63,1)))="NO",0,"?"))</f>
        <v>?</v>
      </c>
      <c r="R63" s="78" t="str">
        <f aca="true">IF(INDEX(INDIRECT("'"&amp;LEFT($A63,LEN($A63)-1)&amp;"'!$H$13:$J$41"),MATCH(R$1,INDIRECT("'"&amp;LEFT($A63,LEN($A63)-1)&amp;"'!$A$13:$A$41"),0),VALUE(RIGHT($A63,1)))="YES",$H63,IF(INDEX(INDIRECT("'"&amp;LEFT($A63,LEN($A63)-1)&amp;"'!$H$13:$J$41"),MATCH(R$1,INDIRECT("'"&amp;LEFT($A63,LEN($A63)-1)&amp;"'!$A$13:$A$41"),0),VALUE(RIGHT($A63,1)))="NO",0,"?"))</f>
        <v>?</v>
      </c>
      <c r="S63" s="78" t="str">
        <f aca="true">IF(INDEX(INDIRECT("'"&amp;LEFT($A63,LEN($A63)-1)&amp;"'!$H$13:$J$41"),MATCH(S$1,INDIRECT("'"&amp;LEFT($A63,LEN($A63)-1)&amp;"'!$A$13:$A$41"),0),VALUE(RIGHT($A63,1)))="YES",$H63,IF(INDEX(INDIRECT("'"&amp;LEFT($A63,LEN($A63)-1)&amp;"'!$H$13:$J$41"),MATCH(S$1,INDIRECT("'"&amp;LEFT($A63,LEN($A63)-1)&amp;"'!$A$13:$A$41"),0),VALUE(RIGHT($A63,1)))="NO",0,"?"))</f>
        <v>?</v>
      </c>
      <c r="T63" s="78" t="str">
        <f aca="true">IF(INDEX(INDIRECT("'"&amp;LEFT($A63,LEN($A63)-1)&amp;"'!$H$13:$J$41"),MATCH(T$1,INDIRECT("'"&amp;LEFT($A63,LEN($A63)-1)&amp;"'!$A$13:$A$41"),0),VALUE(RIGHT($A63,1)))="YES",$H63,IF(INDEX(INDIRECT("'"&amp;LEFT($A63,LEN($A63)-1)&amp;"'!$H$13:$J$41"),MATCH(T$1,INDIRECT("'"&amp;LEFT($A63,LEN($A63)-1)&amp;"'!$A$13:$A$41"),0),VALUE(RIGHT($A63,1)))="NO",0,"?"))</f>
        <v>?</v>
      </c>
      <c r="U63" s="78" t="str">
        <f aca="true">IF(INDEX(INDIRECT("'"&amp;LEFT($A63,LEN($A63)-1)&amp;"'!$H$13:$J$41"),MATCH(U$1,INDIRECT("'"&amp;LEFT($A63,LEN($A63)-1)&amp;"'!$A$13:$A$41"),0),VALUE(RIGHT($A63,1)))="YES",$H63,IF(INDEX(INDIRECT("'"&amp;LEFT($A63,LEN($A63)-1)&amp;"'!$H$13:$J$41"),MATCH(U$1,INDIRECT("'"&amp;LEFT($A63,LEN($A63)-1)&amp;"'!$A$13:$A$41"),0),VALUE(RIGHT($A63,1)))="NO",0,"?"))</f>
        <v>?</v>
      </c>
      <c r="V63" s="78" t="str">
        <f aca="true">IF(INDEX(INDIRECT("'"&amp;LEFT($A63,LEN($A63)-1)&amp;"'!$H$13:$J$41"),MATCH(V$1,INDIRECT("'"&amp;LEFT($A63,LEN($A63)-1)&amp;"'!$A$13:$A$41"),0),VALUE(RIGHT($A63,1)))="YES",$H63,IF(INDEX(INDIRECT("'"&amp;LEFT($A63,LEN($A63)-1)&amp;"'!$H$13:$J$41"),MATCH(V$1,INDIRECT("'"&amp;LEFT($A63,LEN($A63)-1)&amp;"'!$A$13:$A$41"),0),VALUE(RIGHT($A63,1)))="NO",0,"?"))</f>
        <v>?</v>
      </c>
      <c r="W63" s="78" t="str">
        <f aca="true">IF(INDEX(INDIRECT("'"&amp;LEFT($A63,LEN($A63)-1)&amp;"'!$H$13:$J$41"),MATCH(W$1,INDIRECT("'"&amp;LEFT($A63,LEN($A63)-1)&amp;"'!$A$13:$A$41"),0),VALUE(RIGHT($A63,1)))="YES",$H63,IF(INDEX(INDIRECT("'"&amp;LEFT($A63,LEN($A63)-1)&amp;"'!$H$13:$J$41"),MATCH(W$1,INDIRECT("'"&amp;LEFT($A63,LEN($A63)-1)&amp;"'!$A$13:$A$41"),0),VALUE(RIGHT($A63,1)))="NO",0,"?"))</f>
        <v>?</v>
      </c>
      <c r="X63" s="78" t="str">
        <f aca="true">IF(INDEX(INDIRECT("'"&amp;LEFT($A63,LEN($A63)-1)&amp;"'!$H$13:$J$41"),MATCH(X$1,INDIRECT("'"&amp;LEFT($A63,LEN($A63)-1)&amp;"'!$A$13:$A$41"),0),VALUE(RIGHT($A63,1)))="YES",$H63,IF(INDEX(INDIRECT("'"&amp;LEFT($A63,LEN($A63)-1)&amp;"'!$H$13:$J$41"),MATCH(X$1,INDIRECT("'"&amp;LEFT($A63,LEN($A63)-1)&amp;"'!$A$13:$A$41"),0),VALUE(RIGHT($A63,1)))="NO",0,"?"))</f>
        <v>?</v>
      </c>
      <c r="Y63" s="78" t="str">
        <f aca="true">IF(INDEX(INDIRECT("'"&amp;LEFT($A63,LEN($A63)-1)&amp;"'!$H$13:$J$41"),MATCH(Y$1,INDIRECT("'"&amp;LEFT($A63,LEN($A63)-1)&amp;"'!$A$13:$A$41"),0),VALUE(RIGHT($A63,1)))="YES",$H63,IF(INDEX(INDIRECT("'"&amp;LEFT($A63,LEN($A63)-1)&amp;"'!$H$13:$J$41"),MATCH(Y$1,INDIRECT("'"&amp;LEFT($A63,LEN($A63)-1)&amp;"'!$A$13:$A$41"),0),VALUE(RIGHT($A63,1)))="NO",0,"?"))</f>
        <v>?</v>
      </c>
      <c r="Z63" s="78" t="str">
        <f aca="true">IF(INDEX(INDIRECT("'"&amp;LEFT($A63,LEN($A63)-1)&amp;"'!$H$13:$J$41"),MATCH(Z$1,INDIRECT("'"&amp;LEFT($A63,LEN($A63)-1)&amp;"'!$A$13:$A$41"),0),VALUE(RIGHT($A63,1)))="YES",$H63,IF(INDEX(INDIRECT("'"&amp;LEFT($A63,LEN($A63)-1)&amp;"'!$H$13:$J$41"),MATCH(Z$1,INDIRECT("'"&amp;LEFT($A63,LEN($A63)-1)&amp;"'!$A$13:$A$41"),0),VALUE(RIGHT($A63,1)))="NO",0,"?"))</f>
        <v>?</v>
      </c>
      <c r="AA63" s="78" t="str">
        <f aca="true">IF(INDEX(INDIRECT("'"&amp;LEFT($A63,LEN($A63)-1)&amp;"'!$H$13:$J$41"),MATCH(AA$1,INDIRECT("'"&amp;LEFT($A63,LEN($A63)-1)&amp;"'!$A$13:$A$41"),0),VALUE(RIGHT($A63,1)))="YES",$H63,IF(INDEX(INDIRECT("'"&amp;LEFT($A63,LEN($A63)-1)&amp;"'!$H$13:$J$41"),MATCH(AA$1,INDIRECT("'"&amp;LEFT($A63,LEN($A63)-1)&amp;"'!$A$13:$A$41"),0),VALUE(RIGHT($A63,1)))="NO",0,"?"))</f>
        <v>?</v>
      </c>
      <c r="AB63" s="78" t="str">
        <f aca="true">IF(INDEX(INDIRECT("'"&amp;LEFT($A63,LEN($A63)-1)&amp;"'!$H$13:$J$41"),MATCH(AB$1,INDIRECT("'"&amp;LEFT($A63,LEN($A63)-1)&amp;"'!$A$13:$A$41"),0),VALUE(RIGHT($A63,1)))="YES",$H63,IF(INDEX(INDIRECT("'"&amp;LEFT($A63,LEN($A63)-1)&amp;"'!$H$13:$J$41"),MATCH(AB$1,INDIRECT("'"&amp;LEFT($A63,LEN($A63)-1)&amp;"'!$A$13:$A$41"),0),VALUE(RIGHT($A63,1)))="NO",0,"?"))</f>
        <v>?</v>
      </c>
      <c r="AC63" s="78" t="str">
        <f aca="true">IF(INDEX(INDIRECT("'"&amp;LEFT($A63,LEN($A63)-1)&amp;"'!$H$13:$J$41"),MATCH(AC$1,INDIRECT("'"&amp;LEFT($A63,LEN($A63)-1)&amp;"'!$A$13:$A$41"),0),VALUE(RIGHT($A63,1)))="YES",$H63,IF(INDEX(INDIRECT("'"&amp;LEFT($A63,LEN($A63)-1)&amp;"'!$H$13:$J$41"),MATCH(AC$1,INDIRECT("'"&amp;LEFT($A63,LEN($A63)-1)&amp;"'!$A$13:$A$41"),0),VALUE(RIGHT($A63,1)))="NO",0,"?"))</f>
        <v>?</v>
      </c>
      <c r="AD63" s="78" t="str">
        <f aca="true">IF(INDEX(INDIRECT("'"&amp;LEFT($A63,LEN($A63)-1)&amp;"'!$H$13:$J$41"),MATCH(AD$1,INDIRECT("'"&amp;LEFT($A63,LEN($A63)-1)&amp;"'!$A$13:$A$41"),0),VALUE(RIGHT($A63,1)))="YES",$H63,IF(INDEX(INDIRECT("'"&amp;LEFT($A63,LEN($A63)-1)&amp;"'!$H$13:$J$41"),MATCH(AD$1,INDIRECT("'"&amp;LEFT($A63,LEN($A63)-1)&amp;"'!$A$13:$A$41"),0),VALUE(RIGHT($A63,1)))="NO",0,"?"))</f>
        <v>?</v>
      </c>
      <c r="AE63" s="78" t="str">
        <f aca="true">IF(INDEX(INDIRECT("'"&amp;LEFT($A63,LEN($A63)-1)&amp;"'!$H$13:$J$41"),MATCH(AE$1,INDIRECT("'"&amp;LEFT($A63,LEN($A63)-1)&amp;"'!$A$13:$A$41"),0),VALUE(RIGHT($A63,1)))="YES",$H63,IF(INDEX(INDIRECT("'"&amp;LEFT($A63,LEN($A63)-1)&amp;"'!$H$13:$J$41"),MATCH(AE$1,INDIRECT("'"&amp;LEFT($A63,LEN($A63)-1)&amp;"'!$A$13:$A$41"),0),VALUE(RIGHT($A63,1)))="NO",0,"?"))</f>
        <v>?</v>
      </c>
      <c r="AF63" s="78" t="str">
        <f aca="true">IF(INDEX(INDIRECT("'"&amp;LEFT($A63,LEN($A63)-1)&amp;"'!$H$13:$J$41"),MATCH(AF$1,INDIRECT("'"&amp;LEFT($A63,LEN($A63)-1)&amp;"'!$A$13:$A$41"),0),VALUE(RIGHT($A63,1)))="YES",$H63,IF(INDEX(INDIRECT("'"&amp;LEFT($A63,LEN($A63)-1)&amp;"'!$H$13:$J$41"),MATCH(AF$1,INDIRECT("'"&amp;LEFT($A63,LEN($A63)-1)&amp;"'!$A$13:$A$41"),0),VALUE(RIGHT($A63,1)))="NO",0,"?"))</f>
        <v>?</v>
      </c>
      <c r="AG63" s="78" t="str">
        <f aca="true">IF(INDEX(INDIRECT("'"&amp;LEFT($A63,LEN($A63)-1)&amp;"'!$H$13:$J$41"),MATCH(AG$1,INDIRECT("'"&amp;LEFT($A63,LEN($A63)-1)&amp;"'!$A$13:$A$41"),0),VALUE(RIGHT($A63,1)))="YES",$H63,IF(INDEX(INDIRECT("'"&amp;LEFT($A63,LEN($A63)-1)&amp;"'!$H$13:$J$41"),MATCH(AG$1,INDIRECT("'"&amp;LEFT($A63,LEN($A63)-1)&amp;"'!$A$13:$A$41"),0),VALUE(RIGHT($A63,1)))="NO",0,"?"))</f>
        <v>?</v>
      </c>
      <c r="AH63" s="78" t="str">
        <f aca="true">IF(INDEX(INDIRECT("'"&amp;LEFT($A63,LEN($A63)-1)&amp;"'!$H$13:$J$41"),MATCH(AH$1,INDIRECT("'"&amp;LEFT($A63,LEN($A63)-1)&amp;"'!$A$13:$A$41"),0),VALUE(RIGHT($A63,1)))="YES",$H63,IF(INDEX(INDIRECT("'"&amp;LEFT($A63,LEN($A63)-1)&amp;"'!$H$13:$J$41"),MATCH(AH$1,INDIRECT("'"&amp;LEFT($A63,LEN($A63)-1)&amp;"'!$A$13:$A$41"),0),VALUE(RIGHT($A63,1)))="NO",0,"?"))</f>
        <v>?</v>
      </c>
      <c r="AI63" s="78" t="str">
        <f aca="true">IF(INDEX(INDIRECT("'"&amp;LEFT($A63,LEN($A63)-1)&amp;"'!$H$13:$J$41"),MATCH(AI$1,INDIRECT("'"&amp;LEFT($A63,LEN($A63)-1)&amp;"'!$A$13:$A$41"),0),VALUE(RIGHT($A63,1)))="YES",$H63,IF(INDEX(INDIRECT("'"&amp;LEFT($A63,LEN($A63)-1)&amp;"'!$H$13:$J$41"),MATCH(AI$1,INDIRECT("'"&amp;LEFT($A63,LEN($A63)-1)&amp;"'!$A$13:$A$41"),0),VALUE(RIGHT($A63,1)))="NO",0,"?"))</f>
        <v>?</v>
      </c>
      <c r="AJ63" s="78" t="str">
        <f aca="true">IF(INDEX(INDIRECT("'"&amp;LEFT($A63,LEN($A63)-1)&amp;"'!$H$13:$J$41"),MATCH(AJ$1,INDIRECT("'"&amp;LEFT($A63,LEN($A63)-1)&amp;"'!$A$13:$A$41"),0),VALUE(RIGHT($A63,1)))="YES",$H63,IF(INDEX(INDIRECT("'"&amp;LEFT($A63,LEN($A63)-1)&amp;"'!$H$13:$J$41"),MATCH(AJ$1,INDIRECT("'"&amp;LEFT($A63,LEN($A63)-1)&amp;"'!$A$13:$A$41"),0),VALUE(RIGHT($A63,1)))="NO",0,"?"))</f>
        <v>?</v>
      </c>
      <c r="AK63" s="78" t="str">
        <f aca="true">IF(INDEX(INDIRECT("'"&amp;LEFT($A63,LEN($A63)-1)&amp;"'!$H$13:$J$41"),MATCH(AK$1,INDIRECT("'"&amp;LEFT($A63,LEN($A63)-1)&amp;"'!$A$13:$A$41"),0),VALUE(RIGHT($A63,1)))="YES",$H63,IF(INDEX(INDIRECT("'"&amp;LEFT($A63,LEN($A63)-1)&amp;"'!$H$13:$J$41"),MATCH(AK$1,INDIRECT("'"&amp;LEFT($A63,LEN($A63)-1)&amp;"'!$A$13:$A$41"),0),VALUE(RIGHT($A63,1)))="NO",0,"?"))</f>
        <v>?</v>
      </c>
    </row>
    <row r="64" customFormat="false" ht="14.25" hidden="false" customHeight="true" outlineLevel="0" collapsed="false">
      <c r="A64" s="74" t="s">
        <v>295</v>
      </c>
      <c r="B64" s="75" t="str">
        <f aca="false">IF(ISBLANK($A64),"NO_CODE",VLOOKUP($A64,'UPD Questions_290926 '!$E$1:$N$300,MATCH(B$1,'UPD Questions_290926 '!$E$1:$N$1,0),0)&amp;"")</f>
        <v>Implementation</v>
      </c>
      <c r="C64" s="75" t="str">
        <f aca="false">IF(ISBLANK($A64),"NO_CODE",VLOOKUP($A64,'UPD Questions_290926 '!$E$1:$N$300,MATCH(C$1,'UPD Questions_290926 '!$E$1:$N$1,0),0)&amp;"")</f>
        <v>Sectoral planning</v>
      </c>
      <c r="D64" s="75" t="str">
        <f aca="false">IF(ISBLANK($A64),"NO_CODE",VLOOKUP($A64,'UPD Questions_290926 '!$E$1:$N$300,MATCH(D$1,'UPD Questions_290926 '!$E$1:$N$1,0),0)&amp;"")</f>
        <v>Sustainability, resilience and climate action</v>
      </c>
      <c r="E64" s="75" t="str">
        <f aca="false">IF(ISBLANK($A64),"NO_CODE",VLOOKUP($A64,'UPD Questions_290926 '!$E$1:$N$300,MATCH(E$1,'UPD Questions_290926 '!$E$1:$N$1,0),0)&amp;"")</f>
        <v>MQ</v>
      </c>
      <c r="F64" s="75" t="str">
        <f aca="false">IF(ISBLANK($A64),"NO_CODE",VLOOKUP($A64,'UPD Questions_290926 '!$E$1:$N$300,MATCH(F$1,'UPD Questions_290926 '!$E$1:$N$1,0),0)&amp;"")</f>
        <v>Does your city have a Sustainability/ Resilience Strategy/Climate Action Plan that clearly articulates development priorities, measurable objectives, and the roles and responsibilities of the ULG?</v>
      </c>
      <c r="G64" s="75" t="str">
        <f aca="false">IF(ISBLANK($A64),"NO_CODE",VLOOKUP($A64,'UPD Questions_290926 '!$E$1:$N$300,MATCH(G$1,'UPD Questions_290926 '!$E$1:$N$1,0),0)&amp;"")</f>
        <v>Implementation</v>
      </c>
      <c r="H64" s="77" t="n">
        <f aca="false">IF(ISBLANK($A64),"NO_CODE",VLOOKUP($A64,'UPD Questions_290926 '!$E$1:$N$300,MATCH(H$1,'UPD Questions_290926 '!$E$1:$N$1,0),0))</f>
        <v>10</v>
      </c>
      <c r="I64" s="78" t="str">
        <f aca="false">IF(OR(I65="ER",I66="ER",I67="ER"),"ER",IF(OR(I65="?",I66="?",I67="?"),"?",IF(AND(I65="NA",I66="NA",I67="NA"),"NA",SUM(I65,I66,I67)/((I65&lt;&gt;"NA")*$H$65+(I66&lt;&gt;"NA")*$H$66+(I67&lt;&gt;"NA")*$H$67)*$H64)))</f>
        <v>?</v>
      </c>
      <c r="J64" s="78" t="n">
        <f aca="false">IF(OR(J65="ER",J66="ER",J67="ER"),"ER",IF(OR(J65="?",J66="?",J67="?"),"?",IF(AND(J65="NA",J66="NA",J67="NA"),"NA",SUM(J65,J66,J67)/((J65&lt;&gt;"NA")*$H$65+(J66&lt;&gt;"NA")*$H$66+(J67&lt;&gt;"NA")*$H$67)*$H64)))</f>
        <v>10</v>
      </c>
      <c r="K64" s="78" t="str">
        <f aca="false">IF(OR(K65="ER",K66="ER",K67="ER"),"ER",IF(OR(K65="?",K66="?",K67="?"),"?",IF(AND(K65="NA",K66="NA",K67="NA"),"NA",SUM(K65,K66,K67)/((K65&lt;&gt;"NA")*$H$65+(K66&lt;&gt;"NA")*$H$66+(K67&lt;&gt;"NA")*$H$67)*$H64)))</f>
        <v>?</v>
      </c>
      <c r="L64" s="78" t="str">
        <f aca="false">IF(OR(L65="ER",L66="ER",L67="ER"),"ER",IF(OR(L65="?",L66="?",L67="?"),"?",IF(AND(L65="NA",L66="NA",L67="NA"),"NA",SUM(L65,L66,L67)/((L65&lt;&gt;"NA")*$H$65+(L66&lt;&gt;"NA")*$H$66+(L67&lt;&gt;"NA")*$H$67)*$H64)))</f>
        <v>?</v>
      </c>
      <c r="M64" s="78" t="str">
        <f aca="false">IF(OR(M65="ER",M66="ER",M67="ER"),"ER",IF(OR(M65="?",M66="?",M67="?"),"?",IF(AND(M65="NA",M66="NA",M67="NA"),"NA",SUM(M65,M66,M67)/((M65&lt;&gt;"NA")*$H$65+(M66&lt;&gt;"NA")*$H$66+(M67&lt;&gt;"NA")*$H$67)*$H64)))</f>
        <v>?</v>
      </c>
      <c r="N64" s="78" t="str">
        <f aca="false">IF(OR(N65="ER",N66="ER",N67="ER"),"ER",IF(OR(N65="?",N66="?",N67="?"),"?",IF(AND(N65="NA",N66="NA",N67="NA"),"NA",SUM(N65,N66,N67)/((N65&lt;&gt;"NA")*$H$65+(N66&lt;&gt;"NA")*$H$66+(N67&lt;&gt;"NA")*$H$67)*$H64)))</f>
        <v>?</v>
      </c>
      <c r="O64" s="78" t="str">
        <f aca="false">IF(OR(O65="ER",O66="ER",O67="ER"),"ER",IF(OR(O65="?",O66="?",O67="?"),"?",IF(AND(O65="NA",O66="NA",O67="NA"),"NA",SUM(O65,O66,O67)/((O65&lt;&gt;"NA")*$H$65+(O66&lt;&gt;"NA")*$H$66+(O67&lt;&gt;"NA")*$H$67)*$H64)))</f>
        <v>?</v>
      </c>
      <c r="P64" s="78" t="str">
        <f aca="false">IF(OR(P65="ER",P66="ER",P67="ER"),"ER",IF(OR(P65="?",P66="?",P67="?"),"?",IF(AND(P65="NA",P66="NA",P67="NA"),"NA",SUM(P65,P66,P67)/((P65&lt;&gt;"NA")*$H$65+(P66&lt;&gt;"NA")*$H$66+(P67&lt;&gt;"NA")*$H$67)*$H64)))</f>
        <v>?</v>
      </c>
      <c r="Q64" s="78" t="str">
        <f aca="false">IF(OR(Q65="ER",Q66="ER",Q67="ER"),"ER",IF(OR(Q65="?",Q66="?",Q67="?"),"?",IF(AND(Q65="NA",Q66="NA",Q67="NA"),"NA",SUM(Q65,Q66,Q67)/((Q65&lt;&gt;"NA")*$H$65+(Q66&lt;&gt;"NA")*$H$66+(Q67&lt;&gt;"NA")*$H$67)*$H64)))</f>
        <v>?</v>
      </c>
      <c r="R64" s="78" t="str">
        <f aca="false">IF(OR(R65="ER",R66="ER",R67="ER"),"ER",IF(OR(R65="?",R66="?",R67="?"),"?",IF(AND(R65="NA",R66="NA",R67="NA"),"NA",SUM(R65,R66,R67)/((R65&lt;&gt;"NA")*$H$65+(R66&lt;&gt;"NA")*$H$66+(R67&lt;&gt;"NA")*$H$67)*$H64)))</f>
        <v>?</v>
      </c>
      <c r="S64" s="78" t="str">
        <f aca="false">IF(OR(S65="ER",S66="ER",S67="ER"),"ER",IF(OR(S65="?",S66="?",S67="?"),"?",IF(AND(S65="NA",S66="NA",S67="NA"),"NA",SUM(S65,S66,S67)/((S65&lt;&gt;"NA")*$H$65+(S66&lt;&gt;"NA")*$H$66+(S67&lt;&gt;"NA")*$H$67)*$H64)))</f>
        <v>?</v>
      </c>
      <c r="T64" s="78" t="str">
        <f aca="false">IF(OR(T65="ER",T66="ER",T67="ER"),"ER",IF(OR(T65="?",T66="?",T67="?"),"?",IF(AND(T65="NA",T66="NA",T67="NA"),"NA",SUM(T65,T66,T67)/((T65&lt;&gt;"NA")*$H$65+(T66&lt;&gt;"NA")*$H$66+(T67&lt;&gt;"NA")*$H$67)*$H64)))</f>
        <v>?</v>
      </c>
      <c r="U64" s="78" t="str">
        <f aca="false">IF(OR(U65="ER",U66="ER",U67="ER"),"ER",IF(OR(U65="?",U66="?",U67="?"),"?",IF(AND(U65="NA",U66="NA",U67="NA"),"NA",SUM(U65,U66,U67)/((U65&lt;&gt;"NA")*$H$65+(U66&lt;&gt;"NA")*$H$66+(U67&lt;&gt;"NA")*$H$67)*$H64)))</f>
        <v>?</v>
      </c>
      <c r="V64" s="78" t="str">
        <f aca="false">IF(OR(V65="ER",V66="ER",V67="ER"),"ER",IF(OR(V65="?",V66="?",V67="?"),"?",IF(AND(V65="NA",V66="NA",V67="NA"),"NA",SUM(V65,V66,V67)/((V65&lt;&gt;"NA")*$H$65+(V66&lt;&gt;"NA")*$H$66+(V67&lt;&gt;"NA")*$H$67)*$H64)))</f>
        <v>?</v>
      </c>
      <c r="W64" s="78" t="str">
        <f aca="false">IF(OR(W65="ER",W66="ER",W67="ER"),"ER",IF(OR(W65="?",W66="?",W67="?"),"?",IF(AND(W65="NA",W66="NA",W67="NA"),"NA",SUM(W65,W66,W67)/((W65&lt;&gt;"NA")*$H$65+(W66&lt;&gt;"NA")*$H$66+(W67&lt;&gt;"NA")*$H$67)*$H64)))</f>
        <v>?</v>
      </c>
      <c r="X64" s="78" t="str">
        <f aca="false">IF(OR(X65="ER",X66="ER",X67="ER"),"ER",IF(OR(X65="?",X66="?",X67="?"),"?",IF(AND(X65="NA",X66="NA",X67="NA"),"NA",SUM(X65,X66,X67)/((X65&lt;&gt;"NA")*$H$65+(X66&lt;&gt;"NA")*$H$66+(X67&lt;&gt;"NA")*$H$67)*$H64)))</f>
        <v>?</v>
      </c>
      <c r="Y64" s="78" t="str">
        <f aca="false">IF(OR(Y65="ER",Y66="ER",Y67="ER"),"ER",IF(OR(Y65="?",Y66="?",Y67="?"),"?",IF(AND(Y65="NA",Y66="NA",Y67="NA"),"NA",SUM(Y65,Y66,Y67)/((Y65&lt;&gt;"NA")*$H$65+(Y66&lt;&gt;"NA")*$H$66+(Y67&lt;&gt;"NA")*$H$67)*$H64)))</f>
        <v>?</v>
      </c>
      <c r="Z64" s="78" t="str">
        <f aca="false">IF(OR(Z65="ER",Z66="ER",Z67="ER"),"ER",IF(OR(Z65="?",Z66="?",Z67="?"),"?",IF(AND(Z65="NA",Z66="NA",Z67="NA"),"NA",SUM(Z65,Z66,Z67)/((Z65&lt;&gt;"NA")*$H$65+(Z66&lt;&gt;"NA")*$H$66+(Z67&lt;&gt;"NA")*$H$67)*$H64)))</f>
        <v>?</v>
      </c>
      <c r="AA64" s="78" t="str">
        <f aca="false">IF(OR(AA65="ER",AA66="ER",AA67="ER"),"ER",IF(OR(AA65="?",AA66="?",AA67="?"),"?",IF(AND(AA65="NA",AA66="NA",AA67="NA"),"NA",SUM(AA65,AA66,AA67)/((AA65&lt;&gt;"NA")*$H$65+(AA66&lt;&gt;"NA")*$H$66+(AA67&lt;&gt;"NA")*$H$67)*$H64)))</f>
        <v>?</v>
      </c>
      <c r="AB64" s="78" t="str">
        <f aca="false">IF(OR(AB65="ER",AB66="ER",AB67="ER"),"ER",IF(OR(AB65="?",AB66="?",AB67="?"),"?",IF(AND(AB65="NA",AB66="NA",AB67="NA"),"NA",SUM(AB65,AB66,AB67)/((AB65&lt;&gt;"NA")*$H$65+(AB66&lt;&gt;"NA")*$H$66+(AB67&lt;&gt;"NA")*$H$67)*$H64)))</f>
        <v>?</v>
      </c>
      <c r="AC64" s="78" t="str">
        <f aca="false">IF(OR(AC65="ER",AC66="ER",AC67="ER"),"ER",IF(OR(AC65="?",AC66="?",AC67="?"),"?",IF(AND(AC65="NA",AC66="NA",AC67="NA"),"NA",SUM(AC65,AC66,AC67)/((AC65&lt;&gt;"NA")*$H$65+(AC66&lt;&gt;"NA")*$H$66+(AC67&lt;&gt;"NA")*$H$67)*$H64)))</f>
        <v>?</v>
      </c>
      <c r="AD64" s="78" t="str">
        <f aca="false">IF(OR(AD65="ER",AD66="ER",AD67="ER"),"ER",IF(OR(AD65="?",AD66="?",AD67="?"),"?",IF(AND(AD65="NA",AD66="NA",AD67="NA"),"NA",SUM(AD65,AD66,AD67)/((AD65&lt;&gt;"NA")*$H$65+(AD66&lt;&gt;"NA")*$H$66+(AD67&lt;&gt;"NA")*$H$67)*$H64)))</f>
        <v>?</v>
      </c>
      <c r="AE64" s="78" t="str">
        <f aca="false">IF(OR(AE65="ER",AE66="ER",AE67="ER"),"ER",IF(OR(AE65="?",AE66="?",AE67="?"),"?",IF(AND(AE65="NA",AE66="NA",AE67="NA"),"NA",SUM(AE65,AE66,AE67)/((AE65&lt;&gt;"NA")*$H$65+(AE66&lt;&gt;"NA")*$H$66+(AE67&lt;&gt;"NA")*$H$67)*$H64)))</f>
        <v>?</v>
      </c>
      <c r="AF64" s="78" t="str">
        <f aca="false">IF(OR(AF65="ER",AF66="ER",AF67="ER"),"ER",IF(OR(AF65="?",AF66="?",AF67="?"),"?",IF(AND(AF65="NA",AF66="NA",AF67="NA"),"NA",SUM(AF65,AF66,AF67)/((AF65&lt;&gt;"NA")*$H$65+(AF66&lt;&gt;"NA")*$H$66+(AF67&lt;&gt;"NA")*$H$67)*$H64)))</f>
        <v>?</v>
      </c>
      <c r="AG64" s="78" t="str">
        <f aca="false">IF(OR(AG65="ER",AG66="ER",AG67="ER"),"ER",IF(OR(AG65="?",AG66="?",AG67="?"),"?",IF(AND(AG65="NA",AG66="NA",AG67="NA"),"NA",SUM(AG65,AG66,AG67)/((AG65&lt;&gt;"NA")*$H$65+(AG66&lt;&gt;"NA")*$H$66+(AG67&lt;&gt;"NA")*$H$67)*$H64)))</f>
        <v>?</v>
      </c>
      <c r="AH64" s="78" t="str">
        <f aca="false">IF(OR(AH65="ER",AH66="ER",AH67="ER"),"ER",IF(OR(AH65="?",AH66="?",AH67="?"),"?",IF(AND(AH65="NA",AH66="NA",AH67="NA"),"NA",SUM(AH65,AH66,AH67)/((AH65&lt;&gt;"NA")*$H$65+(AH66&lt;&gt;"NA")*$H$66+(AH67&lt;&gt;"NA")*$H$67)*$H64)))</f>
        <v>?</v>
      </c>
      <c r="AI64" s="78" t="str">
        <f aca="false">IF(OR(AI65="ER",AI66="ER",AI67="ER"),"ER",IF(OR(AI65="?",AI66="?",AI67="?"),"?",IF(AND(AI65="NA",AI66="NA",AI67="NA"),"NA",SUM(AI65,AI66,AI67)/((AI65&lt;&gt;"NA")*$H$65+(AI66&lt;&gt;"NA")*$H$66+(AI67&lt;&gt;"NA")*$H$67)*$H64)))</f>
        <v>?</v>
      </c>
      <c r="AJ64" s="78" t="str">
        <f aca="false">IF(OR(AJ65="ER",AJ66="ER",AJ67="ER"),"ER",IF(OR(AJ65="?",AJ66="?",AJ67="?"),"?",IF(AND(AJ65="NA",AJ66="NA",AJ67="NA"),"NA",SUM(AJ65,AJ66,AJ67)/((AJ65&lt;&gt;"NA")*$H$65+(AJ66&lt;&gt;"NA")*$H$66+(AJ67&lt;&gt;"NA")*$H$67)*$H64)))</f>
        <v>?</v>
      </c>
      <c r="AK64" s="78" t="str">
        <f aca="false">IF(OR(AK65="ER",AK66="ER",AK67="ER"),"ER",IF(OR(AK65="?",AK66="?",AK67="?"),"?",IF(AND(AK65="NA",AK66="NA",AK67="NA"),"NA",SUM(AK65,AK66,AK67)/((AK65&lt;&gt;"NA")*$H$65+(AK66&lt;&gt;"NA")*$H$66+(AK67&lt;&gt;"NA")*$H$67)*$H64)))</f>
        <v>?</v>
      </c>
    </row>
    <row r="65" customFormat="false" ht="14.25" hidden="false" customHeight="true" outlineLevel="0" collapsed="false">
      <c r="A65" s="74" t="s">
        <v>299</v>
      </c>
      <c r="B65" s="75" t="str">
        <f aca="false">IF(ISBLANK($A65),"NO_CODE",VLOOKUP($A65,'UPD Questions_290926 '!$E$1:$N$300,MATCH(B$1,'UPD Questions_290926 '!$E$1:$N$1,0),0)&amp;"")</f>
        <v>Implementation</v>
      </c>
      <c r="C65" s="75" t="str">
        <f aca="false">IF(ISBLANK($A65),"NO_CODE",VLOOKUP($A65,'UPD Questions_290926 '!$E$1:$N$300,MATCH(C$1,'UPD Questions_290926 '!$E$1:$N$1,0),0)&amp;"")</f>
        <v>Sectoral planning</v>
      </c>
      <c r="D65" s="75" t="str">
        <f aca="false">IF(ISBLANK($A65),"NO_CODE",VLOOKUP($A65,'UPD Questions_290926 '!$E$1:$N$300,MATCH(D$1,'UPD Questions_290926 '!$E$1:$N$1,0),0)&amp;"")</f>
        <v>Sustainability, resilience and climate action</v>
      </c>
      <c r="E65" s="75" t="str">
        <f aca="false">IF(ISBLANK($A65),"NO_CODE",VLOOKUP($A65,'UPD Questions_290926 '!$E$1:$N$300,MATCH(E$1,'UPD Questions_290926 '!$E$1:$N$1,0),0)&amp;"")</f>
        <v>SQ</v>
      </c>
      <c r="F65" s="75" t="str">
        <f aca="false">IF(ISBLANK($A65),"NO_CODE",VLOOKUP($A65,'UPD Questions_290926 '!$E$1:$N$300,MATCH(F$1,'UPD Questions_290926 '!$E$1:$N$1,0),0)&amp;"")</f>
        <v>Does the city have a notified and active Sustainability/Resilience Strategy?</v>
      </c>
      <c r="G65" s="75" t="str">
        <f aca="false">IF(ISBLANK($A65),"NO_CODE",VLOOKUP($A65,'UPD Questions_290926 '!$E$1:$N$300,MATCH(G$1,'UPD Questions_290926 '!$E$1:$N$1,0),0)&amp;"")</f>
        <v>Implementation</v>
      </c>
      <c r="H65" s="77" t="n">
        <f aca="false">IF(ISBLANK($A65),"NO_CODE",VLOOKUP($A65,'UPD Questions_290926 '!$E$1:$N$300,MATCH(H$1,'UPD Questions_290926 '!$E$1:$N$1,0),0))</f>
        <v>3.33</v>
      </c>
      <c r="I65" s="78" t="str">
        <f aca="true">IF($H65=0,"NA",IF($A65=INDIRECT("'"&amp;$A65&amp;"'!$B$1"),IF(VLOOKUP(I$1,INDIRECT("'"&amp;$A65&amp;"'!$A$12:$Z$41"),MATCH("Points (Auto-generate)",INDIRECT("'"&amp;$A65&amp;"'!$A$12:$Z$12"),0),0)="","?",VLOOKUP(I$1,INDIRECT("'"&amp;$A65&amp;"'!$A$12:$Z$41"),MATCH("Points (Auto-generate)",INDIRECT("'"&amp;$A65&amp;"'!$A$12:$Z$12"),0),0)),"ER"))</f>
        <v>?</v>
      </c>
      <c r="J65" s="78" t="n">
        <f aca="true">IF($H65=0,"NA",IF($A65=INDIRECT("'"&amp;$A65&amp;"'!$B$1"),IF(VLOOKUP(J$1,INDIRECT("'"&amp;$A65&amp;"'!$A$12:$Z$41"),MATCH("Points (Auto-generate)",INDIRECT("'"&amp;$A65&amp;"'!$A$12:$Z$12"),0),0)="","?",VLOOKUP(J$1,INDIRECT("'"&amp;$A65&amp;"'!$A$12:$Z$41"),MATCH("Points (Auto-generate)",INDIRECT("'"&amp;$A65&amp;"'!$A$12:$Z$12"),0),0)),"ER"))</f>
        <v>3.33</v>
      </c>
      <c r="K65" s="78" t="str">
        <f aca="true">IF($H65=0,"NA",IF($A65=INDIRECT("'"&amp;$A65&amp;"'!$B$1"),IF(VLOOKUP(K$1,INDIRECT("'"&amp;$A65&amp;"'!$A$12:$Z$41"),MATCH("Points (Auto-generate)",INDIRECT("'"&amp;$A65&amp;"'!$A$12:$Z$12"),0),0)="","?",VLOOKUP(K$1,INDIRECT("'"&amp;$A65&amp;"'!$A$12:$Z$41"),MATCH("Points (Auto-generate)",INDIRECT("'"&amp;$A65&amp;"'!$A$12:$Z$12"),0),0)),"ER"))</f>
        <v>?</v>
      </c>
      <c r="L65" s="78" t="str">
        <f aca="true">IF($H65=0,"NA",IF($A65=INDIRECT("'"&amp;$A65&amp;"'!$B$1"),IF(VLOOKUP(L$1,INDIRECT("'"&amp;$A65&amp;"'!$A$12:$Z$41"),MATCH("Points (Auto-generate)",INDIRECT("'"&amp;$A65&amp;"'!$A$12:$Z$12"),0),0)="","?",VLOOKUP(L$1,INDIRECT("'"&amp;$A65&amp;"'!$A$12:$Z$41"),MATCH("Points (Auto-generate)",INDIRECT("'"&amp;$A65&amp;"'!$A$12:$Z$12"),0),0)),"ER"))</f>
        <v>?</v>
      </c>
      <c r="M65" s="78" t="str">
        <f aca="true">IF($H65=0,"NA",IF($A65=INDIRECT("'"&amp;$A65&amp;"'!$B$1"),IF(VLOOKUP(M$1,INDIRECT("'"&amp;$A65&amp;"'!$A$12:$Z$41"),MATCH("Points (Auto-generate)",INDIRECT("'"&amp;$A65&amp;"'!$A$12:$Z$12"),0),0)="","?",VLOOKUP(M$1,INDIRECT("'"&amp;$A65&amp;"'!$A$12:$Z$41"),MATCH("Points (Auto-generate)",INDIRECT("'"&amp;$A65&amp;"'!$A$12:$Z$12"),0),0)),"ER"))</f>
        <v>?</v>
      </c>
      <c r="N65" s="78" t="str">
        <f aca="true">IF($H65=0,"NA",IF($A65=INDIRECT("'"&amp;$A65&amp;"'!$B$1"),IF(VLOOKUP(N$1,INDIRECT("'"&amp;$A65&amp;"'!$A$12:$Z$41"),MATCH("Points (Auto-generate)",INDIRECT("'"&amp;$A65&amp;"'!$A$12:$Z$12"),0),0)="","?",VLOOKUP(N$1,INDIRECT("'"&amp;$A65&amp;"'!$A$12:$Z$41"),MATCH("Points (Auto-generate)",INDIRECT("'"&amp;$A65&amp;"'!$A$12:$Z$12"),0),0)),"ER"))</f>
        <v>?</v>
      </c>
      <c r="O65" s="78" t="str">
        <f aca="true">IF($H65=0,"NA",IF($A65=INDIRECT("'"&amp;$A65&amp;"'!$B$1"),IF(VLOOKUP(O$1,INDIRECT("'"&amp;$A65&amp;"'!$A$12:$Z$41"),MATCH("Points (Auto-generate)",INDIRECT("'"&amp;$A65&amp;"'!$A$12:$Z$12"),0),0)="","?",VLOOKUP(O$1,INDIRECT("'"&amp;$A65&amp;"'!$A$12:$Z$41"),MATCH("Points (Auto-generate)",INDIRECT("'"&amp;$A65&amp;"'!$A$12:$Z$12"),0),0)),"ER"))</f>
        <v>?</v>
      </c>
      <c r="P65" s="78" t="str">
        <f aca="true">IF($H65=0,"NA",IF($A65=INDIRECT("'"&amp;$A65&amp;"'!$B$1"),IF(VLOOKUP(P$1,INDIRECT("'"&amp;$A65&amp;"'!$A$12:$Z$41"),MATCH("Points (Auto-generate)",INDIRECT("'"&amp;$A65&amp;"'!$A$12:$Z$12"),0),0)="","?",VLOOKUP(P$1,INDIRECT("'"&amp;$A65&amp;"'!$A$12:$Z$41"),MATCH("Points (Auto-generate)",INDIRECT("'"&amp;$A65&amp;"'!$A$12:$Z$12"),0),0)),"ER"))</f>
        <v>?</v>
      </c>
      <c r="Q65" s="78" t="str">
        <f aca="true">IF($H65=0,"NA",IF($A65=INDIRECT("'"&amp;$A65&amp;"'!$B$1"),IF(VLOOKUP(Q$1,INDIRECT("'"&amp;$A65&amp;"'!$A$12:$Z$41"),MATCH("Points (Auto-generate)",INDIRECT("'"&amp;$A65&amp;"'!$A$12:$Z$12"),0),0)="","?",VLOOKUP(Q$1,INDIRECT("'"&amp;$A65&amp;"'!$A$12:$Z$41"),MATCH("Points (Auto-generate)",INDIRECT("'"&amp;$A65&amp;"'!$A$12:$Z$12"),0),0)),"ER"))</f>
        <v>?</v>
      </c>
      <c r="R65" s="78" t="str">
        <f aca="true">IF($H65=0,"NA",IF($A65=INDIRECT("'"&amp;$A65&amp;"'!$B$1"),IF(VLOOKUP(R$1,INDIRECT("'"&amp;$A65&amp;"'!$A$12:$Z$41"),MATCH("Points (Auto-generate)",INDIRECT("'"&amp;$A65&amp;"'!$A$12:$Z$12"),0),0)="","?",VLOOKUP(R$1,INDIRECT("'"&amp;$A65&amp;"'!$A$12:$Z$41"),MATCH("Points (Auto-generate)",INDIRECT("'"&amp;$A65&amp;"'!$A$12:$Z$12"),0),0)),"ER"))</f>
        <v>?</v>
      </c>
      <c r="S65" s="78" t="str">
        <f aca="true">IF($H65=0,"NA",IF($A65=INDIRECT("'"&amp;$A65&amp;"'!$B$1"),IF(VLOOKUP(S$1,INDIRECT("'"&amp;$A65&amp;"'!$A$12:$Z$41"),MATCH("Points (Auto-generate)",INDIRECT("'"&amp;$A65&amp;"'!$A$12:$Z$12"),0),0)="","?",VLOOKUP(S$1,INDIRECT("'"&amp;$A65&amp;"'!$A$12:$Z$41"),MATCH("Points (Auto-generate)",INDIRECT("'"&amp;$A65&amp;"'!$A$12:$Z$12"),0),0)),"ER"))</f>
        <v>?</v>
      </c>
      <c r="T65" s="78" t="str">
        <f aca="true">IF($H65=0,"NA",IF($A65=INDIRECT("'"&amp;$A65&amp;"'!$B$1"),IF(VLOOKUP(T$1,INDIRECT("'"&amp;$A65&amp;"'!$A$12:$Z$41"),MATCH("Points (Auto-generate)",INDIRECT("'"&amp;$A65&amp;"'!$A$12:$Z$12"),0),0)="","?",VLOOKUP(T$1,INDIRECT("'"&amp;$A65&amp;"'!$A$12:$Z$41"),MATCH("Points (Auto-generate)",INDIRECT("'"&amp;$A65&amp;"'!$A$12:$Z$12"),0),0)),"ER"))</f>
        <v>?</v>
      </c>
      <c r="U65" s="78" t="str">
        <f aca="true">IF($H65=0,"NA",IF($A65=INDIRECT("'"&amp;$A65&amp;"'!$B$1"),IF(VLOOKUP(U$1,INDIRECT("'"&amp;$A65&amp;"'!$A$12:$Z$41"),MATCH("Points (Auto-generate)",INDIRECT("'"&amp;$A65&amp;"'!$A$12:$Z$12"),0),0)="","?",VLOOKUP(U$1,INDIRECT("'"&amp;$A65&amp;"'!$A$12:$Z$41"),MATCH("Points (Auto-generate)",INDIRECT("'"&amp;$A65&amp;"'!$A$12:$Z$12"),0),0)),"ER"))</f>
        <v>?</v>
      </c>
      <c r="V65" s="78" t="str">
        <f aca="true">IF($H65=0,"NA",IF($A65=INDIRECT("'"&amp;$A65&amp;"'!$B$1"),IF(VLOOKUP(V$1,INDIRECT("'"&amp;$A65&amp;"'!$A$12:$Z$41"),MATCH("Points (Auto-generate)",INDIRECT("'"&amp;$A65&amp;"'!$A$12:$Z$12"),0),0)="","?",VLOOKUP(V$1,INDIRECT("'"&amp;$A65&amp;"'!$A$12:$Z$41"),MATCH("Points (Auto-generate)",INDIRECT("'"&amp;$A65&amp;"'!$A$12:$Z$12"),0),0)),"ER"))</f>
        <v>?</v>
      </c>
      <c r="W65" s="78" t="str">
        <f aca="true">IF($H65=0,"NA",IF($A65=INDIRECT("'"&amp;$A65&amp;"'!$B$1"),IF(VLOOKUP(W$1,INDIRECT("'"&amp;$A65&amp;"'!$A$12:$Z$41"),MATCH("Points (Auto-generate)",INDIRECT("'"&amp;$A65&amp;"'!$A$12:$Z$12"),0),0)="","?",VLOOKUP(W$1,INDIRECT("'"&amp;$A65&amp;"'!$A$12:$Z$41"),MATCH("Points (Auto-generate)",INDIRECT("'"&amp;$A65&amp;"'!$A$12:$Z$12"),0),0)),"ER"))</f>
        <v>?</v>
      </c>
      <c r="X65" s="78" t="str">
        <f aca="true">IF($H65=0,"NA",IF($A65=INDIRECT("'"&amp;$A65&amp;"'!$B$1"),IF(VLOOKUP(X$1,INDIRECT("'"&amp;$A65&amp;"'!$A$12:$Z$41"),MATCH("Points (Auto-generate)",INDIRECT("'"&amp;$A65&amp;"'!$A$12:$Z$12"),0),0)="","?",VLOOKUP(X$1,INDIRECT("'"&amp;$A65&amp;"'!$A$12:$Z$41"),MATCH("Points (Auto-generate)",INDIRECT("'"&amp;$A65&amp;"'!$A$12:$Z$12"),0),0)),"ER"))</f>
        <v>?</v>
      </c>
      <c r="Y65" s="78" t="str">
        <f aca="true">IF($H65=0,"NA",IF($A65=INDIRECT("'"&amp;$A65&amp;"'!$B$1"),IF(VLOOKUP(Y$1,INDIRECT("'"&amp;$A65&amp;"'!$A$12:$Z$41"),MATCH("Points (Auto-generate)",INDIRECT("'"&amp;$A65&amp;"'!$A$12:$Z$12"),0),0)="","?",VLOOKUP(Y$1,INDIRECT("'"&amp;$A65&amp;"'!$A$12:$Z$41"),MATCH("Points (Auto-generate)",INDIRECT("'"&amp;$A65&amp;"'!$A$12:$Z$12"),0),0)),"ER"))</f>
        <v>?</v>
      </c>
      <c r="Z65" s="78" t="str">
        <f aca="true">IF($H65=0,"NA",IF($A65=INDIRECT("'"&amp;$A65&amp;"'!$B$1"),IF(VLOOKUP(Z$1,INDIRECT("'"&amp;$A65&amp;"'!$A$12:$Z$41"),MATCH("Points (Auto-generate)",INDIRECT("'"&amp;$A65&amp;"'!$A$12:$Z$12"),0),0)="","?",VLOOKUP(Z$1,INDIRECT("'"&amp;$A65&amp;"'!$A$12:$Z$41"),MATCH("Points (Auto-generate)",INDIRECT("'"&amp;$A65&amp;"'!$A$12:$Z$12"),0),0)),"ER"))</f>
        <v>?</v>
      </c>
      <c r="AA65" s="78" t="str">
        <f aca="true">IF($H65=0,"NA",IF($A65=INDIRECT("'"&amp;$A65&amp;"'!$B$1"),IF(VLOOKUP(AA$1,INDIRECT("'"&amp;$A65&amp;"'!$A$12:$Z$41"),MATCH("Points (Auto-generate)",INDIRECT("'"&amp;$A65&amp;"'!$A$12:$Z$12"),0),0)="","?",VLOOKUP(AA$1,INDIRECT("'"&amp;$A65&amp;"'!$A$12:$Z$41"),MATCH("Points (Auto-generate)",INDIRECT("'"&amp;$A65&amp;"'!$A$12:$Z$12"),0),0)),"ER"))</f>
        <v>?</v>
      </c>
      <c r="AB65" s="78" t="str">
        <f aca="true">IF($H65=0,"NA",IF($A65=INDIRECT("'"&amp;$A65&amp;"'!$B$1"),IF(VLOOKUP(AB$1,INDIRECT("'"&amp;$A65&amp;"'!$A$12:$Z$41"),MATCH("Points (Auto-generate)",INDIRECT("'"&amp;$A65&amp;"'!$A$12:$Z$12"),0),0)="","?",VLOOKUP(AB$1,INDIRECT("'"&amp;$A65&amp;"'!$A$12:$Z$41"),MATCH("Points (Auto-generate)",INDIRECT("'"&amp;$A65&amp;"'!$A$12:$Z$12"),0),0)),"ER"))</f>
        <v>?</v>
      </c>
      <c r="AC65" s="78" t="str">
        <f aca="true">IF($H65=0,"NA",IF($A65=INDIRECT("'"&amp;$A65&amp;"'!$B$1"),IF(VLOOKUP(AC$1,INDIRECT("'"&amp;$A65&amp;"'!$A$12:$Z$41"),MATCH("Points (Auto-generate)",INDIRECT("'"&amp;$A65&amp;"'!$A$12:$Z$12"),0),0)="","?",VLOOKUP(AC$1,INDIRECT("'"&amp;$A65&amp;"'!$A$12:$Z$41"),MATCH("Points (Auto-generate)",INDIRECT("'"&amp;$A65&amp;"'!$A$12:$Z$12"),0),0)),"ER"))</f>
        <v>?</v>
      </c>
      <c r="AD65" s="78" t="str">
        <f aca="true">IF($H65=0,"NA",IF($A65=INDIRECT("'"&amp;$A65&amp;"'!$B$1"),IF(VLOOKUP(AD$1,INDIRECT("'"&amp;$A65&amp;"'!$A$12:$Z$41"),MATCH("Points (Auto-generate)",INDIRECT("'"&amp;$A65&amp;"'!$A$12:$Z$12"),0),0)="","?",VLOOKUP(AD$1,INDIRECT("'"&amp;$A65&amp;"'!$A$12:$Z$41"),MATCH("Points (Auto-generate)",INDIRECT("'"&amp;$A65&amp;"'!$A$12:$Z$12"),0),0)),"ER"))</f>
        <v>?</v>
      </c>
      <c r="AE65" s="78" t="str">
        <f aca="true">IF($H65=0,"NA",IF($A65=INDIRECT("'"&amp;$A65&amp;"'!$B$1"),IF(VLOOKUP(AE$1,INDIRECT("'"&amp;$A65&amp;"'!$A$12:$Z$41"),MATCH("Points (Auto-generate)",INDIRECT("'"&amp;$A65&amp;"'!$A$12:$Z$12"),0),0)="","?",VLOOKUP(AE$1,INDIRECT("'"&amp;$A65&amp;"'!$A$12:$Z$41"),MATCH("Points (Auto-generate)",INDIRECT("'"&amp;$A65&amp;"'!$A$12:$Z$12"),0),0)),"ER"))</f>
        <v>?</v>
      </c>
      <c r="AF65" s="78" t="str">
        <f aca="true">IF($H65=0,"NA",IF($A65=INDIRECT("'"&amp;$A65&amp;"'!$B$1"),IF(VLOOKUP(AF$1,INDIRECT("'"&amp;$A65&amp;"'!$A$12:$Z$41"),MATCH("Points (Auto-generate)",INDIRECT("'"&amp;$A65&amp;"'!$A$12:$Z$12"),0),0)="","?",VLOOKUP(AF$1,INDIRECT("'"&amp;$A65&amp;"'!$A$12:$Z$41"),MATCH("Points (Auto-generate)",INDIRECT("'"&amp;$A65&amp;"'!$A$12:$Z$12"),0),0)),"ER"))</f>
        <v>?</v>
      </c>
      <c r="AG65" s="78" t="str">
        <f aca="true">IF($H65=0,"NA",IF($A65=INDIRECT("'"&amp;$A65&amp;"'!$B$1"),IF(VLOOKUP(AG$1,INDIRECT("'"&amp;$A65&amp;"'!$A$12:$Z$41"),MATCH("Points (Auto-generate)",INDIRECT("'"&amp;$A65&amp;"'!$A$12:$Z$12"),0),0)="","?",VLOOKUP(AG$1,INDIRECT("'"&amp;$A65&amp;"'!$A$12:$Z$41"),MATCH("Points (Auto-generate)",INDIRECT("'"&amp;$A65&amp;"'!$A$12:$Z$12"),0),0)),"ER"))</f>
        <v>?</v>
      </c>
      <c r="AH65" s="78" t="str">
        <f aca="true">IF($H65=0,"NA",IF($A65=INDIRECT("'"&amp;$A65&amp;"'!$B$1"),IF(VLOOKUP(AH$1,INDIRECT("'"&amp;$A65&amp;"'!$A$12:$Z$41"),MATCH("Points (Auto-generate)",INDIRECT("'"&amp;$A65&amp;"'!$A$12:$Z$12"),0),0)="","?",VLOOKUP(AH$1,INDIRECT("'"&amp;$A65&amp;"'!$A$12:$Z$41"),MATCH("Points (Auto-generate)",INDIRECT("'"&amp;$A65&amp;"'!$A$12:$Z$12"),0),0)),"ER"))</f>
        <v>?</v>
      </c>
      <c r="AI65" s="78" t="str">
        <f aca="true">IF($H65=0,"NA",IF($A65=INDIRECT("'"&amp;$A65&amp;"'!$B$1"),IF(VLOOKUP(AI$1,INDIRECT("'"&amp;$A65&amp;"'!$A$12:$Z$41"),MATCH("Points (Auto-generate)",INDIRECT("'"&amp;$A65&amp;"'!$A$12:$Z$12"),0),0)="","?",VLOOKUP(AI$1,INDIRECT("'"&amp;$A65&amp;"'!$A$12:$Z$41"),MATCH("Points (Auto-generate)",INDIRECT("'"&amp;$A65&amp;"'!$A$12:$Z$12"),0),0)),"ER"))</f>
        <v>?</v>
      </c>
      <c r="AJ65" s="78" t="str">
        <f aca="true">IF($H65=0,"NA",IF($A65=INDIRECT("'"&amp;$A65&amp;"'!$B$1"),IF(VLOOKUP(AJ$1,INDIRECT("'"&amp;$A65&amp;"'!$A$12:$Z$41"),MATCH("Points (Auto-generate)",INDIRECT("'"&amp;$A65&amp;"'!$A$12:$Z$12"),0),0)="","?",VLOOKUP(AJ$1,INDIRECT("'"&amp;$A65&amp;"'!$A$12:$Z$41"),MATCH("Points (Auto-generate)",INDIRECT("'"&amp;$A65&amp;"'!$A$12:$Z$12"),0),0)),"ER"))</f>
        <v>?</v>
      </c>
      <c r="AK65" s="78" t="str">
        <f aca="true">IF($H65=0,"NA",IF($A65=INDIRECT("'"&amp;$A65&amp;"'!$B$1"),IF(VLOOKUP(AK$1,INDIRECT("'"&amp;$A65&amp;"'!$A$12:$Z$41"),MATCH("Points (Auto-generate)",INDIRECT("'"&amp;$A65&amp;"'!$A$12:$Z$12"),0),0)="","?",VLOOKUP(AK$1,INDIRECT("'"&amp;$A65&amp;"'!$A$12:$Z$41"),MATCH("Points (Auto-generate)",INDIRECT("'"&amp;$A65&amp;"'!$A$12:$Z$12"),0),0)),"ER"))</f>
        <v>?</v>
      </c>
    </row>
    <row r="66" customFormat="false" ht="14.25" hidden="false" customHeight="true" outlineLevel="0" collapsed="false">
      <c r="A66" s="74" t="s">
        <v>304</v>
      </c>
      <c r="B66" s="75" t="str">
        <f aca="false">IF(ISBLANK($A66),"NO_CODE",VLOOKUP($A66,'UPD Questions_290926 '!$E$1:$N$300,MATCH(B$1,'UPD Questions_290926 '!$E$1:$N$1,0),0)&amp;"")</f>
        <v>Implementation</v>
      </c>
      <c r="C66" s="75" t="str">
        <f aca="false">IF(ISBLANK($A66),"NO_CODE",VLOOKUP($A66,'UPD Questions_290926 '!$E$1:$N$300,MATCH(C$1,'UPD Questions_290926 '!$E$1:$N$1,0),0)&amp;"")</f>
        <v>Sectoral planning</v>
      </c>
      <c r="D66" s="75" t="str">
        <f aca="false">IF(ISBLANK($A66),"NO_CODE",VLOOKUP($A66,'UPD Questions_290926 '!$E$1:$N$300,MATCH(D$1,'UPD Questions_290926 '!$E$1:$N$1,0),0)&amp;"")</f>
        <v>Sustainability, resilience and climate action</v>
      </c>
      <c r="E66" s="75" t="str">
        <f aca="false">IF(ISBLANK($A66),"NO_CODE",VLOOKUP($A66,'UPD Questions_290926 '!$E$1:$N$300,MATCH(E$1,'UPD Questions_290926 '!$E$1:$N$1,0),0)&amp;"")</f>
        <v>SQ</v>
      </c>
      <c r="F66" s="75" t="str">
        <f aca="false">IF(ISBLANK($A66),"NO_CODE",VLOOKUP($A66,'UPD Questions_290926 '!$E$1:$N$300,MATCH(F$1,'UPD Questions_290926 '!$E$1:$N$1,0),0)&amp;"")</f>
        <v>Does the plan have development priorities and measurable objectives?</v>
      </c>
      <c r="G66" s="75" t="str">
        <f aca="false">IF(ISBLANK($A66),"NO_CODE",VLOOKUP($A66,'UPD Questions_290926 '!$E$1:$N$300,MATCH(G$1,'UPD Questions_290926 '!$E$1:$N$1,0),0)&amp;"")</f>
        <v>Implementation</v>
      </c>
      <c r="H66" s="77" t="n">
        <f aca="false">IF(ISBLANK($A66),"NO_CODE",VLOOKUP($A66,'UPD Questions_290926 '!$E$1:$N$300,MATCH(H$1,'UPD Questions_290926 '!$E$1:$N$1,0),0))</f>
        <v>3.33</v>
      </c>
      <c r="I66" s="78" t="str">
        <f aca="true">IF($H66=0,"NA",IF($A66=INDIRECT("'"&amp;$A66&amp;"'!$B$1"),IF(VLOOKUP(I$1,INDIRECT("'"&amp;$A66&amp;"'!$A$12:$Z$41"),MATCH("Points (Auto-generate)",INDIRECT("'"&amp;$A66&amp;"'!$A$12:$Z$12"),0),0)="","?",VLOOKUP(I$1,INDIRECT("'"&amp;$A66&amp;"'!$A$12:$Z$41"),MATCH("Points (Auto-generate)",INDIRECT("'"&amp;$A66&amp;"'!$A$12:$Z$12"),0),0)),"ER"))</f>
        <v>?</v>
      </c>
      <c r="J66" s="78" t="n">
        <f aca="true">IF($H66=0,"NA",IF($A66=INDIRECT("'"&amp;$A66&amp;"'!$B$1"),IF(VLOOKUP(J$1,INDIRECT("'"&amp;$A66&amp;"'!$A$12:$Z$41"),MATCH("Points (Auto-generate)",INDIRECT("'"&amp;$A66&amp;"'!$A$12:$Z$12"),0),0)="","?",VLOOKUP(J$1,INDIRECT("'"&amp;$A66&amp;"'!$A$12:$Z$41"),MATCH("Points (Auto-generate)",INDIRECT("'"&amp;$A66&amp;"'!$A$12:$Z$12"),0),0)),"ER"))</f>
        <v>3.33</v>
      </c>
      <c r="K66" s="78" t="str">
        <f aca="true">IF($H66=0,"NA",IF($A66=INDIRECT("'"&amp;$A66&amp;"'!$B$1"),IF(VLOOKUP(K$1,INDIRECT("'"&amp;$A66&amp;"'!$A$12:$Z$41"),MATCH("Points (Auto-generate)",INDIRECT("'"&amp;$A66&amp;"'!$A$12:$Z$12"),0),0)="","?",VLOOKUP(K$1,INDIRECT("'"&amp;$A66&amp;"'!$A$12:$Z$41"),MATCH("Points (Auto-generate)",INDIRECT("'"&amp;$A66&amp;"'!$A$12:$Z$12"),0),0)),"ER"))</f>
        <v>?</v>
      </c>
      <c r="L66" s="78" t="str">
        <f aca="true">IF($H66=0,"NA",IF($A66=INDIRECT("'"&amp;$A66&amp;"'!$B$1"),IF(VLOOKUP(L$1,INDIRECT("'"&amp;$A66&amp;"'!$A$12:$Z$41"),MATCH("Points (Auto-generate)",INDIRECT("'"&amp;$A66&amp;"'!$A$12:$Z$12"),0),0)="","?",VLOOKUP(L$1,INDIRECT("'"&amp;$A66&amp;"'!$A$12:$Z$41"),MATCH("Points (Auto-generate)",INDIRECT("'"&amp;$A66&amp;"'!$A$12:$Z$12"),0),0)),"ER"))</f>
        <v>?</v>
      </c>
      <c r="M66" s="78" t="str">
        <f aca="true">IF($H66=0,"NA",IF($A66=INDIRECT("'"&amp;$A66&amp;"'!$B$1"),IF(VLOOKUP(M$1,INDIRECT("'"&amp;$A66&amp;"'!$A$12:$Z$41"),MATCH("Points (Auto-generate)",INDIRECT("'"&amp;$A66&amp;"'!$A$12:$Z$12"),0),0)="","?",VLOOKUP(M$1,INDIRECT("'"&amp;$A66&amp;"'!$A$12:$Z$41"),MATCH("Points (Auto-generate)",INDIRECT("'"&amp;$A66&amp;"'!$A$12:$Z$12"),0),0)),"ER"))</f>
        <v>?</v>
      </c>
      <c r="N66" s="78" t="str">
        <f aca="true">IF($H66=0,"NA",IF($A66=INDIRECT("'"&amp;$A66&amp;"'!$B$1"),IF(VLOOKUP(N$1,INDIRECT("'"&amp;$A66&amp;"'!$A$12:$Z$41"),MATCH("Points (Auto-generate)",INDIRECT("'"&amp;$A66&amp;"'!$A$12:$Z$12"),0),0)="","?",VLOOKUP(N$1,INDIRECT("'"&amp;$A66&amp;"'!$A$12:$Z$41"),MATCH("Points (Auto-generate)",INDIRECT("'"&amp;$A66&amp;"'!$A$12:$Z$12"),0),0)),"ER"))</f>
        <v>?</v>
      </c>
      <c r="O66" s="78" t="str">
        <f aca="true">IF($H66=0,"NA",IF($A66=INDIRECT("'"&amp;$A66&amp;"'!$B$1"),IF(VLOOKUP(O$1,INDIRECT("'"&amp;$A66&amp;"'!$A$12:$Z$41"),MATCH("Points (Auto-generate)",INDIRECT("'"&amp;$A66&amp;"'!$A$12:$Z$12"),0),0)="","?",VLOOKUP(O$1,INDIRECT("'"&amp;$A66&amp;"'!$A$12:$Z$41"),MATCH("Points (Auto-generate)",INDIRECT("'"&amp;$A66&amp;"'!$A$12:$Z$12"),0),0)),"ER"))</f>
        <v>?</v>
      </c>
      <c r="P66" s="78" t="str">
        <f aca="true">IF($H66=0,"NA",IF($A66=INDIRECT("'"&amp;$A66&amp;"'!$B$1"),IF(VLOOKUP(P$1,INDIRECT("'"&amp;$A66&amp;"'!$A$12:$Z$41"),MATCH("Points (Auto-generate)",INDIRECT("'"&amp;$A66&amp;"'!$A$12:$Z$12"),0),0)="","?",VLOOKUP(P$1,INDIRECT("'"&amp;$A66&amp;"'!$A$12:$Z$41"),MATCH("Points (Auto-generate)",INDIRECT("'"&amp;$A66&amp;"'!$A$12:$Z$12"),0),0)),"ER"))</f>
        <v>?</v>
      </c>
      <c r="Q66" s="78" t="str">
        <f aca="true">IF($H66=0,"NA",IF($A66=INDIRECT("'"&amp;$A66&amp;"'!$B$1"),IF(VLOOKUP(Q$1,INDIRECT("'"&amp;$A66&amp;"'!$A$12:$Z$41"),MATCH("Points (Auto-generate)",INDIRECT("'"&amp;$A66&amp;"'!$A$12:$Z$12"),0),0)="","?",VLOOKUP(Q$1,INDIRECT("'"&amp;$A66&amp;"'!$A$12:$Z$41"),MATCH("Points (Auto-generate)",INDIRECT("'"&amp;$A66&amp;"'!$A$12:$Z$12"),0),0)),"ER"))</f>
        <v>?</v>
      </c>
      <c r="R66" s="78" t="str">
        <f aca="true">IF($H66=0,"NA",IF($A66=INDIRECT("'"&amp;$A66&amp;"'!$B$1"),IF(VLOOKUP(R$1,INDIRECT("'"&amp;$A66&amp;"'!$A$12:$Z$41"),MATCH("Points (Auto-generate)",INDIRECT("'"&amp;$A66&amp;"'!$A$12:$Z$12"),0),0)="","?",VLOOKUP(R$1,INDIRECT("'"&amp;$A66&amp;"'!$A$12:$Z$41"),MATCH("Points (Auto-generate)",INDIRECT("'"&amp;$A66&amp;"'!$A$12:$Z$12"),0),0)),"ER"))</f>
        <v>?</v>
      </c>
      <c r="S66" s="78" t="str">
        <f aca="true">IF($H66=0,"NA",IF($A66=INDIRECT("'"&amp;$A66&amp;"'!$B$1"),IF(VLOOKUP(S$1,INDIRECT("'"&amp;$A66&amp;"'!$A$12:$Z$41"),MATCH("Points (Auto-generate)",INDIRECT("'"&amp;$A66&amp;"'!$A$12:$Z$12"),0),0)="","?",VLOOKUP(S$1,INDIRECT("'"&amp;$A66&amp;"'!$A$12:$Z$41"),MATCH("Points (Auto-generate)",INDIRECT("'"&amp;$A66&amp;"'!$A$12:$Z$12"),0),0)),"ER"))</f>
        <v>?</v>
      </c>
      <c r="T66" s="78" t="str">
        <f aca="true">IF($H66=0,"NA",IF($A66=INDIRECT("'"&amp;$A66&amp;"'!$B$1"),IF(VLOOKUP(T$1,INDIRECT("'"&amp;$A66&amp;"'!$A$12:$Z$41"),MATCH("Points (Auto-generate)",INDIRECT("'"&amp;$A66&amp;"'!$A$12:$Z$12"),0),0)="","?",VLOOKUP(T$1,INDIRECT("'"&amp;$A66&amp;"'!$A$12:$Z$41"),MATCH("Points (Auto-generate)",INDIRECT("'"&amp;$A66&amp;"'!$A$12:$Z$12"),0),0)),"ER"))</f>
        <v>?</v>
      </c>
      <c r="U66" s="78" t="str">
        <f aca="true">IF($H66=0,"NA",IF($A66=INDIRECT("'"&amp;$A66&amp;"'!$B$1"),IF(VLOOKUP(U$1,INDIRECT("'"&amp;$A66&amp;"'!$A$12:$Z$41"),MATCH("Points (Auto-generate)",INDIRECT("'"&amp;$A66&amp;"'!$A$12:$Z$12"),0),0)="","?",VLOOKUP(U$1,INDIRECT("'"&amp;$A66&amp;"'!$A$12:$Z$41"),MATCH("Points (Auto-generate)",INDIRECT("'"&amp;$A66&amp;"'!$A$12:$Z$12"),0),0)),"ER"))</f>
        <v>?</v>
      </c>
      <c r="V66" s="78" t="str">
        <f aca="true">IF($H66=0,"NA",IF($A66=INDIRECT("'"&amp;$A66&amp;"'!$B$1"),IF(VLOOKUP(V$1,INDIRECT("'"&amp;$A66&amp;"'!$A$12:$Z$41"),MATCH("Points (Auto-generate)",INDIRECT("'"&amp;$A66&amp;"'!$A$12:$Z$12"),0),0)="","?",VLOOKUP(V$1,INDIRECT("'"&amp;$A66&amp;"'!$A$12:$Z$41"),MATCH("Points (Auto-generate)",INDIRECT("'"&amp;$A66&amp;"'!$A$12:$Z$12"),0),0)),"ER"))</f>
        <v>?</v>
      </c>
      <c r="W66" s="78" t="str">
        <f aca="true">IF($H66=0,"NA",IF($A66=INDIRECT("'"&amp;$A66&amp;"'!$B$1"),IF(VLOOKUP(W$1,INDIRECT("'"&amp;$A66&amp;"'!$A$12:$Z$41"),MATCH("Points (Auto-generate)",INDIRECT("'"&amp;$A66&amp;"'!$A$12:$Z$12"),0),0)="","?",VLOOKUP(W$1,INDIRECT("'"&amp;$A66&amp;"'!$A$12:$Z$41"),MATCH("Points (Auto-generate)",INDIRECT("'"&amp;$A66&amp;"'!$A$12:$Z$12"),0),0)),"ER"))</f>
        <v>?</v>
      </c>
      <c r="X66" s="78" t="str">
        <f aca="true">IF($H66=0,"NA",IF($A66=INDIRECT("'"&amp;$A66&amp;"'!$B$1"),IF(VLOOKUP(X$1,INDIRECT("'"&amp;$A66&amp;"'!$A$12:$Z$41"),MATCH("Points (Auto-generate)",INDIRECT("'"&amp;$A66&amp;"'!$A$12:$Z$12"),0),0)="","?",VLOOKUP(X$1,INDIRECT("'"&amp;$A66&amp;"'!$A$12:$Z$41"),MATCH("Points (Auto-generate)",INDIRECT("'"&amp;$A66&amp;"'!$A$12:$Z$12"),0),0)),"ER"))</f>
        <v>?</v>
      </c>
      <c r="Y66" s="78" t="str">
        <f aca="true">IF($H66=0,"NA",IF($A66=INDIRECT("'"&amp;$A66&amp;"'!$B$1"),IF(VLOOKUP(Y$1,INDIRECT("'"&amp;$A66&amp;"'!$A$12:$Z$41"),MATCH("Points (Auto-generate)",INDIRECT("'"&amp;$A66&amp;"'!$A$12:$Z$12"),0),0)="","?",VLOOKUP(Y$1,INDIRECT("'"&amp;$A66&amp;"'!$A$12:$Z$41"),MATCH("Points (Auto-generate)",INDIRECT("'"&amp;$A66&amp;"'!$A$12:$Z$12"),0),0)),"ER"))</f>
        <v>?</v>
      </c>
      <c r="Z66" s="78" t="str">
        <f aca="true">IF($H66=0,"NA",IF($A66=INDIRECT("'"&amp;$A66&amp;"'!$B$1"),IF(VLOOKUP(Z$1,INDIRECT("'"&amp;$A66&amp;"'!$A$12:$Z$41"),MATCH("Points (Auto-generate)",INDIRECT("'"&amp;$A66&amp;"'!$A$12:$Z$12"),0),0)="","?",VLOOKUP(Z$1,INDIRECT("'"&amp;$A66&amp;"'!$A$12:$Z$41"),MATCH("Points (Auto-generate)",INDIRECT("'"&amp;$A66&amp;"'!$A$12:$Z$12"),0),0)),"ER"))</f>
        <v>?</v>
      </c>
      <c r="AA66" s="78" t="str">
        <f aca="true">IF($H66=0,"NA",IF($A66=INDIRECT("'"&amp;$A66&amp;"'!$B$1"),IF(VLOOKUP(AA$1,INDIRECT("'"&amp;$A66&amp;"'!$A$12:$Z$41"),MATCH("Points (Auto-generate)",INDIRECT("'"&amp;$A66&amp;"'!$A$12:$Z$12"),0),0)="","?",VLOOKUP(AA$1,INDIRECT("'"&amp;$A66&amp;"'!$A$12:$Z$41"),MATCH("Points (Auto-generate)",INDIRECT("'"&amp;$A66&amp;"'!$A$12:$Z$12"),0),0)),"ER"))</f>
        <v>?</v>
      </c>
      <c r="AB66" s="78" t="str">
        <f aca="true">IF($H66=0,"NA",IF($A66=INDIRECT("'"&amp;$A66&amp;"'!$B$1"),IF(VLOOKUP(AB$1,INDIRECT("'"&amp;$A66&amp;"'!$A$12:$Z$41"),MATCH("Points (Auto-generate)",INDIRECT("'"&amp;$A66&amp;"'!$A$12:$Z$12"),0),0)="","?",VLOOKUP(AB$1,INDIRECT("'"&amp;$A66&amp;"'!$A$12:$Z$41"),MATCH("Points (Auto-generate)",INDIRECT("'"&amp;$A66&amp;"'!$A$12:$Z$12"),0),0)),"ER"))</f>
        <v>?</v>
      </c>
      <c r="AC66" s="78" t="str">
        <f aca="true">IF($H66=0,"NA",IF($A66=INDIRECT("'"&amp;$A66&amp;"'!$B$1"),IF(VLOOKUP(AC$1,INDIRECT("'"&amp;$A66&amp;"'!$A$12:$Z$41"),MATCH("Points (Auto-generate)",INDIRECT("'"&amp;$A66&amp;"'!$A$12:$Z$12"),0),0)="","?",VLOOKUP(AC$1,INDIRECT("'"&amp;$A66&amp;"'!$A$12:$Z$41"),MATCH("Points (Auto-generate)",INDIRECT("'"&amp;$A66&amp;"'!$A$12:$Z$12"),0),0)),"ER"))</f>
        <v>?</v>
      </c>
      <c r="AD66" s="78" t="str">
        <f aca="true">IF($H66=0,"NA",IF($A66=INDIRECT("'"&amp;$A66&amp;"'!$B$1"),IF(VLOOKUP(AD$1,INDIRECT("'"&amp;$A66&amp;"'!$A$12:$Z$41"),MATCH("Points (Auto-generate)",INDIRECT("'"&amp;$A66&amp;"'!$A$12:$Z$12"),0),0)="","?",VLOOKUP(AD$1,INDIRECT("'"&amp;$A66&amp;"'!$A$12:$Z$41"),MATCH("Points (Auto-generate)",INDIRECT("'"&amp;$A66&amp;"'!$A$12:$Z$12"),0),0)),"ER"))</f>
        <v>?</v>
      </c>
      <c r="AE66" s="78" t="str">
        <f aca="true">IF($H66=0,"NA",IF($A66=INDIRECT("'"&amp;$A66&amp;"'!$B$1"),IF(VLOOKUP(AE$1,INDIRECT("'"&amp;$A66&amp;"'!$A$12:$Z$41"),MATCH("Points (Auto-generate)",INDIRECT("'"&amp;$A66&amp;"'!$A$12:$Z$12"),0),0)="","?",VLOOKUP(AE$1,INDIRECT("'"&amp;$A66&amp;"'!$A$12:$Z$41"),MATCH("Points (Auto-generate)",INDIRECT("'"&amp;$A66&amp;"'!$A$12:$Z$12"),0),0)),"ER"))</f>
        <v>?</v>
      </c>
      <c r="AF66" s="78" t="str">
        <f aca="true">IF($H66=0,"NA",IF($A66=INDIRECT("'"&amp;$A66&amp;"'!$B$1"),IF(VLOOKUP(AF$1,INDIRECT("'"&amp;$A66&amp;"'!$A$12:$Z$41"),MATCH("Points (Auto-generate)",INDIRECT("'"&amp;$A66&amp;"'!$A$12:$Z$12"),0),0)="","?",VLOOKUP(AF$1,INDIRECT("'"&amp;$A66&amp;"'!$A$12:$Z$41"),MATCH("Points (Auto-generate)",INDIRECT("'"&amp;$A66&amp;"'!$A$12:$Z$12"),0),0)),"ER"))</f>
        <v>?</v>
      </c>
      <c r="AG66" s="78" t="str">
        <f aca="true">IF($H66=0,"NA",IF($A66=INDIRECT("'"&amp;$A66&amp;"'!$B$1"),IF(VLOOKUP(AG$1,INDIRECT("'"&amp;$A66&amp;"'!$A$12:$Z$41"),MATCH("Points (Auto-generate)",INDIRECT("'"&amp;$A66&amp;"'!$A$12:$Z$12"),0),0)="","?",VLOOKUP(AG$1,INDIRECT("'"&amp;$A66&amp;"'!$A$12:$Z$41"),MATCH("Points (Auto-generate)",INDIRECT("'"&amp;$A66&amp;"'!$A$12:$Z$12"),0),0)),"ER"))</f>
        <v>?</v>
      </c>
      <c r="AH66" s="78" t="str">
        <f aca="true">IF($H66=0,"NA",IF($A66=INDIRECT("'"&amp;$A66&amp;"'!$B$1"),IF(VLOOKUP(AH$1,INDIRECT("'"&amp;$A66&amp;"'!$A$12:$Z$41"),MATCH("Points (Auto-generate)",INDIRECT("'"&amp;$A66&amp;"'!$A$12:$Z$12"),0),0)="","?",VLOOKUP(AH$1,INDIRECT("'"&amp;$A66&amp;"'!$A$12:$Z$41"),MATCH("Points (Auto-generate)",INDIRECT("'"&amp;$A66&amp;"'!$A$12:$Z$12"),0),0)),"ER"))</f>
        <v>?</v>
      </c>
      <c r="AI66" s="78" t="str">
        <f aca="true">IF($H66=0,"NA",IF($A66=INDIRECT("'"&amp;$A66&amp;"'!$B$1"),IF(VLOOKUP(AI$1,INDIRECT("'"&amp;$A66&amp;"'!$A$12:$Z$41"),MATCH("Points (Auto-generate)",INDIRECT("'"&amp;$A66&amp;"'!$A$12:$Z$12"),0),0)="","?",VLOOKUP(AI$1,INDIRECT("'"&amp;$A66&amp;"'!$A$12:$Z$41"),MATCH("Points (Auto-generate)",INDIRECT("'"&amp;$A66&amp;"'!$A$12:$Z$12"),0),0)),"ER"))</f>
        <v>?</v>
      </c>
      <c r="AJ66" s="78" t="str">
        <f aca="true">IF($H66=0,"NA",IF($A66=INDIRECT("'"&amp;$A66&amp;"'!$B$1"),IF(VLOOKUP(AJ$1,INDIRECT("'"&amp;$A66&amp;"'!$A$12:$Z$41"),MATCH("Points (Auto-generate)",INDIRECT("'"&amp;$A66&amp;"'!$A$12:$Z$12"),0),0)="","?",VLOOKUP(AJ$1,INDIRECT("'"&amp;$A66&amp;"'!$A$12:$Z$41"),MATCH("Points (Auto-generate)",INDIRECT("'"&amp;$A66&amp;"'!$A$12:$Z$12"),0),0)),"ER"))</f>
        <v>?</v>
      </c>
      <c r="AK66" s="78" t="str">
        <f aca="true">IF($H66=0,"NA",IF($A66=INDIRECT("'"&amp;$A66&amp;"'!$B$1"),IF(VLOOKUP(AK$1,INDIRECT("'"&amp;$A66&amp;"'!$A$12:$Z$41"),MATCH("Points (Auto-generate)",INDIRECT("'"&amp;$A66&amp;"'!$A$12:$Z$12"),0),0)="","?",VLOOKUP(AK$1,INDIRECT("'"&amp;$A66&amp;"'!$A$12:$Z$41"),MATCH("Points (Auto-generate)",INDIRECT("'"&amp;$A66&amp;"'!$A$12:$Z$12"),0),0)),"ER"))</f>
        <v>?</v>
      </c>
    </row>
    <row r="67" customFormat="false" ht="14.25" hidden="false" customHeight="true" outlineLevel="0" collapsed="false">
      <c r="A67" s="74" t="s">
        <v>308</v>
      </c>
      <c r="B67" s="75" t="str">
        <f aca="false">IF(ISBLANK($A67),"NO_CODE",VLOOKUP($A67,'UPD Questions_290926 '!$E$1:$N$300,MATCH(B$1,'UPD Questions_290926 '!$E$1:$N$1,0),0)&amp;"")</f>
        <v>Implementation</v>
      </c>
      <c r="C67" s="75" t="str">
        <f aca="false">IF(ISBLANK($A67),"NO_CODE",VLOOKUP($A67,'UPD Questions_290926 '!$E$1:$N$300,MATCH(C$1,'UPD Questions_290926 '!$E$1:$N$1,0),0)&amp;"")</f>
        <v>Sectoral planning</v>
      </c>
      <c r="D67" s="75" t="str">
        <f aca="false">IF(ISBLANK($A67),"NO_CODE",VLOOKUP($A67,'UPD Questions_290926 '!$E$1:$N$300,MATCH(D$1,'UPD Questions_290926 '!$E$1:$N$1,0),0)&amp;"")</f>
        <v>Sustainability, resilience and climate action</v>
      </c>
      <c r="E67" s="75" t="str">
        <f aca="false">IF(ISBLANK($A67),"NO_CODE",VLOOKUP($A67,'UPD Questions_290926 '!$E$1:$N$300,MATCH(E$1,'UPD Questions_290926 '!$E$1:$N$1,0),0)&amp;"")</f>
        <v>SQ</v>
      </c>
      <c r="F67" s="75" t="str">
        <f aca="false">IF(ISBLANK($A67),"NO_CODE",VLOOKUP($A67,'UPD Questions_290926 '!$E$1:$N$300,MATCH(F$1,'UPD Questions_290926 '!$E$1:$N$1,0),0)&amp;"")</f>
        <v>Does the plan clearly articulate the role of the ULG?</v>
      </c>
      <c r="G67" s="75" t="str">
        <f aca="false">IF(ISBLANK($A67),"NO_CODE",VLOOKUP($A67,'UPD Questions_290926 '!$E$1:$N$300,MATCH(G$1,'UPD Questions_290926 '!$E$1:$N$1,0),0)&amp;"")</f>
        <v>Implementation</v>
      </c>
      <c r="H67" s="77" t="n">
        <f aca="false">IF(ISBLANK($A67),"NO_CODE",VLOOKUP($A67,'UPD Questions_290926 '!$E$1:$N$300,MATCH(H$1,'UPD Questions_290926 '!$E$1:$N$1,0),0))</f>
        <v>3.33</v>
      </c>
      <c r="I67" s="78" t="str">
        <f aca="true">IF($H67=0,"NA",IF($A67=INDIRECT("'"&amp;$A67&amp;"'!$B$1"),IF(VLOOKUP(I$1,INDIRECT("'"&amp;$A67&amp;"'!$A$12:$Z$41"),MATCH("Points (Auto-generate)",INDIRECT("'"&amp;$A67&amp;"'!$A$12:$Z$12"),0),0)="","?",VLOOKUP(I$1,INDIRECT("'"&amp;$A67&amp;"'!$A$12:$Z$41"),MATCH("Points (Auto-generate)",INDIRECT("'"&amp;$A67&amp;"'!$A$12:$Z$12"),0),0)),"ER"))</f>
        <v>?</v>
      </c>
      <c r="J67" s="78" t="n">
        <f aca="true">IF($H67=0,"NA",IF($A67=INDIRECT("'"&amp;$A67&amp;"'!$B$1"),IF(VLOOKUP(J$1,INDIRECT("'"&amp;$A67&amp;"'!$A$12:$Z$41"),MATCH("Points (Auto-generate)",INDIRECT("'"&amp;$A67&amp;"'!$A$12:$Z$12"),0),0)="","?",VLOOKUP(J$1,INDIRECT("'"&amp;$A67&amp;"'!$A$12:$Z$41"),MATCH("Points (Auto-generate)",INDIRECT("'"&amp;$A67&amp;"'!$A$12:$Z$12"),0),0)),"ER"))</f>
        <v>3.33</v>
      </c>
      <c r="K67" s="78" t="str">
        <f aca="true">IF($H67=0,"NA",IF($A67=INDIRECT("'"&amp;$A67&amp;"'!$B$1"),IF(VLOOKUP(K$1,INDIRECT("'"&amp;$A67&amp;"'!$A$12:$Z$41"),MATCH("Points (Auto-generate)",INDIRECT("'"&amp;$A67&amp;"'!$A$12:$Z$12"),0),0)="","?",VLOOKUP(K$1,INDIRECT("'"&amp;$A67&amp;"'!$A$12:$Z$41"),MATCH("Points (Auto-generate)",INDIRECT("'"&amp;$A67&amp;"'!$A$12:$Z$12"),0),0)),"ER"))</f>
        <v>?</v>
      </c>
      <c r="L67" s="78" t="str">
        <f aca="true">IF($H67=0,"NA",IF($A67=INDIRECT("'"&amp;$A67&amp;"'!$B$1"),IF(VLOOKUP(L$1,INDIRECT("'"&amp;$A67&amp;"'!$A$12:$Z$41"),MATCH("Points (Auto-generate)",INDIRECT("'"&amp;$A67&amp;"'!$A$12:$Z$12"),0),0)="","?",VLOOKUP(L$1,INDIRECT("'"&amp;$A67&amp;"'!$A$12:$Z$41"),MATCH("Points (Auto-generate)",INDIRECT("'"&amp;$A67&amp;"'!$A$12:$Z$12"),0),0)),"ER"))</f>
        <v>?</v>
      </c>
      <c r="M67" s="78" t="str">
        <f aca="true">IF($H67=0,"NA",IF($A67=INDIRECT("'"&amp;$A67&amp;"'!$B$1"),IF(VLOOKUP(M$1,INDIRECT("'"&amp;$A67&amp;"'!$A$12:$Z$41"),MATCH("Points (Auto-generate)",INDIRECT("'"&amp;$A67&amp;"'!$A$12:$Z$12"),0),0)="","?",VLOOKUP(M$1,INDIRECT("'"&amp;$A67&amp;"'!$A$12:$Z$41"),MATCH("Points (Auto-generate)",INDIRECT("'"&amp;$A67&amp;"'!$A$12:$Z$12"),0),0)),"ER"))</f>
        <v>?</v>
      </c>
      <c r="N67" s="78" t="str">
        <f aca="true">IF($H67=0,"NA",IF($A67=INDIRECT("'"&amp;$A67&amp;"'!$B$1"),IF(VLOOKUP(N$1,INDIRECT("'"&amp;$A67&amp;"'!$A$12:$Z$41"),MATCH("Points (Auto-generate)",INDIRECT("'"&amp;$A67&amp;"'!$A$12:$Z$12"),0),0)="","?",VLOOKUP(N$1,INDIRECT("'"&amp;$A67&amp;"'!$A$12:$Z$41"),MATCH("Points (Auto-generate)",INDIRECT("'"&amp;$A67&amp;"'!$A$12:$Z$12"),0),0)),"ER"))</f>
        <v>?</v>
      </c>
      <c r="O67" s="78" t="str">
        <f aca="true">IF($H67=0,"NA",IF($A67=INDIRECT("'"&amp;$A67&amp;"'!$B$1"),IF(VLOOKUP(O$1,INDIRECT("'"&amp;$A67&amp;"'!$A$12:$Z$41"),MATCH("Points (Auto-generate)",INDIRECT("'"&amp;$A67&amp;"'!$A$12:$Z$12"),0),0)="","?",VLOOKUP(O$1,INDIRECT("'"&amp;$A67&amp;"'!$A$12:$Z$41"),MATCH("Points (Auto-generate)",INDIRECT("'"&amp;$A67&amp;"'!$A$12:$Z$12"),0),0)),"ER"))</f>
        <v>?</v>
      </c>
      <c r="P67" s="78" t="str">
        <f aca="true">IF($H67=0,"NA",IF($A67=INDIRECT("'"&amp;$A67&amp;"'!$B$1"),IF(VLOOKUP(P$1,INDIRECT("'"&amp;$A67&amp;"'!$A$12:$Z$41"),MATCH("Points (Auto-generate)",INDIRECT("'"&amp;$A67&amp;"'!$A$12:$Z$12"),0),0)="","?",VLOOKUP(P$1,INDIRECT("'"&amp;$A67&amp;"'!$A$12:$Z$41"),MATCH("Points (Auto-generate)",INDIRECT("'"&amp;$A67&amp;"'!$A$12:$Z$12"),0),0)),"ER"))</f>
        <v>?</v>
      </c>
      <c r="Q67" s="78" t="str">
        <f aca="true">IF($H67=0,"NA",IF($A67=INDIRECT("'"&amp;$A67&amp;"'!$B$1"),IF(VLOOKUP(Q$1,INDIRECT("'"&amp;$A67&amp;"'!$A$12:$Z$41"),MATCH("Points (Auto-generate)",INDIRECT("'"&amp;$A67&amp;"'!$A$12:$Z$12"),0),0)="","?",VLOOKUP(Q$1,INDIRECT("'"&amp;$A67&amp;"'!$A$12:$Z$41"),MATCH("Points (Auto-generate)",INDIRECT("'"&amp;$A67&amp;"'!$A$12:$Z$12"),0),0)),"ER"))</f>
        <v>?</v>
      </c>
      <c r="R67" s="78" t="str">
        <f aca="true">IF($H67=0,"NA",IF($A67=INDIRECT("'"&amp;$A67&amp;"'!$B$1"),IF(VLOOKUP(R$1,INDIRECT("'"&amp;$A67&amp;"'!$A$12:$Z$41"),MATCH("Points (Auto-generate)",INDIRECT("'"&amp;$A67&amp;"'!$A$12:$Z$12"),0),0)="","?",VLOOKUP(R$1,INDIRECT("'"&amp;$A67&amp;"'!$A$12:$Z$41"),MATCH("Points (Auto-generate)",INDIRECT("'"&amp;$A67&amp;"'!$A$12:$Z$12"),0),0)),"ER"))</f>
        <v>?</v>
      </c>
      <c r="S67" s="78" t="str">
        <f aca="true">IF($H67=0,"NA",IF($A67=INDIRECT("'"&amp;$A67&amp;"'!$B$1"),IF(VLOOKUP(S$1,INDIRECT("'"&amp;$A67&amp;"'!$A$12:$Z$41"),MATCH("Points (Auto-generate)",INDIRECT("'"&amp;$A67&amp;"'!$A$12:$Z$12"),0),0)="","?",VLOOKUP(S$1,INDIRECT("'"&amp;$A67&amp;"'!$A$12:$Z$41"),MATCH("Points (Auto-generate)",INDIRECT("'"&amp;$A67&amp;"'!$A$12:$Z$12"),0),0)),"ER"))</f>
        <v>?</v>
      </c>
      <c r="T67" s="78" t="str">
        <f aca="true">IF($H67=0,"NA",IF($A67=INDIRECT("'"&amp;$A67&amp;"'!$B$1"),IF(VLOOKUP(T$1,INDIRECT("'"&amp;$A67&amp;"'!$A$12:$Z$41"),MATCH("Points (Auto-generate)",INDIRECT("'"&amp;$A67&amp;"'!$A$12:$Z$12"),0),0)="","?",VLOOKUP(T$1,INDIRECT("'"&amp;$A67&amp;"'!$A$12:$Z$41"),MATCH("Points (Auto-generate)",INDIRECT("'"&amp;$A67&amp;"'!$A$12:$Z$12"),0),0)),"ER"))</f>
        <v>?</v>
      </c>
      <c r="U67" s="78" t="str">
        <f aca="true">IF($H67=0,"NA",IF($A67=INDIRECT("'"&amp;$A67&amp;"'!$B$1"),IF(VLOOKUP(U$1,INDIRECT("'"&amp;$A67&amp;"'!$A$12:$Z$41"),MATCH("Points (Auto-generate)",INDIRECT("'"&amp;$A67&amp;"'!$A$12:$Z$12"),0),0)="","?",VLOOKUP(U$1,INDIRECT("'"&amp;$A67&amp;"'!$A$12:$Z$41"),MATCH("Points (Auto-generate)",INDIRECT("'"&amp;$A67&amp;"'!$A$12:$Z$12"),0),0)),"ER"))</f>
        <v>?</v>
      </c>
      <c r="V67" s="78" t="str">
        <f aca="true">IF($H67=0,"NA",IF($A67=INDIRECT("'"&amp;$A67&amp;"'!$B$1"),IF(VLOOKUP(V$1,INDIRECT("'"&amp;$A67&amp;"'!$A$12:$Z$41"),MATCH("Points (Auto-generate)",INDIRECT("'"&amp;$A67&amp;"'!$A$12:$Z$12"),0),0)="","?",VLOOKUP(V$1,INDIRECT("'"&amp;$A67&amp;"'!$A$12:$Z$41"),MATCH("Points (Auto-generate)",INDIRECT("'"&amp;$A67&amp;"'!$A$12:$Z$12"),0),0)),"ER"))</f>
        <v>?</v>
      </c>
      <c r="W67" s="78" t="str">
        <f aca="true">IF($H67=0,"NA",IF($A67=INDIRECT("'"&amp;$A67&amp;"'!$B$1"),IF(VLOOKUP(W$1,INDIRECT("'"&amp;$A67&amp;"'!$A$12:$Z$41"),MATCH("Points (Auto-generate)",INDIRECT("'"&amp;$A67&amp;"'!$A$12:$Z$12"),0),0)="","?",VLOOKUP(W$1,INDIRECT("'"&amp;$A67&amp;"'!$A$12:$Z$41"),MATCH("Points (Auto-generate)",INDIRECT("'"&amp;$A67&amp;"'!$A$12:$Z$12"),0),0)),"ER"))</f>
        <v>?</v>
      </c>
      <c r="X67" s="78" t="str">
        <f aca="true">IF($H67=0,"NA",IF($A67=INDIRECT("'"&amp;$A67&amp;"'!$B$1"),IF(VLOOKUP(X$1,INDIRECT("'"&amp;$A67&amp;"'!$A$12:$Z$41"),MATCH("Points (Auto-generate)",INDIRECT("'"&amp;$A67&amp;"'!$A$12:$Z$12"),0),0)="","?",VLOOKUP(X$1,INDIRECT("'"&amp;$A67&amp;"'!$A$12:$Z$41"),MATCH("Points (Auto-generate)",INDIRECT("'"&amp;$A67&amp;"'!$A$12:$Z$12"),0),0)),"ER"))</f>
        <v>?</v>
      </c>
      <c r="Y67" s="78" t="str">
        <f aca="true">IF($H67=0,"NA",IF($A67=INDIRECT("'"&amp;$A67&amp;"'!$B$1"),IF(VLOOKUP(Y$1,INDIRECT("'"&amp;$A67&amp;"'!$A$12:$Z$41"),MATCH("Points (Auto-generate)",INDIRECT("'"&amp;$A67&amp;"'!$A$12:$Z$12"),0),0)="","?",VLOOKUP(Y$1,INDIRECT("'"&amp;$A67&amp;"'!$A$12:$Z$41"),MATCH("Points (Auto-generate)",INDIRECT("'"&amp;$A67&amp;"'!$A$12:$Z$12"),0),0)),"ER"))</f>
        <v>?</v>
      </c>
      <c r="Z67" s="78" t="str">
        <f aca="true">IF($H67=0,"NA",IF($A67=INDIRECT("'"&amp;$A67&amp;"'!$B$1"),IF(VLOOKUP(Z$1,INDIRECT("'"&amp;$A67&amp;"'!$A$12:$Z$41"),MATCH("Points (Auto-generate)",INDIRECT("'"&amp;$A67&amp;"'!$A$12:$Z$12"),0),0)="","?",VLOOKUP(Z$1,INDIRECT("'"&amp;$A67&amp;"'!$A$12:$Z$41"),MATCH("Points (Auto-generate)",INDIRECT("'"&amp;$A67&amp;"'!$A$12:$Z$12"),0),0)),"ER"))</f>
        <v>?</v>
      </c>
      <c r="AA67" s="78" t="str">
        <f aca="true">IF($H67=0,"NA",IF($A67=INDIRECT("'"&amp;$A67&amp;"'!$B$1"),IF(VLOOKUP(AA$1,INDIRECT("'"&amp;$A67&amp;"'!$A$12:$Z$41"),MATCH("Points (Auto-generate)",INDIRECT("'"&amp;$A67&amp;"'!$A$12:$Z$12"),0),0)="","?",VLOOKUP(AA$1,INDIRECT("'"&amp;$A67&amp;"'!$A$12:$Z$41"),MATCH("Points (Auto-generate)",INDIRECT("'"&amp;$A67&amp;"'!$A$12:$Z$12"),0),0)),"ER"))</f>
        <v>?</v>
      </c>
      <c r="AB67" s="78" t="str">
        <f aca="true">IF($H67=0,"NA",IF($A67=INDIRECT("'"&amp;$A67&amp;"'!$B$1"),IF(VLOOKUP(AB$1,INDIRECT("'"&amp;$A67&amp;"'!$A$12:$Z$41"),MATCH("Points (Auto-generate)",INDIRECT("'"&amp;$A67&amp;"'!$A$12:$Z$12"),0),0)="","?",VLOOKUP(AB$1,INDIRECT("'"&amp;$A67&amp;"'!$A$12:$Z$41"),MATCH("Points (Auto-generate)",INDIRECT("'"&amp;$A67&amp;"'!$A$12:$Z$12"),0),0)),"ER"))</f>
        <v>?</v>
      </c>
      <c r="AC67" s="78" t="str">
        <f aca="true">IF($H67=0,"NA",IF($A67=INDIRECT("'"&amp;$A67&amp;"'!$B$1"),IF(VLOOKUP(AC$1,INDIRECT("'"&amp;$A67&amp;"'!$A$12:$Z$41"),MATCH("Points (Auto-generate)",INDIRECT("'"&amp;$A67&amp;"'!$A$12:$Z$12"),0),0)="","?",VLOOKUP(AC$1,INDIRECT("'"&amp;$A67&amp;"'!$A$12:$Z$41"),MATCH("Points (Auto-generate)",INDIRECT("'"&amp;$A67&amp;"'!$A$12:$Z$12"),0),0)),"ER"))</f>
        <v>?</v>
      </c>
      <c r="AD67" s="78" t="str">
        <f aca="true">IF($H67=0,"NA",IF($A67=INDIRECT("'"&amp;$A67&amp;"'!$B$1"),IF(VLOOKUP(AD$1,INDIRECT("'"&amp;$A67&amp;"'!$A$12:$Z$41"),MATCH("Points (Auto-generate)",INDIRECT("'"&amp;$A67&amp;"'!$A$12:$Z$12"),0),0)="","?",VLOOKUP(AD$1,INDIRECT("'"&amp;$A67&amp;"'!$A$12:$Z$41"),MATCH("Points (Auto-generate)",INDIRECT("'"&amp;$A67&amp;"'!$A$12:$Z$12"),0),0)),"ER"))</f>
        <v>?</v>
      </c>
      <c r="AE67" s="78" t="str">
        <f aca="true">IF($H67=0,"NA",IF($A67=INDIRECT("'"&amp;$A67&amp;"'!$B$1"),IF(VLOOKUP(AE$1,INDIRECT("'"&amp;$A67&amp;"'!$A$12:$Z$41"),MATCH("Points (Auto-generate)",INDIRECT("'"&amp;$A67&amp;"'!$A$12:$Z$12"),0),0)="","?",VLOOKUP(AE$1,INDIRECT("'"&amp;$A67&amp;"'!$A$12:$Z$41"),MATCH("Points (Auto-generate)",INDIRECT("'"&amp;$A67&amp;"'!$A$12:$Z$12"),0),0)),"ER"))</f>
        <v>?</v>
      </c>
      <c r="AF67" s="78" t="str">
        <f aca="true">IF($H67=0,"NA",IF($A67=INDIRECT("'"&amp;$A67&amp;"'!$B$1"),IF(VLOOKUP(AF$1,INDIRECT("'"&amp;$A67&amp;"'!$A$12:$Z$41"),MATCH("Points (Auto-generate)",INDIRECT("'"&amp;$A67&amp;"'!$A$12:$Z$12"),0),0)="","?",VLOOKUP(AF$1,INDIRECT("'"&amp;$A67&amp;"'!$A$12:$Z$41"),MATCH("Points (Auto-generate)",INDIRECT("'"&amp;$A67&amp;"'!$A$12:$Z$12"),0),0)),"ER"))</f>
        <v>?</v>
      </c>
      <c r="AG67" s="78" t="str">
        <f aca="true">IF($H67=0,"NA",IF($A67=INDIRECT("'"&amp;$A67&amp;"'!$B$1"),IF(VLOOKUP(AG$1,INDIRECT("'"&amp;$A67&amp;"'!$A$12:$Z$41"),MATCH("Points (Auto-generate)",INDIRECT("'"&amp;$A67&amp;"'!$A$12:$Z$12"),0),0)="","?",VLOOKUP(AG$1,INDIRECT("'"&amp;$A67&amp;"'!$A$12:$Z$41"),MATCH("Points (Auto-generate)",INDIRECT("'"&amp;$A67&amp;"'!$A$12:$Z$12"),0),0)),"ER"))</f>
        <v>?</v>
      </c>
      <c r="AH67" s="78" t="str">
        <f aca="true">IF($H67=0,"NA",IF($A67=INDIRECT("'"&amp;$A67&amp;"'!$B$1"),IF(VLOOKUP(AH$1,INDIRECT("'"&amp;$A67&amp;"'!$A$12:$Z$41"),MATCH("Points (Auto-generate)",INDIRECT("'"&amp;$A67&amp;"'!$A$12:$Z$12"),0),0)="","?",VLOOKUP(AH$1,INDIRECT("'"&amp;$A67&amp;"'!$A$12:$Z$41"),MATCH("Points (Auto-generate)",INDIRECT("'"&amp;$A67&amp;"'!$A$12:$Z$12"),0),0)),"ER"))</f>
        <v>?</v>
      </c>
      <c r="AI67" s="78" t="str">
        <f aca="true">IF($H67=0,"NA",IF($A67=INDIRECT("'"&amp;$A67&amp;"'!$B$1"),IF(VLOOKUP(AI$1,INDIRECT("'"&amp;$A67&amp;"'!$A$12:$Z$41"),MATCH("Points (Auto-generate)",INDIRECT("'"&amp;$A67&amp;"'!$A$12:$Z$12"),0),0)="","?",VLOOKUP(AI$1,INDIRECT("'"&amp;$A67&amp;"'!$A$12:$Z$41"),MATCH("Points (Auto-generate)",INDIRECT("'"&amp;$A67&amp;"'!$A$12:$Z$12"),0),0)),"ER"))</f>
        <v>?</v>
      </c>
      <c r="AJ67" s="78" t="str">
        <f aca="true">IF($H67=0,"NA",IF($A67=INDIRECT("'"&amp;$A67&amp;"'!$B$1"),IF(VLOOKUP(AJ$1,INDIRECT("'"&amp;$A67&amp;"'!$A$12:$Z$41"),MATCH("Points (Auto-generate)",INDIRECT("'"&amp;$A67&amp;"'!$A$12:$Z$12"),0),0)="","?",VLOOKUP(AJ$1,INDIRECT("'"&amp;$A67&amp;"'!$A$12:$Z$41"),MATCH("Points (Auto-generate)",INDIRECT("'"&amp;$A67&amp;"'!$A$12:$Z$12"),0),0)),"ER"))</f>
        <v>?</v>
      </c>
      <c r="AK67" s="78" t="str">
        <f aca="true">IF($H67=0,"NA",IF($A67=INDIRECT("'"&amp;$A67&amp;"'!$B$1"),IF(VLOOKUP(AK$1,INDIRECT("'"&amp;$A67&amp;"'!$A$12:$Z$41"),MATCH("Points (Auto-generate)",INDIRECT("'"&amp;$A67&amp;"'!$A$12:$Z$12"),0),0)="","?",VLOOKUP(AK$1,INDIRECT("'"&amp;$A67&amp;"'!$A$12:$Z$41"),MATCH("Points (Auto-generate)",INDIRECT("'"&amp;$A67&amp;"'!$A$12:$Z$12"),0),0)),"ER"))</f>
        <v>?</v>
      </c>
    </row>
    <row r="68" customFormat="false" ht="14.25" hidden="false" customHeight="true" outlineLevel="0" collapsed="false">
      <c r="A68" s="74" t="s">
        <v>311</v>
      </c>
      <c r="B68" s="75" t="str">
        <f aca="false">IF(ISBLANK($A68),"NO_CODE",VLOOKUP($A68,'UPD Questions_290926 '!$E$1:$N$300,MATCH(B$1,'UPD Questions_290926 '!$E$1:$N$1,0),0)&amp;"")</f>
        <v>Implementation</v>
      </c>
      <c r="C68" s="75" t="str">
        <f aca="false">IF(ISBLANK($A68),"NO_CODE",VLOOKUP($A68,'UPD Questions_290926 '!$E$1:$N$300,MATCH(C$1,'UPD Questions_290926 '!$E$1:$N$1,0),0)&amp;"")</f>
        <v>Sectoral planning</v>
      </c>
      <c r="D68" s="75" t="str">
        <f aca="false">IF(ISBLANK($A68),"NO_CODE",VLOOKUP($A68,'UPD Questions_290926 '!$E$1:$N$300,MATCH(D$1,'UPD Questions_290926 '!$E$1:$N$1,0),0)&amp;"")</f>
        <v>Comprehensive mobility planning</v>
      </c>
      <c r="E68" s="75" t="str">
        <f aca="false">IF(ISBLANK($A68),"NO_CODE",VLOOKUP($A68,'UPD Questions_290926 '!$E$1:$N$300,MATCH(E$1,'UPD Questions_290926 '!$E$1:$N$1,0),0)&amp;"")</f>
        <v>MQ</v>
      </c>
      <c r="F68" s="75" t="str">
        <f aca="false">IF(ISBLANK($A68),"NO_CODE",VLOOKUP($A68,'UPD Questions_290926 '!$E$1:$N$300,MATCH(F$1,'UPD Questions_290926 '!$E$1:$N$1,0),0)&amp;"")</f>
        <v>Does your city have a Comprehensive Mobility Plan that clearly articulates development priorities, measurable objectives, and the roles and responsibilities of the ULG?</v>
      </c>
      <c r="G68" s="75" t="str">
        <f aca="false">IF(ISBLANK($A68),"NO_CODE",VLOOKUP($A68,'UPD Questions_290926 '!$E$1:$N$300,MATCH(G$1,'UPD Questions_290926 '!$E$1:$N$1,0),0)&amp;"")</f>
        <v>Implementation</v>
      </c>
      <c r="H68" s="77" t="n">
        <f aca="false">IF(ISBLANK($A68),"NO_CODE",VLOOKUP($A68,'UPD Questions_290926 '!$E$1:$N$300,MATCH(H$1,'UPD Questions_290926 '!$E$1:$N$1,0),0))</f>
        <v>10</v>
      </c>
      <c r="I68" s="78" t="str">
        <f aca="false">IF(OR(I69="ER",I70="ER",I71="ER"),"ER",IF(OR(I69="?",I70="?",I71="?"),"?",IF(AND(I69="NA",I70="NA",I71="NA"),"NA",SUM(I69,I70,I71)/((I69&lt;&gt;"NA")*$H$69+(I70&lt;&gt;"NA")*$H$70+(I71&lt;&gt;"NA")*$H$71)*$H68)))</f>
        <v>?</v>
      </c>
      <c r="J68" s="78" t="n">
        <f aca="false">IF(OR(J69="ER",J70="ER",J71="ER"),"ER",IF(OR(J69="?",J70="?",J71="?"),"?",IF(AND(J69="NA",J70="NA",J71="NA"),"NA",SUM(J69,J70,J71)/((J69&lt;&gt;"NA")*$H$69+(J70&lt;&gt;"NA")*$H$70+(J71&lt;&gt;"NA")*$H$71)*$H68)))</f>
        <v>10</v>
      </c>
      <c r="K68" s="78" t="str">
        <f aca="false">IF(OR(K69="ER",K70="ER",K71="ER"),"ER",IF(OR(K69="?",K70="?",K71="?"),"?",IF(AND(K69="NA",K70="NA",K71="NA"),"NA",SUM(K69,K70,K71)/((K69&lt;&gt;"NA")*$H$69+(K70&lt;&gt;"NA")*$H$70+(K71&lt;&gt;"NA")*$H$71)*$H68)))</f>
        <v>?</v>
      </c>
      <c r="L68" s="78" t="str">
        <f aca="false">IF(OR(L69="ER",L70="ER",L71="ER"),"ER",IF(OR(L69="?",L70="?",L71="?"),"?",IF(AND(L69="NA",L70="NA",L71="NA"),"NA",SUM(L69,L70,L71)/((L69&lt;&gt;"NA")*$H$69+(L70&lt;&gt;"NA")*$H$70+(L71&lt;&gt;"NA")*$H$71)*$H68)))</f>
        <v>?</v>
      </c>
      <c r="M68" s="78" t="str">
        <f aca="false">IF(OR(M69="ER",M70="ER",M71="ER"),"ER",IF(OR(M69="?",M70="?",M71="?"),"?",IF(AND(M69="NA",M70="NA",M71="NA"),"NA",SUM(M69,M70,M71)/((M69&lt;&gt;"NA")*$H$69+(M70&lt;&gt;"NA")*$H$70+(M71&lt;&gt;"NA")*$H$71)*$H68)))</f>
        <v>?</v>
      </c>
      <c r="N68" s="78" t="str">
        <f aca="false">IF(OR(N69="ER",N70="ER",N71="ER"),"ER",IF(OR(N69="?",N70="?",N71="?"),"?",IF(AND(N69="NA",N70="NA",N71="NA"),"NA",SUM(N69,N70,N71)/((N69&lt;&gt;"NA")*$H$69+(N70&lt;&gt;"NA")*$H$70+(N71&lt;&gt;"NA")*$H$71)*$H68)))</f>
        <v>?</v>
      </c>
      <c r="O68" s="78" t="str">
        <f aca="false">IF(OR(O69="ER",O70="ER",O71="ER"),"ER",IF(OR(O69="?",O70="?",O71="?"),"?",IF(AND(O69="NA",O70="NA",O71="NA"),"NA",SUM(O69,O70,O71)/((O69&lt;&gt;"NA")*$H$69+(O70&lt;&gt;"NA")*$H$70+(O71&lt;&gt;"NA")*$H$71)*$H68)))</f>
        <v>?</v>
      </c>
      <c r="P68" s="78" t="str">
        <f aca="false">IF(OR(P69="ER",P70="ER",P71="ER"),"ER",IF(OR(P69="?",P70="?",P71="?"),"?",IF(AND(P69="NA",P70="NA",P71="NA"),"NA",SUM(P69,P70,P71)/((P69&lt;&gt;"NA")*$H$69+(P70&lt;&gt;"NA")*$H$70+(P71&lt;&gt;"NA")*$H$71)*$H68)))</f>
        <v>?</v>
      </c>
      <c r="Q68" s="78" t="str">
        <f aca="false">IF(OR(Q69="ER",Q70="ER",Q71="ER"),"ER",IF(OR(Q69="?",Q70="?",Q71="?"),"?",IF(AND(Q69="NA",Q70="NA",Q71="NA"),"NA",SUM(Q69,Q70,Q71)/((Q69&lt;&gt;"NA")*$H$69+(Q70&lt;&gt;"NA")*$H$70+(Q71&lt;&gt;"NA")*$H$71)*$H68)))</f>
        <v>?</v>
      </c>
      <c r="R68" s="78" t="str">
        <f aca="false">IF(OR(R69="ER",R70="ER",R71="ER"),"ER",IF(OR(R69="?",R70="?",R71="?"),"?",IF(AND(R69="NA",R70="NA",R71="NA"),"NA",SUM(R69,R70,R71)/((R69&lt;&gt;"NA")*$H$69+(R70&lt;&gt;"NA")*$H$70+(R71&lt;&gt;"NA")*$H$71)*$H68)))</f>
        <v>?</v>
      </c>
      <c r="S68" s="78" t="str">
        <f aca="false">IF(OR(S69="ER",S70="ER",S71="ER"),"ER",IF(OR(S69="?",S70="?",S71="?"),"?",IF(AND(S69="NA",S70="NA",S71="NA"),"NA",SUM(S69,S70,S71)/((S69&lt;&gt;"NA")*$H$69+(S70&lt;&gt;"NA")*$H$70+(S71&lt;&gt;"NA")*$H$71)*$H68)))</f>
        <v>?</v>
      </c>
      <c r="T68" s="78" t="str">
        <f aca="false">IF(OR(T69="ER",T70="ER",T71="ER"),"ER",IF(OR(T69="?",T70="?",T71="?"),"?",IF(AND(T69="NA",T70="NA",T71="NA"),"NA",SUM(T69,T70,T71)/((T69&lt;&gt;"NA")*$H$69+(T70&lt;&gt;"NA")*$H$70+(T71&lt;&gt;"NA")*$H$71)*$H68)))</f>
        <v>?</v>
      </c>
      <c r="U68" s="78" t="str">
        <f aca="false">IF(OR(U69="ER",U70="ER",U71="ER"),"ER",IF(OR(U69="?",U70="?",U71="?"),"?",IF(AND(U69="NA",U70="NA",U71="NA"),"NA",SUM(U69,U70,U71)/((U69&lt;&gt;"NA")*$H$69+(U70&lt;&gt;"NA")*$H$70+(U71&lt;&gt;"NA")*$H$71)*$H68)))</f>
        <v>?</v>
      </c>
      <c r="V68" s="78" t="str">
        <f aca="false">IF(OR(V69="ER",V70="ER",V71="ER"),"ER",IF(OR(V69="?",V70="?",V71="?"),"?",IF(AND(V69="NA",V70="NA",V71="NA"),"NA",SUM(V69,V70,V71)/((V69&lt;&gt;"NA")*$H$69+(V70&lt;&gt;"NA")*$H$70+(V71&lt;&gt;"NA")*$H$71)*$H68)))</f>
        <v>?</v>
      </c>
      <c r="W68" s="78" t="str">
        <f aca="false">IF(OR(W69="ER",W70="ER",W71="ER"),"ER",IF(OR(W69="?",W70="?",W71="?"),"?",IF(AND(W69="NA",W70="NA",W71="NA"),"NA",SUM(W69,W70,W71)/((W69&lt;&gt;"NA")*$H$69+(W70&lt;&gt;"NA")*$H$70+(W71&lt;&gt;"NA")*$H$71)*$H68)))</f>
        <v>?</v>
      </c>
      <c r="X68" s="78" t="str">
        <f aca="false">IF(OR(X69="ER",X70="ER",X71="ER"),"ER",IF(OR(X69="?",X70="?",X71="?"),"?",IF(AND(X69="NA",X70="NA",X71="NA"),"NA",SUM(X69,X70,X71)/((X69&lt;&gt;"NA")*$H$69+(X70&lt;&gt;"NA")*$H$70+(X71&lt;&gt;"NA")*$H$71)*$H68)))</f>
        <v>?</v>
      </c>
      <c r="Y68" s="78" t="str">
        <f aca="false">IF(OR(Y69="ER",Y70="ER",Y71="ER"),"ER",IF(OR(Y69="?",Y70="?",Y71="?"),"?",IF(AND(Y69="NA",Y70="NA",Y71="NA"),"NA",SUM(Y69,Y70,Y71)/((Y69&lt;&gt;"NA")*$H$69+(Y70&lt;&gt;"NA")*$H$70+(Y71&lt;&gt;"NA")*$H$71)*$H68)))</f>
        <v>?</v>
      </c>
      <c r="Z68" s="78" t="str">
        <f aca="false">IF(OR(Z69="ER",Z70="ER",Z71="ER"),"ER",IF(OR(Z69="?",Z70="?",Z71="?"),"?",IF(AND(Z69="NA",Z70="NA",Z71="NA"),"NA",SUM(Z69,Z70,Z71)/((Z69&lt;&gt;"NA")*$H$69+(Z70&lt;&gt;"NA")*$H$70+(Z71&lt;&gt;"NA")*$H$71)*$H68)))</f>
        <v>?</v>
      </c>
      <c r="AA68" s="78" t="str">
        <f aca="false">IF(OR(AA69="ER",AA70="ER",AA71="ER"),"ER",IF(OR(AA69="?",AA70="?",AA71="?"),"?",IF(AND(AA69="NA",AA70="NA",AA71="NA"),"NA",SUM(AA69,AA70,AA71)/((AA69&lt;&gt;"NA")*$H$69+(AA70&lt;&gt;"NA")*$H$70+(AA71&lt;&gt;"NA")*$H$71)*$H68)))</f>
        <v>?</v>
      </c>
      <c r="AB68" s="78" t="str">
        <f aca="false">IF(OR(AB69="ER",AB70="ER",AB71="ER"),"ER",IF(OR(AB69="?",AB70="?",AB71="?"),"?",IF(AND(AB69="NA",AB70="NA",AB71="NA"),"NA",SUM(AB69,AB70,AB71)/((AB69&lt;&gt;"NA")*$H$69+(AB70&lt;&gt;"NA")*$H$70+(AB71&lt;&gt;"NA")*$H$71)*$H68)))</f>
        <v>?</v>
      </c>
      <c r="AC68" s="78" t="str">
        <f aca="false">IF(OR(AC69="ER",AC70="ER",AC71="ER"),"ER",IF(OR(AC69="?",AC70="?",AC71="?"),"?",IF(AND(AC69="NA",AC70="NA",AC71="NA"),"NA",SUM(AC69,AC70,AC71)/((AC69&lt;&gt;"NA")*$H$69+(AC70&lt;&gt;"NA")*$H$70+(AC71&lt;&gt;"NA")*$H$71)*$H68)))</f>
        <v>?</v>
      </c>
      <c r="AD68" s="78" t="str">
        <f aca="false">IF(OR(AD69="ER",AD70="ER",AD71="ER"),"ER",IF(OR(AD69="?",AD70="?",AD71="?"),"?",IF(AND(AD69="NA",AD70="NA",AD71="NA"),"NA",SUM(AD69,AD70,AD71)/((AD69&lt;&gt;"NA")*$H$69+(AD70&lt;&gt;"NA")*$H$70+(AD71&lt;&gt;"NA")*$H$71)*$H68)))</f>
        <v>?</v>
      </c>
      <c r="AE68" s="78" t="str">
        <f aca="false">IF(OR(AE69="ER",AE70="ER",AE71="ER"),"ER",IF(OR(AE69="?",AE70="?",AE71="?"),"?",IF(AND(AE69="NA",AE70="NA",AE71="NA"),"NA",SUM(AE69,AE70,AE71)/((AE69&lt;&gt;"NA")*$H$69+(AE70&lt;&gt;"NA")*$H$70+(AE71&lt;&gt;"NA")*$H$71)*$H68)))</f>
        <v>?</v>
      </c>
      <c r="AF68" s="78" t="str">
        <f aca="false">IF(OR(AF69="ER",AF70="ER",AF71="ER"),"ER",IF(OR(AF69="?",AF70="?",AF71="?"),"?",IF(AND(AF69="NA",AF70="NA",AF71="NA"),"NA",SUM(AF69,AF70,AF71)/((AF69&lt;&gt;"NA")*$H$69+(AF70&lt;&gt;"NA")*$H$70+(AF71&lt;&gt;"NA")*$H$71)*$H68)))</f>
        <v>?</v>
      </c>
      <c r="AG68" s="78" t="str">
        <f aca="false">IF(OR(AG69="ER",AG70="ER",AG71="ER"),"ER",IF(OR(AG69="?",AG70="?",AG71="?"),"?",IF(AND(AG69="NA",AG70="NA",AG71="NA"),"NA",SUM(AG69,AG70,AG71)/((AG69&lt;&gt;"NA")*$H$69+(AG70&lt;&gt;"NA")*$H$70+(AG71&lt;&gt;"NA")*$H$71)*$H68)))</f>
        <v>?</v>
      </c>
      <c r="AH68" s="78" t="str">
        <f aca="false">IF(OR(AH69="ER",AH70="ER",AH71="ER"),"ER",IF(OR(AH69="?",AH70="?",AH71="?"),"?",IF(AND(AH69="NA",AH70="NA",AH71="NA"),"NA",SUM(AH69,AH70,AH71)/((AH69&lt;&gt;"NA")*$H$69+(AH70&lt;&gt;"NA")*$H$70+(AH71&lt;&gt;"NA")*$H$71)*$H68)))</f>
        <v>?</v>
      </c>
      <c r="AI68" s="78" t="str">
        <f aca="false">IF(OR(AI69="ER",AI70="ER",AI71="ER"),"ER",IF(OR(AI69="?",AI70="?",AI71="?"),"?",IF(AND(AI69="NA",AI70="NA",AI71="NA"),"NA",SUM(AI69,AI70,AI71)/((AI69&lt;&gt;"NA")*$H$69+(AI70&lt;&gt;"NA")*$H$70+(AI71&lt;&gt;"NA")*$H$71)*$H68)))</f>
        <v>?</v>
      </c>
      <c r="AJ68" s="78" t="str">
        <f aca="false">IF(OR(AJ69="ER",AJ70="ER",AJ71="ER"),"ER",IF(OR(AJ69="?",AJ70="?",AJ71="?"),"?",IF(AND(AJ69="NA",AJ70="NA",AJ71="NA"),"NA",SUM(AJ69,AJ70,AJ71)/((AJ69&lt;&gt;"NA")*$H$69+(AJ70&lt;&gt;"NA")*$H$70+(AJ71&lt;&gt;"NA")*$H$71)*$H68)))</f>
        <v>?</v>
      </c>
      <c r="AK68" s="78" t="str">
        <f aca="false">IF(OR(AK69="ER",AK70="ER",AK71="ER"),"ER",IF(OR(AK69="?",AK70="?",AK71="?"),"?",IF(AND(AK69="NA",AK70="NA",AK71="NA"),"NA",SUM(AK69,AK70,AK71)/((AK69&lt;&gt;"NA")*$H$69+(AK70&lt;&gt;"NA")*$H$70+(AK71&lt;&gt;"NA")*$H$71)*$H68)))</f>
        <v>?</v>
      </c>
    </row>
    <row r="69" customFormat="false" ht="14.25" hidden="false" customHeight="true" outlineLevel="0" collapsed="false">
      <c r="A69" s="74" t="s">
        <v>315</v>
      </c>
      <c r="B69" s="75" t="str">
        <f aca="false">IF(ISBLANK($A69),"NO_CODE",VLOOKUP($A69,'UPD Questions_290926 '!$E$1:$N$300,MATCH(B$1,'UPD Questions_290926 '!$E$1:$N$1,0),0)&amp;"")</f>
        <v>Implementation</v>
      </c>
      <c r="C69" s="75" t="str">
        <f aca="false">IF(ISBLANK($A69),"NO_CODE",VLOOKUP($A69,'UPD Questions_290926 '!$E$1:$N$300,MATCH(C$1,'UPD Questions_290926 '!$E$1:$N$1,0),0)&amp;"")</f>
        <v>Sectoral planning</v>
      </c>
      <c r="D69" s="75" t="str">
        <f aca="false">IF(ISBLANK($A69),"NO_CODE",VLOOKUP($A69,'UPD Questions_290926 '!$E$1:$N$300,MATCH(D$1,'UPD Questions_290926 '!$E$1:$N$1,0),0)&amp;"")</f>
        <v>Comprehensive mobility planning</v>
      </c>
      <c r="E69" s="75" t="str">
        <f aca="false">IF(ISBLANK($A69),"NO_CODE",VLOOKUP($A69,'UPD Questions_290926 '!$E$1:$N$300,MATCH(E$1,'UPD Questions_290926 '!$E$1:$N$1,0),0)&amp;"")</f>
        <v>SQ</v>
      </c>
      <c r="F69" s="75" t="str">
        <f aca="false">IF(ISBLANK($A69),"NO_CODE",VLOOKUP($A69,'UPD Questions_290926 '!$E$1:$N$300,MATCH(F$1,'UPD Questions_290926 '!$E$1:$N$1,0),0)&amp;"")</f>
        <v>Does the city have a notified and active Comprehensive Mobility Plan?</v>
      </c>
      <c r="G69" s="75" t="str">
        <f aca="false">IF(ISBLANK($A69),"NO_CODE",VLOOKUP($A69,'UPD Questions_290926 '!$E$1:$N$300,MATCH(G$1,'UPD Questions_290926 '!$E$1:$N$1,0),0)&amp;"")</f>
        <v>Implementation</v>
      </c>
      <c r="H69" s="77" t="n">
        <f aca="false">IF(ISBLANK($A69),"NO_CODE",VLOOKUP($A69,'UPD Questions_290926 '!$E$1:$N$300,MATCH(H$1,'UPD Questions_290926 '!$E$1:$N$1,0),0))</f>
        <v>3.33</v>
      </c>
      <c r="I69" s="78" t="str">
        <f aca="true">IF($H69=0,"NA",IF($A69=INDIRECT("'"&amp;$A69&amp;"'!$B$1"),IF(VLOOKUP(I$1,INDIRECT("'"&amp;$A69&amp;"'!$A$12:$Z$41"),MATCH("Points (Auto-generate)",INDIRECT("'"&amp;$A69&amp;"'!$A$12:$Z$12"),0),0)="","?",VLOOKUP(I$1,INDIRECT("'"&amp;$A69&amp;"'!$A$12:$Z$41"),MATCH("Points (Auto-generate)",INDIRECT("'"&amp;$A69&amp;"'!$A$12:$Z$12"),0),0)),"ER"))</f>
        <v>?</v>
      </c>
      <c r="J69" s="78" t="n">
        <f aca="true">IF($H69=0,"NA",IF($A69=INDIRECT("'"&amp;$A69&amp;"'!$B$1"),IF(VLOOKUP(J$1,INDIRECT("'"&amp;$A69&amp;"'!$A$12:$Z$41"),MATCH("Points (Auto-generate)",INDIRECT("'"&amp;$A69&amp;"'!$A$12:$Z$12"),0),0)="","?",VLOOKUP(J$1,INDIRECT("'"&amp;$A69&amp;"'!$A$12:$Z$41"),MATCH("Points (Auto-generate)",INDIRECT("'"&amp;$A69&amp;"'!$A$12:$Z$12"),0),0)),"ER"))</f>
        <v>3.33</v>
      </c>
      <c r="K69" s="78" t="str">
        <f aca="true">IF($H69=0,"NA",IF($A69=INDIRECT("'"&amp;$A69&amp;"'!$B$1"),IF(VLOOKUP(K$1,INDIRECT("'"&amp;$A69&amp;"'!$A$12:$Z$41"),MATCH("Points (Auto-generate)",INDIRECT("'"&amp;$A69&amp;"'!$A$12:$Z$12"),0),0)="","?",VLOOKUP(K$1,INDIRECT("'"&amp;$A69&amp;"'!$A$12:$Z$41"),MATCH("Points (Auto-generate)",INDIRECT("'"&amp;$A69&amp;"'!$A$12:$Z$12"),0),0)),"ER"))</f>
        <v>?</v>
      </c>
      <c r="L69" s="78" t="str">
        <f aca="true">IF($H69=0,"NA",IF($A69=INDIRECT("'"&amp;$A69&amp;"'!$B$1"),IF(VLOOKUP(L$1,INDIRECT("'"&amp;$A69&amp;"'!$A$12:$Z$41"),MATCH("Points (Auto-generate)",INDIRECT("'"&amp;$A69&amp;"'!$A$12:$Z$12"),0),0)="","?",VLOOKUP(L$1,INDIRECT("'"&amp;$A69&amp;"'!$A$12:$Z$41"),MATCH("Points (Auto-generate)",INDIRECT("'"&amp;$A69&amp;"'!$A$12:$Z$12"),0),0)),"ER"))</f>
        <v>?</v>
      </c>
      <c r="M69" s="78" t="str">
        <f aca="true">IF($H69=0,"NA",IF($A69=INDIRECT("'"&amp;$A69&amp;"'!$B$1"),IF(VLOOKUP(M$1,INDIRECT("'"&amp;$A69&amp;"'!$A$12:$Z$41"),MATCH("Points (Auto-generate)",INDIRECT("'"&amp;$A69&amp;"'!$A$12:$Z$12"),0),0)="","?",VLOOKUP(M$1,INDIRECT("'"&amp;$A69&amp;"'!$A$12:$Z$41"),MATCH("Points (Auto-generate)",INDIRECT("'"&amp;$A69&amp;"'!$A$12:$Z$12"),0),0)),"ER"))</f>
        <v>?</v>
      </c>
      <c r="N69" s="78" t="str">
        <f aca="true">IF($H69=0,"NA",IF($A69=INDIRECT("'"&amp;$A69&amp;"'!$B$1"),IF(VLOOKUP(N$1,INDIRECT("'"&amp;$A69&amp;"'!$A$12:$Z$41"),MATCH("Points (Auto-generate)",INDIRECT("'"&amp;$A69&amp;"'!$A$12:$Z$12"),0),0)="","?",VLOOKUP(N$1,INDIRECT("'"&amp;$A69&amp;"'!$A$12:$Z$41"),MATCH("Points (Auto-generate)",INDIRECT("'"&amp;$A69&amp;"'!$A$12:$Z$12"),0),0)),"ER"))</f>
        <v>?</v>
      </c>
      <c r="O69" s="78" t="str">
        <f aca="true">IF($H69=0,"NA",IF($A69=INDIRECT("'"&amp;$A69&amp;"'!$B$1"),IF(VLOOKUP(O$1,INDIRECT("'"&amp;$A69&amp;"'!$A$12:$Z$41"),MATCH("Points (Auto-generate)",INDIRECT("'"&amp;$A69&amp;"'!$A$12:$Z$12"),0),0)="","?",VLOOKUP(O$1,INDIRECT("'"&amp;$A69&amp;"'!$A$12:$Z$41"),MATCH("Points (Auto-generate)",INDIRECT("'"&amp;$A69&amp;"'!$A$12:$Z$12"),0),0)),"ER"))</f>
        <v>?</v>
      </c>
      <c r="P69" s="78" t="str">
        <f aca="true">IF($H69=0,"NA",IF($A69=INDIRECT("'"&amp;$A69&amp;"'!$B$1"),IF(VLOOKUP(P$1,INDIRECT("'"&amp;$A69&amp;"'!$A$12:$Z$41"),MATCH("Points (Auto-generate)",INDIRECT("'"&amp;$A69&amp;"'!$A$12:$Z$12"),0),0)="","?",VLOOKUP(P$1,INDIRECT("'"&amp;$A69&amp;"'!$A$12:$Z$41"),MATCH("Points (Auto-generate)",INDIRECT("'"&amp;$A69&amp;"'!$A$12:$Z$12"),0),0)),"ER"))</f>
        <v>?</v>
      </c>
      <c r="Q69" s="78" t="str">
        <f aca="true">IF($H69=0,"NA",IF($A69=INDIRECT("'"&amp;$A69&amp;"'!$B$1"),IF(VLOOKUP(Q$1,INDIRECT("'"&amp;$A69&amp;"'!$A$12:$Z$41"),MATCH("Points (Auto-generate)",INDIRECT("'"&amp;$A69&amp;"'!$A$12:$Z$12"),0),0)="","?",VLOOKUP(Q$1,INDIRECT("'"&amp;$A69&amp;"'!$A$12:$Z$41"),MATCH("Points (Auto-generate)",INDIRECT("'"&amp;$A69&amp;"'!$A$12:$Z$12"),0),0)),"ER"))</f>
        <v>?</v>
      </c>
      <c r="R69" s="78" t="str">
        <f aca="true">IF($H69=0,"NA",IF($A69=INDIRECT("'"&amp;$A69&amp;"'!$B$1"),IF(VLOOKUP(R$1,INDIRECT("'"&amp;$A69&amp;"'!$A$12:$Z$41"),MATCH("Points (Auto-generate)",INDIRECT("'"&amp;$A69&amp;"'!$A$12:$Z$12"),0),0)="","?",VLOOKUP(R$1,INDIRECT("'"&amp;$A69&amp;"'!$A$12:$Z$41"),MATCH("Points (Auto-generate)",INDIRECT("'"&amp;$A69&amp;"'!$A$12:$Z$12"),0),0)),"ER"))</f>
        <v>?</v>
      </c>
      <c r="S69" s="78" t="str">
        <f aca="true">IF($H69=0,"NA",IF($A69=INDIRECT("'"&amp;$A69&amp;"'!$B$1"),IF(VLOOKUP(S$1,INDIRECT("'"&amp;$A69&amp;"'!$A$12:$Z$41"),MATCH("Points (Auto-generate)",INDIRECT("'"&amp;$A69&amp;"'!$A$12:$Z$12"),0),0)="","?",VLOOKUP(S$1,INDIRECT("'"&amp;$A69&amp;"'!$A$12:$Z$41"),MATCH("Points (Auto-generate)",INDIRECT("'"&amp;$A69&amp;"'!$A$12:$Z$12"),0),0)),"ER"))</f>
        <v>?</v>
      </c>
      <c r="T69" s="78" t="str">
        <f aca="true">IF($H69=0,"NA",IF($A69=INDIRECT("'"&amp;$A69&amp;"'!$B$1"),IF(VLOOKUP(T$1,INDIRECT("'"&amp;$A69&amp;"'!$A$12:$Z$41"),MATCH("Points (Auto-generate)",INDIRECT("'"&amp;$A69&amp;"'!$A$12:$Z$12"),0),0)="","?",VLOOKUP(T$1,INDIRECT("'"&amp;$A69&amp;"'!$A$12:$Z$41"),MATCH("Points (Auto-generate)",INDIRECT("'"&amp;$A69&amp;"'!$A$12:$Z$12"),0),0)),"ER"))</f>
        <v>?</v>
      </c>
      <c r="U69" s="78" t="str">
        <f aca="true">IF($H69=0,"NA",IF($A69=INDIRECT("'"&amp;$A69&amp;"'!$B$1"),IF(VLOOKUP(U$1,INDIRECT("'"&amp;$A69&amp;"'!$A$12:$Z$41"),MATCH("Points (Auto-generate)",INDIRECT("'"&amp;$A69&amp;"'!$A$12:$Z$12"),0),0)="","?",VLOOKUP(U$1,INDIRECT("'"&amp;$A69&amp;"'!$A$12:$Z$41"),MATCH("Points (Auto-generate)",INDIRECT("'"&amp;$A69&amp;"'!$A$12:$Z$12"),0),0)),"ER"))</f>
        <v>?</v>
      </c>
      <c r="V69" s="78" t="str">
        <f aca="true">IF($H69=0,"NA",IF($A69=INDIRECT("'"&amp;$A69&amp;"'!$B$1"),IF(VLOOKUP(V$1,INDIRECT("'"&amp;$A69&amp;"'!$A$12:$Z$41"),MATCH("Points (Auto-generate)",INDIRECT("'"&amp;$A69&amp;"'!$A$12:$Z$12"),0),0)="","?",VLOOKUP(V$1,INDIRECT("'"&amp;$A69&amp;"'!$A$12:$Z$41"),MATCH("Points (Auto-generate)",INDIRECT("'"&amp;$A69&amp;"'!$A$12:$Z$12"),0),0)),"ER"))</f>
        <v>?</v>
      </c>
      <c r="W69" s="78" t="str">
        <f aca="true">IF($H69=0,"NA",IF($A69=INDIRECT("'"&amp;$A69&amp;"'!$B$1"),IF(VLOOKUP(W$1,INDIRECT("'"&amp;$A69&amp;"'!$A$12:$Z$41"),MATCH("Points (Auto-generate)",INDIRECT("'"&amp;$A69&amp;"'!$A$12:$Z$12"),0),0)="","?",VLOOKUP(W$1,INDIRECT("'"&amp;$A69&amp;"'!$A$12:$Z$41"),MATCH("Points (Auto-generate)",INDIRECT("'"&amp;$A69&amp;"'!$A$12:$Z$12"),0),0)),"ER"))</f>
        <v>?</v>
      </c>
      <c r="X69" s="78" t="str">
        <f aca="true">IF($H69=0,"NA",IF($A69=INDIRECT("'"&amp;$A69&amp;"'!$B$1"),IF(VLOOKUP(X$1,INDIRECT("'"&amp;$A69&amp;"'!$A$12:$Z$41"),MATCH("Points (Auto-generate)",INDIRECT("'"&amp;$A69&amp;"'!$A$12:$Z$12"),0),0)="","?",VLOOKUP(X$1,INDIRECT("'"&amp;$A69&amp;"'!$A$12:$Z$41"),MATCH("Points (Auto-generate)",INDIRECT("'"&amp;$A69&amp;"'!$A$12:$Z$12"),0),0)),"ER"))</f>
        <v>?</v>
      </c>
      <c r="Y69" s="78" t="str">
        <f aca="true">IF($H69=0,"NA",IF($A69=INDIRECT("'"&amp;$A69&amp;"'!$B$1"),IF(VLOOKUP(Y$1,INDIRECT("'"&amp;$A69&amp;"'!$A$12:$Z$41"),MATCH("Points (Auto-generate)",INDIRECT("'"&amp;$A69&amp;"'!$A$12:$Z$12"),0),0)="","?",VLOOKUP(Y$1,INDIRECT("'"&amp;$A69&amp;"'!$A$12:$Z$41"),MATCH("Points (Auto-generate)",INDIRECT("'"&amp;$A69&amp;"'!$A$12:$Z$12"),0),0)),"ER"))</f>
        <v>?</v>
      </c>
      <c r="Z69" s="78" t="str">
        <f aca="true">IF($H69=0,"NA",IF($A69=INDIRECT("'"&amp;$A69&amp;"'!$B$1"),IF(VLOOKUP(Z$1,INDIRECT("'"&amp;$A69&amp;"'!$A$12:$Z$41"),MATCH("Points (Auto-generate)",INDIRECT("'"&amp;$A69&amp;"'!$A$12:$Z$12"),0),0)="","?",VLOOKUP(Z$1,INDIRECT("'"&amp;$A69&amp;"'!$A$12:$Z$41"),MATCH("Points (Auto-generate)",INDIRECT("'"&amp;$A69&amp;"'!$A$12:$Z$12"),0),0)),"ER"))</f>
        <v>?</v>
      </c>
      <c r="AA69" s="78" t="str">
        <f aca="true">IF($H69=0,"NA",IF($A69=INDIRECT("'"&amp;$A69&amp;"'!$B$1"),IF(VLOOKUP(AA$1,INDIRECT("'"&amp;$A69&amp;"'!$A$12:$Z$41"),MATCH("Points (Auto-generate)",INDIRECT("'"&amp;$A69&amp;"'!$A$12:$Z$12"),0),0)="","?",VLOOKUP(AA$1,INDIRECT("'"&amp;$A69&amp;"'!$A$12:$Z$41"),MATCH("Points (Auto-generate)",INDIRECT("'"&amp;$A69&amp;"'!$A$12:$Z$12"),0),0)),"ER"))</f>
        <v>?</v>
      </c>
      <c r="AB69" s="78" t="str">
        <f aca="true">IF($H69=0,"NA",IF($A69=INDIRECT("'"&amp;$A69&amp;"'!$B$1"),IF(VLOOKUP(AB$1,INDIRECT("'"&amp;$A69&amp;"'!$A$12:$Z$41"),MATCH("Points (Auto-generate)",INDIRECT("'"&amp;$A69&amp;"'!$A$12:$Z$12"),0),0)="","?",VLOOKUP(AB$1,INDIRECT("'"&amp;$A69&amp;"'!$A$12:$Z$41"),MATCH("Points (Auto-generate)",INDIRECT("'"&amp;$A69&amp;"'!$A$12:$Z$12"),0),0)),"ER"))</f>
        <v>?</v>
      </c>
      <c r="AC69" s="78" t="str">
        <f aca="true">IF($H69=0,"NA",IF($A69=INDIRECT("'"&amp;$A69&amp;"'!$B$1"),IF(VLOOKUP(AC$1,INDIRECT("'"&amp;$A69&amp;"'!$A$12:$Z$41"),MATCH("Points (Auto-generate)",INDIRECT("'"&amp;$A69&amp;"'!$A$12:$Z$12"),0),0)="","?",VLOOKUP(AC$1,INDIRECT("'"&amp;$A69&amp;"'!$A$12:$Z$41"),MATCH("Points (Auto-generate)",INDIRECT("'"&amp;$A69&amp;"'!$A$12:$Z$12"),0),0)),"ER"))</f>
        <v>?</v>
      </c>
      <c r="AD69" s="78" t="str">
        <f aca="true">IF($H69=0,"NA",IF($A69=INDIRECT("'"&amp;$A69&amp;"'!$B$1"),IF(VLOOKUP(AD$1,INDIRECT("'"&amp;$A69&amp;"'!$A$12:$Z$41"),MATCH("Points (Auto-generate)",INDIRECT("'"&amp;$A69&amp;"'!$A$12:$Z$12"),0),0)="","?",VLOOKUP(AD$1,INDIRECT("'"&amp;$A69&amp;"'!$A$12:$Z$41"),MATCH("Points (Auto-generate)",INDIRECT("'"&amp;$A69&amp;"'!$A$12:$Z$12"),0),0)),"ER"))</f>
        <v>?</v>
      </c>
      <c r="AE69" s="78" t="str">
        <f aca="true">IF($H69=0,"NA",IF($A69=INDIRECT("'"&amp;$A69&amp;"'!$B$1"),IF(VLOOKUP(AE$1,INDIRECT("'"&amp;$A69&amp;"'!$A$12:$Z$41"),MATCH("Points (Auto-generate)",INDIRECT("'"&amp;$A69&amp;"'!$A$12:$Z$12"),0),0)="","?",VLOOKUP(AE$1,INDIRECT("'"&amp;$A69&amp;"'!$A$12:$Z$41"),MATCH("Points (Auto-generate)",INDIRECT("'"&amp;$A69&amp;"'!$A$12:$Z$12"),0),0)),"ER"))</f>
        <v>?</v>
      </c>
      <c r="AF69" s="78" t="str">
        <f aca="true">IF($H69=0,"NA",IF($A69=INDIRECT("'"&amp;$A69&amp;"'!$B$1"),IF(VLOOKUP(AF$1,INDIRECT("'"&amp;$A69&amp;"'!$A$12:$Z$41"),MATCH("Points (Auto-generate)",INDIRECT("'"&amp;$A69&amp;"'!$A$12:$Z$12"),0),0)="","?",VLOOKUP(AF$1,INDIRECT("'"&amp;$A69&amp;"'!$A$12:$Z$41"),MATCH("Points (Auto-generate)",INDIRECT("'"&amp;$A69&amp;"'!$A$12:$Z$12"),0),0)),"ER"))</f>
        <v>?</v>
      </c>
      <c r="AG69" s="78" t="str">
        <f aca="true">IF($H69=0,"NA",IF($A69=INDIRECT("'"&amp;$A69&amp;"'!$B$1"),IF(VLOOKUP(AG$1,INDIRECT("'"&amp;$A69&amp;"'!$A$12:$Z$41"),MATCH("Points (Auto-generate)",INDIRECT("'"&amp;$A69&amp;"'!$A$12:$Z$12"),0),0)="","?",VLOOKUP(AG$1,INDIRECT("'"&amp;$A69&amp;"'!$A$12:$Z$41"),MATCH("Points (Auto-generate)",INDIRECT("'"&amp;$A69&amp;"'!$A$12:$Z$12"),0),0)),"ER"))</f>
        <v>?</v>
      </c>
      <c r="AH69" s="78" t="str">
        <f aca="true">IF($H69=0,"NA",IF($A69=INDIRECT("'"&amp;$A69&amp;"'!$B$1"),IF(VLOOKUP(AH$1,INDIRECT("'"&amp;$A69&amp;"'!$A$12:$Z$41"),MATCH("Points (Auto-generate)",INDIRECT("'"&amp;$A69&amp;"'!$A$12:$Z$12"),0),0)="","?",VLOOKUP(AH$1,INDIRECT("'"&amp;$A69&amp;"'!$A$12:$Z$41"),MATCH("Points (Auto-generate)",INDIRECT("'"&amp;$A69&amp;"'!$A$12:$Z$12"),0),0)),"ER"))</f>
        <v>?</v>
      </c>
      <c r="AI69" s="78" t="str">
        <f aca="true">IF($H69=0,"NA",IF($A69=INDIRECT("'"&amp;$A69&amp;"'!$B$1"),IF(VLOOKUP(AI$1,INDIRECT("'"&amp;$A69&amp;"'!$A$12:$Z$41"),MATCH("Points (Auto-generate)",INDIRECT("'"&amp;$A69&amp;"'!$A$12:$Z$12"),0),0)="","?",VLOOKUP(AI$1,INDIRECT("'"&amp;$A69&amp;"'!$A$12:$Z$41"),MATCH("Points (Auto-generate)",INDIRECT("'"&amp;$A69&amp;"'!$A$12:$Z$12"),0),0)),"ER"))</f>
        <v>?</v>
      </c>
      <c r="AJ69" s="78" t="str">
        <f aca="true">IF($H69=0,"NA",IF($A69=INDIRECT("'"&amp;$A69&amp;"'!$B$1"),IF(VLOOKUP(AJ$1,INDIRECT("'"&amp;$A69&amp;"'!$A$12:$Z$41"),MATCH("Points (Auto-generate)",INDIRECT("'"&amp;$A69&amp;"'!$A$12:$Z$12"),0),0)="","?",VLOOKUP(AJ$1,INDIRECT("'"&amp;$A69&amp;"'!$A$12:$Z$41"),MATCH("Points (Auto-generate)",INDIRECT("'"&amp;$A69&amp;"'!$A$12:$Z$12"),0),0)),"ER"))</f>
        <v>?</v>
      </c>
      <c r="AK69" s="78" t="str">
        <f aca="true">IF($H69=0,"NA",IF($A69=INDIRECT("'"&amp;$A69&amp;"'!$B$1"),IF(VLOOKUP(AK$1,INDIRECT("'"&amp;$A69&amp;"'!$A$12:$Z$41"),MATCH("Points (Auto-generate)",INDIRECT("'"&amp;$A69&amp;"'!$A$12:$Z$12"),0),0)="","?",VLOOKUP(AK$1,INDIRECT("'"&amp;$A69&amp;"'!$A$12:$Z$41"),MATCH("Points (Auto-generate)",INDIRECT("'"&amp;$A69&amp;"'!$A$12:$Z$12"),0),0)),"ER"))</f>
        <v>?</v>
      </c>
    </row>
    <row r="70" customFormat="false" ht="14.25" hidden="false" customHeight="true" outlineLevel="0" collapsed="false">
      <c r="A70" s="74" t="s">
        <v>319</v>
      </c>
      <c r="B70" s="75" t="str">
        <f aca="false">IF(ISBLANK($A70),"NO_CODE",VLOOKUP($A70,'UPD Questions_290926 '!$E$1:$N$300,MATCH(B$1,'UPD Questions_290926 '!$E$1:$N$1,0),0)&amp;"")</f>
        <v>Implementation</v>
      </c>
      <c r="C70" s="75" t="str">
        <f aca="false">IF(ISBLANK($A70),"NO_CODE",VLOOKUP($A70,'UPD Questions_290926 '!$E$1:$N$300,MATCH(C$1,'UPD Questions_290926 '!$E$1:$N$1,0),0)&amp;"")</f>
        <v>Sectoral planning</v>
      </c>
      <c r="D70" s="75" t="str">
        <f aca="false">IF(ISBLANK($A70),"NO_CODE",VLOOKUP($A70,'UPD Questions_290926 '!$E$1:$N$300,MATCH(D$1,'UPD Questions_290926 '!$E$1:$N$1,0),0)&amp;"")</f>
        <v>Comprehensive mobility planning</v>
      </c>
      <c r="E70" s="75" t="str">
        <f aca="false">IF(ISBLANK($A70),"NO_CODE",VLOOKUP($A70,'UPD Questions_290926 '!$E$1:$N$300,MATCH(E$1,'UPD Questions_290926 '!$E$1:$N$1,0),0)&amp;"")</f>
        <v>SQ</v>
      </c>
      <c r="F70" s="75" t="str">
        <f aca="false">IF(ISBLANK($A70),"NO_CODE",VLOOKUP($A70,'UPD Questions_290926 '!$E$1:$N$300,MATCH(F$1,'UPD Questions_290926 '!$E$1:$N$1,0),0)&amp;"")</f>
        <v>Does the plan have development priorities and measurable objectives?</v>
      </c>
      <c r="G70" s="75" t="str">
        <f aca="false">IF(ISBLANK($A70),"NO_CODE",VLOOKUP($A70,'UPD Questions_290926 '!$E$1:$N$300,MATCH(G$1,'UPD Questions_290926 '!$E$1:$N$1,0),0)&amp;"")</f>
        <v>Implementation</v>
      </c>
      <c r="H70" s="77" t="n">
        <f aca="false">IF(ISBLANK($A70),"NO_CODE",VLOOKUP($A70,'UPD Questions_290926 '!$E$1:$N$300,MATCH(H$1,'UPD Questions_290926 '!$E$1:$N$1,0),0))</f>
        <v>3.33</v>
      </c>
      <c r="I70" s="78" t="str">
        <f aca="true">IF($H70=0,"NA",IF($A70=INDIRECT("'"&amp;$A70&amp;"'!$B$1"),IF(VLOOKUP(I$1,INDIRECT("'"&amp;$A70&amp;"'!$A$12:$Z$41"),MATCH("Points (Auto-generate)",INDIRECT("'"&amp;$A70&amp;"'!$A$12:$Z$12"),0),0)="","?",VLOOKUP(I$1,INDIRECT("'"&amp;$A70&amp;"'!$A$12:$Z$41"),MATCH("Points (Auto-generate)",INDIRECT("'"&amp;$A70&amp;"'!$A$12:$Z$12"),0),0)),"ER"))</f>
        <v>?</v>
      </c>
      <c r="J70" s="78" t="n">
        <f aca="true">IF($H70=0,"NA",IF($A70=INDIRECT("'"&amp;$A70&amp;"'!$B$1"),IF(VLOOKUP(J$1,INDIRECT("'"&amp;$A70&amp;"'!$A$12:$Z$41"),MATCH("Points (Auto-generate)",INDIRECT("'"&amp;$A70&amp;"'!$A$12:$Z$12"),0),0)="","?",VLOOKUP(J$1,INDIRECT("'"&amp;$A70&amp;"'!$A$12:$Z$41"),MATCH("Points (Auto-generate)",INDIRECT("'"&amp;$A70&amp;"'!$A$12:$Z$12"),0),0)),"ER"))</f>
        <v>3.33</v>
      </c>
      <c r="K70" s="78" t="str">
        <f aca="true">IF($H70=0,"NA",IF($A70=INDIRECT("'"&amp;$A70&amp;"'!$B$1"),IF(VLOOKUP(K$1,INDIRECT("'"&amp;$A70&amp;"'!$A$12:$Z$41"),MATCH("Points (Auto-generate)",INDIRECT("'"&amp;$A70&amp;"'!$A$12:$Z$12"),0),0)="","?",VLOOKUP(K$1,INDIRECT("'"&amp;$A70&amp;"'!$A$12:$Z$41"),MATCH("Points (Auto-generate)",INDIRECT("'"&amp;$A70&amp;"'!$A$12:$Z$12"),0),0)),"ER"))</f>
        <v>?</v>
      </c>
      <c r="L70" s="78" t="str">
        <f aca="true">IF($H70=0,"NA",IF($A70=INDIRECT("'"&amp;$A70&amp;"'!$B$1"),IF(VLOOKUP(L$1,INDIRECT("'"&amp;$A70&amp;"'!$A$12:$Z$41"),MATCH("Points (Auto-generate)",INDIRECT("'"&amp;$A70&amp;"'!$A$12:$Z$12"),0),0)="","?",VLOOKUP(L$1,INDIRECT("'"&amp;$A70&amp;"'!$A$12:$Z$41"),MATCH("Points (Auto-generate)",INDIRECT("'"&amp;$A70&amp;"'!$A$12:$Z$12"),0),0)),"ER"))</f>
        <v>?</v>
      </c>
      <c r="M70" s="78" t="str">
        <f aca="true">IF($H70=0,"NA",IF($A70=INDIRECT("'"&amp;$A70&amp;"'!$B$1"),IF(VLOOKUP(M$1,INDIRECT("'"&amp;$A70&amp;"'!$A$12:$Z$41"),MATCH("Points (Auto-generate)",INDIRECT("'"&amp;$A70&amp;"'!$A$12:$Z$12"),0),0)="","?",VLOOKUP(M$1,INDIRECT("'"&amp;$A70&amp;"'!$A$12:$Z$41"),MATCH("Points (Auto-generate)",INDIRECT("'"&amp;$A70&amp;"'!$A$12:$Z$12"),0),0)),"ER"))</f>
        <v>?</v>
      </c>
      <c r="N70" s="78" t="str">
        <f aca="true">IF($H70=0,"NA",IF($A70=INDIRECT("'"&amp;$A70&amp;"'!$B$1"),IF(VLOOKUP(N$1,INDIRECT("'"&amp;$A70&amp;"'!$A$12:$Z$41"),MATCH("Points (Auto-generate)",INDIRECT("'"&amp;$A70&amp;"'!$A$12:$Z$12"),0),0)="","?",VLOOKUP(N$1,INDIRECT("'"&amp;$A70&amp;"'!$A$12:$Z$41"),MATCH("Points (Auto-generate)",INDIRECT("'"&amp;$A70&amp;"'!$A$12:$Z$12"),0),0)),"ER"))</f>
        <v>?</v>
      </c>
      <c r="O70" s="78" t="str">
        <f aca="true">IF($H70=0,"NA",IF($A70=INDIRECT("'"&amp;$A70&amp;"'!$B$1"),IF(VLOOKUP(O$1,INDIRECT("'"&amp;$A70&amp;"'!$A$12:$Z$41"),MATCH("Points (Auto-generate)",INDIRECT("'"&amp;$A70&amp;"'!$A$12:$Z$12"),0),0)="","?",VLOOKUP(O$1,INDIRECT("'"&amp;$A70&amp;"'!$A$12:$Z$41"),MATCH("Points (Auto-generate)",INDIRECT("'"&amp;$A70&amp;"'!$A$12:$Z$12"),0),0)),"ER"))</f>
        <v>?</v>
      </c>
      <c r="P70" s="78" t="str">
        <f aca="true">IF($H70=0,"NA",IF($A70=INDIRECT("'"&amp;$A70&amp;"'!$B$1"),IF(VLOOKUP(P$1,INDIRECT("'"&amp;$A70&amp;"'!$A$12:$Z$41"),MATCH("Points (Auto-generate)",INDIRECT("'"&amp;$A70&amp;"'!$A$12:$Z$12"),0),0)="","?",VLOOKUP(P$1,INDIRECT("'"&amp;$A70&amp;"'!$A$12:$Z$41"),MATCH("Points (Auto-generate)",INDIRECT("'"&amp;$A70&amp;"'!$A$12:$Z$12"),0),0)),"ER"))</f>
        <v>?</v>
      </c>
      <c r="Q70" s="78" t="str">
        <f aca="true">IF($H70=0,"NA",IF($A70=INDIRECT("'"&amp;$A70&amp;"'!$B$1"),IF(VLOOKUP(Q$1,INDIRECT("'"&amp;$A70&amp;"'!$A$12:$Z$41"),MATCH("Points (Auto-generate)",INDIRECT("'"&amp;$A70&amp;"'!$A$12:$Z$12"),0),0)="","?",VLOOKUP(Q$1,INDIRECT("'"&amp;$A70&amp;"'!$A$12:$Z$41"),MATCH("Points (Auto-generate)",INDIRECT("'"&amp;$A70&amp;"'!$A$12:$Z$12"),0),0)),"ER"))</f>
        <v>?</v>
      </c>
      <c r="R70" s="78" t="str">
        <f aca="true">IF($H70=0,"NA",IF($A70=INDIRECT("'"&amp;$A70&amp;"'!$B$1"),IF(VLOOKUP(R$1,INDIRECT("'"&amp;$A70&amp;"'!$A$12:$Z$41"),MATCH("Points (Auto-generate)",INDIRECT("'"&amp;$A70&amp;"'!$A$12:$Z$12"),0),0)="","?",VLOOKUP(R$1,INDIRECT("'"&amp;$A70&amp;"'!$A$12:$Z$41"),MATCH("Points (Auto-generate)",INDIRECT("'"&amp;$A70&amp;"'!$A$12:$Z$12"),0),0)),"ER"))</f>
        <v>?</v>
      </c>
      <c r="S70" s="78" t="str">
        <f aca="true">IF($H70=0,"NA",IF($A70=INDIRECT("'"&amp;$A70&amp;"'!$B$1"),IF(VLOOKUP(S$1,INDIRECT("'"&amp;$A70&amp;"'!$A$12:$Z$41"),MATCH("Points (Auto-generate)",INDIRECT("'"&amp;$A70&amp;"'!$A$12:$Z$12"),0),0)="","?",VLOOKUP(S$1,INDIRECT("'"&amp;$A70&amp;"'!$A$12:$Z$41"),MATCH("Points (Auto-generate)",INDIRECT("'"&amp;$A70&amp;"'!$A$12:$Z$12"),0),0)),"ER"))</f>
        <v>?</v>
      </c>
      <c r="T70" s="78" t="str">
        <f aca="true">IF($H70=0,"NA",IF($A70=INDIRECT("'"&amp;$A70&amp;"'!$B$1"),IF(VLOOKUP(T$1,INDIRECT("'"&amp;$A70&amp;"'!$A$12:$Z$41"),MATCH("Points (Auto-generate)",INDIRECT("'"&amp;$A70&amp;"'!$A$12:$Z$12"),0),0)="","?",VLOOKUP(T$1,INDIRECT("'"&amp;$A70&amp;"'!$A$12:$Z$41"),MATCH("Points (Auto-generate)",INDIRECT("'"&amp;$A70&amp;"'!$A$12:$Z$12"),0),0)),"ER"))</f>
        <v>?</v>
      </c>
      <c r="U70" s="78" t="str">
        <f aca="true">IF($H70=0,"NA",IF($A70=INDIRECT("'"&amp;$A70&amp;"'!$B$1"),IF(VLOOKUP(U$1,INDIRECT("'"&amp;$A70&amp;"'!$A$12:$Z$41"),MATCH("Points (Auto-generate)",INDIRECT("'"&amp;$A70&amp;"'!$A$12:$Z$12"),0),0)="","?",VLOOKUP(U$1,INDIRECT("'"&amp;$A70&amp;"'!$A$12:$Z$41"),MATCH("Points (Auto-generate)",INDIRECT("'"&amp;$A70&amp;"'!$A$12:$Z$12"),0),0)),"ER"))</f>
        <v>?</v>
      </c>
      <c r="V70" s="78" t="str">
        <f aca="true">IF($H70=0,"NA",IF($A70=INDIRECT("'"&amp;$A70&amp;"'!$B$1"),IF(VLOOKUP(V$1,INDIRECT("'"&amp;$A70&amp;"'!$A$12:$Z$41"),MATCH("Points (Auto-generate)",INDIRECT("'"&amp;$A70&amp;"'!$A$12:$Z$12"),0),0)="","?",VLOOKUP(V$1,INDIRECT("'"&amp;$A70&amp;"'!$A$12:$Z$41"),MATCH("Points (Auto-generate)",INDIRECT("'"&amp;$A70&amp;"'!$A$12:$Z$12"),0),0)),"ER"))</f>
        <v>?</v>
      </c>
      <c r="W70" s="78" t="str">
        <f aca="true">IF($H70=0,"NA",IF($A70=INDIRECT("'"&amp;$A70&amp;"'!$B$1"),IF(VLOOKUP(W$1,INDIRECT("'"&amp;$A70&amp;"'!$A$12:$Z$41"),MATCH("Points (Auto-generate)",INDIRECT("'"&amp;$A70&amp;"'!$A$12:$Z$12"),0),0)="","?",VLOOKUP(W$1,INDIRECT("'"&amp;$A70&amp;"'!$A$12:$Z$41"),MATCH("Points (Auto-generate)",INDIRECT("'"&amp;$A70&amp;"'!$A$12:$Z$12"),0),0)),"ER"))</f>
        <v>?</v>
      </c>
      <c r="X70" s="78" t="str">
        <f aca="true">IF($H70=0,"NA",IF($A70=INDIRECT("'"&amp;$A70&amp;"'!$B$1"),IF(VLOOKUP(X$1,INDIRECT("'"&amp;$A70&amp;"'!$A$12:$Z$41"),MATCH("Points (Auto-generate)",INDIRECT("'"&amp;$A70&amp;"'!$A$12:$Z$12"),0),0)="","?",VLOOKUP(X$1,INDIRECT("'"&amp;$A70&amp;"'!$A$12:$Z$41"),MATCH("Points (Auto-generate)",INDIRECT("'"&amp;$A70&amp;"'!$A$12:$Z$12"),0),0)),"ER"))</f>
        <v>?</v>
      </c>
      <c r="Y70" s="78" t="str">
        <f aca="true">IF($H70=0,"NA",IF($A70=INDIRECT("'"&amp;$A70&amp;"'!$B$1"),IF(VLOOKUP(Y$1,INDIRECT("'"&amp;$A70&amp;"'!$A$12:$Z$41"),MATCH("Points (Auto-generate)",INDIRECT("'"&amp;$A70&amp;"'!$A$12:$Z$12"),0),0)="","?",VLOOKUP(Y$1,INDIRECT("'"&amp;$A70&amp;"'!$A$12:$Z$41"),MATCH("Points (Auto-generate)",INDIRECT("'"&amp;$A70&amp;"'!$A$12:$Z$12"),0),0)),"ER"))</f>
        <v>?</v>
      </c>
      <c r="Z70" s="78" t="str">
        <f aca="true">IF($H70=0,"NA",IF($A70=INDIRECT("'"&amp;$A70&amp;"'!$B$1"),IF(VLOOKUP(Z$1,INDIRECT("'"&amp;$A70&amp;"'!$A$12:$Z$41"),MATCH("Points (Auto-generate)",INDIRECT("'"&amp;$A70&amp;"'!$A$12:$Z$12"),0),0)="","?",VLOOKUP(Z$1,INDIRECT("'"&amp;$A70&amp;"'!$A$12:$Z$41"),MATCH("Points (Auto-generate)",INDIRECT("'"&amp;$A70&amp;"'!$A$12:$Z$12"),0),0)),"ER"))</f>
        <v>?</v>
      </c>
      <c r="AA70" s="78" t="str">
        <f aca="true">IF($H70=0,"NA",IF($A70=INDIRECT("'"&amp;$A70&amp;"'!$B$1"),IF(VLOOKUP(AA$1,INDIRECT("'"&amp;$A70&amp;"'!$A$12:$Z$41"),MATCH("Points (Auto-generate)",INDIRECT("'"&amp;$A70&amp;"'!$A$12:$Z$12"),0),0)="","?",VLOOKUP(AA$1,INDIRECT("'"&amp;$A70&amp;"'!$A$12:$Z$41"),MATCH("Points (Auto-generate)",INDIRECT("'"&amp;$A70&amp;"'!$A$12:$Z$12"),0),0)),"ER"))</f>
        <v>?</v>
      </c>
      <c r="AB70" s="78" t="str">
        <f aca="true">IF($H70=0,"NA",IF($A70=INDIRECT("'"&amp;$A70&amp;"'!$B$1"),IF(VLOOKUP(AB$1,INDIRECT("'"&amp;$A70&amp;"'!$A$12:$Z$41"),MATCH("Points (Auto-generate)",INDIRECT("'"&amp;$A70&amp;"'!$A$12:$Z$12"),0),0)="","?",VLOOKUP(AB$1,INDIRECT("'"&amp;$A70&amp;"'!$A$12:$Z$41"),MATCH("Points (Auto-generate)",INDIRECT("'"&amp;$A70&amp;"'!$A$12:$Z$12"),0),0)),"ER"))</f>
        <v>?</v>
      </c>
      <c r="AC70" s="78" t="str">
        <f aca="true">IF($H70=0,"NA",IF($A70=INDIRECT("'"&amp;$A70&amp;"'!$B$1"),IF(VLOOKUP(AC$1,INDIRECT("'"&amp;$A70&amp;"'!$A$12:$Z$41"),MATCH("Points (Auto-generate)",INDIRECT("'"&amp;$A70&amp;"'!$A$12:$Z$12"),0),0)="","?",VLOOKUP(AC$1,INDIRECT("'"&amp;$A70&amp;"'!$A$12:$Z$41"),MATCH("Points (Auto-generate)",INDIRECT("'"&amp;$A70&amp;"'!$A$12:$Z$12"),0),0)),"ER"))</f>
        <v>?</v>
      </c>
      <c r="AD70" s="78" t="str">
        <f aca="true">IF($H70=0,"NA",IF($A70=INDIRECT("'"&amp;$A70&amp;"'!$B$1"),IF(VLOOKUP(AD$1,INDIRECT("'"&amp;$A70&amp;"'!$A$12:$Z$41"),MATCH("Points (Auto-generate)",INDIRECT("'"&amp;$A70&amp;"'!$A$12:$Z$12"),0),0)="","?",VLOOKUP(AD$1,INDIRECT("'"&amp;$A70&amp;"'!$A$12:$Z$41"),MATCH("Points (Auto-generate)",INDIRECT("'"&amp;$A70&amp;"'!$A$12:$Z$12"),0),0)),"ER"))</f>
        <v>?</v>
      </c>
      <c r="AE70" s="78" t="str">
        <f aca="true">IF($H70=0,"NA",IF($A70=INDIRECT("'"&amp;$A70&amp;"'!$B$1"),IF(VLOOKUP(AE$1,INDIRECT("'"&amp;$A70&amp;"'!$A$12:$Z$41"),MATCH("Points (Auto-generate)",INDIRECT("'"&amp;$A70&amp;"'!$A$12:$Z$12"),0),0)="","?",VLOOKUP(AE$1,INDIRECT("'"&amp;$A70&amp;"'!$A$12:$Z$41"),MATCH("Points (Auto-generate)",INDIRECT("'"&amp;$A70&amp;"'!$A$12:$Z$12"),0),0)),"ER"))</f>
        <v>?</v>
      </c>
      <c r="AF70" s="78" t="str">
        <f aca="true">IF($H70=0,"NA",IF($A70=INDIRECT("'"&amp;$A70&amp;"'!$B$1"),IF(VLOOKUP(AF$1,INDIRECT("'"&amp;$A70&amp;"'!$A$12:$Z$41"),MATCH("Points (Auto-generate)",INDIRECT("'"&amp;$A70&amp;"'!$A$12:$Z$12"),0),0)="","?",VLOOKUP(AF$1,INDIRECT("'"&amp;$A70&amp;"'!$A$12:$Z$41"),MATCH("Points (Auto-generate)",INDIRECT("'"&amp;$A70&amp;"'!$A$12:$Z$12"),0),0)),"ER"))</f>
        <v>?</v>
      </c>
      <c r="AG70" s="78" t="str">
        <f aca="true">IF($H70=0,"NA",IF($A70=INDIRECT("'"&amp;$A70&amp;"'!$B$1"),IF(VLOOKUP(AG$1,INDIRECT("'"&amp;$A70&amp;"'!$A$12:$Z$41"),MATCH("Points (Auto-generate)",INDIRECT("'"&amp;$A70&amp;"'!$A$12:$Z$12"),0),0)="","?",VLOOKUP(AG$1,INDIRECT("'"&amp;$A70&amp;"'!$A$12:$Z$41"),MATCH("Points (Auto-generate)",INDIRECT("'"&amp;$A70&amp;"'!$A$12:$Z$12"),0),0)),"ER"))</f>
        <v>?</v>
      </c>
      <c r="AH70" s="78" t="str">
        <f aca="true">IF($H70=0,"NA",IF($A70=INDIRECT("'"&amp;$A70&amp;"'!$B$1"),IF(VLOOKUP(AH$1,INDIRECT("'"&amp;$A70&amp;"'!$A$12:$Z$41"),MATCH("Points (Auto-generate)",INDIRECT("'"&amp;$A70&amp;"'!$A$12:$Z$12"),0),0)="","?",VLOOKUP(AH$1,INDIRECT("'"&amp;$A70&amp;"'!$A$12:$Z$41"),MATCH("Points (Auto-generate)",INDIRECT("'"&amp;$A70&amp;"'!$A$12:$Z$12"),0),0)),"ER"))</f>
        <v>?</v>
      </c>
      <c r="AI70" s="78" t="str">
        <f aca="true">IF($H70=0,"NA",IF($A70=INDIRECT("'"&amp;$A70&amp;"'!$B$1"),IF(VLOOKUP(AI$1,INDIRECT("'"&amp;$A70&amp;"'!$A$12:$Z$41"),MATCH("Points (Auto-generate)",INDIRECT("'"&amp;$A70&amp;"'!$A$12:$Z$12"),0),0)="","?",VLOOKUP(AI$1,INDIRECT("'"&amp;$A70&amp;"'!$A$12:$Z$41"),MATCH("Points (Auto-generate)",INDIRECT("'"&amp;$A70&amp;"'!$A$12:$Z$12"),0),0)),"ER"))</f>
        <v>?</v>
      </c>
      <c r="AJ70" s="78" t="str">
        <f aca="true">IF($H70=0,"NA",IF($A70=INDIRECT("'"&amp;$A70&amp;"'!$B$1"),IF(VLOOKUP(AJ$1,INDIRECT("'"&amp;$A70&amp;"'!$A$12:$Z$41"),MATCH("Points (Auto-generate)",INDIRECT("'"&amp;$A70&amp;"'!$A$12:$Z$12"),0),0)="","?",VLOOKUP(AJ$1,INDIRECT("'"&amp;$A70&amp;"'!$A$12:$Z$41"),MATCH("Points (Auto-generate)",INDIRECT("'"&amp;$A70&amp;"'!$A$12:$Z$12"),0),0)),"ER"))</f>
        <v>?</v>
      </c>
      <c r="AK70" s="78" t="str">
        <f aca="true">IF($H70=0,"NA",IF($A70=INDIRECT("'"&amp;$A70&amp;"'!$B$1"),IF(VLOOKUP(AK$1,INDIRECT("'"&amp;$A70&amp;"'!$A$12:$Z$41"),MATCH("Points (Auto-generate)",INDIRECT("'"&amp;$A70&amp;"'!$A$12:$Z$12"),0),0)="","?",VLOOKUP(AK$1,INDIRECT("'"&amp;$A70&amp;"'!$A$12:$Z$41"),MATCH("Points (Auto-generate)",INDIRECT("'"&amp;$A70&amp;"'!$A$12:$Z$12"),0),0)),"ER"))</f>
        <v>?</v>
      </c>
    </row>
    <row r="71" customFormat="false" ht="14.25" hidden="false" customHeight="true" outlineLevel="0" collapsed="false">
      <c r="A71" s="74" t="s">
        <v>322</v>
      </c>
      <c r="B71" s="75" t="str">
        <f aca="false">IF(ISBLANK($A71),"NO_CODE",VLOOKUP($A71,'UPD Questions_290926 '!$E$1:$N$300,MATCH(B$1,'UPD Questions_290926 '!$E$1:$N$1,0),0)&amp;"")</f>
        <v>Implementation</v>
      </c>
      <c r="C71" s="75" t="str">
        <f aca="false">IF(ISBLANK($A71),"NO_CODE",VLOOKUP($A71,'UPD Questions_290926 '!$E$1:$N$300,MATCH(C$1,'UPD Questions_290926 '!$E$1:$N$1,0),0)&amp;"")</f>
        <v>Sectoral planning</v>
      </c>
      <c r="D71" s="75" t="str">
        <f aca="false">IF(ISBLANK($A71),"NO_CODE",VLOOKUP($A71,'UPD Questions_290926 '!$E$1:$N$300,MATCH(D$1,'UPD Questions_290926 '!$E$1:$N$1,0),0)&amp;"")</f>
        <v>Comprehensive mobility planning</v>
      </c>
      <c r="E71" s="75" t="str">
        <f aca="false">IF(ISBLANK($A71),"NO_CODE",VLOOKUP($A71,'UPD Questions_290926 '!$E$1:$N$300,MATCH(E$1,'UPD Questions_290926 '!$E$1:$N$1,0),0)&amp;"")</f>
        <v>SQ</v>
      </c>
      <c r="F71" s="75" t="str">
        <f aca="false">IF(ISBLANK($A71),"NO_CODE",VLOOKUP($A71,'UPD Questions_290926 '!$E$1:$N$300,MATCH(F$1,'UPD Questions_290926 '!$E$1:$N$1,0),0)&amp;"")</f>
        <v>Does the plan clearly articulate the role of the ULG?</v>
      </c>
      <c r="G71" s="75" t="str">
        <f aca="false">IF(ISBLANK($A71),"NO_CODE",VLOOKUP($A71,'UPD Questions_290926 '!$E$1:$N$300,MATCH(G$1,'UPD Questions_290926 '!$E$1:$N$1,0),0)&amp;"")</f>
        <v>Implementation</v>
      </c>
      <c r="H71" s="77" t="n">
        <f aca="false">IF(ISBLANK($A71),"NO_CODE",VLOOKUP($A71,'UPD Questions_290926 '!$E$1:$N$300,MATCH(H$1,'UPD Questions_290926 '!$E$1:$N$1,0),0))</f>
        <v>3.33</v>
      </c>
      <c r="I71" s="78" t="str">
        <f aca="true">IF($H71=0,"NA",IF($A71=INDIRECT("'"&amp;$A71&amp;"'!$B$1"),IF(VLOOKUP(I$1,INDIRECT("'"&amp;$A71&amp;"'!$A$12:$Z$41"),MATCH("Points (Auto-generate)",INDIRECT("'"&amp;$A71&amp;"'!$A$12:$Z$12"),0),0)="","?",VLOOKUP(I$1,INDIRECT("'"&amp;$A71&amp;"'!$A$12:$Z$41"),MATCH("Points (Auto-generate)",INDIRECT("'"&amp;$A71&amp;"'!$A$12:$Z$12"),0),0)),"ER"))</f>
        <v>?</v>
      </c>
      <c r="J71" s="78" t="n">
        <f aca="true">IF($H71=0,"NA",IF($A71=INDIRECT("'"&amp;$A71&amp;"'!$B$1"),IF(VLOOKUP(J$1,INDIRECT("'"&amp;$A71&amp;"'!$A$12:$Z$41"),MATCH("Points (Auto-generate)",INDIRECT("'"&amp;$A71&amp;"'!$A$12:$Z$12"),0),0)="","?",VLOOKUP(J$1,INDIRECT("'"&amp;$A71&amp;"'!$A$12:$Z$41"),MATCH("Points (Auto-generate)",INDIRECT("'"&amp;$A71&amp;"'!$A$12:$Z$12"),0),0)),"ER"))</f>
        <v>3.33</v>
      </c>
      <c r="K71" s="78" t="str">
        <f aca="true">IF($H71=0,"NA",IF($A71=INDIRECT("'"&amp;$A71&amp;"'!$B$1"),IF(VLOOKUP(K$1,INDIRECT("'"&amp;$A71&amp;"'!$A$12:$Z$41"),MATCH("Points (Auto-generate)",INDIRECT("'"&amp;$A71&amp;"'!$A$12:$Z$12"),0),0)="","?",VLOOKUP(K$1,INDIRECT("'"&amp;$A71&amp;"'!$A$12:$Z$41"),MATCH("Points (Auto-generate)",INDIRECT("'"&amp;$A71&amp;"'!$A$12:$Z$12"),0),0)),"ER"))</f>
        <v>?</v>
      </c>
      <c r="L71" s="78" t="str">
        <f aca="true">IF($H71=0,"NA",IF($A71=INDIRECT("'"&amp;$A71&amp;"'!$B$1"),IF(VLOOKUP(L$1,INDIRECT("'"&amp;$A71&amp;"'!$A$12:$Z$41"),MATCH("Points (Auto-generate)",INDIRECT("'"&amp;$A71&amp;"'!$A$12:$Z$12"),0),0)="","?",VLOOKUP(L$1,INDIRECT("'"&amp;$A71&amp;"'!$A$12:$Z$41"),MATCH("Points (Auto-generate)",INDIRECT("'"&amp;$A71&amp;"'!$A$12:$Z$12"),0),0)),"ER"))</f>
        <v>?</v>
      </c>
      <c r="M71" s="78" t="str">
        <f aca="true">IF($H71=0,"NA",IF($A71=INDIRECT("'"&amp;$A71&amp;"'!$B$1"),IF(VLOOKUP(M$1,INDIRECT("'"&amp;$A71&amp;"'!$A$12:$Z$41"),MATCH("Points (Auto-generate)",INDIRECT("'"&amp;$A71&amp;"'!$A$12:$Z$12"),0),0)="","?",VLOOKUP(M$1,INDIRECT("'"&amp;$A71&amp;"'!$A$12:$Z$41"),MATCH("Points (Auto-generate)",INDIRECT("'"&amp;$A71&amp;"'!$A$12:$Z$12"),0),0)),"ER"))</f>
        <v>?</v>
      </c>
      <c r="N71" s="78" t="str">
        <f aca="true">IF($H71=0,"NA",IF($A71=INDIRECT("'"&amp;$A71&amp;"'!$B$1"),IF(VLOOKUP(N$1,INDIRECT("'"&amp;$A71&amp;"'!$A$12:$Z$41"),MATCH("Points (Auto-generate)",INDIRECT("'"&amp;$A71&amp;"'!$A$12:$Z$12"),0),0)="","?",VLOOKUP(N$1,INDIRECT("'"&amp;$A71&amp;"'!$A$12:$Z$41"),MATCH("Points (Auto-generate)",INDIRECT("'"&amp;$A71&amp;"'!$A$12:$Z$12"),0),0)),"ER"))</f>
        <v>?</v>
      </c>
      <c r="O71" s="78" t="str">
        <f aca="true">IF($H71=0,"NA",IF($A71=INDIRECT("'"&amp;$A71&amp;"'!$B$1"),IF(VLOOKUP(O$1,INDIRECT("'"&amp;$A71&amp;"'!$A$12:$Z$41"),MATCH("Points (Auto-generate)",INDIRECT("'"&amp;$A71&amp;"'!$A$12:$Z$12"),0),0)="","?",VLOOKUP(O$1,INDIRECT("'"&amp;$A71&amp;"'!$A$12:$Z$41"),MATCH("Points (Auto-generate)",INDIRECT("'"&amp;$A71&amp;"'!$A$12:$Z$12"),0),0)),"ER"))</f>
        <v>?</v>
      </c>
      <c r="P71" s="78" t="str">
        <f aca="true">IF($H71=0,"NA",IF($A71=INDIRECT("'"&amp;$A71&amp;"'!$B$1"),IF(VLOOKUP(P$1,INDIRECT("'"&amp;$A71&amp;"'!$A$12:$Z$41"),MATCH("Points (Auto-generate)",INDIRECT("'"&amp;$A71&amp;"'!$A$12:$Z$12"),0),0)="","?",VLOOKUP(P$1,INDIRECT("'"&amp;$A71&amp;"'!$A$12:$Z$41"),MATCH("Points (Auto-generate)",INDIRECT("'"&amp;$A71&amp;"'!$A$12:$Z$12"),0),0)),"ER"))</f>
        <v>?</v>
      </c>
      <c r="Q71" s="78" t="str">
        <f aca="true">IF($H71=0,"NA",IF($A71=INDIRECT("'"&amp;$A71&amp;"'!$B$1"),IF(VLOOKUP(Q$1,INDIRECT("'"&amp;$A71&amp;"'!$A$12:$Z$41"),MATCH("Points (Auto-generate)",INDIRECT("'"&amp;$A71&amp;"'!$A$12:$Z$12"),0),0)="","?",VLOOKUP(Q$1,INDIRECT("'"&amp;$A71&amp;"'!$A$12:$Z$41"),MATCH("Points (Auto-generate)",INDIRECT("'"&amp;$A71&amp;"'!$A$12:$Z$12"),0),0)),"ER"))</f>
        <v>?</v>
      </c>
      <c r="R71" s="78" t="str">
        <f aca="true">IF($H71=0,"NA",IF($A71=INDIRECT("'"&amp;$A71&amp;"'!$B$1"),IF(VLOOKUP(R$1,INDIRECT("'"&amp;$A71&amp;"'!$A$12:$Z$41"),MATCH("Points (Auto-generate)",INDIRECT("'"&amp;$A71&amp;"'!$A$12:$Z$12"),0),0)="","?",VLOOKUP(R$1,INDIRECT("'"&amp;$A71&amp;"'!$A$12:$Z$41"),MATCH("Points (Auto-generate)",INDIRECT("'"&amp;$A71&amp;"'!$A$12:$Z$12"),0),0)),"ER"))</f>
        <v>?</v>
      </c>
      <c r="S71" s="78" t="str">
        <f aca="true">IF($H71=0,"NA",IF($A71=INDIRECT("'"&amp;$A71&amp;"'!$B$1"),IF(VLOOKUP(S$1,INDIRECT("'"&amp;$A71&amp;"'!$A$12:$Z$41"),MATCH("Points (Auto-generate)",INDIRECT("'"&amp;$A71&amp;"'!$A$12:$Z$12"),0),0)="","?",VLOOKUP(S$1,INDIRECT("'"&amp;$A71&amp;"'!$A$12:$Z$41"),MATCH("Points (Auto-generate)",INDIRECT("'"&amp;$A71&amp;"'!$A$12:$Z$12"),0),0)),"ER"))</f>
        <v>?</v>
      </c>
      <c r="T71" s="78" t="str">
        <f aca="true">IF($H71=0,"NA",IF($A71=INDIRECT("'"&amp;$A71&amp;"'!$B$1"),IF(VLOOKUP(T$1,INDIRECT("'"&amp;$A71&amp;"'!$A$12:$Z$41"),MATCH("Points (Auto-generate)",INDIRECT("'"&amp;$A71&amp;"'!$A$12:$Z$12"),0),0)="","?",VLOOKUP(T$1,INDIRECT("'"&amp;$A71&amp;"'!$A$12:$Z$41"),MATCH("Points (Auto-generate)",INDIRECT("'"&amp;$A71&amp;"'!$A$12:$Z$12"),0),0)),"ER"))</f>
        <v>?</v>
      </c>
      <c r="U71" s="78" t="str">
        <f aca="true">IF($H71=0,"NA",IF($A71=INDIRECT("'"&amp;$A71&amp;"'!$B$1"),IF(VLOOKUP(U$1,INDIRECT("'"&amp;$A71&amp;"'!$A$12:$Z$41"),MATCH("Points (Auto-generate)",INDIRECT("'"&amp;$A71&amp;"'!$A$12:$Z$12"),0),0)="","?",VLOOKUP(U$1,INDIRECT("'"&amp;$A71&amp;"'!$A$12:$Z$41"),MATCH("Points (Auto-generate)",INDIRECT("'"&amp;$A71&amp;"'!$A$12:$Z$12"),0),0)),"ER"))</f>
        <v>?</v>
      </c>
      <c r="V71" s="78" t="str">
        <f aca="true">IF($H71=0,"NA",IF($A71=INDIRECT("'"&amp;$A71&amp;"'!$B$1"),IF(VLOOKUP(V$1,INDIRECT("'"&amp;$A71&amp;"'!$A$12:$Z$41"),MATCH("Points (Auto-generate)",INDIRECT("'"&amp;$A71&amp;"'!$A$12:$Z$12"),0),0)="","?",VLOOKUP(V$1,INDIRECT("'"&amp;$A71&amp;"'!$A$12:$Z$41"),MATCH("Points (Auto-generate)",INDIRECT("'"&amp;$A71&amp;"'!$A$12:$Z$12"),0),0)),"ER"))</f>
        <v>?</v>
      </c>
      <c r="W71" s="78" t="str">
        <f aca="true">IF($H71=0,"NA",IF($A71=INDIRECT("'"&amp;$A71&amp;"'!$B$1"),IF(VLOOKUP(W$1,INDIRECT("'"&amp;$A71&amp;"'!$A$12:$Z$41"),MATCH("Points (Auto-generate)",INDIRECT("'"&amp;$A71&amp;"'!$A$12:$Z$12"),0),0)="","?",VLOOKUP(W$1,INDIRECT("'"&amp;$A71&amp;"'!$A$12:$Z$41"),MATCH("Points (Auto-generate)",INDIRECT("'"&amp;$A71&amp;"'!$A$12:$Z$12"),0),0)),"ER"))</f>
        <v>?</v>
      </c>
      <c r="X71" s="78" t="str">
        <f aca="true">IF($H71=0,"NA",IF($A71=INDIRECT("'"&amp;$A71&amp;"'!$B$1"),IF(VLOOKUP(X$1,INDIRECT("'"&amp;$A71&amp;"'!$A$12:$Z$41"),MATCH("Points (Auto-generate)",INDIRECT("'"&amp;$A71&amp;"'!$A$12:$Z$12"),0),0)="","?",VLOOKUP(X$1,INDIRECT("'"&amp;$A71&amp;"'!$A$12:$Z$41"),MATCH("Points (Auto-generate)",INDIRECT("'"&amp;$A71&amp;"'!$A$12:$Z$12"),0),0)),"ER"))</f>
        <v>?</v>
      </c>
      <c r="Y71" s="78" t="str">
        <f aca="true">IF($H71=0,"NA",IF($A71=INDIRECT("'"&amp;$A71&amp;"'!$B$1"),IF(VLOOKUP(Y$1,INDIRECT("'"&amp;$A71&amp;"'!$A$12:$Z$41"),MATCH("Points (Auto-generate)",INDIRECT("'"&amp;$A71&amp;"'!$A$12:$Z$12"),0),0)="","?",VLOOKUP(Y$1,INDIRECT("'"&amp;$A71&amp;"'!$A$12:$Z$41"),MATCH("Points (Auto-generate)",INDIRECT("'"&amp;$A71&amp;"'!$A$12:$Z$12"),0),0)),"ER"))</f>
        <v>?</v>
      </c>
      <c r="Z71" s="78" t="str">
        <f aca="true">IF($H71=0,"NA",IF($A71=INDIRECT("'"&amp;$A71&amp;"'!$B$1"),IF(VLOOKUP(Z$1,INDIRECT("'"&amp;$A71&amp;"'!$A$12:$Z$41"),MATCH("Points (Auto-generate)",INDIRECT("'"&amp;$A71&amp;"'!$A$12:$Z$12"),0),0)="","?",VLOOKUP(Z$1,INDIRECT("'"&amp;$A71&amp;"'!$A$12:$Z$41"),MATCH("Points (Auto-generate)",INDIRECT("'"&amp;$A71&amp;"'!$A$12:$Z$12"),0),0)),"ER"))</f>
        <v>?</v>
      </c>
      <c r="AA71" s="78" t="str">
        <f aca="true">IF($H71=0,"NA",IF($A71=INDIRECT("'"&amp;$A71&amp;"'!$B$1"),IF(VLOOKUP(AA$1,INDIRECT("'"&amp;$A71&amp;"'!$A$12:$Z$41"),MATCH("Points (Auto-generate)",INDIRECT("'"&amp;$A71&amp;"'!$A$12:$Z$12"),0),0)="","?",VLOOKUP(AA$1,INDIRECT("'"&amp;$A71&amp;"'!$A$12:$Z$41"),MATCH("Points (Auto-generate)",INDIRECT("'"&amp;$A71&amp;"'!$A$12:$Z$12"),0),0)),"ER"))</f>
        <v>?</v>
      </c>
      <c r="AB71" s="78" t="str">
        <f aca="true">IF($H71=0,"NA",IF($A71=INDIRECT("'"&amp;$A71&amp;"'!$B$1"),IF(VLOOKUP(AB$1,INDIRECT("'"&amp;$A71&amp;"'!$A$12:$Z$41"),MATCH("Points (Auto-generate)",INDIRECT("'"&amp;$A71&amp;"'!$A$12:$Z$12"),0),0)="","?",VLOOKUP(AB$1,INDIRECT("'"&amp;$A71&amp;"'!$A$12:$Z$41"),MATCH("Points (Auto-generate)",INDIRECT("'"&amp;$A71&amp;"'!$A$12:$Z$12"),0),0)),"ER"))</f>
        <v>?</v>
      </c>
      <c r="AC71" s="78" t="str">
        <f aca="true">IF($H71=0,"NA",IF($A71=INDIRECT("'"&amp;$A71&amp;"'!$B$1"),IF(VLOOKUP(AC$1,INDIRECT("'"&amp;$A71&amp;"'!$A$12:$Z$41"),MATCH("Points (Auto-generate)",INDIRECT("'"&amp;$A71&amp;"'!$A$12:$Z$12"),0),0)="","?",VLOOKUP(AC$1,INDIRECT("'"&amp;$A71&amp;"'!$A$12:$Z$41"),MATCH("Points (Auto-generate)",INDIRECT("'"&amp;$A71&amp;"'!$A$12:$Z$12"),0),0)),"ER"))</f>
        <v>?</v>
      </c>
      <c r="AD71" s="78" t="str">
        <f aca="true">IF($H71=0,"NA",IF($A71=INDIRECT("'"&amp;$A71&amp;"'!$B$1"),IF(VLOOKUP(AD$1,INDIRECT("'"&amp;$A71&amp;"'!$A$12:$Z$41"),MATCH("Points (Auto-generate)",INDIRECT("'"&amp;$A71&amp;"'!$A$12:$Z$12"),0),0)="","?",VLOOKUP(AD$1,INDIRECT("'"&amp;$A71&amp;"'!$A$12:$Z$41"),MATCH("Points (Auto-generate)",INDIRECT("'"&amp;$A71&amp;"'!$A$12:$Z$12"),0),0)),"ER"))</f>
        <v>?</v>
      </c>
      <c r="AE71" s="78" t="str">
        <f aca="true">IF($H71=0,"NA",IF($A71=INDIRECT("'"&amp;$A71&amp;"'!$B$1"),IF(VLOOKUP(AE$1,INDIRECT("'"&amp;$A71&amp;"'!$A$12:$Z$41"),MATCH("Points (Auto-generate)",INDIRECT("'"&amp;$A71&amp;"'!$A$12:$Z$12"),0),0)="","?",VLOOKUP(AE$1,INDIRECT("'"&amp;$A71&amp;"'!$A$12:$Z$41"),MATCH("Points (Auto-generate)",INDIRECT("'"&amp;$A71&amp;"'!$A$12:$Z$12"),0),0)),"ER"))</f>
        <v>?</v>
      </c>
      <c r="AF71" s="78" t="str">
        <f aca="true">IF($H71=0,"NA",IF($A71=INDIRECT("'"&amp;$A71&amp;"'!$B$1"),IF(VLOOKUP(AF$1,INDIRECT("'"&amp;$A71&amp;"'!$A$12:$Z$41"),MATCH("Points (Auto-generate)",INDIRECT("'"&amp;$A71&amp;"'!$A$12:$Z$12"),0),0)="","?",VLOOKUP(AF$1,INDIRECT("'"&amp;$A71&amp;"'!$A$12:$Z$41"),MATCH("Points (Auto-generate)",INDIRECT("'"&amp;$A71&amp;"'!$A$12:$Z$12"),0),0)),"ER"))</f>
        <v>?</v>
      </c>
      <c r="AG71" s="78" t="str">
        <f aca="true">IF($H71=0,"NA",IF($A71=INDIRECT("'"&amp;$A71&amp;"'!$B$1"),IF(VLOOKUP(AG$1,INDIRECT("'"&amp;$A71&amp;"'!$A$12:$Z$41"),MATCH("Points (Auto-generate)",INDIRECT("'"&amp;$A71&amp;"'!$A$12:$Z$12"),0),0)="","?",VLOOKUP(AG$1,INDIRECT("'"&amp;$A71&amp;"'!$A$12:$Z$41"),MATCH("Points (Auto-generate)",INDIRECT("'"&amp;$A71&amp;"'!$A$12:$Z$12"),0),0)),"ER"))</f>
        <v>?</v>
      </c>
      <c r="AH71" s="78" t="str">
        <f aca="true">IF($H71=0,"NA",IF($A71=INDIRECT("'"&amp;$A71&amp;"'!$B$1"),IF(VLOOKUP(AH$1,INDIRECT("'"&amp;$A71&amp;"'!$A$12:$Z$41"),MATCH("Points (Auto-generate)",INDIRECT("'"&amp;$A71&amp;"'!$A$12:$Z$12"),0),0)="","?",VLOOKUP(AH$1,INDIRECT("'"&amp;$A71&amp;"'!$A$12:$Z$41"),MATCH("Points (Auto-generate)",INDIRECT("'"&amp;$A71&amp;"'!$A$12:$Z$12"),0),0)),"ER"))</f>
        <v>?</v>
      </c>
      <c r="AI71" s="78" t="str">
        <f aca="true">IF($H71=0,"NA",IF($A71=INDIRECT("'"&amp;$A71&amp;"'!$B$1"),IF(VLOOKUP(AI$1,INDIRECT("'"&amp;$A71&amp;"'!$A$12:$Z$41"),MATCH("Points (Auto-generate)",INDIRECT("'"&amp;$A71&amp;"'!$A$12:$Z$12"),0),0)="","?",VLOOKUP(AI$1,INDIRECT("'"&amp;$A71&amp;"'!$A$12:$Z$41"),MATCH("Points (Auto-generate)",INDIRECT("'"&amp;$A71&amp;"'!$A$12:$Z$12"),0),0)),"ER"))</f>
        <v>?</v>
      </c>
      <c r="AJ71" s="78" t="str">
        <f aca="true">IF($H71=0,"NA",IF($A71=INDIRECT("'"&amp;$A71&amp;"'!$B$1"),IF(VLOOKUP(AJ$1,INDIRECT("'"&amp;$A71&amp;"'!$A$12:$Z$41"),MATCH("Points (Auto-generate)",INDIRECT("'"&amp;$A71&amp;"'!$A$12:$Z$12"),0),0)="","?",VLOOKUP(AJ$1,INDIRECT("'"&amp;$A71&amp;"'!$A$12:$Z$41"),MATCH("Points (Auto-generate)",INDIRECT("'"&amp;$A71&amp;"'!$A$12:$Z$12"),0),0)),"ER"))</f>
        <v>?</v>
      </c>
      <c r="AK71" s="78" t="str">
        <f aca="true">IF($H71=0,"NA",IF($A71=INDIRECT("'"&amp;$A71&amp;"'!$B$1"),IF(VLOOKUP(AK$1,INDIRECT("'"&amp;$A71&amp;"'!$A$12:$Z$41"),MATCH("Points (Auto-generate)",INDIRECT("'"&amp;$A71&amp;"'!$A$12:$Z$12"),0),0)="","?",VLOOKUP(AK$1,INDIRECT("'"&amp;$A71&amp;"'!$A$12:$Z$41"),MATCH("Points (Auto-generate)",INDIRECT("'"&amp;$A71&amp;"'!$A$12:$Z$12"),0),0)),"ER"))</f>
        <v>?</v>
      </c>
    </row>
    <row r="72" customFormat="false" ht="14.25" hidden="false" customHeight="true" outlineLevel="0" collapsed="false">
      <c r="A72" s="74" t="s">
        <v>325</v>
      </c>
      <c r="B72" s="75" t="str">
        <f aca="false">IF(ISBLANK($A72),"NO_CODE",VLOOKUP($A72,'UPD Questions_290926 '!$E$1:$N$300,MATCH(B$1,'UPD Questions_290926 '!$E$1:$N$1,0),0)&amp;"")</f>
        <v>Implementation</v>
      </c>
      <c r="C72" s="75" t="str">
        <f aca="false">IF(ISBLANK($A72),"NO_CODE",VLOOKUP($A72,'UPD Questions_290926 '!$E$1:$N$300,MATCH(C$1,'UPD Questions_290926 '!$E$1:$N$1,0),0)&amp;"")</f>
        <v>Sectoral planning</v>
      </c>
      <c r="D72" s="75" t="str">
        <f aca="false">IF(ISBLANK($A72),"NO_CODE",VLOOKUP($A72,'UPD Questions_290926 '!$E$1:$N$300,MATCH(D$1,'UPD Questions_290926 '!$E$1:$N$1,0),0)&amp;"")</f>
        <v>Economic development planning</v>
      </c>
      <c r="E72" s="75" t="str">
        <f aca="false">IF(ISBLANK($A72),"NO_CODE",VLOOKUP($A72,'UPD Questions_290926 '!$E$1:$N$300,MATCH(E$1,'UPD Questions_290926 '!$E$1:$N$1,0),0)&amp;"")</f>
        <v>MQ</v>
      </c>
      <c r="F72" s="75" t="str">
        <f aca="false">IF(ISBLANK($A72),"NO_CODE",VLOOKUP($A72,'UPD Questions_290926 '!$E$1:$N$300,MATCH(F$1,'UPD Questions_290926 '!$E$1:$N$1,0),0)&amp;"")</f>
        <v>Does your city have an Economic Vision Plan that clearly articulates development priorities, measurable objectives, and the roles and responsibilities of the ULG?</v>
      </c>
      <c r="G72" s="75" t="str">
        <f aca="false">IF(ISBLANK($A72),"NO_CODE",VLOOKUP($A72,'UPD Questions_290926 '!$E$1:$N$300,MATCH(G$1,'UPD Questions_290926 '!$E$1:$N$1,0),0)&amp;"")</f>
        <v>Implementation</v>
      </c>
      <c r="H72" s="77" t="n">
        <f aca="false">IF(ISBLANK($A72),"NO_CODE",VLOOKUP($A72,'UPD Questions_290926 '!$E$1:$N$300,MATCH(H$1,'UPD Questions_290926 '!$E$1:$N$1,0),0))</f>
        <v>10</v>
      </c>
      <c r="I72" s="78" t="str">
        <f aca="false">IF(OR(I73="ER",I74="ER",I75="ER"),"ER",IF(OR(I73="?",I74="?",I75="?"),"?",IF(AND(I73="NA",I74="NA",I75="NA"),"NA",SUM(I73,I74,I75)/((I73&lt;&gt;"NA")*$H$73+(I74&lt;&gt;"NA")*$H$74+(I75&lt;&gt;"NA")*$H$75)*$H72)))</f>
        <v>?</v>
      </c>
      <c r="J72" s="78" t="n">
        <f aca="false">IF(OR(J73="ER",J74="ER",J75="ER"),"ER",IF(OR(J73="?",J74="?",J75="?"),"?",IF(AND(J73="NA",J74="NA",J75="NA"),"NA",SUM(J73,J74,J75)/((J73&lt;&gt;"NA")*$H$73+(J74&lt;&gt;"NA")*$H$74+(J75&lt;&gt;"NA")*$H$75)*$H72)))</f>
        <v>0</v>
      </c>
      <c r="K72" s="78" t="str">
        <f aca="false">IF(OR(K73="ER",K74="ER",K75="ER"),"ER",IF(OR(K73="?",K74="?",K75="?"),"?",IF(AND(K73="NA",K74="NA",K75="NA"),"NA",SUM(K73,K74,K75)/((K73&lt;&gt;"NA")*$H$73+(K74&lt;&gt;"NA")*$H$74+(K75&lt;&gt;"NA")*$H$75)*$H72)))</f>
        <v>?</v>
      </c>
      <c r="L72" s="78" t="str">
        <f aca="false">IF(OR(L73="ER",L74="ER",L75="ER"),"ER",IF(OR(L73="?",L74="?",L75="?"),"?",IF(AND(L73="NA",L74="NA",L75="NA"),"NA",SUM(L73,L74,L75)/((L73&lt;&gt;"NA")*$H$73+(L74&lt;&gt;"NA")*$H$74+(L75&lt;&gt;"NA")*$H$75)*$H72)))</f>
        <v>?</v>
      </c>
      <c r="M72" s="78" t="str">
        <f aca="false">IF(OR(M73="ER",M74="ER",M75="ER"),"ER",IF(OR(M73="?",M74="?",M75="?"),"?",IF(AND(M73="NA",M74="NA",M75="NA"),"NA",SUM(M73,M74,M75)/((M73&lt;&gt;"NA")*$H$73+(M74&lt;&gt;"NA")*$H$74+(M75&lt;&gt;"NA")*$H$75)*$H72)))</f>
        <v>?</v>
      </c>
      <c r="N72" s="78" t="str">
        <f aca="false">IF(OR(N73="ER",N74="ER",N75="ER"),"ER",IF(OR(N73="?",N74="?",N75="?"),"?",IF(AND(N73="NA",N74="NA",N75="NA"),"NA",SUM(N73,N74,N75)/((N73&lt;&gt;"NA")*$H$73+(N74&lt;&gt;"NA")*$H$74+(N75&lt;&gt;"NA")*$H$75)*$H72)))</f>
        <v>?</v>
      </c>
      <c r="O72" s="78" t="str">
        <f aca="false">IF(OR(O73="ER",O74="ER",O75="ER"),"ER",IF(OR(O73="?",O74="?",O75="?"),"?",IF(AND(O73="NA",O74="NA",O75="NA"),"NA",SUM(O73,O74,O75)/((O73&lt;&gt;"NA")*$H$73+(O74&lt;&gt;"NA")*$H$74+(O75&lt;&gt;"NA")*$H$75)*$H72)))</f>
        <v>?</v>
      </c>
      <c r="P72" s="78" t="str">
        <f aca="false">IF(OR(P73="ER",P74="ER",P75="ER"),"ER",IF(OR(P73="?",P74="?",P75="?"),"?",IF(AND(P73="NA",P74="NA",P75="NA"),"NA",SUM(P73,P74,P75)/((P73&lt;&gt;"NA")*$H$73+(P74&lt;&gt;"NA")*$H$74+(P75&lt;&gt;"NA")*$H$75)*$H72)))</f>
        <v>?</v>
      </c>
      <c r="Q72" s="78" t="str">
        <f aca="false">IF(OR(Q73="ER",Q74="ER",Q75="ER"),"ER",IF(OR(Q73="?",Q74="?",Q75="?"),"?",IF(AND(Q73="NA",Q74="NA",Q75="NA"),"NA",SUM(Q73,Q74,Q75)/((Q73&lt;&gt;"NA")*$H$73+(Q74&lt;&gt;"NA")*$H$74+(Q75&lt;&gt;"NA")*$H$75)*$H72)))</f>
        <v>?</v>
      </c>
      <c r="R72" s="78" t="str">
        <f aca="false">IF(OR(R73="ER",R74="ER",R75="ER"),"ER",IF(OR(R73="?",R74="?",R75="?"),"?",IF(AND(R73="NA",R74="NA",R75="NA"),"NA",SUM(R73,R74,R75)/((R73&lt;&gt;"NA")*$H$73+(R74&lt;&gt;"NA")*$H$74+(R75&lt;&gt;"NA")*$H$75)*$H72)))</f>
        <v>?</v>
      </c>
      <c r="S72" s="78" t="str">
        <f aca="false">IF(OR(S73="ER",S74="ER",S75="ER"),"ER",IF(OR(S73="?",S74="?",S75="?"),"?",IF(AND(S73="NA",S74="NA",S75="NA"),"NA",SUM(S73,S74,S75)/((S73&lt;&gt;"NA")*$H$73+(S74&lt;&gt;"NA")*$H$74+(S75&lt;&gt;"NA")*$H$75)*$H72)))</f>
        <v>?</v>
      </c>
      <c r="T72" s="78" t="str">
        <f aca="false">IF(OR(T73="ER",T74="ER",T75="ER"),"ER",IF(OR(T73="?",T74="?",T75="?"),"?",IF(AND(T73="NA",T74="NA",T75="NA"),"NA",SUM(T73,T74,T75)/((T73&lt;&gt;"NA")*$H$73+(T74&lt;&gt;"NA")*$H$74+(T75&lt;&gt;"NA")*$H$75)*$H72)))</f>
        <v>?</v>
      </c>
      <c r="U72" s="78" t="str">
        <f aca="false">IF(OR(U73="ER",U74="ER",U75="ER"),"ER",IF(OR(U73="?",U74="?",U75="?"),"?",IF(AND(U73="NA",U74="NA",U75="NA"),"NA",SUM(U73,U74,U75)/((U73&lt;&gt;"NA")*$H$73+(U74&lt;&gt;"NA")*$H$74+(U75&lt;&gt;"NA")*$H$75)*$H72)))</f>
        <v>?</v>
      </c>
      <c r="V72" s="78" t="str">
        <f aca="false">IF(OR(V73="ER",V74="ER",V75="ER"),"ER",IF(OR(V73="?",V74="?",V75="?"),"?",IF(AND(V73="NA",V74="NA",V75="NA"),"NA",SUM(V73,V74,V75)/((V73&lt;&gt;"NA")*$H$73+(V74&lt;&gt;"NA")*$H$74+(V75&lt;&gt;"NA")*$H$75)*$H72)))</f>
        <v>?</v>
      </c>
      <c r="W72" s="78" t="str">
        <f aca="false">IF(OR(W73="ER",W74="ER",W75="ER"),"ER",IF(OR(W73="?",W74="?",W75="?"),"?",IF(AND(W73="NA",W74="NA",W75="NA"),"NA",SUM(W73,W74,W75)/((W73&lt;&gt;"NA")*$H$73+(W74&lt;&gt;"NA")*$H$74+(W75&lt;&gt;"NA")*$H$75)*$H72)))</f>
        <v>?</v>
      </c>
      <c r="X72" s="78" t="str">
        <f aca="false">IF(OR(X73="ER",X74="ER",X75="ER"),"ER",IF(OR(X73="?",X74="?",X75="?"),"?",IF(AND(X73="NA",X74="NA",X75="NA"),"NA",SUM(X73,X74,X75)/((X73&lt;&gt;"NA")*$H$73+(X74&lt;&gt;"NA")*$H$74+(X75&lt;&gt;"NA")*$H$75)*$H72)))</f>
        <v>?</v>
      </c>
      <c r="Y72" s="78" t="str">
        <f aca="false">IF(OR(Y73="ER",Y74="ER",Y75="ER"),"ER",IF(OR(Y73="?",Y74="?",Y75="?"),"?",IF(AND(Y73="NA",Y74="NA",Y75="NA"),"NA",SUM(Y73,Y74,Y75)/((Y73&lt;&gt;"NA")*$H$73+(Y74&lt;&gt;"NA")*$H$74+(Y75&lt;&gt;"NA")*$H$75)*$H72)))</f>
        <v>?</v>
      </c>
      <c r="Z72" s="78" t="str">
        <f aca="false">IF(OR(Z73="ER",Z74="ER",Z75="ER"),"ER",IF(OR(Z73="?",Z74="?",Z75="?"),"?",IF(AND(Z73="NA",Z74="NA",Z75="NA"),"NA",SUM(Z73,Z74,Z75)/((Z73&lt;&gt;"NA")*$H$73+(Z74&lt;&gt;"NA")*$H$74+(Z75&lt;&gt;"NA")*$H$75)*$H72)))</f>
        <v>?</v>
      </c>
      <c r="AA72" s="78" t="str">
        <f aca="false">IF(OR(AA73="ER",AA74="ER",AA75="ER"),"ER",IF(OR(AA73="?",AA74="?",AA75="?"),"?",IF(AND(AA73="NA",AA74="NA",AA75="NA"),"NA",SUM(AA73,AA74,AA75)/((AA73&lt;&gt;"NA")*$H$73+(AA74&lt;&gt;"NA")*$H$74+(AA75&lt;&gt;"NA")*$H$75)*$H72)))</f>
        <v>?</v>
      </c>
      <c r="AB72" s="78" t="str">
        <f aca="false">IF(OR(AB73="ER",AB74="ER",AB75="ER"),"ER",IF(OR(AB73="?",AB74="?",AB75="?"),"?",IF(AND(AB73="NA",AB74="NA",AB75="NA"),"NA",SUM(AB73,AB74,AB75)/((AB73&lt;&gt;"NA")*$H$73+(AB74&lt;&gt;"NA")*$H$74+(AB75&lt;&gt;"NA")*$H$75)*$H72)))</f>
        <v>?</v>
      </c>
      <c r="AC72" s="78" t="str">
        <f aca="false">IF(OR(AC73="ER",AC74="ER",AC75="ER"),"ER",IF(OR(AC73="?",AC74="?",AC75="?"),"?",IF(AND(AC73="NA",AC74="NA",AC75="NA"),"NA",SUM(AC73,AC74,AC75)/((AC73&lt;&gt;"NA")*$H$73+(AC74&lt;&gt;"NA")*$H$74+(AC75&lt;&gt;"NA")*$H$75)*$H72)))</f>
        <v>?</v>
      </c>
      <c r="AD72" s="78" t="str">
        <f aca="false">IF(OR(AD73="ER",AD74="ER",AD75="ER"),"ER",IF(OR(AD73="?",AD74="?",AD75="?"),"?",IF(AND(AD73="NA",AD74="NA",AD75="NA"),"NA",SUM(AD73,AD74,AD75)/((AD73&lt;&gt;"NA")*$H$73+(AD74&lt;&gt;"NA")*$H$74+(AD75&lt;&gt;"NA")*$H$75)*$H72)))</f>
        <v>?</v>
      </c>
      <c r="AE72" s="78" t="str">
        <f aca="false">IF(OR(AE73="ER",AE74="ER",AE75="ER"),"ER",IF(OR(AE73="?",AE74="?",AE75="?"),"?",IF(AND(AE73="NA",AE74="NA",AE75="NA"),"NA",SUM(AE73,AE74,AE75)/((AE73&lt;&gt;"NA")*$H$73+(AE74&lt;&gt;"NA")*$H$74+(AE75&lt;&gt;"NA")*$H$75)*$H72)))</f>
        <v>?</v>
      </c>
      <c r="AF72" s="78" t="str">
        <f aca="false">IF(OR(AF73="ER",AF74="ER",AF75="ER"),"ER",IF(OR(AF73="?",AF74="?",AF75="?"),"?",IF(AND(AF73="NA",AF74="NA",AF75="NA"),"NA",SUM(AF73,AF74,AF75)/((AF73&lt;&gt;"NA")*$H$73+(AF74&lt;&gt;"NA")*$H$74+(AF75&lt;&gt;"NA")*$H$75)*$H72)))</f>
        <v>?</v>
      </c>
      <c r="AG72" s="78" t="str">
        <f aca="false">IF(OR(AG73="ER",AG74="ER",AG75="ER"),"ER",IF(OR(AG73="?",AG74="?",AG75="?"),"?",IF(AND(AG73="NA",AG74="NA",AG75="NA"),"NA",SUM(AG73,AG74,AG75)/((AG73&lt;&gt;"NA")*$H$73+(AG74&lt;&gt;"NA")*$H$74+(AG75&lt;&gt;"NA")*$H$75)*$H72)))</f>
        <v>?</v>
      </c>
      <c r="AH72" s="78" t="str">
        <f aca="false">IF(OR(AH73="ER",AH74="ER",AH75="ER"),"ER",IF(OR(AH73="?",AH74="?",AH75="?"),"?",IF(AND(AH73="NA",AH74="NA",AH75="NA"),"NA",SUM(AH73,AH74,AH75)/((AH73&lt;&gt;"NA")*$H$73+(AH74&lt;&gt;"NA")*$H$74+(AH75&lt;&gt;"NA")*$H$75)*$H72)))</f>
        <v>?</v>
      </c>
      <c r="AI72" s="78" t="str">
        <f aca="false">IF(OR(AI73="ER",AI74="ER",AI75="ER"),"ER",IF(OR(AI73="?",AI74="?",AI75="?"),"?",IF(AND(AI73="NA",AI74="NA",AI75="NA"),"NA",SUM(AI73,AI74,AI75)/((AI73&lt;&gt;"NA")*$H$73+(AI74&lt;&gt;"NA")*$H$74+(AI75&lt;&gt;"NA")*$H$75)*$H72)))</f>
        <v>?</v>
      </c>
      <c r="AJ72" s="78" t="str">
        <f aca="false">IF(OR(AJ73="ER",AJ74="ER",AJ75="ER"),"ER",IF(OR(AJ73="?",AJ74="?",AJ75="?"),"?",IF(AND(AJ73="NA",AJ74="NA",AJ75="NA"),"NA",SUM(AJ73,AJ74,AJ75)/((AJ73&lt;&gt;"NA")*$H$73+(AJ74&lt;&gt;"NA")*$H$74+(AJ75&lt;&gt;"NA")*$H$75)*$H72)))</f>
        <v>?</v>
      </c>
      <c r="AK72" s="78" t="str">
        <f aca="false">IF(OR(AK73="ER",AK74="ER",AK75="ER"),"ER",IF(OR(AK73="?",AK74="?",AK75="?"),"?",IF(AND(AK73="NA",AK74="NA",AK75="NA"),"NA",SUM(AK73,AK74,AK75)/((AK73&lt;&gt;"NA")*$H$73+(AK74&lt;&gt;"NA")*$H$74+(AK75&lt;&gt;"NA")*$H$75)*$H72)))</f>
        <v>?</v>
      </c>
    </row>
    <row r="73" customFormat="false" ht="14.25" hidden="false" customHeight="true" outlineLevel="0" collapsed="false">
      <c r="A73" s="74" t="s">
        <v>329</v>
      </c>
      <c r="B73" s="75" t="str">
        <f aca="false">IF(ISBLANK($A73),"NO_CODE",VLOOKUP($A73,'UPD Questions_290926 '!$E$1:$N$300,MATCH(B$1,'UPD Questions_290926 '!$E$1:$N$1,0),0)&amp;"")</f>
        <v>Implementation</v>
      </c>
      <c r="C73" s="75" t="str">
        <f aca="false">IF(ISBLANK($A73),"NO_CODE",VLOOKUP($A73,'UPD Questions_290926 '!$E$1:$N$300,MATCH(C$1,'UPD Questions_290926 '!$E$1:$N$1,0),0)&amp;"")</f>
        <v>Sectoral planning</v>
      </c>
      <c r="D73" s="75" t="str">
        <f aca="false">IF(ISBLANK($A73),"NO_CODE",VLOOKUP($A73,'UPD Questions_290926 '!$E$1:$N$300,MATCH(D$1,'UPD Questions_290926 '!$E$1:$N$1,0),0)&amp;"")</f>
        <v>Economic development planning</v>
      </c>
      <c r="E73" s="75" t="str">
        <f aca="false">IF(ISBLANK($A73),"NO_CODE",VLOOKUP($A73,'UPD Questions_290926 '!$E$1:$N$300,MATCH(E$1,'UPD Questions_290926 '!$E$1:$N$1,0),0)&amp;"")</f>
        <v>SQ</v>
      </c>
      <c r="F73" s="75" t="str">
        <f aca="false">IF(ISBLANK($A73),"NO_CODE",VLOOKUP($A73,'UPD Questions_290926 '!$E$1:$N$300,MATCH(F$1,'UPD Questions_290926 '!$E$1:$N$1,0),0)&amp;"")</f>
        <v>Does the city have a notified and active Economic Vision Plan?</v>
      </c>
      <c r="G73" s="75" t="str">
        <f aca="false">IF(ISBLANK($A73),"NO_CODE",VLOOKUP($A73,'UPD Questions_290926 '!$E$1:$N$300,MATCH(G$1,'UPD Questions_290926 '!$E$1:$N$1,0),0)&amp;"")</f>
        <v>Implementation</v>
      </c>
      <c r="H73" s="77" t="n">
        <f aca="false">IF(ISBLANK($A73),"NO_CODE",VLOOKUP($A73,'UPD Questions_290926 '!$E$1:$N$300,MATCH(H$1,'UPD Questions_290926 '!$E$1:$N$1,0),0))</f>
        <v>3.33</v>
      </c>
      <c r="I73" s="78" t="str">
        <f aca="true">IF($H73=0,"NA",IF($A73=INDIRECT("'"&amp;$A73&amp;"'!$B$1"),IF(VLOOKUP(I$1,INDIRECT("'"&amp;$A73&amp;"'!$A$12:$Z$41"),MATCH("Points (Auto-generate)",INDIRECT("'"&amp;$A73&amp;"'!$A$12:$Z$12"),0),0)="","?",VLOOKUP(I$1,INDIRECT("'"&amp;$A73&amp;"'!$A$12:$Z$41"),MATCH("Points (Auto-generate)",INDIRECT("'"&amp;$A73&amp;"'!$A$12:$Z$12"),0),0)),"ER"))</f>
        <v>?</v>
      </c>
      <c r="J73" s="78" t="n">
        <f aca="true">IF($H73=0,"NA",IF($A73=INDIRECT("'"&amp;$A73&amp;"'!$B$1"),IF(VLOOKUP(J$1,INDIRECT("'"&amp;$A73&amp;"'!$A$12:$Z$41"),MATCH("Points (Auto-generate)",INDIRECT("'"&amp;$A73&amp;"'!$A$12:$Z$12"),0),0)="","?",VLOOKUP(J$1,INDIRECT("'"&amp;$A73&amp;"'!$A$12:$Z$41"),MATCH("Points (Auto-generate)",INDIRECT("'"&amp;$A73&amp;"'!$A$12:$Z$12"),0),0)),"ER"))</f>
        <v>0</v>
      </c>
      <c r="K73" s="78" t="str">
        <f aca="true">IF($H73=0,"NA",IF($A73=INDIRECT("'"&amp;$A73&amp;"'!$B$1"),IF(VLOOKUP(K$1,INDIRECT("'"&amp;$A73&amp;"'!$A$12:$Z$41"),MATCH("Points (Auto-generate)",INDIRECT("'"&amp;$A73&amp;"'!$A$12:$Z$12"),0),0)="","?",VLOOKUP(K$1,INDIRECT("'"&amp;$A73&amp;"'!$A$12:$Z$41"),MATCH("Points (Auto-generate)",INDIRECT("'"&amp;$A73&amp;"'!$A$12:$Z$12"),0),0)),"ER"))</f>
        <v>?</v>
      </c>
      <c r="L73" s="78" t="str">
        <f aca="true">IF($H73=0,"NA",IF($A73=INDIRECT("'"&amp;$A73&amp;"'!$B$1"),IF(VLOOKUP(L$1,INDIRECT("'"&amp;$A73&amp;"'!$A$12:$Z$41"),MATCH("Points (Auto-generate)",INDIRECT("'"&amp;$A73&amp;"'!$A$12:$Z$12"),0),0)="","?",VLOOKUP(L$1,INDIRECT("'"&amp;$A73&amp;"'!$A$12:$Z$41"),MATCH("Points (Auto-generate)",INDIRECT("'"&amp;$A73&amp;"'!$A$12:$Z$12"),0),0)),"ER"))</f>
        <v>?</v>
      </c>
      <c r="M73" s="78" t="str">
        <f aca="true">IF($H73=0,"NA",IF($A73=INDIRECT("'"&amp;$A73&amp;"'!$B$1"),IF(VLOOKUP(M$1,INDIRECT("'"&amp;$A73&amp;"'!$A$12:$Z$41"),MATCH("Points (Auto-generate)",INDIRECT("'"&amp;$A73&amp;"'!$A$12:$Z$12"),0),0)="","?",VLOOKUP(M$1,INDIRECT("'"&amp;$A73&amp;"'!$A$12:$Z$41"),MATCH("Points (Auto-generate)",INDIRECT("'"&amp;$A73&amp;"'!$A$12:$Z$12"),0),0)),"ER"))</f>
        <v>?</v>
      </c>
      <c r="N73" s="78" t="str">
        <f aca="true">IF($H73=0,"NA",IF($A73=INDIRECT("'"&amp;$A73&amp;"'!$B$1"),IF(VLOOKUP(N$1,INDIRECT("'"&amp;$A73&amp;"'!$A$12:$Z$41"),MATCH("Points (Auto-generate)",INDIRECT("'"&amp;$A73&amp;"'!$A$12:$Z$12"),0),0)="","?",VLOOKUP(N$1,INDIRECT("'"&amp;$A73&amp;"'!$A$12:$Z$41"),MATCH("Points (Auto-generate)",INDIRECT("'"&amp;$A73&amp;"'!$A$12:$Z$12"),0),0)),"ER"))</f>
        <v>?</v>
      </c>
      <c r="O73" s="78" t="str">
        <f aca="true">IF($H73=0,"NA",IF($A73=INDIRECT("'"&amp;$A73&amp;"'!$B$1"),IF(VLOOKUP(O$1,INDIRECT("'"&amp;$A73&amp;"'!$A$12:$Z$41"),MATCH("Points (Auto-generate)",INDIRECT("'"&amp;$A73&amp;"'!$A$12:$Z$12"),0),0)="","?",VLOOKUP(O$1,INDIRECT("'"&amp;$A73&amp;"'!$A$12:$Z$41"),MATCH("Points (Auto-generate)",INDIRECT("'"&amp;$A73&amp;"'!$A$12:$Z$12"),0),0)),"ER"))</f>
        <v>?</v>
      </c>
      <c r="P73" s="78" t="str">
        <f aca="true">IF($H73=0,"NA",IF($A73=INDIRECT("'"&amp;$A73&amp;"'!$B$1"),IF(VLOOKUP(P$1,INDIRECT("'"&amp;$A73&amp;"'!$A$12:$Z$41"),MATCH("Points (Auto-generate)",INDIRECT("'"&amp;$A73&amp;"'!$A$12:$Z$12"),0),0)="","?",VLOOKUP(P$1,INDIRECT("'"&amp;$A73&amp;"'!$A$12:$Z$41"),MATCH("Points (Auto-generate)",INDIRECT("'"&amp;$A73&amp;"'!$A$12:$Z$12"),0),0)),"ER"))</f>
        <v>?</v>
      </c>
      <c r="Q73" s="78" t="str">
        <f aca="true">IF($H73=0,"NA",IF($A73=INDIRECT("'"&amp;$A73&amp;"'!$B$1"),IF(VLOOKUP(Q$1,INDIRECT("'"&amp;$A73&amp;"'!$A$12:$Z$41"),MATCH("Points (Auto-generate)",INDIRECT("'"&amp;$A73&amp;"'!$A$12:$Z$12"),0),0)="","?",VLOOKUP(Q$1,INDIRECT("'"&amp;$A73&amp;"'!$A$12:$Z$41"),MATCH("Points (Auto-generate)",INDIRECT("'"&amp;$A73&amp;"'!$A$12:$Z$12"),0),0)),"ER"))</f>
        <v>?</v>
      </c>
      <c r="R73" s="78" t="str">
        <f aca="true">IF($H73=0,"NA",IF($A73=INDIRECT("'"&amp;$A73&amp;"'!$B$1"),IF(VLOOKUP(R$1,INDIRECT("'"&amp;$A73&amp;"'!$A$12:$Z$41"),MATCH("Points (Auto-generate)",INDIRECT("'"&amp;$A73&amp;"'!$A$12:$Z$12"),0),0)="","?",VLOOKUP(R$1,INDIRECT("'"&amp;$A73&amp;"'!$A$12:$Z$41"),MATCH("Points (Auto-generate)",INDIRECT("'"&amp;$A73&amp;"'!$A$12:$Z$12"),0),0)),"ER"))</f>
        <v>?</v>
      </c>
      <c r="S73" s="78" t="str">
        <f aca="true">IF($H73=0,"NA",IF($A73=INDIRECT("'"&amp;$A73&amp;"'!$B$1"),IF(VLOOKUP(S$1,INDIRECT("'"&amp;$A73&amp;"'!$A$12:$Z$41"),MATCH("Points (Auto-generate)",INDIRECT("'"&amp;$A73&amp;"'!$A$12:$Z$12"),0),0)="","?",VLOOKUP(S$1,INDIRECT("'"&amp;$A73&amp;"'!$A$12:$Z$41"),MATCH("Points (Auto-generate)",INDIRECT("'"&amp;$A73&amp;"'!$A$12:$Z$12"),0),0)),"ER"))</f>
        <v>?</v>
      </c>
      <c r="T73" s="78" t="str">
        <f aca="true">IF($H73=0,"NA",IF($A73=INDIRECT("'"&amp;$A73&amp;"'!$B$1"),IF(VLOOKUP(T$1,INDIRECT("'"&amp;$A73&amp;"'!$A$12:$Z$41"),MATCH("Points (Auto-generate)",INDIRECT("'"&amp;$A73&amp;"'!$A$12:$Z$12"),0),0)="","?",VLOOKUP(T$1,INDIRECT("'"&amp;$A73&amp;"'!$A$12:$Z$41"),MATCH("Points (Auto-generate)",INDIRECT("'"&amp;$A73&amp;"'!$A$12:$Z$12"),0),0)),"ER"))</f>
        <v>?</v>
      </c>
      <c r="U73" s="78" t="str">
        <f aca="true">IF($H73=0,"NA",IF($A73=INDIRECT("'"&amp;$A73&amp;"'!$B$1"),IF(VLOOKUP(U$1,INDIRECT("'"&amp;$A73&amp;"'!$A$12:$Z$41"),MATCH("Points (Auto-generate)",INDIRECT("'"&amp;$A73&amp;"'!$A$12:$Z$12"),0),0)="","?",VLOOKUP(U$1,INDIRECT("'"&amp;$A73&amp;"'!$A$12:$Z$41"),MATCH("Points (Auto-generate)",INDIRECT("'"&amp;$A73&amp;"'!$A$12:$Z$12"),0),0)),"ER"))</f>
        <v>?</v>
      </c>
      <c r="V73" s="78" t="str">
        <f aca="true">IF($H73=0,"NA",IF($A73=INDIRECT("'"&amp;$A73&amp;"'!$B$1"),IF(VLOOKUP(V$1,INDIRECT("'"&amp;$A73&amp;"'!$A$12:$Z$41"),MATCH("Points (Auto-generate)",INDIRECT("'"&amp;$A73&amp;"'!$A$12:$Z$12"),0),0)="","?",VLOOKUP(V$1,INDIRECT("'"&amp;$A73&amp;"'!$A$12:$Z$41"),MATCH("Points (Auto-generate)",INDIRECT("'"&amp;$A73&amp;"'!$A$12:$Z$12"),0),0)),"ER"))</f>
        <v>?</v>
      </c>
      <c r="W73" s="78" t="str">
        <f aca="true">IF($H73=0,"NA",IF($A73=INDIRECT("'"&amp;$A73&amp;"'!$B$1"),IF(VLOOKUP(W$1,INDIRECT("'"&amp;$A73&amp;"'!$A$12:$Z$41"),MATCH("Points (Auto-generate)",INDIRECT("'"&amp;$A73&amp;"'!$A$12:$Z$12"),0),0)="","?",VLOOKUP(W$1,INDIRECT("'"&amp;$A73&amp;"'!$A$12:$Z$41"),MATCH("Points (Auto-generate)",INDIRECT("'"&amp;$A73&amp;"'!$A$12:$Z$12"),0),0)),"ER"))</f>
        <v>?</v>
      </c>
      <c r="X73" s="78" t="str">
        <f aca="true">IF($H73=0,"NA",IF($A73=INDIRECT("'"&amp;$A73&amp;"'!$B$1"),IF(VLOOKUP(X$1,INDIRECT("'"&amp;$A73&amp;"'!$A$12:$Z$41"),MATCH("Points (Auto-generate)",INDIRECT("'"&amp;$A73&amp;"'!$A$12:$Z$12"),0),0)="","?",VLOOKUP(X$1,INDIRECT("'"&amp;$A73&amp;"'!$A$12:$Z$41"),MATCH("Points (Auto-generate)",INDIRECT("'"&amp;$A73&amp;"'!$A$12:$Z$12"),0),0)),"ER"))</f>
        <v>?</v>
      </c>
      <c r="Y73" s="78" t="str">
        <f aca="true">IF($H73=0,"NA",IF($A73=INDIRECT("'"&amp;$A73&amp;"'!$B$1"),IF(VLOOKUP(Y$1,INDIRECT("'"&amp;$A73&amp;"'!$A$12:$Z$41"),MATCH("Points (Auto-generate)",INDIRECT("'"&amp;$A73&amp;"'!$A$12:$Z$12"),0),0)="","?",VLOOKUP(Y$1,INDIRECT("'"&amp;$A73&amp;"'!$A$12:$Z$41"),MATCH("Points (Auto-generate)",INDIRECT("'"&amp;$A73&amp;"'!$A$12:$Z$12"),0),0)),"ER"))</f>
        <v>?</v>
      </c>
      <c r="Z73" s="78" t="str">
        <f aca="true">IF($H73=0,"NA",IF($A73=INDIRECT("'"&amp;$A73&amp;"'!$B$1"),IF(VLOOKUP(Z$1,INDIRECT("'"&amp;$A73&amp;"'!$A$12:$Z$41"),MATCH("Points (Auto-generate)",INDIRECT("'"&amp;$A73&amp;"'!$A$12:$Z$12"),0),0)="","?",VLOOKUP(Z$1,INDIRECT("'"&amp;$A73&amp;"'!$A$12:$Z$41"),MATCH("Points (Auto-generate)",INDIRECT("'"&amp;$A73&amp;"'!$A$12:$Z$12"),0),0)),"ER"))</f>
        <v>?</v>
      </c>
      <c r="AA73" s="78" t="str">
        <f aca="true">IF($H73=0,"NA",IF($A73=INDIRECT("'"&amp;$A73&amp;"'!$B$1"),IF(VLOOKUP(AA$1,INDIRECT("'"&amp;$A73&amp;"'!$A$12:$Z$41"),MATCH("Points (Auto-generate)",INDIRECT("'"&amp;$A73&amp;"'!$A$12:$Z$12"),0),0)="","?",VLOOKUP(AA$1,INDIRECT("'"&amp;$A73&amp;"'!$A$12:$Z$41"),MATCH("Points (Auto-generate)",INDIRECT("'"&amp;$A73&amp;"'!$A$12:$Z$12"),0),0)),"ER"))</f>
        <v>?</v>
      </c>
      <c r="AB73" s="78" t="str">
        <f aca="true">IF($H73=0,"NA",IF($A73=INDIRECT("'"&amp;$A73&amp;"'!$B$1"),IF(VLOOKUP(AB$1,INDIRECT("'"&amp;$A73&amp;"'!$A$12:$Z$41"),MATCH("Points (Auto-generate)",INDIRECT("'"&amp;$A73&amp;"'!$A$12:$Z$12"),0),0)="","?",VLOOKUP(AB$1,INDIRECT("'"&amp;$A73&amp;"'!$A$12:$Z$41"),MATCH("Points (Auto-generate)",INDIRECT("'"&amp;$A73&amp;"'!$A$12:$Z$12"),0),0)),"ER"))</f>
        <v>?</v>
      </c>
      <c r="AC73" s="78" t="str">
        <f aca="true">IF($H73=0,"NA",IF($A73=INDIRECT("'"&amp;$A73&amp;"'!$B$1"),IF(VLOOKUP(AC$1,INDIRECT("'"&amp;$A73&amp;"'!$A$12:$Z$41"),MATCH("Points (Auto-generate)",INDIRECT("'"&amp;$A73&amp;"'!$A$12:$Z$12"),0),0)="","?",VLOOKUP(AC$1,INDIRECT("'"&amp;$A73&amp;"'!$A$12:$Z$41"),MATCH("Points (Auto-generate)",INDIRECT("'"&amp;$A73&amp;"'!$A$12:$Z$12"),0),0)),"ER"))</f>
        <v>?</v>
      </c>
      <c r="AD73" s="78" t="str">
        <f aca="true">IF($H73=0,"NA",IF($A73=INDIRECT("'"&amp;$A73&amp;"'!$B$1"),IF(VLOOKUP(AD$1,INDIRECT("'"&amp;$A73&amp;"'!$A$12:$Z$41"),MATCH("Points (Auto-generate)",INDIRECT("'"&amp;$A73&amp;"'!$A$12:$Z$12"),0),0)="","?",VLOOKUP(AD$1,INDIRECT("'"&amp;$A73&amp;"'!$A$12:$Z$41"),MATCH("Points (Auto-generate)",INDIRECT("'"&amp;$A73&amp;"'!$A$12:$Z$12"),0),0)),"ER"))</f>
        <v>?</v>
      </c>
      <c r="AE73" s="78" t="str">
        <f aca="true">IF($H73=0,"NA",IF($A73=INDIRECT("'"&amp;$A73&amp;"'!$B$1"),IF(VLOOKUP(AE$1,INDIRECT("'"&amp;$A73&amp;"'!$A$12:$Z$41"),MATCH("Points (Auto-generate)",INDIRECT("'"&amp;$A73&amp;"'!$A$12:$Z$12"),0),0)="","?",VLOOKUP(AE$1,INDIRECT("'"&amp;$A73&amp;"'!$A$12:$Z$41"),MATCH("Points (Auto-generate)",INDIRECT("'"&amp;$A73&amp;"'!$A$12:$Z$12"),0),0)),"ER"))</f>
        <v>?</v>
      </c>
      <c r="AF73" s="78" t="str">
        <f aca="true">IF($H73=0,"NA",IF($A73=INDIRECT("'"&amp;$A73&amp;"'!$B$1"),IF(VLOOKUP(AF$1,INDIRECT("'"&amp;$A73&amp;"'!$A$12:$Z$41"),MATCH("Points (Auto-generate)",INDIRECT("'"&amp;$A73&amp;"'!$A$12:$Z$12"),0),0)="","?",VLOOKUP(AF$1,INDIRECT("'"&amp;$A73&amp;"'!$A$12:$Z$41"),MATCH("Points (Auto-generate)",INDIRECT("'"&amp;$A73&amp;"'!$A$12:$Z$12"),0),0)),"ER"))</f>
        <v>?</v>
      </c>
      <c r="AG73" s="78" t="str">
        <f aca="true">IF($H73=0,"NA",IF($A73=INDIRECT("'"&amp;$A73&amp;"'!$B$1"),IF(VLOOKUP(AG$1,INDIRECT("'"&amp;$A73&amp;"'!$A$12:$Z$41"),MATCH("Points (Auto-generate)",INDIRECT("'"&amp;$A73&amp;"'!$A$12:$Z$12"),0),0)="","?",VLOOKUP(AG$1,INDIRECT("'"&amp;$A73&amp;"'!$A$12:$Z$41"),MATCH("Points (Auto-generate)",INDIRECT("'"&amp;$A73&amp;"'!$A$12:$Z$12"),0),0)),"ER"))</f>
        <v>?</v>
      </c>
      <c r="AH73" s="78" t="str">
        <f aca="true">IF($H73=0,"NA",IF($A73=INDIRECT("'"&amp;$A73&amp;"'!$B$1"),IF(VLOOKUP(AH$1,INDIRECT("'"&amp;$A73&amp;"'!$A$12:$Z$41"),MATCH("Points (Auto-generate)",INDIRECT("'"&amp;$A73&amp;"'!$A$12:$Z$12"),0),0)="","?",VLOOKUP(AH$1,INDIRECT("'"&amp;$A73&amp;"'!$A$12:$Z$41"),MATCH("Points (Auto-generate)",INDIRECT("'"&amp;$A73&amp;"'!$A$12:$Z$12"),0),0)),"ER"))</f>
        <v>?</v>
      </c>
      <c r="AI73" s="78" t="str">
        <f aca="true">IF($H73=0,"NA",IF($A73=INDIRECT("'"&amp;$A73&amp;"'!$B$1"),IF(VLOOKUP(AI$1,INDIRECT("'"&amp;$A73&amp;"'!$A$12:$Z$41"),MATCH("Points (Auto-generate)",INDIRECT("'"&amp;$A73&amp;"'!$A$12:$Z$12"),0),0)="","?",VLOOKUP(AI$1,INDIRECT("'"&amp;$A73&amp;"'!$A$12:$Z$41"),MATCH("Points (Auto-generate)",INDIRECT("'"&amp;$A73&amp;"'!$A$12:$Z$12"),0),0)),"ER"))</f>
        <v>?</v>
      </c>
      <c r="AJ73" s="78" t="str">
        <f aca="true">IF($H73=0,"NA",IF($A73=INDIRECT("'"&amp;$A73&amp;"'!$B$1"),IF(VLOOKUP(AJ$1,INDIRECT("'"&amp;$A73&amp;"'!$A$12:$Z$41"),MATCH("Points (Auto-generate)",INDIRECT("'"&amp;$A73&amp;"'!$A$12:$Z$12"),0),0)="","?",VLOOKUP(AJ$1,INDIRECT("'"&amp;$A73&amp;"'!$A$12:$Z$41"),MATCH("Points (Auto-generate)",INDIRECT("'"&amp;$A73&amp;"'!$A$12:$Z$12"),0),0)),"ER"))</f>
        <v>?</v>
      </c>
      <c r="AK73" s="78" t="str">
        <f aca="true">IF($H73=0,"NA",IF($A73=INDIRECT("'"&amp;$A73&amp;"'!$B$1"),IF(VLOOKUP(AK$1,INDIRECT("'"&amp;$A73&amp;"'!$A$12:$Z$41"),MATCH("Points (Auto-generate)",INDIRECT("'"&amp;$A73&amp;"'!$A$12:$Z$12"),0),0)="","?",VLOOKUP(AK$1,INDIRECT("'"&amp;$A73&amp;"'!$A$12:$Z$41"),MATCH("Points (Auto-generate)",INDIRECT("'"&amp;$A73&amp;"'!$A$12:$Z$12"),0),0)),"ER"))</f>
        <v>?</v>
      </c>
    </row>
    <row r="74" customFormat="false" ht="14.25" hidden="false" customHeight="true" outlineLevel="0" collapsed="false">
      <c r="A74" s="74" t="s">
        <v>333</v>
      </c>
      <c r="B74" s="75" t="str">
        <f aca="false">IF(ISBLANK($A74),"NO_CODE",VLOOKUP($A74,'UPD Questions_290926 '!$E$1:$N$300,MATCH(B$1,'UPD Questions_290926 '!$E$1:$N$1,0),0)&amp;"")</f>
        <v>Implementation</v>
      </c>
      <c r="C74" s="75" t="str">
        <f aca="false">IF(ISBLANK($A74),"NO_CODE",VLOOKUP($A74,'UPD Questions_290926 '!$E$1:$N$300,MATCH(C$1,'UPD Questions_290926 '!$E$1:$N$1,0),0)&amp;"")</f>
        <v>Sectoral planning</v>
      </c>
      <c r="D74" s="75" t="str">
        <f aca="false">IF(ISBLANK($A74),"NO_CODE",VLOOKUP($A74,'UPD Questions_290926 '!$E$1:$N$300,MATCH(D$1,'UPD Questions_290926 '!$E$1:$N$1,0),0)&amp;"")</f>
        <v>Economic development planning</v>
      </c>
      <c r="E74" s="75" t="str">
        <f aca="false">IF(ISBLANK($A74),"NO_CODE",VLOOKUP($A74,'UPD Questions_290926 '!$E$1:$N$300,MATCH(E$1,'UPD Questions_290926 '!$E$1:$N$1,0),0)&amp;"")</f>
        <v>SQ</v>
      </c>
      <c r="F74" s="75" t="str">
        <f aca="false">IF(ISBLANK($A74),"NO_CODE",VLOOKUP($A74,'UPD Questions_290926 '!$E$1:$N$300,MATCH(F$1,'UPD Questions_290926 '!$E$1:$N$1,0),0)&amp;"")</f>
        <v>Does the plan have development priorities and measurable objectives?</v>
      </c>
      <c r="G74" s="75" t="str">
        <f aca="false">IF(ISBLANK($A74),"NO_CODE",VLOOKUP($A74,'UPD Questions_290926 '!$E$1:$N$300,MATCH(G$1,'UPD Questions_290926 '!$E$1:$N$1,0),0)&amp;"")</f>
        <v>Implementation</v>
      </c>
      <c r="H74" s="77" t="n">
        <f aca="false">IF(ISBLANK($A74),"NO_CODE",VLOOKUP($A74,'UPD Questions_290926 '!$E$1:$N$300,MATCH(H$1,'UPD Questions_290926 '!$E$1:$N$1,0),0))</f>
        <v>3.33</v>
      </c>
      <c r="I74" s="78" t="str">
        <f aca="true">IF($H74=0,"NA",IF($A74=INDIRECT("'"&amp;$A74&amp;"'!$B$1"),IF(VLOOKUP(I$1,INDIRECT("'"&amp;$A74&amp;"'!$A$12:$Z$41"),MATCH("Points (Auto-generate)",INDIRECT("'"&amp;$A74&amp;"'!$A$12:$Z$12"),0),0)="","?",VLOOKUP(I$1,INDIRECT("'"&amp;$A74&amp;"'!$A$12:$Z$41"),MATCH("Points (Auto-generate)",INDIRECT("'"&amp;$A74&amp;"'!$A$12:$Z$12"),0),0)),"ER"))</f>
        <v>?</v>
      </c>
      <c r="J74" s="78" t="n">
        <f aca="true">IF($H74=0,"NA",IF($A74=INDIRECT("'"&amp;$A74&amp;"'!$B$1"),IF(VLOOKUP(J$1,INDIRECT("'"&amp;$A74&amp;"'!$A$12:$Z$41"),MATCH("Points (Auto-generate)",INDIRECT("'"&amp;$A74&amp;"'!$A$12:$Z$12"),0),0)="","?",VLOOKUP(J$1,INDIRECT("'"&amp;$A74&amp;"'!$A$12:$Z$41"),MATCH("Points (Auto-generate)",INDIRECT("'"&amp;$A74&amp;"'!$A$12:$Z$12"),0),0)),"ER"))</f>
        <v>0</v>
      </c>
      <c r="K74" s="78" t="str">
        <f aca="true">IF($H74=0,"NA",IF($A74=INDIRECT("'"&amp;$A74&amp;"'!$B$1"),IF(VLOOKUP(K$1,INDIRECT("'"&amp;$A74&amp;"'!$A$12:$Z$41"),MATCH("Points (Auto-generate)",INDIRECT("'"&amp;$A74&amp;"'!$A$12:$Z$12"),0),0)="","?",VLOOKUP(K$1,INDIRECT("'"&amp;$A74&amp;"'!$A$12:$Z$41"),MATCH("Points (Auto-generate)",INDIRECT("'"&amp;$A74&amp;"'!$A$12:$Z$12"),0),0)),"ER"))</f>
        <v>?</v>
      </c>
      <c r="L74" s="78" t="str">
        <f aca="true">IF($H74=0,"NA",IF($A74=INDIRECT("'"&amp;$A74&amp;"'!$B$1"),IF(VLOOKUP(L$1,INDIRECT("'"&amp;$A74&amp;"'!$A$12:$Z$41"),MATCH("Points (Auto-generate)",INDIRECT("'"&amp;$A74&amp;"'!$A$12:$Z$12"),0),0)="","?",VLOOKUP(L$1,INDIRECT("'"&amp;$A74&amp;"'!$A$12:$Z$41"),MATCH("Points (Auto-generate)",INDIRECT("'"&amp;$A74&amp;"'!$A$12:$Z$12"),0),0)),"ER"))</f>
        <v>?</v>
      </c>
      <c r="M74" s="78" t="str">
        <f aca="true">IF($H74=0,"NA",IF($A74=INDIRECT("'"&amp;$A74&amp;"'!$B$1"),IF(VLOOKUP(M$1,INDIRECT("'"&amp;$A74&amp;"'!$A$12:$Z$41"),MATCH("Points (Auto-generate)",INDIRECT("'"&amp;$A74&amp;"'!$A$12:$Z$12"),0),0)="","?",VLOOKUP(M$1,INDIRECT("'"&amp;$A74&amp;"'!$A$12:$Z$41"),MATCH("Points (Auto-generate)",INDIRECT("'"&amp;$A74&amp;"'!$A$12:$Z$12"),0),0)),"ER"))</f>
        <v>?</v>
      </c>
      <c r="N74" s="78" t="str">
        <f aca="true">IF($H74=0,"NA",IF($A74=INDIRECT("'"&amp;$A74&amp;"'!$B$1"),IF(VLOOKUP(N$1,INDIRECT("'"&amp;$A74&amp;"'!$A$12:$Z$41"),MATCH("Points (Auto-generate)",INDIRECT("'"&amp;$A74&amp;"'!$A$12:$Z$12"),0),0)="","?",VLOOKUP(N$1,INDIRECT("'"&amp;$A74&amp;"'!$A$12:$Z$41"),MATCH("Points (Auto-generate)",INDIRECT("'"&amp;$A74&amp;"'!$A$12:$Z$12"),0),0)),"ER"))</f>
        <v>?</v>
      </c>
      <c r="O74" s="78" t="str">
        <f aca="true">IF($H74=0,"NA",IF($A74=INDIRECT("'"&amp;$A74&amp;"'!$B$1"),IF(VLOOKUP(O$1,INDIRECT("'"&amp;$A74&amp;"'!$A$12:$Z$41"),MATCH("Points (Auto-generate)",INDIRECT("'"&amp;$A74&amp;"'!$A$12:$Z$12"),0),0)="","?",VLOOKUP(O$1,INDIRECT("'"&amp;$A74&amp;"'!$A$12:$Z$41"),MATCH("Points (Auto-generate)",INDIRECT("'"&amp;$A74&amp;"'!$A$12:$Z$12"),0),0)),"ER"))</f>
        <v>?</v>
      </c>
      <c r="P74" s="78" t="str">
        <f aca="true">IF($H74=0,"NA",IF($A74=INDIRECT("'"&amp;$A74&amp;"'!$B$1"),IF(VLOOKUP(P$1,INDIRECT("'"&amp;$A74&amp;"'!$A$12:$Z$41"),MATCH("Points (Auto-generate)",INDIRECT("'"&amp;$A74&amp;"'!$A$12:$Z$12"),0),0)="","?",VLOOKUP(P$1,INDIRECT("'"&amp;$A74&amp;"'!$A$12:$Z$41"),MATCH("Points (Auto-generate)",INDIRECT("'"&amp;$A74&amp;"'!$A$12:$Z$12"),0),0)),"ER"))</f>
        <v>?</v>
      </c>
      <c r="Q74" s="78" t="str">
        <f aca="true">IF($H74=0,"NA",IF($A74=INDIRECT("'"&amp;$A74&amp;"'!$B$1"),IF(VLOOKUP(Q$1,INDIRECT("'"&amp;$A74&amp;"'!$A$12:$Z$41"),MATCH("Points (Auto-generate)",INDIRECT("'"&amp;$A74&amp;"'!$A$12:$Z$12"),0),0)="","?",VLOOKUP(Q$1,INDIRECT("'"&amp;$A74&amp;"'!$A$12:$Z$41"),MATCH("Points (Auto-generate)",INDIRECT("'"&amp;$A74&amp;"'!$A$12:$Z$12"),0),0)),"ER"))</f>
        <v>?</v>
      </c>
      <c r="R74" s="78" t="str">
        <f aca="true">IF($H74=0,"NA",IF($A74=INDIRECT("'"&amp;$A74&amp;"'!$B$1"),IF(VLOOKUP(R$1,INDIRECT("'"&amp;$A74&amp;"'!$A$12:$Z$41"),MATCH("Points (Auto-generate)",INDIRECT("'"&amp;$A74&amp;"'!$A$12:$Z$12"),0),0)="","?",VLOOKUP(R$1,INDIRECT("'"&amp;$A74&amp;"'!$A$12:$Z$41"),MATCH("Points (Auto-generate)",INDIRECT("'"&amp;$A74&amp;"'!$A$12:$Z$12"),0),0)),"ER"))</f>
        <v>?</v>
      </c>
      <c r="S74" s="78" t="str">
        <f aca="true">IF($H74=0,"NA",IF($A74=INDIRECT("'"&amp;$A74&amp;"'!$B$1"),IF(VLOOKUP(S$1,INDIRECT("'"&amp;$A74&amp;"'!$A$12:$Z$41"),MATCH("Points (Auto-generate)",INDIRECT("'"&amp;$A74&amp;"'!$A$12:$Z$12"),0),0)="","?",VLOOKUP(S$1,INDIRECT("'"&amp;$A74&amp;"'!$A$12:$Z$41"),MATCH("Points (Auto-generate)",INDIRECT("'"&amp;$A74&amp;"'!$A$12:$Z$12"),0),0)),"ER"))</f>
        <v>?</v>
      </c>
      <c r="T74" s="78" t="str">
        <f aca="true">IF($H74=0,"NA",IF($A74=INDIRECT("'"&amp;$A74&amp;"'!$B$1"),IF(VLOOKUP(T$1,INDIRECT("'"&amp;$A74&amp;"'!$A$12:$Z$41"),MATCH("Points (Auto-generate)",INDIRECT("'"&amp;$A74&amp;"'!$A$12:$Z$12"),0),0)="","?",VLOOKUP(T$1,INDIRECT("'"&amp;$A74&amp;"'!$A$12:$Z$41"),MATCH("Points (Auto-generate)",INDIRECT("'"&amp;$A74&amp;"'!$A$12:$Z$12"),0),0)),"ER"))</f>
        <v>?</v>
      </c>
      <c r="U74" s="78" t="str">
        <f aca="true">IF($H74=0,"NA",IF($A74=INDIRECT("'"&amp;$A74&amp;"'!$B$1"),IF(VLOOKUP(U$1,INDIRECT("'"&amp;$A74&amp;"'!$A$12:$Z$41"),MATCH("Points (Auto-generate)",INDIRECT("'"&amp;$A74&amp;"'!$A$12:$Z$12"),0),0)="","?",VLOOKUP(U$1,INDIRECT("'"&amp;$A74&amp;"'!$A$12:$Z$41"),MATCH("Points (Auto-generate)",INDIRECT("'"&amp;$A74&amp;"'!$A$12:$Z$12"),0),0)),"ER"))</f>
        <v>?</v>
      </c>
      <c r="V74" s="78" t="str">
        <f aca="true">IF($H74=0,"NA",IF($A74=INDIRECT("'"&amp;$A74&amp;"'!$B$1"),IF(VLOOKUP(V$1,INDIRECT("'"&amp;$A74&amp;"'!$A$12:$Z$41"),MATCH("Points (Auto-generate)",INDIRECT("'"&amp;$A74&amp;"'!$A$12:$Z$12"),0),0)="","?",VLOOKUP(V$1,INDIRECT("'"&amp;$A74&amp;"'!$A$12:$Z$41"),MATCH("Points (Auto-generate)",INDIRECT("'"&amp;$A74&amp;"'!$A$12:$Z$12"),0),0)),"ER"))</f>
        <v>?</v>
      </c>
      <c r="W74" s="78" t="str">
        <f aca="true">IF($H74=0,"NA",IF($A74=INDIRECT("'"&amp;$A74&amp;"'!$B$1"),IF(VLOOKUP(W$1,INDIRECT("'"&amp;$A74&amp;"'!$A$12:$Z$41"),MATCH("Points (Auto-generate)",INDIRECT("'"&amp;$A74&amp;"'!$A$12:$Z$12"),0),0)="","?",VLOOKUP(W$1,INDIRECT("'"&amp;$A74&amp;"'!$A$12:$Z$41"),MATCH("Points (Auto-generate)",INDIRECT("'"&amp;$A74&amp;"'!$A$12:$Z$12"),0),0)),"ER"))</f>
        <v>?</v>
      </c>
      <c r="X74" s="78" t="str">
        <f aca="true">IF($H74=0,"NA",IF($A74=INDIRECT("'"&amp;$A74&amp;"'!$B$1"),IF(VLOOKUP(X$1,INDIRECT("'"&amp;$A74&amp;"'!$A$12:$Z$41"),MATCH("Points (Auto-generate)",INDIRECT("'"&amp;$A74&amp;"'!$A$12:$Z$12"),0),0)="","?",VLOOKUP(X$1,INDIRECT("'"&amp;$A74&amp;"'!$A$12:$Z$41"),MATCH("Points (Auto-generate)",INDIRECT("'"&amp;$A74&amp;"'!$A$12:$Z$12"),0),0)),"ER"))</f>
        <v>?</v>
      </c>
      <c r="Y74" s="78" t="str">
        <f aca="true">IF($H74=0,"NA",IF($A74=INDIRECT("'"&amp;$A74&amp;"'!$B$1"),IF(VLOOKUP(Y$1,INDIRECT("'"&amp;$A74&amp;"'!$A$12:$Z$41"),MATCH("Points (Auto-generate)",INDIRECT("'"&amp;$A74&amp;"'!$A$12:$Z$12"),0),0)="","?",VLOOKUP(Y$1,INDIRECT("'"&amp;$A74&amp;"'!$A$12:$Z$41"),MATCH("Points (Auto-generate)",INDIRECT("'"&amp;$A74&amp;"'!$A$12:$Z$12"),0),0)),"ER"))</f>
        <v>?</v>
      </c>
      <c r="Z74" s="78" t="str">
        <f aca="true">IF($H74=0,"NA",IF($A74=INDIRECT("'"&amp;$A74&amp;"'!$B$1"),IF(VLOOKUP(Z$1,INDIRECT("'"&amp;$A74&amp;"'!$A$12:$Z$41"),MATCH("Points (Auto-generate)",INDIRECT("'"&amp;$A74&amp;"'!$A$12:$Z$12"),0),0)="","?",VLOOKUP(Z$1,INDIRECT("'"&amp;$A74&amp;"'!$A$12:$Z$41"),MATCH("Points (Auto-generate)",INDIRECT("'"&amp;$A74&amp;"'!$A$12:$Z$12"),0),0)),"ER"))</f>
        <v>?</v>
      </c>
      <c r="AA74" s="78" t="str">
        <f aca="true">IF($H74=0,"NA",IF($A74=INDIRECT("'"&amp;$A74&amp;"'!$B$1"),IF(VLOOKUP(AA$1,INDIRECT("'"&amp;$A74&amp;"'!$A$12:$Z$41"),MATCH("Points (Auto-generate)",INDIRECT("'"&amp;$A74&amp;"'!$A$12:$Z$12"),0),0)="","?",VLOOKUP(AA$1,INDIRECT("'"&amp;$A74&amp;"'!$A$12:$Z$41"),MATCH("Points (Auto-generate)",INDIRECT("'"&amp;$A74&amp;"'!$A$12:$Z$12"),0),0)),"ER"))</f>
        <v>?</v>
      </c>
      <c r="AB74" s="78" t="str">
        <f aca="true">IF($H74=0,"NA",IF($A74=INDIRECT("'"&amp;$A74&amp;"'!$B$1"),IF(VLOOKUP(AB$1,INDIRECT("'"&amp;$A74&amp;"'!$A$12:$Z$41"),MATCH("Points (Auto-generate)",INDIRECT("'"&amp;$A74&amp;"'!$A$12:$Z$12"),0),0)="","?",VLOOKUP(AB$1,INDIRECT("'"&amp;$A74&amp;"'!$A$12:$Z$41"),MATCH("Points (Auto-generate)",INDIRECT("'"&amp;$A74&amp;"'!$A$12:$Z$12"),0),0)),"ER"))</f>
        <v>?</v>
      </c>
      <c r="AC74" s="78" t="str">
        <f aca="true">IF($H74=0,"NA",IF($A74=INDIRECT("'"&amp;$A74&amp;"'!$B$1"),IF(VLOOKUP(AC$1,INDIRECT("'"&amp;$A74&amp;"'!$A$12:$Z$41"),MATCH("Points (Auto-generate)",INDIRECT("'"&amp;$A74&amp;"'!$A$12:$Z$12"),0),0)="","?",VLOOKUP(AC$1,INDIRECT("'"&amp;$A74&amp;"'!$A$12:$Z$41"),MATCH("Points (Auto-generate)",INDIRECT("'"&amp;$A74&amp;"'!$A$12:$Z$12"),0),0)),"ER"))</f>
        <v>?</v>
      </c>
      <c r="AD74" s="78" t="str">
        <f aca="true">IF($H74=0,"NA",IF($A74=INDIRECT("'"&amp;$A74&amp;"'!$B$1"),IF(VLOOKUP(AD$1,INDIRECT("'"&amp;$A74&amp;"'!$A$12:$Z$41"),MATCH("Points (Auto-generate)",INDIRECT("'"&amp;$A74&amp;"'!$A$12:$Z$12"),0),0)="","?",VLOOKUP(AD$1,INDIRECT("'"&amp;$A74&amp;"'!$A$12:$Z$41"),MATCH("Points (Auto-generate)",INDIRECT("'"&amp;$A74&amp;"'!$A$12:$Z$12"),0),0)),"ER"))</f>
        <v>?</v>
      </c>
      <c r="AE74" s="78" t="str">
        <f aca="true">IF($H74=0,"NA",IF($A74=INDIRECT("'"&amp;$A74&amp;"'!$B$1"),IF(VLOOKUP(AE$1,INDIRECT("'"&amp;$A74&amp;"'!$A$12:$Z$41"),MATCH("Points (Auto-generate)",INDIRECT("'"&amp;$A74&amp;"'!$A$12:$Z$12"),0),0)="","?",VLOOKUP(AE$1,INDIRECT("'"&amp;$A74&amp;"'!$A$12:$Z$41"),MATCH("Points (Auto-generate)",INDIRECT("'"&amp;$A74&amp;"'!$A$12:$Z$12"),0),0)),"ER"))</f>
        <v>?</v>
      </c>
      <c r="AF74" s="78" t="str">
        <f aca="true">IF($H74=0,"NA",IF($A74=INDIRECT("'"&amp;$A74&amp;"'!$B$1"),IF(VLOOKUP(AF$1,INDIRECT("'"&amp;$A74&amp;"'!$A$12:$Z$41"),MATCH("Points (Auto-generate)",INDIRECT("'"&amp;$A74&amp;"'!$A$12:$Z$12"),0),0)="","?",VLOOKUP(AF$1,INDIRECT("'"&amp;$A74&amp;"'!$A$12:$Z$41"),MATCH("Points (Auto-generate)",INDIRECT("'"&amp;$A74&amp;"'!$A$12:$Z$12"),0),0)),"ER"))</f>
        <v>?</v>
      </c>
      <c r="AG74" s="78" t="str">
        <f aca="true">IF($H74=0,"NA",IF($A74=INDIRECT("'"&amp;$A74&amp;"'!$B$1"),IF(VLOOKUP(AG$1,INDIRECT("'"&amp;$A74&amp;"'!$A$12:$Z$41"),MATCH("Points (Auto-generate)",INDIRECT("'"&amp;$A74&amp;"'!$A$12:$Z$12"),0),0)="","?",VLOOKUP(AG$1,INDIRECT("'"&amp;$A74&amp;"'!$A$12:$Z$41"),MATCH("Points (Auto-generate)",INDIRECT("'"&amp;$A74&amp;"'!$A$12:$Z$12"),0),0)),"ER"))</f>
        <v>?</v>
      </c>
      <c r="AH74" s="78" t="str">
        <f aca="true">IF($H74=0,"NA",IF($A74=INDIRECT("'"&amp;$A74&amp;"'!$B$1"),IF(VLOOKUP(AH$1,INDIRECT("'"&amp;$A74&amp;"'!$A$12:$Z$41"),MATCH("Points (Auto-generate)",INDIRECT("'"&amp;$A74&amp;"'!$A$12:$Z$12"),0),0)="","?",VLOOKUP(AH$1,INDIRECT("'"&amp;$A74&amp;"'!$A$12:$Z$41"),MATCH("Points (Auto-generate)",INDIRECT("'"&amp;$A74&amp;"'!$A$12:$Z$12"),0),0)),"ER"))</f>
        <v>?</v>
      </c>
      <c r="AI74" s="78" t="str">
        <f aca="true">IF($H74=0,"NA",IF($A74=INDIRECT("'"&amp;$A74&amp;"'!$B$1"),IF(VLOOKUP(AI$1,INDIRECT("'"&amp;$A74&amp;"'!$A$12:$Z$41"),MATCH("Points (Auto-generate)",INDIRECT("'"&amp;$A74&amp;"'!$A$12:$Z$12"),0),0)="","?",VLOOKUP(AI$1,INDIRECT("'"&amp;$A74&amp;"'!$A$12:$Z$41"),MATCH("Points (Auto-generate)",INDIRECT("'"&amp;$A74&amp;"'!$A$12:$Z$12"),0),0)),"ER"))</f>
        <v>?</v>
      </c>
      <c r="AJ74" s="78" t="str">
        <f aca="true">IF($H74=0,"NA",IF($A74=INDIRECT("'"&amp;$A74&amp;"'!$B$1"),IF(VLOOKUP(AJ$1,INDIRECT("'"&amp;$A74&amp;"'!$A$12:$Z$41"),MATCH("Points (Auto-generate)",INDIRECT("'"&amp;$A74&amp;"'!$A$12:$Z$12"),0),0)="","?",VLOOKUP(AJ$1,INDIRECT("'"&amp;$A74&amp;"'!$A$12:$Z$41"),MATCH("Points (Auto-generate)",INDIRECT("'"&amp;$A74&amp;"'!$A$12:$Z$12"),0),0)),"ER"))</f>
        <v>?</v>
      </c>
      <c r="AK74" s="78" t="str">
        <f aca="true">IF($H74=0,"NA",IF($A74=INDIRECT("'"&amp;$A74&amp;"'!$B$1"),IF(VLOOKUP(AK$1,INDIRECT("'"&amp;$A74&amp;"'!$A$12:$Z$41"),MATCH("Points (Auto-generate)",INDIRECT("'"&amp;$A74&amp;"'!$A$12:$Z$12"),0),0)="","?",VLOOKUP(AK$1,INDIRECT("'"&amp;$A74&amp;"'!$A$12:$Z$41"),MATCH("Points (Auto-generate)",INDIRECT("'"&amp;$A74&amp;"'!$A$12:$Z$12"),0),0)),"ER"))</f>
        <v>?</v>
      </c>
    </row>
    <row r="75" customFormat="false" ht="14.25" hidden="false" customHeight="true" outlineLevel="0" collapsed="false">
      <c r="A75" s="74" t="s">
        <v>336</v>
      </c>
      <c r="B75" s="75" t="str">
        <f aca="false">IF(ISBLANK($A75),"NO_CODE",VLOOKUP($A75,'UPD Questions_290926 '!$E$1:$N$300,MATCH(B$1,'UPD Questions_290926 '!$E$1:$N$1,0),0)&amp;"")</f>
        <v>Implementation</v>
      </c>
      <c r="C75" s="75" t="str">
        <f aca="false">IF(ISBLANK($A75),"NO_CODE",VLOOKUP($A75,'UPD Questions_290926 '!$E$1:$N$300,MATCH(C$1,'UPD Questions_290926 '!$E$1:$N$1,0),0)&amp;"")</f>
        <v>Sectoral planning</v>
      </c>
      <c r="D75" s="75" t="str">
        <f aca="false">IF(ISBLANK($A75),"NO_CODE",VLOOKUP($A75,'UPD Questions_290926 '!$E$1:$N$300,MATCH(D$1,'UPD Questions_290926 '!$E$1:$N$1,0),0)&amp;"")</f>
        <v>Economic development planning</v>
      </c>
      <c r="E75" s="75" t="str">
        <f aca="false">IF(ISBLANK($A75),"NO_CODE",VLOOKUP($A75,'UPD Questions_290926 '!$E$1:$N$300,MATCH(E$1,'UPD Questions_290926 '!$E$1:$N$1,0),0)&amp;"")</f>
        <v>SQ</v>
      </c>
      <c r="F75" s="75" t="str">
        <f aca="false">IF(ISBLANK($A75),"NO_CODE",VLOOKUP($A75,'UPD Questions_290926 '!$E$1:$N$300,MATCH(F$1,'UPD Questions_290926 '!$E$1:$N$1,0),0)&amp;"")</f>
        <v>Does the plan clearly articulate the role of the ULG?</v>
      </c>
      <c r="G75" s="75" t="str">
        <f aca="false">IF(ISBLANK($A75),"NO_CODE",VLOOKUP($A75,'UPD Questions_290926 '!$E$1:$N$300,MATCH(G$1,'UPD Questions_290926 '!$E$1:$N$1,0),0)&amp;"")</f>
        <v>Implementation</v>
      </c>
      <c r="H75" s="77" t="n">
        <f aca="false">IF(ISBLANK($A75),"NO_CODE",VLOOKUP($A75,'UPD Questions_290926 '!$E$1:$N$300,MATCH(H$1,'UPD Questions_290926 '!$E$1:$N$1,0),0))</f>
        <v>3.33</v>
      </c>
      <c r="I75" s="78" t="str">
        <f aca="true">IF($H75=0,"NA",IF($A75=INDIRECT("'"&amp;$A75&amp;"'!$B$1"),IF(VLOOKUP(I$1,INDIRECT("'"&amp;$A75&amp;"'!$A$12:$Z$41"),MATCH("Points (Auto-generate)",INDIRECT("'"&amp;$A75&amp;"'!$A$12:$Z$12"),0),0)="","?",VLOOKUP(I$1,INDIRECT("'"&amp;$A75&amp;"'!$A$12:$Z$41"),MATCH("Points (Auto-generate)",INDIRECT("'"&amp;$A75&amp;"'!$A$12:$Z$12"),0),0)),"ER"))</f>
        <v>?</v>
      </c>
      <c r="J75" s="78" t="n">
        <f aca="true">IF($H75=0,"NA",IF($A75=INDIRECT("'"&amp;$A75&amp;"'!$B$1"),IF(VLOOKUP(J$1,INDIRECT("'"&amp;$A75&amp;"'!$A$12:$Z$41"),MATCH("Points (Auto-generate)",INDIRECT("'"&amp;$A75&amp;"'!$A$12:$Z$12"),0),0)="","?",VLOOKUP(J$1,INDIRECT("'"&amp;$A75&amp;"'!$A$12:$Z$41"),MATCH("Points (Auto-generate)",INDIRECT("'"&amp;$A75&amp;"'!$A$12:$Z$12"),0),0)),"ER"))</f>
        <v>0</v>
      </c>
      <c r="K75" s="78" t="str">
        <f aca="true">IF($H75=0,"NA",IF($A75=INDIRECT("'"&amp;$A75&amp;"'!$B$1"),IF(VLOOKUP(K$1,INDIRECT("'"&amp;$A75&amp;"'!$A$12:$Z$41"),MATCH("Points (Auto-generate)",INDIRECT("'"&amp;$A75&amp;"'!$A$12:$Z$12"),0),0)="","?",VLOOKUP(K$1,INDIRECT("'"&amp;$A75&amp;"'!$A$12:$Z$41"),MATCH("Points (Auto-generate)",INDIRECT("'"&amp;$A75&amp;"'!$A$12:$Z$12"),0),0)),"ER"))</f>
        <v>?</v>
      </c>
      <c r="L75" s="78" t="str">
        <f aca="true">IF($H75=0,"NA",IF($A75=INDIRECT("'"&amp;$A75&amp;"'!$B$1"),IF(VLOOKUP(L$1,INDIRECT("'"&amp;$A75&amp;"'!$A$12:$Z$41"),MATCH("Points (Auto-generate)",INDIRECT("'"&amp;$A75&amp;"'!$A$12:$Z$12"),0),0)="","?",VLOOKUP(L$1,INDIRECT("'"&amp;$A75&amp;"'!$A$12:$Z$41"),MATCH("Points (Auto-generate)",INDIRECT("'"&amp;$A75&amp;"'!$A$12:$Z$12"),0),0)),"ER"))</f>
        <v>?</v>
      </c>
      <c r="M75" s="78" t="str">
        <f aca="true">IF($H75=0,"NA",IF($A75=INDIRECT("'"&amp;$A75&amp;"'!$B$1"),IF(VLOOKUP(M$1,INDIRECT("'"&amp;$A75&amp;"'!$A$12:$Z$41"),MATCH("Points (Auto-generate)",INDIRECT("'"&amp;$A75&amp;"'!$A$12:$Z$12"),0),0)="","?",VLOOKUP(M$1,INDIRECT("'"&amp;$A75&amp;"'!$A$12:$Z$41"),MATCH("Points (Auto-generate)",INDIRECT("'"&amp;$A75&amp;"'!$A$12:$Z$12"),0),0)),"ER"))</f>
        <v>?</v>
      </c>
      <c r="N75" s="78" t="str">
        <f aca="true">IF($H75=0,"NA",IF($A75=INDIRECT("'"&amp;$A75&amp;"'!$B$1"),IF(VLOOKUP(N$1,INDIRECT("'"&amp;$A75&amp;"'!$A$12:$Z$41"),MATCH("Points (Auto-generate)",INDIRECT("'"&amp;$A75&amp;"'!$A$12:$Z$12"),0),0)="","?",VLOOKUP(N$1,INDIRECT("'"&amp;$A75&amp;"'!$A$12:$Z$41"),MATCH("Points (Auto-generate)",INDIRECT("'"&amp;$A75&amp;"'!$A$12:$Z$12"),0),0)),"ER"))</f>
        <v>?</v>
      </c>
      <c r="O75" s="78" t="str">
        <f aca="true">IF($H75=0,"NA",IF($A75=INDIRECT("'"&amp;$A75&amp;"'!$B$1"),IF(VLOOKUP(O$1,INDIRECT("'"&amp;$A75&amp;"'!$A$12:$Z$41"),MATCH("Points (Auto-generate)",INDIRECT("'"&amp;$A75&amp;"'!$A$12:$Z$12"),0),0)="","?",VLOOKUP(O$1,INDIRECT("'"&amp;$A75&amp;"'!$A$12:$Z$41"),MATCH("Points (Auto-generate)",INDIRECT("'"&amp;$A75&amp;"'!$A$12:$Z$12"),0),0)),"ER"))</f>
        <v>?</v>
      </c>
      <c r="P75" s="78" t="str">
        <f aca="true">IF($H75=0,"NA",IF($A75=INDIRECT("'"&amp;$A75&amp;"'!$B$1"),IF(VLOOKUP(P$1,INDIRECT("'"&amp;$A75&amp;"'!$A$12:$Z$41"),MATCH("Points (Auto-generate)",INDIRECT("'"&amp;$A75&amp;"'!$A$12:$Z$12"),0),0)="","?",VLOOKUP(P$1,INDIRECT("'"&amp;$A75&amp;"'!$A$12:$Z$41"),MATCH("Points (Auto-generate)",INDIRECT("'"&amp;$A75&amp;"'!$A$12:$Z$12"),0),0)),"ER"))</f>
        <v>?</v>
      </c>
      <c r="Q75" s="78" t="str">
        <f aca="true">IF($H75=0,"NA",IF($A75=INDIRECT("'"&amp;$A75&amp;"'!$B$1"),IF(VLOOKUP(Q$1,INDIRECT("'"&amp;$A75&amp;"'!$A$12:$Z$41"),MATCH("Points (Auto-generate)",INDIRECT("'"&amp;$A75&amp;"'!$A$12:$Z$12"),0),0)="","?",VLOOKUP(Q$1,INDIRECT("'"&amp;$A75&amp;"'!$A$12:$Z$41"),MATCH("Points (Auto-generate)",INDIRECT("'"&amp;$A75&amp;"'!$A$12:$Z$12"),0),0)),"ER"))</f>
        <v>?</v>
      </c>
      <c r="R75" s="78" t="str">
        <f aca="true">IF($H75=0,"NA",IF($A75=INDIRECT("'"&amp;$A75&amp;"'!$B$1"),IF(VLOOKUP(R$1,INDIRECT("'"&amp;$A75&amp;"'!$A$12:$Z$41"),MATCH("Points (Auto-generate)",INDIRECT("'"&amp;$A75&amp;"'!$A$12:$Z$12"),0),0)="","?",VLOOKUP(R$1,INDIRECT("'"&amp;$A75&amp;"'!$A$12:$Z$41"),MATCH("Points (Auto-generate)",INDIRECT("'"&amp;$A75&amp;"'!$A$12:$Z$12"),0),0)),"ER"))</f>
        <v>?</v>
      </c>
      <c r="S75" s="78" t="str">
        <f aca="true">IF($H75=0,"NA",IF($A75=INDIRECT("'"&amp;$A75&amp;"'!$B$1"),IF(VLOOKUP(S$1,INDIRECT("'"&amp;$A75&amp;"'!$A$12:$Z$41"),MATCH("Points (Auto-generate)",INDIRECT("'"&amp;$A75&amp;"'!$A$12:$Z$12"),0),0)="","?",VLOOKUP(S$1,INDIRECT("'"&amp;$A75&amp;"'!$A$12:$Z$41"),MATCH("Points (Auto-generate)",INDIRECT("'"&amp;$A75&amp;"'!$A$12:$Z$12"),0),0)),"ER"))</f>
        <v>?</v>
      </c>
      <c r="T75" s="78" t="str">
        <f aca="true">IF($H75=0,"NA",IF($A75=INDIRECT("'"&amp;$A75&amp;"'!$B$1"),IF(VLOOKUP(T$1,INDIRECT("'"&amp;$A75&amp;"'!$A$12:$Z$41"),MATCH("Points (Auto-generate)",INDIRECT("'"&amp;$A75&amp;"'!$A$12:$Z$12"),0),0)="","?",VLOOKUP(T$1,INDIRECT("'"&amp;$A75&amp;"'!$A$12:$Z$41"),MATCH("Points (Auto-generate)",INDIRECT("'"&amp;$A75&amp;"'!$A$12:$Z$12"),0),0)),"ER"))</f>
        <v>?</v>
      </c>
      <c r="U75" s="78" t="str">
        <f aca="true">IF($H75=0,"NA",IF($A75=INDIRECT("'"&amp;$A75&amp;"'!$B$1"),IF(VLOOKUP(U$1,INDIRECT("'"&amp;$A75&amp;"'!$A$12:$Z$41"),MATCH("Points (Auto-generate)",INDIRECT("'"&amp;$A75&amp;"'!$A$12:$Z$12"),0),0)="","?",VLOOKUP(U$1,INDIRECT("'"&amp;$A75&amp;"'!$A$12:$Z$41"),MATCH("Points (Auto-generate)",INDIRECT("'"&amp;$A75&amp;"'!$A$12:$Z$12"),0),0)),"ER"))</f>
        <v>?</v>
      </c>
      <c r="V75" s="78" t="str">
        <f aca="true">IF($H75=0,"NA",IF($A75=INDIRECT("'"&amp;$A75&amp;"'!$B$1"),IF(VLOOKUP(V$1,INDIRECT("'"&amp;$A75&amp;"'!$A$12:$Z$41"),MATCH("Points (Auto-generate)",INDIRECT("'"&amp;$A75&amp;"'!$A$12:$Z$12"),0),0)="","?",VLOOKUP(V$1,INDIRECT("'"&amp;$A75&amp;"'!$A$12:$Z$41"),MATCH("Points (Auto-generate)",INDIRECT("'"&amp;$A75&amp;"'!$A$12:$Z$12"),0),0)),"ER"))</f>
        <v>?</v>
      </c>
      <c r="W75" s="78" t="str">
        <f aca="true">IF($H75=0,"NA",IF($A75=INDIRECT("'"&amp;$A75&amp;"'!$B$1"),IF(VLOOKUP(W$1,INDIRECT("'"&amp;$A75&amp;"'!$A$12:$Z$41"),MATCH("Points (Auto-generate)",INDIRECT("'"&amp;$A75&amp;"'!$A$12:$Z$12"),0),0)="","?",VLOOKUP(W$1,INDIRECT("'"&amp;$A75&amp;"'!$A$12:$Z$41"),MATCH("Points (Auto-generate)",INDIRECT("'"&amp;$A75&amp;"'!$A$12:$Z$12"),0),0)),"ER"))</f>
        <v>?</v>
      </c>
      <c r="X75" s="78" t="str">
        <f aca="true">IF($H75=0,"NA",IF($A75=INDIRECT("'"&amp;$A75&amp;"'!$B$1"),IF(VLOOKUP(X$1,INDIRECT("'"&amp;$A75&amp;"'!$A$12:$Z$41"),MATCH("Points (Auto-generate)",INDIRECT("'"&amp;$A75&amp;"'!$A$12:$Z$12"),0),0)="","?",VLOOKUP(X$1,INDIRECT("'"&amp;$A75&amp;"'!$A$12:$Z$41"),MATCH("Points (Auto-generate)",INDIRECT("'"&amp;$A75&amp;"'!$A$12:$Z$12"),0),0)),"ER"))</f>
        <v>?</v>
      </c>
      <c r="Y75" s="78" t="str">
        <f aca="true">IF($H75=0,"NA",IF($A75=INDIRECT("'"&amp;$A75&amp;"'!$B$1"),IF(VLOOKUP(Y$1,INDIRECT("'"&amp;$A75&amp;"'!$A$12:$Z$41"),MATCH("Points (Auto-generate)",INDIRECT("'"&amp;$A75&amp;"'!$A$12:$Z$12"),0),0)="","?",VLOOKUP(Y$1,INDIRECT("'"&amp;$A75&amp;"'!$A$12:$Z$41"),MATCH("Points (Auto-generate)",INDIRECT("'"&amp;$A75&amp;"'!$A$12:$Z$12"),0),0)),"ER"))</f>
        <v>?</v>
      </c>
      <c r="Z75" s="78" t="str">
        <f aca="true">IF($H75=0,"NA",IF($A75=INDIRECT("'"&amp;$A75&amp;"'!$B$1"),IF(VLOOKUP(Z$1,INDIRECT("'"&amp;$A75&amp;"'!$A$12:$Z$41"),MATCH("Points (Auto-generate)",INDIRECT("'"&amp;$A75&amp;"'!$A$12:$Z$12"),0),0)="","?",VLOOKUP(Z$1,INDIRECT("'"&amp;$A75&amp;"'!$A$12:$Z$41"),MATCH("Points (Auto-generate)",INDIRECT("'"&amp;$A75&amp;"'!$A$12:$Z$12"),0),0)),"ER"))</f>
        <v>?</v>
      </c>
      <c r="AA75" s="78" t="str">
        <f aca="true">IF($H75=0,"NA",IF($A75=INDIRECT("'"&amp;$A75&amp;"'!$B$1"),IF(VLOOKUP(AA$1,INDIRECT("'"&amp;$A75&amp;"'!$A$12:$Z$41"),MATCH("Points (Auto-generate)",INDIRECT("'"&amp;$A75&amp;"'!$A$12:$Z$12"),0),0)="","?",VLOOKUP(AA$1,INDIRECT("'"&amp;$A75&amp;"'!$A$12:$Z$41"),MATCH("Points (Auto-generate)",INDIRECT("'"&amp;$A75&amp;"'!$A$12:$Z$12"),0),0)),"ER"))</f>
        <v>?</v>
      </c>
      <c r="AB75" s="78" t="str">
        <f aca="true">IF($H75=0,"NA",IF($A75=INDIRECT("'"&amp;$A75&amp;"'!$B$1"),IF(VLOOKUP(AB$1,INDIRECT("'"&amp;$A75&amp;"'!$A$12:$Z$41"),MATCH("Points (Auto-generate)",INDIRECT("'"&amp;$A75&amp;"'!$A$12:$Z$12"),0),0)="","?",VLOOKUP(AB$1,INDIRECT("'"&amp;$A75&amp;"'!$A$12:$Z$41"),MATCH("Points (Auto-generate)",INDIRECT("'"&amp;$A75&amp;"'!$A$12:$Z$12"),0),0)),"ER"))</f>
        <v>?</v>
      </c>
      <c r="AC75" s="78" t="str">
        <f aca="true">IF($H75=0,"NA",IF($A75=INDIRECT("'"&amp;$A75&amp;"'!$B$1"),IF(VLOOKUP(AC$1,INDIRECT("'"&amp;$A75&amp;"'!$A$12:$Z$41"),MATCH("Points (Auto-generate)",INDIRECT("'"&amp;$A75&amp;"'!$A$12:$Z$12"),0),0)="","?",VLOOKUP(AC$1,INDIRECT("'"&amp;$A75&amp;"'!$A$12:$Z$41"),MATCH("Points (Auto-generate)",INDIRECT("'"&amp;$A75&amp;"'!$A$12:$Z$12"),0),0)),"ER"))</f>
        <v>?</v>
      </c>
      <c r="AD75" s="78" t="str">
        <f aca="true">IF($H75=0,"NA",IF($A75=INDIRECT("'"&amp;$A75&amp;"'!$B$1"),IF(VLOOKUP(AD$1,INDIRECT("'"&amp;$A75&amp;"'!$A$12:$Z$41"),MATCH("Points (Auto-generate)",INDIRECT("'"&amp;$A75&amp;"'!$A$12:$Z$12"),0),0)="","?",VLOOKUP(AD$1,INDIRECT("'"&amp;$A75&amp;"'!$A$12:$Z$41"),MATCH("Points (Auto-generate)",INDIRECT("'"&amp;$A75&amp;"'!$A$12:$Z$12"),0),0)),"ER"))</f>
        <v>?</v>
      </c>
      <c r="AE75" s="78" t="str">
        <f aca="true">IF($H75=0,"NA",IF($A75=INDIRECT("'"&amp;$A75&amp;"'!$B$1"),IF(VLOOKUP(AE$1,INDIRECT("'"&amp;$A75&amp;"'!$A$12:$Z$41"),MATCH("Points (Auto-generate)",INDIRECT("'"&amp;$A75&amp;"'!$A$12:$Z$12"),0),0)="","?",VLOOKUP(AE$1,INDIRECT("'"&amp;$A75&amp;"'!$A$12:$Z$41"),MATCH("Points (Auto-generate)",INDIRECT("'"&amp;$A75&amp;"'!$A$12:$Z$12"),0),0)),"ER"))</f>
        <v>?</v>
      </c>
      <c r="AF75" s="78" t="str">
        <f aca="true">IF($H75=0,"NA",IF($A75=INDIRECT("'"&amp;$A75&amp;"'!$B$1"),IF(VLOOKUP(AF$1,INDIRECT("'"&amp;$A75&amp;"'!$A$12:$Z$41"),MATCH("Points (Auto-generate)",INDIRECT("'"&amp;$A75&amp;"'!$A$12:$Z$12"),0),0)="","?",VLOOKUP(AF$1,INDIRECT("'"&amp;$A75&amp;"'!$A$12:$Z$41"),MATCH("Points (Auto-generate)",INDIRECT("'"&amp;$A75&amp;"'!$A$12:$Z$12"),0),0)),"ER"))</f>
        <v>?</v>
      </c>
      <c r="AG75" s="78" t="str">
        <f aca="true">IF($H75=0,"NA",IF($A75=INDIRECT("'"&amp;$A75&amp;"'!$B$1"),IF(VLOOKUP(AG$1,INDIRECT("'"&amp;$A75&amp;"'!$A$12:$Z$41"),MATCH("Points (Auto-generate)",INDIRECT("'"&amp;$A75&amp;"'!$A$12:$Z$12"),0),0)="","?",VLOOKUP(AG$1,INDIRECT("'"&amp;$A75&amp;"'!$A$12:$Z$41"),MATCH("Points (Auto-generate)",INDIRECT("'"&amp;$A75&amp;"'!$A$12:$Z$12"),0),0)),"ER"))</f>
        <v>?</v>
      </c>
      <c r="AH75" s="78" t="str">
        <f aca="true">IF($H75=0,"NA",IF($A75=INDIRECT("'"&amp;$A75&amp;"'!$B$1"),IF(VLOOKUP(AH$1,INDIRECT("'"&amp;$A75&amp;"'!$A$12:$Z$41"),MATCH("Points (Auto-generate)",INDIRECT("'"&amp;$A75&amp;"'!$A$12:$Z$12"),0),0)="","?",VLOOKUP(AH$1,INDIRECT("'"&amp;$A75&amp;"'!$A$12:$Z$41"),MATCH("Points (Auto-generate)",INDIRECT("'"&amp;$A75&amp;"'!$A$12:$Z$12"),0),0)),"ER"))</f>
        <v>?</v>
      </c>
      <c r="AI75" s="78" t="str">
        <f aca="true">IF($H75=0,"NA",IF($A75=INDIRECT("'"&amp;$A75&amp;"'!$B$1"),IF(VLOOKUP(AI$1,INDIRECT("'"&amp;$A75&amp;"'!$A$12:$Z$41"),MATCH("Points (Auto-generate)",INDIRECT("'"&amp;$A75&amp;"'!$A$12:$Z$12"),0),0)="","?",VLOOKUP(AI$1,INDIRECT("'"&amp;$A75&amp;"'!$A$12:$Z$41"),MATCH("Points (Auto-generate)",INDIRECT("'"&amp;$A75&amp;"'!$A$12:$Z$12"),0),0)),"ER"))</f>
        <v>?</v>
      </c>
      <c r="AJ75" s="78" t="str">
        <f aca="true">IF($H75=0,"NA",IF($A75=INDIRECT("'"&amp;$A75&amp;"'!$B$1"),IF(VLOOKUP(AJ$1,INDIRECT("'"&amp;$A75&amp;"'!$A$12:$Z$41"),MATCH("Points (Auto-generate)",INDIRECT("'"&amp;$A75&amp;"'!$A$12:$Z$12"),0),0)="","?",VLOOKUP(AJ$1,INDIRECT("'"&amp;$A75&amp;"'!$A$12:$Z$41"),MATCH("Points (Auto-generate)",INDIRECT("'"&amp;$A75&amp;"'!$A$12:$Z$12"),0),0)),"ER"))</f>
        <v>?</v>
      </c>
      <c r="AK75" s="78" t="str">
        <f aca="true">IF($H75=0,"NA",IF($A75=INDIRECT("'"&amp;$A75&amp;"'!$B$1"),IF(VLOOKUP(AK$1,INDIRECT("'"&amp;$A75&amp;"'!$A$12:$Z$41"),MATCH("Points (Auto-generate)",INDIRECT("'"&amp;$A75&amp;"'!$A$12:$Z$12"),0),0)="","?",VLOOKUP(AK$1,INDIRECT("'"&amp;$A75&amp;"'!$A$12:$Z$41"),MATCH("Points (Auto-generate)",INDIRECT("'"&amp;$A75&amp;"'!$A$12:$Z$12"),0),0)),"ER"))</f>
        <v>?</v>
      </c>
    </row>
    <row r="76" customFormat="false" ht="14.25" hidden="false" customHeight="true" outlineLevel="0" collapsed="false">
      <c r="A76" s="74" t="s">
        <v>207</v>
      </c>
      <c r="B76" s="75" t="str">
        <f aca="false">IF(ISBLANK($A76),"NO_CODE",VLOOKUP($A76,'UPD Questions_290926 '!$E$1:$N$300,MATCH(B$1,'UPD Questions_290926 '!$E$1:$N$1,0),0)&amp;"")</f>
        <v>Implementation</v>
      </c>
      <c r="C76" s="75" t="str">
        <f aca="false">IF(ISBLANK($A76),"NO_CODE",VLOOKUP($A76,'UPD Questions_290926 '!$E$1:$N$300,MATCH(C$1,'UPD Questions_290926 '!$E$1:$N$1,0),0)&amp;"")</f>
        <v>Specialised institutional capacity</v>
      </c>
      <c r="D76" s="75" t="str">
        <f aca="false">IF(ISBLANK($A76),"NO_CODE",VLOOKUP($A76,'UPD Questions_290926 '!$E$1:$N$300,MATCH(D$1,'UPD Questions_290926 '!$E$1:$N$1,0),0)&amp;"")</f>
        <v>Specialised institutional capacity</v>
      </c>
      <c r="E76" s="75" t="str">
        <f aca="false">IF(ISBLANK($A76),"NO_CODE",VLOOKUP($A76,'UPD Questions_290926 '!$E$1:$N$300,MATCH(E$1,'UPD Questions_290926 '!$E$1:$N$1,0),0)&amp;"")</f>
        <v>MQ</v>
      </c>
      <c r="F76" s="75" t="str">
        <f aca="false">IF(ISBLANK($A76),"NO_CODE",VLOOKUP($A76,'UPD Questions_290926 '!$E$1:$N$300,MATCH(F$1,'UPD Questions_290926 '!$E$1:$N$1,0),0)&amp;"")</f>
        <v>Does the city have adequate and representative professional town-planning capacity?</v>
      </c>
      <c r="G76" s="75" t="str">
        <f aca="false">IF(ISBLANK($A76),"NO_CODE",VLOOKUP($A76,'UPD Questions_290926 '!$E$1:$N$300,MATCH(G$1,'UPD Questions_290926 '!$E$1:$N$1,0),0)&amp;"")</f>
        <v>Implementation</v>
      </c>
      <c r="H76" s="77" t="n">
        <f aca="false">IF(ISBLANK($A76),"NO_CODE",VLOOKUP($A76,'UPD Questions_290926 '!$E$1:$N$300,MATCH(H$1,'UPD Questions_290926 '!$E$1:$N$1,0),0))</f>
        <v>10</v>
      </c>
      <c r="I76" s="78" t="str">
        <f aca="false">IF(OR(I77="ER",I78="ER"),"ER",IF(OR(I77="?",I78="?"),"?",IF(AND(I77="NA",I78="NA"),"NA",SUM(I77,I78)/((I77&lt;&gt;"NA")*$H$77+(I78&lt;&gt;"NA")*$H$78)*$H76)))</f>
        <v>?</v>
      </c>
      <c r="J76" s="78" t="str">
        <f aca="false">IF(OR(J77="ER",J78="ER"),"ER",IF(OR(J77="?",J78="?"),"?",IF(AND(J77="NA",J78="NA"),"NA",SUM(J77,J78)/((J77&lt;&gt;"NA")*$H$77+(J78&lt;&gt;"NA")*$H$78)*$H76)))</f>
        <v>?</v>
      </c>
      <c r="K76" s="78" t="str">
        <f aca="false">IF(OR(K77="ER",K78="ER"),"ER",IF(OR(K77="?",K78="?"),"?",IF(AND(K77="NA",K78="NA"),"NA",SUM(K77,K78)/((K77&lt;&gt;"NA")*$H$77+(K78&lt;&gt;"NA")*$H$78)*$H76)))</f>
        <v>?</v>
      </c>
      <c r="L76" s="78" t="str">
        <f aca="false">IF(OR(L77="ER",L78="ER"),"ER",IF(OR(L77="?",L78="?"),"?",IF(AND(L77="NA",L78="NA"),"NA",SUM(L77,L78)/((L77&lt;&gt;"NA")*$H$77+(L78&lt;&gt;"NA")*$H$78)*$H76)))</f>
        <v>?</v>
      </c>
      <c r="M76" s="78" t="str">
        <f aca="false">IF(OR(M77="ER",M78="ER"),"ER",IF(OR(M77="?",M78="?"),"?",IF(AND(M77="NA",M78="NA"),"NA",SUM(M77,M78)/((M77&lt;&gt;"NA")*$H$77+(M78&lt;&gt;"NA")*$H$78)*$H76)))</f>
        <v>?</v>
      </c>
      <c r="N76" s="78" t="str">
        <f aca="false">IF(OR(N77="ER",N78="ER"),"ER",IF(OR(N77="?",N78="?"),"?",IF(AND(N77="NA",N78="NA"),"NA",SUM(N77,N78)/((N77&lt;&gt;"NA")*$H$77+(N78&lt;&gt;"NA")*$H$78)*$H76)))</f>
        <v>?</v>
      </c>
      <c r="O76" s="78" t="str">
        <f aca="false">IF(OR(O77="ER",O78="ER"),"ER",IF(OR(O77="?",O78="?"),"?",IF(AND(O77="NA",O78="NA"),"NA",SUM(O77,O78)/((O77&lt;&gt;"NA")*$H$77+(O78&lt;&gt;"NA")*$H$78)*$H76)))</f>
        <v>?</v>
      </c>
      <c r="P76" s="78" t="str">
        <f aca="false">IF(OR(P77="ER",P78="ER"),"ER",IF(OR(P77="?",P78="?"),"?",IF(AND(P77="NA",P78="NA"),"NA",SUM(P77,P78)/((P77&lt;&gt;"NA")*$H$77+(P78&lt;&gt;"NA")*$H$78)*$H76)))</f>
        <v>?</v>
      </c>
      <c r="Q76" s="78" t="str">
        <f aca="false">IF(OR(Q77="ER",Q78="ER"),"ER",IF(OR(Q77="?",Q78="?"),"?",IF(AND(Q77="NA",Q78="NA"),"NA",SUM(Q77,Q78)/((Q77&lt;&gt;"NA")*$H$77+(Q78&lt;&gt;"NA")*$H$78)*$H76)))</f>
        <v>?</v>
      </c>
      <c r="R76" s="78" t="str">
        <f aca="false">IF(OR(R77="ER",R78="ER"),"ER",IF(OR(R77="?",R78="?"),"?",IF(AND(R77="NA",R78="NA"),"NA",SUM(R77,R78)/((R77&lt;&gt;"NA")*$H$77+(R78&lt;&gt;"NA")*$H$78)*$H76)))</f>
        <v>?</v>
      </c>
      <c r="S76" s="78" t="str">
        <f aca="false">IF(OR(S77="ER",S78="ER"),"ER",IF(OR(S77="?",S78="?"),"?",IF(AND(S77="NA",S78="NA"),"NA",SUM(S77,S78)/((S77&lt;&gt;"NA")*$H$77+(S78&lt;&gt;"NA")*$H$78)*$H76)))</f>
        <v>?</v>
      </c>
      <c r="T76" s="78" t="str">
        <f aca="false">IF(OR(T77="ER",T78="ER"),"ER",IF(OR(T77="?",T78="?"),"?",IF(AND(T77="NA",T78="NA"),"NA",SUM(T77,T78)/((T77&lt;&gt;"NA")*$H$77+(T78&lt;&gt;"NA")*$H$78)*$H76)))</f>
        <v>?</v>
      </c>
      <c r="U76" s="78" t="str">
        <f aca="false">IF(OR(U77="ER",U78="ER"),"ER",IF(OR(U77="?",U78="?"),"?",IF(AND(U77="NA",U78="NA"),"NA",SUM(U77,U78)/((U77&lt;&gt;"NA")*$H$77+(U78&lt;&gt;"NA")*$H$78)*$H76)))</f>
        <v>?</v>
      </c>
      <c r="V76" s="78" t="str">
        <f aca="false">IF(OR(V77="ER",V78="ER"),"ER",IF(OR(V77="?",V78="?"),"?",IF(AND(V77="NA",V78="NA"),"NA",SUM(V77,V78)/((V77&lt;&gt;"NA")*$H$77+(V78&lt;&gt;"NA")*$H$78)*$H76)))</f>
        <v>?</v>
      </c>
      <c r="W76" s="78" t="str">
        <f aca="false">IF(OR(W77="ER",W78="ER"),"ER",IF(OR(W77="?",W78="?"),"?",IF(AND(W77="NA",W78="NA"),"NA",SUM(W77,W78)/((W77&lt;&gt;"NA")*$H$77+(W78&lt;&gt;"NA")*$H$78)*$H76)))</f>
        <v>?</v>
      </c>
      <c r="X76" s="78" t="str">
        <f aca="false">IF(OR(X77="ER",X78="ER"),"ER",IF(OR(X77="?",X78="?"),"?",IF(AND(X77="NA",X78="NA"),"NA",SUM(X77,X78)/((X77&lt;&gt;"NA")*$H$77+(X78&lt;&gt;"NA")*$H$78)*$H76)))</f>
        <v>?</v>
      </c>
      <c r="Y76" s="78" t="str">
        <f aca="false">IF(OR(Y77="ER",Y78="ER"),"ER",IF(OR(Y77="?",Y78="?"),"?",IF(AND(Y77="NA",Y78="NA"),"NA",SUM(Y77,Y78)/((Y77&lt;&gt;"NA")*$H$77+(Y78&lt;&gt;"NA")*$H$78)*$H76)))</f>
        <v>?</v>
      </c>
      <c r="Z76" s="78" t="str">
        <f aca="false">IF(OR(Z77="ER",Z78="ER"),"ER",IF(OR(Z77="?",Z78="?"),"?",IF(AND(Z77="NA",Z78="NA"),"NA",SUM(Z77,Z78)/((Z77&lt;&gt;"NA")*$H$77+(Z78&lt;&gt;"NA")*$H$78)*$H76)))</f>
        <v>?</v>
      </c>
      <c r="AA76" s="78" t="str">
        <f aca="false">IF(OR(AA77="ER",AA78="ER"),"ER",IF(OR(AA77="?",AA78="?"),"?",IF(AND(AA77="NA",AA78="NA"),"NA",SUM(AA77,AA78)/((AA77&lt;&gt;"NA")*$H$77+(AA78&lt;&gt;"NA")*$H$78)*$H76)))</f>
        <v>?</v>
      </c>
      <c r="AB76" s="78" t="str">
        <f aca="false">IF(OR(AB77="ER",AB78="ER"),"ER",IF(OR(AB77="?",AB78="?"),"?",IF(AND(AB77="NA",AB78="NA"),"NA",SUM(AB77,AB78)/((AB77&lt;&gt;"NA")*$H$77+(AB78&lt;&gt;"NA")*$H$78)*$H76)))</f>
        <v>?</v>
      </c>
      <c r="AC76" s="78" t="str">
        <f aca="false">IF(OR(AC77="ER",AC78="ER"),"ER",IF(OR(AC77="?",AC78="?"),"?",IF(AND(AC77="NA",AC78="NA"),"NA",SUM(AC77,AC78)/((AC77&lt;&gt;"NA")*$H$77+(AC78&lt;&gt;"NA")*$H$78)*$H76)))</f>
        <v>?</v>
      </c>
      <c r="AD76" s="78" t="str">
        <f aca="false">IF(OR(AD77="ER",AD78="ER"),"ER",IF(OR(AD77="?",AD78="?"),"?",IF(AND(AD77="NA",AD78="NA"),"NA",SUM(AD77,AD78)/((AD77&lt;&gt;"NA")*$H$77+(AD78&lt;&gt;"NA")*$H$78)*$H76)))</f>
        <v>?</v>
      </c>
      <c r="AE76" s="78" t="str">
        <f aca="false">IF(OR(AE77="ER",AE78="ER"),"ER",IF(OR(AE77="?",AE78="?"),"?",IF(AND(AE77="NA",AE78="NA"),"NA",SUM(AE77,AE78)/((AE77&lt;&gt;"NA")*$H$77+(AE78&lt;&gt;"NA")*$H$78)*$H76)))</f>
        <v>?</v>
      </c>
      <c r="AF76" s="78" t="str">
        <f aca="false">IF(OR(AF77="ER",AF78="ER"),"ER",IF(OR(AF77="?",AF78="?"),"?",IF(AND(AF77="NA",AF78="NA"),"NA",SUM(AF77,AF78)/((AF77&lt;&gt;"NA")*$H$77+(AF78&lt;&gt;"NA")*$H$78)*$H76)))</f>
        <v>?</v>
      </c>
      <c r="AG76" s="78" t="str">
        <f aca="false">IF(OR(AG77="ER",AG78="ER"),"ER",IF(OR(AG77="?",AG78="?"),"?",IF(AND(AG77="NA",AG78="NA"),"NA",SUM(AG77,AG78)/((AG77&lt;&gt;"NA")*$H$77+(AG78&lt;&gt;"NA")*$H$78)*$H76)))</f>
        <v>?</v>
      </c>
      <c r="AH76" s="78" t="str">
        <f aca="false">IF(OR(AH77="ER",AH78="ER"),"ER",IF(OR(AH77="?",AH78="?"),"?",IF(AND(AH77="NA",AH78="NA"),"NA",SUM(AH77,AH78)/((AH77&lt;&gt;"NA")*$H$77+(AH78&lt;&gt;"NA")*$H$78)*$H76)))</f>
        <v>?</v>
      </c>
      <c r="AI76" s="78" t="str">
        <f aca="false">IF(OR(AI77="ER",AI78="ER"),"ER",IF(OR(AI77="?",AI78="?"),"?",IF(AND(AI77="NA",AI78="NA"),"NA",SUM(AI77,AI78)/((AI77&lt;&gt;"NA")*$H$77+(AI78&lt;&gt;"NA")*$H$78)*$H76)))</f>
        <v>?</v>
      </c>
      <c r="AJ76" s="78" t="str">
        <f aca="false">IF(OR(AJ77="ER",AJ78="ER"),"ER",IF(OR(AJ77="?",AJ78="?"),"?",IF(AND(AJ77="NA",AJ78="NA"),"NA",SUM(AJ77,AJ78)/((AJ77&lt;&gt;"NA")*$H$77+(AJ78&lt;&gt;"NA")*$H$78)*$H76)))</f>
        <v>?</v>
      </c>
      <c r="AK76" s="78" t="str">
        <f aca="false">IF(OR(AK77="ER",AK78="ER"),"ER",IF(OR(AK77="?",AK78="?"),"?",IF(AND(AK77="NA",AK78="NA"),"NA",SUM(AK77,AK78)/((AK77&lt;&gt;"NA")*$H$77+(AK78&lt;&gt;"NA")*$H$78)*$H76)))</f>
        <v>?</v>
      </c>
    </row>
    <row r="77" customFormat="false" ht="14.25" hidden="false" customHeight="true" outlineLevel="0" collapsed="false">
      <c r="A77" s="74" t="s">
        <v>342</v>
      </c>
      <c r="B77" s="75" t="str">
        <f aca="false">IF(ISBLANK($A77),"NO_CODE",VLOOKUP($A77,'UPD Questions_290926 '!$E$1:$N$300,MATCH(B$1,'UPD Questions_290926 '!$E$1:$N$1,0),0)&amp;"")</f>
        <v>Implementation</v>
      </c>
      <c r="C77" s="75" t="str">
        <f aca="false">IF(ISBLANK($A77),"NO_CODE",VLOOKUP($A77,'UPD Questions_290926 '!$E$1:$N$300,MATCH(C$1,'UPD Questions_290926 '!$E$1:$N$1,0),0)&amp;"")</f>
        <v>Specialised institutional capacity</v>
      </c>
      <c r="D77" s="75" t="str">
        <f aca="false">IF(ISBLANK($A77),"NO_CODE",VLOOKUP($A77,'UPD Questions_290926 '!$E$1:$N$300,MATCH(D$1,'UPD Questions_290926 '!$E$1:$N$1,0),0)&amp;"")</f>
        <v>Specialised institutional capacity</v>
      </c>
      <c r="E77" s="75" t="str">
        <f aca="false">IF(ISBLANK($A77),"NO_CODE",VLOOKUP($A77,'UPD Questions_290926 '!$E$1:$N$300,MATCH(E$1,'UPD Questions_290926 '!$E$1:$N$1,0),0)&amp;"")</f>
        <v>SQ</v>
      </c>
      <c r="F77" s="75" t="str">
        <f aca="false">IF(ISBLANK($A77),"NO_CODE",VLOOKUP($A77,'UPD Questions_290926 '!$E$1:$N$300,MATCH(F$1,'UPD Questions_290926 '!$E$1:$N$1,0),0)&amp;"")</f>
        <v>Does the city have adequate professional town-planning capacity?</v>
      </c>
      <c r="G77" s="75" t="str">
        <f aca="false">IF(ISBLANK($A77),"NO_CODE",VLOOKUP($A77,'UPD Questions_290926 '!$E$1:$N$300,MATCH(G$1,'UPD Questions_290926 '!$E$1:$N$1,0),0)&amp;"")</f>
        <v>Implementation</v>
      </c>
      <c r="H77" s="77" t="n">
        <f aca="false">IF(ISBLANK($A77),"NO_CODE",VLOOKUP($A77,'UPD Questions_290926 '!$E$1:$N$300,MATCH(H$1,'UPD Questions_290926 '!$E$1:$N$1,0),0))</f>
        <v>5</v>
      </c>
      <c r="I77" s="78" t="str">
        <f aca="true">IF($H77=0,"NA",IF($A77=INDIRECT("'"&amp;$A77&amp;"'!$B$1"),IF(VLOOKUP(I$1,INDIRECT("'"&amp;$A77&amp;"'!$A$12:$Z$41"),MATCH("Points (Auto-generate)",INDIRECT("'"&amp;$A77&amp;"'!$A$12:$Z$12"),0),0)="","?",VLOOKUP(I$1,INDIRECT("'"&amp;$A77&amp;"'!$A$12:$Z$41"),MATCH("Points (Auto-generate)",INDIRECT("'"&amp;$A77&amp;"'!$A$12:$Z$12"),0),0)),"ER"))</f>
        <v>?</v>
      </c>
      <c r="J77" s="78" t="str">
        <f aca="true">IF($H77=0,"NA",IF($A77=INDIRECT("'"&amp;$A77&amp;"'!$B$1"),IF(VLOOKUP(J$1,INDIRECT("'"&amp;$A77&amp;"'!$A$12:$Z$41"),MATCH("Points (Auto-generate)",INDIRECT("'"&amp;$A77&amp;"'!$A$12:$Z$12"),0),0)="","?",VLOOKUP(J$1,INDIRECT("'"&amp;$A77&amp;"'!$A$12:$Z$41"),MATCH("Points (Auto-generate)",INDIRECT("'"&amp;$A77&amp;"'!$A$12:$Z$12"),0),0)),"ER"))</f>
        <v>?</v>
      </c>
      <c r="K77" s="78" t="str">
        <f aca="true">IF($H77=0,"NA",IF($A77=INDIRECT("'"&amp;$A77&amp;"'!$B$1"),IF(VLOOKUP(K$1,INDIRECT("'"&amp;$A77&amp;"'!$A$12:$Z$41"),MATCH("Points (Auto-generate)",INDIRECT("'"&amp;$A77&amp;"'!$A$12:$Z$12"),0),0)="","?",VLOOKUP(K$1,INDIRECT("'"&amp;$A77&amp;"'!$A$12:$Z$41"),MATCH("Points (Auto-generate)",INDIRECT("'"&amp;$A77&amp;"'!$A$12:$Z$12"),0),0)),"ER"))</f>
        <v>?</v>
      </c>
      <c r="L77" s="78" t="str">
        <f aca="true">IF($H77=0,"NA",IF($A77=INDIRECT("'"&amp;$A77&amp;"'!$B$1"),IF(VLOOKUP(L$1,INDIRECT("'"&amp;$A77&amp;"'!$A$12:$Z$41"),MATCH("Points (Auto-generate)",INDIRECT("'"&amp;$A77&amp;"'!$A$12:$Z$12"),0),0)="","?",VLOOKUP(L$1,INDIRECT("'"&amp;$A77&amp;"'!$A$12:$Z$41"),MATCH("Points (Auto-generate)",INDIRECT("'"&amp;$A77&amp;"'!$A$12:$Z$12"),0),0)),"ER"))</f>
        <v>?</v>
      </c>
      <c r="M77" s="78" t="str">
        <f aca="true">IF($H77=0,"NA",IF($A77=INDIRECT("'"&amp;$A77&amp;"'!$B$1"),IF(VLOOKUP(M$1,INDIRECT("'"&amp;$A77&amp;"'!$A$12:$Z$41"),MATCH("Points (Auto-generate)",INDIRECT("'"&amp;$A77&amp;"'!$A$12:$Z$12"),0),0)="","?",VLOOKUP(M$1,INDIRECT("'"&amp;$A77&amp;"'!$A$12:$Z$41"),MATCH("Points (Auto-generate)",INDIRECT("'"&amp;$A77&amp;"'!$A$12:$Z$12"),0),0)),"ER"))</f>
        <v>?</v>
      </c>
      <c r="N77" s="78" t="str">
        <f aca="true">IF($H77=0,"NA",IF($A77=INDIRECT("'"&amp;$A77&amp;"'!$B$1"),IF(VLOOKUP(N$1,INDIRECT("'"&amp;$A77&amp;"'!$A$12:$Z$41"),MATCH("Points (Auto-generate)",INDIRECT("'"&amp;$A77&amp;"'!$A$12:$Z$12"),0),0)="","?",VLOOKUP(N$1,INDIRECT("'"&amp;$A77&amp;"'!$A$12:$Z$41"),MATCH("Points (Auto-generate)",INDIRECT("'"&amp;$A77&amp;"'!$A$12:$Z$12"),0),0)),"ER"))</f>
        <v>?</v>
      </c>
      <c r="O77" s="78" t="str">
        <f aca="true">IF($H77=0,"NA",IF($A77=INDIRECT("'"&amp;$A77&amp;"'!$B$1"),IF(VLOOKUP(O$1,INDIRECT("'"&amp;$A77&amp;"'!$A$12:$Z$41"),MATCH("Points (Auto-generate)",INDIRECT("'"&amp;$A77&amp;"'!$A$12:$Z$12"),0),0)="","?",VLOOKUP(O$1,INDIRECT("'"&amp;$A77&amp;"'!$A$12:$Z$41"),MATCH("Points (Auto-generate)",INDIRECT("'"&amp;$A77&amp;"'!$A$12:$Z$12"),0),0)),"ER"))</f>
        <v>?</v>
      </c>
      <c r="P77" s="78" t="str">
        <f aca="true">IF($H77=0,"NA",IF($A77=INDIRECT("'"&amp;$A77&amp;"'!$B$1"),IF(VLOOKUP(P$1,INDIRECT("'"&amp;$A77&amp;"'!$A$12:$Z$41"),MATCH("Points (Auto-generate)",INDIRECT("'"&amp;$A77&amp;"'!$A$12:$Z$12"),0),0)="","?",VLOOKUP(P$1,INDIRECT("'"&amp;$A77&amp;"'!$A$12:$Z$41"),MATCH("Points (Auto-generate)",INDIRECT("'"&amp;$A77&amp;"'!$A$12:$Z$12"),0),0)),"ER"))</f>
        <v>?</v>
      </c>
      <c r="Q77" s="78" t="str">
        <f aca="true">IF($H77=0,"NA",IF($A77=INDIRECT("'"&amp;$A77&amp;"'!$B$1"),IF(VLOOKUP(Q$1,INDIRECT("'"&amp;$A77&amp;"'!$A$12:$Z$41"),MATCH("Points (Auto-generate)",INDIRECT("'"&amp;$A77&amp;"'!$A$12:$Z$12"),0),0)="","?",VLOOKUP(Q$1,INDIRECT("'"&amp;$A77&amp;"'!$A$12:$Z$41"),MATCH("Points (Auto-generate)",INDIRECT("'"&amp;$A77&amp;"'!$A$12:$Z$12"),0),0)),"ER"))</f>
        <v>?</v>
      </c>
      <c r="R77" s="78" t="str">
        <f aca="true">IF($H77=0,"NA",IF($A77=INDIRECT("'"&amp;$A77&amp;"'!$B$1"),IF(VLOOKUP(R$1,INDIRECT("'"&amp;$A77&amp;"'!$A$12:$Z$41"),MATCH("Points (Auto-generate)",INDIRECT("'"&amp;$A77&amp;"'!$A$12:$Z$12"),0),0)="","?",VLOOKUP(R$1,INDIRECT("'"&amp;$A77&amp;"'!$A$12:$Z$41"),MATCH("Points (Auto-generate)",INDIRECT("'"&amp;$A77&amp;"'!$A$12:$Z$12"),0),0)),"ER"))</f>
        <v>?</v>
      </c>
      <c r="S77" s="78" t="str">
        <f aca="true">IF($H77=0,"NA",IF($A77=INDIRECT("'"&amp;$A77&amp;"'!$B$1"),IF(VLOOKUP(S$1,INDIRECT("'"&amp;$A77&amp;"'!$A$12:$Z$41"),MATCH("Points (Auto-generate)",INDIRECT("'"&amp;$A77&amp;"'!$A$12:$Z$12"),0),0)="","?",VLOOKUP(S$1,INDIRECT("'"&amp;$A77&amp;"'!$A$12:$Z$41"),MATCH("Points (Auto-generate)",INDIRECT("'"&amp;$A77&amp;"'!$A$12:$Z$12"),0),0)),"ER"))</f>
        <v>?</v>
      </c>
      <c r="T77" s="78" t="str">
        <f aca="true">IF($H77=0,"NA",IF($A77=INDIRECT("'"&amp;$A77&amp;"'!$B$1"),IF(VLOOKUP(T$1,INDIRECT("'"&amp;$A77&amp;"'!$A$12:$Z$41"),MATCH("Points (Auto-generate)",INDIRECT("'"&amp;$A77&amp;"'!$A$12:$Z$12"),0),0)="","?",VLOOKUP(T$1,INDIRECT("'"&amp;$A77&amp;"'!$A$12:$Z$41"),MATCH("Points (Auto-generate)",INDIRECT("'"&amp;$A77&amp;"'!$A$12:$Z$12"),0),0)),"ER"))</f>
        <v>?</v>
      </c>
      <c r="U77" s="78" t="str">
        <f aca="true">IF($H77=0,"NA",IF($A77=INDIRECT("'"&amp;$A77&amp;"'!$B$1"),IF(VLOOKUP(U$1,INDIRECT("'"&amp;$A77&amp;"'!$A$12:$Z$41"),MATCH("Points (Auto-generate)",INDIRECT("'"&amp;$A77&amp;"'!$A$12:$Z$12"),0),0)="","?",VLOOKUP(U$1,INDIRECT("'"&amp;$A77&amp;"'!$A$12:$Z$41"),MATCH("Points (Auto-generate)",INDIRECT("'"&amp;$A77&amp;"'!$A$12:$Z$12"),0),0)),"ER"))</f>
        <v>?</v>
      </c>
      <c r="V77" s="78" t="str">
        <f aca="true">IF($H77=0,"NA",IF($A77=INDIRECT("'"&amp;$A77&amp;"'!$B$1"),IF(VLOOKUP(V$1,INDIRECT("'"&amp;$A77&amp;"'!$A$12:$Z$41"),MATCH("Points (Auto-generate)",INDIRECT("'"&amp;$A77&amp;"'!$A$12:$Z$12"),0),0)="","?",VLOOKUP(V$1,INDIRECT("'"&amp;$A77&amp;"'!$A$12:$Z$41"),MATCH("Points (Auto-generate)",INDIRECT("'"&amp;$A77&amp;"'!$A$12:$Z$12"),0),0)),"ER"))</f>
        <v>?</v>
      </c>
      <c r="W77" s="78" t="str">
        <f aca="true">IF($H77=0,"NA",IF($A77=INDIRECT("'"&amp;$A77&amp;"'!$B$1"),IF(VLOOKUP(W$1,INDIRECT("'"&amp;$A77&amp;"'!$A$12:$Z$41"),MATCH("Points (Auto-generate)",INDIRECT("'"&amp;$A77&amp;"'!$A$12:$Z$12"),0),0)="","?",VLOOKUP(W$1,INDIRECT("'"&amp;$A77&amp;"'!$A$12:$Z$41"),MATCH("Points (Auto-generate)",INDIRECT("'"&amp;$A77&amp;"'!$A$12:$Z$12"),0),0)),"ER"))</f>
        <v>?</v>
      </c>
      <c r="X77" s="78" t="str">
        <f aca="true">IF($H77=0,"NA",IF($A77=INDIRECT("'"&amp;$A77&amp;"'!$B$1"),IF(VLOOKUP(X$1,INDIRECT("'"&amp;$A77&amp;"'!$A$12:$Z$41"),MATCH("Points (Auto-generate)",INDIRECT("'"&amp;$A77&amp;"'!$A$12:$Z$12"),0),0)="","?",VLOOKUP(X$1,INDIRECT("'"&amp;$A77&amp;"'!$A$12:$Z$41"),MATCH("Points (Auto-generate)",INDIRECT("'"&amp;$A77&amp;"'!$A$12:$Z$12"),0),0)),"ER"))</f>
        <v>?</v>
      </c>
      <c r="Y77" s="78" t="str">
        <f aca="true">IF($H77=0,"NA",IF($A77=INDIRECT("'"&amp;$A77&amp;"'!$B$1"),IF(VLOOKUP(Y$1,INDIRECT("'"&amp;$A77&amp;"'!$A$12:$Z$41"),MATCH("Points (Auto-generate)",INDIRECT("'"&amp;$A77&amp;"'!$A$12:$Z$12"),0),0)="","?",VLOOKUP(Y$1,INDIRECT("'"&amp;$A77&amp;"'!$A$12:$Z$41"),MATCH("Points (Auto-generate)",INDIRECT("'"&amp;$A77&amp;"'!$A$12:$Z$12"),0),0)),"ER"))</f>
        <v>?</v>
      </c>
      <c r="Z77" s="78" t="str">
        <f aca="true">IF($H77=0,"NA",IF($A77=INDIRECT("'"&amp;$A77&amp;"'!$B$1"),IF(VLOOKUP(Z$1,INDIRECT("'"&amp;$A77&amp;"'!$A$12:$Z$41"),MATCH("Points (Auto-generate)",INDIRECT("'"&amp;$A77&amp;"'!$A$12:$Z$12"),0),0)="","?",VLOOKUP(Z$1,INDIRECT("'"&amp;$A77&amp;"'!$A$12:$Z$41"),MATCH("Points (Auto-generate)",INDIRECT("'"&amp;$A77&amp;"'!$A$12:$Z$12"),0),0)),"ER"))</f>
        <v>?</v>
      </c>
      <c r="AA77" s="78" t="str">
        <f aca="true">IF($H77=0,"NA",IF($A77=INDIRECT("'"&amp;$A77&amp;"'!$B$1"),IF(VLOOKUP(AA$1,INDIRECT("'"&amp;$A77&amp;"'!$A$12:$Z$41"),MATCH("Points (Auto-generate)",INDIRECT("'"&amp;$A77&amp;"'!$A$12:$Z$12"),0),0)="","?",VLOOKUP(AA$1,INDIRECT("'"&amp;$A77&amp;"'!$A$12:$Z$41"),MATCH("Points (Auto-generate)",INDIRECT("'"&amp;$A77&amp;"'!$A$12:$Z$12"),0),0)),"ER"))</f>
        <v>?</v>
      </c>
      <c r="AB77" s="78" t="str">
        <f aca="true">IF($H77=0,"NA",IF($A77=INDIRECT("'"&amp;$A77&amp;"'!$B$1"),IF(VLOOKUP(AB$1,INDIRECT("'"&amp;$A77&amp;"'!$A$12:$Z$41"),MATCH("Points (Auto-generate)",INDIRECT("'"&amp;$A77&amp;"'!$A$12:$Z$12"),0),0)="","?",VLOOKUP(AB$1,INDIRECT("'"&amp;$A77&amp;"'!$A$12:$Z$41"),MATCH("Points (Auto-generate)",INDIRECT("'"&amp;$A77&amp;"'!$A$12:$Z$12"),0),0)),"ER"))</f>
        <v>?</v>
      </c>
      <c r="AC77" s="78" t="str">
        <f aca="true">IF($H77=0,"NA",IF($A77=INDIRECT("'"&amp;$A77&amp;"'!$B$1"),IF(VLOOKUP(AC$1,INDIRECT("'"&amp;$A77&amp;"'!$A$12:$Z$41"),MATCH("Points (Auto-generate)",INDIRECT("'"&amp;$A77&amp;"'!$A$12:$Z$12"),0),0)="","?",VLOOKUP(AC$1,INDIRECT("'"&amp;$A77&amp;"'!$A$12:$Z$41"),MATCH("Points (Auto-generate)",INDIRECT("'"&amp;$A77&amp;"'!$A$12:$Z$12"),0),0)),"ER"))</f>
        <v>?</v>
      </c>
      <c r="AD77" s="78" t="str">
        <f aca="true">IF($H77=0,"NA",IF($A77=INDIRECT("'"&amp;$A77&amp;"'!$B$1"),IF(VLOOKUP(AD$1,INDIRECT("'"&amp;$A77&amp;"'!$A$12:$Z$41"),MATCH("Points (Auto-generate)",INDIRECT("'"&amp;$A77&amp;"'!$A$12:$Z$12"),0),0)="","?",VLOOKUP(AD$1,INDIRECT("'"&amp;$A77&amp;"'!$A$12:$Z$41"),MATCH("Points (Auto-generate)",INDIRECT("'"&amp;$A77&amp;"'!$A$12:$Z$12"),0),0)),"ER"))</f>
        <v>?</v>
      </c>
      <c r="AE77" s="78" t="str">
        <f aca="true">IF($H77=0,"NA",IF($A77=INDIRECT("'"&amp;$A77&amp;"'!$B$1"),IF(VLOOKUP(AE$1,INDIRECT("'"&amp;$A77&amp;"'!$A$12:$Z$41"),MATCH("Points (Auto-generate)",INDIRECT("'"&amp;$A77&amp;"'!$A$12:$Z$12"),0),0)="","?",VLOOKUP(AE$1,INDIRECT("'"&amp;$A77&amp;"'!$A$12:$Z$41"),MATCH("Points (Auto-generate)",INDIRECT("'"&amp;$A77&amp;"'!$A$12:$Z$12"),0),0)),"ER"))</f>
        <v>?</v>
      </c>
      <c r="AF77" s="78" t="str">
        <f aca="true">IF($H77=0,"NA",IF($A77=INDIRECT("'"&amp;$A77&amp;"'!$B$1"),IF(VLOOKUP(AF$1,INDIRECT("'"&amp;$A77&amp;"'!$A$12:$Z$41"),MATCH("Points (Auto-generate)",INDIRECT("'"&amp;$A77&amp;"'!$A$12:$Z$12"),0),0)="","?",VLOOKUP(AF$1,INDIRECT("'"&amp;$A77&amp;"'!$A$12:$Z$41"),MATCH("Points (Auto-generate)",INDIRECT("'"&amp;$A77&amp;"'!$A$12:$Z$12"),0),0)),"ER"))</f>
        <v>?</v>
      </c>
      <c r="AG77" s="78" t="str">
        <f aca="true">IF($H77=0,"NA",IF($A77=INDIRECT("'"&amp;$A77&amp;"'!$B$1"),IF(VLOOKUP(AG$1,INDIRECT("'"&amp;$A77&amp;"'!$A$12:$Z$41"),MATCH("Points (Auto-generate)",INDIRECT("'"&amp;$A77&amp;"'!$A$12:$Z$12"),0),0)="","?",VLOOKUP(AG$1,INDIRECT("'"&amp;$A77&amp;"'!$A$12:$Z$41"),MATCH("Points (Auto-generate)",INDIRECT("'"&amp;$A77&amp;"'!$A$12:$Z$12"),0),0)),"ER"))</f>
        <v>?</v>
      </c>
      <c r="AH77" s="78" t="str">
        <f aca="true">IF($H77=0,"NA",IF($A77=INDIRECT("'"&amp;$A77&amp;"'!$B$1"),IF(VLOOKUP(AH$1,INDIRECT("'"&amp;$A77&amp;"'!$A$12:$Z$41"),MATCH("Points (Auto-generate)",INDIRECT("'"&amp;$A77&amp;"'!$A$12:$Z$12"),0),0)="","?",VLOOKUP(AH$1,INDIRECT("'"&amp;$A77&amp;"'!$A$12:$Z$41"),MATCH("Points (Auto-generate)",INDIRECT("'"&amp;$A77&amp;"'!$A$12:$Z$12"),0),0)),"ER"))</f>
        <v>?</v>
      </c>
      <c r="AI77" s="78" t="str">
        <f aca="true">IF($H77=0,"NA",IF($A77=INDIRECT("'"&amp;$A77&amp;"'!$B$1"),IF(VLOOKUP(AI$1,INDIRECT("'"&amp;$A77&amp;"'!$A$12:$Z$41"),MATCH("Points (Auto-generate)",INDIRECT("'"&amp;$A77&amp;"'!$A$12:$Z$12"),0),0)="","?",VLOOKUP(AI$1,INDIRECT("'"&amp;$A77&amp;"'!$A$12:$Z$41"),MATCH("Points (Auto-generate)",INDIRECT("'"&amp;$A77&amp;"'!$A$12:$Z$12"),0),0)),"ER"))</f>
        <v>?</v>
      </c>
      <c r="AJ77" s="78" t="str">
        <f aca="true">IF($H77=0,"NA",IF($A77=INDIRECT("'"&amp;$A77&amp;"'!$B$1"),IF(VLOOKUP(AJ$1,INDIRECT("'"&amp;$A77&amp;"'!$A$12:$Z$41"),MATCH("Points (Auto-generate)",INDIRECT("'"&amp;$A77&amp;"'!$A$12:$Z$12"),0),0)="","?",VLOOKUP(AJ$1,INDIRECT("'"&amp;$A77&amp;"'!$A$12:$Z$41"),MATCH("Points (Auto-generate)",INDIRECT("'"&amp;$A77&amp;"'!$A$12:$Z$12"),0),0)),"ER"))</f>
        <v>?</v>
      </c>
      <c r="AK77" s="78" t="str">
        <f aca="true">IF($H77=0,"NA",IF($A77=INDIRECT("'"&amp;$A77&amp;"'!$B$1"),IF(VLOOKUP(AK$1,INDIRECT("'"&amp;$A77&amp;"'!$A$12:$Z$41"),MATCH("Points (Auto-generate)",INDIRECT("'"&amp;$A77&amp;"'!$A$12:$Z$12"),0),0)="","?",VLOOKUP(AK$1,INDIRECT("'"&amp;$A77&amp;"'!$A$12:$Z$41"),MATCH("Points (Auto-generate)",INDIRECT("'"&amp;$A77&amp;"'!$A$12:$Z$12"),0),0)),"ER"))</f>
        <v>?</v>
      </c>
    </row>
    <row r="78" customFormat="false" ht="14.25" hidden="false" customHeight="true" outlineLevel="0" collapsed="false">
      <c r="A78" s="74" t="s">
        <v>347</v>
      </c>
      <c r="B78" s="75" t="str">
        <f aca="false">IF(ISBLANK($A78),"NO_CODE",VLOOKUP($A78,'UPD Questions_290926 '!$E$1:$N$300,MATCH(B$1,'UPD Questions_290926 '!$E$1:$N$1,0),0)&amp;"")</f>
        <v>Implementation</v>
      </c>
      <c r="C78" s="75" t="str">
        <f aca="false">IF(ISBLANK($A78),"NO_CODE",VLOOKUP($A78,'UPD Questions_290926 '!$E$1:$N$300,MATCH(C$1,'UPD Questions_290926 '!$E$1:$N$1,0),0)&amp;"")</f>
        <v>Specialised institutional capacity</v>
      </c>
      <c r="D78" s="75" t="str">
        <f aca="false">IF(ISBLANK($A78),"NO_CODE",VLOOKUP($A78,'UPD Questions_290926 '!$E$1:$N$300,MATCH(D$1,'UPD Questions_290926 '!$E$1:$N$1,0),0)&amp;"")</f>
        <v>Specialised institutional capacity</v>
      </c>
      <c r="E78" s="75" t="str">
        <f aca="false">IF(ISBLANK($A78),"NO_CODE",VLOOKUP($A78,'UPD Questions_290926 '!$E$1:$N$300,MATCH(E$1,'UPD Questions_290926 '!$E$1:$N$1,0),0)&amp;"")</f>
        <v>SQ</v>
      </c>
      <c r="F78" s="75" t="str">
        <f aca="false">IF(ISBLANK($A78),"NO_CODE",VLOOKUP($A78,'UPD Questions_290926 '!$E$1:$N$300,MATCH(F$1,'UPD Questions_290926 '!$E$1:$N$1,0),0)&amp;"")</f>
        <v>What proportion of the city's professional town-planning workforce is women?</v>
      </c>
      <c r="G78" s="75" t="str">
        <f aca="false">IF(ISBLANK($A78),"NO_CODE",VLOOKUP($A78,'UPD Questions_290926 '!$E$1:$N$300,MATCH(G$1,'UPD Questions_290926 '!$E$1:$N$1,0),0)&amp;"")</f>
        <v>Implementation</v>
      </c>
      <c r="H78" s="77" t="n">
        <f aca="false">IF(ISBLANK($A78),"NO_CODE",VLOOKUP($A78,'UPD Questions_290926 '!$E$1:$N$300,MATCH(H$1,'UPD Questions_290926 '!$E$1:$N$1,0),0))</f>
        <v>5</v>
      </c>
      <c r="I78" s="78" t="str">
        <f aca="true">IF($H78=0,"NA",IF($A78=INDIRECT("'"&amp;$A78&amp;"'!$B$1"),IF(VLOOKUP(I$1,INDIRECT("'"&amp;$A78&amp;"'!$A$12:$Z$41"),MATCH("Points (Auto-generate)",INDIRECT("'"&amp;$A78&amp;"'!$A$12:$Z$12"),0),0)="","?",VLOOKUP(I$1,INDIRECT("'"&amp;$A78&amp;"'!$A$12:$Z$41"),MATCH("Points (Auto-generate)",INDIRECT("'"&amp;$A78&amp;"'!$A$12:$Z$12"),0),0)),"ER"))</f>
        <v>?</v>
      </c>
      <c r="J78" s="78" t="str">
        <f aca="true">IF($H78=0,"NA",IF($A78=INDIRECT("'"&amp;$A78&amp;"'!$B$1"),IF(VLOOKUP(J$1,INDIRECT("'"&amp;$A78&amp;"'!$A$12:$Z$41"),MATCH("Points (Auto-generate)",INDIRECT("'"&amp;$A78&amp;"'!$A$12:$Z$12"),0),0)="","?",VLOOKUP(J$1,INDIRECT("'"&amp;$A78&amp;"'!$A$12:$Z$41"),MATCH("Points (Auto-generate)",INDIRECT("'"&amp;$A78&amp;"'!$A$12:$Z$12"),0),0)),"ER"))</f>
        <v>?</v>
      </c>
      <c r="K78" s="78" t="str">
        <f aca="true">IF($H78=0,"NA",IF($A78=INDIRECT("'"&amp;$A78&amp;"'!$B$1"),IF(VLOOKUP(K$1,INDIRECT("'"&amp;$A78&amp;"'!$A$12:$Z$41"),MATCH("Points (Auto-generate)",INDIRECT("'"&amp;$A78&amp;"'!$A$12:$Z$12"),0),0)="","?",VLOOKUP(K$1,INDIRECT("'"&amp;$A78&amp;"'!$A$12:$Z$41"),MATCH("Points (Auto-generate)",INDIRECT("'"&amp;$A78&amp;"'!$A$12:$Z$12"),0),0)),"ER"))</f>
        <v>?</v>
      </c>
      <c r="L78" s="78" t="str">
        <f aca="true">IF($H78=0,"NA",IF($A78=INDIRECT("'"&amp;$A78&amp;"'!$B$1"),IF(VLOOKUP(L$1,INDIRECT("'"&amp;$A78&amp;"'!$A$12:$Z$41"),MATCH("Points (Auto-generate)",INDIRECT("'"&amp;$A78&amp;"'!$A$12:$Z$12"),0),0)="","?",VLOOKUP(L$1,INDIRECT("'"&amp;$A78&amp;"'!$A$12:$Z$41"),MATCH("Points (Auto-generate)",INDIRECT("'"&amp;$A78&amp;"'!$A$12:$Z$12"),0),0)),"ER"))</f>
        <v>?</v>
      </c>
      <c r="M78" s="78" t="str">
        <f aca="true">IF($H78=0,"NA",IF($A78=INDIRECT("'"&amp;$A78&amp;"'!$B$1"),IF(VLOOKUP(M$1,INDIRECT("'"&amp;$A78&amp;"'!$A$12:$Z$41"),MATCH("Points (Auto-generate)",INDIRECT("'"&amp;$A78&amp;"'!$A$12:$Z$12"),0),0)="","?",VLOOKUP(M$1,INDIRECT("'"&amp;$A78&amp;"'!$A$12:$Z$41"),MATCH("Points (Auto-generate)",INDIRECT("'"&amp;$A78&amp;"'!$A$12:$Z$12"),0),0)),"ER"))</f>
        <v>?</v>
      </c>
      <c r="N78" s="78" t="str">
        <f aca="true">IF($H78=0,"NA",IF($A78=INDIRECT("'"&amp;$A78&amp;"'!$B$1"),IF(VLOOKUP(N$1,INDIRECT("'"&amp;$A78&amp;"'!$A$12:$Z$41"),MATCH("Points (Auto-generate)",INDIRECT("'"&amp;$A78&amp;"'!$A$12:$Z$12"),0),0)="","?",VLOOKUP(N$1,INDIRECT("'"&amp;$A78&amp;"'!$A$12:$Z$41"),MATCH("Points (Auto-generate)",INDIRECT("'"&amp;$A78&amp;"'!$A$12:$Z$12"),0),0)),"ER"))</f>
        <v>?</v>
      </c>
      <c r="O78" s="78" t="str">
        <f aca="true">IF($H78=0,"NA",IF($A78=INDIRECT("'"&amp;$A78&amp;"'!$B$1"),IF(VLOOKUP(O$1,INDIRECT("'"&amp;$A78&amp;"'!$A$12:$Z$41"),MATCH("Points (Auto-generate)",INDIRECT("'"&amp;$A78&amp;"'!$A$12:$Z$12"),0),0)="","?",VLOOKUP(O$1,INDIRECT("'"&amp;$A78&amp;"'!$A$12:$Z$41"),MATCH("Points (Auto-generate)",INDIRECT("'"&amp;$A78&amp;"'!$A$12:$Z$12"),0),0)),"ER"))</f>
        <v>?</v>
      </c>
      <c r="P78" s="78" t="str">
        <f aca="true">IF($H78=0,"NA",IF($A78=INDIRECT("'"&amp;$A78&amp;"'!$B$1"),IF(VLOOKUP(P$1,INDIRECT("'"&amp;$A78&amp;"'!$A$12:$Z$41"),MATCH("Points (Auto-generate)",INDIRECT("'"&amp;$A78&amp;"'!$A$12:$Z$12"),0),0)="","?",VLOOKUP(P$1,INDIRECT("'"&amp;$A78&amp;"'!$A$12:$Z$41"),MATCH("Points (Auto-generate)",INDIRECT("'"&amp;$A78&amp;"'!$A$12:$Z$12"),0),0)),"ER"))</f>
        <v>?</v>
      </c>
      <c r="Q78" s="78" t="str">
        <f aca="true">IF($H78=0,"NA",IF($A78=INDIRECT("'"&amp;$A78&amp;"'!$B$1"),IF(VLOOKUP(Q$1,INDIRECT("'"&amp;$A78&amp;"'!$A$12:$Z$41"),MATCH("Points (Auto-generate)",INDIRECT("'"&amp;$A78&amp;"'!$A$12:$Z$12"),0),0)="","?",VLOOKUP(Q$1,INDIRECT("'"&amp;$A78&amp;"'!$A$12:$Z$41"),MATCH("Points (Auto-generate)",INDIRECT("'"&amp;$A78&amp;"'!$A$12:$Z$12"),0),0)),"ER"))</f>
        <v>?</v>
      </c>
      <c r="R78" s="78" t="str">
        <f aca="true">IF($H78=0,"NA",IF($A78=INDIRECT("'"&amp;$A78&amp;"'!$B$1"),IF(VLOOKUP(R$1,INDIRECT("'"&amp;$A78&amp;"'!$A$12:$Z$41"),MATCH("Points (Auto-generate)",INDIRECT("'"&amp;$A78&amp;"'!$A$12:$Z$12"),0),0)="","?",VLOOKUP(R$1,INDIRECT("'"&amp;$A78&amp;"'!$A$12:$Z$41"),MATCH("Points (Auto-generate)",INDIRECT("'"&amp;$A78&amp;"'!$A$12:$Z$12"),0),0)),"ER"))</f>
        <v>?</v>
      </c>
      <c r="S78" s="78" t="str">
        <f aca="true">IF($H78=0,"NA",IF($A78=INDIRECT("'"&amp;$A78&amp;"'!$B$1"),IF(VLOOKUP(S$1,INDIRECT("'"&amp;$A78&amp;"'!$A$12:$Z$41"),MATCH("Points (Auto-generate)",INDIRECT("'"&amp;$A78&amp;"'!$A$12:$Z$12"),0),0)="","?",VLOOKUP(S$1,INDIRECT("'"&amp;$A78&amp;"'!$A$12:$Z$41"),MATCH("Points (Auto-generate)",INDIRECT("'"&amp;$A78&amp;"'!$A$12:$Z$12"),0),0)),"ER"))</f>
        <v>?</v>
      </c>
      <c r="T78" s="78" t="str">
        <f aca="true">IF($H78=0,"NA",IF($A78=INDIRECT("'"&amp;$A78&amp;"'!$B$1"),IF(VLOOKUP(T$1,INDIRECT("'"&amp;$A78&amp;"'!$A$12:$Z$41"),MATCH("Points (Auto-generate)",INDIRECT("'"&amp;$A78&amp;"'!$A$12:$Z$12"),0),0)="","?",VLOOKUP(T$1,INDIRECT("'"&amp;$A78&amp;"'!$A$12:$Z$41"),MATCH("Points (Auto-generate)",INDIRECT("'"&amp;$A78&amp;"'!$A$12:$Z$12"),0),0)),"ER"))</f>
        <v>?</v>
      </c>
      <c r="U78" s="78" t="str">
        <f aca="true">IF($H78=0,"NA",IF($A78=INDIRECT("'"&amp;$A78&amp;"'!$B$1"),IF(VLOOKUP(U$1,INDIRECT("'"&amp;$A78&amp;"'!$A$12:$Z$41"),MATCH("Points (Auto-generate)",INDIRECT("'"&amp;$A78&amp;"'!$A$12:$Z$12"),0),0)="","?",VLOOKUP(U$1,INDIRECT("'"&amp;$A78&amp;"'!$A$12:$Z$41"),MATCH("Points (Auto-generate)",INDIRECT("'"&amp;$A78&amp;"'!$A$12:$Z$12"),0),0)),"ER"))</f>
        <v>?</v>
      </c>
      <c r="V78" s="78" t="str">
        <f aca="true">IF($H78=0,"NA",IF($A78=INDIRECT("'"&amp;$A78&amp;"'!$B$1"),IF(VLOOKUP(V$1,INDIRECT("'"&amp;$A78&amp;"'!$A$12:$Z$41"),MATCH("Points (Auto-generate)",INDIRECT("'"&amp;$A78&amp;"'!$A$12:$Z$12"),0),0)="","?",VLOOKUP(V$1,INDIRECT("'"&amp;$A78&amp;"'!$A$12:$Z$41"),MATCH("Points (Auto-generate)",INDIRECT("'"&amp;$A78&amp;"'!$A$12:$Z$12"),0),0)),"ER"))</f>
        <v>?</v>
      </c>
      <c r="W78" s="78" t="str">
        <f aca="true">IF($H78=0,"NA",IF($A78=INDIRECT("'"&amp;$A78&amp;"'!$B$1"),IF(VLOOKUP(W$1,INDIRECT("'"&amp;$A78&amp;"'!$A$12:$Z$41"),MATCH("Points (Auto-generate)",INDIRECT("'"&amp;$A78&amp;"'!$A$12:$Z$12"),0),0)="","?",VLOOKUP(W$1,INDIRECT("'"&amp;$A78&amp;"'!$A$12:$Z$41"),MATCH("Points (Auto-generate)",INDIRECT("'"&amp;$A78&amp;"'!$A$12:$Z$12"),0),0)),"ER"))</f>
        <v>?</v>
      </c>
      <c r="X78" s="78" t="str">
        <f aca="true">IF($H78=0,"NA",IF($A78=INDIRECT("'"&amp;$A78&amp;"'!$B$1"),IF(VLOOKUP(X$1,INDIRECT("'"&amp;$A78&amp;"'!$A$12:$Z$41"),MATCH("Points (Auto-generate)",INDIRECT("'"&amp;$A78&amp;"'!$A$12:$Z$12"),0),0)="","?",VLOOKUP(X$1,INDIRECT("'"&amp;$A78&amp;"'!$A$12:$Z$41"),MATCH("Points (Auto-generate)",INDIRECT("'"&amp;$A78&amp;"'!$A$12:$Z$12"),0),0)),"ER"))</f>
        <v>?</v>
      </c>
      <c r="Y78" s="78" t="str">
        <f aca="true">IF($H78=0,"NA",IF($A78=INDIRECT("'"&amp;$A78&amp;"'!$B$1"),IF(VLOOKUP(Y$1,INDIRECT("'"&amp;$A78&amp;"'!$A$12:$Z$41"),MATCH("Points (Auto-generate)",INDIRECT("'"&amp;$A78&amp;"'!$A$12:$Z$12"),0),0)="","?",VLOOKUP(Y$1,INDIRECT("'"&amp;$A78&amp;"'!$A$12:$Z$41"),MATCH("Points (Auto-generate)",INDIRECT("'"&amp;$A78&amp;"'!$A$12:$Z$12"),0),0)),"ER"))</f>
        <v>?</v>
      </c>
      <c r="Z78" s="78" t="str">
        <f aca="true">IF($H78=0,"NA",IF($A78=INDIRECT("'"&amp;$A78&amp;"'!$B$1"),IF(VLOOKUP(Z$1,INDIRECT("'"&amp;$A78&amp;"'!$A$12:$Z$41"),MATCH("Points (Auto-generate)",INDIRECT("'"&amp;$A78&amp;"'!$A$12:$Z$12"),0),0)="","?",VLOOKUP(Z$1,INDIRECT("'"&amp;$A78&amp;"'!$A$12:$Z$41"),MATCH("Points (Auto-generate)",INDIRECT("'"&amp;$A78&amp;"'!$A$12:$Z$12"),0),0)),"ER"))</f>
        <v>?</v>
      </c>
      <c r="AA78" s="78" t="str">
        <f aca="true">IF($H78=0,"NA",IF($A78=INDIRECT("'"&amp;$A78&amp;"'!$B$1"),IF(VLOOKUP(AA$1,INDIRECT("'"&amp;$A78&amp;"'!$A$12:$Z$41"),MATCH("Points (Auto-generate)",INDIRECT("'"&amp;$A78&amp;"'!$A$12:$Z$12"),0),0)="","?",VLOOKUP(AA$1,INDIRECT("'"&amp;$A78&amp;"'!$A$12:$Z$41"),MATCH("Points (Auto-generate)",INDIRECT("'"&amp;$A78&amp;"'!$A$12:$Z$12"),0),0)),"ER"))</f>
        <v>?</v>
      </c>
      <c r="AB78" s="78" t="str">
        <f aca="true">IF($H78=0,"NA",IF($A78=INDIRECT("'"&amp;$A78&amp;"'!$B$1"),IF(VLOOKUP(AB$1,INDIRECT("'"&amp;$A78&amp;"'!$A$12:$Z$41"),MATCH("Points (Auto-generate)",INDIRECT("'"&amp;$A78&amp;"'!$A$12:$Z$12"),0),0)="","?",VLOOKUP(AB$1,INDIRECT("'"&amp;$A78&amp;"'!$A$12:$Z$41"),MATCH("Points (Auto-generate)",INDIRECT("'"&amp;$A78&amp;"'!$A$12:$Z$12"),0),0)),"ER"))</f>
        <v>?</v>
      </c>
      <c r="AC78" s="78" t="str">
        <f aca="true">IF($H78=0,"NA",IF($A78=INDIRECT("'"&amp;$A78&amp;"'!$B$1"),IF(VLOOKUP(AC$1,INDIRECT("'"&amp;$A78&amp;"'!$A$12:$Z$41"),MATCH("Points (Auto-generate)",INDIRECT("'"&amp;$A78&amp;"'!$A$12:$Z$12"),0),0)="","?",VLOOKUP(AC$1,INDIRECT("'"&amp;$A78&amp;"'!$A$12:$Z$41"),MATCH("Points (Auto-generate)",INDIRECT("'"&amp;$A78&amp;"'!$A$12:$Z$12"),0),0)),"ER"))</f>
        <v>?</v>
      </c>
      <c r="AD78" s="78" t="str">
        <f aca="true">IF($H78=0,"NA",IF($A78=INDIRECT("'"&amp;$A78&amp;"'!$B$1"),IF(VLOOKUP(AD$1,INDIRECT("'"&amp;$A78&amp;"'!$A$12:$Z$41"),MATCH("Points (Auto-generate)",INDIRECT("'"&amp;$A78&amp;"'!$A$12:$Z$12"),0),0)="","?",VLOOKUP(AD$1,INDIRECT("'"&amp;$A78&amp;"'!$A$12:$Z$41"),MATCH("Points (Auto-generate)",INDIRECT("'"&amp;$A78&amp;"'!$A$12:$Z$12"),0),0)),"ER"))</f>
        <v>?</v>
      </c>
      <c r="AE78" s="78" t="str">
        <f aca="true">IF($H78=0,"NA",IF($A78=INDIRECT("'"&amp;$A78&amp;"'!$B$1"),IF(VLOOKUP(AE$1,INDIRECT("'"&amp;$A78&amp;"'!$A$12:$Z$41"),MATCH("Points (Auto-generate)",INDIRECT("'"&amp;$A78&amp;"'!$A$12:$Z$12"),0),0)="","?",VLOOKUP(AE$1,INDIRECT("'"&amp;$A78&amp;"'!$A$12:$Z$41"),MATCH("Points (Auto-generate)",INDIRECT("'"&amp;$A78&amp;"'!$A$12:$Z$12"),0),0)),"ER"))</f>
        <v>?</v>
      </c>
      <c r="AF78" s="78" t="str">
        <f aca="true">IF($H78=0,"NA",IF($A78=INDIRECT("'"&amp;$A78&amp;"'!$B$1"),IF(VLOOKUP(AF$1,INDIRECT("'"&amp;$A78&amp;"'!$A$12:$Z$41"),MATCH("Points (Auto-generate)",INDIRECT("'"&amp;$A78&amp;"'!$A$12:$Z$12"),0),0)="","?",VLOOKUP(AF$1,INDIRECT("'"&amp;$A78&amp;"'!$A$12:$Z$41"),MATCH("Points (Auto-generate)",INDIRECT("'"&amp;$A78&amp;"'!$A$12:$Z$12"),0),0)),"ER"))</f>
        <v>?</v>
      </c>
      <c r="AG78" s="78" t="str">
        <f aca="true">IF($H78=0,"NA",IF($A78=INDIRECT("'"&amp;$A78&amp;"'!$B$1"),IF(VLOOKUP(AG$1,INDIRECT("'"&amp;$A78&amp;"'!$A$12:$Z$41"),MATCH("Points (Auto-generate)",INDIRECT("'"&amp;$A78&amp;"'!$A$12:$Z$12"),0),0)="","?",VLOOKUP(AG$1,INDIRECT("'"&amp;$A78&amp;"'!$A$12:$Z$41"),MATCH("Points (Auto-generate)",INDIRECT("'"&amp;$A78&amp;"'!$A$12:$Z$12"),0),0)),"ER"))</f>
        <v>?</v>
      </c>
      <c r="AH78" s="78" t="str">
        <f aca="true">IF($H78=0,"NA",IF($A78=INDIRECT("'"&amp;$A78&amp;"'!$B$1"),IF(VLOOKUP(AH$1,INDIRECT("'"&amp;$A78&amp;"'!$A$12:$Z$41"),MATCH("Points (Auto-generate)",INDIRECT("'"&amp;$A78&amp;"'!$A$12:$Z$12"),0),0)="","?",VLOOKUP(AH$1,INDIRECT("'"&amp;$A78&amp;"'!$A$12:$Z$41"),MATCH("Points (Auto-generate)",INDIRECT("'"&amp;$A78&amp;"'!$A$12:$Z$12"),0),0)),"ER"))</f>
        <v>?</v>
      </c>
      <c r="AI78" s="78" t="str">
        <f aca="true">IF($H78=0,"NA",IF($A78=INDIRECT("'"&amp;$A78&amp;"'!$B$1"),IF(VLOOKUP(AI$1,INDIRECT("'"&amp;$A78&amp;"'!$A$12:$Z$41"),MATCH("Points (Auto-generate)",INDIRECT("'"&amp;$A78&amp;"'!$A$12:$Z$12"),0),0)="","?",VLOOKUP(AI$1,INDIRECT("'"&amp;$A78&amp;"'!$A$12:$Z$41"),MATCH("Points (Auto-generate)",INDIRECT("'"&amp;$A78&amp;"'!$A$12:$Z$12"),0),0)),"ER"))</f>
        <v>?</v>
      </c>
      <c r="AJ78" s="78" t="str">
        <f aca="true">IF($H78=0,"NA",IF($A78=INDIRECT("'"&amp;$A78&amp;"'!$B$1"),IF(VLOOKUP(AJ$1,INDIRECT("'"&amp;$A78&amp;"'!$A$12:$Z$41"),MATCH("Points (Auto-generate)",INDIRECT("'"&amp;$A78&amp;"'!$A$12:$Z$12"),0),0)="","?",VLOOKUP(AJ$1,INDIRECT("'"&amp;$A78&amp;"'!$A$12:$Z$41"),MATCH("Points (Auto-generate)",INDIRECT("'"&amp;$A78&amp;"'!$A$12:$Z$12"),0),0)),"ER"))</f>
        <v>?</v>
      </c>
      <c r="AK78" s="78" t="str">
        <f aca="true">IF($H78=0,"NA",IF($A78=INDIRECT("'"&amp;$A78&amp;"'!$B$1"),IF(VLOOKUP(AK$1,INDIRECT("'"&amp;$A78&amp;"'!$A$12:$Z$41"),MATCH("Points (Auto-generate)",INDIRECT("'"&amp;$A78&amp;"'!$A$12:$Z$12"),0),0)="","?",VLOOKUP(AK$1,INDIRECT("'"&amp;$A78&amp;"'!$A$12:$Z$41"),MATCH("Points (Auto-generate)",INDIRECT("'"&amp;$A78&amp;"'!$A$12:$Z$12"),0),0)),"ER"))</f>
        <v>?</v>
      </c>
    </row>
    <row r="79" customFormat="false" ht="14.25" hidden="false" customHeight="true" outlineLevel="0" collapsed="false">
      <c r="A79" s="74" t="s">
        <v>212</v>
      </c>
      <c r="B79" s="75" t="str">
        <f aca="false">IF(ISBLANK($A79),"NO_CODE",VLOOKUP($A79,'UPD Questions_290926 '!$E$1:$N$300,MATCH(B$1,'UPD Questions_290926 '!$E$1:$N$1,0),0)&amp;"")</f>
        <v>Implementation</v>
      </c>
      <c r="C79" s="75" t="str">
        <f aca="false">IF(ISBLANK($A79),"NO_CODE",VLOOKUP($A79,'UPD Questions_290926 '!$E$1:$N$300,MATCH(C$1,'UPD Questions_290926 '!$E$1:$N$1,0),0)&amp;"")</f>
        <v>Specialised institutional capacity</v>
      </c>
      <c r="D79" s="75" t="str">
        <f aca="false">IF(ISBLANK($A79),"NO_CODE",VLOOKUP($A79,'UPD Questions_290926 '!$E$1:$N$300,MATCH(D$1,'UPD Questions_290926 '!$E$1:$N$1,0),0)&amp;"")</f>
        <v>Specialised institutional capacity</v>
      </c>
      <c r="E79" s="75" t="str">
        <f aca="false">IF(ISBLANK($A79),"NO_CODE",VLOOKUP($A79,'UPD Questions_290926 '!$E$1:$N$300,MATCH(E$1,'UPD Questions_290926 '!$E$1:$N$1,0),0)&amp;"")</f>
        <v>MQ</v>
      </c>
      <c r="F79" s="75" t="str">
        <f aca="false">IF(ISBLANK($A79),"NO_CODE",VLOOKUP($A79,'UPD Questions_290926 '!$E$1:$N$300,MATCH(F$1,'UPD Questions_290926 '!$E$1:$N$1,0),0)&amp;"")</f>
        <v>Does the city have dedicated institutional cells/units for specialised functions?</v>
      </c>
      <c r="G79" s="75" t="str">
        <f aca="false">IF(ISBLANK($A79),"NO_CODE",VLOOKUP($A79,'UPD Questions_290926 '!$E$1:$N$300,MATCH(G$1,'UPD Questions_290926 '!$E$1:$N$1,0),0)&amp;"")</f>
        <v>Implementation</v>
      </c>
      <c r="H79" s="77" t="n">
        <f aca="false">IF(ISBLANK($A79),"NO_CODE",VLOOKUP($A79,'UPD Questions_290926 '!$E$1:$N$300,MATCH(H$1,'UPD Questions_290926 '!$E$1:$N$1,0),0))</f>
        <v>10</v>
      </c>
      <c r="I79" s="78" t="str">
        <f aca="false">IF(OR(I80="ER",I81="ER",I82="ER",I83="ER"),"ER",IF(OR(I80="?",I81="?",I82="?",I83="?"),"?",IF(AND(I80="NA",I81="NA",I82="NA",I83="NA"),"NA",SUM(I80,I81,I82,I83)/((I80&lt;&gt;"NA")*$H$80+(I81&lt;&gt;"NA")*$H$81+(I82&lt;&gt;"NA")*$H$82+(I83&lt;&gt;"NA")*$H$83)*$H79)))</f>
        <v>?</v>
      </c>
      <c r="J79" s="78" t="str">
        <f aca="false">IF(OR(J80="ER",J81="ER",J82="ER",J83="ER"),"ER",IF(OR(J80="?",J81="?",J82="?",J83="?"),"?",IF(AND(J80="NA",J81="NA",J82="NA",J83="NA"),"NA",SUM(J80,J81,J82,J83)/((J80&lt;&gt;"NA")*$H$80+(J81&lt;&gt;"NA")*$H$81+(J82&lt;&gt;"NA")*$H$82+(J83&lt;&gt;"NA")*$H$83)*$H79)))</f>
        <v>?</v>
      </c>
      <c r="K79" s="78" t="str">
        <f aca="false">IF(OR(K80="ER",K81="ER",K82="ER",K83="ER"),"ER",IF(OR(K80="?",K81="?",K82="?",K83="?"),"?",IF(AND(K80="NA",K81="NA",K82="NA",K83="NA"),"NA",SUM(K80,K81,K82,K83)/((K80&lt;&gt;"NA")*$H$80+(K81&lt;&gt;"NA")*$H$81+(K82&lt;&gt;"NA")*$H$82+(K83&lt;&gt;"NA")*$H$83)*$H79)))</f>
        <v>?</v>
      </c>
      <c r="L79" s="78" t="str">
        <f aca="false">IF(OR(L80="ER",L81="ER",L82="ER",L83="ER"),"ER",IF(OR(L80="?",L81="?",L82="?",L83="?"),"?",IF(AND(L80="NA",L81="NA",L82="NA",L83="NA"),"NA",SUM(L80,L81,L82,L83)/((L80&lt;&gt;"NA")*$H$80+(L81&lt;&gt;"NA")*$H$81+(L82&lt;&gt;"NA")*$H$82+(L83&lt;&gt;"NA")*$H$83)*$H79)))</f>
        <v>?</v>
      </c>
      <c r="M79" s="78" t="str">
        <f aca="false">IF(OR(M80="ER",M81="ER",M82="ER",M83="ER"),"ER",IF(OR(M80="?",M81="?",M82="?",M83="?"),"?",IF(AND(M80="NA",M81="NA",M82="NA",M83="NA"),"NA",SUM(M80,M81,M82,M83)/((M80&lt;&gt;"NA")*$H$80+(M81&lt;&gt;"NA")*$H$81+(M82&lt;&gt;"NA")*$H$82+(M83&lt;&gt;"NA")*$H$83)*$H79)))</f>
        <v>?</v>
      </c>
      <c r="N79" s="78" t="str">
        <f aca="false">IF(OR(N80="ER",N81="ER",N82="ER",N83="ER"),"ER",IF(OR(N80="?",N81="?",N82="?",N83="?"),"?",IF(AND(N80="NA",N81="NA",N82="NA",N83="NA"),"NA",SUM(N80,N81,N82,N83)/((N80&lt;&gt;"NA")*$H$80+(N81&lt;&gt;"NA")*$H$81+(N82&lt;&gt;"NA")*$H$82+(N83&lt;&gt;"NA")*$H$83)*$H79)))</f>
        <v>?</v>
      </c>
      <c r="O79" s="78" t="str">
        <f aca="false">IF(OR(O80="ER",O81="ER",O82="ER",O83="ER"),"ER",IF(OR(O80="?",O81="?",O82="?",O83="?"),"?",IF(AND(O80="NA",O81="NA",O82="NA",O83="NA"),"NA",SUM(O80,O81,O82,O83)/((O80&lt;&gt;"NA")*$H$80+(O81&lt;&gt;"NA")*$H$81+(O82&lt;&gt;"NA")*$H$82+(O83&lt;&gt;"NA")*$H$83)*$H79)))</f>
        <v>?</v>
      </c>
      <c r="P79" s="78" t="str">
        <f aca="false">IF(OR(P80="ER",P81="ER",P82="ER",P83="ER"),"ER",IF(OR(P80="?",P81="?",P82="?",P83="?"),"?",IF(AND(P80="NA",P81="NA",P82="NA",P83="NA"),"NA",SUM(P80,P81,P82,P83)/((P80&lt;&gt;"NA")*$H$80+(P81&lt;&gt;"NA")*$H$81+(P82&lt;&gt;"NA")*$H$82+(P83&lt;&gt;"NA")*$H$83)*$H79)))</f>
        <v>?</v>
      </c>
      <c r="Q79" s="78" t="str">
        <f aca="false">IF(OR(Q80="ER",Q81="ER",Q82="ER",Q83="ER"),"ER",IF(OR(Q80="?",Q81="?",Q82="?",Q83="?"),"?",IF(AND(Q80="NA",Q81="NA",Q82="NA",Q83="NA"),"NA",SUM(Q80,Q81,Q82,Q83)/((Q80&lt;&gt;"NA")*$H$80+(Q81&lt;&gt;"NA")*$H$81+(Q82&lt;&gt;"NA")*$H$82+(Q83&lt;&gt;"NA")*$H$83)*$H79)))</f>
        <v>?</v>
      </c>
      <c r="R79" s="78" t="str">
        <f aca="false">IF(OR(R80="ER",R81="ER",R82="ER",R83="ER"),"ER",IF(OR(R80="?",R81="?",R82="?",R83="?"),"?",IF(AND(R80="NA",R81="NA",R82="NA",R83="NA"),"NA",SUM(R80,R81,R82,R83)/((R80&lt;&gt;"NA")*$H$80+(R81&lt;&gt;"NA")*$H$81+(R82&lt;&gt;"NA")*$H$82+(R83&lt;&gt;"NA")*$H$83)*$H79)))</f>
        <v>?</v>
      </c>
      <c r="S79" s="78" t="str">
        <f aca="false">IF(OR(S80="ER",S81="ER",S82="ER",S83="ER"),"ER",IF(OR(S80="?",S81="?",S82="?",S83="?"),"?",IF(AND(S80="NA",S81="NA",S82="NA",S83="NA"),"NA",SUM(S80,S81,S82,S83)/((S80&lt;&gt;"NA")*$H$80+(S81&lt;&gt;"NA")*$H$81+(S82&lt;&gt;"NA")*$H$82+(S83&lt;&gt;"NA")*$H$83)*$H79)))</f>
        <v>?</v>
      </c>
      <c r="T79" s="78" t="str">
        <f aca="false">IF(OR(T80="ER",T81="ER",T82="ER",T83="ER"),"ER",IF(OR(T80="?",T81="?",T82="?",T83="?"),"?",IF(AND(T80="NA",T81="NA",T82="NA",T83="NA"),"NA",SUM(T80,T81,T82,T83)/((T80&lt;&gt;"NA")*$H$80+(T81&lt;&gt;"NA")*$H$81+(T82&lt;&gt;"NA")*$H$82+(T83&lt;&gt;"NA")*$H$83)*$H79)))</f>
        <v>?</v>
      </c>
      <c r="U79" s="78" t="str">
        <f aca="false">IF(OR(U80="ER",U81="ER",U82="ER",U83="ER"),"ER",IF(OR(U80="?",U81="?",U82="?",U83="?"),"?",IF(AND(U80="NA",U81="NA",U82="NA",U83="NA"),"NA",SUM(U80,U81,U82,U83)/((U80&lt;&gt;"NA")*$H$80+(U81&lt;&gt;"NA")*$H$81+(U82&lt;&gt;"NA")*$H$82+(U83&lt;&gt;"NA")*$H$83)*$H79)))</f>
        <v>?</v>
      </c>
      <c r="V79" s="78" t="str">
        <f aca="false">IF(OR(V80="ER",V81="ER",V82="ER",V83="ER"),"ER",IF(OR(V80="?",V81="?",V82="?",V83="?"),"?",IF(AND(V80="NA",V81="NA",V82="NA",V83="NA"),"NA",SUM(V80,V81,V82,V83)/((V80&lt;&gt;"NA")*$H$80+(V81&lt;&gt;"NA")*$H$81+(V82&lt;&gt;"NA")*$H$82+(V83&lt;&gt;"NA")*$H$83)*$H79)))</f>
        <v>?</v>
      </c>
      <c r="W79" s="78" t="str">
        <f aca="false">IF(OR(W80="ER",W81="ER",W82="ER",W83="ER"),"ER",IF(OR(W80="?",W81="?",W82="?",W83="?"),"?",IF(AND(W80="NA",W81="NA",W82="NA",W83="NA"),"NA",SUM(W80,W81,W82,W83)/((W80&lt;&gt;"NA")*$H$80+(W81&lt;&gt;"NA")*$H$81+(W82&lt;&gt;"NA")*$H$82+(W83&lt;&gt;"NA")*$H$83)*$H79)))</f>
        <v>?</v>
      </c>
      <c r="X79" s="78" t="str">
        <f aca="false">IF(OR(X80="ER",X81="ER",X82="ER",X83="ER"),"ER",IF(OR(X80="?",X81="?",X82="?",X83="?"),"?",IF(AND(X80="NA",X81="NA",X82="NA",X83="NA"),"NA",SUM(X80,X81,X82,X83)/((X80&lt;&gt;"NA")*$H$80+(X81&lt;&gt;"NA")*$H$81+(X82&lt;&gt;"NA")*$H$82+(X83&lt;&gt;"NA")*$H$83)*$H79)))</f>
        <v>?</v>
      </c>
      <c r="Y79" s="78" t="str">
        <f aca="false">IF(OR(Y80="ER",Y81="ER",Y82="ER",Y83="ER"),"ER",IF(OR(Y80="?",Y81="?",Y82="?",Y83="?"),"?",IF(AND(Y80="NA",Y81="NA",Y82="NA",Y83="NA"),"NA",SUM(Y80,Y81,Y82,Y83)/((Y80&lt;&gt;"NA")*$H$80+(Y81&lt;&gt;"NA")*$H$81+(Y82&lt;&gt;"NA")*$H$82+(Y83&lt;&gt;"NA")*$H$83)*$H79)))</f>
        <v>?</v>
      </c>
      <c r="Z79" s="78" t="str">
        <f aca="false">IF(OR(Z80="ER",Z81="ER",Z82="ER",Z83="ER"),"ER",IF(OR(Z80="?",Z81="?",Z82="?",Z83="?"),"?",IF(AND(Z80="NA",Z81="NA",Z82="NA",Z83="NA"),"NA",SUM(Z80,Z81,Z82,Z83)/((Z80&lt;&gt;"NA")*$H$80+(Z81&lt;&gt;"NA")*$H$81+(Z82&lt;&gt;"NA")*$H$82+(Z83&lt;&gt;"NA")*$H$83)*$H79)))</f>
        <v>?</v>
      </c>
      <c r="AA79" s="78" t="str">
        <f aca="false">IF(OR(AA80="ER",AA81="ER",AA82="ER",AA83="ER"),"ER",IF(OR(AA80="?",AA81="?",AA82="?",AA83="?"),"?",IF(AND(AA80="NA",AA81="NA",AA82="NA",AA83="NA"),"NA",SUM(AA80,AA81,AA82,AA83)/((AA80&lt;&gt;"NA")*$H$80+(AA81&lt;&gt;"NA")*$H$81+(AA82&lt;&gt;"NA")*$H$82+(AA83&lt;&gt;"NA")*$H$83)*$H79)))</f>
        <v>?</v>
      </c>
      <c r="AB79" s="78" t="str">
        <f aca="false">IF(OR(AB80="ER",AB81="ER",AB82="ER",AB83="ER"),"ER",IF(OR(AB80="?",AB81="?",AB82="?",AB83="?"),"?",IF(AND(AB80="NA",AB81="NA",AB82="NA",AB83="NA"),"NA",SUM(AB80,AB81,AB82,AB83)/((AB80&lt;&gt;"NA")*$H$80+(AB81&lt;&gt;"NA")*$H$81+(AB82&lt;&gt;"NA")*$H$82+(AB83&lt;&gt;"NA")*$H$83)*$H79)))</f>
        <v>?</v>
      </c>
      <c r="AC79" s="78" t="str">
        <f aca="false">IF(OR(AC80="ER",AC81="ER",AC82="ER",AC83="ER"),"ER",IF(OR(AC80="?",AC81="?",AC82="?",AC83="?"),"?",IF(AND(AC80="NA",AC81="NA",AC82="NA",AC83="NA"),"NA",SUM(AC80,AC81,AC82,AC83)/((AC80&lt;&gt;"NA")*$H$80+(AC81&lt;&gt;"NA")*$H$81+(AC82&lt;&gt;"NA")*$H$82+(AC83&lt;&gt;"NA")*$H$83)*$H79)))</f>
        <v>?</v>
      </c>
      <c r="AD79" s="78" t="str">
        <f aca="false">IF(OR(AD80="ER",AD81="ER",AD82="ER",AD83="ER"),"ER",IF(OR(AD80="?",AD81="?",AD82="?",AD83="?"),"?",IF(AND(AD80="NA",AD81="NA",AD82="NA",AD83="NA"),"NA",SUM(AD80,AD81,AD82,AD83)/((AD80&lt;&gt;"NA")*$H$80+(AD81&lt;&gt;"NA")*$H$81+(AD82&lt;&gt;"NA")*$H$82+(AD83&lt;&gt;"NA")*$H$83)*$H79)))</f>
        <v>?</v>
      </c>
      <c r="AE79" s="78" t="str">
        <f aca="false">IF(OR(AE80="ER",AE81="ER",AE82="ER",AE83="ER"),"ER",IF(OR(AE80="?",AE81="?",AE82="?",AE83="?"),"?",IF(AND(AE80="NA",AE81="NA",AE82="NA",AE83="NA"),"NA",SUM(AE80,AE81,AE82,AE83)/((AE80&lt;&gt;"NA")*$H$80+(AE81&lt;&gt;"NA")*$H$81+(AE82&lt;&gt;"NA")*$H$82+(AE83&lt;&gt;"NA")*$H$83)*$H79)))</f>
        <v>?</v>
      </c>
      <c r="AF79" s="78" t="str">
        <f aca="false">IF(OR(AF80="ER",AF81="ER",AF82="ER",AF83="ER"),"ER",IF(OR(AF80="?",AF81="?",AF82="?",AF83="?"),"?",IF(AND(AF80="NA",AF81="NA",AF82="NA",AF83="NA"),"NA",SUM(AF80,AF81,AF82,AF83)/((AF80&lt;&gt;"NA")*$H$80+(AF81&lt;&gt;"NA")*$H$81+(AF82&lt;&gt;"NA")*$H$82+(AF83&lt;&gt;"NA")*$H$83)*$H79)))</f>
        <v>?</v>
      </c>
      <c r="AG79" s="78" t="str">
        <f aca="false">IF(OR(AG80="ER",AG81="ER",AG82="ER",AG83="ER"),"ER",IF(OR(AG80="?",AG81="?",AG82="?",AG83="?"),"?",IF(AND(AG80="NA",AG81="NA",AG82="NA",AG83="NA"),"NA",SUM(AG80,AG81,AG82,AG83)/((AG80&lt;&gt;"NA")*$H$80+(AG81&lt;&gt;"NA")*$H$81+(AG82&lt;&gt;"NA")*$H$82+(AG83&lt;&gt;"NA")*$H$83)*$H79)))</f>
        <v>?</v>
      </c>
      <c r="AH79" s="78" t="str">
        <f aca="false">IF(OR(AH80="ER",AH81="ER",AH82="ER",AH83="ER"),"ER",IF(OR(AH80="?",AH81="?",AH82="?",AH83="?"),"?",IF(AND(AH80="NA",AH81="NA",AH82="NA",AH83="NA"),"NA",SUM(AH80,AH81,AH82,AH83)/((AH80&lt;&gt;"NA")*$H$80+(AH81&lt;&gt;"NA")*$H$81+(AH82&lt;&gt;"NA")*$H$82+(AH83&lt;&gt;"NA")*$H$83)*$H79)))</f>
        <v>?</v>
      </c>
      <c r="AI79" s="78" t="str">
        <f aca="false">IF(OR(AI80="ER",AI81="ER",AI82="ER",AI83="ER"),"ER",IF(OR(AI80="?",AI81="?",AI82="?",AI83="?"),"?",IF(AND(AI80="NA",AI81="NA",AI82="NA",AI83="NA"),"NA",SUM(AI80,AI81,AI82,AI83)/((AI80&lt;&gt;"NA")*$H$80+(AI81&lt;&gt;"NA")*$H$81+(AI82&lt;&gt;"NA")*$H$82+(AI83&lt;&gt;"NA")*$H$83)*$H79)))</f>
        <v>?</v>
      </c>
      <c r="AJ79" s="78" t="str">
        <f aca="false">IF(OR(AJ80="ER",AJ81="ER",AJ82="ER",AJ83="ER"),"ER",IF(OR(AJ80="?",AJ81="?",AJ82="?",AJ83="?"),"?",IF(AND(AJ80="NA",AJ81="NA",AJ82="NA",AJ83="NA"),"NA",SUM(AJ80,AJ81,AJ82,AJ83)/((AJ80&lt;&gt;"NA")*$H$80+(AJ81&lt;&gt;"NA")*$H$81+(AJ82&lt;&gt;"NA")*$H$82+(AJ83&lt;&gt;"NA")*$H$83)*$H79)))</f>
        <v>?</v>
      </c>
      <c r="AK79" s="78" t="str">
        <f aca="false">IF(OR(AK80="ER",AK81="ER",AK82="ER",AK83="ER"),"ER",IF(OR(AK80="?",AK81="?",AK82="?",AK83="?"),"?",IF(AND(AK80="NA",AK81="NA",AK82="NA",AK83="NA"),"NA",SUM(AK80,AK81,AK82,AK83)/((AK80&lt;&gt;"NA")*$H$80+(AK81&lt;&gt;"NA")*$H$81+(AK82&lt;&gt;"NA")*$H$82+(AK83&lt;&gt;"NA")*$H$83)*$H79)))</f>
        <v>?</v>
      </c>
    </row>
    <row r="80" customFormat="false" ht="14.25" hidden="false" customHeight="true" outlineLevel="0" collapsed="false">
      <c r="A80" s="74" t="s">
        <v>355</v>
      </c>
      <c r="B80" s="75" t="str">
        <f aca="false">IF(ISBLANK($A80),"NO_CODE",VLOOKUP($A80,'UPD Questions_290926 '!$E$1:$N$300,MATCH(B$1,'UPD Questions_290926 '!$E$1:$N$1,0),0)&amp;"")</f>
        <v>Implementation</v>
      </c>
      <c r="C80" s="75" t="str">
        <f aca="false">IF(ISBLANK($A80),"NO_CODE",VLOOKUP($A80,'UPD Questions_290926 '!$E$1:$N$300,MATCH(C$1,'UPD Questions_290926 '!$E$1:$N$1,0),0)&amp;"")</f>
        <v>Specialised institutional capacity</v>
      </c>
      <c r="D80" s="75" t="str">
        <f aca="false">IF(ISBLANK($A80),"NO_CODE",VLOOKUP($A80,'UPD Questions_290926 '!$E$1:$N$300,MATCH(D$1,'UPD Questions_290926 '!$E$1:$N$1,0),0)&amp;"")</f>
        <v>Urban design</v>
      </c>
      <c r="E80" s="75" t="str">
        <f aca="false">IF(ISBLANK($A80),"NO_CODE",VLOOKUP($A80,'UPD Questions_290926 '!$E$1:$N$300,MATCH(E$1,'UPD Questions_290926 '!$E$1:$N$1,0),0)&amp;"")</f>
        <v>SQ</v>
      </c>
      <c r="F80" s="75" t="str">
        <f aca="false">IF(ISBLANK($A80),"NO_CODE",VLOOKUP($A80,'UPD Questions_290926 '!$E$1:$N$300,MATCH(F$1,'UPD Questions_290926 '!$E$1:$N$1,0),0)&amp;"")</f>
        <v>Does the city have an Urban Design Cell?</v>
      </c>
      <c r="G80" s="75" t="str">
        <f aca="false">IF(ISBLANK($A80),"NO_CODE",VLOOKUP($A80,'UPD Questions_290926 '!$E$1:$N$300,MATCH(G$1,'UPD Questions_290926 '!$E$1:$N$1,0),0)&amp;"")</f>
        <v>Implementation</v>
      </c>
      <c r="H80" s="77" t="n">
        <f aca="false">IF(ISBLANK($A80),"NO_CODE",VLOOKUP($A80,'UPD Questions_290926 '!$E$1:$N$300,MATCH(H$1,'UPD Questions_290926 '!$E$1:$N$1,0),0))</f>
        <v>2.5</v>
      </c>
      <c r="I80" s="78" t="str">
        <f aca="true">IF($H80=0,"NA",IF($A80=INDIRECT("'"&amp;$A80&amp;"'!$B$1"),IF(VLOOKUP(I$1,INDIRECT("'"&amp;$A80&amp;"'!$A$12:$Z$41"),MATCH("Points (Auto-generate)",INDIRECT("'"&amp;$A80&amp;"'!$A$12:$Z$12"),0),0)="","?",VLOOKUP(I$1,INDIRECT("'"&amp;$A80&amp;"'!$A$12:$Z$41"),MATCH("Points (Auto-generate)",INDIRECT("'"&amp;$A80&amp;"'!$A$12:$Z$12"),0),0)),"ER"))</f>
        <v>?</v>
      </c>
      <c r="J80" s="78" t="str">
        <f aca="true">IF($H80=0,"NA",IF($A80=INDIRECT("'"&amp;$A80&amp;"'!$B$1"),IF(VLOOKUP(J$1,INDIRECT("'"&amp;$A80&amp;"'!$A$12:$Z$41"),MATCH("Points (Auto-generate)",INDIRECT("'"&amp;$A80&amp;"'!$A$12:$Z$12"),0),0)="","?",VLOOKUP(J$1,INDIRECT("'"&amp;$A80&amp;"'!$A$12:$Z$41"),MATCH("Points (Auto-generate)",INDIRECT("'"&amp;$A80&amp;"'!$A$12:$Z$12"),0),0)),"ER"))</f>
        <v>?</v>
      </c>
      <c r="K80" s="78" t="str">
        <f aca="true">IF($H80=0,"NA",IF($A80=INDIRECT("'"&amp;$A80&amp;"'!$B$1"),IF(VLOOKUP(K$1,INDIRECT("'"&amp;$A80&amp;"'!$A$12:$Z$41"),MATCH("Points (Auto-generate)",INDIRECT("'"&amp;$A80&amp;"'!$A$12:$Z$12"),0),0)="","?",VLOOKUP(K$1,INDIRECT("'"&amp;$A80&amp;"'!$A$12:$Z$41"),MATCH("Points (Auto-generate)",INDIRECT("'"&amp;$A80&amp;"'!$A$12:$Z$12"),0),0)),"ER"))</f>
        <v>?</v>
      </c>
      <c r="L80" s="78" t="str">
        <f aca="true">IF($H80=0,"NA",IF($A80=INDIRECT("'"&amp;$A80&amp;"'!$B$1"),IF(VLOOKUP(L$1,INDIRECT("'"&amp;$A80&amp;"'!$A$12:$Z$41"),MATCH("Points (Auto-generate)",INDIRECT("'"&amp;$A80&amp;"'!$A$12:$Z$12"),0),0)="","?",VLOOKUP(L$1,INDIRECT("'"&amp;$A80&amp;"'!$A$12:$Z$41"),MATCH("Points (Auto-generate)",INDIRECT("'"&amp;$A80&amp;"'!$A$12:$Z$12"),0),0)),"ER"))</f>
        <v>?</v>
      </c>
      <c r="M80" s="78" t="str">
        <f aca="true">IF($H80=0,"NA",IF($A80=INDIRECT("'"&amp;$A80&amp;"'!$B$1"),IF(VLOOKUP(M$1,INDIRECT("'"&amp;$A80&amp;"'!$A$12:$Z$41"),MATCH("Points (Auto-generate)",INDIRECT("'"&amp;$A80&amp;"'!$A$12:$Z$12"),0),0)="","?",VLOOKUP(M$1,INDIRECT("'"&amp;$A80&amp;"'!$A$12:$Z$41"),MATCH("Points (Auto-generate)",INDIRECT("'"&amp;$A80&amp;"'!$A$12:$Z$12"),0),0)),"ER"))</f>
        <v>?</v>
      </c>
      <c r="N80" s="78" t="str">
        <f aca="true">IF($H80=0,"NA",IF($A80=INDIRECT("'"&amp;$A80&amp;"'!$B$1"),IF(VLOOKUP(N$1,INDIRECT("'"&amp;$A80&amp;"'!$A$12:$Z$41"),MATCH("Points (Auto-generate)",INDIRECT("'"&amp;$A80&amp;"'!$A$12:$Z$12"),0),0)="","?",VLOOKUP(N$1,INDIRECT("'"&amp;$A80&amp;"'!$A$12:$Z$41"),MATCH("Points (Auto-generate)",INDIRECT("'"&amp;$A80&amp;"'!$A$12:$Z$12"),0),0)),"ER"))</f>
        <v>?</v>
      </c>
      <c r="O80" s="78" t="str">
        <f aca="true">IF($H80=0,"NA",IF($A80=INDIRECT("'"&amp;$A80&amp;"'!$B$1"),IF(VLOOKUP(O$1,INDIRECT("'"&amp;$A80&amp;"'!$A$12:$Z$41"),MATCH("Points (Auto-generate)",INDIRECT("'"&amp;$A80&amp;"'!$A$12:$Z$12"),0),0)="","?",VLOOKUP(O$1,INDIRECT("'"&amp;$A80&amp;"'!$A$12:$Z$41"),MATCH("Points (Auto-generate)",INDIRECT("'"&amp;$A80&amp;"'!$A$12:$Z$12"),0),0)),"ER"))</f>
        <v>?</v>
      </c>
      <c r="P80" s="78" t="str">
        <f aca="true">IF($H80=0,"NA",IF($A80=INDIRECT("'"&amp;$A80&amp;"'!$B$1"),IF(VLOOKUP(P$1,INDIRECT("'"&amp;$A80&amp;"'!$A$12:$Z$41"),MATCH("Points (Auto-generate)",INDIRECT("'"&amp;$A80&amp;"'!$A$12:$Z$12"),0),0)="","?",VLOOKUP(P$1,INDIRECT("'"&amp;$A80&amp;"'!$A$12:$Z$41"),MATCH("Points (Auto-generate)",INDIRECT("'"&amp;$A80&amp;"'!$A$12:$Z$12"),0),0)),"ER"))</f>
        <v>?</v>
      </c>
      <c r="Q80" s="78" t="str">
        <f aca="true">IF($H80=0,"NA",IF($A80=INDIRECT("'"&amp;$A80&amp;"'!$B$1"),IF(VLOOKUP(Q$1,INDIRECT("'"&amp;$A80&amp;"'!$A$12:$Z$41"),MATCH("Points (Auto-generate)",INDIRECT("'"&amp;$A80&amp;"'!$A$12:$Z$12"),0),0)="","?",VLOOKUP(Q$1,INDIRECT("'"&amp;$A80&amp;"'!$A$12:$Z$41"),MATCH("Points (Auto-generate)",INDIRECT("'"&amp;$A80&amp;"'!$A$12:$Z$12"),0),0)),"ER"))</f>
        <v>?</v>
      </c>
      <c r="R80" s="78" t="str">
        <f aca="true">IF($H80=0,"NA",IF($A80=INDIRECT("'"&amp;$A80&amp;"'!$B$1"),IF(VLOOKUP(R$1,INDIRECT("'"&amp;$A80&amp;"'!$A$12:$Z$41"),MATCH("Points (Auto-generate)",INDIRECT("'"&amp;$A80&amp;"'!$A$12:$Z$12"),0),0)="","?",VLOOKUP(R$1,INDIRECT("'"&amp;$A80&amp;"'!$A$12:$Z$41"),MATCH("Points (Auto-generate)",INDIRECT("'"&amp;$A80&amp;"'!$A$12:$Z$12"),0),0)),"ER"))</f>
        <v>?</v>
      </c>
      <c r="S80" s="78" t="str">
        <f aca="true">IF($H80=0,"NA",IF($A80=INDIRECT("'"&amp;$A80&amp;"'!$B$1"),IF(VLOOKUP(S$1,INDIRECT("'"&amp;$A80&amp;"'!$A$12:$Z$41"),MATCH("Points (Auto-generate)",INDIRECT("'"&amp;$A80&amp;"'!$A$12:$Z$12"),0),0)="","?",VLOOKUP(S$1,INDIRECT("'"&amp;$A80&amp;"'!$A$12:$Z$41"),MATCH("Points (Auto-generate)",INDIRECT("'"&amp;$A80&amp;"'!$A$12:$Z$12"),0),0)),"ER"))</f>
        <v>?</v>
      </c>
      <c r="T80" s="78" t="str">
        <f aca="true">IF($H80=0,"NA",IF($A80=INDIRECT("'"&amp;$A80&amp;"'!$B$1"),IF(VLOOKUP(T$1,INDIRECT("'"&amp;$A80&amp;"'!$A$12:$Z$41"),MATCH("Points (Auto-generate)",INDIRECT("'"&amp;$A80&amp;"'!$A$12:$Z$12"),0),0)="","?",VLOOKUP(T$1,INDIRECT("'"&amp;$A80&amp;"'!$A$12:$Z$41"),MATCH("Points (Auto-generate)",INDIRECT("'"&amp;$A80&amp;"'!$A$12:$Z$12"),0),0)),"ER"))</f>
        <v>?</v>
      </c>
      <c r="U80" s="78" t="str">
        <f aca="true">IF($H80=0,"NA",IF($A80=INDIRECT("'"&amp;$A80&amp;"'!$B$1"),IF(VLOOKUP(U$1,INDIRECT("'"&amp;$A80&amp;"'!$A$12:$Z$41"),MATCH("Points (Auto-generate)",INDIRECT("'"&amp;$A80&amp;"'!$A$12:$Z$12"),0),0)="","?",VLOOKUP(U$1,INDIRECT("'"&amp;$A80&amp;"'!$A$12:$Z$41"),MATCH("Points (Auto-generate)",INDIRECT("'"&amp;$A80&amp;"'!$A$12:$Z$12"),0),0)),"ER"))</f>
        <v>?</v>
      </c>
      <c r="V80" s="78" t="str">
        <f aca="true">IF($H80=0,"NA",IF($A80=INDIRECT("'"&amp;$A80&amp;"'!$B$1"),IF(VLOOKUP(V$1,INDIRECT("'"&amp;$A80&amp;"'!$A$12:$Z$41"),MATCH("Points (Auto-generate)",INDIRECT("'"&amp;$A80&amp;"'!$A$12:$Z$12"),0),0)="","?",VLOOKUP(V$1,INDIRECT("'"&amp;$A80&amp;"'!$A$12:$Z$41"),MATCH("Points (Auto-generate)",INDIRECT("'"&amp;$A80&amp;"'!$A$12:$Z$12"),0),0)),"ER"))</f>
        <v>?</v>
      </c>
      <c r="W80" s="78" t="str">
        <f aca="true">IF($H80=0,"NA",IF($A80=INDIRECT("'"&amp;$A80&amp;"'!$B$1"),IF(VLOOKUP(W$1,INDIRECT("'"&amp;$A80&amp;"'!$A$12:$Z$41"),MATCH("Points (Auto-generate)",INDIRECT("'"&amp;$A80&amp;"'!$A$12:$Z$12"),0),0)="","?",VLOOKUP(W$1,INDIRECT("'"&amp;$A80&amp;"'!$A$12:$Z$41"),MATCH("Points (Auto-generate)",INDIRECT("'"&amp;$A80&amp;"'!$A$12:$Z$12"),0),0)),"ER"))</f>
        <v>?</v>
      </c>
      <c r="X80" s="78" t="str">
        <f aca="true">IF($H80=0,"NA",IF($A80=INDIRECT("'"&amp;$A80&amp;"'!$B$1"),IF(VLOOKUP(X$1,INDIRECT("'"&amp;$A80&amp;"'!$A$12:$Z$41"),MATCH("Points (Auto-generate)",INDIRECT("'"&amp;$A80&amp;"'!$A$12:$Z$12"),0),0)="","?",VLOOKUP(X$1,INDIRECT("'"&amp;$A80&amp;"'!$A$12:$Z$41"),MATCH("Points (Auto-generate)",INDIRECT("'"&amp;$A80&amp;"'!$A$12:$Z$12"),0),0)),"ER"))</f>
        <v>?</v>
      </c>
      <c r="Y80" s="78" t="str">
        <f aca="true">IF($H80=0,"NA",IF($A80=INDIRECT("'"&amp;$A80&amp;"'!$B$1"),IF(VLOOKUP(Y$1,INDIRECT("'"&amp;$A80&amp;"'!$A$12:$Z$41"),MATCH("Points (Auto-generate)",INDIRECT("'"&amp;$A80&amp;"'!$A$12:$Z$12"),0),0)="","?",VLOOKUP(Y$1,INDIRECT("'"&amp;$A80&amp;"'!$A$12:$Z$41"),MATCH("Points (Auto-generate)",INDIRECT("'"&amp;$A80&amp;"'!$A$12:$Z$12"),0),0)),"ER"))</f>
        <v>?</v>
      </c>
      <c r="Z80" s="78" t="str">
        <f aca="true">IF($H80=0,"NA",IF($A80=INDIRECT("'"&amp;$A80&amp;"'!$B$1"),IF(VLOOKUP(Z$1,INDIRECT("'"&amp;$A80&amp;"'!$A$12:$Z$41"),MATCH("Points (Auto-generate)",INDIRECT("'"&amp;$A80&amp;"'!$A$12:$Z$12"),0),0)="","?",VLOOKUP(Z$1,INDIRECT("'"&amp;$A80&amp;"'!$A$12:$Z$41"),MATCH("Points (Auto-generate)",INDIRECT("'"&amp;$A80&amp;"'!$A$12:$Z$12"),0),0)),"ER"))</f>
        <v>?</v>
      </c>
      <c r="AA80" s="78" t="str">
        <f aca="true">IF($H80=0,"NA",IF($A80=INDIRECT("'"&amp;$A80&amp;"'!$B$1"),IF(VLOOKUP(AA$1,INDIRECT("'"&amp;$A80&amp;"'!$A$12:$Z$41"),MATCH("Points (Auto-generate)",INDIRECT("'"&amp;$A80&amp;"'!$A$12:$Z$12"),0),0)="","?",VLOOKUP(AA$1,INDIRECT("'"&amp;$A80&amp;"'!$A$12:$Z$41"),MATCH("Points (Auto-generate)",INDIRECT("'"&amp;$A80&amp;"'!$A$12:$Z$12"),0),0)),"ER"))</f>
        <v>?</v>
      </c>
      <c r="AB80" s="78" t="str">
        <f aca="true">IF($H80=0,"NA",IF($A80=INDIRECT("'"&amp;$A80&amp;"'!$B$1"),IF(VLOOKUP(AB$1,INDIRECT("'"&amp;$A80&amp;"'!$A$12:$Z$41"),MATCH("Points (Auto-generate)",INDIRECT("'"&amp;$A80&amp;"'!$A$12:$Z$12"),0),0)="","?",VLOOKUP(AB$1,INDIRECT("'"&amp;$A80&amp;"'!$A$12:$Z$41"),MATCH("Points (Auto-generate)",INDIRECT("'"&amp;$A80&amp;"'!$A$12:$Z$12"),0),0)),"ER"))</f>
        <v>?</v>
      </c>
      <c r="AC80" s="78" t="str">
        <f aca="true">IF($H80=0,"NA",IF($A80=INDIRECT("'"&amp;$A80&amp;"'!$B$1"),IF(VLOOKUP(AC$1,INDIRECT("'"&amp;$A80&amp;"'!$A$12:$Z$41"),MATCH("Points (Auto-generate)",INDIRECT("'"&amp;$A80&amp;"'!$A$12:$Z$12"),0),0)="","?",VLOOKUP(AC$1,INDIRECT("'"&amp;$A80&amp;"'!$A$12:$Z$41"),MATCH("Points (Auto-generate)",INDIRECT("'"&amp;$A80&amp;"'!$A$12:$Z$12"),0),0)),"ER"))</f>
        <v>?</v>
      </c>
      <c r="AD80" s="78" t="str">
        <f aca="true">IF($H80=0,"NA",IF($A80=INDIRECT("'"&amp;$A80&amp;"'!$B$1"),IF(VLOOKUP(AD$1,INDIRECT("'"&amp;$A80&amp;"'!$A$12:$Z$41"),MATCH("Points (Auto-generate)",INDIRECT("'"&amp;$A80&amp;"'!$A$12:$Z$12"),0),0)="","?",VLOOKUP(AD$1,INDIRECT("'"&amp;$A80&amp;"'!$A$12:$Z$41"),MATCH("Points (Auto-generate)",INDIRECT("'"&amp;$A80&amp;"'!$A$12:$Z$12"),0),0)),"ER"))</f>
        <v>?</v>
      </c>
      <c r="AE80" s="78" t="str">
        <f aca="true">IF($H80=0,"NA",IF($A80=INDIRECT("'"&amp;$A80&amp;"'!$B$1"),IF(VLOOKUP(AE$1,INDIRECT("'"&amp;$A80&amp;"'!$A$12:$Z$41"),MATCH("Points (Auto-generate)",INDIRECT("'"&amp;$A80&amp;"'!$A$12:$Z$12"),0),0)="","?",VLOOKUP(AE$1,INDIRECT("'"&amp;$A80&amp;"'!$A$12:$Z$41"),MATCH("Points (Auto-generate)",INDIRECT("'"&amp;$A80&amp;"'!$A$12:$Z$12"),0),0)),"ER"))</f>
        <v>?</v>
      </c>
      <c r="AF80" s="78" t="str">
        <f aca="true">IF($H80=0,"NA",IF($A80=INDIRECT("'"&amp;$A80&amp;"'!$B$1"),IF(VLOOKUP(AF$1,INDIRECT("'"&amp;$A80&amp;"'!$A$12:$Z$41"),MATCH("Points (Auto-generate)",INDIRECT("'"&amp;$A80&amp;"'!$A$12:$Z$12"),0),0)="","?",VLOOKUP(AF$1,INDIRECT("'"&amp;$A80&amp;"'!$A$12:$Z$41"),MATCH("Points (Auto-generate)",INDIRECT("'"&amp;$A80&amp;"'!$A$12:$Z$12"),0),0)),"ER"))</f>
        <v>?</v>
      </c>
      <c r="AG80" s="78" t="str">
        <f aca="true">IF($H80=0,"NA",IF($A80=INDIRECT("'"&amp;$A80&amp;"'!$B$1"),IF(VLOOKUP(AG$1,INDIRECT("'"&amp;$A80&amp;"'!$A$12:$Z$41"),MATCH("Points (Auto-generate)",INDIRECT("'"&amp;$A80&amp;"'!$A$12:$Z$12"),0),0)="","?",VLOOKUP(AG$1,INDIRECT("'"&amp;$A80&amp;"'!$A$12:$Z$41"),MATCH("Points (Auto-generate)",INDIRECT("'"&amp;$A80&amp;"'!$A$12:$Z$12"),0),0)),"ER"))</f>
        <v>?</v>
      </c>
      <c r="AH80" s="78" t="str">
        <f aca="true">IF($H80=0,"NA",IF($A80=INDIRECT("'"&amp;$A80&amp;"'!$B$1"),IF(VLOOKUP(AH$1,INDIRECT("'"&amp;$A80&amp;"'!$A$12:$Z$41"),MATCH("Points (Auto-generate)",INDIRECT("'"&amp;$A80&amp;"'!$A$12:$Z$12"),0),0)="","?",VLOOKUP(AH$1,INDIRECT("'"&amp;$A80&amp;"'!$A$12:$Z$41"),MATCH("Points (Auto-generate)",INDIRECT("'"&amp;$A80&amp;"'!$A$12:$Z$12"),0),0)),"ER"))</f>
        <v>?</v>
      </c>
      <c r="AI80" s="78" t="str">
        <f aca="true">IF($H80=0,"NA",IF($A80=INDIRECT("'"&amp;$A80&amp;"'!$B$1"),IF(VLOOKUP(AI$1,INDIRECT("'"&amp;$A80&amp;"'!$A$12:$Z$41"),MATCH("Points (Auto-generate)",INDIRECT("'"&amp;$A80&amp;"'!$A$12:$Z$12"),0),0)="","?",VLOOKUP(AI$1,INDIRECT("'"&amp;$A80&amp;"'!$A$12:$Z$41"),MATCH("Points (Auto-generate)",INDIRECT("'"&amp;$A80&amp;"'!$A$12:$Z$12"),0),0)),"ER"))</f>
        <v>?</v>
      </c>
      <c r="AJ80" s="78" t="str">
        <f aca="true">IF($H80=0,"NA",IF($A80=INDIRECT("'"&amp;$A80&amp;"'!$B$1"),IF(VLOOKUP(AJ$1,INDIRECT("'"&amp;$A80&amp;"'!$A$12:$Z$41"),MATCH("Points (Auto-generate)",INDIRECT("'"&amp;$A80&amp;"'!$A$12:$Z$12"),0),0)="","?",VLOOKUP(AJ$1,INDIRECT("'"&amp;$A80&amp;"'!$A$12:$Z$41"),MATCH("Points (Auto-generate)",INDIRECT("'"&amp;$A80&amp;"'!$A$12:$Z$12"),0),0)),"ER"))</f>
        <v>?</v>
      </c>
      <c r="AK80" s="78" t="str">
        <f aca="true">IF($H80=0,"NA",IF($A80=INDIRECT("'"&amp;$A80&amp;"'!$B$1"),IF(VLOOKUP(AK$1,INDIRECT("'"&amp;$A80&amp;"'!$A$12:$Z$41"),MATCH("Points (Auto-generate)",INDIRECT("'"&amp;$A80&amp;"'!$A$12:$Z$12"),0),0)="","?",VLOOKUP(AK$1,INDIRECT("'"&amp;$A80&amp;"'!$A$12:$Z$41"),MATCH("Points (Auto-generate)",INDIRECT("'"&amp;$A80&amp;"'!$A$12:$Z$12"),0),0)),"ER"))</f>
        <v>?</v>
      </c>
    </row>
    <row r="81" customFormat="false" ht="14.25" hidden="false" customHeight="true" outlineLevel="0" collapsed="false">
      <c r="A81" s="74" t="s">
        <v>360</v>
      </c>
      <c r="B81" s="75" t="str">
        <f aca="false">IF(ISBLANK($A81),"NO_CODE",VLOOKUP($A81,'UPD Questions_290926 '!$E$1:$N$300,MATCH(B$1,'UPD Questions_290926 '!$E$1:$N$1,0),0)&amp;"")</f>
        <v>Implementation</v>
      </c>
      <c r="C81" s="75" t="str">
        <f aca="false">IF(ISBLANK($A81),"NO_CODE",VLOOKUP($A81,'UPD Questions_290926 '!$E$1:$N$300,MATCH(C$1,'UPD Questions_290926 '!$E$1:$N$1,0),0)&amp;"")</f>
        <v>Does the city have dedicated institutional capacity to undertake specialised planning and development functions?</v>
      </c>
      <c r="D81" s="75" t="str">
        <f aca="false">IF(ISBLANK($A81),"NO_CODE",VLOOKUP($A81,'UPD Questions_290926 '!$E$1:$N$300,MATCH(D$1,'UPD Questions_290926 '!$E$1:$N$1,0),0)&amp;"")</f>
        <v>Climate</v>
      </c>
      <c r="E81" s="75" t="str">
        <f aca="false">IF(ISBLANK($A81),"NO_CODE",VLOOKUP($A81,'UPD Questions_290926 '!$E$1:$N$300,MATCH(E$1,'UPD Questions_290926 '!$E$1:$N$1,0),0)&amp;"")</f>
        <v>SQ</v>
      </c>
      <c r="F81" s="75" t="str">
        <f aca="false">IF(ISBLANK($A81),"NO_CODE",VLOOKUP($A81,'UPD Questions_290926 '!$E$1:$N$300,MATCH(F$1,'UPD Questions_290926 '!$E$1:$N$1,0),0)&amp;"")</f>
        <v>Does the city have a Climate Action/Sustainability/Disaster Management Cell?</v>
      </c>
      <c r="G81" s="75" t="str">
        <f aca="false">IF(ISBLANK($A81),"NO_CODE",VLOOKUP($A81,'UPD Questions_290926 '!$E$1:$N$300,MATCH(G$1,'UPD Questions_290926 '!$E$1:$N$1,0),0)&amp;"")</f>
        <v>Implementation</v>
      </c>
      <c r="H81" s="77" t="n">
        <f aca="false">IF(ISBLANK($A81),"NO_CODE",VLOOKUP($A81,'UPD Questions_290926 '!$E$1:$N$300,MATCH(H$1,'UPD Questions_290926 '!$E$1:$N$1,0),0))</f>
        <v>2.5</v>
      </c>
      <c r="I81" s="78" t="str">
        <f aca="true">IF($H81=0,"NA",IF($A81=INDIRECT("'"&amp;$A81&amp;"'!$B$1"),IF(VLOOKUP(I$1,INDIRECT("'"&amp;$A81&amp;"'!$A$12:$Z$41"),MATCH("Points (Auto-generate)",INDIRECT("'"&amp;$A81&amp;"'!$A$12:$Z$12"),0),0)="","?",VLOOKUP(I$1,INDIRECT("'"&amp;$A81&amp;"'!$A$12:$Z$41"),MATCH("Points (Auto-generate)",INDIRECT("'"&amp;$A81&amp;"'!$A$12:$Z$12"),0),0)),"ER"))</f>
        <v>?</v>
      </c>
      <c r="J81" s="78" t="str">
        <f aca="true">IF($H81=0,"NA",IF($A81=INDIRECT("'"&amp;$A81&amp;"'!$B$1"),IF(VLOOKUP(J$1,INDIRECT("'"&amp;$A81&amp;"'!$A$12:$Z$41"),MATCH("Points (Auto-generate)",INDIRECT("'"&amp;$A81&amp;"'!$A$12:$Z$12"),0),0)="","?",VLOOKUP(J$1,INDIRECT("'"&amp;$A81&amp;"'!$A$12:$Z$41"),MATCH("Points (Auto-generate)",INDIRECT("'"&amp;$A81&amp;"'!$A$12:$Z$12"),0),0)),"ER"))</f>
        <v>?</v>
      </c>
      <c r="K81" s="78" t="str">
        <f aca="true">IF($H81=0,"NA",IF($A81=INDIRECT("'"&amp;$A81&amp;"'!$B$1"),IF(VLOOKUP(K$1,INDIRECT("'"&amp;$A81&amp;"'!$A$12:$Z$41"),MATCH("Points (Auto-generate)",INDIRECT("'"&amp;$A81&amp;"'!$A$12:$Z$12"),0),0)="","?",VLOOKUP(K$1,INDIRECT("'"&amp;$A81&amp;"'!$A$12:$Z$41"),MATCH("Points (Auto-generate)",INDIRECT("'"&amp;$A81&amp;"'!$A$12:$Z$12"),0),0)),"ER"))</f>
        <v>?</v>
      </c>
      <c r="L81" s="78" t="str">
        <f aca="true">IF($H81=0,"NA",IF($A81=INDIRECT("'"&amp;$A81&amp;"'!$B$1"),IF(VLOOKUP(L$1,INDIRECT("'"&amp;$A81&amp;"'!$A$12:$Z$41"),MATCH("Points (Auto-generate)",INDIRECT("'"&amp;$A81&amp;"'!$A$12:$Z$12"),0),0)="","?",VLOOKUP(L$1,INDIRECT("'"&amp;$A81&amp;"'!$A$12:$Z$41"),MATCH("Points (Auto-generate)",INDIRECT("'"&amp;$A81&amp;"'!$A$12:$Z$12"),0),0)),"ER"))</f>
        <v>?</v>
      </c>
      <c r="M81" s="78" t="str">
        <f aca="true">IF($H81=0,"NA",IF($A81=INDIRECT("'"&amp;$A81&amp;"'!$B$1"),IF(VLOOKUP(M$1,INDIRECT("'"&amp;$A81&amp;"'!$A$12:$Z$41"),MATCH("Points (Auto-generate)",INDIRECT("'"&amp;$A81&amp;"'!$A$12:$Z$12"),0),0)="","?",VLOOKUP(M$1,INDIRECT("'"&amp;$A81&amp;"'!$A$12:$Z$41"),MATCH("Points (Auto-generate)",INDIRECT("'"&amp;$A81&amp;"'!$A$12:$Z$12"),0),0)),"ER"))</f>
        <v>?</v>
      </c>
      <c r="N81" s="78" t="str">
        <f aca="true">IF($H81=0,"NA",IF($A81=INDIRECT("'"&amp;$A81&amp;"'!$B$1"),IF(VLOOKUP(N$1,INDIRECT("'"&amp;$A81&amp;"'!$A$12:$Z$41"),MATCH("Points (Auto-generate)",INDIRECT("'"&amp;$A81&amp;"'!$A$12:$Z$12"),0),0)="","?",VLOOKUP(N$1,INDIRECT("'"&amp;$A81&amp;"'!$A$12:$Z$41"),MATCH("Points (Auto-generate)",INDIRECT("'"&amp;$A81&amp;"'!$A$12:$Z$12"),0),0)),"ER"))</f>
        <v>?</v>
      </c>
      <c r="O81" s="78" t="str">
        <f aca="true">IF($H81=0,"NA",IF($A81=INDIRECT("'"&amp;$A81&amp;"'!$B$1"),IF(VLOOKUP(O$1,INDIRECT("'"&amp;$A81&amp;"'!$A$12:$Z$41"),MATCH("Points (Auto-generate)",INDIRECT("'"&amp;$A81&amp;"'!$A$12:$Z$12"),0),0)="","?",VLOOKUP(O$1,INDIRECT("'"&amp;$A81&amp;"'!$A$12:$Z$41"),MATCH("Points (Auto-generate)",INDIRECT("'"&amp;$A81&amp;"'!$A$12:$Z$12"),0),0)),"ER"))</f>
        <v>?</v>
      </c>
      <c r="P81" s="78" t="str">
        <f aca="true">IF($H81=0,"NA",IF($A81=INDIRECT("'"&amp;$A81&amp;"'!$B$1"),IF(VLOOKUP(P$1,INDIRECT("'"&amp;$A81&amp;"'!$A$12:$Z$41"),MATCH("Points (Auto-generate)",INDIRECT("'"&amp;$A81&amp;"'!$A$12:$Z$12"),0),0)="","?",VLOOKUP(P$1,INDIRECT("'"&amp;$A81&amp;"'!$A$12:$Z$41"),MATCH("Points (Auto-generate)",INDIRECT("'"&amp;$A81&amp;"'!$A$12:$Z$12"),0),0)),"ER"))</f>
        <v>?</v>
      </c>
      <c r="Q81" s="78" t="str">
        <f aca="true">IF($H81=0,"NA",IF($A81=INDIRECT("'"&amp;$A81&amp;"'!$B$1"),IF(VLOOKUP(Q$1,INDIRECT("'"&amp;$A81&amp;"'!$A$12:$Z$41"),MATCH("Points (Auto-generate)",INDIRECT("'"&amp;$A81&amp;"'!$A$12:$Z$12"),0),0)="","?",VLOOKUP(Q$1,INDIRECT("'"&amp;$A81&amp;"'!$A$12:$Z$41"),MATCH("Points (Auto-generate)",INDIRECT("'"&amp;$A81&amp;"'!$A$12:$Z$12"),0),0)),"ER"))</f>
        <v>?</v>
      </c>
      <c r="R81" s="78" t="str">
        <f aca="true">IF($H81=0,"NA",IF($A81=INDIRECT("'"&amp;$A81&amp;"'!$B$1"),IF(VLOOKUP(R$1,INDIRECT("'"&amp;$A81&amp;"'!$A$12:$Z$41"),MATCH("Points (Auto-generate)",INDIRECT("'"&amp;$A81&amp;"'!$A$12:$Z$12"),0),0)="","?",VLOOKUP(R$1,INDIRECT("'"&amp;$A81&amp;"'!$A$12:$Z$41"),MATCH("Points (Auto-generate)",INDIRECT("'"&amp;$A81&amp;"'!$A$12:$Z$12"),0),0)),"ER"))</f>
        <v>?</v>
      </c>
      <c r="S81" s="78" t="str">
        <f aca="true">IF($H81=0,"NA",IF($A81=INDIRECT("'"&amp;$A81&amp;"'!$B$1"),IF(VLOOKUP(S$1,INDIRECT("'"&amp;$A81&amp;"'!$A$12:$Z$41"),MATCH("Points (Auto-generate)",INDIRECT("'"&amp;$A81&amp;"'!$A$12:$Z$12"),0),0)="","?",VLOOKUP(S$1,INDIRECT("'"&amp;$A81&amp;"'!$A$12:$Z$41"),MATCH("Points (Auto-generate)",INDIRECT("'"&amp;$A81&amp;"'!$A$12:$Z$12"),0),0)),"ER"))</f>
        <v>?</v>
      </c>
      <c r="T81" s="78" t="str">
        <f aca="true">IF($H81=0,"NA",IF($A81=INDIRECT("'"&amp;$A81&amp;"'!$B$1"),IF(VLOOKUP(T$1,INDIRECT("'"&amp;$A81&amp;"'!$A$12:$Z$41"),MATCH("Points (Auto-generate)",INDIRECT("'"&amp;$A81&amp;"'!$A$12:$Z$12"),0),0)="","?",VLOOKUP(T$1,INDIRECT("'"&amp;$A81&amp;"'!$A$12:$Z$41"),MATCH("Points (Auto-generate)",INDIRECT("'"&amp;$A81&amp;"'!$A$12:$Z$12"),0),0)),"ER"))</f>
        <v>?</v>
      </c>
      <c r="U81" s="78" t="str">
        <f aca="true">IF($H81=0,"NA",IF($A81=INDIRECT("'"&amp;$A81&amp;"'!$B$1"),IF(VLOOKUP(U$1,INDIRECT("'"&amp;$A81&amp;"'!$A$12:$Z$41"),MATCH("Points (Auto-generate)",INDIRECT("'"&amp;$A81&amp;"'!$A$12:$Z$12"),0),0)="","?",VLOOKUP(U$1,INDIRECT("'"&amp;$A81&amp;"'!$A$12:$Z$41"),MATCH("Points (Auto-generate)",INDIRECT("'"&amp;$A81&amp;"'!$A$12:$Z$12"),0),0)),"ER"))</f>
        <v>?</v>
      </c>
      <c r="V81" s="78" t="str">
        <f aca="true">IF($H81=0,"NA",IF($A81=INDIRECT("'"&amp;$A81&amp;"'!$B$1"),IF(VLOOKUP(V$1,INDIRECT("'"&amp;$A81&amp;"'!$A$12:$Z$41"),MATCH("Points (Auto-generate)",INDIRECT("'"&amp;$A81&amp;"'!$A$12:$Z$12"),0),0)="","?",VLOOKUP(V$1,INDIRECT("'"&amp;$A81&amp;"'!$A$12:$Z$41"),MATCH("Points (Auto-generate)",INDIRECT("'"&amp;$A81&amp;"'!$A$12:$Z$12"),0),0)),"ER"))</f>
        <v>?</v>
      </c>
      <c r="W81" s="78" t="str">
        <f aca="true">IF($H81=0,"NA",IF($A81=INDIRECT("'"&amp;$A81&amp;"'!$B$1"),IF(VLOOKUP(W$1,INDIRECT("'"&amp;$A81&amp;"'!$A$12:$Z$41"),MATCH("Points (Auto-generate)",INDIRECT("'"&amp;$A81&amp;"'!$A$12:$Z$12"),0),0)="","?",VLOOKUP(W$1,INDIRECT("'"&amp;$A81&amp;"'!$A$12:$Z$41"),MATCH("Points (Auto-generate)",INDIRECT("'"&amp;$A81&amp;"'!$A$12:$Z$12"),0),0)),"ER"))</f>
        <v>?</v>
      </c>
      <c r="X81" s="78" t="str">
        <f aca="true">IF($H81=0,"NA",IF($A81=INDIRECT("'"&amp;$A81&amp;"'!$B$1"),IF(VLOOKUP(X$1,INDIRECT("'"&amp;$A81&amp;"'!$A$12:$Z$41"),MATCH("Points (Auto-generate)",INDIRECT("'"&amp;$A81&amp;"'!$A$12:$Z$12"),0),0)="","?",VLOOKUP(X$1,INDIRECT("'"&amp;$A81&amp;"'!$A$12:$Z$41"),MATCH("Points (Auto-generate)",INDIRECT("'"&amp;$A81&amp;"'!$A$12:$Z$12"),0),0)),"ER"))</f>
        <v>?</v>
      </c>
      <c r="Y81" s="78" t="str">
        <f aca="true">IF($H81=0,"NA",IF($A81=INDIRECT("'"&amp;$A81&amp;"'!$B$1"),IF(VLOOKUP(Y$1,INDIRECT("'"&amp;$A81&amp;"'!$A$12:$Z$41"),MATCH("Points (Auto-generate)",INDIRECT("'"&amp;$A81&amp;"'!$A$12:$Z$12"),0),0)="","?",VLOOKUP(Y$1,INDIRECT("'"&amp;$A81&amp;"'!$A$12:$Z$41"),MATCH("Points (Auto-generate)",INDIRECT("'"&amp;$A81&amp;"'!$A$12:$Z$12"),0),0)),"ER"))</f>
        <v>?</v>
      </c>
      <c r="Z81" s="78" t="str">
        <f aca="true">IF($H81=0,"NA",IF($A81=INDIRECT("'"&amp;$A81&amp;"'!$B$1"),IF(VLOOKUP(Z$1,INDIRECT("'"&amp;$A81&amp;"'!$A$12:$Z$41"),MATCH("Points (Auto-generate)",INDIRECT("'"&amp;$A81&amp;"'!$A$12:$Z$12"),0),0)="","?",VLOOKUP(Z$1,INDIRECT("'"&amp;$A81&amp;"'!$A$12:$Z$41"),MATCH("Points (Auto-generate)",INDIRECT("'"&amp;$A81&amp;"'!$A$12:$Z$12"),0),0)),"ER"))</f>
        <v>?</v>
      </c>
      <c r="AA81" s="78" t="str">
        <f aca="true">IF($H81=0,"NA",IF($A81=INDIRECT("'"&amp;$A81&amp;"'!$B$1"),IF(VLOOKUP(AA$1,INDIRECT("'"&amp;$A81&amp;"'!$A$12:$Z$41"),MATCH("Points (Auto-generate)",INDIRECT("'"&amp;$A81&amp;"'!$A$12:$Z$12"),0),0)="","?",VLOOKUP(AA$1,INDIRECT("'"&amp;$A81&amp;"'!$A$12:$Z$41"),MATCH("Points (Auto-generate)",INDIRECT("'"&amp;$A81&amp;"'!$A$12:$Z$12"),0),0)),"ER"))</f>
        <v>?</v>
      </c>
      <c r="AB81" s="78" t="str">
        <f aca="true">IF($H81=0,"NA",IF($A81=INDIRECT("'"&amp;$A81&amp;"'!$B$1"),IF(VLOOKUP(AB$1,INDIRECT("'"&amp;$A81&amp;"'!$A$12:$Z$41"),MATCH("Points (Auto-generate)",INDIRECT("'"&amp;$A81&amp;"'!$A$12:$Z$12"),0),0)="","?",VLOOKUP(AB$1,INDIRECT("'"&amp;$A81&amp;"'!$A$12:$Z$41"),MATCH("Points (Auto-generate)",INDIRECT("'"&amp;$A81&amp;"'!$A$12:$Z$12"),0),0)),"ER"))</f>
        <v>?</v>
      </c>
      <c r="AC81" s="78" t="str">
        <f aca="true">IF($H81=0,"NA",IF($A81=INDIRECT("'"&amp;$A81&amp;"'!$B$1"),IF(VLOOKUP(AC$1,INDIRECT("'"&amp;$A81&amp;"'!$A$12:$Z$41"),MATCH("Points (Auto-generate)",INDIRECT("'"&amp;$A81&amp;"'!$A$12:$Z$12"),0),0)="","?",VLOOKUP(AC$1,INDIRECT("'"&amp;$A81&amp;"'!$A$12:$Z$41"),MATCH("Points (Auto-generate)",INDIRECT("'"&amp;$A81&amp;"'!$A$12:$Z$12"),0),0)),"ER"))</f>
        <v>?</v>
      </c>
      <c r="AD81" s="78" t="str">
        <f aca="true">IF($H81=0,"NA",IF($A81=INDIRECT("'"&amp;$A81&amp;"'!$B$1"),IF(VLOOKUP(AD$1,INDIRECT("'"&amp;$A81&amp;"'!$A$12:$Z$41"),MATCH("Points (Auto-generate)",INDIRECT("'"&amp;$A81&amp;"'!$A$12:$Z$12"),0),0)="","?",VLOOKUP(AD$1,INDIRECT("'"&amp;$A81&amp;"'!$A$12:$Z$41"),MATCH("Points (Auto-generate)",INDIRECT("'"&amp;$A81&amp;"'!$A$12:$Z$12"),0),0)),"ER"))</f>
        <v>?</v>
      </c>
      <c r="AE81" s="78" t="str">
        <f aca="true">IF($H81=0,"NA",IF($A81=INDIRECT("'"&amp;$A81&amp;"'!$B$1"),IF(VLOOKUP(AE$1,INDIRECT("'"&amp;$A81&amp;"'!$A$12:$Z$41"),MATCH("Points (Auto-generate)",INDIRECT("'"&amp;$A81&amp;"'!$A$12:$Z$12"),0),0)="","?",VLOOKUP(AE$1,INDIRECT("'"&amp;$A81&amp;"'!$A$12:$Z$41"),MATCH("Points (Auto-generate)",INDIRECT("'"&amp;$A81&amp;"'!$A$12:$Z$12"),0),0)),"ER"))</f>
        <v>?</v>
      </c>
      <c r="AF81" s="78" t="str">
        <f aca="true">IF($H81=0,"NA",IF($A81=INDIRECT("'"&amp;$A81&amp;"'!$B$1"),IF(VLOOKUP(AF$1,INDIRECT("'"&amp;$A81&amp;"'!$A$12:$Z$41"),MATCH("Points (Auto-generate)",INDIRECT("'"&amp;$A81&amp;"'!$A$12:$Z$12"),0),0)="","?",VLOOKUP(AF$1,INDIRECT("'"&amp;$A81&amp;"'!$A$12:$Z$41"),MATCH("Points (Auto-generate)",INDIRECT("'"&amp;$A81&amp;"'!$A$12:$Z$12"),0),0)),"ER"))</f>
        <v>?</v>
      </c>
      <c r="AG81" s="78" t="str">
        <f aca="true">IF($H81=0,"NA",IF($A81=INDIRECT("'"&amp;$A81&amp;"'!$B$1"),IF(VLOOKUP(AG$1,INDIRECT("'"&amp;$A81&amp;"'!$A$12:$Z$41"),MATCH("Points (Auto-generate)",INDIRECT("'"&amp;$A81&amp;"'!$A$12:$Z$12"),0),0)="","?",VLOOKUP(AG$1,INDIRECT("'"&amp;$A81&amp;"'!$A$12:$Z$41"),MATCH("Points (Auto-generate)",INDIRECT("'"&amp;$A81&amp;"'!$A$12:$Z$12"),0),0)),"ER"))</f>
        <v>?</v>
      </c>
      <c r="AH81" s="78" t="str">
        <f aca="true">IF($H81=0,"NA",IF($A81=INDIRECT("'"&amp;$A81&amp;"'!$B$1"),IF(VLOOKUP(AH$1,INDIRECT("'"&amp;$A81&amp;"'!$A$12:$Z$41"),MATCH("Points (Auto-generate)",INDIRECT("'"&amp;$A81&amp;"'!$A$12:$Z$12"),0),0)="","?",VLOOKUP(AH$1,INDIRECT("'"&amp;$A81&amp;"'!$A$12:$Z$41"),MATCH("Points (Auto-generate)",INDIRECT("'"&amp;$A81&amp;"'!$A$12:$Z$12"),0),0)),"ER"))</f>
        <v>?</v>
      </c>
      <c r="AI81" s="78" t="str">
        <f aca="true">IF($H81=0,"NA",IF($A81=INDIRECT("'"&amp;$A81&amp;"'!$B$1"),IF(VLOOKUP(AI$1,INDIRECT("'"&amp;$A81&amp;"'!$A$12:$Z$41"),MATCH("Points (Auto-generate)",INDIRECT("'"&amp;$A81&amp;"'!$A$12:$Z$12"),0),0)="","?",VLOOKUP(AI$1,INDIRECT("'"&amp;$A81&amp;"'!$A$12:$Z$41"),MATCH("Points (Auto-generate)",INDIRECT("'"&amp;$A81&amp;"'!$A$12:$Z$12"),0),0)),"ER"))</f>
        <v>?</v>
      </c>
      <c r="AJ81" s="78" t="str">
        <f aca="true">IF($H81=0,"NA",IF($A81=INDIRECT("'"&amp;$A81&amp;"'!$B$1"),IF(VLOOKUP(AJ$1,INDIRECT("'"&amp;$A81&amp;"'!$A$12:$Z$41"),MATCH("Points (Auto-generate)",INDIRECT("'"&amp;$A81&amp;"'!$A$12:$Z$12"),0),0)="","?",VLOOKUP(AJ$1,INDIRECT("'"&amp;$A81&amp;"'!$A$12:$Z$41"),MATCH("Points (Auto-generate)",INDIRECT("'"&amp;$A81&amp;"'!$A$12:$Z$12"),0),0)),"ER"))</f>
        <v>?</v>
      </c>
      <c r="AK81" s="78" t="str">
        <f aca="true">IF($H81=0,"NA",IF($A81=INDIRECT("'"&amp;$A81&amp;"'!$B$1"),IF(VLOOKUP(AK$1,INDIRECT("'"&amp;$A81&amp;"'!$A$12:$Z$41"),MATCH("Points (Auto-generate)",INDIRECT("'"&amp;$A81&amp;"'!$A$12:$Z$12"),0),0)="","?",VLOOKUP(AK$1,INDIRECT("'"&amp;$A81&amp;"'!$A$12:$Z$41"),MATCH("Points (Auto-generate)",INDIRECT("'"&amp;$A81&amp;"'!$A$12:$Z$12"),0),0)),"ER"))</f>
        <v>?</v>
      </c>
    </row>
    <row r="82" customFormat="false" ht="14.25" hidden="false" customHeight="true" outlineLevel="0" collapsed="false">
      <c r="A82" s="74" t="s">
        <v>366</v>
      </c>
      <c r="B82" s="75" t="str">
        <f aca="false">IF(ISBLANK($A82),"NO_CODE",VLOOKUP($A82,'UPD Questions_290926 '!$E$1:$N$300,MATCH(B$1,'UPD Questions_290926 '!$E$1:$N$1,0),0)&amp;"")</f>
        <v>Implementation</v>
      </c>
      <c r="C82" s="75" t="str">
        <f aca="false">IF(ISBLANK($A82),"NO_CODE",VLOOKUP($A82,'UPD Questions_290926 '!$E$1:$N$300,MATCH(C$1,'UPD Questions_290926 '!$E$1:$N$1,0),0)&amp;"")</f>
        <v>Does the city have dedicated institutional capacity to undertake specialised planning and development functions?</v>
      </c>
      <c r="D82" s="75" t="str">
        <f aca="false">IF(ISBLANK($A82),"NO_CODE",VLOOKUP($A82,'UPD Questions_290926 '!$E$1:$N$300,MATCH(D$1,'UPD Questions_290926 '!$E$1:$N$1,0),0)&amp;"")</f>
        <v>Economic development</v>
      </c>
      <c r="E82" s="75" t="str">
        <f aca="false">IF(ISBLANK($A82),"NO_CODE",VLOOKUP($A82,'UPD Questions_290926 '!$E$1:$N$300,MATCH(E$1,'UPD Questions_290926 '!$E$1:$N$1,0),0)&amp;"")</f>
        <v>SQ</v>
      </c>
      <c r="F82" s="75" t="str">
        <f aca="false">IF(ISBLANK($A82),"NO_CODE",VLOOKUP($A82,'UPD Questions_290926 '!$E$1:$N$300,MATCH(F$1,'UPD Questions_290926 '!$E$1:$N$1,0),0)&amp;"")</f>
        <v>Does the city have an Economic Develepment Cell ?</v>
      </c>
      <c r="G82" s="75" t="str">
        <f aca="false">IF(ISBLANK($A82),"NO_CODE",VLOOKUP($A82,'UPD Questions_290926 '!$E$1:$N$300,MATCH(G$1,'UPD Questions_290926 '!$E$1:$N$1,0),0)&amp;"")</f>
        <v>Implementation</v>
      </c>
      <c r="H82" s="77" t="n">
        <f aca="false">IF(ISBLANK($A82),"NO_CODE",VLOOKUP($A82,'UPD Questions_290926 '!$E$1:$N$300,MATCH(H$1,'UPD Questions_290926 '!$E$1:$N$1,0),0))</f>
        <v>2.5</v>
      </c>
      <c r="I82" s="78" t="str">
        <f aca="true">IF($H82=0,"NA",IF($A82=INDIRECT("'"&amp;$A82&amp;"'!$B$1"),IF(VLOOKUP(I$1,INDIRECT("'"&amp;$A82&amp;"'!$A$12:$Z$41"),MATCH("Points (Auto-generate)",INDIRECT("'"&amp;$A82&amp;"'!$A$12:$Z$12"),0),0)="","?",VLOOKUP(I$1,INDIRECT("'"&amp;$A82&amp;"'!$A$12:$Z$41"),MATCH("Points (Auto-generate)",INDIRECT("'"&amp;$A82&amp;"'!$A$12:$Z$12"),0),0)),"ER"))</f>
        <v>?</v>
      </c>
      <c r="J82" s="78" t="str">
        <f aca="true">IF($H82=0,"NA",IF($A82=INDIRECT("'"&amp;$A82&amp;"'!$B$1"),IF(VLOOKUP(J$1,INDIRECT("'"&amp;$A82&amp;"'!$A$12:$Z$41"),MATCH("Points (Auto-generate)",INDIRECT("'"&amp;$A82&amp;"'!$A$12:$Z$12"),0),0)="","?",VLOOKUP(J$1,INDIRECT("'"&amp;$A82&amp;"'!$A$12:$Z$41"),MATCH("Points (Auto-generate)",INDIRECT("'"&amp;$A82&amp;"'!$A$12:$Z$12"),0),0)),"ER"))</f>
        <v>?</v>
      </c>
      <c r="K82" s="78" t="str">
        <f aca="true">IF($H82=0,"NA",IF($A82=INDIRECT("'"&amp;$A82&amp;"'!$B$1"),IF(VLOOKUP(K$1,INDIRECT("'"&amp;$A82&amp;"'!$A$12:$Z$41"),MATCH("Points (Auto-generate)",INDIRECT("'"&amp;$A82&amp;"'!$A$12:$Z$12"),0),0)="","?",VLOOKUP(K$1,INDIRECT("'"&amp;$A82&amp;"'!$A$12:$Z$41"),MATCH("Points (Auto-generate)",INDIRECT("'"&amp;$A82&amp;"'!$A$12:$Z$12"),0),0)),"ER"))</f>
        <v>?</v>
      </c>
      <c r="L82" s="78" t="str">
        <f aca="true">IF($H82=0,"NA",IF($A82=INDIRECT("'"&amp;$A82&amp;"'!$B$1"),IF(VLOOKUP(L$1,INDIRECT("'"&amp;$A82&amp;"'!$A$12:$Z$41"),MATCH("Points (Auto-generate)",INDIRECT("'"&amp;$A82&amp;"'!$A$12:$Z$12"),0),0)="","?",VLOOKUP(L$1,INDIRECT("'"&amp;$A82&amp;"'!$A$12:$Z$41"),MATCH("Points (Auto-generate)",INDIRECT("'"&amp;$A82&amp;"'!$A$12:$Z$12"),0),0)),"ER"))</f>
        <v>?</v>
      </c>
      <c r="M82" s="78" t="str">
        <f aca="true">IF($H82=0,"NA",IF($A82=INDIRECT("'"&amp;$A82&amp;"'!$B$1"),IF(VLOOKUP(M$1,INDIRECT("'"&amp;$A82&amp;"'!$A$12:$Z$41"),MATCH("Points (Auto-generate)",INDIRECT("'"&amp;$A82&amp;"'!$A$12:$Z$12"),0),0)="","?",VLOOKUP(M$1,INDIRECT("'"&amp;$A82&amp;"'!$A$12:$Z$41"),MATCH("Points (Auto-generate)",INDIRECT("'"&amp;$A82&amp;"'!$A$12:$Z$12"),0),0)),"ER"))</f>
        <v>?</v>
      </c>
      <c r="N82" s="78" t="str">
        <f aca="true">IF($H82=0,"NA",IF($A82=INDIRECT("'"&amp;$A82&amp;"'!$B$1"),IF(VLOOKUP(N$1,INDIRECT("'"&amp;$A82&amp;"'!$A$12:$Z$41"),MATCH("Points (Auto-generate)",INDIRECT("'"&amp;$A82&amp;"'!$A$12:$Z$12"),0),0)="","?",VLOOKUP(N$1,INDIRECT("'"&amp;$A82&amp;"'!$A$12:$Z$41"),MATCH("Points (Auto-generate)",INDIRECT("'"&amp;$A82&amp;"'!$A$12:$Z$12"),0),0)),"ER"))</f>
        <v>?</v>
      </c>
      <c r="O82" s="78" t="str">
        <f aca="true">IF($H82=0,"NA",IF($A82=INDIRECT("'"&amp;$A82&amp;"'!$B$1"),IF(VLOOKUP(O$1,INDIRECT("'"&amp;$A82&amp;"'!$A$12:$Z$41"),MATCH("Points (Auto-generate)",INDIRECT("'"&amp;$A82&amp;"'!$A$12:$Z$12"),0),0)="","?",VLOOKUP(O$1,INDIRECT("'"&amp;$A82&amp;"'!$A$12:$Z$41"),MATCH("Points (Auto-generate)",INDIRECT("'"&amp;$A82&amp;"'!$A$12:$Z$12"),0),0)),"ER"))</f>
        <v>?</v>
      </c>
      <c r="P82" s="78" t="str">
        <f aca="true">IF($H82=0,"NA",IF($A82=INDIRECT("'"&amp;$A82&amp;"'!$B$1"),IF(VLOOKUP(P$1,INDIRECT("'"&amp;$A82&amp;"'!$A$12:$Z$41"),MATCH("Points (Auto-generate)",INDIRECT("'"&amp;$A82&amp;"'!$A$12:$Z$12"),0),0)="","?",VLOOKUP(P$1,INDIRECT("'"&amp;$A82&amp;"'!$A$12:$Z$41"),MATCH("Points (Auto-generate)",INDIRECT("'"&amp;$A82&amp;"'!$A$12:$Z$12"),0),0)),"ER"))</f>
        <v>?</v>
      </c>
      <c r="Q82" s="78" t="str">
        <f aca="true">IF($H82=0,"NA",IF($A82=INDIRECT("'"&amp;$A82&amp;"'!$B$1"),IF(VLOOKUP(Q$1,INDIRECT("'"&amp;$A82&amp;"'!$A$12:$Z$41"),MATCH("Points (Auto-generate)",INDIRECT("'"&amp;$A82&amp;"'!$A$12:$Z$12"),0),0)="","?",VLOOKUP(Q$1,INDIRECT("'"&amp;$A82&amp;"'!$A$12:$Z$41"),MATCH("Points (Auto-generate)",INDIRECT("'"&amp;$A82&amp;"'!$A$12:$Z$12"),0),0)),"ER"))</f>
        <v>?</v>
      </c>
      <c r="R82" s="78" t="str">
        <f aca="true">IF($H82=0,"NA",IF($A82=INDIRECT("'"&amp;$A82&amp;"'!$B$1"),IF(VLOOKUP(R$1,INDIRECT("'"&amp;$A82&amp;"'!$A$12:$Z$41"),MATCH("Points (Auto-generate)",INDIRECT("'"&amp;$A82&amp;"'!$A$12:$Z$12"),0),0)="","?",VLOOKUP(R$1,INDIRECT("'"&amp;$A82&amp;"'!$A$12:$Z$41"),MATCH("Points (Auto-generate)",INDIRECT("'"&amp;$A82&amp;"'!$A$12:$Z$12"),0),0)),"ER"))</f>
        <v>?</v>
      </c>
      <c r="S82" s="78" t="str">
        <f aca="true">IF($H82=0,"NA",IF($A82=INDIRECT("'"&amp;$A82&amp;"'!$B$1"),IF(VLOOKUP(S$1,INDIRECT("'"&amp;$A82&amp;"'!$A$12:$Z$41"),MATCH("Points (Auto-generate)",INDIRECT("'"&amp;$A82&amp;"'!$A$12:$Z$12"),0),0)="","?",VLOOKUP(S$1,INDIRECT("'"&amp;$A82&amp;"'!$A$12:$Z$41"),MATCH("Points (Auto-generate)",INDIRECT("'"&amp;$A82&amp;"'!$A$12:$Z$12"),0),0)),"ER"))</f>
        <v>?</v>
      </c>
      <c r="T82" s="78" t="str">
        <f aca="true">IF($H82=0,"NA",IF($A82=INDIRECT("'"&amp;$A82&amp;"'!$B$1"),IF(VLOOKUP(T$1,INDIRECT("'"&amp;$A82&amp;"'!$A$12:$Z$41"),MATCH("Points (Auto-generate)",INDIRECT("'"&amp;$A82&amp;"'!$A$12:$Z$12"),0),0)="","?",VLOOKUP(T$1,INDIRECT("'"&amp;$A82&amp;"'!$A$12:$Z$41"),MATCH("Points (Auto-generate)",INDIRECT("'"&amp;$A82&amp;"'!$A$12:$Z$12"),0),0)),"ER"))</f>
        <v>?</v>
      </c>
      <c r="U82" s="78" t="str">
        <f aca="true">IF($H82=0,"NA",IF($A82=INDIRECT("'"&amp;$A82&amp;"'!$B$1"),IF(VLOOKUP(U$1,INDIRECT("'"&amp;$A82&amp;"'!$A$12:$Z$41"),MATCH("Points (Auto-generate)",INDIRECT("'"&amp;$A82&amp;"'!$A$12:$Z$12"),0),0)="","?",VLOOKUP(U$1,INDIRECT("'"&amp;$A82&amp;"'!$A$12:$Z$41"),MATCH("Points (Auto-generate)",INDIRECT("'"&amp;$A82&amp;"'!$A$12:$Z$12"),0),0)),"ER"))</f>
        <v>?</v>
      </c>
      <c r="V82" s="78" t="str">
        <f aca="true">IF($H82=0,"NA",IF($A82=INDIRECT("'"&amp;$A82&amp;"'!$B$1"),IF(VLOOKUP(V$1,INDIRECT("'"&amp;$A82&amp;"'!$A$12:$Z$41"),MATCH("Points (Auto-generate)",INDIRECT("'"&amp;$A82&amp;"'!$A$12:$Z$12"),0),0)="","?",VLOOKUP(V$1,INDIRECT("'"&amp;$A82&amp;"'!$A$12:$Z$41"),MATCH("Points (Auto-generate)",INDIRECT("'"&amp;$A82&amp;"'!$A$12:$Z$12"),0),0)),"ER"))</f>
        <v>?</v>
      </c>
      <c r="W82" s="78" t="str">
        <f aca="true">IF($H82=0,"NA",IF($A82=INDIRECT("'"&amp;$A82&amp;"'!$B$1"),IF(VLOOKUP(W$1,INDIRECT("'"&amp;$A82&amp;"'!$A$12:$Z$41"),MATCH("Points (Auto-generate)",INDIRECT("'"&amp;$A82&amp;"'!$A$12:$Z$12"),0),0)="","?",VLOOKUP(W$1,INDIRECT("'"&amp;$A82&amp;"'!$A$12:$Z$41"),MATCH("Points (Auto-generate)",INDIRECT("'"&amp;$A82&amp;"'!$A$12:$Z$12"),0),0)),"ER"))</f>
        <v>?</v>
      </c>
      <c r="X82" s="78" t="str">
        <f aca="true">IF($H82=0,"NA",IF($A82=INDIRECT("'"&amp;$A82&amp;"'!$B$1"),IF(VLOOKUP(X$1,INDIRECT("'"&amp;$A82&amp;"'!$A$12:$Z$41"),MATCH("Points (Auto-generate)",INDIRECT("'"&amp;$A82&amp;"'!$A$12:$Z$12"),0),0)="","?",VLOOKUP(X$1,INDIRECT("'"&amp;$A82&amp;"'!$A$12:$Z$41"),MATCH("Points (Auto-generate)",INDIRECT("'"&amp;$A82&amp;"'!$A$12:$Z$12"),0),0)),"ER"))</f>
        <v>?</v>
      </c>
      <c r="Y82" s="78" t="str">
        <f aca="true">IF($H82=0,"NA",IF($A82=INDIRECT("'"&amp;$A82&amp;"'!$B$1"),IF(VLOOKUP(Y$1,INDIRECT("'"&amp;$A82&amp;"'!$A$12:$Z$41"),MATCH("Points (Auto-generate)",INDIRECT("'"&amp;$A82&amp;"'!$A$12:$Z$12"),0),0)="","?",VLOOKUP(Y$1,INDIRECT("'"&amp;$A82&amp;"'!$A$12:$Z$41"),MATCH("Points (Auto-generate)",INDIRECT("'"&amp;$A82&amp;"'!$A$12:$Z$12"),0),0)),"ER"))</f>
        <v>?</v>
      </c>
      <c r="Z82" s="78" t="str">
        <f aca="true">IF($H82=0,"NA",IF($A82=INDIRECT("'"&amp;$A82&amp;"'!$B$1"),IF(VLOOKUP(Z$1,INDIRECT("'"&amp;$A82&amp;"'!$A$12:$Z$41"),MATCH("Points (Auto-generate)",INDIRECT("'"&amp;$A82&amp;"'!$A$12:$Z$12"),0),0)="","?",VLOOKUP(Z$1,INDIRECT("'"&amp;$A82&amp;"'!$A$12:$Z$41"),MATCH("Points (Auto-generate)",INDIRECT("'"&amp;$A82&amp;"'!$A$12:$Z$12"),0),0)),"ER"))</f>
        <v>?</v>
      </c>
      <c r="AA82" s="78" t="str">
        <f aca="true">IF($H82=0,"NA",IF($A82=INDIRECT("'"&amp;$A82&amp;"'!$B$1"),IF(VLOOKUP(AA$1,INDIRECT("'"&amp;$A82&amp;"'!$A$12:$Z$41"),MATCH("Points (Auto-generate)",INDIRECT("'"&amp;$A82&amp;"'!$A$12:$Z$12"),0),0)="","?",VLOOKUP(AA$1,INDIRECT("'"&amp;$A82&amp;"'!$A$12:$Z$41"),MATCH("Points (Auto-generate)",INDIRECT("'"&amp;$A82&amp;"'!$A$12:$Z$12"),0),0)),"ER"))</f>
        <v>?</v>
      </c>
      <c r="AB82" s="78" t="str">
        <f aca="true">IF($H82=0,"NA",IF($A82=INDIRECT("'"&amp;$A82&amp;"'!$B$1"),IF(VLOOKUP(AB$1,INDIRECT("'"&amp;$A82&amp;"'!$A$12:$Z$41"),MATCH("Points (Auto-generate)",INDIRECT("'"&amp;$A82&amp;"'!$A$12:$Z$12"),0),0)="","?",VLOOKUP(AB$1,INDIRECT("'"&amp;$A82&amp;"'!$A$12:$Z$41"),MATCH("Points (Auto-generate)",INDIRECT("'"&amp;$A82&amp;"'!$A$12:$Z$12"),0),0)),"ER"))</f>
        <v>?</v>
      </c>
      <c r="AC82" s="78" t="str">
        <f aca="true">IF($H82=0,"NA",IF($A82=INDIRECT("'"&amp;$A82&amp;"'!$B$1"),IF(VLOOKUP(AC$1,INDIRECT("'"&amp;$A82&amp;"'!$A$12:$Z$41"),MATCH("Points (Auto-generate)",INDIRECT("'"&amp;$A82&amp;"'!$A$12:$Z$12"),0),0)="","?",VLOOKUP(AC$1,INDIRECT("'"&amp;$A82&amp;"'!$A$12:$Z$41"),MATCH("Points (Auto-generate)",INDIRECT("'"&amp;$A82&amp;"'!$A$12:$Z$12"),0),0)),"ER"))</f>
        <v>?</v>
      </c>
      <c r="AD82" s="78" t="str">
        <f aca="true">IF($H82=0,"NA",IF($A82=INDIRECT("'"&amp;$A82&amp;"'!$B$1"),IF(VLOOKUP(AD$1,INDIRECT("'"&amp;$A82&amp;"'!$A$12:$Z$41"),MATCH("Points (Auto-generate)",INDIRECT("'"&amp;$A82&amp;"'!$A$12:$Z$12"),0),0)="","?",VLOOKUP(AD$1,INDIRECT("'"&amp;$A82&amp;"'!$A$12:$Z$41"),MATCH("Points (Auto-generate)",INDIRECT("'"&amp;$A82&amp;"'!$A$12:$Z$12"),0),0)),"ER"))</f>
        <v>?</v>
      </c>
      <c r="AE82" s="78" t="str">
        <f aca="true">IF($H82=0,"NA",IF($A82=INDIRECT("'"&amp;$A82&amp;"'!$B$1"),IF(VLOOKUP(AE$1,INDIRECT("'"&amp;$A82&amp;"'!$A$12:$Z$41"),MATCH("Points (Auto-generate)",INDIRECT("'"&amp;$A82&amp;"'!$A$12:$Z$12"),0),0)="","?",VLOOKUP(AE$1,INDIRECT("'"&amp;$A82&amp;"'!$A$12:$Z$41"),MATCH("Points (Auto-generate)",INDIRECT("'"&amp;$A82&amp;"'!$A$12:$Z$12"),0),0)),"ER"))</f>
        <v>?</v>
      </c>
      <c r="AF82" s="78" t="str">
        <f aca="true">IF($H82=0,"NA",IF($A82=INDIRECT("'"&amp;$A82&amp;"'!$B$1"),IF(VLOOKUP(AF$1,INDIRECT("'"&amp;$A82&amp;"'!$A$12:$Z$41"),MATCH("Points (Auto-generate)",INDIRECT("'"&amp;$A82&amp;"'!$A$12:$Z$12"),0),0)="","?",VLOOKUP(AF$1,INDIRECT("'"&amp;$A82&amp;"'!$A$12:$Z$41"),MATCH("Points (Auto-generate)",INDIRECT("'"&amp;$A82&amp;"'!$A$12:$Z$12"),0),0)),"ER"))</f>
        <v>?</v>
      </c>
      <c r="AG82" s="78" t="str">
        <f aca="true">IF($H82=0,"NA",IF($A82=INDIRECT("'"&amp;$A82&amp;"'!$B$1"),IF(VLOOKUP(AG$1,INDIRECT("'"&amp;$A82&amp;"'!$A$12:$Z$41"),MATCH("Points (Auto-generate)",INDIRECT("'"&amp;$A82&amp;"'!$A$12:$Z$12"),0),0)="","?",VLOOKUP(AG$1,INDIRECT("'"&amp;$A82&amp;"'!$A$12:$Z$41"),MATCH("Points (Auto-generate)",INDIRECT("'"&amp;$A82&amp;"'!$A$12:$Z$12"),0),0)),"ER"))</f>
        <v>?</v>
      </c>
      <c r="AH82" s="78" t="str">
        <f aca="true">IF($H82=0,"NA",IF($A82=INDIRECT("'"&amp;$A82&amp;"'!$B$1"),IF(VLOOKUP(AH$1,INDIRECT("'"&amp;$A82&amp;"'!$A$12:$Z$41"),MATCH("Points (Auto-generate)",INDIRECT("'"&amp;$A82&amp;"'!$A$12:$Z$12"),0),0)="","?",VLOOKUP(AH$1,INDIRECT("'"&amp;$A82&amp;"'!$A$12:$Z$41"),MATCH("Points (Auto-generate)",INDIRECT("'"&amp;$A82&amp;"'!$A$12:$Z$12"),0),0)),"ER"))</f>
        <v>?</v>
      </c>
      <c r="AI82" s="78" t="str">
        <f aca="true">IF($H82=0,"NA",IF($A82=INDIRECT("'"&amp;$A82&amp;"'!$B$1"),IF(VLOOKUP(AI$1,INDIRECT("'"&amp;$A82&amp;"'!$A$12:$Z$41"),MATCH("Points (Auto-generate)",INDIRECT("'"&amp;$A82&amp;"'!$A$12:$Z$12"),0),0)="","?",VLOOKUP(AI$1,INDIRECT("'"&amp;$A82&amp;"'!$A$12:$Z$41"),MATCH("Points (Auto-generate)",INDIRECT("'"&amp;$A82&amp;"'!$A$12:$Z$12"),0),0)),"ER"))</f>
        <v>?</v>
      </c>
      <c r="AJ82" s="78" t="str">
        <f aca="true">IF($H82=0,"NA",IF($A82=INDIRECT("'"&amp;$A82&amp;"'!$B$1"),IF(VLOOKUP(AJ$1,INDIRECT("'"&amp;$A82&amp;"'!$A$12:$Z$41"),MATCH("Points (Auto-generate)",INDIRECT("'"&amp;$A82&amp;"'!$A$12:$Z$12"),0),0)="","?",VLOOKUP(AJ$1,INDIRECT("'"&amp;$A82&amp;"'!$A$12:$Z$41"),MATCH("Points (Auto-generate)",INDIRECT("'"&amp;$A82&amp;"'!$A$12:$Z$12"),0),0)),"ER"))</f>
        <v>?</v>
      </c>
      <c r="AK82" s="78" t="str">
        <f aca="true">IF($H82=0,"NA",IF($A82=INDIRECT("'"&amp;$A82&amp;"'!$B$1"),IF(VLOOKUP(AK$1,INDIRECT("'"&amp;$A82&amp;"'!$A$12:$Z$41"),MATCH("Points (Auto-generate)",INDIRECT("'"&amp;$A82&amp;"'!$A$12:$Z$12"),0),0)="","?",VLOOKUP(AK$1,INDIRECT("'"&amp;$A82&amp;"'!$A$12:$Z$41"),MATCH("Points (Auto-generate)",INDIRECT("'"&amp;$A82&amp;"'!$A$12:$Z$12"),0),0)),"ER"))</f>
        <v>?</v>
      </c>
    </row>
    <row r="83" customFormat="false" ht="14.25" hidden="false" customHeight="true" outlineLevel="0" collapsed="false">
      <c r="A83" s="74" t="s">
        <v>371</v>
      </c>
      <c r="B83" s="75" t="str">
        <f aca="false">IF(ISBLANK($A83),"NO_CODE",VLOOKUP($A83,'UPD Questions_290926 '!$E$1:$N$300,MATCH(B$1,'UPD Questions_290926 '!$E$1:$N$1,0),0)&amp;"")</f>
        <v>Implementation</v>
      </c>
      <c r="C83" s="75" t="str">
        <f aca="false">IF(ISBLANK($A83),"NO_CODE",VLOOKUP($A83,'UPD Questions_290926 '!$E$1:$N$300,MATCH(C$1,'UPD Questions_290926 '!$E$1:$N$1,0),0)&amp;"")</f>
        <v>Does the city have dedicated institutional capacity to undertake specialised planning and development functions?</v>
      </c>
      <c r="D83" s="75" t="str">
        <f aca="false">IF(ISBLANK($A83),"NO_CODE",VLOOKUP($A83,'UPD Questions_290926 '!$E$1:$N$300,MATCH(D$1,'UPD Questions_290926 '!$E$1:$N$1,0),0)&amp;"")</f>
        <v>Women's welfare or development</v>
      </c>
      <c r="E83" s="75" t="str">
        <f aca="false">IF(ISBLANK($A83),"NO_CODE",VLOOKUP($A83,'UPD Questions_290926 '!$E$1:$N$300,MATCH(E$1,'UPD Questions_290926 '!$E$1:$N$1,0),0)&amp;"")</f>
        <v>SQ</v>
      </c>
      <c r="F83" s="75" t="str">
        <f aca="false">IF(ISBLANK($A83),"NO_CODE",VLOOKUP($A83,'UPD Questions_290926 '!$E$1:$N$300,MATCH(F$1,'UPD Questions_290926 '!$E$1:$N$1,0),0)&amp;"")</f>
        <v>Does the city have a dedicated Women's Welfare/Development Cell?</v>
      </c>
      <c r="G83" s="75" t="str">
        <f aca="false">IF(ISBLANK($A83),"NO_CODE",VLOOKUP($A83,'UPD Questions_290926 '!$E$1:$N$300,MATCH(G$1,'UPD Questions_290926 '!$E$1:$N$1,0),0)&amp;"")</f>
        <v>Implementation</v>
      </c>
      <c r="H83" s="77" t="n">
        <f aca="false">IF(ISBLANK($A83),"NO_CODE",VLOOKUP($A83,'UPD Questions_290926 '!$E$1:$N$300,MATCH(H$1,'UPD Questions_290926 '!$E$1:$N$1,0),0))</f>
        <v>2.5</v>
      </c>
      <c r="I83" s="78" t="str">
        <f aca="true">IF($H83=0,"NA",IF($A83=INDIRECT("'"&amp;$A83&amp;"'!$B$1"),IF(VLOOKUP(I$1,INDIRECT("'"&amp;$A83&amp;"'!$A$12:$Z$41"),MATCH("Points (Auto-generate)",INDIRECT("'"&amp;$A83&amp;"'!$A$12:$Z$12"),0),0)="","?",VLOOKUP(I$1,INDIRECT("'"&amp;$A83&amp;"'!$A$12:$Z$41"),MATCH("Points (Auto-generate)",INDIRECT("'"&amp;$A83&amp;"'!$A$12:$Z$12"),0),0)),"ER"))</f>
        <v>?</v>
      </c>
      <c r="J83" s="78" t="str">
        <f aca="true">IF($H83=0,"NA",IF($A83=INDIRECT("'"&amp;$A83&amp;"'!$B$1"),IF(VLOOKUP(J$1,INDIRECT("'"&amp;$A83&amp;"'!$A$12:$Z$41"),MATCH("Points (Auto-generate)",INDIRECT("'"&amp;$A83&amp;"'!$A$12:$Z$12"),0),0)="","?",VLOOKUP(J$1,INDIRECT("'"&amp;$A83&amp;"'!$A$12:$Z$41"),MATCH("Points (Auto-generate)",INDIRECT("'"&amp;$A83&amp;"'!$A$12:$Z$12"),0),0)),"ER"))</f>
        <v>?</v>
      </c>
      <c r="K83" s="78" t="str">
        <f aca="true">IF($H83=0,"NA",IF($A83=INDIRECT("'"&amp;$A83&amp;"'!$B$1"),IF(VLOOKUP(K$1,INDIRECT("'"&amp;$A83&amp;"'!$A$12:$Z$41"),MATCH("Points (Auto-generate)",INDIRECT("'"&amp;$A83&amp;"'!$A$12:$Z$12"),0),0)="","?",VLOOKUP(K$1,INDIRECT("'"&amp;$A83&amp;"'!$A$12:$Z$41"),MATCH("Points (Auto-generate)",INDIRECT("'"&amp;$A83&amp;"'!$A$12:$Z$12"),0),0)),"ER"))</f>
        <v>?</v>
      </c>
      <c r="L83" s="78" t="str">
        <f aca="true">IF($H83=0,"NA",IF($A83=INDIRECT("'"&amp;$A83&amp;"'!$B$1"),IF(VLOOKUP(L$1,INDIRECT("'"&amp;$A83&amp;"'!$A$12:$Z$41"),MATCH("Points (Auto-generate)",INDIRECT("'"&amp;$A83&amp;"'!$A$12:$Z$12"),0),0)="","?",VLOOKUP(L$1,INDIRECT("'"&amp;$A83&amp;"'!$A$12:$Z$41"),MATCH("Points (Auto-generate)",INDIRECT("'"&amp;$A83&amp;"'!$A$12:$Z$12"),0),0)),"ER"))</f>
        <v>?</v>
      </c>
      <c r="M83" s="78" t="str">
        <f aca="true">IF($H83=0,"NA",IF($A83=INDIRECT("'"&amp;$A83&amp;"'!$B$1"),IF(VLOOKUP(M$1,INDIRECT("'"&amp;$A83&amp;"'!$A$12:$Z$41"),MATCH("Points (Auto-generate)",INDIRECT("'"&amp;$A83&amp;"'!$A$12:$Z$12"),0),0)="","?",VLOOKUP(M$1,INDIRECT("'"&amp;$A83&amp;"'!$A$12:$Z$41"),MATCH("Points (Auto-generate)",INDIRECT("'"&amp;$A83&amp;"'!$A$12:$Z$12"),0),0)),"ER"))</f>
        <v>?</v>
      </c>
      <c r="N83" s="78" t="str">
        <f aca="true">IF($H83=0,"NA",IF($A83=INDIRECT("'"&amp;$A83&amp;"'!$B$1"),IF(VLOOKUP(N$1,INDIRECT("'"&amp;$A83&amp;"'!$A$12:$Z$41"),MATCH("Points (Auto-generate)",INDIRECT("'"&amp;$A83&amp;"'!$A$12:$Z$12"),0),0)="","?",VLOOKUP(N$1,INDIRECT("'"&amp;$A83&amp;"'!$A$12:$Z$41"),MATCH("Points (Auto-generate)",INDIRECT("'"&amp;$A83&amp;"'!$A$12:$Z$12"),0),0)),"ER"))</f>
        <v>?</v>
      </c>
      <c r="O83" s="78" t="str">
        <f aca="true">IF($H83=0,"NA",IF($A83=INDIRECT("'"&amp;$A83&amp;"'!$B$1"),IF(VLOOKUP(O$1,INDIRECT("'"&amp;$A83&amp;"'!$A$12:$Z$41"),MATCH("Points (Auto-generate)",INDIRECT("'"&amp;$A83&amp;"'!$A$12:$Z$12"),0),0)="","?",VLOOKUP(O$1,INDIRECT("'"&amp;$A83&amp;"'!$A$12:$Z$41"),MATCH("Points (Auto-generate)",INDIRECT("'"&amp;$A83&amp;"'!$A$12:$Z$12"),0),0)),"ER"))</f>
        <v>?</v>
      </c>
      <c r="P83" s="78" t="str">
        <f aca="true">IF($H83=0,"NA",IF($A83=INDIRECT("'"&amp;$A83&amp;"'!$B$1"),IF(VLOOKUP(P$1,INDIRECT("'"&amp;$A83&amp;"'!$A$12:$Z$41"),MATCH("Points (Auto-generate)",INDIRECT("'"&amp;$A83&amp;"'!$A$12:$Z$12"),0),0)="","?",VLOOKUP(P$1,INDIRECT("'"&amp;$A83&amp;"'!$A$12:$Z$41"),MATCH("Points (Auto-generate)",INDIRECT("'"&amp;$A83&amp;"'!$A$12:$Z$12"),0),0)),"ER"))</f>
        <v>?</v>
      </c>
      <c r="Q83" s="78" t="str">
        <f aca="true">IF($H83=0,"NA",IF($A83=INDIRECT("'"&amp;$A83&amp;"'!$B$1"),IF(VLOOKUP(Q$1,INDIRECT("'"&amp;$A83&amp;"'!$A$12:$Z$41"),MATCH("Points (Auto-generate)",INDIRECT("'"&amp;$A83&amp;"'!$A$12:$Z$12"),0),0)="","?",VLOOKUP(Q$1,INDIRECT("'"&amp;$A83&amp;"'!$A$12:$Z$41"),MATCH("Points (Auto-generate)",INDIRECT("'"&amp;$A83&amp;"'!$A$12:$Z$12"),0),0)),"ER"))</f>
        <v>?</v>
      </c>
      <c r="R83" s="78" t="str">
        <f aca="true">IF($H83=0,"NA",IF($A83=INDIRECT("'"&amp;$A83&amp;"'!$B$1"),IF(VLOOKUP(R$1,INDIRECT("'"&amp;$A83&amp;"'!$A$12:$Z$41"),MATCH("Points (Auto-generate)",INDIRECT("'"&amp;$A83&amp;"'!$A$12:$Z$12"),0),0)="","?",VLOOKUP(R$1,INDIRECT("'"&amp;$A83&amp;"'!$A$12:$Z$41"),MATCH("Points (Auto-generate)",INDIRECT("'"&amp;$A83&amp;"'!$A$12:$Z$12"),0),0)),"ER"))</f>
        <v>?</v>
      </c>
      <c r="S83" s="78" t="str">
        <f aca="true">IF($H83=0,"NA",IF($A83=INDIRECT("'"&amp;$A83&amp;"'!$B$1"),IF(VLOOKUP(S$1,INDIRECT("'"&amp;$A83&amp;"'!$A$12:$Z$41"),MATCH("Points (Auto-generate)",INDIRECT("'"&amp;$A83&amp;"'!$A$12:$Z$12"),0),0)="","?",VLOOKUP(S$1,INDIRECT("'"&amp;$A83&amp;"'!$A$12:$Z$41"),MATCH("Points (Auto-generate)",INDIRECT("'"&amp;$A83&amp;"'!$A$12:$Z$12"),0),0)),"ER"))</f>
        <v>?</v>
      </c>
      <c r="T83" s="78" t="str">
        <f aca="true">IF($H83=0,"NA",IF($A83=INDIRECT("'"&amp;$A83&amp;"'!$B$1"),IF(VLOOKUP(T$1,INDIRECT("'"&amp;$A83&amp;"'!$A$12:$Z$41"),MATCH("Points (Auto-generate)",INDIRECT("'"&amp;$A83&amp;"'!$A$12:$Z$12"),0),0)="","?",VLOOKUP(T$1,INDIRECT("'"&amp;$A83&amp;"'!$A$12:$Z$41"),MATCH("Points (Auto-generate)",INDIRECT("'"&amp;$A83&amp;"'!$A$12:$Z$12"),0),0)),"ER"))</f>
        <v>?</v>
      </c>
      <c r="U83" s="78" t="str">
        <f aca="true">IF($H83=0,"NA",IF($A83=INDIRECT("'"&amp;$A83&amp;"'!$B$1"),IF(VLOOKUP(U$1,INDIRECT("'"&amp;$A83&amp;"'!$A$12:$Z$41"),MATCH("Points (Auto-generate)",INDIRECT("'"&amp;$A83&amp;"'!$A$12:$Z$12"),0),0)="","?",VLOOKUP(U$1,INDIRECT("'"&amp;$A83&amp;"'!$A$12:$Z$41"),MATCH("Points (Auto-generate)",INDIRECT("'"&amp;$A83&amp;"'!$A$12:$Z$12"),0),0)),"ER"))</f>
        <v>?</v>
      </c>
      <c r="V83" s="78" t="str">
        <f aca="true">IF($H83=0,"NA",IF($A83=INDIRECT("'"&amp;$A83&amp;"'!$B$1"),IF(VLOOKUP(V$1,INDIRECT("'"&amp;$A83&amp;"'!$A$12:$Z$41"),MATCH("Points (Auto-generate)",INDIRECT("'"&amp;$A83&amp;"'!$A$12:$Z$12"),0),0)="","?",VLOOKUP(V$1,INDIRECT("'"&amp;$A83&amp;"'!$A$12:$Z$41"),MATCH("Points (Auto-generate)",INDIRECT("'"&amp;$A83&amp;"'!$A$12:$Z$12"),0),0)),"ER"))</f>
        <v>?</v>
      </c>
      <c r="W83" s="78" t="str">
        <f aca="true">IF($H83=0,"NA",IF($A83=INDIRECT("'"&amp;$A83&amp;"'!$B$1"),IF(VLOOKUP(W$1,INDIRECT("'"&amp;$A83&amp;"'!$A$12:$Z$41"),MATCH("Points (Auto-generate)",INDIRECT("'"&amp;$A83&amp;"'!$A$12:$Z$12"),0),0)="","?",VLOOKUP(W$1,INDIRECT("'"&amp;$A83&amp;"'!$A$12:$Z$41"),MATCH("Points (Auto-generate)",INDIRECT("'"&amp;$A83&amp;"'!$A$12:$Z$12"),0),0)),"ER"))</f>
        <v>?</v>
      </c>
      <c r="X83" s="78" t="str">
        <f aca="true">IF($H83=0,"NA",IF($A83=INDIRECT("'"&amp;$A83&amp;"'!$B$1"),IF(VLOOKUP(X$1,INDIRECT("'"&amp;$A83&amp;"'!$A$12:$Z$41"),MATCH("Points (Auto-generate)",INDIRECT("'"&amp;$A83&amp;"'!$A$12:$Z$12"),0),0)="","?",VLOOKUP(X$1,INDIRECT("'"&amp;$A83&amp;"'!$A$12:$Z$41"),MATCH("Points (Auto-generate)",INDIRECT("'"&amp;$A83&amp;"'!$A$12:$Z$12"),0),0)),"ER"))</f>
        <v>?</v>
      </c>
      <c r="Y83" s="78" t="str">
        <f aca="true">IF($H83=0,"NA",IF($A83=INDIRECT("'"&amp;$A83&amp;"'!$B$1"),IF(VLOOKUP(Y$1,INDIRECT("'"&amp;$A83&amp;"'!$A$12:$Z$41"),MATCH("Points (Auto-generate)",INDIRECT("'"&amp;$A83&amp;"'!$A$12:$Z$12"),0),0)="","?",VLOOKUP(Y$1,INDIRECT("'"&amp;$A83&amp;"'!$A$12:$Z$41"),MATCH("Points (Auto-generate)",INDIRECT("'"&amp;$A83&amp;"'!$A$12:$Z$12"),0),0)),"ER"))</f>
        <v>?</v>
      </c>
      <c r="Z83" s="78" t="str">
        <f aca="true">IF($H83=0,"NA",IF($A83=INDIRECT("'"&amp;$A83&amp;"'!$B$1"),IF(VLOOKUP(Z$1,INDIRECT("'"&amp;$A83&amp;"'!$A$12:$Z$41"),MATCH("Points (Auto-generate)",INDIRECT("'"&amp;$A83&amp;"'!$A$12:$Z$12"),0),0)="","?",VLOOKUP(Z$1,INDIRECT("'"&amp;$A83&amp;"'!$A$12:$Z$41"),MATCH("Points (Auto-generate)",INDIRECT("'"&amp;$A83&amp;"'!$A$12:$Z$12"),0),0)),"ER"))</f>
        <v>?</v>
      </c>
      <c r="AA83" s="78" t="str">
        <f aca="true">IF($H83=0,"NA",IF($A83=INDIRECT("'"&amp;$A83&amp;"'!$B$1"),IF(VLOOKUP(AA$1,INDIRECT("'"&amp;$A83&amp;"'!$A$12:$Z$41"),MATCH("Points (Auto-generate)",INDIRECT("'"&amp;$A83&amp;"'!$A$12:$Z$12"),0),0)="","?",VLOOKUP(AA$1,INDIRECT("'"&amp;$A83&amp;"'!$A$12:$Z$41"),MATCH("Points (Auto-generate)",INDIRECT("'"&amp;$A83&amp;"'!$A$12:$Z$12"),0),0)),"ER"))</f>
        <v>?</v>
      </c>
      <c r="AB83" s="78" t="str">
        <f aca="true">IF($H83=0,"NA",IF($A83=INDIRECT("'"&amp;$A83&amp;"'!$B$1"),IF(VLOOKUP(AB$1,INDIRECT("'"&amp;$A83&amp;"'!$A$12:$Z$41"),MATCH("Points (Auto-generate)",INDIRECT("'"&amp;$A83&amp;"'!$A$12:$Z$12"),0),0)="","?",VLOOKUP(AB$1,INDIRECT("'"&amp;$A83&amp;"'!$A$12:$Z$41"),MATCH("Points (Auto-generate)",INDIRECT("'"&amp;$A83&amp;"'!$A$12:$Z$12"),0),0)),"ER"))</f>
        <v>?</v>
      </c>
      <c r="AC83" s="78" t="str">
        <f aca="true">IF($H83=0,"NA",IF($A83=INDIRECT("'"&amp;$A83&amp;"'!$B$1"),IF(VLOOKUP(AC$1,INDIRECT("'"&amp;$A83&amp;"'!$A$12:$Z$41"),MATCH("Points (Auto-generate)",INDIRECT("'"&amp;$A83&amp;"'!$A$12:$Z$12"),0),0)="","?",VLOOKUP(AC$1,INDIRECT("'"&amp;$A83&amp;"'!$A$12:$Z$41"),MATCH("Points (Auto-generate)",INDIRECT("'"&amp;$A83&amp;"'!$A$12:$Z$12"),0),0)),"ER"))</f>
        <v>?</v>
      </c>
      <c r="AD83" s="78" t="str">
        <f aca="true">IF($H83=0,"NA",IF($A83=INDIRECT("'"&amp;$A83&amp;"'!$B$1"),IF(VLOOKUP(AD$1,INDIRECT("'"&amp;$A83&amp;"'!$A$12:$Z$41"),MATCH("Points (Auto-generate)",INDIRECT("'"&amp;$A83&amp;"'!$A$12:$Z$12"),0),0)="","?",VLOOKUP(AD$1,INDIRECT("'"&amp;$A83&amp;"'!$A$12:$Z$41"),MATCH("Points (Auto-generate)",INDIRECT("'"&amp;$A83&amp;"'!$A$12:$Z$12"),0),0)),"ER"))</f>
        <v>?</v>
      </c>
      <c r="AE83" s="78" t="str">
        <f aca="true">IF($H83=0,"NA",IF($A83=INDIRECT("'"&amp;$A83&amp;"'!$B$1"),IF(VLOOKUP(AE$1,INDIRECT("'"&amp;$A83&amp;"'!$A$12:$Z$41"),MATCH("Points (Auto-generate)",INDIRECT("'"&amp;$A83&amp;"'!$A$12:$Z$12"),0),0)="","?",VLOOKUP(AE$1,INDIRECT("'"&amp;$A83&amp;"'!$A$12:$Z$41"),MATCH("Points (Auto-generate)",INDIRECT("'"&amp;$A83&amp;"'!$A$12:$Z$12"),0),0)),"ER"))</f>
        <v>?</v>
      </c>
      <c r="AF83" s="78" t="str">
        <f aca="true">IF($H83=0,"NA",IF($A83=INDIRECT("'"&amp;$A83&amp;"'!$B$1"),IF(VLOOKUP(AF$1,INDIRECT("'"&amp;$A83&amp;"'!$A$12:$Z$41"),MATCH("Points (Auto-generate)",INDIRECT("'"&amp;$A83&amp;"'!$A$12:$Z$12"),0),0)="","?",VLOOKUP(AF$1,INDIRECT("'"&amp;$A83&amp;"'!$A$12:$Z$41"),MATCH("Points (Auto-generate)",INDIRECT("'"&amp;$A83&amp;"'!$A$12:$Z$12"),0),0)),"ER"))</f>
        <v>?</v>
      </c>
      <c r="AG83" s="78" t="str">
        <f aca="true">IF($H83=0,"NA",IF($A83=INDIRECT("'"&amp;$A83&amp;"'!$B$1"),IF(VLOOKUP(AG$1,INDIRECT("'"&amp;$A83&amp;"'!$A$12:$Z$41"),MATCH("Points (Auto-generate)",INDIRECT("'"&amp;$A83&amp;"'!$A$12:$Z$12"),0),0)="","?",VLOOKUP(AG$1,INDIRECT("'"&amp;$A83&amp;"'!$A$12:$Z$41"),MATCH("Points (Auto-generate)",INDIRECT("'"&amp;$A83&amp;"'!$A$12:$Z$12"),0),0)),"ER"))</f>
        <v>?</v>
      </c>
      <c r="AH83" s="78" t="str">
        <f aca="true">IF($H83=0,"NA",IF($A83=INDIRECT("'"&amp;$A83&amp;"'!$B$1"),IF(VLOOKUP(AH$1,INDIRECT("'"&amp;$A83&amp;"'!$A$12:$Z$41"),MATCH("Points (Auto-generate)",INDIRECT("'"&amp;$A83&amp;"'!$A$12:$Z$12"),0),0)="","?",VLOOKUP(AH$1,INDIRECT("'"&amp;$A83&amp;"'!$A$12:$Z$41"),MATCH("Points (Auto-generate)",INDIRECT("'"&amp;$A83&amp;"'!$A$12:$Z$12"),0),0)),"ER"))</f>
        <v>?</v>
      </c>
      <c r="AI83" s="78" t="str">
        <f aca="true">IF($H83=0,"NA",IF($A83=INDIRECT("'"&amp;$A83&amp;"'!$B$1"),IF(VLOOKUP(AI$1,INDIRECT("'"&amp;$A83&amp;"'!$A$12:$Z$41"),MATCH("Points (Auto-generate)",INDIRECT("'"&amp;$A83&amp;"'!$A$12:$Z$12"),0),0)="","?",VLOOKUP(AI$1,INDIRECT("'"&amp;$A83&amp;"'!$A$12:$Z$41"),MATCH("Points (Auto-generate)",INDIRECT("'"&amp;$A83&amp;"'!$A$12:$Z$12"),0),0)),"ER"))</f>
        <v>?</v>
      </c>
      <c r="AJ83" s="78" t="str">
        <f aca="true">IF($H83=0,"NA",IF($A83=INDIRECT("'"&amp;$A83&amp;"'!$B$1"),IF(VLOOKUP(AJ$1,INDIRECT("'"&amp;$A83&amp;"'!$A$12:$Z$41"),MATCH("Points (Auto-generate)",INDIRECT("'"&amp;$A83&amp;"'!$A$12:$Z$12"),0),0)="","?",VLOOKUP(AJ$1,INDIRECT("'"&amp;$A83&amp;"'!$A$12:$Z$41"),MATCH("Points (Auto-generate)",INDIRECT("'"&amp;$A83&amp;"'!$A$12:$Z$12"),0),0)),"ER"))</f>
        <v>?</v>
      </c>
      <c r="AK83" s="78" t="str">
        <f aca="true">IF($H83=0,"NA",IF($A83=INDIRECT("'"&amp;$A83&amp;"'!$B$1"),IF(VLOOKUP(AK$1,INDIRECT("'"&amp;$A83&amp;"'!$A$12:$Z$41"),MATCH("Points (Auto-generate)",INDIRECT("'"&amp;$A83&amp;"'!$A$12:$Z$12"),0),0)="","?",VLOOKUP(AK$1,INDIRECT("'"&amp;$A83&amp;"'!$A$12:$Z$41"),MATCH("Points (Auto-generate)",INDIRECT("'"&amp;$A83&amp;"'!$A$12:$Z$12"),0),0)),"ER"))</f>
        <v>?</v>
      </c>
    </row>
    <row r="84" customFormat="false" ht="14.25" hidden="false" customHeight="true" outlineLevel="0" collapsed="false">
      <c r="A84" s="74" t="s">
        <v>224</v>
      </c>
      <c r="B84" s="75" t="str">
        <f aca="false">IF(ISBLANK($A84),"NO_CODE",VLOOKUP($A84,'UPD Questions_290926 '!$E$1:$N$300,MATCH(B$1,'UPD Questions_290926 '!$E$1:$N$1,0),0)&amp;"")</f>
        <v>Implementation</v>
      </c>
      <c r="C84" s="75" t="str">
        <f aca="false">IF(ISBLANK($A84),"NO_CODE",VLOOKUP($A84,'UPD Questions_290926 '!$E$1:$N$300,MATCH(C$1,'UPD Questions_290926 '!$E$1:$N$1,0),0)&amp;"")</f>
        <v>Urban design, accessibility and parking</v>
      </c>
      <c r="D84" s="75" t="str">
        <f aca="false">IF(ISBLANK($A84),"NO_CODE",VLOOKUP($A84,'UPD Questions_290926 '!$E$1:$N$300,MATCH(D$1,'UPD Questions_290926 '!$E$1:$N$1,0),0)&amp;"")</f>
        <v>Urban design standards and universal accessibility</v>
      </c>
      <c r="E84" s="75" t="str">
        <f aca="false">IF(ISBLANK($A84),"NO_CODE",VLOOKUP($A84,'UPD Questions_290926 '!$E$1:$N$300,MATCH(E$1,'UPD Questions_290926 '!$E$1:$N$1,0),0)&amp;"")</f>
        <v>MQ</v>
      </c>
      <c r="F84" s="75" t="str">
        <f aca="false">IF(ISBLANK($A84),"NO_CODE",VLOOKUP($A84,'UPD Questions_290926 '!$E$1:$N$300,MATCH(F$1,'UPD Questions_290926 '!$E$1:$N$1,0),0)&amp;"")</f>
        <v>Are there prescribed urban design standards to guide the execution of urban projects, including standards for universal accessibility?</v>
      </c>
      <c r="G84" s="75" t="str">
        <f aca="false">IF(ISBLANK($A84),"NO_CODE",VLOOKUP($A84,'UPD Questions_290926 '!$E$1:$N$300,MATCH(G$1,'UPD Questions_290926 '!$E$1:$N$1,0),0)&amp;"")</f>
        <v>Law or Policy</v>
      </c>
      <c r="H84" s="77" t="n">
        <f aca="false">IF(ISBLANK($A84),"NO_CODE",VLOOKUP($A84,'UPD Questions_290926 '!$E$1:$N$300,MATCH(H$1,'UPD Questions_290926 '!$E$1:$N$1,0),0))</f>
        <v>10</v>
      </c>
      <c r="I84" s="78" t="str">
        <f aca="false">IF(OR(I85="ER",I86="ER"),"ER",IF(OR(I85="?",I86="?"),"?",IF(AND(I85="NA",I86="NA"),"NA",SUM(I85,I86)/((I85&lt;&gt;"NA")*$H$85+(I86&lt;&gt;"NA")*$H$86)*$H84)))</f>
        <v>?</v>
      </c>
      <c r="J84" s="78" t="str">
        <f aca="false">IF(OR(J85="ER",J86="ER"),"ER",IF(OR(J85="?",J86="?"),"?",IF(AND(J85="NA",J86="NA"),"NA",SUM(J85,J86)/((J85&lt;&gt;"NA")*$H$85+(J86&lt;&gt;"NA")*$H$86)*$H84)))</f>
        <v>?</v>
      </c>
      <c r="K84" s="78" t="str">
        <f aca="false">IF(OR(K85="ER",K86="ER"),"ER",IF(OR(K85="?",K86="?"),"?",IF(AND(K85="NA",K86="NA"),"NA",SUM(K85,K86)/((K85&lt;&gt;"NA")*$H$85+(K86&lt;&gt;"NA")*$H$86)*$H84)))</f>
        <v>?</v>
      </c>
      <c r="L84" s="78" t="str">
        <f aca="false">IF(OR(L85="ER",L86="ER"),"ER",IF(OR(L85="?",L86="?"),"?",IF(AND(L85="NA",L86="NA"),"NA",SUM(L85,L86)/((L85&lt;&gt;"NA")*$H$85+(L86&lt;&gt;"NA")*$H$86)*$H84)))</f>
        <v>?</v>
      </c>
      <c r="M84" s="78" t="str">
        <f aca="false">IF(OR(M85="ER",M86="ER"),"ER",IF(OR(M85="?",M86="?"),"?",IF(AND(M85="NA",M86="NA"),"NA",SUM(M85,M86)/((M85&lt;&gt;"NA")*$H$85+(M86&lt;&gt;"NA")*$H$86)*$H84)))</f>
        <v>?</v>
      </c>
      <c r="N84" s="78" t="str">
        <f aca="false">IF(OR(N85="ER",N86="ER"),"ER",IF(OR(N85="?",N86="?"),"?",IF(AND(N85="NA",N86="NA"),"NA",SUM(N85,N86)/((N85&lt;&gt;"NA")*$H$85+(N86&lt;&gt;"NA")*$H$86)*$H84)))</f>
        <v>?</v>
      </c>
      <c r="O84" s="78" t="str">
        <f aca="false">IF(OR(O85="ER",O86="ER"),"ER",IF(OR(O85="?",O86="?"),"?",IF(AND(O85="NA",O86="NA"),"NA",SUM(O85,O86)/((O85&lt;&gt;"NA")*$H$85+(O86&lt;&gt;"NA")*$H$86)*$H84)))</f>
        <v>?</v>
      </c>
      <c r="P84" s="78" t="str">
        <f aca="false">IF(OR(P85="ER",P86="ER"),"ER",IF(OR(P85="?",P86="?"),"?",IF(AND(P85="NA",P86="NA"),"NA",SUM(P85,P86)/((P85&lt;&gt;"NA")*$H$85+(P86&lt;&gt;"NA")*$H$86)*$H84)))</f>
        <v>?</v>
      </c>
      <c r="Q84" s="78" t="str">
        <f aca="false">IF(OR(Q85="ER",Q86="ER"),"ER",IF(OR(Q85="?",Q86="?"),"?",IF(AND(Q85="NA",Q86="NA"),"NA",SUM(Q85,Q86)/((Q85&lt;&gt;"NA")*$H$85+(Q86&lt;&gt;"NA")*$H$86)*$H84)))</f>
        <v>?</v>
      </c>
      <c r="R84" s="78" t="str">
        <f aca="false">IF(OR(R85="ER",R86="ER"),"ER",IF(OR(R85="?",R86="?"),"?",IF(AND(R85="NA",R86="NA"),"NA",SUM(R85,R86)/((R85&lt;&gt;"NA")*$H$85+(R86&lt;&gt;"NA")*$H$86)*$H84)))</f>
        <v>?</v>
      </c>
      <c r="S84" s="78" t="str">
        <f aca="false">IF(OR(S85="ER",S86="ER"),"ER",IF(OR(S85="?",S86="?"),"?",IF(AND(S85="NA",S86="NA"),"NA",SUM(S85,S86)/((S85&lt;&gt;"NA")*$H$85+(S86&lt;&gt;"NA")*$H$86)*$H84)))</f>
        <v>?</v>
      </c>
      <c r="T84" s="78" t="str">
        <f aca="false">IF(OR(T85="ER",T86="ER"),"ER",IF(OR(T85="?",T86="?"),"?",IF(AND(T85="NA",T86="NA"),"NA",SUM(T85,T86)/((T85&lt;&gt;"NA")*$H$85+(T86&lt;&gt;"NA")*$H$86)*$H84)))</f>
        <v>?</v>
      </c>
      <c r="U84" s="78" t="str">
        <f aca="false">IF(OR(U85="ER",U86="ER"),"ER",IF(OR(U85="?",U86="?"),"?",IF(AND(U85="NA",U86="NA"),"NA",SUM(U85,U86)/((U85&lt;&gt;"NA")*$H$85+(U86&lt;&gt;"NA")*$H$86)*$H84)))</f>
        <v>?</v>
      </c>
      <c r="V84" s="78" t="str">
        <f aca="false">IF(OR(V85="ER",V86="ER"),"ER",IF(OR(V85="?",V86="?"),"?",IF(AND(V85="NA",V86="NA"),"NA",SUM(V85,V86)/((V85&lt;&gt;"NA")*$H$85+(V86&lt;&gt;"NA")*$H$86)*$H84)))</f>
        <v>?</v>
      </c>
      <c r="W84" s="78" t="str">
        <f aca="false">IF(OR(W85="ER",W86="ER"),"ER",IF(OR(W85="?",W86="?"),"?",IF(AND(W85="NA",W86="NA"),"NA",SUM(W85,W86)/((W85&lt;&gt;"NA")*$H$85+(W86&lt;&gt;"NA")*$H$86)*$H84)))</f>
        <v>?</v>
      </c>
      <c r="X84" s="78" t="str">
        <f aca="false">IF(OR(X85="ER",X86="ER"),"ER",IF(OR(X85="?",X86="?"),"?",IF(AND(X85="NA",X86="NA"),"NA",SUM(X85,X86)/((X85&lt;&gt;"NA")*$H$85+(X86&lt;&gt;"NA")*$H$86)*$H84)))</f>
        <v>?</v>
      </c>
      <c r="Y84" s="78" t="str">
        <f aca="false">IF(OR(Y85="ER",Y86="ER"),"ER",IF(OR(Y85="?",Y86="?"),"?",IF(AND(Y85="NA",Y86="NA"),"NA",SUM(Y85,Y86)/((Y85&lt;&gt;"NA")*$H$85+(Y86&lt;&gt;"NA")*$H$86)*$H84)))</f>
        <v>?</v>
      </c>
      <c r="Z84" s="78" t="str">
        <f aca="false">IF(OR(Z85="ER",Z86="ER"),"ER",IF(OR(Z85="?",Z86="?"),"?",IF(AND(Z85="NA",Z86="NA"),"NA",SUM(Z85,Z86)/((Z85&lt;&gt;"NA")*$H$85+(Z86&lt;&gt;"NA")*$H$86)*$H84)))</f>
        <v>?</v>
      </c>
      <c r="AA84" s="78" t="str">
        <f aca="false">IF(OR(AA85="ER",AA86="ER"),"ER",IF(OR(AA85="?",AA86="?"),"?",IF(AND(AA85="NA",AA86="NA"),"NA",SUM(AA85,AA86)/((AA85&lt;&gt;"NA")*$H$85+(AA86&lt;&gt;"NA")*$H$86)*$H84)))</f>
        <v>?</v>
      </c>
      <c r="AB84" s="78" t="str">
        <f aca="false">IF(OR(AB85="ER",AB86="ER"),"ER",IF(OR(AB85="?",AB86="?"),"?",IF(AND(AB85="NA",AB86="NA"),"NA",SUM(AB85,AB86)/((AB85&lt;&gt;"NA")*$H$85+(AB86&lt;&gt;"NA")*$H$86)*$H84)))</f>
        <v>?</v>
      </c>
      <c r="AC84" s="78" t="str">
        <f aca="false">IF(OR(AC85="ER",AC86="ER"),"ER",IF(OR(AC85="?",AC86="?"),"?",IF(AND(AC85="NA",AC86="NA"),"NA",SUM(AC85,AC86)/((AC85&lt;&gt;"NA")*$H$85+(AC86&lt;&gt;"NA")*$H$86)*$H84)))</f>
        <v>?</v>
      </c>
      <c r="AD84" s="78" t="str">
        <f aca="false">IF(OR(AD85="ER",AD86="ER"),"ER",IF(OR(AD85="?",AD86="?"),"?",IF(AND(AD85="NA",AD86="NA"),"NA",SUM(AD85,AD86)/((AD85&lt;&gt;"NA")*$H$85+(AD86&lt;&gt;"NA")*$H$86)*$H84)))</f>
        <v>?</v>
      </c>
      <c r="AE84" s="78" t="str">
        <f aca="false">IF(OR(AE85="ER",AE86="ER"),"ER",IF(OR(AE85="?",AE86="?"),"?",IF(AND(AE85="NA",AE86="NA"),"NA",SUM(AE85,AE86)/((AE85&lt;&gt;"NA")*$H$85+(AE86&lt;&gt;"NA")*$H$86)*$H84)))</f>
        <v>?</v>
      </c>
      <c r="AF84" s="78" t="str">
        <f aca="false">IF(OR(AF85="ER",AF86="ER"),"ER",IF(OR(AF85="?",AF86="?"),"?",IF(AND(AF85="NA",AF86="NA"),"NA",SUM(AF85,AF86)/((AF85&lt;&gt;"NA")*$H$85+(AF86&lt;&gt;"NA")*$H$86)*$H84)))</f>
        <v>?</v>
      </c>
      <c r="AG84" s="78" t="str">
        <f aca="false">IF(OR(AG85="ER",AG86="ER"),"ER",IF(OR(AG85="?",AG86="?"),"?",IF(AND(AG85="NA",AG86="NA"),"NA",SUM(AG85,AG86)/((AG85&lt;&gt;"NA")*$H$85+(AG86&lt;&gt;"NA")*$H$86)*$H84)))</f>
        <v>?</v>
      </c>
      <c r="AH84" s="78" t="str">
        <f aca="false">IF(OR(AH85="ER",AH86="ER"),"ER",IF(OR(AH85="?",AH86="?"),"?",IF(AND(AH85="NA",AH86="NA"),"NA",SUM(AH85,AH86)/((AH85&lt;&gt;"NA")*$H$85+(AH86&lt;&gt;"NA")*$H$86)*$H84)))</f>
        <v>?</v>
      </c>
      <c r="AI84" s="78" t="str">
        <f aca="false">IF(OR(AI85="ER",AI86="ER"),"ER",IF(OR(AI85="?",AI86="?"),"?",IF(AND(AI85="NA",AI86="NA"),"NA",SUM(AI85,AI86)/((AI85&lt;&gt;"NA")*$H$85+(AI86&lt;&gt;"NA")*$H$86)*$H84)))</f>
        <v>?</v>
      </c>
      <c r="AJ84" s="78" t="str">
        <f aca="false">IF(OR(AJ85="ER",AJ86="ER"),"ER",IF(OR(AJ85="?",AJ86="?"),"?",IF(AND(AJ85="NA",AJ86="NA"),"NA",SUM(AJ85,AJ86)/((AJ85&lt;&gt;"NA")*$H$85+(AJ86&lt;&gt;"NA")*$H$86)*$H84)))</f>
        <v>?</v>
      </c>
      <c r="AK84" s="78" t="str">
        <f aca="false">IF(OR(AK85="ER",AK86="ER"),"ER",IF(OR(AK85="?",AK86="?"),"?",IF(AND(AK85="NA",AK86="NA"),"NA",SUM(AK85,AK86)/((AK85&lt;&gt;"NA")*$H$85+(AK86&lt;&gt;"NA")*$H$86)*$H84)))</f>
        <v>?</v>
      </c>
    </row>
    <row r="85" customFormat="false" ht="14.25" hidden="false" customHeight="true" outlineLevel="0" collapsed="false">
      <c r="A85" s="74" t="s">
        <v>380</v>
      </c>
      <c r="B85" s="75" t="str">
        <f aca="false">IF(ISBLANK($A85),"NO_CODE",VLOOKUP($A85,'UPD Questions_290926 '!$E$1:$N$300,MATCH(B$1,'UPD Questions_290926 '!$E$1:$N$1,0),0)&amp;"")</f>
        <v>Implementation</v>
      </c>
      <c r="C85" s="75" t="str">
        <f aca="false">IF(ISBLANK($A85),"NO_CODE",VLOOKUP($A85,'UPD Questions_290926 '!$E$1:$N$300,MATCH(C$1,'UPD Questions_290926 '!$E$1:$N$1,0),0)&amp;"")</f>
        <v>Urban design, accessibility and parking</v>
      </c>
      <c r="D85" s="75" t="str">
        <f aca="false">IF(ISBLANK($A85),"NO_CODE",VLOOKUP($A85,'UPD Questions_290926 '!$E$1:$N$300,MATCH(D$1,'UPD Questions_290926 '!$E$1:$N$1,0),0)&amp;"")</f>
        <v>Urban design standards and universal accessibility</v>
      </c>
      <c r="E85" s="75" t="str">
        <f aca="false">IF(ISBLANK($A85),"NO_CODE",VLOOKUP($A85,'UPD Questions_290926 '!$E$1:$N$300,MATCH(E$1,'UPD Questions_290926 '!$E$1:$N$1,0),0)&amp;"")</f>
        <v>SQ</v>
      </c>
      <c r="F85" s="75" t="str">
        <f aca="false">IF(ISBLANK($A85),"NO_CODE",VLOOKUP($A85,'UPD Questions_290926 '!$E$1:$N$300,MATCH(F$1,'UPD Questions_290926 '!$E$1:$N$1,0),0)&amp;"")</f>
        <v>Does the law mandate comprehensive urban design standards and universal accessibility?</v>
      </c>
      <c r="G85" s="75" t="str">
        <f aca="false">IF(ISBLANK($A85),"NO_CODE",VLOOKUP($A85,'UPD Questions_290926 '!$E$1:$N$300,MATCH(G$1,'UPD Questions_290926 '!$E$1:$N$1,0),0)&amp;"")</f>
        <v>Law or Policy</v>
      </c>
      <c r="H85" s="77" t="n">
        <f aca="false">IF(ISBLANK($A85),"NO_CODE",VLOOKUP($A85,'UPD Questions_290926 '!$E$1:$N$300,MATCH(H$1,'UPD Questions_290926 '!$E$1:$N$1,0),0))</f>
        <v>5</v>
      </c>
      <c r="I85" s="78" t="str">
        <f aca="true">IF($H85=0,"NA",IF($A85=INDIRECT("'"&amp;$A85&amp;"'!$B$1"),IF(VLOOKUP(I$1,INDIRECT("'"&amp;$A85&amp;"'!$A$12:$Z$41"),MATCH("Points (Auto-generate)",INDIRECT("'"&amp;$A85&amp;"'!$A$12:$Z$12"),0),0)="","?",VLOOKUP(I$1,INDIRECT("'"&amp;$A85&amp;"'!$A$12:$Z$41"),MATCH("Points (Auto-generate)",INDIRECT("'"&amp;$A85&amp;"'!$A$12:$Z$12"),0),0)),"ER"))</f>
        <v>?</v>
      </c>
      <c r="J85" s="78" t="str">
        <f aca="true">IF($H85=0,"NA",IF($A85=INDIRECT("'"&amp;$A85&amp;"'!$B$1"),IF(VLOOKUP(J$1,INDIRECT("'"&amp;$A85&amp;"'!$A$12:$Z$41"),MATCH("Points (Auto-generate)",INDIRECT("'"&amp;$A85&amp;"'!$A$12:$Z$12"),0),0)="","?",VLOOKUP(J$1,INDIRECT("'"&amp;$A85&amp;"'!$A$12:$Z$41"),MATCH("Points (Auto-generate)",INDIRECT("'"&amp;$A85&amp;"'!$A$12:$Z$12"),0),0)),"ER"))</f>
        <v>?</v>
      </c>
      <c r="K85" s="78" t="str">
        <f aca="true">IF($H85=0,"NA",IF($A85=INDIRECT("'"&amp;$A85&amp;"'!$B$1"),IF(VLOOKUP(K$1,INDIRECT("'"&amp;$A85&amp;"'!$A$12:$Z$41"),MATCH("Points (Auto-generate)",INDIRECT("'"&amp;$A85&amp;"'!$A$12:$Z$12"),0),0)="","?",VLOOKUP(K$1,INDIRECT("'"&amp;$A85&amp;"'!$A$12:$Z$41"),MATCH("Points (Auto-generate)",INDIRECT("'"&amp;$A85&amp;"'!$A$12:$Z$12"),0),0)),"ER"))</f>
        <v>?</v>
      </c>
      <c r="L85" s="78" t="str">
        <f aca="true">IF($H85=0,"NA",IF($A85=INDIRECT("'"&amp;$A85&amp;"'!$B$1"),IF(VLOOKUP(L$1,INDIRECT("'"&amp;$A85&amp;"'!$A$12:$Z$41"),MATCH("Points (Auto-generate)",INDIRECT("'"&amp;$A85&amp;"'!$A$12:$Z$12"),0),0)="","?",VLOOKUP(L$1,INDIRECT("'"&amp;$A85&amp;"'!$A$12:$Z$41"),MATCH("Points (Auto-generate)",INDIRECT("'"&amp;$A85&amp;"'!$A$12:$Z$12"),0),0)),"ER"))</f>
        <v>?</v>
      </c>
      <c r="M85" s="78" t="str">
        <f aca="true">IF($H85=0,"NA",IF($A85=INDIRECT("'"&amp;$A85&amp;"'!$B$1"),IF(VLOOKUP(M$1,INDIRECT("'"&amp;$A85&amp;"'!$A$12:$Z$41"),MATCH("Points (Auto-generate)",INDIRECT("'"&amp;$A85&amp;"'!$A$12:$Z$12"),0),0)="","?",VLOOKUP(M$1,INDIRECT("'"&amp;$A85&amp;"'!$A$12:$Z$41"),MATCH("Points (Auto-generate)",INDIRECT("'"&amp;$A85&amp;"'!$A$12:$Z$12"),0),0)),"ER"))</f>
        <v>?</v>
      </c>
      <c r="N85" s="78" t="str">
        <f aca="true">IF($H85=0,"NA",IF($A85=INDIRECT("'"&amp;$A85&amp;"'!$B$1"),IF(VLOOKUP(N$1,INDIRECT("'"&amp;$A85&amp;"'!$A$12:$Z$41"),MATCH("Points (Auto-generate)",INDIRECT("'"&amp;$A85&amp;"'!$A$12:$Z$12"),0),0)="","?",VLOOKUP(N$1,INDIRECT("'"&amp;$A85&amp;"'!$A$12:$Z$41"),MATCH("Points (Auto-generate)",INDIRECT("'"&amp;$A85&amp;"'!$A$12:$Z$12"),0),0)),"ER"))</f>
        <v>?</v>
      </c>
      <c r="O85" s="78" t="str">
        <f aca="true">IF($H85=0,"NA",IF($A85=INDIRECT("'"&amp;$A85&amp;"'!$B$1"),IF(VLOOKUP(O$1,INDIRECT("'"&amp;$A85&amp;"'!$A$12:$Z$41"),MATCH("Points (Auto-generate)",INDIRECT("'"&amp;$A85&amp;"'!$A$12:$Z$12"),0),0)="","?",VLOOKUP(O$1,INDIRECT("'"&amp;$A85&amp;"'!$A$12:$Z$41"),MATCH("Points (Auto-generate)",INDIRECT("'"&amp;$A85&amp;"'!$A$12:$Z$12"),0),0)),"ER"))</f>
        <v>?</v>
      </c>
      <c r="P85" s="78" t="str">
        <f aca="true">IF($H85=0,"NA",IF($A85=INDIRECT("'"&amp;$A85&amp;"'!$B$1"),IF(VLOOKUP(P$1,INDIRECT("'"&amp;$A85&amp;"'!$A$12:$Z$41"),MATCH("Points (Auto-generate)",INDIRECT("'"&amp;$A85&amp;"'!$A$12:$Z$12"),0),0)="","?",VLOOKUP(P$1,INDIRECT("'"&amp;$A85&amp;"'!$A$12:$Z$41"),MATCH("Points (Auto-generate)",INDIRECT("'"&amp;$A85&amp;"'!$A$12:$Z$12"),0),0)),"ER"))</f>
        <v>?</v>
      </c>
      <c r="Q85" s="78" t="str">
        <f aca="true">IF($H85=0,"NA",IF($A85=INDIRECT("'"&amp;$A85&amp;"'!$B$1"),IF(VLOOKUP(Q$1,INDIRECT("'"&amp;$A85&amp;"'!$A$12:$Z$41"),MATCH("Points (Auto-generate)",INDIRECT("'"&amp;$A85&amp;"'!$A$12:$Z$12"),0),0)="","?",VLOOKUP(Q$1,INDIRECT("'"&amp;$A85&amp;"'!$A$12:$Z$41"),MATCH("Points (Auto-generate)",INDIRECT("'"&amp;$A85&amp;"'!$A$12:$Z$12"),0),0)),"ER"))</f>
        <v>?</v>
      </c>
      <c r="R85" s="78" t="str">
        <f aca="true">IF($H85=0,"NA",IF($A85=INDIRECT("'"&amp;$A85&amp;"'!$B$1"),IF(VLOOKUP(R$1,INDIRECT("'"&amp;$A85&amp;"'!$A$12:$Z$41"),MATCH("Points (Auto-generate)",INDIRECT("'"&amp;$A85&amp;"'!$A$12:$Z$12"),0),0)="","?",VLOOKUP(R$1,INDIRECT("'"&amp;$A85&amp;"'!$A$12:$Z$41"),MATCH("Points (Auto-generate)",INDIRECT("'"&amp;$A85&amp;"'!$A$12:$Z$12"),0),0)),"ER"))</f>
        <v>?</v>
      </c>
      <c r="S85" s="78" t="str">
        <f aca="true">IF($H85=0,"NA",IF($A85=INDIRECT("'"&amp;$A85&amp;"'!$B$1"),IF(VLOOKUP(S$1,INDIRECT("'"&amp;$A85&amp;"'!$A$12:$Z$41"),MATCH("Points (Auto-generate)",INDIRECT("'"&amp;$A85&amp;"'!$A$12:$Z$12"),0),0)="","?",VLOOKUP(S$1,INDIRECT("'"&amp;$A85&amp;"'!$A$12:$Z$41"),MATCH("Points (Auto-generate)",INDIRECT("'"&amp;$A85&amp;"'!$A$12:$Z$12"),0),0)),"ER"))</f>
        <v>?</v>
      </c>
      <c r="T85" s="78" t="str">
        <f aca="true">IF($H85=0,"NA",IF($A85=INDIRECT("'"&amp;$A85&amp;"'!$B$1"),IF(VLOOKUP(T$1,INDIRECT("'"&amp;$A85&amp;"'!$A$12:$Z$41"),MATCH("Points (Auto-generate)",INDIRECT("'"&amp;$A85&amp;"'!$A$12:$Z$12"),0),0)="","?",VLOOKUP(T$1,INDIRECT("'"&amp;$A85&amp;"'!$A$12:$Z$41"),MATCH("Points (Auto-generate)",INDIRECT("'"&amp;$A85&amp;"'!$A$12:$Z$12"),0),0)),"ER"))</f>
        <v>?</v>
      </c>
      <c r="U85" s="78" t="str">
        <f aca="true">IF($H85=0,"NA",IF($A85=INDIRECT("'"&amp;$A85&amp;"'!$B$1"),IF(VLOOKUP(U$1,INDIRECT("'"&amp;$A85&amp;"'!$A$12:$Z$41"),MATCH("Points (Auto-generate)",INDIRECT("'"&amp;$A85&amp;"'!$A$12:$Z$12"),0),0)="","?",VLOOKUP(U$1,INDIRECT("'"&amp;$A85&amp;"'!$A$12:$Z$41"),MATCH("Points (Auto-generate)",INDIRECT("'"&amp;$A85&amp;"'!$A$12:$Z$12"),0),0)),"ER"))</f>
        <v>?</v>
      </c>
      <c r="V85" s="78" t="str">
        <f aca="true">IF($H85=0,"NA",IF($A85=INDIRECT("'"&amp;$A85&amp;"'!$B$1"),IF(VLOOKUP(V$1,INDIRECT("'"&amp;$A85&amp;"'!$A$12:$Z$41"),MATCH("Points (Auto-generate)",INDIRECT("'"&amp;$A85&amp;"'!$A$12:$Z$12"),0),0)="","?",VLOOKUP(V$1,INDIRECT("'"&amp;$A85&amp;"'!$A$12:$Z$41"),MATCH("Points (Auto-generate)",INDIRECT("'"&amp;$A85&amp;"'!$A$12:$Z$12"),0),0)),"ER"))</f>
        <v>?</v>
      </c>
      <c r="W85" s="78" t="str">
        <f aca="true">IF($H85=0,"NA",IF($A85=INDIRECT("'"&amp;$A85&amp;"'!$B$1"),IF(VLOOKUP(W$1,INDIRECT("'"&amp;$A85&amp;"'!$A$12:$Z$41"),MATCH("Points (Auto-generate)",INDIRECT("'"&amp;$A85&amp;"'!$A$12:$Z$12"),0),0)="","?",VLOOKUP(W$1,INDIRECT("'"&amp;$A85&amp;"'!$A$12:$Z$41"),MATCH("Points (Auto-generate)",INDIRECT("'"&amp;$A85&amp;"'!$A$12:$Z$12"),0),0)),"ER"))</f>
        <v>?</v>
      </c>
      <c r="X85" s="78" t="str">
        <f aca="true">IF($H85=0,"NA",IF($A85=INDIRECT("'"&amp;$A85&amp;"'!$B$1"),IF(VLOOKUP(X$1,INDIRECT("'"&amp;$A85&amp;"'!$A$12:$Z$41"),MATCH("Points (Auto-generate)",INDIRECT("'"&amp;$A85&amp;"'!$A$12:$Z$12"),0),0)="","?",VLOOKUP(X$1,INDIRECT("'"&amp;$A85&amp;"'!$A$12:$Z$41"),MATCH("Points (Auto-generate)",INDIRECT("'"&amp;$A85&amp;"'!$A$12:$Z$12"),0),0)),"ER"))</f>
        <v>?</v>
      </c>
      <c r="Y85" s="78" t="str">
        <f aca="true">IF($H85=0,"NA",IF($A85=INDIRECT("'"&amp;$A85&amp;"'!$B$1"),IF(VLOOKUP(Y$1,INDIRECT("'"&amp;$A85&amp;"'!$A$12:$Z$41"),MATCH("Points (Auto-generate)",INDIRECT("'"&amp;$A85&amp;"'!$A$12:$Z$12"),0),0)="","?",VLOOKUP(Y$1,INDIRECT("'"&amp;$A85&amp;"'!$A$12:$Z$41"),MATCH("Points (Auto-generate)",INDIRECT("'"&amp;$A85&amp;"'!$A$12:$Z$12"),0),0)),"ER"))</f>
        <v>?</v>
      </c>
      <c r="Z85" s="78" t="str">
        <f aca="true">IF($H85=0,"NA",IF($A85=INDIRECT("'"&amp;$A85&amp;"'!$B$1"),IF(VLOOKUP(Z$1,INDIRECT("'"&amp;$A85&amp;"'!$A$12:$Z$41"),MATCH("Points (Auto-generate)",INDIRECT("'"&amp;$A85&amp;"'!$A$12:$Z$12"),0),0)="","?",VLOOKUP(Z$1,INDIRECT("'"&amp;$A85&amp;"'!$A$12:$Z$41"),MATCH("Points (Auto-generate)",INDIRECT("'"&amp;$A85&amp;"'!$A$12:$Z$12"),0),0)),"ER"))</f>
        <v>?</v>
      </c>
      <c r="AA85" s="78" t="str">
        <f aca="true">IF($H85=0,"NA",IF($A85=INDIRECT("'"&amp;$A85&amp;"'!$B$1"),IF(VLOOKUP(AA$1,INDIRECT("'"&amp;$A85&amp;"'!$A$12:$Z$41"),MATCH("Points (Auto-generate)",INDIRECT("'"&amp;$A85&amp;"'!$A$12:$Z$12"),0),0)="","?",VLOOKUP(AA$1,INDIRECT("'"&amp;$A85&amp;"'!$A$12:$Z$41"),MATCH("Points (Auto-generate)",INDIRECT("'"&amp;$A85&amp;"'!$A$12:$Z$12"),0),0)),"ER"))</f>
        <v>?</v>
      </c>
      <c r="AB85" s="78" t="str">
        <f aca="true">IF($H85=0,"NA",IF($A85=INDIRECT("'"&amp;$A85&amp;"'!$B$1"),IF(VLOOKUP(AB$1,INDIRECT("'"&amp;$A85&amp;"'!$A$12:$Z$41"),MATCH("Points (Auto-generate)",INDIRECT("'"&amp;$A85&amp;"'!$A$12:$Z$12"),0),0)="","?",VLOOKUP(AB$1,INDIRECT("'"&amp;$A85&amp;"'!$A$12:$Z$41"),MATCH("Points (Auto-generate)",INDIRECT("'"&amp;$A85&amp;"'!$A$12:$Z$12"),0),0)),"ER"))</f>
        <v>?</v>
      </c>
      <c r="AC85" s="78" t="str">
        <f aca="true">IF($H85=0,"NA",IF($A85=INDIRECT("'"&amp;$A85&amp;"'!$B$1"),IF(VLOOKUP(AC$1,INDIRECT("'"&amp;$A85&amp;"'!$A$12:$Z$41"),MATCH("Points (Auto-generate)",INDIRECT("'"&amp;$A85&amp;"'!$A$12:$Z$12"),0),0)="","?",VLOOKUP(AC$1,INDIRECT("'"&amp;$A85&amp;"'!$A$12:$Z$41"),MATCH("Points (Auto-generate)",INDIRECT("'"&amp;$A85&amp;"'!$A$12:$Z$12"),0),0)),"ER"))</f>
        <v>?</v>
      </c>
      <c r="AD85" s="78" t="str">
        <f aca="true">IF($H85=0,"NA",IF($A85=INDIRECT("'"&amp;$A85&amp;"'!$B$1"),IF(VLOOKUP(AD$1,INDIRECT("'"&amp;$A85&amp;"'!$A$12:$Z$41"),MATCH("Points (Auto-generate)",INDIRECT("'"&amp;$A85&amp;"'!$A$12:$Z$12"),0),0)="","?",VLOOKUP(AD$1,INDIRECT("'"&amp;$A85&amp;"'!$A$12:$Z$41"),MATCH("Points (Auto-generate)",INDIRECT("'"&amp;$A85&amp;"'!$A$12:$Z$12"),0),0)),"ER"))</f>
        <v>?</v>
      </c>
      <c r="AE85" s="78" t="str">
        <f aca="true">IF($H85=0,"NA",IF($A85=INDIRECT("'"&amp;$A85&amp;"'!$B$1"),IF(VLOOKUP(AE$1,INDIRECT("'"&amp;$A85&amp;"'!$A$12:$Z$41"),MATCH("Points (Auto-generate)",INDIRECT("'"&amp;$A85&amp;"'!$A$12:$Z$12"),0),0)="","?",VLOOKUP(AE$1,INDIRECT("'"&amp;$A85&amp;"'!$A$12:$Z$41"),MATCH("Points (Auto-generate)",INDIRECT("'"&amp;$A85&amp;"'!$A$12:$Z$12"),0),0)),"ER"))</f>
        <v>?</v>
      </c>
      <c r="AF85" s="78" t="str">
        <f aca="true">IF($H85=0,"NA",IF($A85=INDIRECT("'"&amp;$A85&amp;"'!$B$1"),IF(VLOOKUP(AF$1,INDIRECT("'"&amp;$A85&amp;"'!$A$12:$Z$41"),MATCH("Points (Auto-generate)",INDIRECT("'"&amp;$A85&amp;"'!$A$12:$Z$12"),0),0)="","?",VLOOKUP(AF$1,INDIRECT("'"&amp;$A85&amp;"'!$A$12:$Z$41"),MATCH("Points (Auto-generate)",INDIRECT("'"&amp;$A85&amp;"'!$A$12:$Z$12"),0),0)),"ER"))</f>
        <v>?</v>
      </c>
      <c r="AG85" s="78" t="str">
        <f aca="true">IF($H85=0,"NA",IF($A85=INDIRECT("'"&amp;$A85&amp;"'!$B$1"),IF(VLOOKUP(AG$1,INDIRECT("'"&amp;$A85&amp;"'!$A$12:$Z$41"),MATCH("Points (Auto-generate)",INDIRECT("'"&amp;$A85&amp;"'!$A$12:$Z$12"),0),0)="","?",VLOOKUP(AG$1,INDIRECT("'"&amp;$A85&amp;"'!$A$12:$Z$41"),MATCH("Points (Auto-generate)",INDIRECT("'"&amp;$A85&amp;"'!$A$12:$Z$12"),0),0)),"ER"))</f>
        <v>?</v>
      </c>
      <c r="AH85" s="78" t="str">
        <f aca="true">IF($H85=0,"NA",IF($A85=INDIRECT("'"&amp;$A85&amp;"'!$B$1"),IF(VLOOKUP(AH$1,INDIRECT("'"&amp;$A85&amp;"'!$A$12:$Z$41"),MATCH("Points (Auto-generate)",INDIRECT("'"&amp;$A85&amp;"'!$A$12:$Z$12"),0),0)="","?",VLOOKUP(AH$1,INDIRECT("'"&amp;$A85&amp;"'!$A$12:$Z$41"),MATCH("Points (Auto-generate)",INDIRECT("'"&amp;$A85&amp;"'!$A$12:$Z$12"),0),0)),"ER"))</f>
        <v>?</v>
      </c>
      <c r="AI85" s="78" t="str">
        <f aca="true">IF($H85=0,"NA",IF($A85=INDIRECT("'"&amp;$A85&amp;"'!$B$1"),IF(VLOOKUP(AI$1,INDIRECT("'"&amp;$A85&amp;"'!$A$12:$Z$41"),MATCH("Points (Auto-generate)",INDIRECT("'"&amp;$A85&amp;"'!$A$12:$Z$12"),0),0)="","?",VLOOKUP(AI$1,INDIRECT("'"&amp;$A85&amp;"'!$A$12:$Z$41"),MATCH("Points (Auto-generate)",INDIRECT("'"&amp;$A85&amp;"'!$A$12:$Z$12"),0),0)),"ER"))</f>
        <v>?</v>
      </c>
      <c r="AJ85" s="78" t="str">
        <f aca="true">IF($H85=0,"NA",IF($A85=INDIRECT("'"&amp;$A85&amp;"'!$B$1"),IF(VLOOKUP(AJ$1,INDIRECT("'"&amp;$A85&amp;"'!$A$12:$Z$41"),MATCH("Points (Auto-generate)",INDIRECT("'"&amp;$A85&amp;"'!$A$12:$Z$12"),0),0)="","?",VLOOKUP(AJ$1,INDIRECT("'"&amp;$A85&amp;"'!$A$12:$Z$41"),MATCH("Points (Auto-generate)",INDIRECT("'"&amp;$A85&amp;"'!$A$12:$Z$12"),0),0)),"ER"))</f>
        <v>?</v>
      </c>
      <c r="AK85" s="78" t="str">
        <f aca="true">IF($H85=0,"NA",IF($A85=INDIRECT("'"&amp;$A85&amp;"'!$B$1"),IF(VLOOKUP(AK$1,INDIRECT("'"&amp;$A85&amp;"'!$A$12:$Z$41"),MATCH("Points (Auto-generate)",INDIRECT("'"&amp;$A85&amp;"'!$A$12:$Z$12"),0),0)="","?",VLOOKUP(AK$1,INDIRECT("'"&amp;$A85&amp;"'!$A$12:$Z$41"),MATCH("Points (Auto-generate)",INDIRECT("'"&amp;$A85&amp;"'!$A$12:$Z$12"),0),0)),"ER"))</f>
        <v>?</v>
      </c>
    </row>
    <row r="86" customFormat="false" ht="14.25" hidden="false" customHeight="true" outlineLevel="0" collapsed="false">
      <c r="A86" s="74" t="s">
        <v>384</v>
      </c>
      <c r="B86" s="75" t="str">
        <f aca="false">IF(ISBLANK($A86),"NO_CODE",VLOOKUP($A86,'UPD Questions_290926 '!$E$1:$N$300,MATCH(B$1,'UPD Questions_290926 '!$E$1:$N$1,0),0)&amp;"")</f>
        <v>Implementation</v>
      </c>
      <c r="C86" s="75" t="str">
        <f aca="false">IF(ISBLANK($A86),"NO_CODE",VLOOKUP($A86,'UPD Questions_290926 '!$E$1:$N$300,MATCH(C$1,'UPD Questions_290926 '!$E$1:$N$1,0),0)&amp;"")</f>
        <v>Urban design, accessibility and parking</v>
      </c>
      <c r="D86" s="75" t="str">
        <f aca="false">IF(ISBLANK($A86),"NO_CODE",VLOOKUP($A86,'UPD Questions_290926 '!$E$1:$N$300,MATCH(D$1,'UPD Questions_290926 '!$E$1:$N$1,0),0)&amp;"")</f>
        <v>Urban design standards and universal accessibility</v>
      </c>
      <c r="E86" s="75" t="str">
        <f aca="false">IF(ISBLANK($A86),"NO_CODE",VLOOKUP($A86,'UPD Questions_290926 '!$E$1:$N$300,MATCH(E$1,'UPD Questions_290926 '!$E$1:$N$1,0),0)&amp;"")</f>
        <v>SQ</v>
      </c>
      <c r="F86" s="75" t="str">
        <f aca="false">IF(ISBLANK($A86),"NO_CODE",VLOOKUP($A86,'UPD Questions_290926 '!$E$1:$N$300,MATCH(F$1,'UPD Questions_290926 '!$E$1:$N$1,0),0)&amp;"")</f>
        <v>Does the city have urban design standards to guide the execution of urban projects?</v>
      </c>
      <c r="G86" s="75" t="str">
        <f aca="false">IF(ISBLANK($A86),"NO_CODE",VLOOKUP($A86,'UPD Questions_290926 '!$E$1:$N$300,MATCH(G$1,'UPD Questions_290926 '!$E$1:$N$1,0),0)&amp;"")</f>
        <v>Implementation</v>
      </c>
      <c r="H86" s="77" t="n">
        <f aca="false">IF(ISBLANK($A86),"NO_CODE",VLOOKUP($A86,'UPD Questions_290926 '!$E$1:$N$300,MATCH(H$1,'UPD Questions_290926 '!$E$1:$N$1,0),0))</f>
        <v>5</v>
      </c>
      <c r="I86" s="78" t="str">
        <f aca="true">IF($H86=0,"NA",IF($A86=INDIRECT("'"&amp;$A86&amp;"'!$B$1"),IF(VLOOKUP(I$1,INDIRECT("'"&amp;$A86&amp;"'!$A$12:$Z$41"),MATCH("Points (Auto-generate)",INDIRECT("'"&amp;$A86&amp;"'!$A$12:$Z$12"),0),0)="","?",VLOOKUP(I$1,INDIRECT("'"&amp;$A86&amp;"'!$A$12:$Z$41"),MATCH("Points (Auto-generate)",INDIRECT("'"&amp;$A86&amp;"'!$A$12:$Z$12"),0),0)),"ER"))</f>
        <v>?</v>
      </c>
      <c r="J86" s="78" t="str">
        <f aca="true">IF($H86=0,"NA",IF($A86=INDIRECT("'"&amp;$A86&amp;"'!$B$1"),IF(VLOOKUP(J$1,INDIRECT("'"&amp;$A86&amp;"'!$A$12:$Z$41"),MATCH("Points (Auto-generate)",INDIRECT("'"&amp;$A86&amp;"'!$A$12:$Z$12"),0),0)="","?",VLOOKUP(J$1,INDIRECT("'"&amp;$A86&amp;"'!$A$12:$Z$41"),MATCH("Points (Auto-generate)",INDIRECT("'"&amp;$A86&amp;"'!$A$12:$Z$12"),0),0)),"ER"))</f>
        <v>?</v>
      </c>
      <c r="K86" s="78" t="str">
        <f aca="true">IF($H86=0,"NA",IF($A86=INDIRECT("'"&amp;$A86&amp;"'!$B$1"),IF(VLOOKUP(K$1,INDIRECT("'"&amp;$A86&amp;"'!$A$12:$Z$41"),MATCH("Points (Auto-generate)",INDIRECT("'"&amp;$A86&amp;"'!$A$12:$Z$12"),0),0)="","?",VLOOKUP(K$1,INDIRECT("'"&amp;$A86&amp;"'!$A$12:$Z$41"),MATCH("Points (Auto-generate)",INDIRECT("'"&amp;$A86&amp;"'!$A$12:$Z$12"),0),0)),"ER"))</f>
        <v>?</v>
      </c>
      <c r="L86" s="78" t="str">
        <f aca="true">IF($H86=0,"NA",IF($A86=INDIRECT("'"&amp;$A86&amp;"'!$B$1"),IF(VLOOKUP(L$1,INDIRECT("'"&amp;$A86&amp;"'!$A$12:$Z$41"),MATCH("Points (Auto-generate)",INDIRECT("'"&amp;$A86&amp;"'!$A$12:$Z$12"),0),0)="","?",VLOOKUP(L$1,INDIRECT("'"&amp;$A86&amp;"'!$A$12:$Z$41"),MATCH("Points (Auto-generate)",INDIRECT("'"&amp;$A86&amp;"'!$A$12:$Z$12"),0),0)),"ER"))</f>
        <v>?</v>
      </c>
      <c r="M86" s="78" t="str">
        <f aca="true">IF($H86=0,"NA",IF($A86=INDIRECT("'"&amp;$A86&amp;"'!$B$1"),IF(VLOOKUP(M$1,INDIRECT("'"&amp;$A86&amp;"'!$A$12:$Z$41"),MATCH("Points (Auto-generate)",INDIRECT("'"&amp;$A86&amp;"'!$A$12:$Z$12"),0),0)="","?",VLOOKUP(M$1,INDIRECT("'"&amp;$A86&amp;"'!$A$12:$Z$41"),MATCH("Points (Auto-generate)",INDIRECT("'"&amp;$A86&amp;"'!$A$12:$Z$12"),0),0)),"ER"))</f>
        <v>?</v>
      </c>
      <c r="N86" s="78" t="str">
        <f aca="true">IF($H86=0,"NA",IF($A86=INDIRECT("'"&amp;$A86&amp;"'!$B$1"),IF(VLOOKUP(N$1,INDIRECT("'"&amp;$A86&amp;"'!$A$12:$Z$41"),MATCH("Points (Auto-generate)",INDIRECT("'"&amp;$A86&amp;"'!$A$12:$Z$12"),0),0)="","?",VLOOKUP(N$1,INDIRECT("'"&amp;$A86&amp;"'!$A$12:$Z$41"),MATCH("Points (Auto-generate)",INDIRECT("'"&amp;$A86&amp;"'!$A$12:$Z$12"),0),0)),"ER"))</f>
        <v>?</v>
      </c>
      <c r="O86" s="78" t="str">
        <f aca="true">IF($H86=0,"NA",IF($A86=INDIRECT("'"&amp;$A86&amp;"'!$B$1"),IF(VLOOKUP(O$1,INDIRECT("'"&amp;$A86&amp;"'!$A$12:$Z$41"),MATCH("Points (Auto-generate)",INDIRECT("'"&amp;$A86&amp;"'!$A$12:$Z$12"),0),0)="","?",VLOOKUP(O$1,INDIRECT("'"&amp;$A86&amp;"'!$A$12:$Z$41"),MATCH("Points (Auto-generate)",INDIRECT("'"&amp;$A86&amp;"'!$A$12:$Z$12"),0),0)),"ER"))</f>
        <v>?</v>
      </c>
      <c r="P86" s="78" t="str">
        <f aca="true">IF($H86=0,"NA",IF($A86=INDIRECT("'"&amp;$A86&amp;"'!$B$1"),IF(VLOOKUP(P$1,INDIRECT("'"&amp;$A86&amp;"'!$A$12:$Z$41"),MATCH("Points (Auto-generate)",INDIRECT("'"&amp;$A86&amp;"'!$A$12:$Z$12"),0),0)="","?",VLOOKUP(P$1,INDIRECT("'"&amp;$A86&amp;"'!$A$12:$Z$41"),MATCH("Points (Auto-generate)",INDIRECT("'"&amp;$A86&amp;"'!$A$12:$Z$12"),0),0)),"ER"))</f>
        <v>?</v>
      </c>
      <c r="Q86" s="78" t="str">
        <f aca="true">IF($H86=0,"NA",IF($A86=INDIRECT("'"&amp;$A86&amp;"'!$B$1"),IF(VLOOKUP(Q$1,INDIRECT("'"&amp;$A86&amp;"'!$A$12:$Z$41"),MATCH("Points (Auto-generate)",INDIRECT("'"&amp;$A86&amp;"'!$A$12:$Z$12"),0),0)="","?",VLOOKUP(Q$1,INDIRECT("'"&amp;$A86&amp;"'!$A$12:$Z$41"),MATCH("Points (Auto-generate)",INDIRECT("'"&amp;$A86&amp;"'!$A$12:$Z$12"),0),0)),"ER"))</f>
        <v>?</v>
      </c>
      <c r="R86" s="78" t="str">
        <f aca="true">IF($H86=0,"NA",IF($A86=INDIRECT("'"&amp;$A86&amp;"'!$B$1"),IF(VLOOKUP(R$1,INDIRECT("'"&amp;$A86&amp;"'!$A$12:$Z$41"),MATCH("Points (Auto-generate)",INDIRECT("'"&amp;$A86&amp;"'!$A$12:$Z$12"),0),0)="","?",VLOOKUP(R$1,INDIRECT("'"&amp;$A86&amp;"'!$A$12:$Z$41"),MATCH("Points (Auto-generate)",INDIRECT("'"&amp;$A86&amp;"'!$A$12:$Z$12"),0),0)),"ER"))</f>
        <v>?</v>
      </c>
      <c r="S86" s="78" t="str">
        <f aca="true">IF($H86=0,"NA",IF($A86=INDIRECT("'"&amp;$A86&amp;"'!$B$1"),IF(VLOOKUP(S$1,INDIRECT("'"&amp;$A86&amp;"'!$A$12:$Z$41"),MATCH("Points (Auto-generate)",INDIRECT("'"&amp;$A86&amp;"'!$A$12:$Z$12"),0),0)="","?",VLOOKUP(S$1,INDIRECT("'"&amp;$A86&amp;"'!$A$12:$Z$41"),MATCH("Points (Auto-generate)",INDIRECT("'"&amp;$A86&amp;"'!$A$12:$Z$12"),0),0)),"ER"))</f>
        <v>?</v>
      </c>
      <c r="T86" s="78" t="str">
        <f aca="true">IF($H86=0,"NA",IF($A86=INDIRECT("'"&amp;$A86&amp;"'!$B$1"),IF(VLOOKUP(T$1,INDIRECT("'"&amp;$A86&amp;"'!$A$12:$Z$41"),MATCH("Points (Auto-generate)",INDIRECT("'"&amp;$A86&amp;"'!$A$12:$Z$12"),0),0)="","?",VLOOKUP(T$1,INDIRECT("'"&amp;$A86&amp;"'!$A$12:$Z$41"),MATCH("Points (Auto-generate)",INDIRECT("'"&amp;$A86&amp;"'!$A$12:$Z$12"),0),0)),"ER"))</f>
        <v>?</v>
      </c>
      <c r="U86" s="78" t="str">
        <f aca="true">IF($H86=0,"NA",IF($A86=INDIRECT("'"&amp;$A86&amp;"'!$B$1"),IF(VLOOKUP(U$1,INDIRECT("'"&amp;$A86&amp;"'!$A$12:$Z$41"),MATCH("Points (Auto-generate)",INDIRECT("'"&amp;$A86&amp;"'!$A$12:$Z$12"),0),0)="","?",VLOOKUP(U$1,INDIRECT("'"&amp;$A86&amp;"'!$A$12:$Z$41"),MATCH("Points (Auto-generate)",INDIRECT("'"&amp;$A86&amp;"'!$A$12:$Z$12"),0),0)),"ER"))</f>
        <v>?</v>
      </c>
      <c r="V86" s="78" t="str">
        <f aca="true">IF($H86=0,"NA",IF($A86=INDIRECT("'"&amp;$A86&amp;"'!$B$1"),IF(VLOOKUP(V$1,INDIRECT("'"&amp;$A86&amp;"'!$A$12:$Z$41"),MATCH("Points (Auto-generate)",INDIRECT("'"&amp;$A86&amp;"'!$A$12:$Z$12"),0),0)="","?",VLOOKUP(V$1,INDIRECT("'"&amp;$A86&amp;"'!$A$12:$Z$41"),MATCH("Points (Auto-generate)",INDIRECT("'"&amp;$A86&amp;"'!$A$12:$Z$12"),0),0)),"ER"))</f>
        <v>?</v>
      </c>
      <c r="W86" s="78" t="str">
        <f aca="true">IF($H86=0,"NA",IF($A86=INDIRECT("'"&amp;$A86&amp;"'!$B$1"),IF(VLOOKUP(W$1,INDIRECT("'"&amp;$A86&amp;"'!$A$12:$Z$41"),MATCH("Points (Auto-generate)",INDIRECT("'"&amp;$A86&amp;"'!$A$12:$Z$12"),0),0)="","?",VLOOKUP(W$1,INDIRECT("'"&amp;$A86&amp;"'!$A$12:$Z$41"),MATCH("Points (Auto-generate)",INDIRECT("'"&amp;$A86&amp;"'!$A$12:$Z$12"),0),0)),"ER"))</f>
        <v>?</v>
      </c>
      <c r="X86" s="78" t="str">
        <f aca="true">IF($H86=0,"NA",IF($A86=INDIRECT("'"&amp;$A86&amp;"'!$B$1"),IF(VLOOKUP(X$1,INDIRECT("'"&amp;$A86&amp;"'!$A$12:$Z$41"),MATCH("Points (Auto-generate)",INDIRECT("'"&amp;$A86&amp;"'!$A$12:$Z$12"),0),0)="","?",VLOOKUP(X$1,INDIRECT("'"&amp;$A86&amp;"'!$A$12:$Z$41"),MATCH("Points (Auto-generate)",INDIRECT("'"&amp;$A86&amp;"'!$A$12:$Z$12"),0),0)),"ER"))</f>
        <v>?</v>
      </c>
      <c r="Y86" s="78" t="str">
        <f aca="true">IF($H86=0,"NA",IF($A86=INDIRECT("'"&amp;$A86&amp;"'!$B$1"),IF(VLOOKUP(Y$1,INDIRECT("'"&amp;$A86&amp;"'!$A$12:$Z$41"),MATCH("Points (Auto-generate)",INDIRECT("'"&amp;$A86&amp;"'!$A$12:$Z$12"),0),0)="","?",VLOOKUP(Y$1,INDIRECT("'"&amp;$A86&amp;"'!$A$12:$Z$41"),MATCH("Points (Auto-generate)",INDIRECT("'"&amp;$A86&amp;"'!$A$12:$Z$12"),0),0)),"ER"))</f>
        <v>?</v>
      </c>
      <c r="Z86" s="78" t="str">
        <f aca="true">IF($H86=0,"NA",IF($A86=INDIRECT("'"&amp;$A86&amp;"'!$B$1"),IF(VLOOKUP(Z$1,INDIRECT("'"&amp;$A86&amp;"'!$A$12:$Z$41"),MATCH("Points (Auto-generate)",INDIRECT("'"&amp;$A86&amp;"'!$A$12:$Z$12"),0),0)="","?",VLOOKUP(Z$1,INDIRECT("'"&amp;$A86&amp;"'!$A$12:$Z$41"),MATCH("Points (Auto-generate)",INDIRECT("'"&amp;$A86&amp;"'!$A$12:$Z$12"),0),0)),"ER"))</f>
        <v>?</v>
      </c>
      <c r="AA86" s="78" t="str">
        <f aca="true">IF($H86=0,"NA",IF($A86=INDIRECT("'"&amp;$A86&amp;"'!$B$1"),IF(VLOOKUP(AA$1,INDIRECT("'"&amp;$A86&amp;"'!$A$12:$Z$41"),MATCH("Points (Auto-generate)",INDIRECT("'"&amp;$A86&amp;"'!$A$12:$Z$12"),0),0)="","?",VLOOKUP(AA$1,INDIRECT("'"&amp;$A86&amp;"'!$A$12:$Z$41"),MATCH("Points (Auto-generate)",INDIRECT("'"&amp;$A86&amp;"'!$A$12:$Z$12"),0),0)),"ER"))</f>
        <v>?</v>
      </c>
      <c r="AB86" s="78" t="str">
        <f aca="true">IF($H86=0,"NA",IF($A86=INDIRECT("'"&amp;$A86&amp;"'!$B$1"),IF(VLOOKUP(AB$1,INDIRECT("'"&amp;$A86&amp;"'!$A$12:$Z$41"),MATCH("Points (Auto-generate)",INDIRECT("'"&amp;$A86&amp;"'!$A$12:$Z$12"),0),0)="","?",VLOOKUP(AB$1,INDIRECT("'"&amp;$A86&amp;"'!$A$12:$Z$41"),MATCH("Points (Auto-generate)",INDIRECT("'"&amp;$A86&amp;"'!$A$12:$Z$12"),0),0)),"ER"))</f>
        <v>?</v>
      </c>
      <c r="AC86" s="78" t="str">
        <f aca="true">IF($H86=0,"NA",IF($A86=INDIRECT("'"&amp;$A86&amp;"'!$B$1"),IF(VLOOKUP(AC$1,INDIRECT("'"&amp;$A86&amp;"'!$A$12:$Z$41"),MATCH("Points (Auto-generate)",INDIRECT("'"&amp;$A86&amp;"'!$A$12:$Z$12"),0),0)="","?",VLOOKUP(AC$1,INDIRECT("'"&amp;$A86&amp;"'!$A$12:$Z$41"),MATCH("Points (Auto-generate)",INDIRECT("'"&amp;$A86&amp;"'!$A$12:$Z$12"),0),0)),"ER"))</f>
        <v>?</v>
      </c>
      <c r="AD86" s="78" t="str">
        <f aca="true">IF($H86=0,"NA",IF($A86=INDIRECT("'"&amp;$A86&amp;"'!$B$1"),IF(VLOOKUP(AD$1,INDIRECT("'"&amp;$A86&amp;"'!$A$12:$Z$41"),MATCH("Points (Auto-generate)",INDIRECT("'"&amp;$A86&amp;"'!$A$12:$Z$12"),0),0)="","?",VLOOKUP(AD$1,INDIRECT("'"&amp;$A86&amp;"'!$A$12:$Z$41"),MATCH("Points (Auto-generate)",INDIRECT("'"&amp;$A86&amp;"'!$A$12:$Z$12"),0),0)),"ER"))</f>
        <v>?</v>
      </c>
      <c r="AE86" s="78" t="str">
        <f aca="true">IF($H86=0,"NA",IF($A86=INDIRECT("'"&amp;$A86&amp;"'!$B$1"),IF(VLOOKUP(AE$1,INDIRECT("'"&amp;$A86&amp;"'!$A$12:$Z$41"),MATCH("Points (Auto-generate)",INDIRECT("'"&amp;$A86&amp;"'!$A$12:$Z$12"),0),0)="","?",VLOOKUP(AE$1,INDIRECT("'"&amp;$A86&amp;"'!$A$12:$Z$41"),MATCH("Points (Auto-generate)",INDIRECT("'"&amp;$A86&amp;"'!$A$12:$Z$12"),0),0)),"ER"))</f>
        <v>?</v>
      </c>
      <c r="AF86" s="78" t="str">
        <f aca="true">IF($H86=0,"NA",IF($A86=INDIRECT("'"&amp;$A86&amp;"'!$B$1"),IF(VLOOKUP(AF$1,INDIRECT("'"&amp;$A86&amp;"'!$A$12:$Z$41"),MATCH("Points (Auto-generate)",INDIRECT("'"&amp;$A86&amp;"'!$A$12:$Z$12"),0),0)="","?",VLOOKUP(AF$1,INDIRECT("'"&amp;$A86&amp;"'!$A$12:$Z$41"),MATCH("Points (Auto-generate)",INDIRECT("'"&amp;$A86&amp;"'!$A$12:$Z$12"),0),0)),"ER"))</f>
        <v>?</v>
      </c>
      <c r="AG86" s="78" t="str">
        <f aca="true">IF($H86=0,"NA",IF($A86=INDIRECT("'"&amp;$A86&amp;"'!$B$1"),IF(VLOOKUP(AG$1,INDIRECT("'"&amp;$A86&amp;"'!$A$12:$Z$41"),MATCH("Points (Auto-generate)",INDIRECT("'"&amp;$A86&amp;"'!$A$12:$Z$12"),0),0)="","?",VLOOKUP(AG$1,INDIRECT("'"&amp;$A86&amp;"'!$A$12:$Z$41"),MATCH("Points (Auto-generate)",INDIRECT("'"&amp;$A86&amp;"'!$A$12:$Z$12"),0),0)),"ER"))</f>
        <v>?</v>
      </c>
      <c r="AH86" s="78" t="str">
        <f aca="true">IF($H86=0,"NA",IF($A86=INDIRECT("'"&amp;$A86&amp;"'!$B$1"),IF(VLOOKUP(AH$1,INDIRECT("'"&amp;$A86&amp;"'!$A$12:$Z$41"),MATCH("Points (Auto-generate)",INDIRECT("'"&amp;$A86&amp;"'!$A$12:$Z$12"),0),0)="","?",VLOOKUP(AH$1,INDIRECT("'"&amp;$A86&amp;"'!$A$12:$Z$41"),MATCH("Points (Auto-generate)",INDIRECT("'"&amp;$A86&amp;"'!$A$12:$Z$12"),0),0)),"ER"))</f>
        <v>?</v>
      </c>
      <c r="AI86" s="78" t="str">
        <f aca="true">IF($H86=0,"NA",IF($A86=INDIRECT("'"&amp;$A86&amp;"'!$B$1"),IF(VLOOKUP(AI$1,INDIRECT("'"&amp;$A86&amp;"'!$A$12:$Z$41"),MATCH("Points (Auto-generate)",INDIRECT("'"&amp;$A86&amp;"'!$A$12:$Z$12"),0),0)="","?",VLOOKUP(AI$1,INDIRECT("'"&amp;$A86&amp;"'!$A$12:$Z$41"),MATCH("Points (Auto-generate)",INDIRECT("'"&amp;$A86&amp;"'!$A$12:$Z$12"),0),0)),"ER"))</f>
        <v>?</v>
      </c>
      <c r="AJ86" s="78" t="str">
        <f aca="true">IF($H86=0,"NA",IF($A86=INDIRECT("'"&amp;$A86&amp;"'!$B$1"),IF(VLOOKUP(AJ$1,INDIRECT("'"&amp;$A86&amp;"'!$A$12:$Z$41"),MATCH("Points (Auto-generate)",INDIRECT("'"&amp;$A86&amp;"'!$A$12:$Z$12"),0),0)="","?",VLOOKUP(AJ$1,INDIRECT("'"&amp;$A86&amp;"'!$A$12:$Z$41"),MATCH("Points (Auto-generate)",INDIRECT("'"&amp;$A86&amp;"'!$A$12:$Z$12"),0),0)),"ER"))</f>
        <v>?</v>
      </c>
      <c r="AK86" s="78" t="str">
        <f aca="true">IF($H86=0,"NA",IF($A86=INDIRECT("'"&amp;$A86&amp;"'!$B$1"),IF(VLOOKUP(AK$1,INDIRECT("'"&amp;$A86&amp;"'!$A$12:$Z$41"),MATCH("Points (Auto-generate)",INDIRECT("'"&amp;$A86&amp;"'!$A$12:$Z$12"),0),0)="","?",VLOOKUP(AK$1,INDIRECT("'"&amp;$A86&amp;"'!$A$12:$Z$41"),MATCH("Points (Auto-generate)",INDIRECT("'"&amp;$A86&amp;"'!$A$12:$Z$12"),0),0)),"ER"))</f>
        <v>?</v>
      </c>
    </row>
    <row r="87" customFormat="false" ht="14.25" hidden="false" customHeight="true" outlineLevel="0" collapsed="false">
      <c r="A87" s="74" t="s">
        <v>388</v>
      </c>
      <c r="B87" s="75" t="str">
        <f aca="false">IF(ISBLANK($A87),"NO_CODE",VLOOKUP($A87,'UPD Questions_290926 '!$E$1:$N$300,MATCH(B$1,'UPD Questions_290926 '!$E$1:$N$1,0),0)&amp;"")</f>
        <v>Implementation</v>
      </c>
      <c r="C87" s="75" t="str">
        <f aca="false">IF(ISBLANK($A87),"NO_CODE",VLOOKUP($A87,'UPD Questions_290926 '!$E$1:$N$300,MATCH(C$1,'UPD Questions_290926 '!$E$1:$N$1,0),0)&amp;"")</f>
        <v>Urban design, accessibility and parking</v>
      </c>
      <c r="D87" s="75" t="str">
        <f aca="false">IF(ISBLANK($A87),"NO_CODE",VLOOKUP($A87,'UPD Questions_290926 '!$E$1:$N$300,MATCH(D$1,'UPD Questions_290926 '!$E$1:$N$1,0),0)&amp;"")</f>
        <v>Parking policy</v>
      </c>
      <c r="E87" s="75" t="str">
        <f aca="false">IF(ISBLANK($A87),"NO_CODE",VLOOKUP($A87,'UPD Questions_290926 '!$E$1:$N$300,MATCH(E$1,'UPD Questions_290926 '!$E$1:$N$1,0),0)&amp;"")</f>
        <v>MQ</v>
      </c>
      <c r="F87" s="75" t="str">
        <f aca="false">IF(ISBLANK($A87),"NO_CODE",VLOOKUP($A87,'UPD Questions_290926 '!$E$1:$N$300,MATCH(F$1,'UPD Questions_290926 '!$E$1:$N$1,0),0)&amp;"")</f>
        <v>Does the city have a parking policy? </v>
      </c>
      <c r="G87" s="75" t="str">
        <f aca="false">IF(ISBLANK($A87),"NO_CODE",VLOOKUP($A87,'UPD Questions_290926 '!$E$1:$N$300,MATCH(G$1,'UPD Questions_290926 '!$E$1:$N$1,0),0)&amp;"")</f>
        <v>Implementation</v>
      </c>
      <c r="H87" s="77" t="n">
        <f aca="false">IF(ISBLANK($A87),"NO_CODE",VLOOKUP($A87,'UPD Questions_290926 '!$E$1:$N$300,MATCH(H$1,'UPD Questions_290926 '!$E$1:$N$1,0),0))</f>
        <v>10</v>
      </c>
      <c r="I87" s="78" t="str">
        <f aca="false">IF(OR(I88="ER",I89="ER"),"ER",IF(OR(I88="?",I89="?"),"?",IF(AND(I88="NA",I89="NA"),"NA",SUM(I88,I89)/((I88&lt;&gt;"NA")*$H$88+(I89&lt;&gt;"NA")*$H$89)*$H87)))</f>
        <v>?</v>
      </c>
      <c r="J87" s="78" t="str">
        <f aca="false">IF(OR(J88="ER",J89="ER"),"ER",IF(OR(J88="?",J89="?"),"?",IF(AND(J88="NA",J89="NA"),"NA",SUM(J88,J89)/((J88&lt;&gt;"NA")*$H$88+(J89&lt;&gt;"NA")*$H$89)*$H87)))</f>
        <v>?</v>
      </c>
      <c r="K87" s="78" t="str">
        <f aca="false">IF(OR(K88="ER",K89="ER"),"ER",IF(OR(K88="?",K89="?"),"?",IF(AND(K88="NA",K89="NA"),"NA",SUM(K88,K89)/((K88&lt;&gt;"NA")*$H$88+(K89&lt;&gt;"NA")*$H$89)*$H87)))</f>
        <v>?</v>
      </c>
      <c r="L87" s="78" t="str">
        <f aca="false">IF(OR(L88="ER",L89="ER"),"ER",IF(OR(L88="?",L89="?"),"?",IF(AND(L88="NA",L89="NA"),"NA",SUM(L88,L89)/((L88&lt;&gt;"NA")*$H$88+(L89&lt;&gt;"NA")*$H$89)*$H87)))</f>
        <v>?</v>
      </c>
      <c r="M87" s="78" t="str">
        <f aca="false">IF(OR(M88="ER",M89="ER"),"ER",IF(OR(M88="?",M89="?"),"?",IF(AND(M88="NA",M89="NA"),"NA",SUM(M88,M89)/((M88&lt;&gt;"NA")*$H$88+(M89&lt;&gt;"NA")*$H$89)*$H87)))</f>
        <v>?</v>
      </c>
      <c r="N87" s="78" t="str">
        <f aca="false">IF(OR(N88="ER",N89="ER"),"ER",IF(OR(N88="?",N89="?"),"?",IF(AND(N88="NA",N89="NA"),"NA",SUM(N88,N89)/((N88&lt;&gt;"NA")*$H$88+(N89&lt;&gt;"NA")*$H$89)*$H87)))</f>
        <v>?</v>
      </c>
      <c r="O87" s="78" t="str">
        <f aca="false">IF(OR(O88="ER",O89="ER"),"ER",IF(OR(O88="?",O89="?"),"?",IF(AND(O88="NA",O89="NA"),"NA",SUM(O88,O89)/((O88&lt;&gt;"NA")*$H$88+(O89&lt;&gt;"NA")*$H$89)*$H87)))</f>
        <v>?</v>
      </c>
      <c r="P87" s="78" t="str">
        <f aca="false">IF(OR(P88="ER",P89="ER"),"ER",IF(OR(P88="?",P89="?"),"?",IF(AND(P88="NA",P89="NA"),"NA",SUM(P88,P89)/((P88&lt;&gt;"NA")*$H$88+(P89&lt;&gt;"NA")*$H$89)*$H87)))</f>
        <v>?</v>
      </c>
      <c r="Q87" s="78" t="str">
        <f aca="false">IF(OR(Q88="ER",Q89="ER"),"ER",IF(OR(Q88="?",Q89="?"),"?",IF(AND(Q88="NA",Q89="NA"),"NA",SUM(Q88,Q89)/((Q88&lt;&gt;"NA")*$H$88+(Q89&lt;&gt;"NA")*$H$89)*$H87)))</f>
        <v>?</v>
      </c>
      <c r="R87" s="78" t="str">
        <f aca="false">IF(OR(R88="ER",R89="ER"),"ER",IF(OR(R88="?",R89="?"),"?",IF(AND(R88="NA",R89="NA"),"NA",SUM(R88,R89)/((R88&lt;&gt;"NA")*$H$88+(R89&lt;&gt;"NA")*$H$89)*$H87)))</f>
        <v>?</v>
      </c>
      <c r="S87" s="78" t="str">
        <f aca="false">IF(OR(S88="ER",S89="ER"),"ER",IF(OR(S88="?",S89="?"),"?",IF(AND(S88="NA",S89="NA"),"NA",SUM(S88,S89)/((S88&lt;&gt;"NA")*$H$88+(S89&lt;&gt;"NA")*$H$89)*$H87)))</f>
        <v>?</v>
      </c>
      <c r="T87" s="78" t="str">
        <f aca="false">IF(OR(T88="ER",T89="ER"),"ER",IF(OR(T88="?",T89="?"),"?",IF(AND(T88="NA",T89="NA"),"NA",SUM(T88,T89)/((T88&lt;&gt;"NA")*$H$88+(T89&lt;&gt;"NA")*$H$89)*$H87)))</f>
        <v>?</v>
      </c>
      <c r="U87" s="78" t="str">
        <f aca="false">IF(OR(U88="ER",U89="ER"),"ER",IF(OR(U88="?",U89="?"),"?",IF(AND(U88="NA",U89="NA"),"NA",SUM(U88,U89)/((U88&lt;&gt;"NA")*$H$88+(U89&lt;&gt;"NA")*$H$89)*$H87)))</f>
        <v>?</v>
      </c>
      <c r="V87" s="78" t="str">
        <f aca="false">IF(OR(V88="ER",V89="ER"),"ER",IF(OR(V88="?",V89="?"),"?",IF(AND(V88="NA",V89="NA"),"NA",SUM(V88,V89)/((V88&lt;&gt;"NA")*$H$88+(V89&lt;&gt;"NA")*$H$89)*$H87)))</f>
        <v>?</v>
      </c>
      <c r="W87" s="78" t="str">
        <f aca="false">IF(OR(W88="ER",W89="ER"),"ER",IF(OR(W88="?",W89="?"),"?",IF(AND(W88="NA",W89="NA"),"NA",SUM(W88,W89)/((W88&lt;&gt;"NA")*$H$88+(W89&lt;&gt;"NA")*$H$89)*$H87)))</f>
        <v>?</v>
      </c>
      <c r="X87" s="78" t="str">
        <f aca="false">IF(OR(X88="ER",X89="ER"),"ER",IF(OR(X88="?",X89="?"),"?",IF(AND(X88="NA",X89="NA"),"NA",SUM(X88,X89)/((X88&lt;&gt;"NA")*$H$88+(X89&lt;&gt;"NA")*$H$89)*$H87)))</f>
        <v>?</v>
      </c>
      <c r="Y87" s="78" t="str">
        <f aca="false">IF(OR(Y88="ER",Y89="ER"),"ER",IF(OR(Y88="?",Y89="?"),"?",IF(AND(Y88="NA",Y89="NA"),"NA",SUM(Y88,Y89)/((Y88&lt;&gt;"NA")*$H$88+(Y89&lt;&gt;"NA")*$H$89)*$H87)))</f>
        <v>?</v>
      </c>
      <c r="Z87" s="78" t="str">
        <f aca="false">IF(OR(Z88="ER",Z89="ER"),"ER",IF(OR(Z88="?",Z89="?"),"?",IF(AND(Z88="NA",Z89="NA"),"NA",SUM(Z88,Z89)/((Z88&lt;&gt;"NA")*$H$88+(Z89&lt;&gt;"NA")*$H$89)*$H87)))</f>
        <v>?</v>
      </c>
      <c r="AA87" s="78" t="str">
        <f aca="false">IF(OR(AA88="ER",AA89="ER"),"ER",IF(OR(AA88="?",AA89="?"),"?",IF(AND(AA88="NA",AA89="NA"),"NA",SUM(AA88,AA89)/((AA88&lt;&gt;"NA")*$H$88+(AA89&lt;&gt;"NA")*$H$89)*$H87)))</f>
        <v>?</v>
      </c>
      <c r="AB87" s="78" t="str">
        <f aca="false">IF(OR(AB88="ER",AB89="ER"),"ER",IF(OR(AB88="?",AB89="?"),"?",IF(AND(AB88="NA",AB89="NA"),"NA",SUM(AB88,AB89)/((AB88&lt;&gt;"NA")*$H$88+(AB89&lt;&gt;"NA")*$H$89)*$H87)))</f>
        <v>?</v>
      </c>
      <c r="AC87" s="78" t="str">
        <f aca="false">IF(OR(AC88="ER",AC89="ER"),"ER",IF(OR(AC88="?",AC89="?"),"?",IF(AND(AC88="NA",AC89="NA"),"NA",SUM(AC88,AC89)/((AC88&lt;&gt;"NA")*$H$88+(AC89&lt;&gt;"NA")*$H$89)*$H87)))</f>
        <v>?</v>
      </c>
      <c r="AD87" s="78" t="str">
        <f aca="false">IF(OR(AD88="ER",AD89="ER"),"ER",IF(OR(AD88="?",AD89="?"),"?",IF(AND(AD88="NA",AD89="NA"),"NA",SUM(AD88,AD89)/((AD88&lt;&gt;"NA")*$H$88+(AD89&lt;&gt;"NA")*$H$89)*$H87)))</f>
        <v>?</v>
      </c>
      <c r="AE87" s="78" t="str">
        <f aca="false">IF(OR(AE88="ER",AE89="ER"),"ER",IF(OR(AE88="?",AE89="?"),"?",IF(AND(AE88="NA",AE89="NA"),"NA",SUM(AE88,AE89)/((AE88&lt;&gt;"NA")*$H$88+(AE89&lt;&gt;"NA")*$H$89)*$H87)))</f>
        <v>?</v>
      </c>
      <c r="AF87" s="78" t="str">
        <f aca="false">IF(OR(AF88="ER",AF89="ER"),"ER",IF(OR(AF88="?",AF89="?"),"?",IF(AND(AF88="NA",AF89="NA"),"NA",SUM(AF88,AF89)/((AF88&lt;&gt;"NA")*$H$88+(AF89&lt;&gt;"NA")*$H$89)*$H87)))</f>
        <v>?</v>
      </c>
      <c r="AG87" s="78" t="str">
        <f aca="false">IF(OR(AG88="ER",AG89="ER"),"ER",IF(OR(AG88="?",AG89="?"),"?",IF(AND(AG88="NA",AG89="NA"),"NA",SUM(AG88,AG89)/((AG88&lt;&gt;"NA")*$H$88+(AG89&lt;&gt;"NA")*$H$89)*$H87)))</f>
        <v>?</v>
      </c>
      <c r="AH87" s="78" t="str">
        <f aca="false">IF(OR(AH88="ER",AH89="ER"),"ER",IF(OR(AH88="?",AH89="?"),"?",IF(AND(AH88="NA",AH89="NA"),"NA",SUM(AH88,AH89)/((AH88&lt;&gt;"NA")*$H$88+(AH89&lt;&gt;"NA")*$H$89)*$H87)))</f>
        <v>?</v>
      </c>
      <c r="AI87" s="78" t="str">
        <f aca="false">IF(OR(AI88="ER",AI89="ER"),"ER",IF(OR(AI88="?",AI89="?"),"?",IF(AND(AI88="NA",AI89="NA"),"NA",SUM(AI88,AI89)/((AI88&lt;&gt;"NA")*$H$88+(AI89&lt;&gt;"NA")*$H$89)*$H87)))</f>
        <v>?</v>
      </c>
      <c r="AJ87" s="78" t="str">
        <f aca="false">IF(OR(AJ88="ER",AJ89="ER"),"ER",IF(OR(AJ88="?",AJ89="?"),"?",IF(AND(AJ88="NA",AJ89="NA"),"NA",SUM(AJ88,AJ89)/((AJ88&lt;&gt;"NA")*$H$88+(AJ89&lt;&gt;"NA")*$H$89)*$H87)))</f>
        <v>?</v>
      </c>
      <c r="AK87" s="78" t="str">
        <f aca="false">IF(OR(AK88="ER",AK89="ER"),"ER",IF(OR(AK88="?",AK89="?"),"?",IF(AND(AK88="NA",AK89="NA"),"NA",SUM(AK88,AK89)/((AK88&lt;&gt;"NA")*$H$88+(AK89&lt;&gt;"NA")*$H$89)*$H87)))</f>
        <v>?</v>
      </c>
    </row>
    <row r="88" customFormat="false" ht="14.25" hidden="false" customHeight="true" outlineLevel="0" collapsed="false">
      <c r="A88" s="74" t="s">
        <v>392</v>
      </c>
      <c r="B88" s="75" t="str">
        <f aca="false">IF(ISBLANK($A88),"NO_CODE",VLOOKUP($A88,'UPD Questions_290926 '!$E$1:$N$300,MATCH(B$1,'UPD Questions_290926 '!$E$1:$N$1,0),0)&amp;"")</f>
        <v>Implementation</v>
      </c>
      <c r="C88" s="75" t="str">
        <f aca="false">IF(ISBLANK($A88),"NO_CODE",VLOOKUP($A88,'UPD Questions_290926 '!$E$1:$N$300,MATCH(C$1,'UPD Questions_290926 '!$E$1:$N$1,0),0)&amp;"")</f>
        <v>Urban design, accessibility and parking</v>
      </c>
      <c r="D88" s="75" t="str">
        <f aca="false">IF(ISBLANK($A88),"NO_CODE",VLOOKUP($A88,'UPD Questions_290926 '!$E$1:$N$300,MATCH(D$1,'UPD Questions_290926 '!$E$1:$N$1,0),0)&amp;"")</f>
        <v>Parking policy</v>
      </c>
      <c r="E88" s="75" t="str">
        <f aca="false">IF(ISBLANK($A88),"NO_CODE",VLOOKUP($A88,'UPD Questions_290926 '!$E$1:$N$300,MATCH(E$1,'UPD Questions_290926 '!$E$1:$N$1,0),0)&amp;"")</f>
        <v>SQ</v>
      </c>
      <c r="F88" s="75" t="str">
        <f aca="false">IF(ISBLANK($A88),"NO_CODE",VLOOKUP($A88,'UPD Questions_290926 '!$E$1:$N$300,MATCH(F$1,'UPD Questions_290926 '!$E$1:$N$1,0),0)&amp;"")</f>
        <v>Is there a clear mandate in the law for a parking policy?</v>
      </c>
      <c r="G88" s="75" t="str">
        <f aca="false">IF(ISBLANK($A88),"NO_CODE",VLOOKUP($A88,'UPD Questions_290926 '!$E$1:$N$300,MATCH(G$1,'UPD Questions_290926 '!$E$1:$N$1,0),0)&amp;"")</f>
        <v>Law or Policy</v>
      </c>
      <c r="H88" s="77" t="n">
        <f aca="false">IF(ISBLANK($A88),"NO_CODE",VLOOKUP($A88,'UPD Questions_290926 '!$E$1:$N$300,MATCH(H$1,'UPD Questions_290926 '!$E$1:$N$1,0),0))</f>
        <v>5</v>
      </c>
      <c r="I88" s="78" t="str">
        <f aca="true">IF($H88=0,"NA",IF($A88=INDIRECT("'"&amp;$A88&amp;"'!$B$1"),IF(VLOOKUP(I$1,INDIRECT("'"&amp;$A88&amp;"'!$A$12:$Z$41"),MATCH("Points (Auto-generate)",INDIRECT("'"&amp;$A88&amp;"'!$A$12:$Z$12"),0),0)="","?",VLOOKUP(I$1,INDIRECT("'"&amp;$A88&amp;"'!$A$12:$Z$41"),MATCH("Points (Auto-generate)",INDIRECT("'"&amp;$A88&amp;"'!$A$12:$Z$12"),0),0)),"ER"))</f>
        <v>?</v>
      </c>
      <c r="J88" s="78" t="str">
        <f aca="true">IF($H88=0,"NA",IF($A88=INDIRECT("'"&amp;$A88&amp;"'!$B$1"),IF(VLOOKUP(J$1,INDIRECT("'"&amp;$A88&amp;"'!$A$12:$Z$41"),MATCH("Points (Auto-generate)",INDIRECT("'"&amp;$A88&amp;"'!$A$12:$Z$12"),0),0)="","?",VLOOKUP(J$1,INDIRECT("'"&amp;$A88&amp;"'!$A$12:$Z$41"),MATCH("Points (Auto-generate)",INDIRECT("'"&amp;$A88&amp;"'!$A$12:$Z$12"),0),0)),"ER"))</f>
        <v>?</v>
      </c>
      <c r="K88" s="78" t="str">
        <f aca="true">IF($H88=0,"NA",IF($A88=INDIRECT("'"&amp;$A88&amp;"'!$B$1"),IF(VLOOKUP(K$1,INDIRECT("'"&amp;$A88&amp;"'!$A$12:$Z$41"),MATCH("Points (Auto-generate)",INDIRECT("'"&amp;$A88&amp;"'!$A$12:$Z$12"),0),0)="","?",VLOOKUP(K$1,INDIRECT("'"&amp;$A88&amp;"'!$A$12:$Z$41"),MATCH("Points (Auto-generate)",INDIRECT("'"&amp;$A88&amp;"'!$A$12:$Z$12"),0),0)),"ER"))</f>
        <v>?</v>
      </c>
      <c r="L88" s="78" t="str">
        <f aca="true">IF($H88=0,"NA",IF($A88=INDIRECT("'"&amp;$A88&amp;"'!$B$1"),IF(VLOOKUP(L$1,INDIRECT("'"&amp;$A88&amp;"'!$A$12:$Z$41"),MATCH("Points (Auto-generate)",INDIRECT("'"&amp;$A88&amp;"'!$A$12:$Z$12"),0),0)="","?",VLOOKUP(L$1,INDIRECT("'"&amp;$A88&amp;"'!$A$12:$Z$41"),MATCH("Points (Auto-generate)",INDIRECT("'"&amp;$A88&amp;"'!$A$12:$Z$12"),0),0)),"ER"))</f>
        <v>?</v>
      </c>
      <c r="M88" s="78" t="str">
        <f aca="true">IF($H88=0,"NA",IF($A88=INDIRECT("'"&amp;$A88&amp;"'!$B$1"),IF(VLOOKUP(M$1,INDIRECT("'"&amp;$A88&amp;"'!$A$12:$Z$41"),MATCH("Points (Auto-generate)",INDIRECT("'"&amp;$A88&amp;"'!$A$12:$Z$12"),0),0)="","?",VLOOKUP(M$1,INDIRECT("'"&amp;$A88&amp;"'!$A$12:$Z$41"),MATCH("Points (Auto-generate)",INDIRECT("'"&amp;$A88&amp;"'!$A$12:$Z$12"),0),0)),"ER"))</f>
        <v>?</v>
      </c>
      <c r="N88" s="78" t="str">
        <f aca="true">IF($H88=0,"NA",IF($A88=INDIRECT("'"&amp;$A88&amp;"'!$B$1"),IF(VLOOKUP(N$1,INDIRECT("'"&amp;$A88&amp;"'!$A$12:$Z$41"),MATCH("Points (Auto-generate)",INDIRECT("'"&amp;$A88&amp;"'!$A$12:$Z$12"),0),0)="","?",VLOOKUP(N$1,INDIRECT("'"&amp;$A88&amp;"'!$A$12:$Z$41"),MATCH("Points (Auto-generate)",INDIRECT("'"&amp;$A88&amp;"'!$A$12:$Z$12"),0),0)),"ER"))</f>
        <v>?</v>
      </c>
      <c r="O88" s="78" t="str">
        <f aca="true">IF($H88=0,"NA",IF($A88=INDIRECT("'"&amp;$A88&amp;"'!$B$1"),IF(VLOOKUP(O$1,INDIRECT("'"&amp;$A88&amp;"'!$A$12:$Z$41"),MATCH("Points (Auto-generate)",INDIRECT("'"&amp;$A88&amp;"'!$A$12:$Z$12"),0),0)="","?",VLOOKUP(O$1,INDIRECT("'"&amp;$A88&amp;"'!$A$12:$Z$41"),MATCH("Points (Auto-generate)",INDIRECT("'"&amp;$A88&amp;"'!$A$12:$Z$12"),0),0)),"ER"))</f>
        <v>?</v>
      </c>
      <c r="P88" s="78" t="str">
        <f aca="true">IF($H88=0,"NA",IF($A88=INDIRECT("'"&amp;$A88&amp;"'!$B$1"),IF(VLOOKUP(P$1,INDIRECT("'"&amp;$A88&amp;"'!$A$12:$Z$41"),MATCH("Points (Auto-generate)",INDIRECT("'"&amp;$A88&amp;"'!$A$12:$Z$12"),0),0)="","?",VLOOKUP(P$1,INDIRECT("'"&amp;$A88&amp;"'!$A$12:$Z$41"),MATCH("Points (Auto-generate)",INDIRECT("'"&amp;$A88&amp;"'!$A$12:$Z$12"),0),0)),"ER"))</f>
        <v>?</v>
      </c>
      <c r="Q88" s="78" t="str">
        <f aca="true">IF($H88=0,"NA",IF($A88=INDIRECT("'"&amp;$A88&amp;"'!$B$1"),IF(VLOOKUP(Q$1,INDIRECT("'"&amp;$A88&amp;"'!$A$12:$Z$41"),MATCH("Points (Auto-generate)",INDIRECT("'"&amp;$A88&amp;"'!$A$12:$Z$12"),0),0)="","?",VLOOKUP(Q$1,INDIRECT("'"&amp;$A88&amp;"'!$A$12:$Z$41"),MATCH("Points (Auto-generate)",INDIRECT("'"&amp;$A88&amp;"'!$A$12:$Z$12"),0),0)),"ER"))</f>
        <v>?</v>
      </c>
      <c r="R88" s="78" t="str">
        <f aca="true">IF($H88=0,"NA",IF($A88=INDIRECT("'"&amp;$A88&amp;"'!$B$1"),IF(VLOOKUP(R$1,INDIRECT("'"&amp;$A88&amp;"'!$A$12:$Z$41"),MATCH("Points (Auto-generate)",INDIRECT("'"&amp;$A88&amp;"'!$A$12:$Z$12"),0),0)="","?",VLOOKUP(R$1,INDIRECT("'"&amp;$A88&amp;"'!$A$12:$Z$41"),MATCH("Points (Auto-generate)",INDIRECT("'"&amp;$A88&amp;"'!$A$12:$Z$12"),0),0)),"ER"))</f>
        <v>?</v>
      </c>
      <c r="S88" s="78" t="str">
        <f aca="true">IF($H88=0,"NA",IF($A88=INDIRECT("'"&amp;$A88&amp;"'!$B$1"),IF(VLOOKUP(S$1,INDIRECT("'"&amp;$A88&amp;"'!$A$12:$Z$41"),MATCH("Points (Auto-generate)",INDIRECT("'"&amp;$A88&amp;"'!$A$12:$Z$12"),0),0)="","?",VLOOKUP(S$1,INDIRECT("'"&amp;$A88&amp;"'!$A$12:$Z$41"),MATCH("Points (Auto-generate)",INDIRECT("'"&amp;$A88&amp;"'!$A$12:$Z$12"),0),0)),"ER"))</f>
        <v>?</v>
      </c>
      <c r="T88" s="78" t="str">
        <f aca="true">IF($H88=0,"NA",IF($A88=INDIRECT("'"&amp;$A88&amp;"'!$B$1"),IF(VLOOKUP(T$1,INDIRECT("'"&amp;$A88&amp;"'!$A$12:$Z$41"),MATCH("Points (Auto-generate)",INDIRECT("'"&amp;$A88&amp;"'!$A$12:$Z$12"),0),0)="","?",VLOOKUP(T$1,INDIRECT("'"&amp;$A88&amp;"'!$A$12:$Z$41"),MATCH("Points (Auto-generate)",INDIRECT("'"&amp;$A88&amp;"'!$A$12:$Z$12"),0),0)),"ER"))</f>
        <v>?</v>
      </c>
      <c r="U88" s="78" t="str">
        <f aca="true">IF($H88=0,"NA",IF($A88=INDIRECT("'"&amp;$A88&amp;"'!$B$1"),IF(VLOOKUP(U$1,INDIRECT("'"&amp;$A88&amp;"'!$A$12:$Z$41"),MATCH("Points (Auto-generate)",INDIRECT("'"&amp;$A88&amp;"'!$A$12:$Z$12"),0),0)="","?",VLOOKUP(U$1,INDIRECT("'"&amp;$A88&amp;"'!$A$12:$Z$41"),MATCH("Points (Auto-generate)",INDIRECT("'"&amp;$A88&amp;"'!$A$12:$Z$12"),0),0)),"ER"))</f>
        <v>?</v>
      </c>
      <c r="V88" s="78" t="str">
        <f aca="true">IF($H88=0,"NA",IF($A88=INDIRECT("'"&amp;$A88&amp;"'!$B$1"),IF(VLOOKUP(V$1,INDIRECT("'"&amp;$A88&amp;"'!$A$12:$Z$41"),MATCH("Points (Auto-generate)",INDIRECT("'"&amp;$A88&amp;"'!$A$12:$Z$12"),0),0)="","?",VLOOKUP(V$1,INDIRECT("'"&amp;$A88&amp;"'!$A$12:$Z$41"),MATCH("Points (Auto-generate)",INDIRECT("'"&amp;$A88&amp;"'!$A$12:$Z$12"),0),0)),"ER"))</f>
        <v>?</v>
      </c>
      <c r="W88" s="78" t="str">
        <f aca="true">IF($H88=0,"NA",IF($A88=INDIRECT("'"&amp;$A88&amp;"'!$B$1"),IF(VLOOKUP(W$1,INDIRECT("'"&amp;$A88&amp;"'!$A$12:$Z$41"),MATCH("Points (Auto-generate)",INDIRECT("'"&amp;$A88&amp;"'!$A$12:$Z$12"),0),0)="","?",VLOOKUP(W$1,INDIRECT("'"&amp;$A88&amp;"'!$A$12:$Z$41"),MATCH("Points (Auto-generate)",INDIRECT("'"&amp;$A88&amp;"'!$A$12:$Z$12"),0),0)),"ER"))</f>
        <v>?</v>
      </c>
      <c r="X88" s="78" t="str">
        <f aca="true">IF($H88=0,"NA",IF($A88=INDIRECT("'"&amp;$A88&amp;"'!$B$1"),IF(VLOOKUP(X$1,INDIRECT("'"&amp;$A88&amp;"'!$A$12:$Z$41"),MATCH("Points (Auto-generate)",INDIRECT("'"&amp;$A88&amp;"'!$A$12:$Z$12"),0),0)="","?",VLOOKUP(X$1,INDIRECT("'"&amp;$A88&amp;"'!$A$12:$Z$41"),MATCH("Points (Auto-generate)",INDIRECT("'"&amp;$A88&amp;"'!$A$12:$Z$12"),0),0)),"ER"))</f>
        <v>?</v>
      </c>
      <c r="Y88" s="78" t="str">
        <f aca="true">IF($H88=0,"NA",IF($A88=INDIRECT("'"&amp;$A88&amp;"'!$B$1"),IF(VLOOKUP(Y$1,INDIRECT("'"&amp;$A88&amp;"'!$A$12:$Z$41"),MATCH("Points (Auto-generate)",INDIRECT("'"&amp;$A88&amp;"'!$A$12:$Z$12"),0),0)="","?",VLOOKUP(Y$1,INDIRECT("'"&amp;$A88&amp;"'!$A$12:$Z$41"),MATCH("Points (Auto-generate)",INDIRECT("'"&amp;$A88&amp;"'!$A$12:$Z$12"),0),0)),"ER"))</f>
        <v>?</v>
      </c>
      <c r="Z88" s="78" t="str">
        <f aca="true">IF($H88=0,"NA",IF($A88=INDIRECT("'"&amp;$A88&amp;"'!$B$1"),IF(VLOOKUP(Z$1,INDIRECT("'"&amp;$A88&amp;"'!$A$12:$Z$41"),MATCH("Points (Auto-generate)",INDIRECT("'"&amp;$A88&amp;"'!$A$12:$Z$12"),0),0)="","?",VLOOKUP(Z$1,INDIRECT("'"&amp;$A88&amp;"'!$A$12:$Z$41"),MATCH("Points (Auto-generate)",INDIRECT("'"&amp;$A88&amp;"'!$A$12:$Z$12"),0),0)),"ER"))</f>
        <v>?</v>
      </c>
      <c r="AA88" s="78" t="str">
        <f aca="true">IF($H88=0,"NA",IF($A88=INDIRECT("'"&amp;$A88&amp;"'!$B$1"),IF(VLOOKUP(AA$1,INDIRECT("'"&amp;$A88&amp;"'!$A$12:$Z$41"),MATCH("Points (Auto-generate)",INDIRECT("'"&amp;$A88&amp;"'!$A$12:$Z$12"),0),0)="","?",VLOOKUP(AA$1,INDIRECT("'"&amp;$A88&amp;"'!$A$12:$Z$41"),MATCH("Points (Auto-generate)",INDIRECT("'"&amp;$A88&amp;"'!$A$12:$Z$12"),0),0)),"ER"))</f>
        <v>?</v>
      </c>
      <c r="AB88" s="78" t="str">
        <f aca="true">IF($H88=0,"NA",IF($A88=INDIRECT("'"&amp;$A88&amp;"'!$B$1"),IF(VLOOKUP(AB$1,INDIRECT("'"&amp;$A88&amp;"'!$A$12:$Z$41"),MATCH("Points (Auto-generate)",INDIRECT("'"&amp;$A88&amp;"'!$A$12:$Z$12"),0),0)="","?",VLOOKUP(AB$1,INDIRECT("'"&amp;$A88&amp;"'!$A$12:$Z$41"),MATCH("Points (Auto-generate)",INDIRECT("'"&amp;$A88&amp;"'!$A$12:$Z$12"),0),0)),"ER"))</f>
        <v>?</v>
      </c>
      <c r="AC88" s="78" t="str">
        <f aca="true">IF($H88=0,"NA",IF($A88=INDIRECT("'"&amp;$A88&amp;"'!$B$1"),IF(VLOOKUP(AC$1,INDIRECT("'"&amp;$A88&amp;"'!$A$12:$Z$41"),MATCH("Points (Auto-generate)",INDIRECT("'"&amp;$A88&amp;"'!$A$12:$Z$12"),0),0)="","?",VLOOKUP(AC$1,INDIRECT("'"&amp;$A88&amp;"'!$A$12:$Z$41"),MATCH("Points (Auto-generate)",INDIRECT("'"&amp;$A88&amp;"'!$A$12:$Z$12"),0),0)),"ER"))</f>
        <v>?</v>
      </c>
      <c r="AD88" s="78" t="str">
        <f aca="true">IF($H88=0,"NA",IF($A88=INDIRECT("'"&amp;$A88&amp;"'!$B$1"),IF(VLOOKUP(AD$1,INDIRECT("'"&amp;$A88&amp;"'!$A$12:$Z$41"),MATCH("Points (Auto-generate)",INDIRECT("'"&amp;$A88&amp;"'!$A$12:$Z$12"),0),0)="","?",VLOOKUP(AD$1,INDIRECT("'"&amp;$A88&amp;"'!$A$12:$Z$41"),MATCH("Points (Auto-generate)",INDIRECT("'"&amp;$A88&amp;"'!$A$12:$Z$12"),0),0)),"ER"))</f>
        <v>?</v>
      </c>
      <c r="AE88" s="78" t="str">
        <f aca="true">IF($H88=0,"NA",IF($A88=INDIRECT("'"&amp;$A88&amp;"'!$B$1"),IF(VLOOKUP(AE$1,INDIRECT("'"&amp;$A88&amp;"'!$A$12:$Z$41"),MATCH("Points (Auto-generate)",INDIRECT("'"&amp;$A88&amp;"'!$A$12:$Z$12"),0),0)="","?",VLOOKUP(AE$1,INDIRECT("'"&amp;$A88&amp;"'!$A$12:$Z$41"),MATCH("Points (Auto-generate)",INDIRECT("'"&amp;$A88&amp;"'!$A$12:$Z$12"),0),0)),"ER"))</f>
        <v>?</v>
      </c>
      <c r="AF88" s="78" t="str">
        <f aca="true">IF($H88=0,"NA",IF($A88=INDIRECT("'"&amp;$A88&amp;"'!$B$1"),IF(VLOOKUP(AF$1,INDIRECT("'"&amp;$A88&amp;"'!$A$12:$Z$41"),MATCH("Points (Auto-generate)",INDIRECT("'"&amp;$A88&amp;"'!$A$12:$Z$12"),0),0)="","?",VLOOKUP(AF$1,INDIRECT("'"&amp;$A88&amp;"'!$A$12:$Z$41"),MATCH("Points (Auto-generate)",INDIRECT("'"&amp;$A88&amp;"'!$A$12:$Z$12"),0),0)),"ER"))</f>
        <v>?</v>
      </c>
      <c r="AG88" s="78" t="str">
        <f aca="true">IF($H88=0,"NA",IF($A88=INDIRECT("'"&amp;$A88&amp;"'!$B$1"),IF(VLOOKUP(AG$1,INDIRECT("'"&amp;$A88&amp;"'!$A$12:$Z$41"),MATCH("Points (Auto-generate)",INDIRECT("'"&amp;$A88&amp;"'!$A$12:$Z$12"),0),0)="","?",VLOOKUP(AG$1,INDIRECT("'"&amp;$A88&amp;"'!$A$12:$Z$41"),MATCH("Points (Auto-generate)",INDIRECT("'"&amp;$A88&amp;"'!$A$12:$Z$12"),0),0)),"ER"))</f>
        <v>?</v>
      </c>
      <c r="AH88" s="78" t="str">
        <f aca="true">IF($H88=0,"NA",IF($A88=INDIRECT("'"&amp;$A88&amp;"'!$B$1"),IF(VLOOKUP(AH$1,INDIRECT("'"&amp;$A88&amp;"'!$A$12:$Z$41"),MATCH("Points (Auto-generate)",INDIRECT("'"&amp;$A88&amp;"'!$A$12:$Z$12"),0),0)="","?",VLOOKUP(AH$1,INDIRECT("'"&amp;$A88&amp;"'!$A$12:$Z$41"),MATCH("Points (Auto-generate)",INDIRECT("'"&amp;$A88&amp;"'!$A$12:$Z$12"),0),0)),"ER"))</f>
        <v>?</v>
      </c>
      <c r="AI88" s="78" t="str">
        <f aca="true">IF($H88=0,"NA",IF($A88=INDIRECT("'"&amp;$A88&amp;"'!$B$1"),IF(VLOOKUP(AI$1,INDIRECT("'"&amp;$A88&amp;"'!$A$12:$Z$41"),MATCH("Points (Auto-generate)",INDIRECT("'"&amp;$A88&amp;"'!$A$12:$Z$12"),0),0)="","?",VLOOKUP(AI$1,INDIRECT("'"&amp;$A88&amp;"'!$A$12:$Z$41"),MATCH("Points (Auto-generate)",INDIRECT("'"&amp;$A88&amp;"'!$A$12:$Z$12"),0),0)),"ER"))</f>
        <v>?</v>
      </c>
      <c r="AJ88" s="78" t="str">
        <f aca="true">IF($H88=0,"NA",IF($A88=INDIRECT("'"&amp;$A88&amp;"'!$B$1"),IF(VLOOKUP(AJ$1,INDIRECT("'"&amp;$A88&amp;"'!$A$12:$Z$41"),MATCH("Points (Auto-generate)",INDIRECT("'"&amp;$A88&amp;"'!$A$12:$Z$12"),0),0)="","?",VLOOKUP(AJ$1,INDIRECT("'"&amp;$A88&amp;"'!$A$12:$Z$41"),MATCH("Points (Auto-generate)",INDIRECT("'"&amp;$A88&amp;"'!$A$12:$Z$12"),0),0)),"ER"))</f>
        <v>?</v>
      </c>
      <c r="AK88" s="78" t="str">
        <f aca="true">IF($H88=0,"NA",IF($A88=INDIRECT("'"&amp;$A88&amp;"'!$B$1"),IF(VLOOKUP(AK$1,INDIRECT("'"&amp;$A88&amp;"'!$A$12:$Z$41"),MATCH("Points (Auto-generate)",INDIRECT("'"&amp;$A88&amp;"'!$A$12:$Z$12"),0),0)="","?",VLOOKUP(AK$1,INDIRECT("'"&amp;$A88&amp;"'!$A$12:$Z$41"),MATCH("Points (Auto-generate)",INDIRECT("'"&amp;$A88&amp;"'!$A$12:$Z$12"),0),0)),"ER"))</f>
        <v>?</v>
      </c>
    </row>
    <row r="89" customFormat="false" ht="14.25" hidden="false" customHeight="true" outlineLevel="0" collapsed="false">
      <c r="A89" s="74" t="s">
        <v>396</v>
      </c>
      <c r="B89" s="75" t="str">
        <f aca="false">IF(ISBLANK($A89),"NO_CODE",VLOOKUP($A89,'UPD Questions_290926 '!$E$1:$N$300,MATCH(B$1,'UPD Questions_290926 '!$E$1:$N$1,0),0)&amp;"")</f>
        <v>Implementation</v>
      </c>
      <c r="C89" s="75" t="str">
        <f aca="false">IF(ISBLANK($A89),"NO_CODE",VLOOKUP($A89,'UPD Questions_290926 '!$E$1:$N$300,MATCH(C$1,'UPD Questions_290926 '!$E$1:$N$1,0),0)&amp;"")</f>
        <v>Urban design, accessibility and parking</v>
      </c>
      <c r="D89" s="75" t="str">
        <f aca="false">IF(ISBLANK($A89),"NO_CODE",VLOOKUP($A89,'UPD Questions_290926 '!$E$1:$N$300,MATCH(D$1,'UPD Questions_290926 '!$E$1:$N$1,0),0)&amp;"")</f>
        <v>Parking policy</v>
      </c>
      <c r="E89" s="75" t="str">
        <f aca="false">IF(ISBLANK($A89),"NO_CODE",VLOOKUP($A89,'UPD Questions_290926 '!$E$1:$N$300,MATCH(E$1,'UPD Questions_290926 '!$E$1:$N$1,0),0)&amp;"")</f>
        <v>SQ</v>
      </c>
      <c r="F89" s="75" t="str">
        <f aca="false">IF(ISBLANK($A89),"NO_CODE",VLOOKUP($A89,'UPD Questions_290926 '!$E$1:$N$300,MATCH(F$1,'UPD Questions_290926 '!$E$1:$N$1,0),0)&amp;"")</f>
        <v>Has the parking policy been implemented?</v>
      </c>
      <c r="G89" s="75" t="str">
        <f aca="false">IF(ISBLANK($A89),"NO_CODE",VLOOKUP($A89,'UPD Questions_290926 '!$E$1:$N$300,MATCH(G$1,'UPD Questions_290926 '!$E$1:$N$1,0),0)&amp;"")</f>
        <v>Implementation</v>
      </c>
      <c r="H89" s="77" t="n">
        <f aca="false">IF(ISBLANK($A89),"NO_CODE",VLOOKUP($A89,'UPD Questions_290926 '!$E$1:$N$300,MATCH(H$1,'UPD Questions_290926 '!$E$1:$N$1,0),0))</f>
        <v>5</v>
      </c>
      <c r="I89" s="78" t="str">
        <f aca="true">IF($H89=0,"NA",IF($A89=INDIRECT("'"&amp;$A89&amp;"'!$B$1"),IF(VLOOKUP(I$1,INDIRECT("'"&amp;$A89&amp;"'!$A$12:$Z$41"),MATCH("Points (Auto-generate)",INDIRECT("'"&amp;$A89&amp;"'!$A$12:$Z$12"),0),0)="","?",VLOOKUP(I$1,INDIRECT("'"&amp;$A89&amp;"'!$A$12:$Z$41"),MATCH("Points (Auto-generate)",INDIRECT("'"&amp;$A89&amp;"'!$A$12:$Z$12"),0),0)),"ER"))</f>
        <v>?</v>
      </c>
      <c r="J89" s="78" t="str">
        <f aca="true">IF($H89=0,"NA",IF($A89=INDIRECT("'"&amp;$A89&amp;"'!$B$1"),IF(VLOOKUP(J$1,INDIRECT("'"&amp;$A89&amp;"'!$A$12:$Z$41"),MATCH("Points (Auto-generate)",INDIRECT("'"&amp;$A89&amp;"'!$A$12:$Z$12"),0),0)="","?",VLOOKUP(J$1,INDIRECT("'"&amp;$A89&amp;"'!$A$12:$Z$41"),MATCH("Points (Auto-generate)",INDIRECT("'"&amp;$A89&amp;"'!$A$12:$Z$12"),0),0)),"ER"))</f>
        <v>?</v>
      </c>
      <c r="K89" s="78" t="str">
        <f aca="true">IF($H89=0,"NA",IF($A89=INDIRECT("'"&amp;$A89&amp;"'!$B$1"),IF(VLOOKUP(K$1,INDIRECT("'"&amp;$A89&amp;"'!$A$12:$Z$41"),MATCH("Points (Auto-generate)",INDIRECT("'"&amp;$A89&amp;"'!$A$12:$Z$12"),0),0)="","?",VLOOKUP(K$1,INDIRECT("'"&amp;$A89&amp;"'!$A$12:$Z$41"),MATCH("Points (Auto-generate)",INDIRECT("'"&amp;$A89&amp;"'!$A$12:$Z$12"),0),0)),"ER"))</f>
        <v>?</v>
      </c>
      <c r="L89" s="78" t="str">
        <f aca="true">IF($H89=0,"NA",IF($A89=INDIRECT("'"&amp;$A89&amp;"'!$B$1"),IF(VLOOKUP(L$1,INDIRECT("'"&amp;$A89&amp;"'!$A$12:$Z$41"),MATCH("Points (Auto-generate)",INDIRECT("'"&amp;$A89&amp;"'!$A$12:$Z$12"),0),0)="","?",VLOOKUP(L$1,INDIRECT("'"&amp;$A89&amp;"'!$A$12:$Z$41"),MATCH("Points (Auto-generate)",INDIRECT("'"&amp;$A89&amp;"'!$A$12:$Z$12"),0),0)),"ER"))</f>
        <v>?</v>
      </c>
      <c r="M89" s="78" t="str">
        <f aca="true">IF($H89=0,"NA",IF($A89=INDIRECT("'"&amp;$A89&amp;"'!$B$1"),IF(VLOOKUP(M$1,INDIRECT("'"&amp;$A89&amp;"'!$A$12:$Z$41"),MATCH("Points (Auto-generate)",INDIRECT("'"&amp;$A89&amp;"'!$A$12:$Z$12"),0),0)="","?",VLOOKUP(M$1,INDIRECT("'"&amp;$A89&amp;"'!$A$12:$Z$41"),MATCH("Points (Auto-generate)",INDIRECT("'"&amp;$A89&amp;"'!$A$12:$Z$12"),0),0)),"ER"))</f>
        <v>?</v>
      </c>
      <c r="N89" s="78" t="str">
        <f aca="true">IF($H89=0,"NA",IF($A89=INDIRECT("'"&amp;$A89&amp;"'!$B$1"),IF(VLOOKUP(N$1,INDIRECT("'"&amp;$A89&amp;"'!$A$12:$Z$41"),MATCH("Points (Auto-generate)",INDIRECT("'"&amp;$A89&amp;"'!$A$12:$Z$12"),0),0)="","?",VLOOKUP(N$1,INDIRECT("'"&amp;$A89&amp;"'!$A$12:$Z$41"),MATCH("Points (Auto-generate)",INDIRECT("'"&amp;$A89&amp;"'!$A$12:$Z$12"),0),0)),"ER"))</f>
        <v>?</v>
      </c>
      <c r="O89" s="78" t="str">
        <f aca="true">IF($H89=0,"NA",IF($A89=INDIRECT("'"&amp;$A89&amp;"'!$B$1"),IF(VLOOKUP(O$1,INDIRECT("'"&amp;$A89&amp;"'!$A$12:$Z$41"),MATCH("Points (Auto-generate)",INDIRECT("'"&amp;$A89&amp;"'!$A$12:$Z$12"),0),0)="","?",VLOOKUP(O$1,INDIRECT("'"&amp;$A89&amp;"'!$A$12:$Z$41"),MATCH("Points (Auto-generate)",INDIRECT("'"&amp;$A89&amp;"'!$A$12:$Z$12"),0),0)),"ER"))</f>
        <v>?</v>
      </c>
      <c r="P89" s="78" t="str">
        <f aca="true">IF($H89=0,"NA",IF($A89=INDIRECT("'"&amp;$A89&amp;"'!$B$1"),IF(VLOOKUP(P$1,INDIRECT("'"&amp;$A89&amp;"'!$A$12:$Z$41"),MATCH("Points (Auto-generate)",INDIRECT("'"&amp;$A89&amp;"'!$A$12:$Z$12"),0),0)="","?",VLOOKUP(P$1,INDIRECT("'"&amp;$A89&amp;"'!$A$12:$Z$41"),MATCH("Points (Auto-generate)",INDIRECT("'"&amp;$A89&amp;"'!$A$12:$Z$12"),0),0)),"ER"))</f>
        <v>?</v>
      </c>
      <c r="Q89" s="78" t="str">
        <f aca="true">IF($H89=0,"NA",IF($A89=INDIRECT("'"&amp;$A89&amp;"'!$B$1"),IF(VLOOKUP(Q$1,INDIRECT("'"&amp;$A89&amp;"'!$A$12:$Z$41"),MATCH("Points (Auto-generate)",INDIRECT("'"&amp;$A89&amp;"'!$A$12:$Z$12"),0),0)="","?",VLOOKUP(Q$1,INDIRECT("'"&amp;$A89&amp;"'!$A$12:$Z$41"),MATCH("Points (Auto-generate)",INDIRECT("'"&amp;$A89&amp;"'!$A$12:$Z$12"),0),0)),"ER"))</f>
        <v>?</v>
      </c>
      <c r="R89" s="78" t="str">
        <f aca="true">IF($H89=0,"NA",IF($A89=INDIRECT("'"&amp;$A89&amp;"'!$B$1"),IF(VLOOKUP(R$1,INDIRECT("'"&amp;$A89&amp;"'!$A$12:$Z$41"),MATCH("Points (Auto-generate)",INDIRECT("'"&amp;$A89&amp;"'!$A$12:$Z$12"),0),0)="","?",VLOOKUP(R$1,INDIRECT("'"&amp;$A89&amp;"'!$A$12:$Z$41"),MATCH("Points (Auto-generate)",INDIRECT("'"&amp;$A89&amp;"'!$A$12:$Z$12"),0),0)),"ER"))</f>
        <v>?</v>
      </c>
      <c r="S89" s="78" t="str">
        <f aca="true">IF($H89=0,"NA",IF($A89=INDIRECT("'"&amp;$A89&amp;"'!$B$1"),IF(VLOOKUP(S$1,INDIRECT("'"&amp;$A89&amp;"'!$A$12:$Z$41"),MATCH("Points (Auto-generate)",INDIRECT("'"&amp;$A89&amp;"'!$A$12:$Z$12"),0),0)="","?",VLOOKUP(S$1,INDIRECT("'"&amp;$A89&amp;"'!$A$12:$Z$41"),MATCH("Points (Auto-generate)",INDIRECT("'"&amp;$A89&amp;"'!$A$12:$Z$12"),0),0)),"ER"))</f>
        <v>?</v>
      </c>
      <c r="T89" s="78" t="str">
        <f aca="true">IF($H89=0,"NA",IF($A89=INDIRECT("'"&amp;$A89&amp;"'!$B$1"),IF(VLOOKUP(T$1,INDIRECT("'"&amp;$A89&amp;"'!$A$12:$Z$41"),MATCH("Points (Auto-generate)",INDIRECT("'"&amp;$A89&amp;"'!$A$12:$Z$12"),0),0)="","?",VLOOKUP(T$1,INDIRECT("'"&amp;$A89&amp;"'!$A$12:$Z$41"),MATCH("Points (Auto-generate)",INDIRECT("'"&amp;$A89&amp;"'!$A$12:$Z$12"),0),0)),"ER"))</f>
        <v>?</v>
      </c>
      <c r="U89" s="78" t="str">
        <f aca="true">IF($H89=0,"NA",IF($A89=INDIRECT("'"&amp;$A89&amp;"'!$B$1"),IF(VLOOKUP(U$1,INDIRECT("'"&amp;$A89&amp;"'!$A$12:$Z$41"),MATCH("Points (Auto-generate)",INDIRECT("'"&amp;$A89&amp;"'!$A$12:$Z$12"),0),0)="","?",VLOOKUP(U$1,INDIRECT("'"&amp;$A89&amp;"'!$A$12:$Z$41"),MATCH("Points (Auto-generate)",INDIRECT("'"&amp;$A89&amp;"'!$A$12:$Z$12"),0),0)),"ER"))</f>
        <v>?</v>
      </c>
      <c r="V89" s="78" t="str">
        <f aca="true">IF($H89=0,"NA",IF($A89=INDIRECT("'"&amp;$A89&amp;"'!$B$1"),IF(VLOOKUP(V$1,INDIRECT("'"&amp;$A89&amp;"'!$A$12:$Z$41"),MATCH("Points (Auto-generate)",INDIRECT("'"&amp;$A89&amp;"'!$A$12:$Z$12"),0),0)="","?",VLOOKUP(V$1,INDIRECT("'"&amp;$A89&amp;"'!$A$12:$Z$41"),MATCH("Points (Auto-generate)",INDIRECT("'"&amp;$A89&amp;"'!$A$12:$Z$12"),0),0)),"ER"))</f>
        <v>?</v>
      </c>
      <c r="W89" s="78" t="str">
        <f aca="true">IF($H89=0,"NA",IF($A89=INDIRECT("'"&amp;$A89&amp;"'!$B$1"),IF(VLOOKUP(W$1,INDIRECT("'"&amp;$A89&amp;"'!$A$12:$Z$41"),MATCH("Points (Auto-generate)",INDIRECT("'"&amp;$A89&amp;"'!$A$12:$Z$12"),0),0)="","?",VLOOKUP(W$1,INDIRECT("'"&amp;$A89&amp;"'!$A$12:$Z$41"),MATCH("Points (Auto-generate)",INDIRECT("'"&amp;$A89&amp;"'!$A$12:$Z$12"),0),0)),"ER"))</f>
        <v>?</v>
      </c>
      <c r="X89" s="78" t="str">
        <f aca="true">IF($H89=0,"NA",IF($A89=INDIRECT("'"&amp;$A89&amp;"'!$B$1"),IF(VLOOKUP(X$1,INDIRECT("'"&amp;$A89&amp;"'!$A$12:$Z$41"),MATCH("Points (Auto-generate)",INDIRECT("'"&amp;$A89&amp;"'!$A$12:$Z$12"),0),0)="","?",VLOOKUP(X$1,INDIRECT("'"&amp;$A89&amp;"'!$A$12:$Z$41"),MATCH("Points (Auto-generate)",INDIRECT("'"&amp;$A89&amp;"'!$A$12:$Z$12"),0),0)),"ER"))</f>
        <v>?</v>
      </c>
      <c r="Y89" s="78" t="str">
        <f aca="true">IF($H89=0,"NA",IF($A89=INDIRECT("'"&amp;$A89&amp;"'!$B$1"),IF(VLOOKUP(Y$1,INDIRECT("'"&amp;$A89&amp;"'!$A$12:$Z$41"),MATCH("Points (Auto-generate)",INDIRECT("'"&amp;$A89&amp;"'!$A$12:$Z$12"),0),0)="","?",VLOOKUP(Y$1,INDIRECT("'"&amp;$A89&amp;"'!$A$12:$Z$41"),MATCH("Points (Auto-generate)",INDIRECT("'"&amp;$A89&amp;"'!$A$12:$Z$12"),0),0)),"ER"))</f>
        <v>?</v>
      </c>
      <c r="Z89" s="78" t="str">
        <f aca="true">IF($H89=0,"NA",IF($A89=INDIRECT("'"&amp;$A89&amp;"'!$B$1"),IF(VLOOKUP(Z$1,INDIRECT("'"&amp;$A89&amp;"'!$A$12:$Z$41"),MATCH("Points (Auto-generate)",INDIRECT("'"&amp;$A89&amp;"'!$A$12:$Z$12"),0),0)="","?",VLOOKUP(Z$1,INDIRECT("'"&amp;$A89&amp;"'!$A$12:$Z$41"),MATCH("Points (Auto-generate)",INDIRECT("'"&amp;$A89&amp;"'!$A$12:$Z$12"),0),0)),"ER"))</f>
        <v>?</v>
      </c>
      <c r="AA89" s="78" t="str">
        <f aca="true">IF($H89=0,"NA",IF($A89=INDIRECT("'"&amp;$A89&amp;"'!$B$1"),IF(VLOOKUP(AA$1,INDIRECT("'"&amp;$A89&amp;"'!$A$12:$Z$41"),MATCH("Points (Auto-generate)",INDIRECT("'"&amp;$A89&amp;"'!$A$12:$Z$12"),0),0)="","?",VLOOKUP(AA$1,INDIRECT("'"&amp;$A89&amp;"'!$A$12:$Z$41"),MATCH("Points (Auto-generate)",INDIRECT("'"&amp;$A89&amp;"'!$A$12:$Z$12"),0),0)),"ER"))</f>
        <v>?</v>
      </c>
      <c r="AB89" s="78" t="str">
        <f aca="true">IF($H89=0,"NA",IF($A89=INDIRECT("'"&amp;$A89&amp;"'!$B$1"),IF(VLOOKUP(AB$1,INDIRECT("'"&amp;$A89&amp;"'!$A$12:$Z$41"),MATCH("Points (Auto-generate)",INDIRECT("'"&amp;$A89&amp;"'!$A$12:$Z$12"),0),0)="","?",VLOOKUP(AB$1,INDIRECT("'"&amp;$A89&amp;"'!$A$12:$Z$41"),MATCH("Points (Auto-generate)",INDIRECT("'"&amp;$A89&amp;"'!$A$12:$Z$12"),0),0)),"ER"))</f>
        <v>?</v>
      </c>
      <c r="AC89" s="78" t="str">
        <f aca="true">IF($H89=0,"NA",IF($A89=INDIRECT("'"&amp;$A89&amp;"'!$B$1"),IF(VLOOKUP(AC$1,INDIRECT("'"&amp;$A89&amp;"'!$A$12:$Z$41"),MATCH("Points (Auto-generate)",INDIRECT("'"&amp;$A89&amp;"'!$A$12:$Z$12"),0),0)="","?",VLOOKUP(AC$1,INDIRECT("'"&amp;$A89&amp;"'!$A$12:$Z$41"),MATCH("Points (Auto-generate)",INDIRECT("'"&amp;$A89&amp;"'!$A$12:$Z$12"),0),0)),"ER"))</f>
        <v>?</v>
      </c>
      <c r="AD89" s="78" t="str">
        <f aca="true">IF($H89=0,"NA",IF($A89=INDIRECT("'"&amp;$A89&amp;"'!$B$1"),IF(VLOOKUP(AD$1,INDIRECT("'"&amp;$A89&amp;"'!$A$12:$Z$41"),MATCH("Points (Auto-generate)",INDIRECT("'"&amp;$A89&amp;"'!$A$12:$Z$12"),0),0)="","?",VLOOKUP(AD$1,INDIRECT("'"&amp;$A89&amp;"'!$A$12:$Z$41"),MATCH("Points (Auto-generate)",INDIRECT("'"&amp;$A89&amp;"'!$A$12:$Z$12"),0),0)),"ER"))</f>
        <v>?</v>
      </c>
      <c r="AE89" s="78" t="str">
        <f aca="true">IF($H89=0,"NA",IF($A89=INDIRECT("'"&amp;$A89&amp;"'!$B$1"),IF(VLOOKUP(AE$1,INDIRECT("'"&amp;$A89&amp;"'!$A$12:$Z$41"),MATCH("Points (Auto-generate)",INDIRECT("'"&amp;$A89&amp;"'!$A$12:$Z$12"),0),0)="","?",VLOOKUP(AE$1,INDIRECT("'"&amp;$A89&amp;"'!$A$12:$Z$41"),MATCH("Points (Auto-generate)",INDIRECT("'"&amp;$A89&amp;"'!$A$12:$Z$12"),0),0)),"ER"))</f>
        <v>?</v>
      </c>
      <c r="AF89" s="78" t="str">
        <f aca="true">IF($H89=0,"NA",IF($A89=INDIRECT("'"&amp;$A89&amp;"'!$B$1"),IF(VLOOKUP(AF$1,INDIRECT("'"&amp;$A89&amp;"'!$A$12:$Z$41"),MATCH("Points (Auto-generate)",INDIRECT("'"&amp;$A89&amp;"'!$A$12:$Z$12"),0),0)="","?",VLOOKUP(AF$1,INDIRECT("'"&amp;$A89&amp;"'!$A$12:$Z$41"),MATCH("Points (Auto-generate)",INDIRECT("'"&amp;$A89&amp;"'!$A$12:$Z$12"),0),0)),"ER"))</f>
        <v>?</v>
      </c>
      <c r="AG89" s="78" t="str">
        <f aca="true">IF($H89=0,"NA",IF($A89=INDIRECT("'"&amp;$A89&amp;"'!$B$1"),IF(VLOOKUP(AG$1,INDIRECT("'"&amp;$A89&amp;"'!$A$12:$Z$41"),MATCH("Points (Auto-generate)",INDIRECT("'"&amp;$A89&amp;"'!$A$12:$Z$12"),0),0)="","?",VLOOKUP(AG$1,INDIRECT("'"&amp;$A89&amp;"'!$A$12:$Z$41"),MATCH("Points (Auto-generate)",INDIRECT("'"&amp;$A89&amp;"'!$A$12:$Z$12"),0),0)),"ER"))</f>
        <v>?</v>
      </c>
      <c r="AH89" s="78" t="str">
        <f aca="true">IF($H89=0,"NA",IF($A89=INDIRECT("'"&amp;$A89&amp;"'!$B$1"),IF(VLOOKUP(AH$1,INDIRECT("'"&amp;$A89&amp;"'!$A$12:$Z$41"),MATCH("Points (Auto-generate)",INDIRECT("'"&amp;$A89&amp;"'!$A$12:$Z$12"),0),0)="","?",VLOOKUP(AH$1,INDIRECT("'"&amp;$A89&amp;"'!$A$12:$Z$41"),MATCH("Points (Auto-generate)",INDIRECT("'"&amp;$A89&amp;"'!$A$12:$Z$12"),0),0)),"ER"))</f>
        <v>?</v>
      </c>
      <c r="AI89" s="78" t="str">
        <f aca="true">IF($H89=0,"NA",IF($A89=INDIRECT("'"&amp;$A89&amp;"'!$B$1"),IF(VLOOKUP(AI$1,INDIRECT("'"&amp;$A89&amp;"'!$A$12:$Z$41"),MATCH("Points (Auto-generate)",INDIRECT("'"&amp;$A89&amp;"'!$A$12:$Z$12"),0),0)="","?",VLOOKUP(AI$1,INDIRECT("'"&amp;$A89&amp;"'!$A$12:$Z$41"),MATCH("Points (Auto-generate)",INDIRECT("'"&amp;$A89&amp;"'!$A$12:$Z$12"),0),0)),"ER"))</f>
        <v>?</v>
      </c>
      <c r="AJ89" s="78" t="str">
        <f aca="true">IF($H89=0,"NA",IF($A89=INDIRECT("'"&amp;$A89&amp;"'!$B$1"),IF(VLOOKUP(AJ$1,INDIRECT("'"&amp;$A89&amp;"'!$A$12:$Z$41"),MATCH("Points (Auto-generate)",INDIRECT("'"&amp;$A89&amp;"'!$A$12:$Z$12"),0),0)="","?",VLOOKUP(AJ$1,INDIRECT("'"&amp;$A89&amp;"'!$A$12:$Z$41"),MATCH("Points (Auto-generate)",INDIRECT("'"&amp;$A89&amp;"'!$A$12:$Z$12"),0),0)),"ER"))</f>
        <v>?</v>
      </c>
      <c r="AK89" s="78" t="str">
        <f aca="true">IF($H89=0,"NA",IF($A89=INDIRECT("'"&amp;$A89&amp;"'!$B$1"),IF(VLOOKUP(AK$1,INDIRECT("'"&amp;$A89&amp;"'!$A$12:$Z$41"),MATCH("Points (Auto-generate)",INDIRECT("'"&amp;$A89&amp;"'!$A$12:$Z$12"),0),0)="","?",VLOOKUP(AK$1,INDIRECT("'"&amp;$A89&amp;"'!$A$12:$Z$41"),MATCH("Points (Auto-generate)",INDIRECT("'"&amp;$A89&amp;"'!$A$12:$Z$12"),0),0)),"ER"))</f>
        <v>?</v>
      </c>
    </row>
    <row r="90" customFormat="false" ht="14.25" hidden="false" customHeight="true" outlineLevel="0" collapsed="false">
      <c r="A90" s="74" t="s">
        <v>401</v>
      </c>
      <c r="B90" s="75" t="str">
        <f aca="false">IF(ISBLANK($A90),"NO_CODE",VLOOKUP($A90,'UPD Questions_290926 '!$E$1:$N$300,MATCH(B$1,'UPD Questions_290926 '!$E$1:$N$1,0),0)&amp;"")</f>
        <v>Implementation</v>
      </c>
      <c r="C90" s="75" t="str">
        <f aca="false">IF(ISBLANK($A90),"NO_CODE",VLOOKUP($A90,'UPD Questions_290926 '!$E$1:$N$300,MATCH(C$1,'UPD Questions_290926 '!$E$1:$N$1,0),0)&amp;"")</f>
        <v>Development Control Regulations and land-management instruments</v>
      </c>
      <c r="D90" s="75" t="str">
        <f aca="false">IF(ISBLANK($A90),"NO_CODE",VLOOKUP($A90,'UPD Questions_290926 '!$E$1:$N$300,MATCH(D$1,'UPD Questions_290926 '!$E$1:$N$1,0),0)&amp;"")</f>
        <v>Applicability and currency of DCRs</v>
      </c>
      <c r="E90" s="75" t="str">
        <f aca="false">IF(ISBLANK($A90),"NO_CODE",VLOOKUP($A90,'UPD Questions_290926 '!$E$1:$N$300,MATCH(E$1,'UPD Questions_290926 '!$E$1:$N$1,0),0)&amp;"")</f>
        <v>MQ</v>
      </c>
      <c r="F90" s="75" t="str">
        <f aca="false">IF(ISBLANK($A90),"NO_CODE",VLOOKUP($A90,'UPD Questions_290926 '!$E$1:$N$300,MATCH(F$1,'UPD Questions_290926 '!$E$1:$N$1,0),0)&amp;"")</f>
        <v>Does the city have a city-specific Development Control Regulation (DCR)?</v>
      </c>
      <c r="G90" s="75" t="str">
        <f aca="false">IF(ISBLANK($A90),"NO_CODE",VLOOKUP($A90,'UPD Questions_290926 '!$E$1:$N$300,MATCH(G$1,'UPD Questions_290926 '!$E$1:$N$1,0),0)&amp;"")</f>
        <v>Law or Policy &amp; Implementation</v>
      </c>
      <c r="H90" s="77" t="n">
        <f aca="false">IF(ISBLANK($A90),"NO_CODE",VLOOKUP($A90,'UPD Questions_290926 '!$E$1:$N$300,MATCH(H$1,'UPD Questions_290926 '!$E$1:$N$1,0),0))</f>
        <v>10</v>
      </c>
      <c r="I90" s="78" t="str">
        <f aca="true">IF($H90=0,"NA",IF($A90=INDIRECT("'"&amp;$A90&amp;"'!$B$1"),IF(VLOOKUP(I$1,INDIRECT("'"&amp;$A90&amp;"'!$A$12:$Z$41"),MATCH("Points (Auto-generate)",INDIRECT("'"&amp;$A90&amp;"'!$A$12:$Z$12"),0),0)="","?",VLOOKUP(I$1,INDIRECT("'"&amp;$A90&amp;"'!$A$12:$Z$41"),MATCH("Points (Auto-generate)",INDIRECT("'"&amp;$A90&amp;"'!$A$12:$Z$12"),0),0)),"ER"))</f>
        <v>?</v>
      </c>
      <c r="J90" s="78" t="str">
        <f aca="true">IF($H90=0,"NA",IF($A90=INDIRECT("'"&amp;$A90&amp;"'!$B$1"),IF(VLOOKUP(J$1,INDIRECT("'"&amp;$A90&amp;"'!$A$12:$Z$41"),MATCH("Points (Auto-generate)",INDIRECT("'"&amp;$A90&amp;"'!$A$12:$Z$12"),0),0)="","?",VLOOKUP(J$1,INDIRECT("'"&amp;$A90&amp;"'!$A$12:$Z$41"),MATCH("Points (Auto-generate)",INDIRECT("'"&amp;$A90&amp;"'!$A$12:$Z$12"),0),0)),"ER"))</f>
        <v>?</v>
      </c>
      <c r="K90" s="78" t="str">
        <f aca="true">IF($H90=0,"NA",IF($A90=INDIRECT("'"&amp;$A90&amp;"'!$B$1"),IF(VLOOKUP(K$1,INDIRECT("'"&amp;$A90&amp;"'!$A$12:$Z$41"),MATCH("Points (Auto-generate)",INDIRECT("'"&amp;$A90&amp;"'!$A$12:$Z$12"),0),0)="","?",VLOOKUP(K$1,INDIRECT("'"&amp;$A90&amp;"'!$A$12:$Z$41"),MATCH("Points (Auto-generate)",INDIRECT("'"&amp;$A90&amp;"'!$A$12:$Z$12"),0),0)),"ER"))</f>
        <v>?</v>
      </c>
      <c r="L90" s="78" t="str">
        <f aca="true">IF($H90=0,"NA",IF($A90=INDIRECT("'"&amp;$A90&amp;"'!$B$1"),IF(VLOOKUP(L$1,INDIRECT("'"&amp;$A90&amp;"'!$A$12:$Z$41"),MATCH("Points (Auto-generate)",INDIRECT("'"&amp;$A90&amp;"'!$A$12:$Z$12"),0),0)="","?",VLOOKUP(L$1,INDIRECT("'"&amp;$A90&amp;"'!$A$12:$Z$41"),MATCH("Points (Auto-generate)",INDIRECT("'"&amp;$A90&amp;"'!$A$12:$Z$12"),0),0)),"ER"))</f>
        <v>?</v>
      </c>
      <c r="M90" s="78" t="str">
        <f aca="true">IF($H90=0,"NA",IF($A90=INDIRECT("'"&amp;$A90&amp;"'!$B$1"),IF(VLOOKUP(M$1,INDIRECT("'"&amp;$A90&amp;"'!$A$12:$Z$41"),MATCH("Points (Auto-generate)",INDIRECT("'"&amp;$A90&amp;"'!$A$12:$Z$12"),0),0)="","?",VLOOKUP(M$1,INDIRECT("'"&amp;$A90&amp;"'!$A$12:$Z$41"),MATCH("Points (Auto-generate)",INDIRECT("'"&amp;$A90&amp;"'!$A$12:$Z$12"),0),0)),"ER"))</f>
        <v>?</v>
      </c>
      <c r="N90" s="78" t="str">
        <f aca="true">IF($H90=0,"NA",IF($A90=INDIRECT("'"&amp;$A90&amp;"'!$B$1"),IF(VLOOKUP(N$1,INDIRECT("'"&amp;$A90&amp;"'!$A$12:$Z$41"),MATCH("Points (Auto-generate)",INDIRECT("'"&amp;$A90&amp;"'!$A$12:$Z$12"),0),0)="","?",VLOOKUP(N$1,INDIRECT("'"&amp;$A90&amp;"'!$A$12:$Z$41"),MATCH("Points (Auto-generate)",INDIRECT("'"&amp;$A90&amp;"'!$A$12:$Z$12"),0),0)),"ER"))</f>
        <v>?</v>
      </c>
      <c r="O90" s="78" t="str">
        <f aca="true">IF($H90=0,"NA",IF($A90=INDIRECT("'"&amp;$A90&amp;"'!$B$1"),IF(VLOOKUP(O$1,INDIRECT("'"&amp;$A90&amp;"'!$A$12:$Z$41"),MATCH("Points (Auto-generate)",INDIRECT("'"&amp;$A90&amp;"'!$A$12:$Z$12"),0),0)="","?",VLOOKUP(O$1,INDIRECT("'"&amp;$A90&amp;"'!$A$12:$Z$41"),MATCH("Points (Auto-generate)",INDIRECT("'"&amp;$A90&amp;"'!$A$12:$Z$12"),0),0)),"ER"))</f>
        <v>?</v>
      </c>
      <c r="P90" s="78" t="str">
        <f aca="true">IF($H90=0,"NA",IF($A90=INDIRECT("'"&amp;$A90&amp;"'!$B$1"),IF(VLOOKUP(P$1,INDIRECT("'"&amp;$A90&amp;"'!$A$12:$Z$41"),MATCH("Points (Auto-generate)",INDIRECT("'"&amp;$A90&amp;"'!$A$12:$Z$12"),0),0)="","?",VLOOKUP(P$1,INDIRECT("'"&amp;$A90&amp;"'!$A$12:$Z$41"),MATCH("Points (Auto-generate)",INDIRECT("'"&amp;$A90&amp;"'!$A$12:$Z$12"),0),0)),"ER"))</f>
        <v>?</v>
      </c>
      <c r="Q90" s="78" t="str">
        <f aca="true">IF($H90=0,"NA",IF($A90=INDIRECT("'"&amp;$A90&amp;"'!$B$1"),IF(VLOOKUP(Q$1,INDIRECT("'"&amp;$A90&amp;"'!$A$12:$Z$41"),MATCH("Points (Auto-generate)",INDIRECT("'"&amp;$A90&amp;"'!$A$12:$Z$12"),0),0)="","?",VLOOKUP(Q$1,INDIRECT("'"&amp;$A90&amp;"'!$A$12:$Z$41"),MATCH("Points (Auto-generate)",INDIRECT("'"&amp;$A90&amp;"'!$A$12:$Z$12"),0),0)),"ER"))</f>
        <v>?</v>
      </c>
      <c r="R90" s="78" t="str">
        <f aca="true">IF($H90=0,"NA",IF($A90=INDIRECT("'"&amp;$A90&amp;"'!$B$1"),IF(VLOOKUP(R$1,INDIRECT("'"&amp;$A90&amp;"'!$A$12:$Z$41"),MATCH("Points (Auto-generate)",INDIRECT("'"&amp;$A90&amp;"'!$A$12:$Z$12"),0),0)="","?",VLOOKUP(R$1,INDIRECT("'"&amp;$A90&amp;"'!$A$12:$Z$41"),MATCH("Points (Auto-generate)",INDIRECT("'"&amp;$A90&amp;"'!$A$12:$Z$12"),0),0)),"ER"))</f>
        <v>?</v>
      </c>
      <c r="S90" s="78" t="str">
        <f aca="true">IF($H90=0,"NA",IF($A90=INDIRECT("'"&amp;$A90&amp;"'!$B$1"),IF(VLOOKUP(S$1,INDIRECT("'"&amp;$A90&amp;"'!$A$12:$Z$41"),MATCH("Points (Auto-generate)",INDIRECT("'"&amp;$A90&amp;"'!$A$12:$Z$12"),0),0)="","?",VLOOKUP(S$1,INDIRECT("'"&amp;$A90&amp;"'!$A$12:$Z$41"),MATCH("Points (Auto-generate)",INDIRECT("'"&amp;$A90&amp;"'!$A$12:$Z$12"),0),0)),"ER"))</f>
        <v>?</v>
      </c>
      <c r="T90" s="78" t="str">
        <f aca="true">IF($H90=0,"NA",IF($A90=INDIRECT("'"&amp;$A90&amp;"'!$B$1"),IF(VLOOKUP(T$1,INDIRECT("'"&amp;$A90&amp;"'!$A$12:$Z$41"),MATCH("Points (Auto-generate)",INDIRECT("'"&amp;$A90&amp;"'!$A$12:$Z$12"),0),0)="","?",VLOOKUP(T$1,INDIRECT("'"&amp;$A90&amp;"'!$A$12:$Z$41"),MATCH("Points (Auto-generate)",INDIRECT("'"&amp;$A90&amp;"'!$A$12:$Z$12"),0),0)),"ER"))</f>
        <v>?</v>
      </c>
      <c r="U90" s="78" t="str">
        <f aca="true">IF($H90=0,"NA",IF($A90=INDIRECT("'"&amp;$A90&amp;"'!$B$1"),IF(VLOOKUP(U$1,INDIRECT("'"&amp;$A90&amp;"'!$A$12:$Z$41"),MATCH("Points (Auto-generate)",INDIRECT("'"&amp;$A90&amp;"'!$A$12:$Z$12"),0),0)="","?",VLOOKUP(U$1,INDIRECT("'"&amp;$A90&amp;"'!$A$12:$Z$41"),MATCH("Points (Auto-generate)",INDIRECT("'"&amp;$A90&amp;"'!$A$12:$Z$12"),0),0)),"ER"))</f>
        <v>?</v>
      </c>
      <c r="V90" s="78" t="str">
        <f aca="true">IF($H90=0,"NA",IF($A90=INDIRECT("'"&amp;$A90&amp;"'!$B$1"),IF(VLOOKUP(V$1,INDIRECT("'"&amp;$A90&amp;"'!$A$12:$Z$41"),MATCH("Points (Auto-generate)",INDIRECT("'"&amp;$A90&amp;"'!$A$12:$Z$12"),0),0)="","?",VLOOKUP(V$1,INDIRECT("'"&amp;$A90&amp;"'!$A$12:$Z$41"),MATCH("Points (Auto-generate)",INDIRECT("'"&amp;$A90&amp;"'!$A$12:$Z$12"),0),0)),"ER"))</f>
        <v>?</v>
      </c>
      <c r="W90" s="78" t="str">
        <f aca="true">IF($H90=0,"NA",IF($A90=INDIRECT("'"&amp;$A90&amp;"'!$B$1"),IF(VLOOKUP(W$1,INDIRECT("'"&amp;$A90&amp;"'!$A$12:$Z$41"),MATCH("Points (Auto-generate)",INDIRECT("'"&amp;$A90&amp;"'!$A$12:$Z$12"),0),0)="","?",VLOOKUP(W$1,INDIRECT("'"&amp;$A90&amp;"'!$A$12:$Z$41"),MATCH("Points (Auto-generate)",INDIRECT("'"&amp;$A90&amp;"'!$A$12:$Z$12"),0),0)),"ER"))</f>
        <v>?</v>
      </c>
      <c r="X90" s="78" t="str">
        <f aca="true">IF($H90=0,"NA",IF($A90=INDIRECT("'"&amp;$A90&amp;"'!$B$1"),IF(VLOOKUP(X$1,INDIRECT("'"&amp;$A90&amp;"'!$A$12:$Z$41"),MATCH("Points (Auto-generate)",INDIRECT("'"&amp;$A90&amp;"'!$A$12:$Z$12"),0),0)="","?",VLOOKUP(X$1,INDIRECT("'"&amp;$A90&amp;"'!$A$12:$Z$41"),MATCH("Points (Auto-generate)",INDIRECT("'"&amp;$A90&amp;"'!$A$12:$Z$12"),0),0)),"ER"))</f>
        <v>?</v>
      </c>
      <c r="Y90" s="78" t="str">
        <f aca="true">IF($H90=0,"NA",IF($A90=INDIRECT("'"&amp;$A90&amp;"'!$B$1"),IF(VLOOKUP(Y$1,INDIRECT("'"&amp;$A90&amp;"'!$A$12:$Z$41"),MATCH("Points (Auto-generate)",INDIRECT("'"&amp;$A90&amp;"'!$A$12:$Z$12"),0),0)="","?",VLOOKUP(Y$1,INDIRECT("'"&amp;$A90&amp;"'!$A$12:$Z$41"),MATCH("Points (Auto-generate)",INDIRECT("'"&amp;$A90&amp;"'!$A$12:$Z$12"),0),0)),"ER"))</f>
        <v>?</v>
      </c>
      <c r="Z90" s="78" t="str">
        <f aca="true">IF($H90=0,"NA",IF($A90=INDIRECT("'"&amp;$A90&amp;"'!$B$1"),IF(VLOOKUP(Z$1,INDIRECT("'"&amp;$A90&amp;"'!$A$12:$Z$41"),MATCH("Points (Auto-generate)",INDIRECT("'"&amp;$A90&amp;"'!$A$12:$Z$12"),0),0)="","?",VLOOKUP(Z$1,INDIRECT("'"&amp;$A90&amp;"'!$A$12:$Z$41"),MATCH("Points (Auto-generate)",INDIRECT("'"&amp;$A90&amp;"'!$A$12:$Z$12"),0),0)),"ER"))</f>
        <v>?</v>
      </c>
      <c r="AA90" s="78" t="str">
        <f aca="true">IF($H90=0,"NA",IF($A90=INDIRECT("'"&amp;$A90&amp;"'!$B$1"),IF(VLOOKUP(AA$1,INDIRECT("'"&amp;$A90&amp;"'!$A$12:$Z$41"),MATCH("Points (Auto-generate)",INDIRECT("'"&amp;$A90&amp;"'!$A$12:$Z$12"),0),0)="","?",VLOOKUP(AA$1,INDIRECT("'"&amp;$A90&amp;"'!$A$12:$Z$41"),MATCH("Points (Auto-generate)",INDIRECT("'"&amp;$A90&amp;"'!$A$12:$Z$12"),0),0)),"ER"))</f>
        <v>?</v>
      </c>
      <c r="AB90" s="78" t="str">
        <f aca="true">IF($H90=0,"NA",IF($A90=INDIRECT("'"&amp;$A90&amp;"'!$B$1"),IF(VLOOKUP(AB$1,INDIRECT("'"&amp;$A90&amp;"'!$A$12:$Z$41"),MATCH("Points (Auto-generate)",INDIRECT("'"&amp;$A90&amp;"'!$A$12:$Z$12"),0),0)="","?",VLOOKUP(AB$1,INDIRECT("'"&amp;$A90&amp;"'!$A$12:$Z$41"),MATCH("Points (Auto-generate)",INDIRECT("'"&amp;$A90&amp;"'!$A$12:$Z$12"),0),0)),"ER"))</f>
        <v>?</v>
      </c>
      <c r="AC90" s="78" t="str">
        <f aca="true">IF($H90=0,"NA",IF($A90=INDIRECT("'"&amp;$A90&amp;"'!$B$1"),IF(VLOOKUP(AC$1,INDIRECT("'"&amp;$A90&amp;"'!$A$12:$Z$41"),MATCH("Points (Auto-generate)",INDIRECT("'"&amp;$A90&amp;"'!$A$12:$Z$12"),0),0)="","?",VLOOKUP(AC$1,INDIRECT("'"&amp;$A90&amp;"'!$A$12:$Z$41"),MATCH("Points (Auto-generate)",INDIRECT("'"&amp;$A90&amp;"'!$A$12:$Z$12"),0),0)),"ER"))</f>
        <v>?</v>
      </c>
      <c r="AD90" s="78" t="str">
        <f aca="true">IF($H90=0,"NA",IF($A90=INDIRECT("'"&amp;$A90&amp;"'!$B$1"),IF(VLOOKUP(AD$1,INDIRECT("'"&amp;$A90&amp;"'!$A$12:$Z$41"),MATCH("Points (Auto-generate)",INDIRECT("'"&amp;$A90&amp;"'!$A$12:$Z$12"),0),0)="","?",VLOOKUP(AD$1,INDIRECT("'"&amp;$A90&amp;"'!$A$12:$Z$41"),MATCH("Points (Auto-generate)",INDIRECT("'"&amp;$A90&amp;"'!$A$12:$Z$12"),0),0)),"ER"))</f>
        <v>?</v>
      </c>
      <c r="AE90" s="78" t="str">
        <f aca="true">IF($H90=0,"NA",IF($A90=INDIRECT("'"&amp;$A90&amp;"'!$B$1"),IF(VLOOKUP(AE$1,INDIRECT("'"&amp;$A90&amp;"'!$A$12:$Z$41"),MATCH("Points (Auto-generate)",INDIRECT("'"&amp;$A90&amp;"'!$A$12:$Z$12"),0),0)="","?",VLOOKUP(AE$1,INDIRECT("'"&amp;$A90&amp;"'!$A$12:$Z$41"),MATCH("Points (Auto-generate)",INDIRECT("'"&amp;$A90&amp;"'!$A$12:$Z$12"),0),0)),"ER"))</f>
        <v>?</v>
      </c>
      <c r="AF90" s="78" t="str">
        <f aca="true">IF($H90=0,"NA",IF($A90=INDIRECT("'"&amp;$A90&amp;"'!$B$1"),IF(VLOOKUP(AF$1,INDIRECT("'"&amp;$A90&amp;"'!$A$12:$Z$41"),MATCH("Points (Auto-generate)",INDIRECT("'"&amp;$A90&amp;"'!$A$12:$Z$12"),0),0)="","?",VLOOKUP(AF$1,INDIRECT("'"&amp;$A90&amp;"'!$A$12:$Z$41"),MATCH("Points (Auto-generate)",INDIRECT("'"&amp;$A90&amp;"'!$A$12:$Z$12"),0),0)),"ER"))</f>
        <v>?</v>
      </c>
      <c r="AG90" s="78" t="str">
        <f aca="true">IF($H90=0,"NA",IF($A90=INDIRECT("'"&amp;$A90&amp;"'!$B$1"),IF(VLOOKUP(AG$1,INDIRECT("'"&amp;$A90&amp;"'!$A$12:$Z$41"),MATCH("Points (Auto-generate)",INDIRECT("'"&amp;$A90&amp;"'!$A$12:$Z$12"),0),0)="","?",VLOOKUP(AG$1,INDIRECT("'"&amp;$A90&amp;"'!$A$12:$Z$41"),MATCH("Points (Auto-generate)",INDIRECT("'"&amp;$A90&amp;"'!$A$12:$Z$12"),0),0)),"ER"))</f>
        <v>?</v>
      </c>
      <c r="AH90" s="78" t="str">
        <f aca="true">IF($H90=0,"NA",IF($A90=INDIRECT("'"&amp;$A90&amp;"'!$B$1"),IF(VLOOKUP(AH$1,INDIRECT("'"&amp;$A90&amp;"'!$A$12:$Z$41"),MATCH("Points (Auto-generate)",INDIRECT("'"&amp;$A90&amp;"'!$A$12:$Z$12"),0),0)="","?",VLOOKUP(AH$1,INDIRECT("'"&amp;$A90&amp;"'!$A$12:$Z$41"),MATCH("Points (Auto-generate)",INDIRECT("'"&amp;$A90&amp;"'!$A$12:$Z$12"),0),0)),"ER"))</f>
        <v>?</v>
      </c>
      <c r="AI90" s="78" t="str">
        <f aca="true">IF($H90=0,"NA",IF($A90=INDIRECT("'"&amp;$A90&amp;"'!$B$1"),IF(VLOOKUP(AI$1,INDIRECT("'"&amp;$A90&amp;"'!$A$12:$Z$41"),MATCH("Points (Auto-generate)",INDIRECT("'"&amp;$A90&amp;"'!$A$12:$Z$12"),0),0)="","?",VLOOKUP(AI$1,INDIRECT("'"&amp;$A90&amp;"'!$A$12:$Z$41"),MATCH("Points (Auto-generate)",INDIRECT("'"&amp;$A90&amp;"'!$A$12:$Z$12"),0),0)),"ER"))</f>
        <v>?</v>
      </c>
      <c r="AJ90" s="78" t="str">
        <f aca="true">IF($H90=0,"NA",IF($A90=INDIRECT("'"&amp;$A90&amp;"'!$B$1"),IF(VLOOKUP(AJ$1,INDIRECT("'"&amp;$A90&amp;"'!$A$12:$Z$41"),MATCH("Points (Auto-generate)",INDIRECT("'"&amp;$A90&amp;"'!$A$12:$Z$12"),0),0)="","?",VLOOKUP(AJ$1,INDIRECT("'"&amp;$A90&amp;"'!$A$12:$Z$41"),MATCH("Points (Auto-generate)",INDIRECT("'"&amp;$A90&amp;"'!$A$12:$Z$12"),0),0)),"ER"))</f>
        <v>?</v>
      </c>
      <c r="AK90" s="78" t="str">
        <f aca="true">IF($H90=0,"NA",IF($A90=INDIRECT("'"&amp;$A90&amp;"'!$B$1"),IF(VLOOKUP(AK$1,INDIRECT("'"&amp;$A90&amp;"'!$A$12:$Z$41"),MATCH("Points (Auto-generate)",INDIRECT("'"&amp;$A90&amp;"'!$A$12:$Z$12"),0),0)="","?",VLOOKUP(AK$1,INDIRECT("'"&amp;$A90&amp;"'!$A$12:$Z$41"),MATCH("Points (Auto-generate)",INDIRECT("'"&amp;$A90&amp;"'!$A$12:$Z$12"),0),0)),"ER"))</f>
        <v>?</v>
      </c>
    </row>
    <row r="91" customFormat="false" ht="14.25" hidden="false" customHeight="true" outlineLevel="0" collapsed="false">
      <c r="A91" s="74" t="s">
        <v>408</v>
      </c>
      <c r="B91" s="75" t="str">
        <f aca="false">IF(ISBLANK($A91),"NO_CODE",VLOOKUP($A91,'UPD Questions_290926 '!$E$1:$N$300,MATCH(B$1,'UPD Questions_290926 '!$E$1:$N$1,0),0)&amp;"")</f>
        <v>Implementation</v>
      </c>
      <c r="C91" s="75" t="str">
        <f aca="false">IF(ISBLANK($A91),"NO_CODE",VLOOKUP($A91,'UPD Questions_290926 '!$E$1:$N$300,MATCH(C$1,'UPD Questions_290926 '!$E$1:$N$1,0),0)&amp;"")</f>
        <v>Development Control Regulations and land-management instruments</v>
      </c>
      <c r="D91" s="75" t="str">
        <f aca="false">IF(ISBLANK($A91),"NO_CODE",VLOOKUP($A91,'UPD Questions_290926 '!$E$1:$N$300,MATCH(D$1,'UPD Questions_290926 '!$E$1:$N$1,0),0)&amp;"")</f>
        <v>DCR revision and public consultation</v>
      </c>
      <c r="E91" s="75" t="str">
        <f aca="false">IF(ISBLANK($A91),"NO_CODE",VLOOKUP($A91,'UPD Questions_290926 '!$E$1:$N$300,MATCH(E$1,'UPD Questions_290926 '!$E$1:$N$1,0),0)&amp;"")</f>
        <v>MQ</v>
      </c>
      <c r="F91" s="75" t="str">
        <f aca="false">IF(ISBLANK($A91),"NO_CODE",VLOOKUP($A91,'UPD Questions_290926 '!$E$1:$N$300,MATCH(F$1,'UPD Questions_290926 '!$E$1:$N$1,0),0)&amp;"")</f>
        <v>Does the city’s DCR provide development controls, standards or incentives that enable positive economic, environmental, public health, heritage, and inclusion outcomes?</v>
      </c>
      <c r="G91" s="75" t="str">
        <f aca="false">IF(ISBLANK($A91),"NO_CODE",VLOOKUP($A91,'UPD Questions_290926 '!$E$1:$N$300,MATCH(G$1,'UPD Questions_290926 '!$E$1:$N$1,0),0)&amp;"")</f>
        <v>Law or Policy</v>
      </c>
      <c r="H91" s="77" t="n">
        <f aca="false">IF(ISBLANK($A91),"NO_CODE",VLOOKUP($A91,'UPD Questions_290926 '!$E$1:$N$300,MATCH(H$1,'UPD Questions_290926 '!$E$1:$N$1,0),0))</f>
        <v>10</v>
      </c>
      <c r="I91" s="78" t="str">
        <f aca="false">IF(OR(I92="ER",I93="ER",I94="ER",I95="ER",I96="ER"),"ER",IF(OR(I92="?",I93="?",I94="?",I95="?",I96="?"),"?",IF(AND(I92="NA",I93="NA",I94="NA",I95="NA",I96="NA"),"NA",SUM(I92,I93,I94,I95,I96)/((I92&lt;&gt;"NA")*$H$92+(I93&lt;&gt;"NA")*$H$93+(I94&lt;&gt;"NA")*$H$94+(I95&lt;&gt;"NA")*$H$95+(I96&lt;&gt;"NA")*$H$96)*$H91)))</f>
        <v>?</v>
      </c>
      <c r="J91" s="78" t="n">
        <f aca="false">IF(OR(J92="ER",J93="ER",J94="ER",J95="ER",J96="ER"),"ER",IF(OR(J92="?",J93="?",J94="?",J95="?",J96="?"),"?",IF(AND(J92="NA",J93="NA",J94="NA",J95="NA",J96="NA"),"NA",SUM(J92,J93,J94,J95,J96)/((J92&lt;&gt;"NA")*$H$92+(J93&lt;&gt;"NA")*$H$93+(J94&lt;&gt;"NA")*$H$94+(J95&lt;&gt;"NA")*$H$95+(J96&lt;&gt;"NA")*$H$96)*$H91)))</f>
        <v>0</v>
      </c>
      <c r="K91" s="78" t="str">
        <f aca="false">IF(OR(K92="ER",K93="ER",K94="ER",K95="ER",K96="ER"),"ER",IF(OR(K92="?",K93="?",K94="?",K95="?",K96="?"),"?",IF(AND(K92="NA",K93="NA",K94="NA",K95="NA",K96="NA"),"NA",SUM(K92,K93,K94,K95,K96)/((K92&lt;&gt;"NA")*$H$92+(K93&lt;&gt;"NA")*$H$93+(K94&lt;&gt;"NA")*$H$94+(K95&lt;&gt;"NA")*$H$95+(K96&lt;&gt;"NA")*$H$96)*$H91)))</f>
        <v>?</v>
      </c>
      <c r="L91" s="78" t="str">
        <f aca="false">IF(OR(L92="ER",L93="ER",L94="ER",L95="ER",L96="ER"),"ER",IF(OR(L92="?",L93="?",L94="?",L95="?",L96="?"),"?",IF(AND(L92="NA",L93="NA",L94="NA",L95="NA",L96="NA"),"NA",SUM(L92,L93,L94,L95,L96)/((L92&lt;&gt;"NA")*$H$92+(L93&lt;&gt;"NA")*$H$93+(L94&lt;&gt;"NA")*$H$94+(L95&lt;&gt;"NA")*$H$95+(L96&lt;&gt;"NA")*$H$96)*$H91)))</f>
        <v>?</v>
      </c>
      <c r="M91" s="78" t="str">
        <f aca="false">IF(OR(M92="ER",M93="ER",M94="ER",M95="ER",M96="ER"),"ER",IF(OR(M92="?",M93="?",M94="?",M95="?",M96="?"),"?",IF(AND(M92="NA",M93="NA",M94="NA",M95="NA",M96="NA"),"NA",SUM(M92,M93,M94,M95,M96)/((M92&lt;&gt;"NA")*$H$92+(M93&lt;&gt;"NA")*$H$93+(M94&lt;&gt;"NA")*$H$94+(M95&lt;&gt;"NA")*$H$95+(M96&lt;&gt;"NA")*$H$96)*$H91)))</f>
        <v>?</v>
      </c>
      <c r="N91" s="78" t="str">
        <f aca="false">IF(OR(N92="ER",N93="ER",N94="ER",N95="ER",N96="ER"),"ER",IF(OR(N92="?",N93="?",N94="?",N95="?",N96="?"),"?",IF(AND(N92="NA",N93="NA",N94="NA",N95="NA",N96="NA"),"NA",SUM(N92,N93,N94,N95,N96)/((N92&lt;&gt;"NA")*$H$92+(N93&lt;&gt;"NA")*$H$93+(N94&lt;&gt;"NA")*$H$94+(N95&lt;&gt;"NA")*$H$95+(N96&lt;&gt;"NA")*$H$96)*$H91)))</f>
        <v>?</v>
      </c>
      <c r="O91" s="78" t="str">
        <f aca="false">IF(OR(O92="ER",O93="ER",O94="ER",O95="ER",O96="ER"),"ER",IF(OR(O92="?",O93="?",O94="?",O95="?",O96="?"),"?",IF(AND(O92="NA",O93="NA",O94="NA",O95="NA",O96="NA"),"NA",SUM(O92,O93,O94,O95,O96)/((O92&lt;&gt;"NA")*$H$92+(O93&lt;&gt;"NA")*$H$93+(O94&lt;&gt;"NA")*$H$94+(O95&lt;&gt;"NA")*$H$95+(O96&lt;&gt;"NA")*$H$96)*$H91)))</f>
        <v>?</v>
      </c>
      <c r="P91" s="78" t="str">
        <f aca="false">IF(OR(P92="ER",P93="ER",P94="ER",P95="ER",P96="ER"),"ER",IF(OR(P92="?",P93="?",P94="?",P95="?",P96="?"),"?",IF(AND(P92="NA",P93="NA",P94="NA",P95="NA",P96="NA"),"NA",SUM(P92,P93,P94,P95,P96)/((P92&lt;&gt;"NA")*$H$92+(P93&lt;&gt;"NA")*$H$93+(P94&lt;&gt;"NA")*$H$94+(P95&lt;&gt;"NA")*$H$95+(P96&lt;&gt;"NA")*$H$96)*$H91)))</f>
        <v>?</v>
      </c>
      <c r="Q91" s="78" t="str">
        <f aca="false">IF(OR(Q92="ER",Q93="ER",Q94="ER",Q95="ER",Q96="ER"),"ER",IF(OR(Q92="?",Q93="?",Q94="?",Q95="?",Q96="?"),"?",IF(AND(Q92="NA",Q93="NA",Q94="NA",Q95="NA",Q96="NA"),"NA",SUM(Q92,Q93,Q94,Q95,Q96)/((Q92&lt;&gt;"NA")*$H$92+(Q93&lt;&gt;"NA")*$H$93+(Q94&lt;&gt;"NA")*$H$94+(Q95&lt;&gt;"NA")*$H$95+(Q96&lt;&gt;"NA")*$H$96)*$H91)))</f>
        <v>?</v>
      </c>
      <c r="R91" s="78" t="str">
        <f aca="false">IF(OR(R92="ER",R93="ER",R94="ER",R95="ER",R96="ER"),"ER",IF(OR(R92="?",R93="?",R94="?",R95="?",R96="?"),"?",IF(AND(R92="NA",R93="NA",R94="NA",R95="NA",R96="NA"),"NA",SUM(R92,R93,R94,R95,R96)/((R92&lt;&gt;"NA")*$H$92+(R93&lt;&gt;"NA")*$H$93+(R94&lt;&gt;"NA")*$H$94+(R95&lt;&gt;"NA")*$H$95+(R96&lt;&gt;"NA")*$H$96)*$H91)))</f>
        <v>?</v>
      </c>
      <c r="S91" s="78" t="str">
        <f aca="false">IF(OR(S92="ER",S93="ER",S94="ER",S95="ER",S96="ER"),"ER",IF(OR(S92="?",S93="?",S94="?",S95="?",S96="?"),"?",IF(AND(S92="NA",S93="NA",S94="NA",S95="NA",S96="NA"),"NA",SUM(S92,S93,S94,S95,S96)/((S92&lt;&gt;"NA")*$H$92+(S93&lt;&gt;"NA")*$H$93+(S94&lt;&gt;"NA")*$H$94+(S95&lt;&gt;"NA")*$H$95+(S96&lt;&gt;"NA")*$H$96)*$H91)))</f>
        <v>?</v>
      </c>
      <c r="T91" s="78" t="str">
        <f aca="false">IF(OR(T92="ER",T93="ER",T94="ER",T95="ER",T96="ER"),"ER",IF(OR(T92="?",T93="?",T94="?",T95="?",T96="?"),"?",IF(AND(T92="NA",T93="NA",T94="NA",T95="NA",T96="NA"),"NA",SUM(T92,T93,T94,T95,T96)/((T92&lt;&gt;"NA")*$H$92+(T93&lt;&gt;"NA")*$H$93+(T94&lt;&gt;"NA")*$H$94+(T95&lt;&gt;"NA")*$H$95+(T96&lt;&gt;"NA")*$H$96)*$H91)))</f>
        <v>?</v>
      </c>
      <c r="U91" s="78" t="str">
        <f aca="false">IF(OR(U92="ER",U93="ER",U94="ER",U95="ER",U96="ER"),"ER",IF(OR(U92="?",U93="?",U94="?",U95="?",U96="?"),"?",IF(AND(U92="NA",U93="NA",U94="NA",U95="NA",U96="NA"),"NA",SUM(U92,U93,U94,U95,U96)/((U92&lt;&gt;"NA")*$H$92+(U93&lt;&gt;"NA")*$H$93+(U94&lt;&gt;"NA")*$H$94+(U95&lt;&gt;"NA")*$H$95+(U96&lt;&gt;"NA")*$H$96)*$H91)))</f>
        <v>?</v>
      </c>
      <c r="V91" s="78" t="str">
        <f aca="false">IF(OR(V92="ER",V93="ER",V94="ER",V95="ER",V96="ER"),"ER",IF(OR(V92="?",V93="?",V94="?",V95="?",V96="?"),"?",IF(AND(V92="NA",V93="NA",V94="NA",V95="NA",V96="NA"),"NA",SUM(V92,V93,V94,V95,V96)/((V92&lt;&gt;"NA")*$H$92+(V93&lt;&gt;"NA")*$H$93+(V94&lt;&gt;"NA")*$H$94+(V95&lt;&gt;"NA")*$H$95+(V96&lt;&gt;"NA")*$H$96)*$H91)))</f>
        <v>?</v>
      </c>
      <c r="W91" s="78" t="str">
        <f aca="false">IF(OR(W92="ER",W93="ER",W94="ER",W95="ER",W96="ER"),"ER",IF(OR(W92="?",W93="?",W94="?",W95="?",W96="?"),"?",IF(AND(W92="NA",W93="NA",W94="NA",W95="NA",W96="NA"),"NA",SUM(W92,W93,W94,W95,W96)/((W92&lt;&gt;"NA")*$H$92+(W93&lt;&gt;"NA")*$H$93+(W94&lt;&gt;"NA")*$H$94+(W95&lt;&gt;"NA")*$H$95+(W96&lt;&gt;"NA")*$H$96)*$H91)))</f>
        <v>?</v>
      </c>
      <c r="X91" s="78" t="str">
        <f aca="false">IF(OR(X92="ER",X93="ER",X94="ER",X95="ER",X96="ER"),"ER",IF(OR(X92="?",X93="?",X94="?",X95="?",X96="?"),"?",IF(AND(X92="NA",X93="NA",X94="NA",X95="NA",X96="NA"),"NA",SUM(X92,X93,X94,X95,X96)/((X92&lt;&gt;"NA")*$H$92+(X93&lt;&gt;"NA")*$H$93+(X94&lt;&gt;"NA")*$H$94+(X95&lt;&gt;"NA")*$H$95+(X96&lt;&gt;"NA")*$H$96)*$H91)))</f>
        <v>?</v>
      </c>
      <c r="Y91" s="78" t="str">
        <f aca="false">IF(OR(Y92="ER",Y93="ER",Y94="ER",Y95="ER",Y96="ER"),"ER",IF(OR(Y92="?",Y93="?",Y94="?",Y95="?",Y96="?"),"?",IF(AND(Y92="NA",Y93="NA",Y94="NA",Y95="NA",Y96="NA"),"NA",SUM(Y92,Y93,Y94,Y95,Y96)/((Y92&lt;&gt;"NA")*$H$92+(Y93&lt;&gt;"NA")*$H$93+(Y94&lt;&gt;"NA")*$H$94+(Y95&lt;&gt;"NA")*$H$95+(Y96&lt;&gt;"NA")*$H$96)*$H91)))</f>
        <v>?</v>
      </c>
      <c r="Z91" s="78" t="str">
        <f aca="false">IF(OR(Z92="ER",Z93="ER",Z94="ER",Z95="ER",Z96="ER"),"ER",IF(OR(Z92="?",Z93="?",Z94="?",Z95="?",Z96="?"),"?",IF(AND(Z92="NA",Z93="NA",Z94="NA",Z95="NA",Z96="NA"),"NA",SUM(Z92,Z93,Z94,Z95,Z96)/((Z92&lt;&gt;"NA")*$H$92+(Z93&lt;&gt;"NA")*$H$93+(Z94&lt;&gt;"NA")*$H$94+(Z95&lt;&gt;"NA")*$H$95+(Z96&lt;&gt;"NA")*$H$96)*$H91)))</f>
        <v>?</v>
      </c>
      <c r="AA91" s="78" t="str">
        <f aca="false">IF(OR(AA92="ER",AA93="ER",AA94="ER",AA95="ER",AA96="ER"),"ER",IF(OR(AA92="?",AA93="?",AA94="?",AA95="?",AA96="?"),"?",IF(AND(AA92="NA",AA93="NA",AA94="NA",AA95="NA",AA96="NA"),"NA",SUM(AA92,AA93,AA94,AA95,AA96)/((AA92&lt;&gt;"NA")*$H$92+(AA93&lt;&gt;"NA")*$H$93+(AA94&lt;&gt;"NA")*$H$94+(AA95&lt;&gt;"NA")*$H$95+(AA96&lt;&gt;"NA")*$H$96)*$H91)))</f>
        <v>?</v>
      </c>
      <c r="AB91" s="78" t="str">
        <f aca="false">IF(OR(AB92="ER",AB93="ER",AB94="ER",AB95="ER",AB96="ER"),"ER",IF(OR(AB92="?",AB93="?",AB94="?",AB95="?",AB96="?"),"?",IF(AND(AB92="NA",AB93="NA",AB94="NA",AB95="NA",AB96="NA"),"NA",SUM(AB92,AB93,AB94,AB95,AB96)/((AB92&lt;&gt;"NA")*$H$92+(AB93&lt;&gt;"NA")*$H$93+(AB94&lt;&gt;"NA")*$H$94+(AB95&lt;&gt;"NA")*$H$95+(AB96&lt;&gt;"NA")*$H$96)*$H91)))</f>
        <v>?</v>
      </c>
      <c r="AC91" s="78" t="str">
        <f aca="false">IF(OR(AC92="ER",AC93="ER",AC94="ER",AC95="ER",AC96="ER"),"ER",IF(OR(AC92="?",AC93="?",AC94="?",AC95="?",AC96="?"),"?",IF(AND(AC92="NA",AC93="NA",AC94="NA",AC95="NA",AC96="NA"),"NA",SUM(AC92,AC93,AC94,AC95,AC96)/((AC92&lt;&gt;"NA")*$H$92+(AC93&lt;&gt;"NA")*$H$93+(AC94&lt;&gt;"NA")*$H$94+(AC95&lt;&gt;"NA")*$H$95+(AC96&lt;&gt;"NA")*$H$96)*$H91)))</f>
        <v>?</v>
      </c>
      <c r="AD91" s="78" t="str">
        <f aca="false">IF(OR(AD92="ER",AD93="ER",AD94="ER",AD95="ER",AD96="ER"),"ER",IF(OR(AD92="?",AD93="?",AD94="?",AD95="?",AD96="?"),"?",IF(AND(AD92="NA",AD93="NA",AD94="NA",AD95="NA",AD96="NA"),"NA",SUM(AD92,AD93,AD94,AD95,AD96)/((AD92&lt;&gt;"NA")*$H$92+(AD93&lt;&gt;"NA")*$H$93+(AD94&lt;&gt;"NA")*$H$94+(AD95&lt;&gt;"NA")*$H$95+(AD96&lt;&gt;"NA")*$H$96)*$H91)))</f>
        <v>?</v>
      </c>
      <c r="AE91" s="78" t="str">
        <f aca="false">IF(OR(AE92="ER",AE93="ER",AE94="ER",AE95="ER",AE96="ER"),"ER",IF(OR(AE92="?",AE93="?",AE94="?",AE95="?",AE96="?"),"?",IF(AND(AE92="NA",AE93="NA",AE94="NA",AE95="NA",AE96="NA"),"NA",SUM(AE92,AE93,AE94,AE95,AE96)/((AE92&lt;&gt;"NA")*$H$92+(AE93&lt;&gt;"NA")*$H$93+(AE94&lt;&gt;"NA")*$H$94+(AE95&lt;&gt;"NA")*$H$95+(AE96&lt;&gt;"NA")*$H$96)*$H91)))</f>
        <v>?</v>
      </c>
      <c r="AF91" s="78" t="str">
        <f aca="false">IF(OR(AF92="ER",AF93="ER",AF94="ER",AF95="ER",AF96="ER"),"ER",IF(OR(AF92="?",AF93="?",AF94="?",AF95="?",AF96="?"),"?",IF(AND(AF92="NA",AF93="NA",AF94="NA",AF95="NA",AF96="NA"),"NA",SUM(AF92,AF93,AF94,AF95,AF96)/((AF92&lt;&gt;"NA")*$H$92+(AF93&lt;&gt;"NA")*$H$93+(AF94&lt;&gt;"NA")*$H$94+(AF95&lt;&gt;"NA")*$H$95+(AF96&lt;&gt;"NA")*$H$96)*$H91)))</f>
        <v>?</v>
      </c>
      <c r="AG91" s="78" t="str">
        <f aca="false">IF(OR(AG92="ER",AG93="ER",AG94="ER",AG95="ER",AG96="ER"),"ER",IF(OR(AG92="?",AG93="?",AG94="?",AG95="?",AG96="?"),"?",IF(AND(AG92="NA",AG93="NA",AG94="NA",AG95="NA",AG96="NA"),"NA",SUM(AG92,AG93,AG94,AG95,AG96)/((AG92&lt;&gt;"NA")*$H$92+(AG93&lt;&gt;"NA")*$H$93+(AG94&lt;&gt;"NA")*$H$94+(AG95&lt;&gt;"NA")*$H$95+(AG96&lt;&gt;"NA")*$H$96)*$H91)))</f>
        <v>?</v>
      </c>
      <c r="AH91" s="78" t="str">
        <f aca="false">IF(OR(AH92="ER",AH93="ER",AH94="ER",AH95="ER",AH96="ER"),"ER",IF(OR(AH92="?",AH93="?",AH94="?",AH95="?",AH96="?"),"?",IF(AND(AH92="NA",AH93="NA",AH94="NA",AH95="NA",AH96="NA"),"NA",SUM(AH92,AH93,AH94,AH95,AH96)/((AH92&lt;&gt;"NA")*$H$92+(AH93&lt;&gt;"NA")*$H$93+(AH94&lt;&gt;"NA")*$H$94+(AH95&lt;&gt;"NA")*$H$95+(AH96&lt;&gt;"NA")*$H$96)*$H91)))</f>
        <v>?</v>
      </c>
      <c r="AI91" s="78" t="str">
        <f aca="false">IF(OR(AI92="ER",AI93="ER",AI94="ER",AI95="ER",AI96="ER"),"ER",IF(OR(AI92="?",AI93="?",AI94="?",AI95="?",AI96="?"),"?",IF(AND(AI92="NA",AI93="NA",AI94="NA",AI95="NA",AI96="NA"),"NA",SUM(AI92,AI93,AI94,AI95,AI96)/((AI92&lt;&gt;"NA")*$H$92+(AI93&lt;&gt;"NA")*$H$93+(AI94&lt;&gt;"NA")*$H$94+(AI95&lt;&gt;"NA")*$H$95+(AI96&lt;&gt;"NA")*$H$96)*$H91)))</f>
        <v>?</v>
      </c>
      <c r="AJ91" s="78" t="str">
        <f aca="false">IF(OR(AJ92="ER",AJ93="ER",AJ94="ER",AJ95="ER",AJ96="ER"),"ER",IF(OR(AJ92="?",AJ93="?",AJ94="?",AJ95="?",AJ96="?"),"?",IF(AND(AJ92="NA",AJ93="NA",AJ94="NA",AJ95="NA",AJ96="NA"),"NA",SUM(AJ92,AJ93,AJ94,AJ95,AJ96)/((AJ92&lt;&gt;"NA")*$H$92+(AJ93&lt;&gt;"NA")*$H$93+(AJ94&lt;&gt;"NA")*$H$94+(AJ95&lt;&gt;"NA")*$H$95+(AJ96&lt;&gt;"NA")*$H$96)*$H91)))</f>
        <v>?</v>
      </c>
      <c r="AK91" s="78" t="str">
        <f aca="false">IF(OR(AK92="ER",AK93="ER",AK94="ER",AK95="ER",AK96="ER"),"ER",IF(OR(AK92="?",AK93="?",AK94="?",AK95="?",AK96="?"),"?",IF(AND(AK92="NA",AK93="NA",AK94="NA",AK95="NA",AK96="NA"),"NA",SUM(AK92,AK93,AK94,AK95,AK96)/((AK92&lt;&gt;"NA")*$H$92+(AK93&lt;&gt;"NA")*$H$93+(AK94&lt;&gt;"NA")*$H$94+(AK95&lt;&gt;"NA")*$H$95+(AK96&lt;&gt;"NA")*$H$96)*$H91)))</f>
        <v>?</v>
      </c>
    </row>
    <row r="92" customFormat="false" ht="14.25" hidden="false" customHeight="true" outlineLevel="0" collapsed="false">
      <c r="A92" s="74" t="s">
        <v>413</v>
      </c>
      <c r="B92" s="75" t="str">
        <f aca="false">IF(ISBLANK($A92),"NO_CODE",VLOOKUP($A92,'UPD Questions_290926 '!$E$1:$N$300,MATCH(B$1,'UPD Questions_290926 '!$E$1:$N$1,0),0)&amp;"")</f>
        <v>Implementation</v>
      </c>
      <c r="C92" s="75" t="str">
        <f aca="false">IF(ISBLANK($A92),"NO_CODE",VLOOKUP($A92,'UPD Questions_290926 '!$E$1:$N$300,MATCH(C$1,'UPD Questions_290926 '!$E$1:$N$1,0),0)&amp;"")</f>
        <v>Development Control Regulations and land-management instruments</v>
      </c>
      <c r="D92" s="75" t="str">
        <f aca="false">IF(ISBLANK($A92),"NO_CODE",VLOOKUP($A92,'UPD Questions_290926 '!$E$1:$N$300,MATCH(D$1,'UPD Questions_290926 '!$E$1:$N$1,0),0)&amp;"")</f>
        <v>DCR revision and public consultation</v>
      </c>
      <c r="E92" s="75" t="str">
        <f aca="false">IF(ISBLANK($A92),"NO_CODE",VLOOKUP($A92,'UPD Questions_290926 '!$E$1:$N$300,MATCH(E$1,'UPD Questions_290926 '!$E$1:$N$1,0),0)&amp;"")</f>
        <v>SQ</v>
      </c>
      <c r="F92" s="75" t="str">
        <f aca="false">IF(ISBLANK($A92),"NO_CODE",VLOOKUP($A92,'UPD Questions_290926 '!$E$1:$N$300,MATCH(F$1,'UPD Questions_290926 '!$E$1:$N$1,0),0)&amp;"")</f>
        <v>Do the DCRs provide development controls, standards or incentives that enable different types and scales of economic activity?</v>
      </c>
      <c r="G92" s="75" t="str">
        <f aca="false">IF(ISBLANK($A92),"NO_CODE",VLOOKUP($A92,'UPD Questions_290926 '!$E$1:$N$300,MATCH(G$1,'UPD Questions_290926 '!$E$1:$N$1,0),0)&amp;"")</f>
        <v>Law or Policy</v>
      </c>
      <c r="H92" s="77" t="n">
        <f aca="false">IF(ISBLANK($A92),"NO_CODE",VLOOKUP($A92,'UPD Questions_290926 '!$E$1:$N$300,MATCH(H$1,'UPD Questions_290926 '!$E$1:$N$1,0),0))</f>
        <v>2</v>
      </c>
      <c r="I92" s="78" t="str">
        <f aca="true">IF($H92=0,"NA",IF($A92=INDIRECT("'"&amp;$A92&amp;"'!$B$1"),IF(VLOOKUP(I$1,INDIRECT("'"&amp;$A92&amp;"'!$A$12:$Z$41"),MATCH("Points (Auto-generate)",INDIRECT("'"&amp;$A92&amp;"'!$A$12:$Z$12"),0),0)="","?",VLOOKUP(I$1,INDIRECT("'"&amp;$A92&amp;"'!$A$12:$Z$41"),MATCH("Points (Auto-generate)",INDIRECT("'"&amp;$A92&amp;"'!$A$12:$Z$12"),0),0)),"ER"))</f>
        <v>?</v>
      </c>
      <c r="J92" s="78" t="n">
        <f aca="true">IF($H92=0,"NA",IF($A92=INDIRECT("'"&amp;$A92&amp;"'!$B$1"),IF(VLOOKUP(J$1,INDIRECT("'"&amp;$A92&amp;"'!$A$12:$Z$41"),MATCH("Points (Auto-generate)",INDIRECT("'"&amp;$A92&amp;"'!$A$12:$Z$12"),0),0)="","?",VLOOKUP(J$1,INDIRECT("'"&amp;$A92&amp;"'!$A$12:$Z$41"),MATCH("Points (Auto-generate)",INDIRECT("'"&amp;$A92&amp;"'!$A$12:$Z$12"),0),0)),"ER"))</f>
        <v>0</v>
      </c>
      <c r="K92" s="78" t="str">
        <f aca="true">IF($H92=0,"NA",IF($A92=INDIRECT("'"&amp;$A92&amp;"'!$B$1"),IF(VLOOKUP(K$1,INDIRECT("'"&amp;$A92&amp;"'!$A$12:$Z$41"),MATCH("Points (Auto-generate)",INDIRECT("'"&amp;$A92&amp;"'!$A$12:$Z$12"),0),0)="","?",VLOOKUP(K$1,INDIRECT("'"&amp;$A92&amp;"'!$A$12:$Z$41"),MATCH("Points (Auto-generate)",INDIRECT("'"&amp;$A92&amp;"'!$A$12:$Z$12"),0),0)),"ER"))</f>
        <v>?</v>
      </c>
      <c r="L92" s="78" t="str">
        <f aca="true">IF($H92=0,"NA",IF($A92=INDIRECT("'"&amp;$A92&amp;"'!$B$1"),IF(VLOOKUP(L$1,INDIRECT("'"&amp;$A92&amp;"'!$A$12:$Z$41"),MATCH("Points (Auto-generate)",INDIRECT("'"&amp;$A92&amp;"'!$A$12:$Z$12"),0),0)="","?",VLOOKUP(L$1,INDIRECT("'"&amp;$A92&amp;"'!$A$12:$Z$41"),MATCH("Points (Auto-generate)",INDIRECT("'"&amp;$A92&amp;"'!$A$12:$Z$12"),0),0)),"ER"))</f>
        <v>?</v>
      </c>
      <c r="M92" s="78" t="str">
        <f aca="true">IF($H92=0,"NA",IF($A92=INDIRECT("'"&amp;$A92&amp;"'!$B$1"),IF(VLOOKUP(M$1,INDIRECT("'"&amp;$A92&amp;"'!$A$12:$Z$41"),MATCH("Points (Auto-generate)",INDIRECT("'"&amp;$A92&amp;"'!$A$12:$Z$12"),0),0)="","?",VLOOKUP(M$1,INDIRECT("'"&amp;$A92&amp;"'!$A$12:$Z$41"),MATCH("Points (Auto-generate)",INDIRECT("'"&amp;$A92&amp;"'!$A$12:$Z$12"),0),0)),"ER"))</f>
        <v>?</v>
      </c>
      <c r="N92" s="78" t="str">
        <f aca="true">IF($H92=0,"NA",IF($A92=INDIRECT("'"&amp;$A92&amp;"'!$B$1"),IF(VLOOKUP(N$1,INDIRECT("'"&amp;$A92&amp;"'!$A$12:$Z$41"),MATCH("Points (Auto-generate)",INDIRECT("'"&amp;$A92&amp;"'!$A$12:$Z$12"),0),0)="","?",VLOOKUP(N$1,INDIRECT("'"&amp;$A92&amp;"'!$A$12:$Z$41"),MATCH("Points (Auto-generate)",INDIRECT("'"&amp;$A92&amp;"'!$A$12:$Z$12"),0),0)),"ER"))</f>
        <v>?</v>
      </c>
      <c r="O92" s="78" t="str">
        <f aca="true">IF($H92=0,"NA",IF($A92=INDIRECT("'"&amp;$A92&amp;"'!$B$1"),IF(VLOOKUP(O$1,INDIRECT("'"&amp;$A92&amp;"'!$A$12:$Z$41"),MATCH("Points (Auto-generate)",INDIRECT("'"&amp;$A92&amp;"'!$A$12:$Z$12"),0),0)="","?",VLOOKUP(O$1,INDIRECT("'"&amp;$A92&amp;"'!$A$12:$Z$41"),MATCH("Points (Auto-generate)",INDIRECT("'"&amp;$A92&amp;"'!$A$12:$Z$12"),0),0)),"ER"))</f>
        <v>?</v>
      </c>
      <c r="P92" s="78" t="str">
        <f aca="true">IF($H92=0,"NA",IF($A92=INDIRECT("'"&amp;$A92&amp;"'!$B$1"),IF(VLOOKUP(P$1,INDIRECT("'"&amp;$A92&amp;"'!$A$12:$Z$41"),MATCH("Points (Auto-generate)",INDIRECT("'"&amp;$A92&amp;"'!$A$12:$Z$12"),0),0)="","?",VLOOKUP(P$1,INDIRECT("'"&amp;$A92&amp;"'!$A$12:$Z$41"),MATCH("Points (Auto-generate)",INDIRECT("'"&amp;$A92&amp;"'!$A$12:$Z$12"),0),0)),"ER"))</f>
        <v>?</v>
      </c>
      <c r="Q92" s="78" t="str">
        <f aca="true">IF($H92=0,"NA",IF($A92=INDIRECT("'"&amp;$A92&amp;"'!$B$1"),IF(VLOOKUP(Q$1,INDIRECT("'"&amp;$A92&amp;"'!$A$12:$Z$41"),MATCH("Points (Auto-generate)",INDIRECT("'"&amp;$A92&amp;"'!$A$12:$Z$12"),0),0)="","?",VLOOKUP(Q$1,INDIRECT("'"&amp;$A92&amp;"'!$A$12:$Z$41"),MATCH("Points (Auto-generate)",INDIRECT("'"&amp;$A92&amp;"'!$A$12:$Z$12"),0),0)),"ER"))</f>
        <v>?</v>
      </c>
      <c r="R92" s="78" t="str">
        <f aca="true">IF($H92=0,"NA",IF($A92=INDIRECT("'"&amp;$A92&amp;"'!$B$1"),IF(VLOOKUP(R$1,INDIRECT("'"&amp;$A92&amp;"'!$A$12:$Z$41"),MATCH("Points (Auto-generate)",INDIRECT("'"&amp;$A92&amp;"'!$A$12:$Z$12"),0),0)="","?",VLOOKUP(R$1,INDIRECT("'"&amp;$A92&amp;"'!$A$12:$Z$41"),MATCH("Points (Auto-generate)",INDIRECT("'"&amp;$A92&amp;"'!$A$12:$Z$12"),0),0)),"ER"))</f>
        <v>?</v>
      </c>
      <c r="S92" s="78" t="str">
        <f aca="true">IF($H92=0,"NA",IF($A92=INDIRECT("'"&amp;$A92&amp;"'!$B$1"),IF(VLOOKUP(S$1,INDIRECT("'"&amp;$A92&amp;"'!$A$12:$Z$41"),MATCH("Points (Auto-generate)",INDIRECT("'"&amp;$A92&amp;"'!$A$12:$Z$12"),0),0)="","?",VLOOKUP(S$1,INDIRECT("'"&amp;$A92&amp;"'!$A$12:$Z$41"),MATCH("Points (Auto-generate)",INDIRECT("'"&amp;$A92&amp;"'!$A$12:$Z$12"),0),0)),"ER"))</f>
        <v>?</v>
      </c>
      <c r="T92" s="78" t="str">
        <f aca="true">IF($H92=0,"NA",IF($A92=INDIRECT("'"&amp;$A92&amp;"'!$B$1"),IF(VLOOKUP(T$1,INDIRECT("'"&amp;$A92&amp;"'!$A$12:$Z$41"),MATCH("Points (Auto-generate)",INDIRECT("'"&amp;$A92&amp;"'!$A$12:$Z$12"),0),0)="","?",VLOOKUP(T$1,INDIRECT("'"&amp;$A92&amp;"'!$A$12:$Z$41"),MATCH("Points (Auto-generate)",INDIRECT("'"&amp;$A92&amp;"'!$A$12:$Z$12"),0),0)),"ER"))</f>
        <v>?</v>
      </c>
      <c r="U92" s="78" t="str">
        <f aca="true">IF($H92=0,"NA",IF($A92=INDIRECT("'"&amp;$A92&amp;"'!$B$1"),IF(VLOOKUP(U$1,INDIRECT("'"&amp;$A92&amp;"'!$A$12:$Z$41"),MATCH("Points (Auto-generate)",INDIRECT("'"&amp;$A92&amp;"'!$A$12:$Z$12"),0),0)="","?",VLOOKUP(U$1,INDIRECT("'"&amp;$A92&amp;"'!$A$12:$Z$41"),MATCH("Points (Auto-generate)",INDIRECT("'"&amp;$A92&amp;"'!$A$12:$Z$12"),0),0)),"ER"))</f>
        <v>?</v>
      </c>
      <c r="V92" s="78" t="str">
        <f aca="true">IF($H92=0,"NA",IF($A92=INDIRECT("'"&amp;$A92&amp;"'!$B$1"),IF(VLOOKUP(V$1,INDIRECT("'"&amp;$A92&amp;"'!$A$12:$Z$41"),MATCH("Points (Auto-generate)",INDIRECT("'"&amp;$A92&amp;"'!$A$12:$Z$12"),0),0)="","?",VLOOKUP(V$1,INDIRECT("'"&amp;$A92&amp;"'!$A$12:$Z$41"),MATCH("Points (Auto-generate)",INDIRECT("'"&amp;$A92&amp;"'!$A$12:$Z$12"),0),0)),"ER"))</f>
        <v>?</v>
      </c>
      <c r="W92" s="78" t="str">
        <f aca="true">IF($H92=0,"NA",IF($A92=INDIRECT("'"&amp;$A92&amp;"'!$B$1"),IF(VLOOKUP(W$1,INDIRECT("'"&amp;$A92&amp;"'!$A$12:$Z$41"),MATCH("Points (Auto-generate)",INDIRECT("'"&amp;$A92&amp;"'!$A$12:$Z$12"),0),0)="","?",VLOOKUP(W$1,INDIRECT("'"&amp;$A92&amp;"'!$A$12:$Z$41"),MATCH("Points (Auto-generate)",INDIRECT("'"&amp;$A92&amp;"'!$A$12:$Z$12"),0),0)),"ER"))</f>
        <v>?</v>
      </c>
      <c r="X92" s="78" t="str">
        <f aca="true">IF($H92=0,"NA",IF($A92=INDIRECT("'"&amp;$A92&amp;"'!$B$1"),IF(VLOOKUP(X$1,INDIRECT("'"&amp;$A92&amp;"'!$A$12:$Z$41"),MATCH("Points (Auto-generate)",INDIRECT("'"&amp;$A92&amp;"'!$A$12:$Z$12"),0),0)="","?",VLOOKUP(X$1,INDIRECT("'"&amp;$A92&amp;"'!$A$12:$Z$41"),MATCH("Points (Auto-generate)",INDIRECT("'"&amp;$A92&amp;"'!$A$12:$Z$12"),0),0)),"ER"))</f>
        <v>?</v>
      </c>
      <c r="Y92" s="78" t="str">
        <f aca="true">IF($H92=0,"NA",IF($A92=INDIRECT("'"&amp;$A92&amp;"'!$B$1"),IF(VLOOKUP(Y$1,INDIRECT("'"&amp;$A92&amp;"'!$A$12:$Z$41"),MATCH("Points (Auto-generate)",INDIRECT("'"&amp;$A92&amp;"'!$A$12:$Z$12"),0),0)="","?",VLOOKUP(Y$1,INDIRECT("'"&amp;$A92&amp;"'!$A$12:$Z$41"),MATCH("Points (Auto-generate)",INDIRECT("'"&amp;$A92&amp;"'!$A$12:$Z$12"),0),0)),"ER"))</f>
        <v>?</v>
      </c>
      <c r="Z92" s="78" t="str">
        <f aca="true">IF($H92=0,"NA",IF($A92=INDIRECT("'"&amp;$A92&amp;"'!$B$1"),IF(VLOOKUP(Z$1,INDIRECT("'"&amp;$A92&amp;"'!$A$12:$Z$41"),MATCH("Points (Auto-generate)",INDIRECT("'"&amp;$A92&amp;"'!$A$12:$Z$12"),0),0)="","?",VLOOKUP(Z$1,INDIRECT("'"&amp;$A92&amp;"'!$A$12:$Z$41"),MATCH("Points (Auto-generate)",INDIRECT("'"&amp;$A92&amp;"'!$A$12:$Z$12"),0),0)),"ER"))</f>
        <v>?</v>
      </c>
      <c r="AA92" s="78" t="str">
        <f aca="true">IF($H92=0,"NA",IF($A92=INDIRECT("'"&amp;$A92&amp;"'!$B$1"),IF(VLOOKUP(AA$1,INDIRECT("'"&amp;$A92&amp;"'!$A$12:$Z$41"),MATCH("Points (Auto-generate)",INDIRECT("'"&amp;$A92&amp;"'!$A$12:$Z$12"),0),0)="","?",VLOOKUP(AA$1,INDIRECT("'"&amp;$A92&amp;"'!$A$12:$Z$41"),MATCH("Points (Auto-generate)",INDIRECT("'"&amp;$A92&amp;"'!$A$12:$Z$12"),0),0)),"ER"))</f>
        <v>?</v>
      </c>
      <c r="AB92" s="78" t="str">
        <f aca="true">IF($H92=0,"NA",IF($A92=INDIRECT("'"&amp;$A92&amp;"'!$B$1"),IF(VLOOKUP(AB$1,INDIRECT("'"&amp;$A92&amp;"'!$A$12:$Z$41"),MATCH("Points (Auto-generate)",INDIRECT("'"&amp;$A92&amp;"'!$A$12:$Z$12"),0),0)="","?",VLOOKUP(AB$1,INDIRECT("'"&amp;$A92&amp;"'!$A$12:$Z$41"),MATCH("Points (Auto-generate)",INDIRECT("'"&amp;$A92&amp;"'!$A$12:$Z$12"),0),0)),"ER"))</f>
        <v>?</v>
      </c>
      <c r="AC92" s="78" t="str">
        <f aca="true">IF($H92=0,"NA",IF($A92=INDIRECT("'"&amp;$A92&amp;"'!$B$1"),IF(VLOOKUP(AC$1,INDIRECT("'"&amp;$A92&amp;"'!$A$12:$Z$41"),MATCH("Points (Auto-generate)",INDIRECT("'"&amp;$A92&amp;"'!$A$12:$Z$12"),0),0)="","?",VLOOKUP(AC$1,INDIRECT("'"&amp;$A92&amp;"'!$A$12:$Z$41"),MATCH("Points (Auto-generate)",INDIRECT("'"&amp;$A92&amp;"'!$A$12:$Z$12"),0),0)),"ER"))</f>
        <v>?</v>
      </c>
      <c r="AD92" s="78" t="str">
        <f aca="true">IF($H92=0,"NA",IF($A92=INDIRECT("'"&amp;$A92&amp;"'!$B$1"),IF(VLOOKUP(AD$1,INDIRECT("'"&amp;$A92&amp;"'!$A$12:$Z$41"),MATCH("Points (Auto-generate)",INDIRECT("'"&amp;$A92&amp;"'!$A$12:$Z$12"),0),0)="","?",VLOOKUP(AD$1,INDIRECT("'"&amp;$A92&amp;"'!$A$12:$Z$41"),MATCH("Points (Auto-generate)",INDIRECT("'"&amp;$A92&amp;"'!$A$12:$Z$12"),0),0)),"ER"))</f>
        <v>?</v>
      </c>
      <c r="AE92" s="78" t="str">
        <f aca="true">IF($H92=0,"NA",IF($A92=INDIRECT("'"&amp;$A92&amp;"'!$B$1"),IF(VLOOKUP(AE$1,INDIRECT("'"&amp;$A92&amp;"'!$A$12:$Z$41"),MATCH("Points (Auto-generate)",INDIRECT("'"&amp;$A92&amp;"'!$A$12:$Z$12"),0),0)="","?",VLOOKUP(AE$1,INDIRECT("'"&amp;$A92&amp;"'!$A$12:$Z$41"),MATCH("Points (Auto-generate)",INDIRECT("'"&amp;$A92&amp;"'!$A$12:$Z$12"),0),0)),"ER"))</f>
        <v>?</v>
      </c>
      <c r="AF92" s="78" t="str">
        <f aca="true">IF($H92=0,"NA",IF($A92=INDIRECT("'"&amp;$A92&amp;"'!$B$1"),IF(VLOOKUP(AF$1,INDIRECT("'"&amp;$A92&amp;"'!$A$12:$Z$41"),MATCH("Points (Auto-generate)",INDIRECT("'"&amp;$A92&amp;"'!$A$12:$Z$12"),0),0)="","?",VLOOKUP(AF$1,INDIRECT("'"&amp;$A92&amp;"'!$A$12:$Z$41"),MATCH("Points (Auto-generate)",INDIRECT("'"&amp;$A92&amp;"'!$A$12:$Z$12"),0),0)),"ER"))</f>
        <v>?</v>
      </c>
      <c r="AG92" s="78" t="str">
        <f aca="true">IF($H92=0,"NA",IF($A92=INDIRECT("'"&amp;$A92&amp;"'!$B$1"),IF(VLOOKUP(AG$1,INDIRECT("'"&amp;$A92&amp;"'!$A$12:$Z$41"),MATCH("Points (Auto-generate)",INDIRECT("'"&amp;$A92&amp;"'!$A$12:$Z$12"),0),0)="","?",VLOOKUP(AG$1,INDIRECT("'"&amp;$A92&amp;"'!$A$12:$Z$41"),MATCH("Points (Auto-generate)",INDIRECT("'"&amp;$A92&amp;"'!$A$12:$Z$12"),0),0)),"ER"))</f>
        <v>?</v>
      </c>
      <c r="AH92" s="78" t="str">
        <f aca="true">IF($H92=0,"NA",IF($A92=INDIRECT("'"&amp;$A92&amp;"'!$B$1"),IF(VLOOKUP(AH$1,INDIRECT("'"&amp;$A92&amp;"'!$A$12:$Z$41"),MATCH("Points (Auto-generate)",INDIRECT("'"&amp;$A92&amp;"'!$A$12:$Z$12"),0),0)="","?",VLOOKUP(AH$1,INDIRECT("'"&amp;$A92&amp;"'!$A$12:$Z$41"),MATCH("Points (Auto-generate)",INDIRECT("'"&amp;$A92&amp;"'!$A$12:$Z$12"),0),0)),"ER"))</f>
        <v>?</v>
      </c>
      <c r="AI92" s="78" t="str">
        <f aca="true">IF($H92=0,"NA",IF($A92=INDIRECT("'"&amp;$A92&amp;"'!$B$1"),IF(VLOOKUP(AI$1,INDIRECT("'"&amp;$A92&amp;"'!$A$12:$Z$41"),MATCH("Points (Auto-generate)",INDIRECT("'"&amp;$A92&amp;"'!$A$12:$Z$12"),0),0)="","?",VLOOKUP(AI$1,INDIRECT("'"&amp;$A92&amp;"'!$A$12:$Z$41"),MATCH("Points (Auto-generate)",INDIRECT("'"&amp;$A92&amp;"'!$A$12:$Z$12"),0),0)),"ER"))</f>
        <v>?</v>
      </c>
      <c r="AJ92" s="78" t="str">
        <f aca="true">IF($H92=0,"NA",IF($A92=INDIRECT("'"&amp;$A92&amp;"'!$B$1"),IF(VLOOKUP(AJ$1,INDIRECT("'"&amp;$A92&amp;"'!$A$12:$Z$41"),MATCH("Points (Auto-generate)",INDIRECT("'"&amp;$A92&amp;"'!$A$12:$Z$12"),0),0)="","?",VLOOKUP(AJ$1,INDIRECT("'"&amp;$A92&amp;"'!$A$12:$Z$41"),MATCH("Points (Auto-generate)",INDIRECT("'"&amp;$A92&amp;"'!$A$12:$Z$12"),0),0)),"ER"))</f>
        <v>?</v>
      </c>
      <c r="AK92" s="78" t="str">
        <f aca="true">IF($H92=0,"NA",IF($A92=INDIRECT("'"&amp;$A92&amp;"'!$B$1"),IF(VLOOKUP(AK$1,INDIRECT("'"&amp;$A92&amp;"'!$A$12:$Z$41"),MATCH("Points (Auto-generate)",INDIRECT("'"&amp;$A92&amp;"'!$A$12:$Z$12"),0),0)="","?",VLOOKUP(AK$1,INDIRECT("'"&amp;$A92&amp;"'!$A$12:$Z$41"),MATCH("Points (Auto-generate)",INDIRECT("'"&amp;$A92&amp;"'!$A$12:$Z$12"),0),0)),"ER"))</f>
        <v>?</v>
      </c>
    </row>
    <row r="93" customFormat="false" ht="14.25" hidden="false" customHeight="true" outlineLevel="0" collapsed="false">
      <c r="A93" s="74" t="s">
        <v>417</v>
      </c>
      <c r="B93" s="75" t="str">
        <f aca="false">IF(ISBLANK($A93),"NO_CODE",VLOOKUP($A93,'UPD Questions_290926 '!$E$1:$N$300,MATCH(B$1,'UPD Questions_290926 '!$E$1:$N$1,0),0)&amp;"")</f>
        <v>Implementation</v>
      </c>
      <c r="C93" s="75" t="str">
        <f aca="false">IF(ISBLANK($A93),"NO_CODE",VLOOKUP($A93,'UPD Questions_290926 '!$E$1:$N$300,MATCH(C$1,'UPD Questions_290926 '!$E$1:$N$1,0),0)&amp;"")</f>
        <v>Development Control Regulations and land-management instruments</v>
      </c>
      <c r="D93" s="75" t="str">
        <f aca="false">IF(ISBLANK($A93),"NO_CODE",VLOOKUP($A93,'UPD Questions_290926 '!$E$1:$N$300,MATCH(D$1,'UPD Questions_290926 '!$E$1:$N$1,0),0)&amp;"")</f>
        <v>DCR revision and public consultation</v>
      </c>
      <c r="E93" s="75" t="str">
        <f aca="false">IF(ISBLANK($A93),"NO_CODE",VLOOKUP($A93,'UPD Questions_290926 '!$E$1:$N$300,MATCH(E$1,'UPD Questions_290926 '!$E$1:$N$1,0),0)&amp;"")</f>
        <v>SQ</v>
      </c>
      <c r="F93" s="75" t="str">
        <f aca="false">IF(ISBLANK($A93),"NO_CODE",VLOOKUP($A93,'UPD Questions_290926 '!$E$1:$N$300,MATCH(F$1,'UPD Questions_290926 '!$E$1:$N$1,0),0)&amp;"")</f>
        <v>Do the DCRs provide development controls, standards or incentives that improve access, safety, affordability and development outcomes for women and the urban poor?</v>
      </c>
      <c r="G93" s="75" t="str">
        <f aca="false">IF(ISBLANK($A93),"NO_CODE",VLOOKUP($A93,'UPD Questions_290926 '!$E$1:$N$300,MATCH(G$1,'UPD Questions_290926 '!$E$1:$N$1,0),0)&amp;"")</f>
        <v>Law or Policy</v>
      </c>
      <c r="H93" s="77" t="n">
        <f aca="false">IF(ISBLANK($A93),"NO_CODE",VLOOKUP($A93,'UPD Questions_290926 '!$E$1:$N$300,MATCH(H$1,'UPD Questions_290926 '!$E$1:$N$1,0),0))</f>
        <v>2</v>
      </c>
      <c r="I93" s="78" t="str">
        <f aca="true">IF($H93=0,"NA",IF($A93=INDIRECT("'"&amp;$A93&amp;"'!$B$1"),IF(VLOOKUP(I$1,INDIRECT("'"&amp;$A93&amp;"'!$A$12:$Z$41"),MATCH("Points (Auto-generate)",INDIRECT("'"&amp;$A93&amp;"'!$A$12:$Z$12"),0),0)="","?",VLOOKUP(I$1,INDIRECT("'"&amp;$A93&amp;"'!$A$12:$Z$41"),MATCH("Points (Auto-generate)",INDIRECT("'"&amp;$A93&amp;"'!$A$12:$Z$12"),0),0)),"ER"))</f>
        <v>?</v>
      </c>
      <c r="J93" s="78" t="n">
        <f aca="true">IF($H93=0,"NA",IF($A93=INDIRECT("'"&amp;$A93&amp;"'!$B$1"),IF(VLOOKUP(J$1,INDIRECT("'"&amp;$A93&amp;"'!$A$12:$Z$41"),MATCH("Points (Auto-generate)",INDIRECT("'"&amp;$A93&amp;"'!$A$12:$Z$12"),0),0)="","?",VLOOKUP(J$1,INDIRECT("'"&amp;$A93&amp;"'!$A$12:$Z$41"),MATCH("Points (Auto-generate)",INDIRECT("'"&amp;$A93&amp;"'!$A$12:$Z$12"),0),0)),"ER"))</f>
        <v>0</v>
      </c>
      <c r="K93" s="78" t="str">
        <f aca="true">IF($H93=0,"NA",IF($A93=INDIRECT("'"&amp;$A93&amp;"'!$B$1"),IF(VLOOKUP(K$1,INDIRECT("'"&amp;$A93&amp;"'!$A$12:$Z$41"),MATCH("Points (Auto-generate)",INDIRECT("'"&amp;$A93&amp;"'!$A$12:$Z$12"),0),0)="","?",VLOOKUP(K$1,INDIRECT("'"&amp;$A93&amp;"'!$A$12:$Z$41"),MATCH("Points (Auto-generate)",INDIRECT("'"&amp;$A93&amp;"'!$A$12:$Z$12"),0),0)),"ER"))</f>
        <v>?</v>
      </c>
      <c r="L93" s="78" t="str">
        <f aca="true">IF($H93=0,"NA",IF($A93=INDIRECT("'"&amp;$A93&amp;"'!$B$1"),IF(VLOOKUP(L$1,INDIRECT("'"&amp;$A93&amp;"'!$A$12:$Z$41"),MATCH("Points (Auto-generate)",INDIRECT("'"&amp;$A93&amp;"'!$A$12:$Z$12"),0),0)="","?",VLOOKUP(L$1,INDIRECT("'"&amp;$A93&amp;"'!$A$12:$Z$41"),MATCH("Points (Auto-generate)",INDIRECT("'"&amp;$A93&amp;"'!$A$12:$Z$12"),0),0)),"ER"))</f>
        <v>?</v>
      </c>
      <c r="M93" s="78" t="str">
        <f aca="true">IF($H93=0,"NA",IF($A93=INDIRECT("'"&amp;$A93&amp;"'!$B$1"),IF(VLOOKUP(M$1,INDIRECT("'"&amp;$A93&amp;"'!$A$12:$Z$41"),MATCH("Points (Auto-generate)",INDIRECT("'"&amp;$A93&amp;"'!$A$12:$Z$12"),0),0)="","?",VLOOKUP(M$1,INDIRECT("'"&amp;$A93&amp;"'!$A$12:$Z$41"),MATCH("Points (Auto-generate)",INDIRECT("'"&amp;$A93&amp;"'!$A$12:$Z$12"),0),0)),"ER"))</f>
        <v>?</v>
      </c>
      <c r="N93" s="78" t="str">
        <f aca="true">IF($H93=0,"NA",IF($A93=INDIRECT("'"&amp;$A93&amp;"'!$B$1"),IF(VLOOKUP(N$1,INDIRECT("'"&amp;$A93&amp;"'!$A$12:$Z$41"),MATCH("Points (Auto-generate)",INDIRECT("'"&amp;$A93&amp;"'!$A$12:$Z$12"),0),0)="","?",VLOOKUP(N$1,INDIRECT("'"&amp;$A93&amp;"'!$A$12:$Z$41"),MATCH("Points (Auto-generate)",INDIRECT("'"&amp;$A93&amp;"'!$A$12:$Z$12"),0),0)),"ER"))</f>
        <v>?</v>
      </c>
      <c r="O93" s="78" t="str">
        <f aca="true">IF($H93=0,"NA",IF($A93=INDIRECT("'"&amp;$A93&amp;"'!$B$1"),IF(VLOOKUP(O$1,INDIRECT("'"&amp;$A93&amp;"'!$A$12:$Z$41"),MATCH("Points (Auto-generate)",INDIRECT("'"&amp;$A93&amp;"'!$A$12:$Z$12"),0),0)="","?",VLOOKUP(O$1,INDIRECT("'"&amp;$A93&amp;"'!$A$12:$Z$41"),MATCH("Points (Auto-generate)",INDIRECT("'"&amp;$A93&amp;"'!$A$12:$Z$12"),0),0)),"ER"))</f>
        <v>?</v>
      </c>
      <c r="P93" s="78" t="str">
        <f aca="true">IF($H93=0,"NA",IF($A93=INDIRECT("'"&amp;$A93&amp;"'!$B$1"),IF(VLOOKUP(P$1,INDIRECT("'"&amp;$A93&amp;"'!$A$12:$Z$41"),MATCH("Points (Auto-generate)",INDIRECT("'"&amp;$A93&amp;"'!$A$12:$Z$12"),0),0)="","?",VLOOKUP(P$1,INDIRECT("'"&amp;$A93&amp;"'!$A$12:$Z$41"),MATCH("Points (Auto-generate)",INDIRECT("'"&amp;$A93&amp;"'!$A$12:$Z$12"),0),0)),"ER"))</f>
        <v>?</v>
      </c>
      <c r="Q93" s="78" t="str">
        <f aca="true">IF($H93=0,"NA",IF($A93=INDIRECT("'"&amp;$A93&amp;"'!$B$1"),IF(VLOOKUP(Q$1,INDIRECT("'"&amp;$A93&amp;"'!$A$12:$Z$41"),MATCH("Points (Auto-generate)",INDIRECT("'"&amp;$A93&amp;"'!$A$12:$Z$12"),0),0)="","?",VLOOKUP(Q$1,INDIRECT("'"&amp;$A93&amp;"'!$A$12:$Z$41"),MATCH("Points (Auto-generate)",INDIRECT("'"&amp;$A93&amp;"'!$A$12:$Z$12"),0),0)),"ER"))</f>
        <v>?</v>
      </c>
      <c r="R93" s="78" t="str">
        <f aca="true">IF($H93=0,"NA",IF($A93=INDIRECT("'"&amp;$A93&amp;"'!$B$1"),IF(VLOOKUP(R$1,INDIRECT("'"&amp;$A93&amp;"'!$A$12:$Z$41"),MATCH("Points (Auto-generate)",INDIRECT("'"&amp;$A93&amp;"'!$A$12:$Z$12"),0),0)="","?",VLOOKUP(R$1,INDIRECT("'"&amp;$A93&amp;"'!$A$12:$Z$41"),MATCH("Points (Auto-generate)",INDIRECT("'"&amp;$A93&amp;"'!$A$12:$Z$12"),0),0)),"ER"))</f>
        <v>?</v>
      </c>
      <c r="S93" s="78" t="str">
        <f aca="true">IF($H93=0,"NA",IF($A93=INDIRECT("'"&amp;$A93&amp;"'!$B$1"),IF(VLOOKUP(S$1,INDIRECT("'"&amp;$A93&amp;"'!$A$12:$Z$41"),MATCH("Points (Auto-generate)",INDIRECT("'"&amp;$A93&amp;"'!$A$12:$Z$12"),0),0)="","?",VLOOKUP(S$1,INDIRECT("'"&amp;$A93&amp;"'!$A$12:$Z$41"),MATCH("Points (Auto-generate)",INDIRECT("'"&amp;$A93&amp;"'!$A$12:$Z$12"),0),0)),"ER"))</f>
        <v>?</v>
      </c>
      <c r="T93" s="78" t="str">
        <f aca="true">IF($H93=0,"NA",IF($A93=INDIRECT("'"&amp;$A93&amp;"'!$B$1"),IF(VLOOKUP(T$1,INDIRECT("'"&amp;$A93&amp;"'!$A$12:$Z$41"),MATCH("Points (Auto-generate)",INDIRECT("'"&amp;$A93&amp;"'!$A$12:$Z$12"),0),0)="","?",VLOOKUP(T$1,INDIRECT("'"&amp;$A93&amp;"'!$A$12:$Z$41"),MATCH("Points (Auto-generate)",INDIRECT("'"&amp;$A93&amp;"'!$A$12:$Z$12"),0),0)),"ER"))</f>
        <v>?</v>
      </c>
      <c r="U93" s="78" t="str">
        <f aca="true">IF($H93=0,"NA",IF($A93=INDIRECT("'"&amp;$A93&amp;"'!$B$1"),IF(VLOOKUP(U$1,INDIRECT("'"&amp;$A93&amp;"'!$A$12:$Z$41"),MATCH("Points (Auto-generate)",INDIRECT("'"&amp;$A93&amp;"'!$A$12:$Z$12"),0),0)="","?",VLOOKUP(U$1,INDIRECT("'"&amp;$A93&amp;"'!$A$12:$Z$41"),MATCH("Points (Auto-generate)",INDIRECT("'"&amp;$A93&amp;"'!$A$12:$Z$12"),0),0)),"ER"))</f>
        <v>?</v>
      </c>
      <c r="V93" s="78" t="str">
        <f aca="true">IF($H93=0,"NA",IF($A93=INDIRECT("'"&amp;$A93&amp;"'!$B$1"),IF(VLOOKUP(V$1,INDIRECT("'"&amp;$A93&amp;"'!$A$12:$Z$41"),MATCH("Points (Auto-generate)",INDIRECT("'"&amp;$A93&amp;"'!$A$12:$Z$12"),0),0)="","?",VLOOKUP(V$1,INDIRECT("'"&amp;$A93&amp;"'!$A$12:$Z$41"),MATCH("Points (Auto-generate)",INDIRECT("'"&amp;$A93&amp;"'!$A$12:$Z$12"),0),0)),"ER"))</f>
        <v>?</v>
      </c>
      <c r="W93" s="78" t="str">
        <f aca="true">IF($H93=0,"NA",IF($A93=INDIRECT("'"&amp;$A93&amp;"'!$B$1"),IF(VLOOKUP(W$1,INDIRECT("'"&amp;$A93&amp;"'!$A$12:$Z$41"),MATCH("Points (Auto-generate)",INDIRECT("'"&amp;$A93&amp;"'!$A$12:$Z$12"),0),0)="","?",VLOOKUP(W$1,INDIRECT("'"&amp;$A93&amp;"'!$A$12:$Z$41"),MATCH("Points (Auto-generate)",INDIRECT("'"&amp;$A93&amp;"'!$A$12:$Z$12"),0),0)),"ER"))</f>
        <v>?</v>
      </c>
      <c r="X93" s="78" t="str">
        <f aca="true">IF($H93=0,"NA",IF($A93=INDIRECT("'"&amp;$A93&amp;"'!$B$1"),IF(VLOOKUP(X$1,INDIRECT("'"&amp;$A93&amp;"'!$A$12:$Z$41"),MATCH("Points (Auto-generate)",INDIRECT("'"&amp;$A93&amp;"'!$A$12:$Z$12"),0),0)="","?",VLOOKUP(X$1,INDIRECT("'"&amp;$A93&amp;"'!$A$12:$Z$41"),MATCH("Points (Auto-generate)",INDIRECT("'"&amp;$A93&amp;"'!$A$12:$Z$12"),0),0)),"ER"))</f>
        <v>?</v>
      </c>
      <c r="Y93" s="78" t="str">
        <f aca="true">IF($H93=0,"NA",IF($A93=INDIRECT("'"&amp;$A93&amp;"'!$B$1"),IF(VLOOKUP(Y$1,INDIRECT("'"&amp;$A93&amp;"'!$A$12:$Z$41"),MATCH("Points (Auto-generate)",INDIRECT("'"&amp;$A93&amp;"'!$A$12:$Z$12"),0),0)="","?",VLOOKUP(Y$1,INDIRECT("'"&amp;$A93&amp;"'!$A$12:$Z$41"),MATCH("Points (Auto-generate)",INDIRECT("'"&amp;$A93&amp;"'!$A$12:$Z$12"),0),0)),"ER"))</f>
        <v>?</v>
      </c>
      <c r="Z93" s="78" t="str">
        <f aca="true">IF($H93=0,"NA",IF($A93=INDIRECT("'"&amp;$A93&amp;"'!$B$1"),IF(VLOOKUP(Z$1,INDIRECT("'"&amp;$A93&amp;"'!$A$12:$Z$41"),MATCH("Points (Auto-generate)",INDIRECT("'"&amp;$A93&amp;"'!$A$12:$Z$12"),0),0)="","?",VLOOKUP(Z$1,INDIRECT("'"&amp;$A93&amp;"'!$A$12:$Z$41"),MATCH("Points (Auto-generate)",INDIRECT("'"&amp;$A93&amp;"'!$A$12:$Z$12"),0),0)),"ER"))</f>
        <v>?</v>
      </c>
      <c r="AA93" s="78" t="str">
        <f aca="true">IF($H93=0,"NA",IF($A93=INDIRECT("'"&amp;$A93&amp;"'!$B$1"),IF(VLOOKUP(AA$1,INDIRECT("'"&amp;$A93&amp;"'!$A$12:$Z$41"),MATCH("Points (Auto-generate)",INDIRECT("'"&amp;$A93&amp;"'!$A$12:$Z$12"),0),0)="","?",VLOOKUP(AA$1,INDIRECT("'"&amp;$A93&amp;"'!$A$12:$Z$41"),MATCH("Points (Auto-generate)",INDIRECT("'"&amp;$A93&amp;"'!$A$12:$Z$12"),0),0)),"ER"))</f>
        <v>?</v>
      </c>
      <c r="AB93" s="78" t="str">
        <f aca="true">IF($H93=0,"NA",IF($A93=INDIRECT("'"&amp;$A93&amp;"'!$B$1"),IF(VLOOKUP(AB$1,INDIRECT("'"&amp;$A93&amp;"'!$A$12:$Z$41"),MATCH("Points (Auto-generate)",INDIRECT("'"&amp;$A93&amp;"'!$A$12:$Z$12"),0),0)="","?",VLOOKUP(AB$1,INDIRECT("'"&amp;$A93&amp;"'!$A$12:$Z$41"),MATCH("Points (Auto-generate)",INDIRECT("'"&amp;$A93&amp;"'!$A$12:$Z$12"),0),0)),"ER"))</f>
        <v>?</v>
      </c>
      <c r="AC93" s="78" t="str">
        <f aca="true">IF($H93=0,"NA",IF($A93=INDIRECT("'"&amp;$A93&amp;"'!$B$1"),IF(VLOOKUP(AC$1,INDIRECT("'"&amp;$A93&amp;"'!$A$12:$Z$41"),MATCH("Points (Auto-generate)",INDIRECT("'"&amp;$A93&amp;"'!$A$12:$Z$12"),0),0)="","?",VLOOKUP(AC$1,INDIRECT("'"&amp;$A93&amp;"'!$A$12:$Z$41"),MATCH("Points (Auto-generate)",INDIRECT("'"&amp;$A93&amp;"'!$A$12:$Z$12"),0),0)),"ER"))</f>
        <v>?</v>
      </c>
      <c r="AD93" s="78" t="str">
        <f aca="true">IF($H93=0,"NA",IF($A93=INDIRECT("'"&amp;$A93&amp;"'!$B$1"),IF(VLOOKUP(AD$1,INDIRECT("'"&amp;$A93&amp;"'!$A$12:$Z$41"),MATCH("Points (Auto-generate)",INDIRECT("'"&amp;$A93&amp;"'!$A$12:$Z$12"),0),0)="","?",VLOOKUP(AD$1,INDIRECT("'"&amp;$A93&amp;"'!$A$12:$Z$41"),MATCH("Points (Auto-generate)",INDIRECT("'"&amp;$A93&amp;"'!$A$12:$Z$12"),0),0)),"ER"))</f>
        <v>?</v>
      </c>
      <c r="AE93" s="78" t="str">
        <f aca="true">IF($H93=0,"NA",IF($A93=INDIRECT("'"&amp;$A93&amp;"'!$B$1"),IF(VLOOKUP(AE$1,INDIRECT("'"&amp;$A93&amp;"'!$A$12:$Z$41"),MATCH("Points (Auto-generate)",INDIRECT("'"&amp;$A93&amp;"'!$A$12:$Z$12"),0),0)="","?",VLOOKUP(AE$1,INDIRECT("'"&amp;$A93&amp;"'!$A$12:$Z$41"),MATCH("Points (Auto-generate)",INDIRECT("'"&amp;$A93&amp;"'!$A$12:$Z$12"),0),0)),"ER"))</f>
        <v>?</v>
      </c>
      <c r="AF93" s="78" t="str">
        <f aca="true">IF($H93=0,"NA",IF($A93=INDIRECT("'"&amp;$A93&amp;"'!$B$1"),IF(VLOOKUP(AF$1,INDIRECT("'"&amp;$A93&amp;"'!$A$12:$Z$41"),MATCH("Points (Auto-generate)",INDIRECT("'"&amp;$A93&amp;"'!$A$12:$Z$12"),0),0)="","?",VLOOKUP(AF$1,INDIRECT("'"&amp;$A93&amp;"'!$A$12:$Z$41"),MATCH("Points (Auto-generate)",INDIRECT("'"&amp;$A93&amp;"'!$A$12:$Z$12"),0),0)),"ER"))</f>
        <v>?</v>
      </c>
      <c r="AG93" s="78" t="str">
        <f aca="true">IF($H93=0,"NA",IF($A93=INDIRECT("'"&amp;$A93&amp;"'!$B$1"),IF(VLOOKUP(AG$1,INDIRECT("'"&amp;$A93&amp;"'!$A$12:$Z$41"),MATCH("Points (Auto-generate)",INDIRECT("'"&amp;$A93&amp;"'!$A$12:$Z$12"),0),0)="","?",VLOOKUP(AG$1,INDIRECT("'"&amp;$A93&amp;"'!$A$12:$Z$41"),MATCH("Points (Auto-generate)",INDIRECT("'"&amp;$A93&amp;"'!$A$12:$Z$12"),0),0)),"ER"))</f>
        <v>?</v>
      </c>
      <c r="AH93" s="78" t="str">
        <f aca="true">IF($H93=0,"NA",IF($A93=INDIRECT("'"&amp;$A93&amp;"'!$B$1"),IF(VLOOKUP(AH$1,INDIRECT("'"&amp;$A93&amp;"'!$A$12:$Z$41"),MATCH("Points (Auto-generate)",INDIRECT("'"&amp;$A93&amp;"'!$A$12:$Z$12"),0),0)="","?",VLOOKUP(AH$1,INDIRECT("'"&amp;$A93&amp;"'!$A$12:$Z$41"),MATCH("Points (Auto-generate)",INDIRECT("'"&amp;$A93&amp;"'!$A$12:$Z$12"),0),0)),"ER"))</f>
        <v>?</v>
      </c>
      <c r="AI93" s="78" t="str">
        <f aca="true">IF($H93=0,"NA",IF($A93=INDIRECT("'"&amp;$A93&amp;"'!$B$1"),IF(VLOOKUP(AI$1,INDIRECT("'"&amp;$A93&amp;"'!$A$12:$Z$41"),MATCH("Points (Auto-generate)",INDIRECT("'"&amp;$A93&amp;"'!$A$12:$Z$12"),0),0)="","?",VLOOKUP(AI$1,INDIRECT("'"&amp;$A93&amp;"'!$A$12:$Z$41"),MATCH("Points (Auto-generate)",INDIRECT("'"&amp;$A93&amp;"'!$A$12:$Z$12"),0),0)),"ER"))</f>
        <v>?</v>
      </c>
      <c r="AJ93" s="78" t="str">
        <f aca="true">IF($H93=0,"NA",IF($A93=INDIRECT("'"&amp;$A93&amp;"'!$B$1"),IF(VLOOKUP(AJ$1,INDIRECT("'"&amp;$A93&amp;"'!$A$12:$Z$41"),MATCH("Points (Auto-generate)",INDIRECT("'"&amp;$A93&amp;"'!$A$12:$Z$12"),0),0)="","?",VLOOKUP(AJ$1,INDIRECT("'"&amp;$A93&amp;"'!$A$12:$Z$41"),MATCH("Points (Auto-generate)",INDIRECT("'"&amp;$A93&amp;"'!$A$12:$Z$12"),0),0)),"ER"))</f>
        <v>?</v>
      </c>
      <c r="AK93" s="78" t="str">
        <f aca="true">IF($H93=0,"NA",IF($A93=INDIRECT("'"&amp;$A93&amp;"'!$B$1"),IF(VLOOKUP(AK$1,INDIRECT("'"&amp;$A93&amp;"'!$A$12:$Z$41"),MATCH("Points (Auto-generate)",INDIRECT("'"&amp;$A93&amp;"'!$A$12:$Z$12"),0),0)="","?",VLOOKUP(AK$1,INDIRECT("'"&amp;$A93&amp;"'!$A$12:$Z$41"),MATCH("Points (Auto-generate)",INDIRECT("'"&amp;$A93&amp;"'!$A$12:$Z$12"),0),0)),"ER"))</f>
        <v>?</v>
      </c>
    </row>
    <row r="94" customFormat="false" ht="14.25" hidden="false" customHeight="true" outlineLevel="0" collapsed="false">
      <c r="A94" s="74" t="s">
        <v>422</v>
      </c>
      <c r="B94" s="75" t="str">
        <f aca="false">IF(ISBLANK($A94),"NO_CODE",VLOOKUP($A94,'UPD Questions_290926 '!$E$1:$N$300,MATCH(B$1,'UPD Questions_290926 '!$E$1:$N$1,0),0)&amp;"")</f>
        <v>Implementation</v>
      </c>
      <c r="C94" s="75" t="str">
        <f aca="false">IF(ISBLANK($A94),"NO_CODE",VLOOKUP($A94,'UPD Questions_290926 '!$E$1:$N$300,MATCH(C$1,'UPD Questions_290926 '!$E$1:$N$1,0),0)&amp;"")</f>
        <v>Development Control Regulations and land-management instruments</v>
      </c>
      <c r="D94" s="75" t="str">
        <f aca="false">IF(ISBLANK($A94),"NO_CODE",VLOOKUP($A94,'UPD Questions_290926 '!$E$1:$N$300,MATCH(D$1,'UPD Questions_290926 '!$E$1:$N$1,0),0)&amp;"")</f>
        <v>DCR revision and public consultation</v>
      </c>
      <c r="E94" s="75" t="str">
        <f aca="false">IF(ISBLANK($A94),"NO_CODE",VLOOKUP($A94,'UPD Questions_290926 '!$E$1:$N$300,MATCH(E$1,'UPD Questions_290926 '!$E$1:$N$1,0),0)&amp;"")</f>
        <v>SQ</v>
      </c>
      <c r="F94" s="75" t="str">
        <f aca="false">IF(ISBLANK($A94),"NO_CODE",VLOOKUP($A94,'UPD Questions_290926 '!$E$1:$N$300,MATCH(F$1,'UPD Questions_290926 '!$E$1:$N$1,0),0)&amp;"")</f>
        <v>Do the DCRs provide development controls, standards or incentives that promote environmental sustainability and climate resilience?</v>
      </c>
      <c r="G94" s="75" t="str">
        <f aca="false">IF(ISBLANK($A94),"NO_CODE",VLOOKUP($A94,'UPD Questions_290926 '!$E$1:$N$300,MATCH(G$1,'UPD Questions_290926 '!$E$1:$N$1,0),0)&amp;"")</f>
        <v>Law or Policy</v>
      </c>
      <c r="H94" s="77" t="n">
        <f aca="false">IF(ISBLANK($A94),"NO_CODE",VLOOKUP($A94,'UPD Questions_290926 '!$E$1:$N$300,MATCH(H$1,'UPD Questions_290926 '!$E$1:$N$1,0),0))</f>
        <v>2</v>
      </c>
      <c r="I94" s="78" t="str">
        <f aca="true">IF($H94=0,"NA",IF($A94=INDIRECT("'"&amp;$A94&amp;"'!$B$1"),IF(VLOOKUP(I$1,INDIRECT("'"&amp;$A94&amp;"'!$A$12:$Z$41"),MATCH("Points (Auto-generate)",INDIRECT("'"&amp;$A94&amp;"'!$A$12:$Z$12"),0),0)="","?",VLOOKUP(I$1,INDIRECT("'"&amp;$A94&amp;"'!$A$12:$Z$41"),MATCH("Points (Auto-generate)",INDIRECT("'"&amp;$A94&amp;"'!$A$12:$Z$12"),0),0)),"ER"))</f>
        <v>?</v>
      </c>
      <c r="J94" s="78" t="n">
        <f aca="true">IF($H94=0,"NA",IF($A94=INDIRECT("'"&amp;$A94&amp;"'!$B$1"),IF(VLOOKUP(J$1,INDIRECT("'"&amp;$A94&amp;"'!$A$12:$Z$41"),MATCH("Points (Auto-generate)",INDIRECT("'"&amp;$A94&amp;"'!$A$12:$Z$12"),0),0)="","?",VLOOKUP(J$1,INDIRECT("'"&amp;$A94&amp;"'!$A$12:$Z$41"),MATCH("Points (Auto-generate)",INDIRECT("'"&amp;$A94&amp;"'!$A$12:$Z$12"),0),0)),"ER"))</f>
        <v>0</v>
      </c>
      <c r="K94" s="78" t="str">
        <f aca="true">IF($H94=0,"NA",IF($A94=INDIRECT("'"&amp;$A94&amp;"'!$B$1"),IF(VLOOKUP(K$1,INDIRECT("'"&amp;$A94&amp;"'!$A$12:$Z$41"),MATCH("Points (Auto-generate)",INDIRECT("'"&amp;$A94&amp;"'!$A$12:$Z$12"),0),0)="","?",VLOOKUP(K$1,INDIRECT("'"&amp;$A94&amp;"'!$A$12:$Z$41"),MATCH("Points (Auto-generate)",INDIRECT("'"&amp;$A94&amp;"'!$A$12:$Z$12"),0),0)),"ER"))</f>
        <v>?</v>
      </c>
      <c r="L94" s="78" t="str">
        <f aca="true">IF($H94=0,"NA",IF($A94=INDIRECT("'"&amp;$A94&amp;"'!$B$1"),IF(VLOOKUP(L$1,INDIRECT("'"&amp;$A94&amp;"'!$A$12:$Z$41"),MATCH("Points (Auto-generate)",INDIRECT("'"&amp;$A94&amp;"'!$A$12:$Z$12"),0),0)="","?",VLOOKUP(L$1,INDIRECT("'"&amp;$A94&amp;"'!$A$12:$Z$41"),MATCH("Points (Auto-generate)",INDIRECT("'"&amp;$A94&amp;"'!$A$12:$Z$12"),0),0)),"ER"))</f>
        <v>?</v>
      </c>
      <c r="M94" s="78" t="str">
        <f aca="true">IF($H94=0,"NA",IF($A94=INDIRECT("'"&amp;$A94&amp;"'!$B$1"),IF(VLOOKUP(M$1,INDIRECT("'"&amp;$A94&amp;"'!$A$12:$Z$41"),MATCH("Points (Auto-generate)",INDIRECT("'"&amp;$A94&amp;"'!$A$12:$Z$12"),0),0)="","?",VLOOKUP(M$1,INDIRECT("'"&amp;$A94&amp;"'!$A$12:$Z$41"),MATCH("Points (Auto-generate)",INDIRECT("'"&amp;$A94&amp;"'!$A$12:$Z$12"),0),0)),"ER"))</f>
        <v>?</v>
      </c>
      <c r="N94" s="78" t="str">
        <f aca="true">IF($H94=0,"NA",IF($A94=INDIRECT("'"&amp;$A94&amp;"'!$B$1"),IF(VLOOKUP(N$1,INDIRECT("'"&amp;$A94&amp;"'!$A$12:$Z$41"),MATCH("Points (Auto-generate)",INDIRECT("'"&amp;$A94&amp;"'!$A$12:$Z$12"),0),0)="","?",VLOOKUP(N$1,INDIRECT("'"&amp;$A94&amp;"'!$A$12:$Z$41"),MATCH("Points (Auto-generate)",INDIRECT("'"&amp;$A94&amp;"'!$A$12:$Z$12"),0),0)),"ER"))</f>
        <v>?</v>
      </c>
      <c r="O94" s="78" t="str">
        <f aca="true">IF($H94=0,"NA",IF($A94=INDIRECT("'"&amp;$A94&amp;"'!$B$1"),IF(VLOOKUP(O$1,INDIRECT("'"&amp;$A94&amp;"'!$A$12:$Z$41"),MATCH("Points (Auto-generate)",INDIRECT("'"&amp;$A94&amp;"'!$A$12:$Z$12"),0),0)="","?",VLOOKUP(O$1,INDIRECT("'"&amp;$A94&amp;"'!$A$12:$Z$41"),MATCH("Points (Auto-generate)",INDIRECT("'"&amp;$A94&amp;"'!$A$12:$Z$12"),0),0)),"ER"))</f>
        <v>?</v>
      </c>
      <c r="P94" s="78" t="str">
        <f aca="true">IF($H94=0,"NA",IF($A94=INDIRECT("'"&amp;$A94&amp;"'!$B$1"),IF(VLOOKUP(P$1,INDIRECT("'"&amp;$A94&amp;"'!$A$12:$Z$41"),MATCH("Points (Auto-generate)",INDIRECT("'"&amp;$A94&amp;"'!$A$12:$Z$12"),0),0)="","?",VLOOKUP(P$1,INDIRECT("'"&amp;$A94&amp;"'!$A$12:$Z$41"),MATCH("Points (Auto-generate)",INDIRECT("'"&amp;$A94&amp;"'!$A$12:$Z$12"),0),0)),"ER"))</f>
        <v>?</v>
      </c>
      <c r="Q94" s="78" t="str">
        <f aca="true">IF($H94=0,"NA",IF($A94=INDIRECT("'"&amp;$A94&amp;"'!$B$1"),IF(VLOOKUP(Q$1,INDIRECT("'"&amp;$A94&amp;"'!$A$12:$Z$41"),MATCH("Points (Auto-generate)",INDIRECT("'"&amp;$A94&amp;"'!$A$12:$Z$12"),0),0)="","?",VLOOKUP(Q$1,INDIRECT("'"&amp;$A94&amp;"'!$A$12:$Z$41"),MATCH("Points (Auto-generate)",INDIRECT("'"&amp;$A94&amp;"'!$A$12:$Z$12"),0),0)),"ER"))</f>
        <v>?</v>
      </c>
      <c r="R94" s="78" t="str">
        <f aca="true">IF($H94=0,"NA",IF($A94=INDIRECT("'"&amp;$A94&amp;"'!$B$1"),IF(VLOOKUP(R$1,INDIRECT("'"&amp;$A94&amp;"'!$A$12:$Z$41"),MATCH("Points (Auto-generate)",INDIRECT("'"&amp;$A94&amp;"'!$A$12:$Z$12"),0),0)="","?",VLOOKUP(R$1,INDIRECT("'"&amp;$A94&amp;"'!$A$12:$Z$41"),MATCH("Points (Auto-generate)",INDIRECT("'"&amp;$A94&amp;"'!$A$12:$Z$12"),0),0)),"ER"))</f>
        <v>?</v>
      </c>
      <c r="S94" s="78" t="str">
        <f aca="true">IF($H94=0,"NA",IF($A94=INDIRECT("'"&amp;$A94&amp;"'!$B$1"),IF(VLOOKUP(S$1,INDIRECT("'"&amp;$A94&amp;"'!$A$12:$Z$41"),MATCH("Points (Auto-generate)",INDIRECT("'"&amp;$A94&amp;"'!$A$12:$Z$12"),0),0)="","?",VLOOKUP(S$1,INDIRECT("'"&amp;$A94&amp;"'!$A$12:$Z$41"),MATCH("Points (Auto-generate)",INDIRECT("'"&amp;$A94&amp;"'!$A$12:$Z$12"),0),0)),"ER"))</f>
        <v>?</v>
      </c>
      <c r="T94" s="78" t="str">
        <f aca="true">IF($H94=0,"NA",IF($A94=INDIRECT("'"&amp;$A94&amp;"'!$B$1"),IF(VLOOKUP(T$1,INDIRECT("'"&amp;$A94&amp;"'!$A$12:$Z$41"),MATCH("Points (Auto-generate)",INDIRECT("'"&amp;$A94&amp;"'!$A$12:$Z$12"),0),0)="","?",VLOOKUP(T$1,INDIRECT("'"&amp;$A94&amp;"'!$A$12:$Z$41"),MATCH("Points (Auto-generate)",INDIRECT("'"&amp;$A94&amp;"'!$A$12:$Z$12"),0),0)),"ER"))</f>
        <v>?</v>
      </c>
      <c r="U94" s="78" t="str">
        <f aca="true">IF($H94=0,"NA",IF($A94=INDIRECT("'"&amp;$A94&amp;"'!$B$1"),IF(VLOOKUP(U$1,INDIRECT("'"&amp;$A94&amp;"'!$A$12:$Z$41"),MATCH("Points (Auto-generate)",INDIRECT("'"&amp;$A94&amp;"'!$A$12:$Z$12"),0),0)="","?",VLOOKUP(U$1,INDIRECT("'"&amp;$A94&amp;"'!$A$12:$Z$41"),MATCH("Points (Auto-generate)",INDIRECT("'"&amp;$A94&amp;"'!$A$12:$Z$12"),0),0)),"ER"))</f>
        <v>?</v>
      </c>
      <c r="V94" s="78" t="str">
        <f aca="true">IF($H94=0,"NA",IF($A94=INDIRECT("'"&amp;$A94&amp;"'!$B$1"),IF(VLOOKUP(V$1,INDIRECT("'"&amp;$A94&amp;"'!$A$12:$Z$41"),MATCH("Points (Auto-generate)",INDIRECT("'"&amp;$A94&amp;"'!$A$12:$Z$12"),0),0)="","?",VLOOKUP(V$1,INDIRECT("'"&amp;$A94&amp;"'!$A$12:$Z$41"),MATCH("Points (Auto-generate)",INDIRECT("'"&amp;$A94&amp;"'!$A$12:$Z$12"),0),0)),"ER"))</f>
        <v>?</v>
      </c>
      <c r="W94" s="78" t="str">
        <f aca="true">IF($H94=0,"NA",IF($A94=INDIRECT("'"&amp;$A94&amp;"'!$B$1"),IF(VLOOKUP(W$1,INDIRECT("'"&amp;$A94&amp;"'!$A$12:$Z$41"),MATCH("Points (Auto-generate)",INDIRECT("'"&amp;$A94&amp;"'!$A$12:$Z$12"),0),0)="","?",VLOOKUP(W$1,INDIRECT("'"&amp;$A94&amp;"'!$A$12:$Z$41"),MATCH("Points (Auto-generate)",INDIRECT("'"&amp;$A94&amp;"'!$A$12:$Z$12"),0),0)),"ER"))</f>
        <v>?</v>
      </c>
      <c r="X94" s="78" t="str">
        <f aca="true">IF($H94=0,"NA",IF($A94=INDIRECT("'"&amp;$A94&amp;"'!$B$1"),IF(VLOOKUP(X$1,INDIRECT("'"&amp;$A94&amp;"'!$A$12:$Z$41"),MATCH("Points (Auto-generate)",INDIRECT("'"&amp;$A94&amp;"'!$A$12:$Z$12"),0),0)="","?",VLOOKUP(X$1,INDIRECT("'"&amp;$A94&amp;"'!$A$12:$Z$41"),MATCH("Points (Auto-generate)",INDIRECT("'"&amp;$A94&amp;"'!$A$12:$Z$12"),0),0)),"ER"))</f>
        <v>?</v>
      </c>
      <c r="Y94" s="78" t="str">
        <f aca="true">IF($H94=0,"NA",IF($A94=INDIRECT("'"&amp;$A94&amp;"'!$B$1"),IF(VLOOKUP(Y$1,INDIRECT("'"&amp;$A94&amp;"'!$A$12:$Z$41"),MATCH("Points (Auto-generate)",INDIRECT("'"&amp;$A94&amp;"'!$A$12:$Z$12"),0),0)="","?",VLOOKUP(Y$1,INDIRECT("'"&amp;$A94&amp;"'!$A$12:$Z$41"),MATCH("Points (Auto-generate)",INDIRECT("'"&amp;$A94&amp;"'!$A$12:$Z$12"),0),0)),"ER"))</f>
        <v>?</v>
      </c>
      <c r="Z94" s="78" t="str">
        <f aca="true">IF($H94=0,"NA",IF($A94=INDIRECT("'"&amp;$A94&amp;"'!$B$1"),IF(VLOOKUP(Z$1,INDIRECT("'"&amp;$A94&amp;"'!$A$12:$Z$41"),MATCH("Points (Auto-generate)",INDIRECT("'"&amp;$A94&amp;"'!$A$12:$Z$12"),0),0)="","?",VLOOKUP(Z$1,INDIRECT("'"&amp;$A94&amp;"'!$A$12:$Z$41"),MATCH("Points (Auto-generate)",INDIRECT("'"&amp;$A94&amp;"'!$A$12:$Z$12"),0),0)),"ER"))</f>
        <v>?</v>
      </c>
      <c r="AA94" s="78" t="str">
        <f aca="true">IF($H94=0,"NA",IF($A94=INDIRECT("'"&amp;$A94&amp;"'!$B$1"),IF(VLOOKUP(AA$1,INDIRECT("'"&amp;$A94&amp;"'!$A$12:$Z$41"),MATCH("Points (Auto-generate)",INDIRECT("'"&amp;$A94&amp;"'!$A$12:$Z$12"),0),0)="","?",VLOOKUP(AA$1,INDIRECT("'"&amp;$A94&amp;"'!$A$12:$Z$41"),MATCH("Points (Auto-generate)",INDIRECT("'"&amp;$A94&amp;"'!$A$12:$Z$12"),0),0)),"ER"))</f>
        <v>?</v>
      </c>
      <c r="AB94" s="78" t="str">
        <f aca="true">IF($H94=0,"NA",IF($A94=INDIRECT("'"&amp;$A94&amp;"'!$B$1"),IF(VLOOKUP(AB$1,INDIRECT("'"&amp;$A94&amp;"'!$A$12:$Z$41"),MATCH("Points (Auto-generate)",INDIRECT("'"&amp;$A94&amp;"'!$A$12:$Z$12"),0),0)="","?",VLOOKUP(AB$1,INDIRECT("'"&amp;$A94&amp;"'!$A$12:$Z$41"),MATCH("Points (Auto-generate)",INDIRECT("'"&amp;$A94&amp;"'!$A$12:$Z$12"),0),0)),"ER"))</f>
        <v>?</v>
      </c>
      <c r="AC94" s="78" t="str">
        <f aca="true">IF($H94=0,"NA",IF($A94=INDIRECT("'"&amp;$A94&amp;"'!$B$1"),IF(VLOOKUP(AC$1,INDIRECT("'"&amp;$A94&amp;"'!$A$12:$Z$41"),MATCH("Points (Auto-generate)",INDIRECT("'"&amp;$A94&amp;"'!$A$12:$Z$12"),0),0)="","?",VLOOKUP(AC$1,INDIRECT("'"&amp;$A94&amp;"'!$A$12:$Z$41"),MATCH("Points (Auto-generate)",INDIRECT("'"&amp;$A94&amp;"'!$A$12:$Z$12"),0),0)),"ER"))</f>
        <v>?</v>
      </c>
      <c r="AD94" s="78" t="str">
        <f aca="true">IF($H94=0,"NA",IF($A94=INDIRECT("'"&amp;$A94&amp;"'!$B$1"),IF(VLOOKUP(AD$1,INDIRECT("'"&amp;$A94&amp;"'!$A$12:$Z$41"),MATCH("Points (Auto-generate)",INDIRECT("'"&amp;$A94&amp;"'!$A$12:$Z$12"),0),0)="","?",VLOOKUP(AD$1,INDIRECT("'"&amp;$A94&amp;"'!$A$12:$Z$41"),MATCH("Points (Auto-generate)",INDIRECT("'"&amp;$A94&amp;"'!$A$12:$Z$12"),0),0)),"ER"))</f>
        <v>?</v>
      </c>
      <c r="AE94" s="78" t="str">
        <f aca="true">IF($H94=0,"NA",IF($A94=INDIRECT("'"&amp;$A94&amp;"'!$B$1"),IF(VLOOKUP(AE$1,INDIRECT("'"&amp;$A94&amp;"'!$A$12:$Z$41"),MATCH("Points (Auto-generate)",INDIRECT("'"&amp;$A94&amp;"'!$A$12:$Z$12"),0),0)="","?",VLOOKUP(AE$1,INDIRECT("'"&amp;$A94&amp;"'!$A$12:$Z$41"),MATCH("Points (Auto-generate)",INDIRECT("'"&amp;$A94&amp;"'!$A$12:$Z$12"),0),0)),"ER"))</f>
        <v>?</v>
      </c>
      <c r="AF94" s="78" t="str">
        <f aca="true">IF($H94=0,"NA",IF($A94=INDIRECT("'"&amp;$A94&amp;"'!$B$1"),IF(VLOOKUP(AF$1,INDIRECT("'"&amp;$A94&amp;"'!$A$12:$Z$41"),MATCH("Points (Auto-generate)",INDIRECT("'"&amp;$A94&amp;"'!$A$12:$Z$12"),0),0)="","?",VLOOKUP(AF$1,INDIRECT("'"&amp;$A94&amp;"'!$A$12:$Z$41"),MATCH("Points (Auto-generate)",INDIRECT("'"&amp;$A94&amp;"'!$A$12:$Z$12"),0),0)),"ER"))</f>
        <v>?</v>
      </c>
      <c r="AG94" s="78" t="str">
        <f aca="true">IF($H94=0,"NA",IF($A94=INDIRECT("'"&amp;$A94&amp;"'!$B$1"),IF(VLOOKUP(AG$1,INDIRECT("'"&amp;$A94&amp;"'!$A$12:$Z$41"),MATCH("Points (Auto-generate)",INDIRECT("'"&amp;$A94&amp;"'!$A$12:$Z$12"),0),0)="","?",VLOOKUP(AG$1,INDIRECT("'"&amp;$A94&amp;"'!$A$12:$Z$41"),MATCH("Points (Auto-generate)",INDIRECT("'"&amp;$A94&amp;"'!$A$12:$Z$12"),0),0)),"ER"))</f>
        <v>?</v>
      </c>
      <c r="AH94" s="78" t="str">
        <f aca="true">IF($H94=0,"NA",IF($A94=INDIRECT("'"&amp;$A94&amp;"'!$B$1"),IF(VLOOKUP(AH$1,INDIRECT("'"&amp;$A94&amp;"'!$A$12:$Z$41"),MATCH("Points (Auto-generate)",INDIRECT("'"&amp;$A94&amp;"'!$A$12:$Z$12"),0),0)="","?",VLOOKUP(AH$1,INDIRECT("'"&amp;$A94&amp;"'!$A$12:$Z$41"),MATCH("Points (Auto-generate)",INDIRECT("'"&amp;$A94&amp;"'!$A$12:$Z$12"),0),0)),"ER"))</f>
        <v>?</v>
      </c>
      <c r="AI94" s="78" t="str">
        <f aca="true">IF($H94=0,"NA",IF($A94=INDIRECT("'"&amp;$A94&amp;"'!$B$1"),IF(VLOOKUP(AI$1,INDIRECT("'"&amp;$A94&amp;"'!$A$12:$Z$41"),MATCH("Points (Auto-generate)",INDIRECT("'"&amp;$A94&amp;"'!$A$12:$Z$12"),0),0)="","?",VLOOKUP(AI$1,INDIRECT("'"&amp;$A94&amp;"'!$A$12:$Z$41"),MATCH("Points (Auto-generate)",INDIRECT("'"&amp;$A94&amp;"'!$A$12:$Z$12"),0),0)),"ER"))</f>
        <v>?</v>
      </c>
      <c r="AJ94" s="78" t="str">
        <f aca="true">IF($H94=0,"NA",IF($A94=INDIRECT("'"&amp;$A94&amp;"'!$B$1"),IF(VLOOKUP(AJ$1,INDIRECT("'"&amp;$A94&amp;"'!$A$12:$Z$41"),MATCH("Points (Auto-generate)",INDIRECT("'"&amp;$A94&amp;"'!$A$12:$Z$12"),0),0)="","?",VLOOKUP(AJ$1,INDIRECT("'"&amp;$A94&amp;"'!$A$12:$Z$41"),MATCH("Points (Auto-generate)",INDIRECT("'"&amp;$A94&amp;"'!$A$12:$Z$12"),0),0)),"ER"))</f>
        <v>?</v>
      </c>
      <c r="AK94" s="78" t="str">
        <f aca="true">IF($H94=0,"NA",IF($A94=INDIRECT("'"&amp;$A94&amp;"'!$B$1"),IF(VLOOKUP(AK$1,INDIRECT("'"&amp;$A94&amp;"'!$A$12:$Z$41"),MATCH("Points (Auto-generate)",INDIRECT("'"&amp;$A94&amp;"'!$A$12:$Z$12"),0),0)="","?",VLOOKUP(AK$1,INDIRECT("'"&amp;$A94&amp;"'!$A$12:$Z$41"),MATCH("Points (Auto-generate)",INDIRECT("'"&amp;$A94&amp;"'!$A$12:$Z$12"),0),0)),"ER"))</f>
        <v>?</v>
      </c>
    </row>
    <row r="95" customFormat="false" ht="14.25" hidden="false" customHeight="true" outlineLevel="0" collapsed="false">
      <c r="A95" s="74" t="s">
        <v>427</v>
      </c>
      <c r="B95" s="75" t="str">
        <f aca="false">IF(ISBLANK($A95),"NO_CODE",VLOOKUP($A95,'UPD Questions_290926 '!$E$1:$N$300,MATCH(B$1,'UPD Questions_290926 '!$E$1:$N$1,0),0)&amp;"")</f>
        <v>Implementation</v>
      </c>
      <c r="C95" s="75" t="str">
        <f aca="false">IF(ISBLANK($A95),"NO_CODE",VLOOKUP($A95,'UPD Questions_290926 '!$E$1:$N$300,MATCH(C$1,'UPD Questions_290926 '!$E$1:$N$1,0),0)&amp;"")</f>
        <v>Development Control Regulations and land-management instruments</v>
      </c>
      <c r="D95" s="75" t="str">
        <f aca="false">IF(ISBLANK($A95),"NO_CODE",VLOOKUP($A95,'UPD Questions_290926 '!$E$1:$N$300,MATCH(D$1,'UPD Questions_290926 '!$E$1:$N$1,0),0)&amp;"")</f>
        <v>DCR revision and public consultation</v>
      </c>
      <c r="E95" s="75" t="str">
        <f aca="false">IF(ISBLANK($A95),"NO_CODE",VLOOKUP($A95,'UPD Questions_290926 '!$E$1:$N$300,MATCH(E$1,'UPD Questions_290926 '!$E$1:$N$1,0),0)&amp;"")</f>
        <v>SQ</v>
      </c>
      <c r="F95" s="75" t="str">
        <f aca="false">IF(ISBLANK($A95),"NO_CODE",VLOOKUP($A95,'UPD Questions_290926 '!$E$1:$N$300,MATCH(F$1,'UPD Questions_290926 '!$E$1:$N$1,0),0)&amp;"")</f>
        <v>Do the DCRs provide development controls or standards that promote positive public-health outcomes?</v>
      </c>
      <c r="G95" s="75" t="str">
        <f aca="false">IF(ISBLANK($A95),"NO_CODE",VLOOKUP($A95,'UPD Questions_290926 '!$E$1:$N$300,MATCH(G$1,'UPD Questions_290926 '!$E$1:$N$1,0),0)&amp;"")</f>
        <v>Law or Policy</v>
      </c>
      <c r="H95" s="77" t="n">
        <f aca="false">IF(ISBLANK($A95),"NO_CODE",VLOOKUP($A95,'UPD Questions_290926 '!$E$1:$N$300,MATCH(H$1,'UPD Questions_290926 '!$E$1:$N$1,0),0))</f>
        <v>2</v>
      </c>
      <c r="I95" s="78" t="str">
        <f aca="true">IF($H95=0,"NA",IF($A95=INDIRECT("'"&amp;$A95&amp;"'!$B$1"),IF(VLOOKUP(I$1,INDIRECT("'"&amp;$A95&amp;"'!$A$12:$Z$41"),MATCH("Points (Auto-generate)",INDIRECT("'"&amp;$A95&amp;"'!$A$12:$Z$12"),0),0)="","?",VLOOKUP(I$1,INDIRECT("'"&amp;$A95&amp;"'!$A$12:$Z$41"),MATCH("Points (Auto-generate)",INDIRECT("'"&amp;$A95&amp;"'!$A$12:$Z$12"),0),0)),"ER"))</f>
        <v>?</v>
      </c>
      <c r="J95" s="78" t="n">
        <f aca="true">IF($H95=0,"NA",IF($A95=INDIRECT("'"&amp;$A95&amp;"'!$B$1"),IF(VLOOKUP(J$1,INDIRECT("'"&amp;$A95&amp;"'!$A$12:$Z$41"),MATCH("Points (Auto-generate)",INDIRECT("'"&amp;$A95&amp;"'!$A$12:$Z$12"),0),0)="","?",VLOOKUP(J$1,INDIRECT("'"&amp;$A95&amp;"'!$A$12:$Z$41"),MATCH("Points (Auto-generate)",INDIRECT("'"&amp;$A95&amp;"'!$A$12:$Z$12"),0),0)),"ER"))</f>
        <v>0</v>
      </c>
      <c r="K95" s="78" t="str">
        <f aca="true">IF($H95=0,"NA",IF($A95=INDIRECT("'"&amp;$A95&amp;"'!$B$1"),IF(VLOOKUP(K$1,INDIRECT("'"&amp;$A95&amp;"'!$A$12:$Z$41"),MATCH("Points (Auto-generate)",INDIRECT("'"&amp;$A95&amp;"'!$A$12:$Z$12"),0),0)="","?",VLOOKUP(K$1,INDIRECT("'"&amp;$A95&amp;"'!$A$12:$Z$41"),MATCH("Points (Auto-generate)",INDIRECT("'"&amp;$A95&amp;"'!$A$12:$Z$12"),0),0)),"ER"))</f>
        <v>?</v>
      </c>
      <c r="L95" s="78" t="str">
        <f aca="true">IF($H95=0,"NA",IF($A95=INDIRECT("'"&amp;$A95&amp;"'!$B$1"),IF(VLOOKUP(L$1,INDIRECT("'"&amp;$A95&amp;"'!$A$12:$Z$41"),MATCH("Points (Auto-generate)",INDIRECT("'"&amp;$A95&amp;"'!$A$12:$Z$12"),0),0)="","?",VLOOKUP(L$1,INDIRECT("'"&amp;$A95&amp;"'!$A$12:$Z$41"),MATCH("Points (Auto-generate)",INDIRECT("'"&amp;$A95&amp;"'!$A$12:$Z$12"),0),0)),"ER"))</f>
        <v>?</v>
      </c>
      <c r="M95" s="78" t="str">
        <f aca="true">IF($H95=0,"NA",IF($A95=INDIRECT("'"&amp;$A95&amp;"'!$B$1"),IF(VLOOKUP(M$1,INDIRECT("'"&amp;$A95&amp;"'!$A$12:$Z$41"),MATCH("Points (Auto-generate)",INDIRECT("'"&amp;$A95&amp;"'!$A$12:$Z$12"),0),0)="","?",VLOOKUP(M$1,INDIRECT("'"&amp;$A95&amp;"'!$A$12:$Z$41"),MATCH("Points (Auto-generate)",INDIRECT("'"&amp;$A95&amp;"'!$A$12:$Z$12"),0),0)),"ER"))</f>
        <v>?</v>
      </c>
      <c r="N95" s="78" t="str">
        <f aca="true">IF($H95=0,"NA",IF($A95=INDIRECT("'"&amp;$A95&amp;"'!$B$1"),IF(VLOOKUP(N$1,INDIRECT("'"&amp;$A95&amp;"'!$A$12:$Z$41"),MATCH("Points (Auto-generate)",INDIRECT("'"&amp;$A95&amp;"'!$A$12:$Z$12"),0),0)="","?",VLOOKUP(N$1,INDIRECT("'"&amp;$A95&amp;"'!$A$12:$Z$41"),MATCH("Points (Auto-generate)",INDIRECT("'"&amp;$A95&amp;"'!$A$12:$Z$12"),0),0)),"ER"))</f>
        <v>?</v>
      </c>
      <c r="O95" s="78" t="str">
        <f aca="true">IF($H95=0,"NA",IF($A95=INDIRECT("'"&amp;$A95&amp;"'!$B$1"),IF(VLOOKUP(O$1,INDIRECT("'"&amp;$A95&amp;"'!$A$12:$Z$41"),MATCH("Points (Auto-generate)",INDIRECT("'"&amp;$A95&amp;"'!$A$12:$Z$12"),0),0)="","?",VLOOKUP(O$1,INDIRECT("'"&amp;$A95&amp;"'!$A$12:$Z$41"),MATCH("Points (Auto-generate)",INDIRECT("'"&amp;$A95&amp;"'!$A$12:$Z$12"),0),0)),"ER"))</f>
        <v>?</v>
      </c>
      <c r="P95" s="78" t="str">
        <f aca="true">IF($H95=0,"NA",IF($A95=INDIRECT("'"&amp;$A95&amp;"'!$B$1"),IF(VLOOKUP(P$1,INDIRECT("'"&amp;$A95&amp;"'!$A$12:$Z$41"),MATCH("Points (Auto-generate)",INDIRECT("'"&amp;$A95&amp;"'!$A$12:$Z$12"),0),0)="","?",VLOOKUP(P$1,INDIRECT("'"&amp;$A95&amp;"'!$A$12:$Z$41"),MATCH("Points (Auto-generate)",INDIRECT("'"&amp;$A95&amp;"'!$A$12:$Z$12"),0),0)),"ER"))</f>
        <v>?</v>
      </c>
      <c r="Q95" s="78" t="str">
        <f aca="true">IF($H95=0,"NA",IF($A95=INDIRECT("'"&amp;$A95&amp;"'!$B$1"),IF(VLOOKUP(Q$1,INDIRECT("'"&amp;$A95&amp;"'!$A$12:$Z$41"),MATCH("Points (Auto-generate)",INDIRECT("'"&amp;$A95&amp;"'!$A$12:$Z$12"),0),0)="","?",VLOOKUP(Q$1,INDIRECT("'"&amp;$A95&amp;"'!$A$12:$Z$41"),MATCH("Points (Auto-generate)",INDIRECT("'"&amp;$A95&amp;"'!$A$12:$Z$12"),0),0)),"ER"))</f>
        <v>?</v>
      </c>
      <c r="R95" s="78" t="str">
        <f aca="true">IF($H95=0,"NA",IF($A95=INDIRECT("'"&amp;$A95&amp;"'!$B$1"),IF(VLOOKUP(R$1,INDIRECT("'"&amp;$A95&amp;"'!$A$12:$Z$41"),MATCH("Points (Auto-generate)",INDIRECT("'"&amp;$A95&amp;"'!$A$12:$Z$12"),0),0)="","?",VLOOKUP(R$1,INDIRECT("'"&amp;$A95&amp;"'!$A$12:$Z$41"),MATCH("Points (Auto-generate)",INDIRECT("'"&amp;$A95&amp;"'!$A$12:$Z$12"),0),0)),"ER"))</f>
        <v>?</v>
      </c>
      <c r="S95" s="78" t="str">
        <f aca="true">IF($H95=0,"NA",IF($A95=INDIRECT("'"&amp;$A95&amp;"'!$B$1"),IF(VLOOKUP(S$1,INDIRECT("'"&amp;$A95&amp;"'!$A$12:$Z$41"),MATCH("Points (Auto-generate)",INDIRECT("'"&amp;$A95&amp;"'!$A$12:$Z$12"),0),0)="","?",VLOOKUP(S$1,INDIRECT("'"&amp;$A95&amp;"'!$A$12:$Z$41"),MATCH("Points (Auto-generate)",INDIRECT("'"&amp;$A95&amp;"'!$A$12:$Z$12"),0),0)),"ER"))</f>
        <v>?</v>
      </c>
      <c r="T95" s="78" t="str">
        <f aca="true">IF($H95=0,"NA",IF($A95=INDIRECT("'"&amp;$A95&amp;"'!$B$1"),IF(VLOOKUP(T$1,INDIRECT("'"&amp;$A95&amp;"'!$A$12:$Z$41"),MATCH("Points (Auto-generate)",INDIRECT("'"&amp;$A95&amp;"'!$A$12:$Z$12"),0),0)="","?",VLOOKUP(T$1,INDIRECT("'"&amp;$A95&amp;"'!$A$12:$Z$41"),MATCH("Points (Auto-generate)",INDIRECT("'"&amp;$A95&amp;"'!$A$12:$Z$12"),0),0)),"ER"))</f>
        <v>?</v>
      </c>
      <c r="U95" s="78" t="str">
        <f aca="true">IF($H95=0,"NA",IF($A95=INDIRECT("'"&amp;$A95&amp;"'!$B$1"),IF(VLOOKUP(U$1,INDIRECT("'"&amp;$A95&amp;"'!$A$12:$Z$41"),MATCH("Points (Auto-generate)",INDIRECT("'"&amp;$A95&amp;"'!$A$12:$Z$12"),0),0)="","?",VLOOKUP(U$1,INDIRECT("'"&amp;$A95&amp;"'!$A$12:$Z$41"),MATCH("Points (Auto-generate)",INDIRECT("'"&amp;$A95&amp;"'!$A$12:$Z$12"),0),0)),"ER"))</f>
        <v>?</v>
      </c>
      <c r="V95" s="78" t="str">
        <f aca="true">IF($H95=0,"NA",IF($A95=INDIRECT("'"&amp;$A95&amp;"'!$B$1"),IF(VLOOKUP(V$1,INDIRECT("'"&amp;$A95&amp;"'!$A$12:$Z$41"),MATCH("Points (Auto-generate)",INDIRECT("'"&amp;$A95&amp;"'!$A$12:$Z$12"),0),0)="","?",VLOOKUP(V$1,INDIRECT("'"&amp;$A95&amp;"'!$A$12:$Z$41"),MATCH("Points (Auto-generate)",INDIRECT("'"&amp;$A95&amp;"'!$A$12:$Z$12"),0),0)),"ER"))</f>
        <v>?</v>
      </c>
      <c r="W95" s="78" t="str">
        <f aca="true">IF($H95=0,"NA",IF($A95=INDIRECT("'"&amp;$A95&amp;"'!$B$1"),IF(VLOOKUP(W$1,INDIRECT("'"&amp;$A95&amp;"'!$A$12:$Z$41"),MATCH("Points (Auto-generate)",INDIRECT("'"&amp;$A95&amp;"'!$A$12:$Z$12"),0),0)="","?",VLOOKUP(W$1,INDIRECT("'"&amp;$A95&amp;"'!$A$12:$Z$41"),MATCH("Points (Auto-generate)",INDIRECT("'"&amp;$A95&amp;"'!$A$12:$Z$12"),0),0)),"ER"))</f>
        <v>?</v>
      </c>
      <c r="X95" s="78" t="str">
        <f aca="true">IF($H95=0,"NA",IF($A95=INDIRECT("'"&amp;$A95&amp;"'!$B$1"),IF(VLOOKUP(X$1,INDIRECT("'"&amp;$A95&amp;"'!$A$12:$Z$41"),MATCH("Points (Auto-generate)",INDIRECT("'"&amp;$A95&amp;"'!$A$12:$Z$12"),0),0)="","?",VLOOKUP(X$1,INDIRECT("'"&amp;$A95&amp;"'!$A$12:$Z$41"),MATCH("Points (Auto-generate)",INDIRECT("'"&amp;$A95&amp;"'!$A$12:$Z$12"),0),0)),"ER"))</f>
        <v>?</v>
      </c>
      <c r="Y95" s="78" t="str">
        <f aca="true">IF($H95=0,"NA",IF($A95=INDIRECT("'"&amp;$A95&amp;"'!$B$1"),IF(VLOOKUP(Y$1,INDIRECT("'"&amp;$A95&amp;"'!$A$12:$Z$41"),MATCH("Points (Auto-generate)",INDIRECT("'"&amp;$A95&amp;"'!$A$12:$Z$12"),0),0)="","?",VLOOKUP(Y$1,INDIRECT("'"&amp;$A95&amp;"'!$A$12:$Z$41"),MATCH("Points (Auto-generate)",INDIRECT("'"&amp;$A95&amp;"'!$A$12:$Z$12"),0),0)),"ER"))</f>
        <v>?</v>
      </c>
      <c r="Z95" s="78" t="str">
        <f aca="true">IF($H95=0,"NA",IF($A95=INDIRECT("'"&amp;$A95&amp;"'!$B$1"),IF(VLOOKUP(Z$1,INDIRECT("'"&amp;$A95&amp;"'!$A$12:$Z$41"),MATCH("Points (Auto-generate)",INDIRECT("'"&amp;$A95&amp;"'!$A$12:$Z$12"),0),0)="","?",VLOOKUP(Z$1,INDIRECT("'"&amp;$A95&amp;"'!$A$12:$Z$41"),MATCH("Points (Auto-generate)",INDIRECT("'"&amp;$A95&amp;"'!$A$12:$Z$12"),0),0)),"ER"))</f>
        <v>?</v>
      </c>
      <c r="AA95" s="78" t="str">
        <f aca="true">IF($H95=0,"NA",IF($A95=INDIRECT("'"&amp;$A95&amp;"'!$B$1"),IF(VLOOKUP(AA$1,INDIRECT("'"&amp;$A95&amp;"'!$A$12:$Z$41"),MATCH("Points (Auto-generate)",INDIRECT("'"&amp;$A95&amp;"'!$A$12:$Z$12"),0),0)="","?",VLOOKUP(AA$1,INDIRECT("'"&amp;$A95&amp;"'!$A$12:$Z$41"),MATCH("Points (Auto-generate)",INDIRECT("'"&amp;$A95&amp;"'!$A$12:$Z$12"),0),0)),"ER"))</f>
        <v>?</v>
      </c>
      <c r="AB95" s="78" t="str">
        <f aca="true">IF($H95=0,"NA",IF($A95=INDIRECT("'"&amp;$A95&amp;"'!$B$1"),IF(VLOOKUP(AB$1,INDIRECT("'"&amp;$A95&amp;"'!$A$12:$Z$41"),MATCH("Points (Auto-generate)",INDIRECT("'"&amp;$A95&amp;"'!$A$12:$Z$12"),0),0)="","?",VLOOKUP(AB$1,INDIRECT("'"&amp;$A95&amp;"'!$A$12:$Z$41"),MATCH("Points (Auto-generate)",INDIRECT("'"&amp;$A95&amp;"'!$A$12:$Z$12"),0),0)),"ER"))</f>
        <v>?</v>
      </c>
      <c r="AC95" s="78" t="str">
        <f aca="true">IF($H95=0,"NA",IF($A95=INDIRECT("'"&amp;$A95&amp;"'!$B$1"),IF(VLOOKUP(AC$1,INDIRECT("'"&amp;$A95&amp;"'!$A$12:$Z$41"),MATCH("Points (Auto-generate)",INDIRECT("'"&amp;$A95&amp;"'!$A$12:$Z$12"),0),0)="","?",VLOOKUP(AC$1,INDIRECT("'"&amp;$A95&amp;"'!$A$12:$Z$41"),MATCH("Points (Auto-generate)",INDIRECT("'"&amp;$A95&amp;"'!$A$12:$Z$12"),0),0)),"ER"))</f>
        <v>?</v>
      </c>
      <c r="AD95" s="78" t="str">
        <f aca="true">IF($H95=0,"NA",IF($A95=INDIRECT("'"&amp;$A95&amp;"'!$B$1"),IF(VLOOKUP(AD$1,INDIRECT("'"&amp;$A95&amp;"'!$A$12:$Z$41"),MATCH("Points (Auto-generate)",INDIRECT("'"&amp;$A95&amp;"'!$A$12:$Z$12"),0),0)="","?",VLOOKUP(AD$1,INDIRECT("'"&amp;$A95&amp;"'!$A$12:$Z$41"),MATCH("Points (Auto-generate)",INDIRECT("'"&amp;$A95&amp;"'!$A$12:$Z$12"),0),0)),"ER"))</f>
        <v>?</v>
      </c>
      <c r="AE95" s="78" t="str">
        <f aca="true">IF($H95=0,"NA",IF($A95=INDIRECT("'"&amp;$A95&amp;"'!$B$1"),IF(VLOOKUP(AE$1,INDIRECT("'"&amp;$A95&amp;"'!$A$12:$Z$41"),MATCH("Points (Auto-generate)",INDIRECT("'"&amp;$A95&amp;"'!$A$12:$Z$12"),0),0)="","?",VLOOKUP(AE$1,INDIRECT("'"&amp;$A95&amp;"'!$A$12:$Z$41"),MATCH("Points (Auto-generate)",INDIRECT("'"&amp;$A95&amp;"'!$A$12:$Z$12"),0),0)),"ER"))</f>
        <v>?</v>
      </c>
      <c r="AF95" s="78" t="str">
        <f aca="true">IF($H95=0,"NA",IF($A95=INDIRECT("'"&amp;$A95&amp;"'!$B$1"),IF(VLOOKUP(AF$1,INDIRECT("'"&amp;$A95&amp;"'!$A$12:$Z$41"),MATCH("Points (Auto-generate)",INDIRECT("'"&amp;$A95&amp;"'!$A$12:$Z$12"),0),0)="","?",VLOOKUP(AF$1,INDIRECT("'"&amp;$A95&amp;"'!$A$12:$Z$41"),MATCH("Points (Auto-generate)",INDIRECT("'"&amp;$A95&amp;"'!$A$12:$Z$12"),0),0)),"ER"))</f>
        <v>?</v>
      </c>
      <c r="AG95" s="78" t="str">
        <f aca="true">IF($H95=0,"NA",IF($A95=INDIRECT("'"&amp;$A95&amp;"'!$B$1"),IF(VLOOKUP(AG$1,INDIRECT("'"&amp;$A95&amp;"'!$A$12:$Z$41"),MATCH("Points (Auto-generate)",INDIRECT("'"&amp;$A95&amp;"'!$A$12:$Z$12"),0),0)="","?",VLOOKUP(AG$1,INDIRECT("'"&amp;$A95&amp;"'!$A$12:$Z$41"),MATCH("Points (Auto-generate)",INDIRECT("'"&amp;$A95&amp;"'!$A$12:$Z$12"),0),0)),"ER"))</f>
        <v>?</v>
      </c>
      <c r="AH95" s="78" t="str">
        <f aca="true">IF($H95=0,"NA",IF($A95=INDIRECT("'"&amp;$A95&amp;"'!$B$1"),IF(VLOOKUP(AH$1,INDIRECT("'"&amp;$A95&amp;"'!$A$12:$Z$41"),MATCH("Points (Auto-generate)",INDIRECT("'"&amp;$A95&amp;"'!$A$12:$Z$12"),0),0)="","?",VLOOKUP(AH$1,INDIRECT("'"&amp;$A95&amp;"'!$A$12:$Z$41"),MATCH("Points (Auto-generate)",INDIRECT("'"&amp;$A95&amp;"'!$A$12:$Z$12"),0),0)),"ER"))</f>
        <v>?</v>
      </c>
      <c r="AI95" s="78" t="str">
        <f aca="true">IF($H95=0,"NA",IF($A95=INDIRECT("'"&amp;$A95&amp;"'!$B$1"),IF(VLOOKUP(AI$1,INDIRECT("'"&amp;$A95&amp;"'!$A$12:$Z$41"),MATCH("Points (Auto-generate)",INDIRECT("'"&amp;$A95&amp;"'!$A$12:$Z$12"),0),0)="","?",VLOOKUP(AI$1,INDIRECT("'"&amp;$A95&amp;"'!$A$12:$Z$41"),MATCH("Points (Auto-generate)",INDIRECT("'"&amp;$A95&amp;"'!$A$12:$Z$12"),0),0)),"ER"))</f>
        <v>?</v>
      </c>
      <c r="AJ95" s="78" t="str">
        <f aca="true">IF($H95=0,"NA",IF($A95=INDIRECT("'"&amp;$A95&amp;"'!$B$1"),IF(VLOOKUP(AJ$1,INDIRECT("'"&amp;$A95&amp;"'!$A$12:$Z$41"),MATCH("Points (Auto-generate)",INDIRECT("'"&amp;$A95&amp;"'!$A$12:$Z$12"),0),0)="","?",VLOOKUP(AJ$1,INDIRECT("'"&amp;$A95&amp;"'!$A$12:$Z$41"),MATCH("Points (Auto-generate)",INDIRECT("'"&amp;$A95&amp;"'!$A$12:$Z$12"),0),0)),"ER"))</f>
        <v>?</v>
      </c>
      <c r="AK95" s="78" t="str">
        <f aca="true">IF($H95=0,"NA",IF($A95=INDIRECT("'"&amp;$A95&amp;"'!$B$1"),IF(VLOOKUP(AK$1,INDIRECT("'"&amp;$A95&amp;"'!$A$12:$Z$41"),MATCH("Points (Auto-generate)",INDIRECT("'"&amp;$A95&amp;"'!$A$12:$Z$12"),0),0)="","?",VLOOKUP(AK$1,INDIRECT("'"&amp;$A95&amp;"'!$A$12:$Z$41"),MATCH("Points (Auto-generate)",INDIRECT("'"&amp;$A95&amp;"'!$A$12:$Z$12"),0),0)),"ER"))</f>
        <v>?</v>
      </c>
    </row>
    <row r="96" customFormat="false" ht="14.25" hidden="false" customHeight="true" outlineLevel="0" collapsed="false">
      <c r="A96" s="74" t="s">
        <v>431</v>
      </c>
      <c r="B96" s="75" t="str">
        <f aca="false">IF(ISBLANK($A96),"NO_CODE",VLOOKUP($A96,'UPD Questions_290926 '!$E$1:$N$300,MATCH(B$1,'UPD Questions_290926 '!$E$1:$N$1,0),0)&amp;"")</f>
        <v>Implementation</v>
      </c>
      <c r="C96" s="75" t="str">
        <f aca="false">IF(ISBLANK($A96),"NO_CODE",VLOOKUP($A96,'UPD Questions_290926 '!$E$1:$N$300,MATCH(C$1,'UPD Questions_290926 '!$E$1:$N$1,0),0)&amp;"")</f>
        <v>Development Control Regulations and land-management instruments</v>
      </c>
      <c r="D96" s="75" t="str">
        <f aca="false">IF(ISBLANK($A96),"NO_CODE",VLOOKUP($A96,'UPD Questions_290926 '!$E$1:$N$300,MATCH(D$1,'UPD Questions_290926 '!$E$1:$N$1,0),0)&amp;"")</f>
        <v>DCR revision and public consultation</v>
      </c>
      <c r="E96" s="75" t="str">
        <f aca="false">IF(ISBLANK($A96),"NO_CODE",VLOOKUP($A96,'UPD Questions_290926 '!$E$1:$N$300,MATCH(E$1,'UPD Questions_290926 '!$E$1:$N$1,0),0)&amp;"")</f>
        <v>SQ</v>
      </c>
      <c r="F96" s="75" t="str">
        <f aca="false">IF(ISBLANK($A96),"NO_CODE",VLOOKUP($A96,'UPD Questions_290926 '!$E$1:$N$300,MATCH(F$1,'UPD Questions_290926 '!$E$1:$N$1,0),0)&amp;"")</f>
        <v>Do the DCRs provide development controls, standards or incentives that enable the conservation and adaptive reuse of heritage buildings, precincts or historic areas?</v>
      </c>
      <c r="G96" s="75" t="str">
        <f aca="false">IF(ISBLANK($A96),"NO_CODE",VLOOKUP($A96,'UPD Questions_290926 '!$E$1:$N$300,MATCH(G$1,'UPD Questions_290926 '!$E$1:$N$1,0),0)&amp;"")</f>
        <v>Law or Policy</v>
      </c>
      <c r="H96" s="77" t="n">
        <f aca="false">IF(ISBLANK($A96),"NO_CODE",VLOOKUP($A96,'UPD Questions_290926 '!$E$1:$N$300,MATCH(H$1,'UPD Questions_290926 '!$E$1:$N$1,0),0))</f>
        <v>2</v>
      </c>
      <c r="I96" s="78" t="str">
        <f aca="true">IF($H96=0,"NA",IF($A96=INDIRECT("'"&amp;$A96&amp;"'!$B$1"),IF(VLOOKUP(I$1,INDIRECT("'"&amp;$A96&amp;"'!$A$12:$Z$41"),MATCH("Points (Auto-generate)",INDIRECT("'"&amp;$A96&amp;"'!$A$12:$Z$12"),0),0)="","?",VLOOKUP(I$1,INDIRECT("'"&amp;$A96&amp;"'!$A$12:$Z$41"),MATCH("Points (Auto-generate)",INDIRECT("'"&amp;$A96&amp;"'!$A$12:$Z$12"),0),0)),"ER"))</f>
        <v>?</v>
      </c>
      <c r="J96" s="78" t="n">
        <f aca="true">IF($H96=0,"NA",IF($A96=INDIRECT("'"&amp;$A96&amp;"'!$B$1"),IF(VLOOKUP(J$1,INDIRECT("'"&amp;$A96&amp;"'!$A$12:$Z$41"),MATCH("Points (Auto-generate)",INDIRECT("'"&amp;$A96&amp;"'!$A$12:$Z$12"),0),0)="","?",VLOOKUP(J$1,INDIRECT("'"&amp;$A96&amp;"'!$A$12:$Z$41"),MATCH("Points (Auto-generate)",INDIRECT("'"&amp;$A96&amp;"'!$A$12:$Z$12"),0),0)),"ER"))</f>
        <v>0</v>
      </c>
      <c r="K96" s="78" t="str">
        <f aca="true">IF($H96=0,"NA",IF($A96=INDIRECT("'"&amp;$A96&amp;"'!$B$1"),IF(VLOOKUP(K$1,INDIRECT("'"&amp;$A96&amp;"'!$A$12:$Z$41"),MATCH("Points (Auto-generate)",INDIRECT("'"&amp;$A96&amp;"'!$A$12:$Z$12"),0),0)="","?",VLOOKUP(K$1,INDIRECT("'"&amp;$A96&amp;"'!$A$12:$Z$41"),MATCH("Points (Auto-generate)",INDIRECT("'"&amp;$A96&amp;"'!$A$12:$Z$12"),0),0)),"ER"))</f>
        <v>?</v>
      </c>
      <c r="L96" s="78" t="str">
        <f aca="true">IF($H96=0,"NA",IF($A96=INDIRECT("'"&amp;$A96&amp;"'!$B$1"),IF(VLOOKUP(L$1,INDIRECT("'"&amp;$A96&amp;"'!$A$12:$Z$41"),MATCH("Points (Auto-generate)",INDIRECT("'"&amp;$A96&amp;"'!$A$12:$Z$12"),0),0)="","?",VLOOKUP(L$1,INDIRECT("'"&amp;$A96&amp;"'!$A$12:$Z$41"),MATCH("Points (Auto-generate)",INDIRECT("'"&amp;$A96&amp;"'!$A$12:$Z$12"),0),0)),"ER"))</f>
        <v>?</v>
      </c>
      <c r="M96" s="78" t="str">
        <f aca="true">IF($H96=0,"NA",IF($A96=INDIRECT("'"&amp;$A96&amp;"'!$B$1"),IF(VLOOKUP(M$1,INDIRECT("'"&amp;$A96&amp;"'!$A$12:$Z$41"),MATCH("Points (Auto-generate)",INDIRECT("'"&amp;$A96&amp;"'!$A$12:$Z$12"),0),0)="","?",VLOOKUP(M$1,INDIRECT("'"&amp;$A96&amp;"'!$A$12:$Z$41"),MATCH("Points (Auto-generate)",INDIRECT("'"&amp;$A96&amp;"'!$A$12:$Z$12"),0),0)),"ER"))</f>
        <v>?</v>
      </c>
      <c r="N96" s="78" t="str">
        <f aca="true">IF($H96=0,"NA",IF($A96=INDIRECT("'"&amp;$A96&amp;"'!$B$1"),IF(VLOOKUP(N$1,INDIRECT("'"&amp;$A96&amp;"'!$A$12:$Z$41"),MATCH("Points (Auto-generate)",INDIRECT("'"&amp;$A96&amp;"'!$A$12:$Z$12"),0),0)="","?",VLOOKUP(N$1,INDIRECT("'"&amp;$A96&amp;"'!$A$12:$Z$41"),MATCH("Points (Auto-generate)",INDIRECT("'"&amp;$A96&amp;"'!$A$12:$Z$12"),0),0)),"ER"))</f>
        <v>?</v>
      </c>
      <c r="O96" s="78" t="str">
        <f aca="true">IF($H96=0,"NA",IF($A96=INDIRECT("'"&amp;$A96&amp;"'!$B$1"),IF(VLOOKUP(O$1,INDIRECT("'"&amp;$A96&amp;"'!$A$12:$Z$41"),MATCH("Points (Auto-generate)",INDIRECT("'"&amp;$A96&amp;"'!$A$12:$Z$12"),0),0)="","?",VLOOKUP(O$1,INDIRECT("'"&amp;$A96&amp;"'!$A$12:$Z$41"),MATCH("Points (Auto-generate)",INDIRECT("'"&amp;$A96&amp;"'!$A$12:$Z$12"),0),0)),"ER"))</f>
        <v>?</v>
      </c>
      <c r="P96" s="78" t="str">
        <f aca="true">IF($H96=0,"NA",IF($A96=INDIRECT("'"&amp;$A96&amp;"'!$B$1"),IF(VLOOKUP(P$1,INDIRECT("'"&amp;$A96&amp;"'!$A$12:$Z$41"),MATCH("Points (Auto-generate)",INDIRECT("'"&amp;$A96&amp;"'!$A$12:$Z$12"),0),0)="","?",VLOOKUP(P$1,INDIRECT("'"&amp;$A96&amp;"'!$A$12:$Z$41"),MATCH("Points (Auto-generate)",INDIRECT("'"&amp;$A96&amp;"'!$A$12:$Z$12"),0),0)),"ER"))</f>
        <v>?</v>
      </c>
      <c r="Q96" s="78" t="str">
        <f aca="true">IF($H96=0,"NA",IF($A96=INDIRECT("'"&amp;$A96&amp;"'!$B$1"),IF(VLOOKUP(Q$1,INDIRECT("'"&amp;$A96&amp;"'!$A$12:$Z$41"),MATCH("Points (Auto-generate)",INDIRECT("'"&amp;$A96&amp;"'!$A$12:$Z$12"),0),0)="","?",VLOOKUP(Q$1,INDIRECT("'"&amp;$A96&amp;"'!$A$12:$Z$41"),MATCH("Points (Auto-generate)",INDIRECT("'"&amp;$A96&amp;"'!$A$12:$Z$12"),0),0)),"ER"))</f>
        <v>?</v>
      </c>
      <c r="R96" s="78" t="str">
        <f aca="true">IF($H96=0,"NA",IF($A96=INDIRECT("'"&amp;$A96&amp;"'!$B$1"),IF(VLOOKUP(R$1,INDIRECT("'"&amp;$A96&amp;"'!$A$12:$Z$41"),MATCH("Points (Auto-generate)",INDIRECT("'"&amp;$A96&amp;"'!$A$12:$Z$12"),0),0)="","?",VLOOKUP(R$1,INDIRECT("'"&amp;$A96&amp;"'!$A$12:$Z$41"),MATCH("Points (Auto-generate)",INDIRECT("'"&amp;$A96&amp;"'!$A$12:$Z$12"),0),0)),"ER"))</f>
        <v>?</v>
      </c>
      <c r="S96" s="78" t="str">
        <f aca="true">IF($H96=0,"NA",IF($A96=INDIRECT("'"&amp;$A96&amp;"'!$B$1"),IF(VLOOKUP(S$1,INDIRECT("'"&amp;$A96&amp;"'!$A$12:$Z$41"),MATCH("Points (Auto-generate)",INDIRECT("'"&amp;$A96&amp;"'!$A$12:$Z$12"),0),0)="","?",VLOOKUP(S$1,INDIRECT("'"&amp;$A96&amp;"'!$A$12:$Z$41"),MATCH("Points (Auto-generate)",INDIRECT("'"&amp;$A96&amp;"'!$A$12:$Z$12"),0),0)),"ER"))</f>
        <v>?</v>
      </c>
      <c r="T96" s="78" t="str">
        <f aca="true">IF($H96=0,"NA",IF($A96=INDIRECT("'"&amp;$A96&amp;"'!$B$1"),IF(VLOOKUP(T$1,INDIRECT("'"&amp;$A96&amp;"'!$A$12:$Z$41"),MATCH("Points (Auto-generate)",INDIRECT("'"&amp;$A96&amp;"'!$A$12:$Z$12"),0),0)="","?",VLOOKUP(T$1,INDIRECT("'"&amp;$A96&amp;"'!$A$12:$Z$41"),MATCH("Points (Auto-generate)",INDIRECT("'"&amp;$A96&amp;"'!$A$12:$Z$12"),0),0)),"ER"))</f>
        <v>?</v>
      </c>
      <c r="U96" s="78" t="str">
        <f aca="true">IF($H96=0,"NA",IF($A96=INDIRECT("'"&amp;$A96&amp;"'!$B$1"),IF(VLOOKUP(U$1,INDIRECT("'"&amp;$A96&amp;"'!$A$12:$Z$41"),MATCH("Points (Auto-generate)",INDIRECT("'"&amp;$A96&amp;"'!$A$12:$Z$12"),0),0)="","?",VLOOKUP(U$1,INDIRECT("'"&amp;$A96&amp;"'!$A$12:$Z$41"),MATCH("Points (Auto-generate)",INDIRECT("'"&amp;$A96&amp;"'!$A$12:$Z$12"),0),0)),"ER"))</f>
        <v>?</v>
      </c>
      <c r="V96" s="78" t="str">
        <f aca="true">IF($H96=0,"NA",IF($A96=INDIRECT("'"&amp;$A96&amp;"'!$B$1"),IF(VLOOKUP(V$1,INDIRECT("'"&amp;$A96&amp;"'!$A$12:$Z$41"),MATCH("Points (Auto-generate)",INDIRECT("'"&amp;$A96&amp;"'!$A$12:$Z$12"),0),0)="","?",VLOOKUP(V$1,INDIRECT("'"&amp;$A96&amp;"'!$A$12:$Z$41"),MATCH("Points (Auto-generate)",INDIRECT("'"&amp;$A96&amp;"'!$A$12:$Z$12"),0),0)),"ER"))</f>
        <v>?</v>
      </c>
      <c r="W96" s="78" t="str">
        <f aca="true">IF($H96=0,"NA",IF($A96=INDIRECT("'"&amp;$A96&amp;"'!$B$1"),IF(VLOOKUP(W$1,INDIRECT("'"&amp;$A96&amp;"'!$A$12:$Z$41"),MATCH("Points (Auto-generate)",INDIRECT("'"&amp;$A96&amp;"'!$A$12:$Z$12"),0),0)="","?",VLOOKUP(W$1,INDIRECT("'"&amp;$A96&amp;"'!$A$12:$Z$41"),MATCH("Points (Auto-generate)",INDIRECT("'"&amp;$A96&amp;"'!$A$12:$Z$12"),0),0)),"ER"))</f>
        <v>?</v>
      </c>
      <c r="X96" s="78" t="str">
        <f aca="true">IF($H96=0,"NA",IF($A96=INDIRECT("'"&amp;$A96&amp;"'!$B$1"),IF(VLOOKUP(X$1,INDIRECT("'"&amp;$A96&amp;"'!$A$12:$Z$41"),MATCH("Points (Auto-generate)",INDIRECT("'"&amp;$A96&amp;"'!$A$12:$Z$12"),0),0)="","?",VLOOKUP(X$1,INDIRECT("'"&amp;$A96&amp;"'!$A$12:$Z$41"),MATCH("Points (Auto-generate)",INDIRECT("'"&amp;$A96&amp;"'!$A$12:$Z$12"),0),0)),"ER"))</f>
        <v>?</v>
      </c>
      <c r="Y96" s="78" t="str">
        <f aca="true">IF($H96=0,"NA",IF($A96=INDIRECT("'"&amp;$A96&amp;"'!$B$1"),IF(VLOOKUP(Y$1,INDIRECT("'"&amp;$A96&amp;"'!$A$12:$Z$41"),MATCH("Points (Auto-generate)",INDIRECT("'"&amp;$A96&amp;"'!$A$12:$Z$12"),0),0)="","?",VLOOKUP(Y$1,INDIRECT("'"&amp;$A96&amp;"'!$A$12:$Z$41"),MATCH("Points (Auto-generate)",INDIRECT("'"&amp;$A96&amp;"'!$A$12:$Z$12"),0),0)),"ER"))</f>
        <v>?</v>
      </c>
      <c r="Z96" s="78" t="str">
        <f aca="true">IF($H96=0,"NA",IF($A96=INDIRECT("'"&amp;$A96&amp;"'!$B$1"),IF(VLOOKUP(Z$1,INDIRECT("'"&amp;$A96&amp;"'!$A$12:$Z$41"),MATCH("Points (Auto-generate)",INDIRECT("'"&amp;$A96&amp;"'!$A$12:$Z$12"),0),0)="","?",VLOOKUP(Z$1,INDIRECT("'"&amp;$A96&amp;"'!$A$12:$Z$41"),MATCH("Points (Auto-generate)",INDIRECT("'"&amp;$A96&amp;"'!$A$12:$Z$12"),0),0)),"ER"))</f>
        <v>?</v>
      </c>
      <c r="AA96" s="78" t="str">
        <f aca="true">IF($H96=0,"NA",IF($A96=INDIRECT("'"&amp;$A96&amp;"'!$B$1"),IF(VLOOKUP(AA$1,INDIRECT("'"&amp;$A96&amp;"'!$A$12:$Z$41"),MATCH("Points (Auto-generate)",INDIRECT("'"&amp;$A96&amp;"'!$A$12:$Z$12"),0),0)="","?",VLOOKUP(AA$1,INDIRECT("'"&amp;$A96&amp;"'!$A$12:$Z$41"),MATCH("Points (Auto-generate)",INDIRECT("'"&amp;$A96&amp;"'!$A$12:$Z$12"),0),0)),"ER"))</f>
        <v>?</v>
      </c>
      <c r="AB96" s="78" t="str">
        <f aca="true">IF($H96=0,"NA",IF($A96=INDIRECT("'"&amp;$A96&amp;"'!$B$1"),IF(VLOOKUP(AB$1,INDIRECT("'"&amp;$A96&amp;"'!$A$12:$Z$41"),MATCH("Points (Auto-generate)",INDIRECT("'"&amp;$A96&amp;"'!$A$12:$Z$12"),0),0)="","?",VLOOKUP(AB$1,INDIRECT("'"&amp;$A96&amp;"'!$A$12:$Z$41"),MATCH("Points (Auto-generate)",INDIRECT("'"&amp;$A96&amp;"'!$A$12:$Z$12"),0),0)),"ER"))</f>
        <v>?</v>
      </c>
      <c r="AC96" s="78" t="str">
        <f aca="true">IF($H96=0,"NA",IF($A96=INDIRECT("'"&amp;$A96&amp;"'!$B$1"),IF(VLOOKUP(AC$1,INDIRECT("'"&amp;$A96&amp;"'!$A$12:$Z$41"),MATCH("Points (Auto-generate)",INDIRECT("'"&amp;$A96&amp;"'!$A$12:$Z$12"),0),0)="","?",VLOOKUP(AC$1,INDIRECT("'"&amp;$A96&amp;"'!$A$12:$Z$41"),MATCH("Points (Auto-generate)",INDIRECT("'"&amp;$A96&amp;"'!$A$12:$Z$12"),0),0)),"ER"))</f>
        <v>?</v>
      </c>
      <c r="AD96" s="78" t="str">
        <f aca="true">IF($H96=0,"NA",IF($A96=INDIRECT("'"&amp;$A96&amp;"'!$B$1"),IF(VLOOKUP(AD$1,INDIRECT("'"&amp;$A96&amp;"'!$A$12:$Z$41"),MATCH("Points (Auto-generate)",INDIRECT("'"&amp;$A96&amp;"'!$A$12:$Z$12"),0),0)="","?",VLOOKUP(AD$1,INDIRECT("'"&amp;$A96&amp;"'!$A$12:$Z$41"),MATCH("Points (Auto-generate)",INDIRECT("'"&amp;$A96&amp;"'!$A$12:$Z$12"),0),0)),"ER"))</f>
        <v>?</v>
      </c>
      <c r="AE96" s="78" t="str">
        <f aca="true">IF($H96=0,"NA",IF($A96=INDIRECT("'"&amp;$A96&amp;"'!$B$1"),IF(VLOOKUP(AE$1,INDIRECT("'"&amp;$A96&amp;"'!$A$12:$Z$41"),MATCH("Points (Auto-generate)",INDIRECT("'"&amp;$A96&amp;"'!$A$12:$Z$12"),0),0)="","?",VLOOKUP(AE$1,INDIRECT("'"&amp;$A96&amp;"'!$A$12:$Z$41"),MATCH("Points (Auto-generate)",INDIRECT("'"&amp;$A96&amp;"'!$A$12:$Z$12"),0),0)),"ER"))</f>
        <v>?</v>
      </c>
      <c r="AF96" s="78" t="str">
        <f aca="true">IF($H96=0,"NA",IF($A96=INDIRECT("'"&amp;$A96&amp;"'!$B$1"),IF(VLOOKUP(AF$1,INDIRECT("'"&amp;$A96&amp;"'!$A$12:$Z$41"),MATCH("Points (Auto-generate)",INDIRECT("'"&amp;$A96&amp;"'!$A$12:$Z$12"),0),0)="","?",VLOOKUP(AF$1,INDIRECT("'"&amp;$A96&amp;"'!$A$12:$Z$41"),MATCH("Points (Auto-generate)",INDIRECT("'"&amp;$A96&amp;"'!$A$12:$Z$12"),0),0)),"ER"))</f>
        <v>?</v>
      </c>
      <c r="AG96" s="78" t="str">
        <f aca="true">IF($H96=0,"NA",IF($A96=INDIRECT("'"&amp;$A96&amp;"'!$B$1"),IF(VLOOKUP(AG$1,INDIRECT("'"&amp;$A96&amp;"'!$A$12:$Z$41"),MATCH("Points (Auto-generate)",INDIRECT("'"&amp;$A96&amp;"'!$A$12:$Z$12"),0),0)="","?",VLOOKUP(AG$1,INDIRECT("'"&amp;$A96&amp;"'!$A$12:$Z$41"),MATCH("Points (Auto-generate)",INDIRECT("'"&amp;$A96&amp;"'!$A$12:$Z$12"),0),0)),"ER"))</f>
        <v>?</v>
      </c>
      <c r="AH96" s="78" t="str">
        <f aca="true">IF($H96=0,"NA",IF($A96=INDIRECT("'"&amp;$A96&amp;"'!$B$1"),IF(VLOOKUP(AH$1,INDIRECT("'"&amp;$A96&amp;"'!$A$12:$Z$41"),MATCH("Points (Auto-generate)",INDIRECT("'"&amp;$A96&amp;"'!$A$12:$Z$12"),0),0)="","?",VLOOKUP(AH$1,INDIRECT("'"&amp;$A96&amp;"'!$A$12:$Z$41"),MATCH("Points (Auto-generate)",INDIRECT("'"&amp;$A96&amp;"'!$A$12:$Z$12"),0),0)),"ER"))</f>
        <v>?</v>
      </c>
      <c r="AI96" s="78" t="str">
        <f aca="true">IF($H96=0,"NA",IF($A96=INDIRECT("'"&amp;$A96&amp;"'!$B$1"),IF(VLOOKUP(AI$1,INDIRECT("'"&amp;$A96&amp;"'!$A$12:$Z$41"),MATCH("Points (Auto-generate)",INDIRECT("'"&amp;$A96&amp;"'!$A$12:$Z$12"),0),0)="","?",VLOOKUP(AI$1,INDIRECT("'"&amp;$A96&amp;"'!$A$12:$Z$41"),MATCH("Points (Auto-generate)",INDIRECT("'"&amp;$A96&amp;"'!$A$12:$Z$12"),0),0)),"ER"))</f>
        <v>?</v>
      </c>
      <c r="AJ96" s="78" t="str">
        <f aca="true">IF($H96=0,"NA",IF($A96=INDIRECT("'"&amp;$A96&amp;"'!$B$1"),IF(VLOOKUP(AJ$1,INDIRECT("'"&amp;$A96&amp;"'!$A$12:$Z$41"),MATCH("Points (Auto-generate)",INDIRECT("'"&amp;$A96&amp;"'!$A$12:$Z$12"),0),0)="","?",VLOOKUP(AJ$1,INDIRECT("'"&amp;$A96&amp;"'!$A$12:$Z$41"),MATCH("Points (Auto-generate)",INDIRECT("'"&amp;$A96&amp;"'!$A$12:$Z$12"),0),0)),"ER"))</f>
        <v>?</v>
      </c>
      <c r="AK96" s="78" t="str">
        <f aca="true">IF($H96=0,"NA",IF($A96=INDIRECT("'"&amp;$A96&amp;"'!$B$1"),IF(VLOOKUP(AK$1,INDIRECT("'"&amp;$A96&amp;"'!$A$12:$Z$41"),MATCH("Points (Auto-generate)",INDIRECT("'"&amp;$A96&amp;"'!$A$12:$Z$12"),0),0)="","?",VLOOKUP(AK$1,INDIRECT("'"&amp;$A96&amp;"'!$A$12:$Z$41"),MATCH("Points (Auto-generate)",INDIRECT("'"&amp;$A96&amp;"'!$A$12:$Z$12"),0),0)),"ER"))</f>
        <v>?</v>
      </c>
    </row>
    <row r="97" customFormat="false" ht="14.25" hidden="false" customHeight="true" outlineLevel="0" collapsed="false">
      <c r="A97" s="74" t="s">
        <v>110</v>
      </c>
      <c r="B97" s="75" t="str">
        <f aca="false">IF(ISBLANK($A97),"NO_CODE",VLOOKUP($A97,'UPD Questions_290926 '!$E$1:$N$300,MATCH(B$1,'UPD Questions_290926 '!$E$1:$N$1,0),0)&amp;"")</f>
        <v>Implementation</v>
      </c>
      <c r="C97" s="75" t="str">
        <f aca="false">IF(ISBLANK($A97),"NO_CODE",VLOOKUP($A97,'UPD Questions_290926 '!$E$1:$N$300,MATCH(C$1,'UPD Questions_290926 '!$E$1:$N$1,0),0)&amp;"")</f>
        <v>Development Control Regulations and land-management instruments</v>
      </c>
      <c r="D97" s="75" t="str">
        <f aca="false">IF(ISBLANK($A97),"NO_CODE",VLOOKUP($A97,'UPD Questions_290926 '!$E$1:$N$300,MATCH(D$1,'UPD Questions_290926 '!$E$1:$N$1,0),0)&amp;"")</f>
        <v>Green-building incentives</v>
      </c>
      <c r="E97" s="75" t="str">
        <f aca="false">IF(ISBLANK($A97),"NO_CODE",VLOOKUP($A97,'UPD Questions_290926 '!$E$1:$N$300,MATCH(E$1,'UPD Questions_290926 '!$E$1:$N$1,0),0)&amp;"")</f>
        <v>MQ</v>
      </c>
      <c r="F97" s="75" t="str">
        <f aca="false">IF(ISBLANK($A97),"NO_CODE",VLOOKUP($A97,'UPD Questions_290926 '!$E$1:$N$300,MATCH(F$1,'UPD Questions_290926 '!$E$1:$N$1,0),0)&amp;"")</f>
        <v>Does the city have a mandate to provide incentives for green buildings, and are these incentives operationalised?</v>
      </c>
      <c r="G97" s="75" t="str">
        <f aca="false">IF(ISBLANK($A97),"NO_CODE",VLOOKUP($A97,'UPD Questions_290926 '!$E$1:$N$300,MATCH(G$1,'UPD Questions_290926 '!$E$1:$N$1,0),0)&amp;"")</f>
        <v>Law or Policy &amp; Implementation</v>
      </c>
      <c r="H97" s="77" t="n">
        <f aca="false">IF(ISBLANK($A97),"NO_CODE",VLOOKUP($A97,'UPD Questions_290926 '!$E$1:$N$300,MATCH(H$1,'UPD Questions_290926 '!$E$1:$N$1,0),0))</f>
        <v>10</v>
      </c>
      <c r="I97" s="78" t="str">
        <f aca="false">IF(OR(I98="ER",I99="ER"),"ER",IF(OR(I98="?",I99="?"),"?",IF(AND(I98="NA",I99="NA"),"NA",SUM(I98,I99)/((I98&lt;&gt;"NA")*$H$98+(I99&lt;&gt;"NA")*$H$99)*$H97)))</f>
        <v>?</v>
      </c>
      <c r="J97" s="78" t="str">
        <f aca="false">IF(OR(J98="ER",J99="ER"),"ER",IF(OR(J98="?",J99="?"),"?",IF(AND(J98="NA",J99="NA"),"NA",SUM(J98,J99)/((J98&lt;&gt;"NA")*$H$98+(J99&lt;&gt;"NA")*$H$99)*$H97)))</f>
        <v>?</v>
      </c>
      <c r="K97" s="78" t="str">
        <f aca="false">IF(OR(K98="ER",K99="ER"),"ER",IF(OR(K98="?",K99="?"),"?",IF(AND(K98="NA",K99="NA"),"NA",SUM(K98,K99)/((K98&lt;&gt;"NA")*$H$98+(K99&lt;&gt;"NA")*$H$99)*$H97)))</f>
        <v>?</v>
      </c>
      <c r="L97" s="78" t="str">
        <f aca="false">IF(OR(L98="ER",L99="ER"),"ER",IF(OR(L98="?",L99="?"),"?",IF(AND(L98="NA",L99="NA"),"NA",SUM(L98,L99)/((L98&lt;&gt;"NA")*$H$98+(L99&lt;&gt;"NA")*$H$99)*$H97)))</f>
        <v>?</v>
      </c>
      <c r="M97" s="78" t="str">
        <f aca="false">IF(OR(M98="ER",M99="ER"),"ER",IF(OR(M98="?",M99="?"),"?",IF(AND(M98="NA",M99="NA"),"NA",SUM(M98,M99)/((M98&lt;&gt;"NA")*$H$98+(M99&lt;&gt;"NA")*$H$99)*$H97)))</f>
        <v>?</v>
      </c>
      <c r="N97" s="78" t="str">
        <f aca="false">IF(OR(N98="ER",N99="ER"),"ER",IF(OR(N98="?",N99="?"),"?",IF(AND(N98="NA",N99="NA"),"NA",SUM(N98,N99)/((N98&lt;&gt;"NA")*$H$98+(N99&lt;&gt;"NA")*$H$99)*$H97)))</f>
        <v>?</v>
      </c>
      <c r="O97" s="78" t="str">
        <f aca="false">IF(OR(O98="ER",O99="ER"),"ER",IF(OR(O98="?",O99="?"),"?",IF(AND(O98="NA",O99="NA"),"NA",SUM(O98,O99)/((O98&lt;&gt;"NA")*$H$98+(O99&lt;&gt;"NA")*$H$99)*$H97)))</f>
        <v>?</v>
      </c>
      <c r="P97" s="78" t="str">
        <f aca="false">IF(OR(P98="ER",P99="ER"),"ER",IF(OR(P98="?",P99="?"),"?",IF(AND(P98="NA",P99="NA"),"NA",SUM(P98,P99)/((P98&lt;&gt;"NA")*$H$98+(P99&lt;&gt;"NA")*$H$99)*$H97)))</f>
        <v>?</v>
      </c>
      <c r="Q97" s="78" t="str">
        <f aca="false">IF(OR(Q98="ER",Q99="ER"),"ER",IF(OR(Q98="?",Q99="?"),"?",IF(AND(Q98="NA",Q99="NA"),"NA",SUM(Q98,Q99)/((Q98&lt;&gt;"NA")*$H$98+(Q99&lt;&gt;"NA")*$H$99)*$H97)))</f>
        <v>?</v>
      </c>
      <c r="R97" s="78" t="str">
        <f aca="false">IF(OR(R98="ER",R99="ER"),"ER",IF(OR(R98="?",R99="?"),"?",IF(AND(R98="NA",R99="NA"),"NA",SUM(R98,R99)/((R98&lt;&gt;"NA")*$H$98+(R99&lt;&gt;"NA")*$H$99)*$H97)))</f>
        <v>?</v>
      </c>
      <c r="S97" s="78" t="str">
        <f aca="false">IF(OR(S98="ER",S99="ER"),"ER",IF(OR(S98="?",S99="?"),"?",IF(AND(S98="NA",S99="NA"),"NA",SUM(S98,S99)/((S98&lt;&gt;"NA")*$H$98+(S99&lt;&gt;"NA")*$H$99)*$H97)))</f>
        <v>?</v>
      </c>
      <c r="T97" s="78" t="str">
        <f aca="false">IF(OR(T98="ER",T99="ER"),"ER",IF(OR(T98="?",T99="?"),"?",IF(AND(T98="NA",T99="NA"),"NA",SUM(T98,T99)/((T98&lt;&gt;"NA")*$H$98+(T99&lt;&gt;"NA")*$H$99)*$H97)))</f>
        <v>?</v>
      </c>
      <c r="U97" s="78" t="str">
        <f aca="false">IF(OR(U98="ER",U99="ER"),"ER",IF(OR(U98="?",U99="?"),"?",IF(AND(U98="NA",U99="NA"),"NA",SUM(U98,U99)/((U98&lt;&gt;"NA")*$H$98+(U99&lt;&gt;"NA")*$H$99)*$H97)))</f>
        <v>?</v>
      </c>
      <c r="V97" s="78" t="str">
        <f aca="false">IF(OR(V98="ER",V99="ER"),"ER",IF(OR(V98="?",V99="?"),"?",IF(AND(V98="NA",V99="NA"),"NA",SUM(V98,V99)/((V98&lt;&gt;"NA")*$H$98+(V99&lt;&gt;"NA")*$H$99)*$H97)))</f>
        <v>?</v>
      </c>
      <c r="W97" s="78" t="str">
        <f aca="false">IF(OR(W98="ER",W99="ER"),"ER",IF(OR(W98="?",W99="?"),"?",IF(AND(W98="NA",W99="NA"),"NA",SUM(W98,W99)/((W98&lt;&gt;"NA")*$H$98+(W99&lt;&gt;"NA")*$H$99)*$H97)))</f>
        <v>?</v>
      </c>
      <c r="X97" s="78" t="str">
        <f aca="false">IF(OR(X98="ER",X99="ER"),"ER",IF(OR(X98="?",X99="?"),"?",IF(AND(X98="NA",X99="NA"),"NA",SUM(X98,X99)/((X98&lt;&gt;"NA")*$H$98+(X99&lt;&gt;"NA")*$H$99)*$H97)))</f>
        <v>?</v>
      </c>
      <c r="Y97" s="78" t="str">
        <f aca="false">IF(OR(Y98="ER",Y99="ER"),"ER",IF(OR(Y98="?",Y99="?"),"?",IF(AND(Y98="NA",Y99="NA"),"NA",SUM(Y98,Y99)/((Y98&lt;&gt;"NA")*$H$98+(Y99&lt;&gt;"NA")*$H$99)*$H97)))</f>
        <v>?</v>
      </c>
      <c r="Z97" s="78" t="str">
        <f aca="false">IF(OR(Z98="ER",Z99="ER"),"ER",IF(OR(Z98="?",Z99="?"),"?",IF(AND(Z98="NA",Z99="NA"),"NA",SUM(Z98,Z99)/((Z98&lt;&gt;"NA")*$H$98+(Z99&lt;&gt;"NA")*$H$99)*$H97)))</f>
        <v>?</v>
      </c>
      <c r="AA97" s="78" t="str">
        <f aca="false">IF(OR(AA98="ER",AA99="ER"),"ER",IF(OR(AA98="?",AA99="?"),"?",IF(AND(AA98="NA",AA99="NA"),"NA",SUM(AA98,AA99)/((AA98&lt;&gt;"NA")*$H$98+(AA99&lt;&gt;"NA")*$H$99)*$H97)))</f>
        <v>?</v>
      </c>
      <c r="AB97" s="78" t="str">
        <f aca="false">IF(OR(AB98="ER",AB99="ER"),"ER",IF(OR(AB98="?",AB99="?"),"?",IF(AND(AB98="NA",AB99="NA"),"NA",SUM(AB98,AB99)/((AB98&lt;&gt;"NA")*$H$98+(AB99&lt;&gt;"NA")*$H$99)*$H97)))</f>
        <v>?</v>
      </c>
      <c r="AC97" s="78" t="str">
        <f aca="false">IF(OR(AC98="ER",AC99="ER"),"ER",IF(OR(AC98="?",AC99="?"),"?",IF(AND(AC98="NA",AC99="NA"),"NA",SUM(AC98,AC99)/((AC98&lt;&gt;"NA")*$H$98+(AC99&lt;&gt;"NA")*$H$99)*$H97)))</f>
        <v>?</v>
      </c>
      <c r="AD97" s="78" t="str">
        <f aca="false">IF(OR(AD98="ER",AD99="ER"),"ER",IF(OR(AD98="?",AD99="?"),"?",IF(AND(AD98="NA",AD99="NA"),"NA",SUM(AD98,AD99)/((AD98&lt;&gt;"NA")*$H$98+(AD99&lt;&gt;"NA")*$H$99)*$H97)))</f>
        <v>?</v>
      </c>
      <c r="AE97" s="78" t="str">
        <f aca="false">IF(OR(AE98="ER",AE99="ER"),"ER",IF(OR(AE98="?",AE99="?"),"?",IF(AND(AE98="NA",AE99="NA"),"NA",SUM(AE98,AE99)/((AE98&lt;&gt;"NA")*$H$98+(AE99&lt;&gt;"NA")*$H$99)*$H97)))</f>
        <v>?</v>
      </c>
      <c r="AF97" s="78" t="str">
        <f aca="false">IF(OR(AF98="ER",AF99="ER"),"ER",IF(OR(AF98="?",AF99="?"),"?",IF(AND(AF98="NA",AF99="NA"),"NA",SUM(AF98,AF99)/((AF98&lt;&gt;"NA")*$H$98+(AF99&lt;&gt;"NA")*$H$99)*$H97)))</f>
        <v>?</v>
      </c>
      <c r="AG97" s="78" t="str">
        <f aca="false">IF(OR(AG98="ER",AG99="ER"),"ER",IF(OR(AG98="?",AG99="?"),"?",IF(AND(AG98="NA",AG99="NA"),"NA",SUM(AG98,AG99)/((AG98&lt;&gt;"NA")*$H$98+(AG99&lt;&gt;"NA")*$H$99)*$H97)))</f>
        <v>?</v>
      </c>
      <c r="AH97" s="78" t="str">
        <f aca="false">IF(OR(AH98="ER",AH99="ER"),"ER",IF(OR(AH98="?",AH99="?"),"?",IF(AND(AH98="NA",AH99="NA"),"NA",SUM(AH98,AH99)/((AH98&lt;&gt;"NA")*$H$98+(AH99&lt;&gt;"NA")*$H$99)*$H97)))</f>
        <v>?</v>
      </c>
      <c r="AI97" s="78" t="str">
        <f aca="false">IF(OR(AI98="ER",AI99="ER"),"ER",IF(OR(AI98="?",AI99="?"),"?",IF(AND(AI98="NA",AI99="NA"),"NA",SUM(AI98,AI99)/((AI98&lt;&gt;"NA")*$H$98+(AI99&lt;&gt;"NA")*$H$99)*$H97)))</f>
        <v>?</v>
      </c>
      <c r="AJ97" s="78" t="str">
        <f aca="false">IF(OR(AJ98="ER",AJ99="ER"),"ER",IF(OR(AJ98="?",AJ99="?"),"?",IF(AND(AJ98="NA",AJ99="NA"),"NA",SUM(AJ98,AJ99)/((AJ98&lt;&gt;"NA")*$H$98+(AJ99&lt;&gt;"NA")*$H$99)*$H97)))</f>
        <v>?</v>
      </c>
      <c r="AK97" s="78" t="str">
        <f aca="false">IF(OR(AK98="ER",AK99="ER"),"ER",IF(OR(AK98="?",AK99="?"),"?",IF(AND(AK98="NA",AK99="NA"),"NA",SUM(AK98,AK99)/((AK98&lt;&gt;"NA")*$H$98+(AK99&lt;&gt;"NA")*$H$99)*$H97)))</f>
        <v>?</v>
      </c>
    </row>
    <row r="98" customFormat="false" ht="14.25" hidden="false" customHeight="true" outlineLevel="0" collapsed="false">
      <c r="A98" s="74" t="s">
        <v>439</v>
      </c>
      <c r="B98" s="75" t="str">
        <f aca="false">IF(ISBLANK($A98),"NO_CODE",VLOOKUP($A98,'UPD Questions_290926 '!$E$1:$N$300,MATCH(B$1,'UPD Questions_290926 '!$E$1:$N$1,0),0)&amp;"")</f>
        <v>Implementation</v>
      </c>
      <c r="C98" s="75" t="str">
        <f aca="false">IF(ISBLANK($A98),"NO_CODE",VLOOKUP($A98,'UPD Questions_290926 '!$E$1:$N$300,MATCH(C$1,'UPD Questions_290926 '!$E$1:$N$1,0),0)&amp;"")</f>
        <v>Development Control Regulations and land-management instruments</v>
      </c>
      <c r="D98" s="75" t="str">
        <f aca="false">IF(ISBLANK($A98),"NO_CODE",VLOOKUP($A98,'UPD Questions_290926 '!$E$1:$N$300,MATCH(D$1,'UPD Questions_290926 '!$E$1:$N$1,0),0)&amp;"")</f>
        <v>Green-building incentives</v>
      </c>
      <c r="E98" s="75" t="str">
        <f aca="false">IF(ISBLANK($A98),"NO_CODE",VLOOKUP($A98,'UPD Questions_290926 '!$E$1:$N$300,MATCH(E$1,'UPD Questions_290926 '!$E$1:$N$1,0),0)&amp;"")</f>
        <v>SQ</v>
      </c>
      <c r="F98" s="75" t="str">
        <f aca="false">IF(ISBLANK($A98),"NO_CODE",VLOOKUP($A98,'UPD Questions_290926 '!$E$1:$N$300,MATCH(F$1,'UPD Questions_290926 '!$E$1:$N$1,0),0)&amp;"")</f>
        <v>Does the law mandate incentives for green buildings ?</v>
      </c>
      <c r="G98" s="75" t="str">
        <f aca="false">IF(ISBLANK($A98),"NO_CODE",VLOOKUP($A98,'UPD Questions_290926 '!$E$1:$N$300,MATCH(G$1,'UPD Questions_290926 '!$E$1:$N$1,0),0)&amp;"")</f>
        <v>Law or Policy</v>
      </c>
      <c r="H98" s="77" t="n">
        <f aca="false">IF(ISBLANK($A98),"NO_CODE",VLOOKUP($A98,'UPD Questions_290926 '!$E$1:$N$300,MATCH(H$1,'UPD Questions_290926 '!$E$1:$N$1,0),0))</f>
        <v>5</v>
      </c>
      <c r="I98" s="78" t="str">
        <f aca="true">IF($H98=0,"NA",IF($A98=INDIRECT("'"&amp;$A98&amp;"'!$B$1"),IF(VLOOKUP(I$1,INDIRECT("'"&amp;$A98&amp;"'!$A$12:$Z$41"),MATCH("Points (Auto-generate)",INDIRECT("'"&amp;$A98&amp;"'!$A$12:$Z$12"),0),0)="","?",VLOOKUP(I$1,INDIRECT("'"&amp;$A98&amp;"'!$A$12:$Z$41"),MATCH("Points (Auto-generate)",INDIRECT("'"&amp;$A98&amp;"'!$A$12:$Z$12"),0),0)),"ER"))</f>
        <v>?</v>
      </c>
      <c r="J98" s="78" t="str">
        <f aca="true">IF($H98=0,"NA",IF($A98=INDIRECT("'"&amp;$A98&amp;"'!$B$1"),IF(VLOOKUP(J$1,INDIRECT("'"&amp;$A98&amp;"'!$A$12:$Z$41"),MATCH("Points (Auto-generate)",INDIRECT("'"&amp;$A98&amp;"'!$A$12:$Z$12"),0),0)="","?",VLOOKUP(J$1,INDIRECT("'"&amp;$A98&amp;"'!$A$12:$Z$41"),MATCH("Points (Auto-generate)",INDIRECT("'"&amp;$A98&amp;"'!$A$12:$Z$12"),0),0)),"ER"))</f>
        <v>?</v>
      </c>
      <c r="K98" s="78" t="str">
        <f aca="true">IF($H98=0,"NA",IF($A98=INDIRECT("'"&amp;$A98&amp;"'!$B$1"),IF(VLOOKUP(K$1,INDIRECT("'"&amp;$A98&amp;"'!$A$12:$Z$41"),MATCH("Points (Auto-generate)",INDIRECT("'"&amp;$A98&amp;"'!$A$12:$Z$12"),0),0)="","?",VLOOKUP(K$1,INDIRECT("'"&amp;$A98&amp;"'!$A$12:$Z$41"),MATCH("Points (Auto-generate)",INDIRECT("'"&amp;$A98&amp;"'!$A$12:$Z$12"),0),0)),"ER"))</f>
        <v>?</v>
      </c>
      <c r="L98" s="78" t="str">
        <f aca="true">IF($H98=0,"NA",IF($A98=INDIRECT("'"&amp;$A98&amp;"'!$B$1"),IF(VLOOKUP(L$1,INDIRECT("'"&amp;$A98&amp;"'!$A$12:$Z$41"),MATCH("Points (Auto-generate)",INDIRECT("'"&amp;$A98&amp;"'!$A$12:$Z$12"),0),0)="","?",VLOOKUP(L$1,INDIRECT("'"&amp;$A98&amp;"'!$A$12:$Z$41"),MATCH("Points (Auto-generate)",INDIRECT("'"&amp;$A98&amp;"'!$A$12:$Z$12"),0),0)),"ER"))</f>
        <v>?</v>
      </c>
      <c r="M98" s="78" t="str">
        <f aca="true">IF($H98=0,"NA",IF($A98=INDIRECT("'"&amp;$A98&amp;"'!$B$1"),IF(VLOOKUP(M$1,INDIRECT("'"&amp;$A98&amp;"'!$A$12:$Z$41"),MATCH("Points (Auto-generate)",INDIRECT("'"&amp;$A98&amp;"'!$A$12:$Z$12"),0),0)="","?",VLOOKUP(M$1,INDIRECT("'"&amp;$A98&amp;"'!$A$12:$Z$41"),MATCH("Points (Auto-generate)",INDIRECT("'"&amp;$A98&amp;"'!$A$12:$Z$12"),0),0)),"ER"))</f>
        <v>?</v>
      </c>
      <c r="N98" s="78" t="str">
        <f aca="true">IF($H98=0,"NA",IF($A98=INDIRECT("'"&amp;$A98&amp;"'!$B$1"),IF(VLOOKUP(N$1,INDIRECT("'"&amp;$A98&amp;"'!$A$12:$Z$41"),MATCH("Points (Auto-generate)",INDIRECT("'"&amp;$A98&amp;"'!$A$12:$Z$12"),0),0)="","?",VLOOKUP(N$1,INDIRECT("'"&amp;$A98&amp;"'!$A$12:$Z$41"),MATCH("Points (Auto-generate)",INDIRECT("'"&amp;$A98&amp;"'!$A$12:$Z$12"),0),0)),"ER"))</f>
        <v>?</v>
      </c>
      <c r="O98" s="78" t="str">
        <f aca="true">IF($H98=0,"NA",IF($A98=INDIRECT("'"&amp;$A98&amp;"'!$B$1"),IF(VLOOKUP(O$1,INDIRECT("'"&amp;$A98&amp;"'!$A$12:$Z$41"),MATCH("Points (Auto-generate)",INDIRECT("'"&amp;$A98&amp;"'!$A$12:$Z$12"),0),0)="","?",VLOOKUP(O$1,INDIRECT("'"&amp;$A98&amp;"'!$A$12:$Z$41"),MATCH("Points (Auto-generate)",INDIRECT("'"&amp;$A98&amp;"'!$A$12:$Z$12"),0),0)),"ER"))</f>
        <v>?</v>
      </c>
      <c r="P98" s="78" t="str">
        <f aca="true">IF($H98=0,"NA",IF($A98=INDIRECT("'"&amp;$A98&amp;"'!$B$1"),IF(VLOOKUP(P$1,INDIRECT("'"&amp;$A98&amp;"'!$A$12:$Z$41"),MATCH("Points (Auto-generate)",INDIRECT("'"&amp;$A98&amp;"'!$A$12:$Z$12"),0),0)="","?",VLOOKUP(P$1,INDIRECT("'"&amp;$A98&amp;"'!$A$12:$Z$41"),MATCH("Points (Auto-generate)",INDIRECT("'"&amp;$A98&amp;"'!$A$12:$Z$12"),0),0)),"ER"))</f>
        <v>?</v>
      </c>
      <c r="Q98" s="78" t="str">
        <f aca="true">IF($H98=0,"NA",IF($A98=INDIRECT("'"&amp;$A98&amp;"'!$B$1"),IF(VLOOKUP(Q$1,INDIRECT("'"&amp;$A98&amp;"'!$A$12:$Z$41"),MATCH("Points (Auto-generate)",INDIRECT("'"&amp;$A98&amp;"'!$A$12:$Z$12"),0),0)="","?",VLOOKUP(Q$1,INDIRECT("'"&amp;$A98&amp;"'!$A$12:$Z$41"),MATCH("Points (Auto-generate)",INDIRECT("'"&amp;$A98&amp;"'!$A$12:$Z$12"),0),0)),"ER"))</f>
        <v>?</v>
      </c>
      <c r="R98" s="78" t="str">
        <f aca="true">IF($H98=0,"NA",IF($A98=INDIRECT("'"&amp;$A98&amp;"'!$B$1"),IF(VLOOKUP(R$1,INDIRECT("'"&amp;$A98&amp;"'!$A$12:$Z$41"),MATCH("Points (Auto-generate)",INDIRECT("'"&amp;$A98&amp;"'!$A$12:$Z$12"),0),0)="","?",VLOOKUP(R$1,INDIRECT("'"&amp;$A98&amp;"'!$A$12:$Z$41"),MATCH("Points (Auto-generate)",INDIRECT("'"&amp;$A98&amp;"'!$A$12:$Z$12"),0),0)),"ER"))</f>
        <v>?</v>
      </c>
      <c r="S98" s="78" t="str">
        <f aca="true">IF($H98=0,"NA",IF($A98=INDIRECT("'"&amp;$A98&amp;"'!$B$1"),IF(VLOOKUP(S$1,INDIRECT("'"&amp;$A98&amp;"'!$A$12:$Z$41"),MATCH("Points (Auto-generate)",INDIRECT("'"&amp;$A98&amp;"'!$A$12:$Z$12"),0),0)="","?",VLOOKUP(S$1,INDIRECT("'"&amp;$A98&amp;"'!$A$12:$Z$41"),MATCH("Points (Auto-generate)",INDIRECT("'"&amp;$A98&amp;"'!$A$12:$Z$12"),0),0)),"ER"))</f>
        <v>?</v>
      </c>
      <c r="T98" s="78" t="str">
        <f aca="true">IF($H98=0,"NA",IF($A98=INDIRECT("'"&amp;$A98&amp;"'!$B$1"),IF(VLOOKUP(T$1,INDIRECT("'"&amp;$A98&amp;"'!$A$12:$Z$41"),MATCH("Points (Auto-generate)",INDIRECT("'"&amp;$A98&amp;"'!$A$12:$Z$12"),0),0)="","?",VLOOKUP(T$1,INDIRECT("'"&amp;$A98&amp;"'!$A$12:$Z$41"),MATCH("Points (Auto-generate)",INDIRECT("'"&amp;$A98&amp;"'!$A$12:$Z$12"),0),0)),"ER"))</f>
        <v>?</v>
      </c>
      <c r="U98" s="78" t="str">
        <f aca="true">IF($H98=0,"NA",IF($A98=INDIRECT("'"&amp;$A98&amp;"'!$B$1"),IF(VLOOKUP(U$1,INDIRECT("'"&amp;$A98&amp;"'!$A$12:$Z$41"),MATCH("Points (Auto-generate)",INDIRECT("'"&amp;$A98&amp;"'!$A$12:$Z$12"),0),0)="","?",VLOOKUP(U$1,INDIRECT("'"&amp;$A98&amp;"'!$A$12:$Z$41"),MATCH("Points (Auto-generate)",INDIRECT("'"&amp;$A98&amp;"'!$A$12:$Z$12"),0),0)),"ER"))</f>
        <v>?</v>
      </c>
      <c r="V98" s="78" t="str">
        <f aca="true">IF($H98=0,"NA",IF($A98=INDIRECT("'"&amp;$A98&amp;"'!$B$1"),IF(VLOOKUP(V$1,INDIRECT("'"&amp;$A98&amp;"'!$A$12:$Z$41"),MATCH("Points (Auto-generate)",INDIRECT("'"&amp;$A98&amp;"'!$A$12:$Z$12"),0),0)="","?",VLOOKUP(V$1,INDIRECT("'"&amp;$A98&amp;"'!$A$12:$Z$41"),MATCH("Points (Auto-generate)",INDIRECT("'"&amp;$A98&amp;"'!$A$12:$Z$12"),0),0)),"ER"))</f>
        <v>?</v>
      </c>
      <c r="W98" s="78" t="str">
        <f aca="true">IF($H98=0,"NA",IF($A98=INDIRECT("'"&amp;$A98&amp;"'!$B$1"),IF(VLOOKUP(W$1,INDIRECT("'"&amp;$A98&amp;"'!$A$12:$Z$41"),MATCH("Points (Auto-generate)",INDIRECT("'"&amp;$A98&amp;"'!$A$12:$Z$12"),0),0)="","?",VLOOKUP(W$1,INDIRECT("'"&amp;$A98&amp;"'!$A$12:$Z$41"),MATCH("Points (Auto-generate)",INDIRECT("'"&amp;$A98&amp;"'!$A$12:$Z$12"),0),0)),"ER"))</f>
        <v>?</v>
      </c>
      <c r="X98" s="78" t="str">
        <f aca="true">IF($H98=0,"NA",IF($A98=INDIRECT("'"&amp;$A98&amp;"'!$B$1"),IF(VLOOKUP(X$1,INDIRECT("'"&amp;$A98&amp;"'!$A$12:$Z$41"),MATCH("Points (Auto-generate)",INDIRECT("'"&amp;$A98&amp;"'!$A$12:$Z$12"),0),0)="","?",VLOOKUP(X$1,INDIRECT("'"&amp;$A98&amp;"'!$A$12:$Z$41"),MATCH("Points (Auto-generate)",INDIRECT("'"&amp;$A98&amp;"'!$A$12:$Z$12"),0),0)),"ER"))</f>
        <v>?</v>
      </c>
      <c r="Y98" s="78" t="str">
        <f aca="true">IF($H98=0,"NA",IF($A98=INDIRECT("'"&amp;$A98&amp;"'!$B$1"),IF(VLOOKUP(Y$1,INDIRECT("'"&amp;$A98&amp;"'!$A$12:$Z$41"),MATCH("Points (Auto-generate)",INDIRECT("'"&amp;$A98&amp;"'!$A$12:$Z$12"),0),0)="","?",VLOOKUP(Y$1,INDIRECT("'"&amp;$A98&amp;"'!$A$12:$Z$41"),MATCH("Points (Auto-generate)",INDIRECT("'"&amp;$A98&amp;"'!$A$12:$Z$12"),0),0)),"ER"))</f>
        <v>?</v>
      </c>
      <c r="Z98" s="78" t="str">
        <f aca="true">IF($H98=0,"NA",IF($A98=INDIRECT("'"&amp;$A98&amp;"'!$B$1"),IF(VLOOKUP(Z$1,INDIRECT("'"&amp;$A98&amp;"'!$A$12:$Z$41"),MATCH("Points (Auto-generate)",INDIRECT("'"&amp;$A98&amp;"'!$A$12:$Z$12"),0),0)="","?",VLOOKUP(Z$1,INDIRECT("'"&amp;$A98&amp;"'!$A$12:$Z$41"),MATCH("Points (Auto-generate)",INDIRECT("'"&amp;$A98&amp;"'!$A$12:$Z$12"),0),0)),"ER"))</f>
        <v>?</v>
      </c>
      <c r="AA98" s="78" t="str">
        <f aca="true">IF($H98=0,"NA",IF($A98=INDIRECT("'"&amp;$A98&amp;"'!$B$1"),IF(VLOOKUP(AA$1,INDIRECT("'"&amp;$A98&amp;"'!$A$12:$Z$41"),MATCH("Points (Auto-generate)",INDIRECT("'"&amp;$A98&amp;"'!$A$12:$Z$12"),0),0)="","?",VLOOKUP(AA$1,INDIRECT("'"&amp;$A98&amp;"'!$A$12:$Z$41"),MATCH("Points (Auto-generate)",INDIRECT("'"&amp;$A98&amp;"'!$A$12:$Z$12"),0),0)),"ER"))</f>
        <v>?</v>
      </c>
      <c r="AB98" s="78" t="str">
        <f aca="true">IF($H98=0,"NA",IF($A98=INDIRECT("'"&amp;$A98&amp;"'!$B$1"),IF(VLOOKUP(AB$1,INDIRECT("'"&amp;$A98&amp;"'!$A$12:$Z$41"),MATCH("Points (Auto-generate)",INDIRECT("'"&amp;$A98&amp;"'!$A$12:$Z$12"),0),0)="","?",VLOOKUP(AB$1,INDIRECT("'"&amp;$A98&amp;"'!$A$12:$Z$41"),MATCH("Points (Auto-generate)",INDIRECT("'"&amp;$A98&amp;"'!$A$12:$Z$12"),0),0)),"ER"))</f>
        <v>?</v>
      </c>
      <c r="AC98" s="78" t="str">
        <f aca="true">IF($H98=0,"NA",IF($A98=INDIRECT("'"&amp;$A98&amp;"'!$B$1"),IF(VLOOKUP(AC$1,INDIRECT("'"&amp;$A98&amp;"'!$A$12:$Z$41"),MATCH("Points (Auto-generate)",INDIRECT("'"&amp;$A98&amp;"'!$A$12:$Z$12"),0),0)="","?",VLOOKUP(AC$1,INDIRECT("'"&amp;$A98&amp;"'!$A$12:$Z$41"),MATCH("Points (Auto-generate)",INDIRECT("'"&amp;$A98&amp;"'!$A$12:$Z$12"),0),0)),"ER"))</f>
        <v>?</v>
      </c>
      <c r="AD98" s="78" t="str">
        <f aca="true">IF($H98=0,"NA",IF($A98=INDIRECT("'"&amp;$A98&amp;"'!$B$1"),IF(VLOOKUP(AD$1,INDIRECT("'"&amp;$A98&amp;"'!$A$12:$Z$41"),MATCH("Points (Auto-generate)",INDIRECT("'"&amp;$A98&amp;"'!$A$12:$Z$12"),0),0)="","?",VLOOKUP(AD$1,INDIRECT("'"&amp;$A98&amp;"'!$A$12:$Z$41"),MATCH("Points (Auto-generate)",INDIRECT("'"&amp;$A98&amp;"'!$A$12:$Z$12"),0),0)),"ER"))</f>
        <v>?</v>
      </c>
      <c r="AE98" s="78" t="str">
        <f aca="true">IF($H98=0,"NA",IF($A98=INDIRECT("'"&amp;$A98&amp;"'!$B$1"),IF(VLOOKUP(AE$1,INDIRECT("'"&amp;$A98&amp;"'!$A$12:$Z$41"),MATCH("Points (Auto-generate)",INDIRECT("'"&amp;$A98&amp;"'!$A$12:$Z$12"),0),0)="","?",VLOOKUP(AE$1,INDIRECT("'"&amp;$A98&amp;"'!$A$12:$Z$41"),MATCH("Points (Auto-generate)",INDIRECT("'"&amp;$A98&amp;"'!$A$12:$Z$12"),0),0)),"ER"))</f>
        <v>?</v>
      </c>
      <c r="AF98" s="78" t="str">
        <f aca="true">IF($H98=0,"NA",IF($A98=INDIRECT("'"&amp;$A98&amp;"'!$B$1"),IF(VLOOKUP(AF$1,INDIRECT("'"&amp;$A98&amp;"'!$A$12:$Z$41"),MATCH("Points (Auto-generate)",INDIRECT("'"&amp;$A98&amp;"'!$A$12:$Z$12"),0),0)="","?",VLOOKUP(AF$1,INDIRECT("'"&amp;$A98&amp;"'!$A$12:$Z$41"),MATCH("Points (Auto-generate)",INDIRECT("'"&amp;$A98&amp;"'!$A$12:$Z$12"),0),0)),"ER"))</f>
        <v>?</v>
      </c>
      <c r="AG98" s="78" t="str">
        <f aca="true">IF($H98=0,"NA",IF($A98=INDIRECT("'"&amp;$A98&amp;"'!$B$1"),IF(VLOOKUP(AG$1,INDIRECT("'"&amp;$A98&amp;"'!$A$12:$Z$41"),MATCH("Points (Auto-generate)",INDIRECT("'"&amp;$A98&amp;"'!$A$12:$Z$12"),0),0)="","?",VLOOKUP(AG$1,INDIRECT("'"&amp;$A98&amp;"'!$A$12:$Z$41"),MATCH("Points (Auto-generate)",INDIRECT("'"&amp;$A98&amp;"'!$A$12:$Z$12"),0),0)),"ER"))</f>
        <v>?</v>
      </c>
      <c r="AH98" s="78" t="str">
        <f aca="true">IF($H98=0,"NA",IF($A98=INDIRECT("'"&amp;$A98&amp;"'!$B$1"),IF(VLOOKUP(AH$1,INDIRECT("'"&amp;$A98&amp;"'!$A$12:$Z$41"),MATCH("Points (Auto-generate)",INDIRECT("'"&amp;$A98&amp;"'!$A$12:$Z$12"),0),0)="","?",VLOOKUP(AH$1,INDIRECT("'"&amp;$A98&amp;"'!$A$12:$Z$41"),MATCH("Points (Auto-generate)",INDIRECT("'"&amp;$A98&amp;"'!$A$12:$Z$12"),0),0)),"ER"))</f>
        <v>?</v>
      </c>
      <c r="AI98" s="78" t="str">
        <f aca="true">IF($H98=0,"NA",IF($A98=INDIRECT("'"&amp;$A98&amp;"'!$B$1"),IF(VLOOKUP(AI$1,INDIRECT("'"&amp;$A98&amp;"'!$A$12:$Z$41"),MATCH("Points (Auto-generate)",INDIRECT("'"&amp;$A98&amp;"'!$A$12:$Z$12"),0),0)="","?",VLOOKUP(AI$1,INDIRECT("'"&amp;$A98&amp;"'!$A$12:$Z$41"),MATCH("Points (Auto-generate)",INDIRECT("'"&amp;$A98&amp;"'!$A$12:$Z$12"),0),0)),"ER"))</f>
        <v>?</v>
      </c>
      <c r="AJ98" s="78" t="str">
        <f aca="true">IF($H98=0,"NA",IF($A98=INDIRECT("'"&amp;$A98&amp;"'!$B$1"),IF(VLOOKUP(AJ$1,INDIRECT("'"&amp;$A98&amp;"'!$A$12:$Z$41"),MATCH("Points (Auto-generate)",INDIRECT("'"&amp;$A98&amp;"'!$A$12:$Z$12"),0),0)="","?",VLOOKUP(AJ$1,INDIRECT("'"&amp;$A98&amp;"'!$A$12:$Z$41"),MATCH("Points (Auto-generate)",INDIRECT("'"&amp;$A98&amp;"'!$A$12:$Z$12"),0),0)),"ER"))</f>
        <v>?</v>
      </c>
      <c r="AK98" s="78" t="str">
        <f aca="true">IF($H98=0,"NA",IF($A98=INDIRECT("'"&amp;$A98&amp;"'!$B$1"),IF(VLOOKUP(AK$1,INDIRECT("'"&amp;$A98&amp;"'!$A$12:$Z$41"),MATCH("Points (Auto-generate)",INDIRECT("'"&amp;$A98&amp;"'!$A$12:$Z$12"),0),0)="","?",VLOOKUP(AK$1,INDIRECT("'"&amp;$A98&amp;"'!$A$12:$Z$41"),MATCH("Points (Auto-generate)",INDIRECT("'"&amp;$A98&amp;"'!$A$12:$Z$12"),0),0)),"ER"))</f>
        <v>?</v>
      </c>
    </row>
    <row r="99" customFormat="false" ht="14.25" hidden="false" customHeight="true" outlineLevel="0" collapsed="false">
      <c r="A99" s="74" t="s">
        <v>443</v>
      </c>
      <c r="B99" s="75" t="str">
        <f aca="false">IF(ISBLANK($A99),"NO_CODE",VLOOKUP($A99,'UPD Questions_290926 '!$E$1:$N$300,MATCH(B$1,'UPD Questions_290926 '!$E$1:$N$1,0),0)&amp;"")</f>
        <v>Implementation</v>
      </c>
      <c r="C99" s="75" t="str">
        <f aca="false">IF(ISBLANK($A99),"NO_CODE",VLOOKUP($A99,'UPD Questions_290926 '!$E$1:$N$300,MATCH(C$1,'UPD Questions_290926 '!$E$1:$N$1,0),0)&amp;"")</f>
        <v>Development Control Regulations and land-management instruments</v>
      </c>
      <c r="D99" s="75" t="str">
        <f aca="false">IF(ISBLANK($A99),"NO_CODE",VLOOKUP($A99,'UPD Questions_290926 '!$E$1:$N$300,MATCH(D$1,'UPD Questions_290926 '!$E$1:$N$1,0),0)&amp;"")</f>
        <v>Green-building incentives</v>
      </c>
      <c r="E99" s="75" t="str">
        <f aca="false">IF(ISBLANK($A99),"NO_CODE",VLOOKUP($A99,'UPD Questions_290926 '!$E$1:$N$300,MATCH(E$1,'UPD Questions_290926 '!$E$1:$N$1,0),0)&amp;"")</f>
        <v>SQ</v>
      </c>
      <c r="F99" s="75" t="str">
        <f aca="false">IF(ISBLANK($A99),"NO_CODE",VLOOKUP($A99,'UPD Questions_290926 '!$E$1:$N$300,MATCH(F$1,'UPD Questions_290926 '!$E$1:$N$1,0),0)&amp;"")</f>
        <v>Does your city give incentives for green buildings ?</v>
      </c>
      <c r="G99" s="75" t="str">
        <f aca="false">IF(ISBLANK($A99),"NO_CODE",VLOOKUP($A99,'UPD Questions_290926 '!$E$1:$N$300,MATCH(G$1,'UPD Questions_290926 '!$E$1:$N$1,0),0)&amp;"")</f>
        <v>Implementation</v>
      </c>
      <c r="H99" s="77" t="n">
        <f aca="false">IF(ISBLANK($A99),"NO_CODE",VLOOKUP($A99,'UPD Questions_290926 '!$E$1:$N$300,MATCH(H$1,'UPD Questions_290926 '!$E$1:$N$1,0),0))</f>
        <v>5</v>
      </c>
      <c r="I99" s="78" t="str">
        <f aca="true">IF($H99=0,"NA",IF($A99=INDIRECT("'"&amp;$A99&amp;"'!$B$1"),IF(VLOOKUP(I$1,INDIRECT("'"&amp;$A99&amp;"'!$A$12:$Z$41"),MATCH("Points (Auto-generate)",INDIRECT("'"&amp;$A99&amp;"'!$A$12:$Z$12"),0),0)="","?",VLOOKUP(I$1,INDIRECT("'"&amp;$A99&amp;"'!$A$12:$Z$41"),MATCH("Points (Auto-generate)",INDIRECT("'"&amp;$A99&amp;"'!$A$12:$Z$12"),0),0)),"ER"))</f>
        <v>?</v>
      </c>
      <c r="J99" s="78" t="str">
        <f aca="true">IF($H99=0,"NA",IF($A99=INDIRECT("'"&amp;$A99&amp;"'!$B$1"),IF(VLOOKUP(J$1,INDIRECT("'"&amp;$A99&amp;"'!$A$12:$Z$41"),MATCH("Points (Auto-generate)",INDIRECT("'"&amp;$A99&amp;"'!$A$12:$Z$12"),0),0)="","?",VLOOKUP(J$1,INDIRECT("'"&amp;$A99&amp;"'!$A$12:$Z$41"),MATCH("Points (Auto-generate)",INDIRECT("'"&amp;$A99&amp;"'!$A$12:$Z$12"),0),0)),"ER"))</f>
        <v>?</v>
      </c>
      <c r="K99" s="78" t="str">
        <f aca="true">IF($H99=0,"NA",IF($A99=INDIRECT("'"&amp;$A99&amp;"'!$B$1"),IF(VLOOKUP(K$1,INDIRECT("'"&amp;$A99&amp;"'!$A$12:$Z$41"),MATCH("Points (Auto-generate)",INDIRECT("'"&amp;$A99&amp;"'!$A$12:$Z$12"),0),0)="","?",VLOOKUP(K$1,INDIRECT("'"&amp;$A99&amp;"'!$A$12:$Z$41"),MATCH("Points (Auto-generate)",INDIRECT("'"&amp;$A99&amp;"'!$A$12:$Z$12"),0),0)),"ER"))</f>
        <v>?</v>
      </c>
      <c r="L99" s="78" t="str">
        <f aca="true">IF($H99=0,"NA",IF($A99=INDIRECT("'"&amp;$A99&amp;"'!$B$1"),IF(VLOOKUP(L$1,INDIRECT("'"&amp;$A99&amp;"'!$A$12:$Z$41"),MATCH("Points (Auto-generate)",INDIRECT("'"&amp;$A99&amp;"'!$A$12:$Z$12"),0),0)="","?",VLOOKUP(L$1,INDIRECT("'"&amp;$A99&amp;"'!$A$12:$Z$41"),MATCH("Points (Auto-generate)",INDIRECT("'"&amp;$A99&amp;"'!$A$12:$Z$12"),0),0)),"ER"))</f>
        <v>?</v>
      </c>
      <c r="M99" s="78" t="str">
        <f aca="true">IF($H99=0,"NA",IF($A99=INDIRECT("'"&amp;$A99&amp;"'!$B$1"),IF(VLOOKUP(M$1,INDIRECT("'"&amp;$A99&amp;"'!$A$12:$Z$41"),MATCH("Points (Auto-generate)",INDIRECT("'"&amp;$A99&amp;"'!$A$12:$Z$12"),0),0)="","?",VLOOKUP(M$1,INDIRECT("'"&amp;$A99&amp;"'!$A$12:$Z$41"),MATCH("Points (Auto-generate)",INDIRECT("'"&amp;$A99&amp;"'!$A$12:$Z$12"),0),0)),"ER"))</f>
        <v>?</v>
      </c>
      <c r="N99" s="78" t="str">
        <f aca="true">IF($H99=0,"NA",IF($A99=INDIRECT("'"&amp;$A99&amp;"'!$B$1"),IF(VLOOKUP(N$1,INDIRECT("'"&amp;$A99&amp;"'!$A$12:$Z$41"),MATCH("Points (Auto-generate)",INDIRECT("'"&amp;$A99&amp;"'!$A$12:$Z$12"),0),0)="","?",VLOOKUP(N$1,INDIRECT("'"&amp;$A99&amp;"'!$A$12:$Z$41"),MATCH("Points (Auto-generate)",INDIRECT("'"&amp;$A99&amp;"'!$A$12:$Z$12"),0),0)),"ER"))</f>
        <v>?</v>
      </c>
      <c r="O99" s="78" t="str">
        <f aca="true">IF($H99=0,"NA",IF($A99=INDIRECT("'"&amp;$A99&amp;"'!$B$1"),IF(VLOOKUP(O$1,INDIRECT("'"&amp;$A99&amp;"'!$A$12:$Z$41"),MATCH("Points (Auto-generate)",INDIRECT("'"&amp;$A99&amp;"'!$A$12:$Z$12"),0),0)="","?",VLOOKUP(O$1,INDIRECT("'"&amp;$A99&amp;"'!$A$12:$Z$41"),MATCH("Points (Auto-generate)",INDIRECT("'"&amp;$A99&amp;"'!$A$12:$Z$12"),0),0)),"ER"))</f>
        <v>?</v>
      </c>
      <c r="P99" s="78" t="str">
        <f aca="true">IF($H99=0,"NA",IF($A99=INDIRECT("'"&amp;$A99&amp;"'!$B$1"),IF(VLOOKUP(P$1,INDIRECT("'"&amp;$A99&amp;"'!$A$12:$Z$41"),MATCH("Points (Auto-generate)",INDIRECT("'"&amp;$A99&amp;"'!$A$12:$Z$12"),0),0)="","?",VLOOKUP(P$1,INDIRECT("'"&amp;$A99&amp;"'!$A$12:$Z$41"),MATCH("Points (Auto-generate)",INDIRECT("'"&amp;$A99&amp;"'!$A$12:$Z$12"),0),0)),"ER"))</f>
        <v>?</v>
      </c>
      <c r="Q99" s="78" t="str">
        <f aca="true">IF($H99=0,"NA",IF($A99=INDIRECT("'"&amp;$A99&amp;"'!$B$1"),IF(VLOOKUP(Q$1,INDIRECT("'"&amp;$A99&amp;"'!$A$12:$Z$41"),MATCH("Points (Auto-generate)",INDIRECT("'"&amp;$A99&amp;"'!$A$12:$Z$12"),0),0)="","?",VLOOKUP(Q$1,INDIRECT("'"&amp;$A99&amp;"'!$A$12:$Z$41"),MATCH("Points (Auto-generate)",INDIRECT("'"&amp;$A99&amp;"'!$A$12:$Z$12"),0),0)),"ER"))</f>
        <v>?</v>
      </c>
      <c r="R99" s="78" t="str">
        <f aca="true">IF($H99=0,"NA",IF($A99=INDIRECT("'"&amp;$A99&amp;"'!$B$1"),IF(VLOOKUP(R$1,INDIRECT("'"&amp;$A99&amp;"'!$A$12:$Z$41"),MATCH("Points (Auto-generate)",INDIRECT("'"&amp;$A99&amp;"'!$A$12:$Z$12"),0),0)="","?",VLOOKUP(R$1,INDIRECT("'"&amp;$A99&amp;"'!$A$12:$Z$41"),MATCH("Points (Auto-generate)",INDIRECT("'"&amp;$A99&amp;"'!$A$12:$Z$12"),0),0)),"ER"))</f>
        <v>?</v>
      </c>
      <c r="S99" s="78" t="str">
        <f aca="true">IF($H99=0,"NA",IF($A99=INDIRECT("'"&amp;$A99&amp;"'!$B$1"),IF(VLOOKUP(S$1,INDIRECT("'"&amp;$A99&amp;"'!$A$12:$Z$41"),MATCH("Points (Auto-generate)",INDIRECT("'"&amp;$A99&amp;"'!$A$12:$Z$12"),0),0)="","?",VLOOKUP(S$1,INDIRECT("'"&amp;$A99&amp;"'!$A$12:$Z$41"),MATCH("Points (Auto-generate)",INDIRECT("'"&amp;$A99&amp;"'!$A$12:$Z$12"),0),0)),"ER"))</f>
        <v>?</v>
      </c>
      <c r="T99" s="78" t="str">
        <f aca="true">IF($H99=0,"NA",IF($A99=INDIRECT("'"&amp;$A99&amp;"'!$B$1"),IF(VLOOKUP(T$1,INDIRECT("'"&amp;$A99&amp;"'!$A$12:$Z$41"),MATCH("Points (Auto-generate)",INDIRECT("'"&amp;$A99&amp;"'!$A$12:$Z$12"),0),0)="","?",VLOOKUP(T$1,INDIRECT("'"&amp;$A99&amp;"'!$A$12:$Z$41"),MATCH("Points (Auto-generate)",INDIRECT("'"&amp;$A99&amp;"'!$A$12:$Z$12"),0),0)),"ER"))</f>
        <v>?</v>
      </c>
      <c r="U99" s="78" t="str">
        <f aca="true">IF($H99=0,"NA",IF($A99=INDIRECT("'"&amp;$A99&amp;"'!$B$1"),IF(VLOOKUP(U$1,INDIRECT("'"&amp;$A99&amp;"'!$A$12:$Z$41"),MATCH("Points (Auto-generate)",INDIRECT("'"&amp;$A99&amp;"'!$A$12:$Z$12"),0),0)="","?",VLOOKUP(U$1,INDIRECT("'"&amp;$A99&amp;"'!$A$12:$Z$41"),MATCH("Points (Auto-generate)",INDIRECT("'"&amp;$A99&amp;"'!$A$12:$Z$12"),0),0)),"ER"))</f>
        <v>?</v>
      </c>
      <c r="V99" s="78" t="str">
        <f aca="true">IF($H99=0,"NA",IF($A99=INDIRECT("'"&amp;$A99&amp;"'!$B$1"),IF(VLOOKUP(V$1,INDIRECT("'"&amp;$A99&amp;"'!$A$12:$Z$41"),MATCH("Points (Auto-generate)",INDIRECT("'"&amp;$A99&amp;"'!$A$12:$Z$12"),0),0)="","?",VLOOKUP(V$1,INDIRECT("'"&amp;$A99&amp;"'!$A$12:$Z$41"),MATCH("Points (Auto-generate)",INDIRECT("'"&amp;$A99&amp;"'!$A$12:$Z$12"),0),0)),"ER"))</f>
        <v>?</v>
      </c>
      <c r="W99" s="78" t="str">
        <f aca="true">IF($H99=0,"NA",IF($A99=INDIRECT("'"&amp;$A99&amp;"'!$B$1"),IF(VLOOKUP(W$1,INDIRECT("'"&amp;$A99&amp;"'!$A$12:$Z$41"),MATCH("Points (Auto-generate)",INDIRECT("'"&amp;$A99&amp;"'!$A$12:$Z$12"),0),0)="","?",VLOOKUP(W$1,INDIRECT("'"&amp;$A99&amp;"'!$A$12:$Z$41"),MATCH("Points (Auto-generate)",INDIRECT("'"&amp;$A99&amp;"'!$A$12:$Z$12"),0),0)),"ER"))</f>
        <v>?</v>
      </c>
      <c r="X99" s="78" t="str">
        <f aca="true">IF($H99=0,"NA",IF($A99=INDIRECT("'"&amp;$A99&amp;"'!$B$1"),IF(VLOOKUP(X$1,INDIRECT("'"&amp;$A99&amp;"'!$A$12:$Z$41"),MATCH("Points (Auto-generate)",INDIRECT("'"&amp;$A99&amp;"'!$A$12:$Z$12"),0),0)="","?",VLOOKUP(X$1,INDIRECT("'"&amp;$A99&amp;"'!$A$12:$Z$41"),MATCH("Points (Auto-generate)",INDIRECT("'"&amp;$A99&amp;"'!$A$12:$Z$12"),0),0)),"ER"))</f>
        <v>?</v>
      </c>
      <c r="Y99" s="78" t="str">
        <f aca="true">IF($H99=0,"NA",IF($A99=INDIRECT("'"&amp;$A99&amp;"'!$B$1"),IF(VLOOKUP(Y$1,INDIRECT("'"&amp;$A99&amp;"'!$A$12:$Z$41"),MATCH("Points (Auto-generate)",INDIRECT("'"&amp;$A99&amp;"'!$A$12:$Z$12"),0),0)="","?",VLOOKUP(Y$1,INDIRECT("'"&amp;$A99&amp;"'!$A$12:$Z$41"),MATCH("Points (Auto-generate)",INDIRECT("'"&amp;$A99&amp;"'!$A$12:$Z$12"),0),0)),"ER"))</f>
        <v>?</v>
      </c>
      <c r="Z99" s="78" t="str">
        <f aca="true">IF($H99=0,"NA",IF($A99=INDIRECT("'"&amp;$A99&amp;"'!$B$1"),IF(VLOOKUP(Z$1,INDIRECT("'"&amp;$A99&amp;"'!$A$12:$Z$41"),MATCH("Points (Auto-generate)",INDIRECT("'"&amp;$A99&amp;"'!$A$12:$Z$12"),0),0)="","?",VLOOKUP(Z$1,INDIRECT("'"&amp;$A99&amp;"'!$A$12:$Z$41"),MATCH("Points (Auto-generate)",INDIRECT("'"&amp;$A99&amp;"'!$A$12:$Z$12"),0),0)),"ER"))</f>
        <v>?</v>
      </c>
      <c r="AA99" s="78" t="str">
        <f aca="true">IF($H99=0,"NA",IF($A99=INDIRECT("'"&amp;$A99&amp;"'!$B$1"),IF(VLOOKUP(AA$1,INDIRECT("'"&amp;$A99&amp;"'!$A$12:$Z$41"),MATCH("Points (Auto-generate)",INDIRECT("'"&amp;$A99&amp;"'!$A$12:$Z$12"),0),0)="","?",VLOOKUP(AA$1,INDIRECT("'"&amp;$A99&amp;"'!$A$12:$Z$41"),MATCH("Points (Auto-generate)",INDIRECT("'"&amp;$A99&amp;"'!$A$12:$Z$12"),0),0)),"ER"))</f>
        <v>?</v>
      </c>
      <c r="AB99" s="78" t="str">
        <f aca="true">IF($H99=0,"NA",IF($A99=INDIRECT("'"&amp;$A99&amp;"'!$B$1"),IF(VLOOKUP(AB$1,INDIRECT("'"&amp;$A99&amp;"'!$A$12:$Z$41"),MATCH("Points (Auto-generate)",INDIRECT("'"&amp;$A99&amp;"'!$A$12:$Z$12"),0),0)="","?",VLOOKUP(AB$1,INDIRECT("'"&amp;$A99&amp;"'!$A$12:$Z$41"),MATCH("Points (Auto-generate)",INDIRECT("'"&amp;$A99&amp;"'!$A$12:$Z$12"),0),0)),"ER"))</f>
        <v>?</v>
      </c>
      <c r="AC99" s="78" t="str">
        <f aca="true">IF($H99=0,"NA",IF($A99=INDIRECT("'"&amp;$A99&amp;"'!$B$1"),IF(VLOOKUP(AC$1,INDIRECT("'"&amp;$A99&amp;"'!$A$12:$Z$41"),MATCH("Points (Auto-generate)",INDIRECT("'"&amp;$A99&amp;"'!$A$12:$Z$12"),0),0)="","?",VLOOKUP(AC$1,INDIRECT("'"&amp;$A99&amp;"'!$A$12:$Z$41"),MATCH("Points (Auto-generate)",INDIRECT("'"&amp;$A99&amp;"'!$A$12:$Z$12"),0),0)),"ER"))</f>
        <v>?</v>
      </c>
      <c r="AD99" s="78" t="str">
        <f aca="true">IF($H99=0,"NA",IF($A99=INDIRECT("'"&amp;$A99&amp;"'!$B$1"),IF(VLOOKUP(AD$1,INDIRECT("'"&amp;$A99&amp;"'!$A$12:$Z$41"),MATCH("Points (Auto-generate)",INDIRECT("'"&amp;$A99&amp;"'!$A$12:$Z$12"),0),0)="","?",VLOOKUP(AD$1,INDIRECT("'"&amp;$A99&amp;"'!$A$12:$Z$41"),MATCH("Points (Auto-generate)",INDIRECT("'"&amp;$A99&amp;"'!$A$12:$Z$12"),0),0)),"ER"))</f>
        <v>?</v>
      </c>
      <c r="AE99" s="78" t="str">
        <f aca="true">IF($H99=0,"NA",IF($A99=INDIRECT("'"&amp;$A99&amp;"'!$B$1"),IF(VLOOKUP(AE$1,INDIRECT("'"&amp;$A99&amp;"'!$A$12:$Z$41"),MATCH("Points (Auto-generate)",INDIRECT("'"&amp;$A99&amp;"'!$A$12:$Z$12"),0),0)="","?",VLOOKUP(AE$1,INDIRECT("'"&amp;$A99&amp;"'!$A$12:$Z$41"),MATCH("Points (Auto-generate)",INDIRECT("'"&amp;$A99&amp;"'!$A$12:$Z$12"),0),0)),"ER"))</f>
        <v>?</v>
      </c>
      <c r="AF99" s="78" t="str">
        <f aca="true">IF($H99=0,"NA",IF($A99=INDIRECT("'"&amp;$A99&amp;"'!$B$1"),IF(VLOOKUP(AF$1,INDIRECT("'"&amp;$A99&amp;"'!$A$12:$Z$41"),MATCH("Points (Auto-generate)",INDIRECT("'"&amp;$A99&amp;"'!$A$12:$Z$12"),0),0)="","?",VLOOKUP(AF$1,INDIRECT("'"&amp;$A99&amp;"'!$A$12:$Z$41"),MATCH("Points (Auto-generate)",INDIRECT("'"&amp;$A99&amp;"'!$A$12:$Z$12"),0),0)),"ER"))</f>
        <v>?</v>
      </c>
      <c r="AG99" s="78" t="str">
        <f aca="true">IF($H99=0,"NA",IF($A99=INDIRECT("'"&amp;$A99&amp;"'!$B$1"),IF(VLOOKUP(AG$1,INDIRECT("'"&amp;$A99&amp;"'!$A$12:$Z$41"),MATCH("Points (Auto-generate)",INDIRECT("'"&amp;$A99&amp;"'!$A$12:$Z$12"),0),0)="","?",VLOOKUP(AG$1,INDIRECT("'"&amp;$A99&amp;"'!$A$12:$Z$41"),MATCH("Points (Auto-generate)",INDIRECT("'"&amp;$A99&amp;"'!$A$12:$Z$12"),0),0)),"ER"))</f>
        <v>?</v>
      </c>
      <c r="AH99" s="78" t="str">
        <f aca="true">IF($H99=0,"NA",IF($A99=INDIRECT("'"&amp;$A99&amp;"'!$B$1"),IF(VLOOKUP(AH$1,INDIRECT("'"&amp;$A99&amp;"'!$A$12:$Z$41"),MATCH("Points (Auto-generate)",INDIRECT("'"&amp;$A99&amp;"'!$A$12:$Z$12"),0),0)="","?",VLOOKUP(AH$1,INDIRECT("'"&amp;$A99&amp;"'!$A$12:$Z$41"),MATCH("Points (Auto-generate)",INDIRECT("'"&amp;$A99&amp;"'!$A$12:$Z$12"),0),0)),"ER"))</f>
        <v>?</v>
      </c>
      <c r="AI99" s="78" t="str">
        <f aca="true">IF($H99=0,"NA",IF($A99=INDIRECT("'"&amp;$A99&amp;"'!$B$1"),IF(VLOOKUP(AI$1,INDIRECT("'"&amp;$A99&amp;"'!$A$12:$Z$41"),MATCH("Points (Auto-generate)",INDIRECT("'"&amp;$A99&amp;"'!$A$12:$Z$12"),0),0)="","?",VLOOKUP(AI$1,INDIRECT("'"&amp;$A99&amp;"'!$A$12:$Z$41"),MATCH("Points (Auto-generate)",INDIRECT("'"&amp;$A99&amp;"'!$A$12:$Z$12"),0),0)),"ER"))</f>
        <v>?</v>
      </c>
      <c r="AJ99" s="78" t="str">
        <f aca="true">IF($H99=0,"NA",IF($A99=INDIRECT("'"&amp;$A99&amp;"'!$B$1"),IF(VLOOKUP(AJ$1,INDIRECT("'"&amp;$A99&amp;"'!$A$12:$Z$41"),MATCH("Points (Auto-generate)",INDIRECT("'"&amp;$A99&amp;"'!$A$12:$Z$12"),0),0)="","?",VLOOKUP(AJ$1,INDIRECT("'"&amp;$A99&amp;"'!$A$12:$Z$41"),MATCH("Points (Auto-generate)",INDIRECT("'"&amp;$A99&amp;"'!$A$12:$Z$12"),0),0)),"ER"))</f>
        <v>?</v>
      </c>
      <c r="AK99" s="78" t="str">
        <f aca="true">IF($H99=0,"NA",IF($A99=INDIRECT("'"&amp;$A99&amp;"'!$B$1"),IF(VLOOKUP(AK$1,INDIRECT("'"&amp;$A99&amp;"'!$A$12:$Z$41"),MATCH("Points (Auto-generate)",INDIRECT("'"&amp;$A99&amp;"'!$A$12:$Z$12"),0),0)="","?",VLOOKUP(AK$1,INDIRECT("'"&amp;$A99&amp;"'!$A$12:$Z$41"),MATCH("Points (Auto-generate)",INDIRECT("'"&amp;$A99&amp;"'!$A$12:$Z$12"),0),0)),"ER"))</f>
        <v>?</v>
      </c>
    </row>
    <row r="100" customFormat="false" ht="14.25" hidden="false" customHeight="true" outlineLevel="0" collapsed="false">
      <c r="A100" s="74" t="s">
        <v>117</v>
      </c>
      <c r="B100" s="75" t="str">
        <f aca="false">IF(ISBLANK($A100),"NO_CODE",VLOOKUP($A100,'UPD Questions_290926 '!$E$1:$N$300,MATCH(B$1,'UPD Questions_290926 '!$E$1:$N$1,0),0)&amp;"")</f>
        <v>Implementation</v>
      </c>
      <c r="C100" s="75" t="str">
        <f aca="false">IF(ISBLANK($A100),"NO_CODE",VLOOKUP($A100,'UPD Questions_290926 '!$E$1:$N$300,MATCH(C$1,'UPD Questions_290926 '!$E$1:$N$1,0),0)&amp;"")</f>
        <v>Development Control Regulations and land-management instruments</v>
      </c>
      <c r="D100" s="75" t="str">
        <f aca="false">IF(ISBLANK($A100),"NO_CODE",VLOOKUP($A100,'UPD Questions_290926 '!$E$1:$N$300,MATCH(D$1,'UPD Questions_290926 '!$E$1:$N$1,0),0)&amp;"")</f>
        <v>Land-management instruments</v>
      </c>
      <c r="E100" s="75" t="str">
        <f aca="false">IF(ISBLANK($A100),"NO_CODE",VLOOKUP($A100,'UPD Questions_290926 '!$E$1:$N$300,MATCH(E$1,'UPD Questions_290926 '!$E$1:$N$1,0),0)&amp;"")</f>
        <v>MQ</v>
      </c>
      <c r="F100" s="75" t="str">
        <f aca="false">IF(ISBLANK($A100),"NO_CODE",VLOOKUP($A100,'UPD Questions_290926 '!$E$1:$N$300,MATCH(F$1,'UPD Questions_290926 '!$E$1:$N$1,0),0)&amp;"")</f>
        <v>Does the law enable a guaranteed land titling system ?</v>
      </c>
      <c r="G100" s="75" t="str">
        <f aca="false">IF(ISBLANK($A100),"NO_CODE",VLOOKUP($A100,'UPD Questions_290926 '!$E$1:$N$300,MATCH(G$1,'UPD Questions_290926 '!$E$1:$N$1,0),0)&amp;"")</f>
        <v>Law or Policy</v>
      </c>
      <c r="H100" s="77" t="n">
        <f aca="false">IF(ISBLANK($A100),"NO_CODE",VLOOKUP($A100,'UPD Questions_290926 '!$E$1:$N$300,MATCH(H$1,'UPD Questions_290926 '!$E$1:$N$1,0),0))</f>
        <v>10</v>
      </c>
      <c r="I100" s="78" t="str">
        <f aca="true">IF($H100=0,"NA",IF($A100=INDIRECT("'"&amp;$A100&amp;"'!$B$1"),IF(VLOOKUP(I$1,INDIRECT("'"&amp;$A100&amp;"'!$A$12:$Z$41"),MATCH("Points (Auto-generate)",INDIRECT("'"&amp;$A100&amp;"'!$A$12:$Z$12"),0),0)="","?",VLOOKUP(I$1,INDIRECT("'"&amp;$A100&amp;"'!$A$12:$Z$41"),MATCH("Points (Auto-generate)",INDIRECT("'"&amp;$A100&amp;"'!$A$12:$Z$12"),0),0)),"ER"))</f>
        <v>?</v>
      </c>
      <c r="J100" s="78" t="str">
        <f aca="true">IF($H100=0,"NA",IF($A100=INDIRECT("'"&amp;$A100&amp;"'!$B$1"),IF(VLOOKUP(J$1,INDIRECT("'"&amp;$A100&amp;"'!$A$12:$Z$41"),MATCH("Points (Auto-generate)",INDIRECT("'"&amp;$A100&amp;"'!$A$12:$Z$12"),0),0)="","?",VLOOKUP(J$1,INDIRECT("'"&amp;$A100&amp;"'!$A$12:$Z$41"),MATCH("Points (Auto-generate)",INDIRECT("'"&amp;$A100&amp;"'!$A$12:$Z$12"),0),0)),"ER"))</f>
        <v>?</v>
      </c>
      <c r="K100" s="78" t="str">
        <f aca="true">IF($H100=0,"NA",IF($A100=INDIRECT("'"&amp;$A100&amp;"'!$B$1"),IF(VLOOKUP(K$1,INDIRECT("'"&amp;$A100&amp;"'!$A$12:$Z$41"),MATCH("Points (Auto-generate)",INDIRECT("'"&amp;$A100&amp;"'!$A$12:$Z$12"),0),0)="","?",VLOOKUP(K$1,INDIRECT("'"&amp;$A100&amp;"'!$A$12:$Z$41"),MATCH("Points (Auto-generate)",INDIRECT("'"&amp;$A100&amp;"'!$A$12:$Z$12"),0),0)),"ER"))</f>
        <v>?</v>
      </c>
      <c r="L100" s="78" t="str">
        <f aca="true">IF($H100=0,"NA",IF($A100=INDIRECT("'"&amp;$A100&amp;"'!$B$1"),IF(VLOOKUP(L$1,INDIRECT("'"&amp;$A100&amp;"'!$A$12:$Z$41"),MATCH("Points (Auto-generate)",INDIRECT("'"&amp;$A100&amp;"'!$A$12:$Z$12"),0),0)="","?",VLOOKUP(L$1,INDIRECT("'"&amp;$A100&amp;"'!$A$12:$Z$41"),MATCH("Points (Auto-generate)",INDIRECT("'"&amp;$A100&amp;"'!$A$12:$Z$12"),0),0)),"ER"))</f>
        <v>?</v>
      </c>
      <c r="M100" s="78" t="str">
        <f aca="true">IF($H100=0,"NA",IF($A100=INDIRECT("'"&amp;$A100&amp;"'!$B$1"),IF(VLOOKUP(M$1,INDIRECT("'"&amp;$A100&amp;"'!$A$12:$Z$41"),MATCH("Points (Auto-generate)",INDIRECT("'"&amp;$A100&amp;"'!$A$12:$Z$12"),0),0)="","?",VLOOKUP(M$1,INDIRECT("'"&amp;$A100&amp;"'!$A$12:$Z$41"),MATCH("Points (Auto-generate)",INDIRECT("'"&amp;$A100&amp;"'!$A$12:$Z$12"),0),0)),"ER"))</f>
        <v>?</v>
      </c>
      <c r="N100" s="78" t="str">
        <f aca="true">IF($H100=0,"NA",IF($A100=INDIRECT("'"&amp;$A100&amp;"'!$B$1"),IF(VLOOKUP(N$1,INDIRECT("'"&amp;$A100&amp;"'!$A$12:$Z$41"),MATCH("Points (Auto-generate)",INDIRECT("'"&amp;$A100&amp;"'!$A$12:$Z$12"),0),0)="","?",VLOOKUP(N$1,INDIRECT("'"&amp;$A100&amp;"'!$A$12:$Z$41"),MATCH("Points (Auto-generate)",INDIRECT("'"&amp;$A100&amp;"'!$A$12:$Z$12"),0),0)),"ER"))</f>
        <v>?</v>
      </c>
      <c r="O100" s="78" t="str">
        <f aca="true">IF($H100=0,"NA",IF($A100=INDIRECT("'"&amp;$A100&amp;"'!$B$1"),IF(VLOOKUP(O$1,INDIRECT("'"&amp;$A100&amp;"'!$A$12:$Z$41"),MATCH("Points (Auto-generate)",INDIRECT("'"&amp;$A100&amp;"'!$A$12:$Z$12"),0),0)="","?",VLOOKUP(O$1,INDIRECT("'"&amp;$A100&amp;"'!$A$12:$Z$41"),MATCH("Points (Auto-generate)",INDIRECT("'"&amp;$A100&amp;"'!$A$12:$Z$12"),0),0)),"ER"))</f>
        <v>?</v>
      </c>
      <c r="P100" s="78" t="str">
        <f aca="true">IF($H100=0,"NA",IF($A100=INDIRECT("'"&amp;$A100&amp;"'!$B$1"),IF(VLOOKUP(P$1,INDIRECT("'"&amp;$A100&amp;"'!$A$12:$Z$41"),MATCH("Points (Auto-generate)",INDIRECT("'"&amp;$A100&amp;"'!$A$12:$Z$12"),0),0)="","?",VLOOKUP(P$1,INDIRECT("'"&amp;$A100&amp;"'!$A$12:$Z$41"),MATCH("Points (Auto-generate)",INDIRECT("'"&amp;$A100&amp;"'!$A$12:$Z$12"),0),0)),"ER"))</f>
        <v>?</v>
      </c>
      <c r="Q100" s="78" t="str">
        <f aca="true">IF($H100=0,"NA",IF($A100=INDIRECT("'"&amp;$A100&amp;"'!$B$1"),IF(VLOOKUP(Q$1,INDIRECT("'"&amp;$A100&amp;"'!$A$12:$Z$41"),MATCH("Points (Auto-generate)",INDIRECT("'"&amp;$A100&amp;"'!$A$12:$Z$12"),0),0)="","?",VLOOKUP(Q$1,INDIRECT("'"&amp;$A100&amp;"'!$A$12:$Z$41"),MATCH("Points (Auto-generate)",INDIRECT("'"&amp;$A100&amp;"'!$A$12:$Z$12"),0),0)),"ER"))</f>
        <v>?</v>
      </c>
      <c r="R100" s="78" t="str">
        <f aca="true">IF($H100=0,"NA",IF($A100=INDIRECT("'"&amp;$A100&amp;"'!$B$1"),IF(VLOOKUP(R$1,INDIRECT("'"&amp;$A100&amp;"'!$A$12:$Z$41"),MATCH("Points (Auto-generate)",INDIRECT("'"&amp;$A100&amp;"'!$A$12:$Z$12"),0),0)="","?",VLOOKUP(R$1,INDIRECT("'"&amp;$A100&amp;"'!$A$12:$Z$41"),MATCH("Points (Auto-generate)",INDIRECT("'"&amp;$A100&amp;"'!$A$12:$Z$12"),0),0)),"ER"))</f>
        <v>?</v>
      </c>
      <c r="S100" s="78" t="str">
        <f aca="true">IF($H100=0,"NA",IF($A100=INDIRECT("'"&amp;$A100&amp;"'!$B$1"),IF(VLOOKUP(S$1,INDIRECT("'"&amp;$A100&amp;"'!$A$12:$Z$41"),MATCH("Points (Auto-generate)",INDIRECT("'"&amp;$A100&amp;"'!$A$12:$Z$12"),0),0)="","?",VLOOKUP(S$1,INDIRECT("'"&amp;$A100&amp;"'!$A$12:$Z$41"),MATCH("Points (Auto-generate)",INDIRECT("'"&amp;$A100&amp;"'!$A$12:$Z$12"),0),0)),"ER"))</f>
        <v>?</v>
      </c>
      <c r="T100" s="78" t="str">
        <f aca="true">IF($H100=0,"NA",IF($A100=INDIRECT("'"&amp;$A100&amp;"'!$B$1"),IF(VLOOKUP(T$1,INDIRECT("'"&amp;$A100&amp;"'!$A$12:$Z$41"),MATCH("Points (Auto-generate)",INDIRECT("'"&amp;$A100&amp;"'!$A$12:$Z$12"),0),0)="","?",VLOOKUP(T$1,INDIRECT("'"&amp;$A100&amp;"'!$A$12:$Z$41"),MATCH("Points (Auto-generate)",INDIRECT("'"&amp;$A100&amp;"'!$A$12:$Z$12"),0),0)),"ER"))</f>
        <v>?</v>
      </c>
      <c r="U100" s="78" t="str">
        <f aca="true">IF($H100=0,"NA",IF($A100=INDIRECT("'"&amp;$A100&amp;"'!$B$1"),IF(VLOOKUP(U$1,INDIRECT("'"&amp;$A100&amp;"'!$A$12:$Z$41"),MATCH("Points (Auto-generate)",INDIRECT("'"&amp;$A100&amp;"'!$A$12:$Z$12"),0),0)="","?",VLOOKUP(U$1,INDIRECT("'"&amp;$A100&amp;"'!$A$12:$Z$41"),MATCH("Points (Auto-generate)",INDIRECT("'"&amp;$A100&amp;"'!$A$12:$Z$12"),0),0)),"ER"))</f>
        <v>?</v>
      </c>
      <c r="V100" s="78" t="str">
        <f aca="true">IF($H100=0,"NA",IF($A100=INDIRECT("'"&amp;$A100&amp;"'!$B$1"),IF(VLOOKUP(V$1,INDIRECT("'"&amp;$A100&amp;"'!$A$12:$Z$41"),MATCH("Points (Auto-generate)",INDIRECT("'"&amp;$A100&amp;"'!$A$12:$Z$12"),0),0)="","?",VLOOKUP(V$1,INDIRECT("'"&amp;$A100&amp;"'!$A$12:$Z$41"),MATCH("Points (Auto-generate)",INDIRECT("'"&amp;$A100&amp;"'!$A$12:$Z$12"),0),0)),"ER"))</f>
        <v>?</v>
      </c>
      <c r="W100" s="78" t="str">
        <f aca="true">IF($H100=0,"NA",IF($A100=INDIRECT("'"&amp;$A100&amp;"'!$B$1"),IF(VLOOKUP(W$1,INDIRECT("'"&amp;$A100&amp;"'!$A$12:$Z$41"),MATCH("Points (Auto-generate)",INDIRECT("'"&amp;$A100&amp;"'!$A$12:$Z$12"),0),0)="","?",VLOOKUP(W$1,INDIRECT("'"&amp;$A100&amp;"'!$A$12:$Z$41"),MATCH("Points (Auto-generate)",INDIRECT("'"&amp;$A100&amp;"'!$A$12:$Z$12"),0),0)),"ER"))</f>
        <v>?</v>
      </c>
      <c r="X100" s="78" t="str">
        <f aca="true">IF($H100=0,"NA",IF($A100=INDIRECT("'"&amp;$A100&amp;"'!$B$1"),IF(VLOOKUP(X$1,INDIRECT("'"&amp;$A100&amp;"'!$A$12:$Z$41"),MATCH("Points (Auto-generate)",INDIRECT("'"&amp;$A100&amp;"'!$A$12:$Z$12"),0),0)="","?",VLOOKUP(X$1,INDIRECT("'"&amp;$A100&amp;"'!$A$12:$Z$41"),MATCH("Points (Auto-generate)",INDIRECT("'"&amp;$A100&amp;"'!$A$12:$Z$12"),0),0)),"ER"))</f>
        <v>?</v>
      </c>
      <c r="Y100" s="78" t="str">
        <f aca="true">IF($H100=0,"NA",IF($A100=INDIRECT("'"&amp;$A100&amp;"'!$B$1"),IF(VLOOKUP(Y$1,INDIRECT("'"&amp;$A100&amp;"'!$A$12:$Z$41"),MATCH("Points (Auto-generate)",INDIRECT("'"&amp;$A100&amp;"'!$A$12:$Z$12"),0),0)="","?",VLOOKUP(Y$1,INDIRECT("'"&amp;$A100&amp;"'!$A$12:$Z$41"),MATCH("Points (Auto-generate)",INDIRECT("'"&amp;$A100&amp;"'!$A$12:$Z$12"),0),0)),"ER"))</f>
        <v>?</v>
      </c>
      <c r="Z100" s="78" t="str">
        <f aca="true">IF($H100=0,"NA",IF($A100=INDIRECT("'"&amp;$A100&amp;"'!$B$1"),IF(VLOOKUP(Z$1,INDIRECT("'"&amp;$A100&amp;"'!$A$12:$Z$41"),MATCH("Points (Auto-generate)",INDIRECT("'"&amp;$A100&amp;"'!$A$12:$Z$12"),0),0)="","?",VLOOKUP(Z$1,INDIRECT("'"&amp;$A100&amp;"'!$A$12:$Z$41"),MATCH("Points (Auto-generate)",INDIRECT("'"&amp;$A100&amp;"'!$A$12:$Z$12"),0),0)),"ER"))</f>
        <v>?</v>
      </c>
      <c r="AA100" s="78" t="str">
        <f aca="true">IF($H100=0,"NA",IF($A100=INDIRECT("'"&amp;$A100&amp;"'!$B$1"),IF(VLOOKUP(AA$1,INDIRECT("'"&amp;$A100&amp;"'!$A$12:$Z$41"),MATCH("Points (Auto-generate)",INDIRECT("'"&amp;$A100&amp;"'!$A$12:$Z$12"),0),0)="","?",VLOOKUP(AA$1,INDIRECT("'"&amp;$A100&amp;"'!$A$12:$Z$41"),MATCH("Points (Auto-generate)",INDIRECT("'"&amp;$A100&amp;"'!$A$12:$Z$12"),0),0)),"ER"))</f>
        <v>?</v>
      </c>
      <c r="AB100" s="78" t="str">
        <f aca="true">IF($H100=0,"NA",IF($A100=INDIRECT("'"&amp;$A100&amp;"'!$B$1"),IF(VLOOKUP(AB$1,INDIRECT("'"&amp;$A100&amp;"'!$A$12:$Z$41"),MATCH("Points (Auto-generate)",INDIRECT("'"&amp;$A100&amp;"'!$A$12:$Z$12"),0),0)="","?",VLOOKUP(AB$1,INDIRECT("'"&amp;$A100&amp;"'!$A$12:$Z$41"),MATCH("Points (Auto-generate)",INDIRECT("'"&amp;$A100&amp;"'!$A$12:$Z$12"),0),0)),"ER"))</f>
        <v>?</v>
      </c>
      <c r="AC100" s="78" t="str">
        <f aca="true">IF($H100=0,"NA",IF($A100=INDIRECT("'"&amp;$A100&amp;"'!$B$1"),IF(VLOOKUP(AC$1,INDIRECT("'"&amp;$A100&amp;"'!$A$12:$Z$41"),MATCH("Points (Auto-generate)",INDIRECT("'"&amp;$A100&amp;"'!$A$12:$Z$12"),0),0)="","?",VLOOKUP(AC$1,INDIRECT("'"&amp;$A100&amp;"'!$A$12:$Z$41"),MATCH("Points (Auto-generate)",INDIRECT("'"&amp;$A100&amp;"'!$A$12:$Z$12"),0),0)),"ER"))</f>
        <v>?</v>
      </c>
      <c r="AD100" s="78" t="str">
        <f aca="true">IF($H100=0,"NA",IF($A100=INDIRECT("'"&amp;$A100&amp;"'!$B$1"),IF(VLOOKUP(AD$1,INDIRECT("'"&amp;$A100&amp;"'!$A$12:$Z$41"),MATCH("Points (Auto-generate)",INDIRECT("'"&amp;$A100&amp;"'!$A$12:$Z$12"),0),0)="","?",VLOOKUP(AD$1,INDIRECT("'"&amp;$A100&amp;"'!$A$12:$Z$41"),MATCH("Points (Auto-generate)",INDIRECT("'"&amp;$A100&amp;"'!$A$12:$Z$12"),0),0)),"ER"))</f>
        <v>?</v>
      </c>
      <c r="AE100" s="78" t="str">
        <f aca="true">IF($H100=0,"NA",IF($A100=INDIRECT("'"&amp;$A100&amp;"'!$B$1"),IF(VLOOKUP(AE$1,INDIRECT("'"&amp;$A100&amp;"'!$A$12:$Z$41"),MATCH("Points (Auto-generate)",INDIRECT("'"&amp;$A100&amp;"'!$A$12:$Z$12"),0),0)="","?",VLOOKUP(AE$1,INDIRECT("'"&amp;$A100&amp;"'!$A$12:$Z$41"),MATCH("Points (Auto-generate)",INDIRECT("'"&amp;$A100&amp;"'!$A$12:$Z$12"),0),0)),"ER"))</f>
        <v>?</v>
      </c>
      <c r="AF100" s="78" t="str">
        <f aca="true">IF($H100=0,"NA",IF($A100=INDIRECT("'"&amp;$A100&amp;"'!$B$1"),IF(VLOOKUP(AF$1,INDIRECT("'"&amp;$A100&amp;"'!$A$12:$Z$41"),MATCH("Points (Auto-generate)",INDIRECT("'"&amp;$A100&amp;"'!$A$12:$Z$12"),0),0)="","?",VLOOKUP(AF$1,INDIRECT("'"&amp;$A100&amp;"'!$A$12:$Z$41"),MATCH("Points (Auto-generate)",INDIRECT("'"&amp;$A100&amp;"'!$A$12:$Z$12"),0),0)),"ER"))</f>
        <v>?</v>
      </c>
      <c r="AG100" s="78" t="str">
        <f aca="true">IF($H100=0,"NA",IF($A100=INDIRECT("'"&amp;$A100&amp;"'!$B$1"),IF(VLOOKUP(AG$1,INDIRECT("'"&amp;$A100&amp;"'!$A$12:$Z$41"),MATCH("Points (Auto-generate)",INDIRECT("'"&amp;$A100&amp;"'!$A$12:$Z$12"),0),0)="","?",VLOOKUP(AG$1,INDIRECT("'"&amp;$A100&amp;"'!$A$12:$Z$41"),MATCH("Points (Auto-generate)",INDIRECT("'"&amp;$A100&amp;"'!$A$12:$Z$12"),0),0)),"ER"))</f>
        <v>?</v>
      </c>
      <c r="AH100" s="78" t="str">
        <f aca="true">IF($H100=0,"NA",IF($A100=INDIRECT("'"&amp;$A100&amp;"'!$B$1"),IF(VLOOKUP(AH$1,INDIRECT("'"&amp;$A100&amp;"'!$A$12:$Z$41"),MATCH("Points (Auto-generate)",INDIRECT("'"&amp;$A100&amp;"'!$A$12:$Z$12"),0),0)="","?",VLOOKUP(AH$1,INDIRECT("'"&amp;$A100&amp;"'!$A$12:$Z$41"),MATCH("Points (Auto-generate)",INDIRECT("'"&amp;$A100&amp;"'!$A$12:$Z$12"),0),0)),"ER"))</f>
        <v>?</v>
      </c>
      <c r="AI100" s="78" t="str">
        <f aca="true">IF($H100=0,"NA",IF($A100=INDIRECT("'"&amp;$A100&amp;"'!$B$1"),IF(VLOOKUP(AI$1,INDIRECT("'"&amp;$A100&amp;"'!$A$12:$Z$41"),MATCH("Points (Auto-generate)",INDIRECT("'"&amp;$A100&amp;"'!$A$12:$Z$12"),0),0)="","?",VLOOKUP(AI$1,INDIRECT("'"&amp;$A100&amp;"'!$A$12:$Z$41"),MATCH("Points (Auto-generate)",INDIRECT("'"&amp;$A100&amp;"'!$A$12:$Z$12"),0),0)),"ER"))</f>
        <v>?</v>
      </c>
      <c r="AJ100" s="78" t="str">
        <f aca="true">IF($H100=0,"NA",IF($A100=INDIRECT("'"&amp;$A100&amp;"'!$B$1"),IF(VLOOKUP(AJ$1,INDIRECT("'"&amp;$A100&amp;"'!$A$12:$Z$41"),MATCH("Points (Auto-generate)",INDIRECT("'"&amp;$A100&amp;"'!$A$12:$Z$12"),0),0)="","?",VLOOKUP(AJ$1,INDIRECT("'"&amp;$A100&amp;"'!$A$12:$Z$41"),MATCH("Points (Auto-generate)",INDIRECT("'"&amp;$A100&amp;"'!$A$12:$Z$12"),0),0)),"ER"))</f>
        <v>?</v>
      </c>
      <c r="AK100" s="78" t="str">
        <f aca="true">IF($H100=0,"NA",IF($A100=INDIRECT("'"&amp;$A100&amp;"'!$B$1"),IF(VLOOKUP(AK$1,INDIRECT("'"&amp;$A100&amp;"'!$A$12:$Z$41"),MATCH("Points (Auto-generate)",INDIRECT("'"&amp;$A100&amp;"'!$A$12:$Z$12"),0),0)="","?",VLOOKUP(AK$1,INDIRECT("'"&amp;$A100&amp;"'!$A$12:$Z$41"),MATCH("Points (Auto-generate)",INDIRECT("'"&amp;$A100&amp;"'!$A$12:$Z$12"),0),0)),"ER"))</f>
        <v>?</v>
      </c>
    </row>
    <row r="101" customFormat="false" ht="14.25" hidden="false" customHeight="true" outlineLevel="0" collapsed="false">
      <c r="A101" s="74" t="s">
        <v>451</v>
      </c>
      <c r="B101" s="75" t="str">
        <f aca="false">IF(ISBLANK($A101),"NO_CODE",VLOOKUP($A101,'UPD Questions_290926 '!$E$1:$N$300,MATCH(B$1,'UPD Questions_290926 '!$E$1:$N$1,0),0)&amp;"")</f>
        <v>Implementation</v>
      </c>
      <c r="C101" s="75" t="str">
        <f aca="false">IF(ISBLANK($A101),"NO_CODE",VLOOKUP($A101,'UPD Questions_290926 '!$E$1:$N$300,MATCH(C$1,'UPD Questions_290926 '!$E$1:$N$1,0),0)&amp;"")</f>
        <v>Development Control Regulations and land-management instruments</v>
      </c>
      <c r="D101" s="75" t="str">
        <f aca="false">IF(ISBLANK($A101),"NO_CODE",VLOOKUP($A101,'UPD Questions_290926 '!$E$1:$N$300,MATCH(D$1,'UPD Questions_290926 '!$E$1:$N$1,0),0)&amp;"")</f>
        <v>Land-management instruments</v>
      </c>
      <c r="E101" s="75" t="str">
        <f aca="false">IF(ISBLANK($A101),"NO_CODE",VLOOKUP($A101,'UPD Questions_290926 '!$E$1:$N$300,MATCH(E$1,'UPD Questions_290926 '!$E$1:$N$1,0),0)&amp;"")</f>
        <v>MQ</v>
      </c>
      <c r="F101" s="75" t="str">
        <f aca="false">IF(ISBLANK($A101),"NO_CODE",VLOOKUP($A101,'UPD Questions_290926 '!$E$1:$N$300,MATCH(F$1,'UPD Questions_290926 '!$E$1:$N$1,0),0)&amp;"")</f>
        <v>Does the law enable a guaranteed land pooling system ?</v>
      </c>
      <c r="G101" s="75" t="str">
        <f aca="false">IF(ISBLANK($A101),"NO_CODE",VLOOKUP($A101,'UPD Questions_290926 '!$E$1:$N$300,MATCH(G$1,'UPD Questions_290926 '!$E$1:$N$1,0),0)&amp;"")</f>
        <v>Law or Policy</v>
      </c>
      <c r="H101" s="77" t="n">
        <f aca="false">IF(ISBLANK($A101),"NO_CODE",VLOOKUP($A101,'UPD Questions_290926 '!$E$1:$N$300,MATCH(H$1,'UPD Questions_290926 '!$E$1:$N$1,0),0))</f>
        <v>10</v>
      </c>
      <c r="I101" s="78" t="str">
        <f aca="true">IF($H101=0,"NA",IF($A101=INDIRECT("'"&amp;$A101&amp;"'!$B$1"),IF(VLOOKUP(I$1,INDIRECT("'"&amp;$A101&amp;"'!$A$12:$Z$41"),MATCH("Points (Auto-generate)",INDIRECT("'"&amp;$A101&amp;"'!$A$12:$Z$12"),0),0)="","?",VLOOKUP(I$1,INDIRECT("'"&amp;$A101&amp;"'!$A$12:$Z$41"),MATCH("Points (Auto-generate)",INDIRECT("'"&amp;$A101&amp;"'!$A$12:$Z$12"),0),0)),"ER"))</f>
        <v>?</v>
      </c>
      <c r="J101" s="78" t="str">
        <f aca="true">IF($H101=0,"NA",IF($A101=INDIRECT("'"&amp;$A101&amp;"'!$B$1"),IF(VLOOKUP(J$1,INDIRECT("'"&amp;$A101&amp;"'!$A$12:$Z$41"),MATCH("Points (Auto-generate)",INDIRECT("'"&amp;$A101&amp;"'!$A$12:$Z$12"),0),0)="","?",VLOOKUP(J$1,INDIRECT("'"&amp;$A101&amp;"'!$A$12:$Z$41"),MATCH("Points (Auto-generate)",INDIRECT("'"&amp;$A101&amp;"'!$A$12:$Z$12"),0),0)),"ER"))</f>
        <v>?</v>
      </c>
      <c r="K101" s="78" t="str">
        <f aca="true">IF($H101=0,"NA",IF($A101=INDIRECT("'"&amp;$A101&amp;"'!$B$1"),IF(VLOOKUP(K$1,INDIRECT("'"&amp;$A101&amp;"'!$A$12:$Z$41"),MATCH("Points (Auto-generate)",INDIRECT("'"&amp;$A101&amp;"'!$A$12:$Z$12"),0),0)="","?",VLOOKUP(K$1,INDIRECT("'"&amp;$A101&amp;"'!$A$12:$Z$41"),MATCH("Points (Auto-generate)",INDIRECT("'"&amp;$A101&amp;"'!$A$12:$Z$12"),0),0)),"ER"))</f>
        <v>?</v>
      </c>
      <c r="L101" s="78" t="str">
        <f aca="true">IF($H101=0,"NA",IF($A101=INDIRECT("'"&amp;$A101&amp;"'!$B$1"),IF(VLOOKUP(L$1,INDIRECT("'"&amp;$A101&amp;"'!$A$12:$Z$41"),MATCH("Points (Auto-generate)",INDIRECT("'"&amp;$A101&amp;"'!$A$12:$Z$12"),0),0)="","?",VLOOKUP(L$1,INDIRECT("'"&amp;$A101&amp;"'!$A$12:$Z$41"),MATCH("Points (Auto-generate)",INDIRECT("'"&amp;$A101&amp;"'!$A$12:$Z$12"),0),0)),"ER"))</f>
        <v>?</v>
      </c>
      <c r="M101" s="78" t="str">
        <f aca="true">IF($H101=0,"NA",IF($A101=INDIRECT("'"&amp;$A101&amp;"'!$B$1"),IF(VLOOKUP(M$1,INDIRECT("'"&amp;$A101&amp;"'!$A$12:$Z$41"),MATCH("Points (Auto-generate)",INDIRECT("'"&amp;$A101&amp;"'!$A$12:$Z$12"),0),0)="","?",VLOOKUP(M$1,INDIRECT("'"&amp;$A101&amp;"'!$A$12:$Z$41"),MATCH("Points (Auto-generate)",INDIRECT("'"&amp;$A101&amp;"'!$A$12:$Z$12"),0),0)),"ER"))</f>
        <v>?</v>
      </c>
      <c r="N101" s="78" t="str">
        <f aca="true">IF($H101=0,"NA",IF($A101=INDIRECT("'"&amp;$A101&amp;"'!$B$1"),IF(VLOOKUP(N$1,INDIRECT("'"&amp;$A101&amp;"'!$A$12:$Z$41"),MATCH("Points (Auto-generate)",INDIRECT("'"&amp;$A101&amp;"'!$A$12:$Z$12"),0),0)="","?",VLOOKUP(N$1,INDIRECT("'"&amp;$A101&amp;"'!$A$12:$Z$41"),MATCH("Points (Auto-generate)",INDIRECT("'"&amp;$A101&amp;"'!$A$12:$Z$12"),0),0)),"ER"))</f>
        <v>?</v>
      </c>
      <c r="O101" s="78" t="str">
        <f aca="true">IF($H101=0,"NA",IF($A101=INDIRECT("'"&amp;$A101&amp;"'!$B$1"),IF(VLOOKUP(O$1,INDIRECT("'"&amp;$A101&amp;"'!$A$12:$Z$41"),MATCH("Points (Auto-generate)",INDIRECT("'"&amp;$A101&amp;"'!$A$12:$Z$12"),0),0)="","?",VLOOKUP(O$1,INDIRECT("'"&amp;$A101&amp;"'!$A$12:$Z$41"),MATCH("Points (Auto-generate)",INDIRECT("'"&amp;$A101&amp;"'!$A$12:$Z$12"),0),0)),"ER"))</f>
        <v>?</v>
      </c>
      <c r="P101" s="78" t="str">
        <f aca="true">IF($H101=0,"NA",IF($A101=INDIRECT("'"&amp;$A101&amp;"'!$B$1"),IF(VLOOKUP(P$1,INDIRECT("'"&amp;$A101&amp;"'!$A$12:$Z$41"),MATCH("Points (Auto-generate)",INDIRECT("'"&amp;$A101&amp;"'!$A$12:$Z$12"),0),0)="","?",VLOOKUP(P$1,INDIRECT("'"&amp;$A101&amp;"'!$A$12:$Z$41"),MATCH("Points (Auto-generate)",INDIRECT("'"&amp;$A101&amp;"'!$A$12:$Z$12"),0),0)),"ER"))</f>
        <v>?</v>
      </c>
      <c r="Q101" s="78" t="str">
        <f aca="true">IF($H101=0,"NA",IF($A101=INDIRECT("'"&amp;$A101&amp;"'!$B$1"),IF(VLOOKUP(Q$1,INDIRECT("'"&amp;$A101&amp;"'!$A$12:$Z$41"),MATCH("Points (Auto-generate)",INDIRECT("'"&amp;$A101&amp;"'!$A$12:$Z$12"),0),0)="","?",VLOOKUP(Q$1,INDIRECT("'"&amp;$A101&amp;"'!$A$12:$Z$41"),MATCH("Points (Auto-generate)",INDIRECT("'"&amp;$A101&amp;"'!$A$12:$Z$12"),0),0)),"ER"))</f>
        <v>?</v>
      </c>
      <c r="R101" s="78" t="str">
        <f aca="true">IF($H101=0,"NA",IF($A101=INDIRECT("'"&amp;$A101&amp;"'!$B$1"),IF(VLOOKUP(R$1,INDIRECT("'"&amp;$A101&amp;"'!$A$12:$Z$41"),MATCH("Points (Auto-generate)",INDIRECT("'"&amp;$A101&amp;"'!$A$12:$Z$12"),0),0)="","?",VLOOKUP(R$1,INDIRECT("'"&amp;$A101&amp;"'!$A$12:$Z$41"),MATCH("Points (Auto-generate)",INDIRECT("'"&amp;$A101&amp;"'!$A$12:$Z$12"),0),0)),"ER"))</f>
        <v>?</v>
      </c>
      <c r="S101" s="78" t="str">
        <f aca="true">IF($H101=0,"NA",IF($A101=INDIRECT("'"&amp;$A101&amp;"'!$B$1"),IF(VLOOKUP(S$1,INDIRECT("'"&amp;$A101&amp;"'!$A$12:$Z$41"),MATCH("Points (Auto-generate)",INDIRECT("'"&amp;$A101&amp;"'!$A$12:$Z$12"),0),0)="","?",VLOOKUP(S$1,INDIRECT("'"&amp;$A101&amp;"'!$A$12:$Z$41"),MATCH("Points (Auto-generate)",INDIRECT("'"&amp;$A101&amp;"'!$A$12:$Z$12"),0),0)),"ER"))</f>
        <v>?</v>
      </c>
      <c r="T101" s="78" t="str">
        <f aca="true">IF($H101=0,"NA",IF($A101=INDIRECT("'"&amp;$A101&amp;"'!$B$1"),IF(VLOOKUP(T$1,INDIRECT("'"&amp;$A101&amp;"'!$A$12:$Z$41"),MATCH("Points (Auto-generate)",INDIRECT("'"&amp;$A101&amp;"'!$A$12:$Z$12"),0),0)="","?",VLOOKUP(T$1,INDIRECT("'"&amp;$A101&amp;"'!$A$12:$Z$41"),MATCH("Points (Auto-generate)",INDIRECT("'"&amp;$A101&amp;"'!$A$12:$Z$12"),0),0)),"ER"))</f>
        <v>?</v>
      </c>
      <c r="U101" s="78" t="str">
        <f aca="true">IF($H101=0,"NA",IF($A101=INDIRECT("'"&amp;$A101&amp;"'!$B$1"),IF(VLOOKUP(U$1,INDIRECT("'"&amp;$A101&amp;"'!$A$12:$Z$41"),MATCH("Points (Auto-generate)",INDIRECT("'"&amp;$A101&amp;"'!$A$12:$Z$12"),0),0)="","?",VLOOKUP(U$1,INDIRECT("'"&amp;$A101&amp;"'!$A$12:$Z$41"),MATCH("Points (Auto-generate)",INDIRECT("'"&amp;$A101&amp;"'!$A$12:$Z$12"),0),0)),"ER"))</f>
        <v>?</v>
      </c>
      <c r="V101" s="78" t="str">
        <f aca="true">IF($H101=0,"NA",IF($A101=INDIRECT("'"&amp;$A101&amp;"'!$B$1"),IF(VLOOKUP(V$1,INDIRECT("'"&amp;$A101&amp;"'!$A$12:$Z$41"),MATCH("Points (Auto-generate)",INDIRECT("'"&amp;$A101&amp;"'!$A$12:$Z$12"),0),0)="","?",VLOOKUP(V$1,INDIRECT("'"&amp;$A101&amp;"'!$A$12:$Z$41"),MATCH("Points (Auto-generate)",INDIRECT("'"&amp;$A101&amp;"'!$A$12:$Z$12"),0),0)),"ER"))</f>
        <v>?</v>
      </c>
      <c r="W101" s="78" t="str">
        <f aca="true">IF($H101=0,"NA",IF($A101=INDIRECT("'"&amp;$A101&amp;"'!$B$1"),IF(VLOOKUP(W$1,INDIRECT("'"&amp;$A101&amp;"'!$A$12:$Z$41"),MATCH("Points (Auto-generate)",INDIRECT("'"&amp;$A101&amp;"'!$A$12:$Z$12"),0),0)="","?",VLOOKUP(W$1,INDIRECT("'"&amp;$A101&amp;"'!$A$12:$Z$41"),MATCH("Points (Auto-generate)",INDIRECT("'"&amp;$A101&amp;"'!$A$12:$Z$12"),0),0)),"ER"))</f>
        <v>?</v>
      </c>
      <c r="X101" s="78" t="str">
        <f aca="true">IF($H101=0,"NA",IF($A101=INDIRECT("'"&amp;$A101&amp;"'!$B$1"),IF(VLOOKUP(X$1,INDIRECT("'"&amp;$A101&amp;"'!$A$12:$Z$41"),MATCH("Points (Auto-generate)",INDIRECT("'"&amp;$A101&amp;"'!$A$12:$Z$12"),0),0)="","?",VLOOKUP(X$1,INDIRECT("'"&amp;$A101&amp;"'!$A$12:$Z$41"),MATCH("Points (Auto-generate)",INDIRECT("'"&amp;$A101&amp;"'!$A$12:$Z$12"),0),0)),"ER"))</f>
        <v>?</v>
      </c>
      <c r="Y101" s="78" t="str">
        <f aca="true">IF($H101=0,"NA",IF($A101=INDIRECT("'"&amp;$A101&amp;"'!$B$1"),IF(VLOOKUP(Y$1,INDIRECT("'"&amp;$A101&amp;"'!$A$12:$Z$41"),MATCH("Points (Auto-generate)",INDIRECT("'"&amp;$A101&amp;"'!$A$12:$Z$12"),0),0)="","?",VLOOKUP(Y$1,INDIRECT("'"&amp;$A101&amp;"'!$A$12:$Z$41"),MATCH("Points (Auto-generate)",INDIRECT("'"&amp;$A101&amp;"'!$A$12:$Z$12"),0),0)),"ER"))</f>
        <v>?</v>
      </c>
      <c r="Z101" s="78" t="str">
        <f aca="true">IF($H101=0,"NA",IF($A101=INDIRECT("'"&amp;$A101&amp;"'!$B$1"),IF(VLOOKUP(Z$1,INDIRECT("'"&amp;$A101&amp;"'!$A$12:$Z$41"),MATCH("Points (Auto-generate)",INDIRECT("'"&amp;$A101&amp;"'!$A$12:$Z$12"),0),0)="","?",VLOOKUP(Z$1,INDIRECT("'"&amp;$A101&amp;"'!$A$12:$Z$41"),MATCH("Points (Auto-generate)",INDIRECT("'"&amp;$A101&amp;"'!$A$12:$Z$12"),0),0)),"ER"))</f>
        <v>?</v>
      </c>
      <c r="AA101" s="78" t="str">
        <f aca="true">IF($H101=0,"NA",IF($A101=INDIRECT("'"&amp;$A101&amp;"'!$B$1"),IF(VLOOKUP(AA$1,INDIRECT("'"&amp;$A101&amp;"'!$A$12:$Z$41"),MATCH("Points (Auto-generate)",INDIRECT("'"&amp;$A101&amp;"'!$A$12:$Z$12"),0),0)="","?",VLOOKUP(AA$1,INDIRECT("'"&amp;$A101&amp;"'!$A$12:$Z$41"),MATCH("Points (Auto-generate)",INDIRECT("'"&amp;$A101&amp;"'!$A$12:$Z$12"),0),0)),"ER"))</f>
        <v>?</v>
      </c>
      <c r="AB101" s="78" t="str">
        <f aca="true">IF($H101=0,"NA",IF($A101=INDIRECT("'"&amp;$A101&amp;"'!$B$1"),IF(VLOOKUP(AB$1,INDIRECT("'"&amp;$A101&amp;"'!$A$12:$Z$41"),MATCH("Points (Auto-generate)",INDIRECT("'"&amp;$A101&amp;"'!$A$12:$Z$12"),0),0)="","?",VLOOKUP(AB$1,INDIRECT("'"&amp;$A101&amp;"'!$A$12:$Z$41"),MATCH("Points (Auto-generate)",INDIRECT("'"&amp;$A101&amp;"'!$A$12:$Z$12"),0),0)),"ER"))</f>
        <v>?</v>
      </c>
      <c r="AC101" s="78" t="str">
        <f aca="true">IF($H101=0,"NA",IF($A101=INDIRECT("'"&amp;$A101&amp;"'!$B$1"),IF(VLOOKUP(AC$1,INDIRECT("'"&amp;$A101&amp;"'!$A$12:$Z$41"),MATCH("Points (Auto-generate)",INDIRECT("'"&amp;$A101&amp;"'!$A$12:$Z$12"),0),0)="","?",VLOOKUP(AC$1,INDIRECT("'"&amp;$A101&amp;"'!$A$12:$Z$41"),MATCH("Points (Auto-generate)",INDIRECT("'"&amp;$A101&amp;"'!$A$12:$Z$12"),0),0)),"ER"))</f>
        <v>?</v>
      </c>
      <c r="AD101" s="78" t="str">
        <f aca="true">IF($H101=0,"NA",IF($A101=INDIRECT("'"&amp;$A101&amp;"'!$B$1"),IF(VLOOKUP(AD$1,INDIRECT("'"&amp;$A101&amp;"'!$A$12:$Z$41"),MATCH("Points (Auto-generate)",INDIRECT("'"&amp;$A101&amp;"'!$A$12:$Z$12"),0),0)="","?",VLOOKUP(AD$1,INDIRECT("'"&amp;$A101&amp;"'!$A$12:$Z$41"),MATCH("Points (Auto-generate)",INDIRECT("'"&amp;$A101&amp;"'!$A$12:$Z$12"),0),0)),"ER"))</f>
        <v>?</v>
      </c>
      <c r="AE101" s="78" t="str">
        <f aca="true">IF($H101=0,"NA",IF($A101=INDIRECT("'"&amp;$A101&amp;"'!$B$1"),IF(VLOOKUP(AE$1,INDIRECT("'"&amp;$A101&amp;"'!$A$12:$Z$41"),MATCH("Points (Auto-generate)",INDIRECT("'"&amp;$A101&amp;"'!$A$12:$Z$12"),0),0)="","?",VLOOKUP(AE$1,INDIRECT("'"&amp;$A101&amp;"'!$A$12:$Z$41"),MATCH("Points (Auto-generate)",INDIRECT("'"&amp;$A101&amp;"'!$A$12:$Z$12"),0),0)),"ER"))</f>
        <v>?</v>
      </c>
      <c r="AF101" s="78" t="str">
        <f aca="true">IF($H101=0,"NA",IF($A101=INDIRECT("'"&amp;$A101&amp;"'!$B$1"),IF(VLOOKUP(AF$1,INDIRECT("'"&amp;$A101&amp;"'!$A$12:$Z$41"),MATCH("Points (Auto-generate)",INDIRECT("'"&amp;$A101&amp;"'!$A$12:$Z$12"),0),0)="","?",VLOOKUP(AF$1,INDIRECT("'"&amp;$A101&amp;"'!$A$12:$Z$41"),MATCH("Points (Auto-generate)",INDIRECT("'"&amp;$A101&amp;"'!$A$12:$Z$12"),0),0)),"ER"))</f>
        <v>?</v>
      </c>
      <c r="AG101" s="78" t="str">
        <f aca="true">IF($H101=0,"NA",IF($A101=INDIRECT("'"&amp;$A101&amp;"'!$B$1"),IF(VLOOKUP(AG$1,INDIRECT("'"&amp;$A101&amp;"'!$A$12:$Z$41"),MATCH("Points (Auto-generate)",INDIRECT("'"&amp;$A101&amp;"'!$A$12:$Z$12"),0),0)="","?",VLOOKUP(AG$1,INDIRECT("'"&amp;$A101&amp;"'!$A$12:$Z$41"),MATCH("Points (Auto-generate)",INDIRECT("'"&amp;$A101&amp;"'!$A$12:$Z$12"),0),0)),"ER"))</f>
        <v>?</v>
      </c>
      <c r="AH101" s="78" t="str">
        <f aca="true">IF($H101=0,"NA",IF($A101=INDIRECT("'"&amp;$A101&amp;"'!$B$1"),IF(VLOOKUP(AH$1,INDIRECT("'"&amp;$A101&amp;"'!$A$12:$Z$41"),MATCH("Points (Auto-generate)",INDIRECT("'"&amp;$A101&amp;"'!$A$12:$Z$12"),0),0)="","?",VLOOKUP(AH$1,INDIRECT("'"&amp;$A101&amp;"'!$A$12:$Z$41"),MATCH("Points (Auto-generate)",INDIRECT("'"&amp;$A101&amp;"'!$A$12:$Z$12"),0),0)),"ER"))</f>
        <v>?</v>
      </c>
      <c r="AI101" s="78" t="str">
        <f aca="true">IF($H101=0,"NA",IF($A101=INDIRECT("'"&amp;$A101&amp;"'!$B$1"),IF(VLOOKUP(AI$1,INDIRECT("'"&amp;$A101&amp;"'!$A$12:$Z$41"),MATCH("Points (Auto-generate)",INDIRECT("'"&amp;$A101&amp;"'!$A$12:$Z$12"),0),0)="","?",VLOOKUP(AI$1,INDIRECT("'"&amp;$A101&amp;"'!$A$12:$Z$41"),MATCH("Points (Auto-generate)",INDIRECT("'"&amp;$A101&amp;"'!$A$12:$Z$12"),0),0)),"ER"))</f>
        <v>?</v>
      </c>
      <c r="AJ101" s="78" t="str">
        <f aca="true">IF($H101=0,"NA",IF($A101=INDIRECT("'"&amp;$A101&amp;"'!$B$1"),IF(VLOOKUP(AJ$1,INDIRECT("'"&amp;$A101&amp;"'!$A$12:$Z$41"),MATCH("Points (Auto-generate)",INDIRECT("'"&amp;$A101&amp;"'!$A$12:$Z$12"),0),0)="","?",VLOOKUP(AJ$1,INDIRECT("'"&amp;$A101&amp;"'!$A$12:$Z$41"),MATCH("Points (Auto-generate)",INDIRECT("'"&amp;$A101&amp;"'!$A$12:$Z$12"),0),0)),"ER"))</f>
        <v>?</v>
      </c>
      <c r="AK101" s="78" t="str">
        <f aca="true">IF($H101=0,"NA",IF($A101=INDIRECT("'"&amp;$A101&amp;"'!$B$1"),IF(VLOOKUP(AK$1,INDIRECT("'"&amp;$A101&amp;"'!$A$12:$Z$41"),MATCH("Points (Auto-generate)",INDIRECT("'"&amp;$A101&amp;"'!$A$12:$Z$12"),0),0)="","?",VLOOKUP(AK$1,INDIRECT("'"&amp;$A101&amp;"'!$A$12:$Z$41"),MATCH("Points (Auto-generate)",INDIRECT("'"&amp;$A101&amp;"'!$A$12:$Z$12"),0),0)),"ER"))</f>
        <v>?</v>
      </c>
    </row>
    <row r="102" customFormat="false" ht="14.25" hidden="false" customHeight="true" outlineLevel="0" collapsed="false">
      <c r="A102" s="74" t="s">
        <v>456</v>
      </c>
      <c r="B102" s="75" t="str">
        <f aca="false">IF(ISBLANK($A102),"NO_CODE",VLOOKUP($A102,'UPD Questions_290926 '!$E$1:$N$300,MATCH(B$1,'UPD Questions_290926 '!$E$1:$N$1,0),0)&amp;"")</f>
        <v>Implementation</v>
      </c>
      <c r="C102" s="75" t="str">
        <f aca="false">IF(ISBLANK($A102),"NO_CODE",VLOOKUP($A102,'UPD Questions_290926 '!$E$1:$N$300,MATCH(C$1,'UPD Questions_290926 '!$E$1:$N$1,0),0)&amp;"")</f>
        <v>Development Compliance</v>
      </c>
      <c r="D102" s="75" t="str">
        <f aca="false">IF(ISBLANK($A102),"NO_CODE",VLOOKUP($A102,'UPD Questions_290926 '!$E$1:$N$300,MATCH(D$1,'UPD Questions_290926 '!$E$1:$N$1,0),0)&amp;"")</f>
        <v>Development approvals</v>
      </c>
      <c r="E102" s="75" t="str">
        <f aca="false">IF(ISBLANK($A102),"NO_CODE",VLOOKUP($A102,'UPD Questions_290926 '!$E$1:$N$300,MATCH(E$1,'UPD Questions_290926 '!$E$1:$N$1,0),0)&amp;"")</f>
        <v>MQ</v>
      </c>
      <c r="F102" s="75" t="str">
        <f aca="false">IF(ISBLANK($A102),"NO_CODE",VLOOKUP($A102,'UPD Questions_290926 '!$E$1:$N$300,MATCH(F$1,'UPD Questions_290926 '!$E$1:$N$1,0),0)&amp;"")</f>
        <v>Does your city have a single window clearance process in place for  development projects that are in conformity with municipal/city plans?</v>
      </c>
      <c r="G102" s="75" t="str">
        <f aca="false">IF(ISBLANK($A102),"NO_CODE",VLOOKUP($A102,'UPD Questions_290926 '!$E$1:$N$300,MATCH(G$1,'UPD Questions_290926 '!$E$1:$N$1,0),0)&amp;"")</f>
        <v>Implementation</v>
      </c>
      <c r="H102" s="77" t="n">
        <f aca="false">IF(ISBLANK($A102),"NO_CODE",VLOOKUP($A102,'UPD Questions_290926 '!$E$1:$N$300,MATCH(H$1,'UPD Questions_290926 '!$E$1:$N$1,0),0))</f>
        <v>10</v>
      </c>
      <c r="I102" s="78" t="str">
        <f aca="true">IF($H102=0,"NA",IF($A102=INDIRECT("'"&amp;$A102&amp;"'!$B$1"),IF(VLOOKUP(I$1,INDIRECT("'"&amp;$A102&amp;"'!$A$12:$Z$41"),MATCH("Points (Auto-generate)",INDIRECT("'"&amp;$A102&amp;"'!$A$12:$Z$12"),0),0)="","?",VLOOKUP(I$1,INDIRECT("'"&amp;$A102&amp;"'!$A$12:$Z$41"),MATCH("Points (Auto-generate)",INDIRECT("'"&amp;$A102&amp;"'!$A$12:$Z$12"),0),0)),"ER"))</f>
        <v>?</v>
      </c>
      <c r="J102" s="78" t="str">
        <f aca="true">IF($H102=0,"NA",IF($A102=INDIRECT("'"&amp;$A102&amp;"'!$B$1"),IF(VLOOKUP(J$1,INDIRECT("'"&amp;$A102&amp;"'!$A$12:$Z$41"),MATCH("Points (Auto-generate)",INDIRECT("'"&amp;$A102&amp;"'!$A$12:$Z$12"),0),0)="","?",VLOOKUP(J$1,INDIRECT("'"&amp;$A102&amp;"'!$A$12:$Z$41"),MATCH("Points (Auto-generate)",INDIRECT("'"&amp;$A102&amp;"'!$A$12:$Z$12"),0),0)),"ER"))</f>
        <v>?</v>
      </c>
      <c r="K102" s="78" t="str">
        <f aca="true">IF($H102=0,"NA",IF($A102=INDIRECT("'"&amp;$A102&amp;"'!$B$1"),IF(VLOOKUP(K$1,INDIRECT("'"&amp;$A102&amp;"'!$A$12:$Z$41"),MATCH("Points (Auto-generate)",INDIRECT("'"&amp;$A102&amp;"'!$A$12:$Z$12"),0),0)="","?",VLOOKUP(K$1,INDIRECT("'"&amp;$A102&amp;"'!$A$12:$Z$41"),MATCH("Points (Auto-generate)",INDIRECT("'"&amp;$A102&amp;"'!$A$12:$Z$12"),0),0)),"ER"))</f>
        <v>?</v>
      </c>
      <c r="L102" s="78" t="str">
        <f aca="true">IF($H102=0,"NA",IF($A102=INDIRECT("'"&amp;$A102&amp;"'!$B$1"),IF(VLOOKUP(L$1,INDIRECT("'"&amp;$A102&amp;"'!$A$12:$Z$41"),MATCH("Points (Auto-generate)",INDIRECT("'"&amp;$A102&amp;"'!$A$12:$Z$12"),0),0)="","?",VLOOKUP(L$1,INDIRECT("'"&amp;$A102&amp;"'!$A$12:$Z$41"),MATCH("Points (Auto-generate)",INDIRECT("'"&amp;$A102&amp;"'!$A$12:$Z$12"),0),0)),"ER"))</f>
        <v>?</v>
      </c>
      <c r="M102" s="78" t="str">
        <f aca="true">IF($H102=0,"NA",IF($A102=INDIRECT("'"&amp;$A102&amp;"'!$B$1"),IF(VLOOKUP(M$1,INDIRECT("'"&amp;$A102&amp;"'!$A$12:$Z$41"),MATCH("Points (Auto-generate)",INDIRECT("'"&amp;$A102&amp;"'!$A$12:$Z$12"),0),0)="","?",VLOOKUP(M$1,INDIRECT("'"&amp;$A102&amp;"'!$A$12:$Z$41"),MATCH("Points (Auto-generate)",INDIRECT("'"&amp;$A102&amp;"'!$A$12:$Z$12"),0),0)),"ER"))</f>
        <v>?</v>
      </c>
      <c r="N102" s="78" t="str">
        <f aca="true">IF($H102=0,"NA",IF($A102=INDIRECT("'"&amp;$A102&amp;"'!$B$1"),IF(VLOOKUP(N$1,INDIRECT("'"&amp;$A102&amp;"'!$A$12:$Z$41"),MATCH("Points (Auto-generate)",INDIRECT("'"&amp;$A102&amp;"'!$A$12:$Z$12"),0),0)="","?",VLOOKUP(N$1,INDIRECT("'"&amp;$A102&amp;"'!$A$12:$Z$41"),MATCH("Points (Auto-generate)",INDIRECT("'"&amp;$A102&amp;"'!$A$12:$Z$12"),0),0)),"ER"))</f>
        <v>?</v>
      </c>
      <c r="O102" s="78" t="str">
        <f aca="true">IF($H102=0,"NA",IF($A102=INDIRECT("'"&amp;$A102&amp;"'!$B$1"),IF(VLOOKUP(O$1,INDIRECT("'"&amp;$A102&amp;"'!$A$12:$Z$41"),MATCH("Points (Auto-generate)",INDIRECT("'"&amp;$A102&amp;"'!$A$12:$Z$12"),0),0)="","?",VLOOKUP(O$1,INDIRECT("'"&amp;$A102&amp;"'!$A$12:$Z$41"),MATCH("Points (Auto-generate)",INDIRECT("'"&amp;$A102&amp;"'!$A$12:$Z$12"),0),0)),"ER"))</f>
        <v>?</v>
      </c>
      <c r="P102" s="78" t="str">
        <f aca="true">IF($H102=0,"NA",IF($A102=INDIRECT("'"&amp;$A102&amp;"'!$B$1"),IF(VLOOKUP(P$1,INDIRECT("'"&amp;$A102&amp;"'!$A$12:$Z$41"),MATCH("Points (Auto-generate)",INDIRECT("'"&amp;$A102&amp;"'!$A$12:$Z$12"),0),0)="","?",VLOOKUP(P$1,INDIRECT("'"&amp;$A102&amp;"'!$A$12:$Z$41"),MATCH("Points (Auto-generate)",INDIRECT("'"&amp;$A102&amp;"'!$A$12:$Z$12"),0),0)),"ER"))</f>
        <v>?</v>
      </c>
      <c r="Q102" s="78" t="str">
        <f aca="true">IF($H102=0,"NA",IF($A102=INDIRECT("'"&amp;$A102&amp;"'!$B$1"),IF(VLOOKUP(Q$1,INDIRECT("'"&amp;$A102&amp;"'!$A$12:$Z$41"),MATCH("Points (Auto-generate)",INDIRECT("'"&amp;$A102&amp;"'!$A$12:$Z$12"),0),0)="","?",VLOOKUP(Q$1,INDIRECT("'"&amp;$A102&amp;"'!$A$12:$Z$41"),MATCH("Points (Auto-generate)",INDIRECT("'"&amp;$A102&amp;"'!$A$12:$Z$12"),0),0)),"ER"))</f>
        <v>?</v>
      </c>
      <c r="R102" s="78" t="str">
        <f aca="true">IF($H102=0,"NA",IF($A102=INDIRECT("'"&amp;$A102&amp;"'!$B$1"),IF(VLOOKUP(R$1,INDIRECT("'"&amp;$A102&amp;"'!$A$12:$Z$41"),MATCH("Points (Auto-generate)",INDIRECT("'"&amp;$A102&amp;"'!$A$12:$Z$12"),0),0)="","?",VLOOKUP(R$1,INDIRECT("'"&amp;$A102&amp;"'!$A$12:$Z$41"),MATCH("Points (Auto-generate)",INDIRECT("'"&amp;$A102&amp;"'!$A$12:$Z$12"),0),0)),"ER"))</f>
        <v>?</v>
      </c>
      <c r="S102" s="78" t="str">
        <f aca="true">IF($H102=0,"NA",IF($A102=INDIRECT("'"&amp;$A102&amp;"'!$B$1"),IF(VLOOKUP(S$1,INDIRECT("'"&amp;$A102&amp;"'!$A$12:$Z$41"),MATCH("Points (Auto-generate)",INDIRECT("'"&amp;$A102&amp;"'!$A$12:$Z$12"),0),0)="","?",VLOOKUP(S$1,INDIRECT("'"&amp;$A102&amp;"'!$A$12:$Z$41"),MATCH("Points (Auto-generate)",INDIRECT("'"&amp;$A102&amp;"'!$A$12:$Z$12"),0),0)),"ER"))</f>
        <v>?</v>
      </c>
      <c r="T102" s="78" t="str">
        <f aca="true">IF($H102=0,"NA",IF($A102=INDIRECT("'"&amp;$A102&amp;"'!$B$1"),IF(VLOOKUP(T$1,INDIRECT("'"&amp;$A102&amp;"'!$A$12:$Z$41"),MATCH("Points (Auto-generate)",INDIRECT("'"&amp;$A102&amp;"'!$A$12:$Z$12"),0),0)="","?",VLOOKUP(T$1,INDIRECT("'"&amp;$A102&amp;"'!$A$12:$Z$41"),MATCH("Points (Auto-generate)",INDIRECT("'"&amp;$A102&amp;"'!$A$12:$Z$12"),0),0)),"ER"))</f>
        <v>?</v>
      </c>
      <c r="U102" s="78" t="str">
        <f aca="true">IF($H102=0,"NA",IF($A102=INDIRECT("'"&amp;$A102&amp;"'!$B$1"),IF(VLOOKUP(U$1,INDIRECT("'"&amp;$A102&amp;"'!$A$12:$Z$41"),MATCH("Points (Auto-generate)",INDIRECT("'"&amp;$A102&amp;"'!$A$12:$Z$12"),0),0)="","?",VLOOKUP(U$1,INDIRECT("'"&amp;$A102&amp;"'!$A$12:$Z$41"),MATCH("Points (Auto-generate)",INDIRECT("'"&amp;$A102&amp;"'!$A$12:$Z$12"),0),0)),"ER"))</f>
        <v>?</v>
      </c>
      <c r="V102" s="78" t="str">
        <f aca="true">IF($H102=0,"NA",IF($A102=INDIRECT("'"&amp;$A102&amp;"'!$B$1"),IF(VLOOKUP(V$1,INDIRECT("'"&amp;$A102&amp;"'!$A$12:$Z$41"),MATCH("Points (Auto-generate)",INDIRECT("'"&amp;$A102&amp;"'!$A$12:$Z$12"),0),0)="","?",VLOOKUP(V$1,INDIRECT("'"&amp;$A102&amp;"'!$A$12:$Z$41"),MATCH("Points (Auto-generate)",INDIRECT("'"&amp;$A102&amp;"'!$A$12:$Z$12"),0),0)),"ER"))</f>
        <v>?</v>
      </c>
      <c r="W102" s="78" t="str">
        <f aca="true">IF($H102=0,"NA",IF($A102=INDIRECT("'"&amp;$A102&amp;"'!$B$1"),IF(VLOOKUP(W$1,INDIRECT("'"&amp;$A102&amp;"'!$A$12:$Z$41"),MATCH("Points (Auto-generate)",INDIRECT("'"&amp;$A102&amp;"'!$A$12:$Z$12"),0),0)="","?",VLOOKUP(W$1,INDIRECT("'"&amp;$A102&amp;"'!$A$12:$Z$41"),MATCH("Points (Auto-generate)",INDIRECT("'"&amp;$A102&amp;"'!$A$12:$Z$12"),0),0)),"ER"))</f>
        <v>?</v>
      </c>
      <c r="X102" s="78" t="str">
        <f aca="true">IF($H102=0,"NA",IF($A102=INDIRECT("'"&amp;$A102&amp;"'!$B$1"),IF(VLOOKUP(X$1,INDIRECT("'"&amp;$A102&amp;"'!$A$12:$Z$41"),MATCH("Points (Auto-generate)",INDIRECT("'"&amp;$A102&amp;"'!$A$12:$Z$12"),0),0)="","?",VLOOKUP(X$1,INDIRECT("'"&amp;$A102&amp;"'!$A$12:$Z$41"),MATCH("Points (Auto-generate)",INDIRECT("'"&amp;$A102&amp;"'!$A$12:$Z$12"),0),0)),"ER"))</f>
        <v>?</v>
      </c>
      <c r="Y102" s="78" t="str">
        <f aca="true">IF($H102=0,"NA",IF($A102=INDIRECT("'"&amp;$A102&amp;"'!$B$1"),IF(VLOOKUP(Y$1,INDIRECT("'"&amp;$A102&amp;"'!$A$12:$Z$41"),MATCH("Points (Auto-generate)",INDIRECT("'"&amp;$A102&amp;"'!$A$12:$Z$12"),0),0)="","?",VLOOKUP(Y$1,INDIRECT("'"&amp;$A102&amp;"'!$A$12:$Z$41"),MATCH("Points (Auto-generate)",INDIRECT("'"&amp;$A102&amp;"'!$A$12:$Z$12"),0),0)),"ER"))</f>
        <v>?</v>
      </c>
      <c r="Z102" s="78" t="str">
        <f aca="true">IF($H102=0,"NA",IF($A102=INDIRECT("'"&amp;$A102&amp;"'!$B$1"),IF(VLOOKUP(Z$1,INDIRECT("'"&amp;$A102&amp;"'!$A$12:$Z$41"),MATCH("Points (Auto-generate)",INDIRECT("'"&amp;$A102&amp;"'!$A$12:$Z$12"),0),0)="","?",VLOOKUP(Z$1,INDIRECT("'"&amp;$A102&amp;"'!$A$12:$Z$41"),MATCH("Points (Auto-generate)",INDIRECT("'"&amp;$A102&amp;"'!$A$12:$Z$12"),0),0)),"ER"))</f>
        <v>?</v>
      </c>
      <c r="AA102" s="78" t="str">
        <f aca="true">IF($H102=0,"NA",IF($A102=INDIRECT("'"&amp;$A102&amp;"'!$B$1"),IF(VLOOKUP(AA$1,INDIRECT("'"&amp;$A102&amp;"'!$A$12:$Z$41"),MATCH("Points (Auto-generate)",INDIRECT("'"&amp;$A102&amp;"'!$A$12:$Z$12"),0),0)="","?",VLOOKUP(AA$1,INDIRECT("'"&amp;$A102&amp;"'!$A$12:$Z$41"),MATCH("Points (Auto-generate)",INDIRECT("'"&amp;$A102&amp;"'!$A$12:$Z$12"),0),0)),"ER"))</f>
        <v>?</v>
      </c>
      <c r="AB102" s="78" t="str">
        <f aca="true">IF($H102=0,"NA",IF($A102=INDIRECT("'"&amp;$A102&amp;"'!$B$1"),IF(VLOOKUP(AB$1,INDIRECT("'"&amp;$A102&amp;"'!$A$12:$Z$41"),MATCH("Points (Auto-generate)",INDIRECT("'"&amp;$A102&amp;"'!$A$12:$Z$12"),0),0)="","?",VLOOKUP(AB$1,INDIRECT("'"&amp;$A102&amp;"'!$A$12:$Z$41"),MATCH("Points (Auto-generate)",INDIRECT("'"&amp;$A102&amp;"'!$A$12:$Z$12"),0),0)),"ER"))</f>
        <v>?</v>
      </c>
      <c r="AC102" s="78" t="str">
        <f aca="true">IF($H102=0,"NA",IF($A102=INDIRECT("'"&amp;$A102&amp;"'!$B$1"),IF(VLOOKUP(AC$1,INDIRECT("'"&amp;$A102&amp;"'!$A$12:$Z$41"),MATCH("Points (Auto-generate)",INDIRECT("'"&amp;$A102&amp;"'!$A$12:$Z$12"),0),0)="","?",VLOOKUP(AC$1,INDIRECT("'"&amp;$A102&amp;"'!$A$12:$Z$41"),MATCH("Points (Auto-generate)",INDIRECT("'"&amp;$A102&amp;"'!$A$12:$Z$12"),0),0)),"ER"))</f>
        <v>?</v>
      </c>
      <c r="AD102" s="78" t="str">
        <f aca="true">IF($H102=0,"NA",IF($A102=INDIRECT("'"&amp;$A102&amp;"'!$B$1"),IF(VLOOKUP(AD$1,INDIRECT("'"&amp;$A102&amp;"'!$A$12:$Z$41"),MATCH("Points (Auto-generate)",INDIRECT("'"&amp;$A102&amp;"'!$A$12:$Z$12"),0),0)="","?",VLOOKUP(AD$1,INDIRECT("'"&amp;$A102&amp;"'!$A$12:$Z$41"),MATCH("Points (Auto-generate)",INDIRECT("'"&amp;$A102&amp;"'!$A$12:$Z$12"),0),0)),"ER"))</f>
        <v>?</v>
      </c>
      <c r="AE102" s="78" t="str">
        <f aca="true">IF($H102=0,"NA",IF($A102=INDIRECT("'"&amp;$A102&amp;"'!$B$1"),IF(VLOOKUP(AE$1,INDIRECT("'"&amp;$A102&amp;"'!$A$12:$Z$41"),MATCH("Points (Auto-generate)",INDIRECT("'"&amp;$A102&amp;"'!$A$12:$Z$12"),0),0)="","?",VLOOKUP(AE$1,INDIRECT("'"&amp;$A102&amp;"'!$A$12:$Z$41"),MATCH("Points (Auto-generate)",INDIRECT("'"&amp;$A102&amp;"'!$A$12:$Z$12"),0),0)),"ER"))</f>
        <v>?</v>
      </c>
      <c r="AF102" s="78" t="str">
        <f aca="true">IF($H102=0,"NA",IF($A102=INDIRECT("'"&amp;$A102&amp;"'!$B$1"),IF(VLOOKUP(AF$1,INDIRECT("'"&amp;$A102&amp;"'!$A$12:$Z$41"),MATCH("Points (Auto-generate)",INDIRECT("'"&amp;$A102&amp;"'!$A$12:$Z$12"),0),0)="","?",VLOOKUP(AF$1,INDIRECT("'"&amp;$A102&amp;"'!$A$12:$Z$41"),MATCH("Points (Auto-generate)",INDIRECT("'"&amp;$A102&amp;"'!$A$12:$Z$12"),0),0)),"ER"))</f>
        <v>?</v>
      </c>
      <c r="AG102" s="78" t="str">
        <f aca="true">IF($H102=0,"NA",IF($A102=INDIRECT("'"&amp;$A102&amp;"'!$B$1"),IF(VLOOKUP(AG$1,INDIRECT("'"&amp;$A102&amp;"'!$A$12:$Z$41"),MATCH("Points (Auto-generate)",INDIRECT("'"&amp;$A102&amp;"'!$A$12:$Z$12"),0),0)="","?",VLOOKUP(AG$1,INDIRECT("'"&amp;$A102&amp;"'!$A$12:$Z$41"),MATCH("Points (Auto-generate)",INDIRECT("'"&amp;$A102&amp;"'!$A$12:$Z$12"),0),0)),"ER"))</f>
        <v>?</v>
      </c>
      <c r="AH102" s="78" t="str">
        <f aca="true">IF($H102=0,"NA",IF($A102=INDIRECT("'"&amp;$A102&amp;"'!$B$1"),IF(VLOOKUP(AH$1,INDIRECT("'"&amp;$A102&amp;"'!$A$12:$Z$41"),MATCH("Points (Auto-generate)",INDIRECT("'"&amp;$A102&amp;"'!$A$12:$Z$12"),0),0)="","?",VLOOKUP(AH$1,INDIRECT("'"&amp;$A102&amp;"'!$A$12:$Z$41"),MATCH("Points (Auto-generate)",INDIRECT("'"&amp;$A102&amp;"'!$A$12:$Z$12"),0),0)),"ER"))</f>
        <v>?</v>
      </c>
      <c r="AI102" s="78" t="str">
        <f aca="true">IF($H102=0,"NA",IF($A102=INDIRECT("'"&amp;$A102&amp;"'!$B$1"),IF(VLOOKUP(AI$1,INDIRECT("'"&amp;$A102&amp;"'!$A$12:$Z$41"),MATCH("Points (Auto-generate)",INDIRECT("'"&amp;$A102&amp;"'!$A$12:$Z$12"),0),0)="","?",VLOOKUP(AI$1,INDIRECT("'"&amp;$A102&amp;"'!$A$12:$Z$41"),MATCH("Points (Auto-generate)",INDIRECT("'"&amp;$A102&amp;"'!$A$12:$Z$12"),0),0)),"ER"))</f>
        <v>?</v>
      </c>
      <c r="AJ102" s="78" t="str">
        <f aca="true">IF($H102=0,"NA",IF($A102=INDIRECT("'"&amp;$A102&amp;"'!$B$1"),IF(VLOOKUP(AJ$1,INDIRECT("'"&amp;$A102&amp;"'!$A$12:$Z$41"),MATCH("Points (Auto-generate)",INDIRECT("'"&amp;$A102&amp;"'!$A$12:$Z$12"),0),0)="","?",VLOOKUP(AJ$1,INDIRECT("'"&amp;$A102&amp;"'!$A$12:$Z$41"),MATCH("Points (Auto-generate)",INDIRECT("'"&amp;$A102&amp;"'!$A$12:$Z$12"),0),0)),"ER"))</f>
        <v>?</v>
      </c>
      <c r="AK102" s="78" t="str">
        <f aca="true">IF($H102=0,"NA",IF($A102=INDIRECT("'"&amp;$A102&amp;"'!$B$1"),IF(VLOOKUP(AK$1,INDIRECT("'"&amp;$A102&amp;"'!$A$12:$Z$41"),MATCH("Points (Auto-generate)",INDIRECT("'"&amp;$A102&amp;"'!$A$12:$Z$12"),0),0)="","?",VLOOKUP(AK$1,INDIRECT("'"&amp;$A102&amp;"'!$A$12:$Z$41"),MATCH("Points (Auto-generate)",INDIRECT("'"&amp;$A102&amp;"'!$A$12:$Z$12"),0),0)),"ER"))</f>
        <v>?</v>
      </c>
    </row>
    <row r="103" customFormat="false" ht="14.25" hidden="false" customHeight="true" outlineLevel="0" collapsed="false">
      <c r="A103" s="74" t="s">
        <v>462</v>
      </c>
      <c r="B103" s="75" t="str">
        <f aca="false">IF(ISBLANK($A103),"NO_CODE",VLOOKUP($A103,'UPD Questions_290926 '!$E$1:$N$300,MATCH(B$1,'UPD Questions_290926 '!$E$1:$N$1,0),0)&amp;"")</f>
        <v>Enforcement</v>
      </c>
      <c r="C103" s="75" t="str">
        <f aca="false">IF(ISBLANK($A103),"NO_CODE",VLOOKUP($A103,'UPD Questions_290926 '!$E$1:$N$300,MATCH(C$1,'UPD Questions_290926 '!$E$1:$N$1,0),0)&amp;"")</f>
        <v>Development Compliance</v>
      </c>
      <c r="D103" s="75" t="str">
        <f aca="false">IF(ISBLANK($A103),"NO_CODE",VLOOKUP($A103,'UPD Questions_290926 '!$E$1:$N$300,MATCH(D$1,'UPD Questions_290926 '!$E$1:$N$1,0),0)&amp;"")</f>
        <v>Development approvals</v>
      </c>
      <c r="E103" s="75" t="str">
        <f aca="false">IF(ISBLANK($A103),"NO_CODE",VLOOKUP($A103,'UPD Questions_290926 '!$E$1:$N$300,MATCH(E$1,'UPD Questions_290926 '!$E$1:$N$1,0),0)&amp;"")</f>
        <v>MQ</v>
      </c>
      <c r="F103" s="75" t="str">
        <f aca="false">IF(ISBLANK($A103),"NO_CODE",VLOOKUP($A103,'UPD Questions_290926 '!$E$1:$N$300,MATCH(F$1,'UPD Questions_290926 '!$E$1:$N$1,0),0)&amp;"")</f>
        <v>Is there an effective system to prevent approval of plans that are not in conformity with municipal/city plan?</v>
      </c>
      <c r="G103" s="75" t="str">
        <f aca="false">IF(ISBLANK($A103),"NO_CODE",VLOOKUP($A103,'UPD Questions_290926 '!$E$1:$N$300,MATCH(G$1,'UPD Questions_290926 '!$E$1:$N$1,0),0)&amp;"")</f>
        <v>Law or Policy/Implementation</v>
      </c>
      <c r="H103" s="77" t="n">
        <f aca="false">IF(ISBLANK($A103),"NO_CODE",VLOOKUP($A103,'UPD Questions_290926 '!$E$1:$N$300,MATCH(H$1,'UPD Questions_290926 '!$E$1:$N$1,0),0))</f>
        <v>10</v>
      </c>
      <c r="I103" s="78" t="str">
        <f aca="true">IF($H103=0,"NA",IF($A103=INDIRECT("'"&amp;$A103&amp;"'!$B$1"),IF(VLOOKUP(I$1,INDIRECT("'"&amp;$A103&amp;"'!$A$12:$Z$41"),MATCH("Points (Auto-generate)",INDIRECT("'"&amp;$A103&amp;"'!$A$12:$Z$12"),0),0)="","?",VLOOKUP(I$1,INDIRECT("'"&amp;$A103&amp;"'!$A$12:$Z$41"),MATCH("Points (Auto-generate)",INDIRECT("'"&amp;$A103&amp;"'!$A$12:$Z$12"),0),0)),"ER"))</f>
        <v>?</v>
      </c>
      <c r="J103" s="78" t="str">
        <f aca="true">IF($H103=0,"NA",IF($A103=INDIRECT("'"&amp;$A103&amp;"'!$B$1"),IF(VLOOKUP(J$1,INDIRECT("'"&amp;$A103&amp;"'!$A$12:$Z$41"),MATCH("Points (Auto-generate)",INDIRECT("'"&amp;$A103&amp;"'!$A$12:$Z$12"),0),0)="","?",VLOOKUP(J$1,INDIRECT("'"&amp;$A103&amp;"'!$A$12:$Z$41"),MATCH("Points (Auto-generate)",INDIRECT("'"&amp;$A103&amp;"'!$A$12:$Z$12"),0),0)),"ER"))</f>
        <v>?</v>
      </c>
      <c r="K103" s="78" t="str">
        <f aca="true">IF($H103=0,"NA",IF($A103=INDIRECT("'"&amp;$A103&amp;"'!$B$1"),IF(VLOOKUP(K$1,INDIRECT("'"&amp;$A103&amp;"'!$A$12:$Z$41"),MATCH("Points (Auto-generate)",INDIRECT("'"&amp;$A103&amp;"'!$A$12:$Z$12"),0),0)="","?",VLOOKUP(K$1,INDIRECT("'"&amp;$A103&amp;"'!$A$12:$Z$41"),MATCH("Points (Auto-generate)",INDIRECT("'"&amp;$A103&amp;"'!$A$12:$Z$12"),0),0)),"ER"))</f>
        <v>?</v>
      </c>
      <c r="L103" s="78" t="str">
        <f aca="true">IF($H103=0,"NA",IF($A103=INDIRECT("'"&amp;$A103&amp;"'!$B$1"),IF(VLOOKUP(L$1,INDIRECT("'"&amp;$A103&amp;"'!$A$12:$Z$41"),MATCH("Points (Auto-generate)",INDIRECT("'"&amp;$A103&amp;"'!$A$12:$Z$12"),0),0)="","?",VLOOKUP(L$1,INDIRECT("'"&amp;$A103&amp;"'!$A$12:$Z$41"),MATCH("Points (Auto-generate)",INDIRECT("'"&amp;$A103&amp;"'!$A$12:$Z$12"),0),0)),"ER"))</f>
        <v>?</v>
      </c>
      <c r="M103" s="78" t="str">
        <f aca="true">IF($H103=0,"NA",IF($A103=INDIRECT("'"&amp;$A103&amp;"'!$B$1"),IF(VLOOKUP(M$1,INDIRECT("'"&amp;$A103&amp;"'!$A$12:$Z$41"),MATCH("Points (Auto-generate)",INDIRECT("'"&amp;$A103&amp;"'!$A$12:$Z$12"),0),0)="","?",VLOOKUP(M$1,INDIRECT("'"&amp;$A103&amp;"'!$A$12:$Z$41"),MATCH("Points (Auto-generate)",INDIRECT("'"&amp;$A103&amp;"'!$A$12:$Z$12"),0),0)),"ER"))</f>
        <v>?</v>
      </c>
      <c r="N103" s="78" t="str">
        <f aca="true">IF($H103=0,"NA",IF($A103=INDIRECT("'"&amp;$A103&amp;"'!$B$1"),IF(VLOOKUP(N$1,INDIRECT("'"&amp;$A103&amp;"'!$A$12:$Z$41"),MATCH("Points (Auto-generate)",INDIRECT("'"&amp;$A103&amp;"'!$A$12:$Z$12"),0),0)="","?",VLOOKUP(N$1,INDIRECT("'"&amp;$A103&amp;"'!$A$12:$Z$41"),MATCH("Points (Auto-generate)",INDIRECT("'"&amp;$A103&amp;"'!$A$12:$Z$12"),0),0)),"ER"))</f>
        <v>?</v>
      </c>
      <c r="O103" s="78" t="str">
        <f aca="true">IF($H103=0,"NA",IF($A103=INDIRECT("'"&amp;$A103&amp;"'!$B$1"),IF(VLOOKUP(O$1,INDIRECT("'"&amp;$A103&amp;"'!$A$12:$Z$41"),MATCH("Points (Auto-generate)",INDIRECT("'"&amp;$A103&amp;"'!$A$12:$Z$12"),0),0)="","?",VLOOKUP(O$1,INDIRECT("'"&amp;$A103&amp;"'!$A$12:$Z$41"),MATCH("Points (Auto-generate)",INDIRECT("'"&amp;$A103&amp;"'!$A$12:$Z$12"),0),0)),"ER"))</f>
        <v>?</v>
      </c>
      <c r="P103" s="78" t="str">
        <f aca="true">IF($H103=0,"NA",IF($A103=INDIRECT("'"&amp;$A103&amp;"'!$B$1"),IF(VLOOKUP(P$1,INDIRECT("'"&amp;$A103&amp;"'!$A$12:$Z$41"),MATCH("Points (Auto-generate)",INDIRECT("'"&amp;$A103&amp;"'!$A$12:$Z$12"),0),0)="","?",VLOOKUP(P$1,INDIRECT("'"&amp;$A103&amp;"'!$A$12:$Z$41"),MATCH("Points (Auto-generate)",INDIRECT("'"&amp;$A103&amp;"'!$A$12:$Z$12"),0),0)),"ER"))</f>
        <v>?</v>
      </c>
      <c r="Q103" s="78" t="str">
        <f aca="true">IF($H103=0,"NA",IF($A103=INDIRECT("'"&amp;$A103&amp;"'!$B$1"),IF(VLOOKUP(Q$1,INDIRECT("'"&amp;$A103&amp;"'!$A$12:$Z$41"),MATCH("Points (Auto-generate)",INDIRECT("'"&amp;$A103&amp;"'!$A$12:$Z$12"),0),0)="","?",VLOOKUP(Q$1,INDIRECT("'"&amp;$A103&amp;"'!$A$12:$Z$41"),MATCH("Points (Auto-generate)",INDIRECT("'"&amp;$A103&amp;"'!$A$12:$Z$12"),0),0)),"ER"))</f>
        <v>?</v>
      </c>
      <c r="R103" s="78" t="str">
        <f aca="true">IF($H103=0,"NA",IF($A103=INDIRECT("'"&amp;$A103&amp;"'!$B$1"),IF(VLOOKUP(R$1,INDIRECT("'"&amp;$A103&amp;"'!$A$12:$Z$41"),MATCH("Points (Auto-generate)",INDIRECT("'"&amp;$A103&amp;"'!$A$12:$Z$12"),0),0)="","?",VLOOKUP(R$1,INDIRECT("'"&amp;$A103&amp;"'!$A$12:$Z$41"),MATCH("Points (Auto-generate)",INDIRECT("'"&amp;$A103&amp;"'!$A$12:$Z$12"),0),0)),"ER"))</f>
        <v>?</v>
      </c>
      <c r="S103" s="78" t="str">
        <f aca="true">IF($H103=0,"NA",IF($A103=INDIRECT("'"&amp;$A103&amp;"'!$B$1"),IF(VLOOKUP(S$1,INDIRECT("'"&amp;$A103&amp;"'!$A$12:$Z$41"),MATCH("Points (Auto-generate)",INDIRECT("'"&amp;$A103&amp;"'!$A$12:$Z$12"),0),0)="","?",VLOOKUP(S$1,INDIRECT("'"&amp;$A103&amp;"'!$A$12:$Z$41"),MATCH("Points (Auto-generate)",INDIRECT("'"&amp;$A103&amp;"'!$A$12:$Z$12"),0),0)),"ER"))</f>
        <v>?</v>
      </c>
      <c r="T103" s="78" t="str">
        <f aca="true">IF($H103=0,"NA",IF($A103=INDIRECT("'"&amp;$A103&amp;"'!$B$1"),IF(VLOOKUP(T$1,INDIRECT("'"&amp;$A103&amp;"'!$A$12:$Z$41"),MATCH("Points (Auto-generate)",INDIRECT("'"&amp;$A103&amp;"'!$A$12:$Z$12"),0),0)="","?",VLOOKUP(T$1,INDIRECT("'"&amp;$A103&amp;"'!$A$12:$Z$41"),MATCH("Points (Auto-generate)",INDIRECT("'"&amp;$A103&amp;"'!$A$12:$Z$12"),0),0)),"ER"))</f>
        <v>?</v>
      </c>
      <c r="U103" s="78" t="str">
        <f aca="true">IF($H103=0,"NA",IF($A103=INDIRECT("'"&amp;$A103&amp;"'!$B$1"),IF(VLOOKUP(U$1,INDIRECT("'"&amp;$A103&amp;"'!$A$12:$Z$41"),MATCH("Points (Auto-generate)",INDIRECT("'"&amp;$A103&amp;"'!$A$12:$Z$12"),0),0)="","?",VLOOKUP(U$1,INDIRECT("'"&amp;$A103&amp;"'!$A$12:$Z$41"),MATCH("Points (Auto-generate)",INDIRECT("'"&amp;$A103&amp;"'!$A$12:$Z$12"),0),0)),"ER"))</f>
        <v>?</v>
      </c>
      <c r="V103" s="78" t="str">
        <f aca="true">IF($H103=0,"NA",IF($A103=INDIRECT("'"&amp;$A103&amp;"'!$B$1"),IF(VLOOKUP(V$1,INDIRECT("'"&amp;$A103&amp;"'!$A$12:$Z$41"),MATCH("Points (Auto-generate)",INDIRECT("'"&amp;$A103&amp;"'!$A$12:$Z$12"),0),0)="","?",VLOOKUP(V$1,INDIRECT("'"&amp;$A103&amp;"'!$A$12:$Z$41"),MATCH("Points (Auto-generate)",INDIRECT("'"&amp;$A103&amp;"'!$A$12:$Z$12"),0),0)),"ER"))</f>
        <v>?</v>
      </c>
      <c r="W103" s="78" t="str">
        <f aca="true">IF($H103=0,"NA",IF($A103=INDIRECT("'"&amp;$A103&amp;"'!$B$1"),IF(VLOOKUP(W$1,INDIRECT("'"&amp;$A103&amp;"'!$A$12:$Z$41"),MATCH("Points (Auto-generate)",INDIRECT("'"&amp;$A103&amp;"'!$A$12:$Z$12"),0),0)="","?",VLOOKUP(W$1,INDIRECT("'"&amp;$A103&amp;"'!$A$12:$Z$41"),MATCH("Points (Auto-generate)",INDIRECT("'"&amp;$A103&amp;"'!$A$12:$Z$12"),0),0)),"ER"))</f>
        <v>?</v>
      </c>
      <c r="X103" s="78" t="str">
        <f aca="true">IF($H103=0,"NA",IF($A103=INDIRECT("'"&amp;$A103&amp;"'!$B$1"),IF(VLOOKUP(X$1,INDIRECT("'"&amp;$A103&amp;"'!$A$12:$Z$41"),MATCH("Points (Auto-generate)",INDIRECT("'"&amp;$A103&amp;"'!$A$12:$Z$12"),0),0)="","?",VLOOKUP(X$1,INDIRECT("'"&amp;$A103&amp;"'!$A$12:$Z$41"),MATCH("Points (Auto-generate)",INDIRECT("'"&amp;$A103&amp;"'!$A$12:$Z$12"),0),0)),"ER"))</f>
        <v>?</v>
      </c>
      <c r="Y103" s="78" t="str">
        <f aca="true">IF($H103=0,"NA",IF($A103=INDIRECT("'"&amp;$A103&amp;"'!$B$1"),IF(VLOOKUP(Y$1,INDIRECT("'"&amp;$A103&amp;"'!$A$12:$Z$41"),MATCH("Points (Auto-generate)",INDIRECT("'"&amp;$A103&amp;"'!$A$12:$Z$12"),0),0)="","?",VLOOKUP(Y$1,INDIRECT("'"&amp;$A103&amp;"'!$A$12:$Z$41"),MATCH("Points (Auto-generate)",INDIRECT("'"&amp;$A103&amp;"'!$A$12:$Z$12"),0),0)),"ER"))</f>
        <v>?</v>
      </c>
      <c r="Z103" s="78" t="str">
        <f aca="true">IF($H103=0,"NA",IF($A103=INDIRECT("'"&amp;$A103&amp;"'!$B$1"),IF(VLOOKUP(Z$1,INDIRECT("'"&amp;$A103&amp;"'!$A$12:$Z$41"),MATCH("Points (Auto-generate)",INDIRECT("'"&amp;$A103&amp;"'!$A$12:$Z$12"),0),0)="","?",VLOOKUP(Z$1,INDIRECT("'"&amp;$A103&amp;"'!$A$12:$Z$41"),MATCH("Points (Auto-generate)",INDIRECT("'"&amp;$A103&amp;"'!$A$12:$Z$12"),0),0)),"ER"))</f>
        <v>?</v>
      </c>
      <c r="AA103" s="78" t="str">
        <f aca="true">IF($H103=0,"NA",IF($A103=INDIRECT("'"&amp;$A103&amp;"'!$B$1"),IF(VLOOKUP(AA$1,INDIRECT("'"&amp;$A103&amp;"'!$A$12:$Z$41"),MATCH("Points (Auto-generate)",INDIRECT("'"&amp;$A103&amp;"'!$A$12:$Z$12"),0),0)="","?",VLOOKUP(AA$1,INDIRECT("'"&amp;$A103&amp;"'!$A$12:$Z$41"),MATCH("Points (Auto-generate)",INDIRECT("'"&amp;$A103&amp;"'!$A$12:$Z$12"),0),0)),"ER"))</f>
        <v>?</v>
      </c>
      <c r="AB103" s="78" t="str">
        <f aca="true">IF($H103=0,"NA",IF($A103=INDIRECT("'"&amp;$A103&amp;"'!$B$1"),IF(VLOOKUP(AB$1,INDIRECT("'"&amp;$A103&amp;"'!$A$12:$Z$41"),MATCH("Points (Auto-generate)",INDIRECT("'"&amp;$A103&amp;"'!$A$12:$Z$12"),0),0)="","?",VLOOKUP(AB$1,INDIRECT("'"&amp;$A103&amp;"'!$A$12:$Z$41"),MATCH("Points (Auto-generate)",INDIRECT("'"&amp;$A103&amp;"'!$A$12:$Z$12"),0),0)),"ER"))</f>
        <v>?</v>
      </c>
      <c r="AC103" s="78" t="str">
        <f aca="true">IF($H103=0,"NA",IF($A103=INDIRECT("'"&amp;$A103&amp;"'!$B$1"),IF(VLOOKUP(AC$1,INDIRECT("'"&amp;$A103&amp;"'!$A$12:$Z$41"),MATCH("Points (Auto-generate)",INDIRECT("'"&amp;$A103&amp;"'!$A$12:$Z$12"),0),0)="","?",VLOOKUP(AC$1,INDIRECT("'"&amp;$A103&amp;"'!$A$12:$Z$41"),MATCH("Points (Auto-generate)",INDIRECT("'"&amp;$A103&amp;"'!$A$12:$Z$12"),0),0)),"ER"))</f>
        <v>?</v>
      </c>
      <c r="AD103" s="78" t="str">
        <f aca="true">IF($H103=0,"NA",IF($A103=INDIRECT("'"&amp;$A103&amp;"'!$B$1"),IF(VLOOKUP(AD$1,INDIRECT("'"&amp;$A103&amp;"'!$A$12:$Z$41"),MATCH("Points (Auto-generate)",INDIRECT("'"&amp;$A103&amp;"'!$A$12:$Z$12"),0),0)="","?",VLOOKUP(AD$1,INDIRECT("'"&amp;$A103&amp;"'!$A$12:$Z$41"),MATCH("Points (Auto-generate)",INDIRECT("'"&amp;$A103&amp;"'!$A$12:$Z$12"),0),0)),"ER"))</f>
        <v>?</v>
      </c>
      <c r="AE103" s="78" t="str">
        <f aca="true">IF($H103=0,"NA",IF($A103=INDIRECT("'"&amp;$A103&amp;"'!$B$1"),IF(VLOOKUP(AE$1,INDIRECT("'"&amp;$A103&amp;"'!$A$12:$Z$41"),MATCH("Points (Auto-generate)",INDIRECT("'"&amp;$A103&amp;"'!$A$12:$Z$12"),0),0)="","?",VLOOKUP(AE$1,INDIRECT("'"&amp;$A103&amp;"'!$A$12:$Z$41"),MATCH("Points (Auto-generate)",INDIRECT("'"&amp;$A103&amp;"'!$A$12:$Z$12"),0),0)),"ER"))</f>
        <v>?</v>
      </c>
      <c r="AF103" s="78" t="str">
        <f aca="true">IF($H103=0,"NA",IF($A103=INDIRECT("'"&amp;$A103&amp;"'!$B$1"),IF(VLOOKUP(AF$1,INDIRECT("'"&amp;$A103&amp;"'!$A$12:$Z$41"),MATCH("Points (Auto-generate)",INDIRECT("'"&amp;$A103&amp;"'!$A$12:$Z$12"),0),0)="","?",VLOOKUP(AF$1,INDIRECT("'"&amp;$A103&amp;"'!$A$12:$Z$41"),MATCH("Points (Auto-generate)",INDIRECT("'"&amp;$A103&amp;"'!$A$12:$Z$12"),0),0)),"ER"))</f>
        <v>?</v>
      </c>
      <c r="AG103" s="78" t="str">
        <f aca="true">IF($H103=0,"NA",IF($A103=INDIRECT("'"&amp;$A103&amp;"'!$B$1"),IF(VLOOKUP(AG$1,INDIRECT("'"&amp;$A103&amp;"'!$A$12:$Z$41"),MATCH("Points (Auto-generate)",INDIRECT("'"&amp;$A103&amp;"'!$A$12:$Z$12"),0),0)="","?",VLOOKUP(AG$1,INDIRECT("'"&amp;$A103&amp;"'!$A$12:$Z$41"),MATCH("Points (Auto-generate)",INDIRECT("'"&amp;$A103&amp;"'!$A$12:$Z$12"),0),0)),"ER"))</f>
        <v>?</v>
      </c>
      <c r="AH103" s="78" t="str">
        <f aca="true">IF($H103=0,"NA",IF($A103=INDIRECT("'"&amp;$A103&amp;"'!$B$1"),IF(VLOOKUP(AH$1,INDIRECT("'"&amp;$A103&amp;"'!$A$12:$Z$41"),MATCH("Points (Auto-generate)",INDIRECT("'"&amp;$A103&amp;"'!$A$12:$Z$12"),0),0)="","?",VLOOKUP(AH$1,INDIRECT("'"&amp;$A103&amp;"'!$A$12:$Z$41"),MATCH("Points (Auto-generate)",INDIRECT("'"&amp;$A103&amp;"'!$A$12:$Z$12"),0),0)),"ER"))</f>
        <v>?</v>
      </c>
      <c r="AI103" s="78" t="str">
        <f aca="true">IF($H103=0,"NA",IF($A103=INDIRECT("'"&amp;$A103&amp;"'!$B$1"),IF(VLOOKUP(AI$1,INDIRECT("'"&amp;$A103&amp;"'!$A$12:$Z$41"),MATCH("Points (Auto-generate)",INDIRECT("'"&amp;$A103&amp;"'!$A$12:$Z$12"),0),0)="","?",VLOOKUP(AI$1,INDIRECT("'"&amp;$A103&amp;"'!$A$12:$Z$41"),MATCH("Points (Auto-generate)",INDIRECT("'"&amp;$A103&amp;"'!$A$12:$Z$12"),0),0)),"ER"))</f>
        <v>?</v>
      </c>
      <c r="AJ103" s="78" t="str">
        <f aca="true">IF($H103=0,"NA",IF($A103=INDIRECT("'"&amp;$A103&amp;"'!$B$1"),IF(VLOOKUP(AJ$1,INDIRECT("'"&amp;$A103&amp;"'!$A$12:$Z$41"),MATCH("Points (Auto-generate)",INDIRECT("'"&amp;$A103&amp;"'!$A$12:$Z$12"),0),0)="","?",VLOOKUP(AJ$1,INDIRECT("'"&amp;$A103&amp;"'!$A$12:$Z$41"),MATCH("Points (Auto-generate)",INDIRECT("'"&amp;$A103&amp;"'!$A$12:$Z$12"),0),0)),"ER"))</f>
        <v>?</v>
      </c>
      <c r="AK103" s="78" t="str">
        <f aca="true">IF($H103=0,"NA",IF($A103=INDIRECT("'"&amp;$A103&amp;"'!$B$1"),IF(VLOOKUP(AK$1,INDIRECT("'"&amp;$A103&amp;"'!$A$12:$Z$41"),MATCH("Points (Auto-generate)",INDIRECT("'"&amp;$A103&amp;"'!$A$12:$Z$12"),0),0)="","?",VLOOKUP(AK$1,INDIRECT("'"&amp;$A103&amp;"'!$A$12:$Z$41"),MATCH("Points (Auto-generate)",INDIRECT("'"&amp;$A103&amp;"'!$A$12:$Z$12"),0),0)),"ER"))</f>
        <v>?</v>
      </c>
    </row>
    <row r="104" customFormat="false" ht="14.25" hidden="false" customHeight="true" outlineLevel="0" collapsed="false">
      <c r="A104" s="74" t="s">
        <v>468</v>
      </c>
      <c r="B104" s="75" t="str">
        <f aca="false">IF(ISBLANK($A104),"NO_CODE",VLOOKUP($A104,'UPD Questions_290926 '!$E$1:$N$300,MATCH(B$1,'UPD Questions_290926 '!$E$1:$N$1,0),0)&amp;"")</f>
        <v>Enforcement</v>
      </c>
      <c r="C104" s="75" t="str">
        <f aca="false">IF(ISBLANK($A104),"NO_CODE",VLOOKUP($A104,'UPD Questions_290926 '!$E$1:$N$300,MATCH(C$1,'UPD Questions_290926 '!$E$1:$N$1,0),0)&amp;"")</f>
        <v>Development Compliance</v>
      </c>
      <c r="D104" s="75" t="str">
        <f aca="false">IF(ISBLANK($A104),"NO_CODE",VLOOKUP($A104,'UPD Questions_290926 '!$E$1:$N$300,MATCH(D$1,'UPD Questions_290926 '!$E$1:$N$1,0),0)&amp;"")</f>
        <v>Construction monitoring</v>
      </c>
      <c r="E104" s="75" t="str">
        <f aca="false">IF(ISBLANK($A104),"NO_CODE",VLOOKUP($A104,'UPD Questions_290926 '!$E$1:$N$300,MATCH(E$1,'UPD Questions_290926 '!$E$1:$N$1,0),0)&amp;"")</f>
        <v>MQ</v>
      </c>
      <c r="F104" s="75" t="str">
        <f aca="false">IF(ISBLANK($A104),"NO_CODE",VLOOKUP($A104,'UPD Questions_290926 '!$E$1:$N$300,MATCH(F$1,'UPD Questions_290926 '!$E$1:$N$1,0),0)&amp;"")</f>
        <v>Does the law mandate mechanisms for monitoring ongoing construction/development projects for compliance with approved plans and permissions?  </v>
      </c>
      <c r="G104" s="75" t="str">
        <f aca="false">IF(ISBLANK($A104),"NO_CODE",VLOOKUP($A104,'UPD Questions_290926 '!$E$1:$N$300,MATCH(G$1,'UPD Questions_290926 '!$E$1:$N$1,0),0)&amp;"")</f>
        <v>Implementation</v>
      </c>
      <c r="H104" s="77" t="n">
        <f aca="false">IF(ISBLANK($A104),"NO_CODE",VLOOKUP($A104,'UPD Questions_290926 '!$E$1:$N$300,MATCH(H$1,'UPD Questions_290926 '!$E$1:$N$1,0),0))</f>
        <v>10</v>
      </c>
      <c r="I104" s="78" t="str">
        <f aca="false">IF(OR(I105="ER",I106="ER"),"ER",IF(OR(I105="?",I106="?"),"?",IF(AND(I105="NA",I106="NA"),"NA",SUM(I105,I106)/((I105&lt;&gt;"NA")*$H$105+(I106&lt;&gt;"NA")*$H$106)*$H104)))</f>
        <v>?</v>
      </c>
      <c r="J104" s="78" t="str">
        <f aca="false">IF(OR(J105="ER",J106="ER"),"ER",IF(OR(J105="?",J106="?"),"?",IF(AND(J105="NA",J106="NA"),"NA",SUM(J105,J106)/((J105&lt;&gt;"NA")*$H$105+(J106&lt;&gt;"NA")*$H$106)*$H104)))</f>
        <v>?</v>
      </c>
      <c r="K104" s="78" t="str">
        <f aca="false">IF(OR(K105="ER",K106="ER"),"ER",IF(OR(K105="?",K106="?"),"?",IF(AND(K105="NA",K106="NA"),"NA",SUM(K105,K106)/((K105&lt;&gt;"NA")*$H$105+(K106&lt;&gt;"NA")*$H$106)*$H104)))</f>
        <v>?</v>
      </c>
      <c r="L104" s="78" t="str">
        <f aca="false">IF(OR(L105="ER",L106="ER"),"ER",IF(OR(L105="?",L106="?"),"?",IF(AND(L105="NA",L106="NA"),"NA",SUM(L105,L106)/((L105&lt;&gt;"NA")*$H$105+(L106&lt;&gt;"NA")*$H$106)*$H104)))</f>
        <v>?</v>
      </c>
      <c r="M104" s="78" t="str">
        <f aca="false">IF(OR(M105="ER",M106="ER"),"ER",IF(OR(M105="?",M106="?"),"?",IF(AND(M105="NA",M106="NA"),"NA",SUM(M105,M106)/((M105&lt;&gt;"NA")*$H$105+(M106&lt;&gt;"NA")*$H$106)*$H104)))</f>
        <v>?</v>
      </c>
      <c r="N104" s="78" t="str">
        <f aca="false">IF(OR(N105="ER",N106="ER"),"ER",IF(OR(N105="?",N106="?"),"?",IF(AND(N105="NA",N106="NA"),"NA",SUM(N105,N106)/((N105&lt;&gt;"NA")*$H$105+(N106&lt;&gt;"NA")*$H$106)*$H104)))</f>
        <v>?</v>
      </c>
      <c r="O104" s="78" t="str">
        <f aca="false">IF(OR(O105="ER",O106="ER"),"ER",IF(OR(O105="?",O106="?"),"?",IF(AND(O105="NA",O106="NA"),"NA",SUM(O105,O106)/((O105&lt;&gt;"NA")*$H$105+(O106&lt;&gt;"NA")*$H$106)*$H104)))</f>
        <v>?</v>
      </c>
      <c r="P104" s="78" t="str">
        <f aca="false">IF(OR(P105="ER",P106="ER"),"ER",IF(OR(P105="?",P106="?"),"?",IF(AND(P105="NA",P106="NA"),"NA",SUM(P105,P106)/((P105&lt;&gt;"NA")*$H$105+(P106&lt;&gt;"NA")*$H$106)*$H104)))</f>
        <v>?</v>
      </c>
      <c r="Q104" s="78" t="str">
        <f aca="false">IF(OR(Q105="ER",Q106="ER"),"ER",IF(OR(Q105="?",Q106="?"),"?",IF(AND(Q105="NA",Q106="NA"),"NA",SUM(Q105,Q106)/((Q105&lt;&gt;"NA")*$H$105+(Q106&lt;&gt;"NA")*$H$106)*$H104)))</f>
        <v>?</v>
      </c>
      <c r="R104" s="78" t="str">
        <f aca="false">IF(OR(R105="ER",R106="ER"),"ER",IF(OR(R105="?",R106="?"),"?",IF(AND(R105="NA",R106="NA"),"NA",SUM(R105,R106)/((R105&lt;&gt;"NA")*$H$105+(R106&lt;&gt;"NA")*$H$106)*$H104)))</f>
        <v>?</v>
      </c>
      <c r="S104" s="78" t="str">
        <f aca="false">IF(OR(S105="ER",S106="ER"),"ER",IF(OR(S105="?",S106="?"),"?",IF(AND(S105="NA",S106="NA"),"NA",SUM(S105,S106)/((S105&lt;&gt;"NA")*$H$105+(S106&lt;&gt;"NA")*$H$106)*$H104)))</f>
        <v>?</v>
      </c>
      <c r="T104" s="78" t="str">
        <f aca="false">IF(OR(T105="ER",T106="ER"),"ER",IF(OR(T105="?",T106="?"),"?",IF(AND(T105="NA",T106="NA"),"NA",SUM(T105,T106)/((T105&lt;&gt;"NA")*$H$105+(T106&lt;&gt;"NA")*$H$106)*$H104)))</f>
        <v>?</v>
      </c>
      <c r="U104" s="78" t="str">
        <f aca="false">IF(OR(U105="ER",U106="ER"),"ER",IF(OR(U105="?",U106="?"),"?",IF(AND(U105="NA",U106="NA"),"NA",SUM(U105,U106)/((U105&lt;&gt;"NA")*$H$105+(U106&lt;&gt;"NA")*$H$106)*$H104)))</f>
        <v>?</v>
      </c>
      <c r="V104" s="78" t="str">
        <f aca="false">IF(OR(V105="ER",V106="ER"),"ER",IF(OR(V105="?",V106="?"),"?",IF(AND(V105="NA",V106="NA"),"NA",SUM(V105,V106)/((V105&lt;&gt;"NA")*$H$105+(V106&lt;&gt;"NA")*$H$106)*$H104)))</f>
        <v>?</v>
      </c>
      <c r="W104" s="78" t="str">
        <f aca="false">IF(OR(W105="ER",W106="ER"),"ER",IF(OR(W105="?",W106="?"),"?",IF(AND(W105="NA",W106="NA"),"NA",SUM(W105,W106)/((W105&lt;&gt;"NA")*$H$105+(W106&lt;&gt;"NA")*$H$106)*$H104)))</f>
        <v>?</v>
      </c>
      <c r="X104" s="78" t="str">
        <f aca="false">IF(OR(X105="ER",X106="ER"),"ER",IF(OR(X105="?",X106="?"),"?",IF(AND(X105="NA",X106="NA"),"NA",SUM(X105,X106)/((X105&lt;&gt;"NA")*$H$105+(X106&lt;&gt;"NA")*$H$106)*$H104)))</f>
        <v>?</v>
      </c>
      <c r="Y104" s="78" t="str">
        <f aca="false">IF(OR(Y105="ER",Y106="ER"),"ER",IF(OR(Y105="?",Y106="?"),"?",IF(AND(Y105="NA",Y106="NA"),"NA",SUM(Y105,Y106)/((Y105&lt;&gt;"NA")*$H$105+(Y106&lt;&gt;"NA")*$H$106)*$H104)))</f>
        <v>?</v>
      </c>
      <c r="Z104" s="78" t="str">
        <f aca="false">IF(OR(Z105="ER",Z106="ER"),"ER",IF(OR(Z105="?",Z106="?"),"?",IF(AND(Z105="NA",Z106="NA"),"NA",SUM(Z105,Z106)/((Z105&lt;&gt;"NA")*$H$105+(Z106&lt;&gt;"NA")*$H$106)*$H104)))</f>
        <v>?</v>
      </c>
      <c r="AA104" s="78" t="str">
        <f aca="false">IF(OR(AA105="ER",AA106="ER"),"ER",IF(OR(AA105="?",AA106="?"),"?",IF(AND(AA105="NA",AA106="NA"),"NA",SUM(AA105,AA106)/((AA105&lt;&gt;"NA")*$H$105+(AA106&lt;&gt;"NA")*$H$106)*$H104)))</f>
        <v>?</v>
      </c>
      <c r="AB104" s="78" t="str">
        <f aca="false">IF(OR(AB105="ER",AB106="ER"),"ER",IF(OR(AB105="?",AB106="?"),"?",IF(AND(AB105="NA",AB106="NA"),"NA",SUM(AB105,AB106)/((AB105&lt;&gt;"NA")*$H$105+(AB106&lt;&gt;"NA")*$H$106)*$H104)))</f>
        <v>?</v>
      </c>
      <c r="AC104" s="78" t="str">
        <f aca="false">IF(OR(AC105="ER",AC106="ER"),"ER",IF(OR(AC105="?",AC106="?"),"?",IF(AND(AC105="NA",AC106="NA"),"NA",SUM(AC105,AC106)/((AC105&lt;&gt;"NA")*$H$105+(AC106&lt;&gt;"NA")*$H$106)*$H104)))</f>
        <v>?</v>
      </c>
      <c r="AD104" s="78" t="str">
        <f aca="false">IF(OR(AD105="ER",AD106="ER"),"ER",IF(OR(AD105="?",AD106="?"),"?",IF(AND(AD105="NA",AD106="NA"),"NA",SUM(AD105,AD106)/((AD105&lt;&gt;"NA")*$H$105+(AD106&lt;&gt;"NA")*$H$106)*$H104)))</f>
        <v>?</v>
      </c>
      <c r="AE104" s="78" t="str">
        <f aca="false">IF(OR(AE105="ER",AE106="ER"),"ER",IF(OR(AE105="?",AE106="?"),"?",IF(AND(AE105="NA",AE106="NA"),"NA",SUM(AE105,AE106)/((AE105&lt;&gt;"NA")*$H$105+(AE106&lt;&gt;"NA")*$H$106)*$H104)))</f>
        <v>?</v>
      </c>
      <c r="AF104" s="78" t="str">
        <f aca="false">IF(OR(AF105="ER",AF106="ER"),"ER",IF(OR(AF105="?",AF106="?"),"?",IF(AND(AF105="NA",AF106="NA"),"NA",SUM(AF105,AF106)/((AF105&lt;&gt;"NA")*$H$105+(AF106&lt;&gt;"NA")*$H$106)*$H104)))</f>
        <v>?</v>
      </c>
      <c r="AG104" s="78" t="str">
        <f aca="false">IF(OR(AG105="ER",AG106="ER"),"ER",IF(OR(AG105="?",AG106="?"),"?",IF(AND(AG105="NA",AG106="NA"),"NA",SUM(AG105,AG106)/((AG105&lt;&gt;"NA")*$H$105+(AG106&lt;&gt;"NA")*$H$106)*$H104)))</f>
        <v>?</v>
      </c>
      <c r="AH104" s="78" t="str">
        <f aca="false">IF(OR(AH105="ER",AH106="ER"),"ER",IF(OR(AH105="?",AH106="?"),"?",IF(AND(AH105="NA",AH106="NA"),"NA",SUM(AH105,AH106)/((AH105&lt;&gt;"NA")*$H$105+(AH106&lt;&gt;"NA")*$H$106)*$H104)))</f>
        <v>?</v>
      </c>
      <c r="AI104" s="78" t="str">
        <f aca="false">IF(OR(AI105="ER",AI106="ER"),"ER",IF(OR(AI105="?",AI106="?"),"?",IF(AND(AI105="NA",AI106="NA"),"NA",SUM(AI105,AI106)/((AI105&lt;&gt;"NA")*$H$105+(AI106&lt;&gt;"NA")*$H$106)*$H104)))</f>
        <v>?</v>
      </c>
      <c r="AJ104" s="78" t="str">
        <f aca="false">IF(OR(AJ105="ER",AJ106="ER"),"ER",IF(OR(AJ105="?",AJ106="?"),"?",IF(AND(AJ105="NA",AJ106="NA"),"NA",SUM(AJ105,AJ106)/((AJ105&lt;&gt;"NA")*$H$105+(AJ106&lt;&gt;"NA")*$H$106)*$H104)))</f>
        <v>?</v>
      </c>
      <c r="AK104" s="78" t="str">
        <f aca="false">IF(OR(AK105="ER",AK106="ER"),"ER",IF(OR(AK105="?",AK106="?"),"?",IF(AND(AK105="NA",AK106="NA"),"NA",SUM(AK105,AK106)/((AK105&lt;&gt;"NA")*$H$105+(AK106&lt;&gt;"NA")*$H$106)*$H104)))</f>
        <v>?</v>
      </c>
    </row>
    <row r="105" customFormat="false" ht="14.25" hidden="false" customHeight="true" outlineLevel="0" collapsed="false">
      <c r="A105" s="74" t="s">
        <v>472</v>
      </c>
      <c r="B105" s="75" t="str">
        <f aca="false">IF(ISBLANK($A105),"NO_CODE",VLOOKUP($A105,'UPD Questions_290926 '!$E$1:$N$300,MATCH(B$1,'UPD Questions_290926 '!$E$1:$N$1,0),0)&amp;"")</f>
        <v>Enforcement</v>
      </c>
      <c r="C105" s="75" t="str">
        <f aca="false">IF(ISBLANK($A105),"NO_CODE",VLOOKUP($A105,'UPD Questions_290926 '!$E$1:$N$300,MATCH(C$1,'UPD Questions_290926 '!$E$1:$N$1,0),0)&amp;"")</f>
        <v>Development Compliance</v>
      </c>
      <c r="D105" s="75" t="str">
        <f aca="false">IF(ISBLANK($A105),"NO_CODE",VLOOKUP($A105,'UPD Questions_290926 '!$E$1:$N$300,MATCH(D$1,'UPD Questions_290926 '!$E$1:$N$1,0),0)&amp;"")</f>
        <v>Construction monitoring</v>
      </c>
      <c r="E105" s="75" t="str">
        <f aca="false">IF(ISBLANK($A105),"NO_CODE",VLOOKUP($A105,'UPD Questions_290926 '!$E$1:$N$300,MATCH(E$1,'UPD Questions_290926 '!$E$1:$N$1,0),0)&amp;"")</f>
        <v>SQ</v>
      </c>
      <c r="F105" s="75" t="str">
        <f aca="false">IF(ISBLANK($A105),"NO_CODE",VLOOKUP($A105,'UPD Questions_290926 '!$E$1:$N$300,MATCH(F$1,'UPD Questions_290926 '!$E$1:$N$1,0),0)&amp;"")</f>
        <v>Does the law mandate a system for monitoring ongoing construction/projects for possible violations?</v>
      </c>
      <c r="G105" s="75" t="str">
        <f aca="false">IF(ISBLANK($A105),"NO_CODE",VLOOKUP($A105,'UPD Questions_290926 '!$E$1:$N$300,MATCH(G$1,'UPD Questions_290926 '!$E$1:$N$1,0),0)&amp;"")</f>
        <v>Implementation</v>
      </c>
      <c r="H105" s="77" t="n">
        <f aca="false">IF(ISBLANK($A105),"NO_CODE",VLOOKUP($A105,'UPD Questions_290926 '!$E$1:$N$300,MATCH(H$1,'UPD Questions_290926 '!$E$1:$N$1,0),0))</f>
        <v>5</v>
      </c>
      <c r="I105" s="78" t="str">
        <f aca="true">IF($H105=0,"NA",IF($A105=INDIRECT("'"&amp;$A105&amp;"'!$B$1"),IF(VLOOKUP(I$1,INDIRECT("'"&amp;$A105&amp;"'!$A$12:$Z$41"),MATCH("Points (Auto-generate)",INDIRECT("'"&amp;$A105&amp;"'!$A$12:$Z$12"),0),0)="","?",VLOOKUP(I$1,INDIRECT("'"&amp;$A105&amp;"'!$A$12:$Z$41"),MATCH("Points (Auto-generate)",INDIRECT("'"&amp;$A105&amp;"'!$A$12:$Z$12"),0),0)),"ER"))</f>
        <v>?</v>
      </c>
      <c r="J105" s="78" t="str">
        <f aca="true">IF($H105=0,"NA",IF($A105=INDIRECT("'"&amp;$A105&amp;"'!$B$1"),IF(VLOOKUP(J$1,INDIRECT("'"&amp;$A105&amp;"'!$A$12:$Z$41"),MATCH("Points (Auto-generate)",INDIRECT("'"&amp;$A105&amp;"'!$A$12:$Z$12"),0),0)="","?",VLOOKUP(J$1,INDIRECT("'"&amp;$A105&amp;"'!$A$12:$Z$41"),MATCH("Points (Auto-generate)",INDIRECT("'"&amp;$A105&amp;"'!$A$12:$Z$12"),0),0)),"ER"))</f>
        <v>?</v>
      </c>
      <c r="K105" s="78" t="str">
        <f aca="true">IF($H105=0,"NA",IF($A105=INDIRECT("'"&amp;$A105&amp;"'!$B$1"),IF(VLOOKUP(K$1,INDIRECT("'"&amp;$A105&amp;"'!$A$12:$Z$41"),MATCH("Points (Auto-generate)",INDIRECT("'"&amp;$A105&amp;"'!$A$12:$Z$12"),0),0)="","?",VLOOKUP(K$1,INDIRECT("'"&amp;$A105&amp;"'!$A$12:$Z$41"),MATCH("Points (Auto-generate)",INDIRECT("'"&amp;$A105&amp;"'!$A$12:$Z$12"),0),0)),"ER"))</f>
        <v>?</v>
      </c>
      <c r="L105" s="78" t="str">
        <f aca="true">IF($H105=0,"NA",IF($A105=INDIRECT("'"&amp;$A105&amp;"'!$B$1"),IF(VLOOKUP(L$1,INDIRECT("'"&amp;$A105&amp;"'!$A$12:$Z$41"),MATCH("Points (Auto-generate)",INDIRECT("'"&amp;$A105&amp;"'!$A$12:$Z$12"),0),0)="","?",VLOOKUP(L$1,INDIRECT("'"&amp;$A105&amp;"'!$A$12:$Z$41"),MATCH("Points (Auto-generate)",INDIRECT("'"&amp;$A105&amp;"'!$A$12:$Z$12"),0),0)),"ER"))</f>
        <v>?</v>
      </c>
      <c r="M105" s="78" t="str">
        <f aca="true">IF($H105=0,"NA",IF($A105=INDIRECT("'"&amp;$A105&amp;"'!$B$1"),IF(VLOOKUP(M$1,INDIRECT("'"&amp;$A105&amp;"'!$A$12:$Z$41"),MATCH("Points (Auto-generate)",INDIRECT("'"&amp;$A105&amp;"'!$A$12:$Z$12"),0),0)="","?",VLOOKUP(M$1,INDIRECT("'"&amp;$A105&amp;"'!$A$12:$Z$41"),MATCH("Points (Auto-generate)",INDIRECT("'"&amp;$A105&amp;"'!$A$12:$Z$12"),0),0)),"ER"))</f>
        <v>?</v>
      </c>
      <c r="N105" s="78" t="str">
        <f aca="true">IF($H105=0,"NA",IF($A105=INDIRECT("'"&amp;$A105&amp;"'!$B$1"),IF(VLOOKUP(N$1,INDIRECT("'"&amp;$A105&amp;"'!$A$12:$Z$41"),MATCH("Points (Auto-generate)",INDIRECT("'"&amp;$A105&amp;"'!$A$12:$Z$12"),0),0)="","?",VLOOKUP(N$1,INDIRECT("'"&amp;$A105&amp;"'!$A$12:$Z$41"),MATCH("Points (Auto-generate)",INDIRECT("'"&amp;$A105&amp;"'!$A$12:$Z$12"),0),0)),"ER"))</f>
        <v>?</v>
      </c>
      <c r="O105" s="78" t="str">
        <f aca="true">IF($H105=0,"NA",IF($A105=INDIRECT("'"&amp;$A105&amp;"'!$B$1"),IF(VLOOKUP(O$1,INDIRECT("'"&amp;$A105&amp;"'!$A$12:$Z$41"),MATCH("Points (Auto-generate)",INDIRECT("'"&amp;$A105&amp;"'!$A$12:$Z$12"),0),0)="","?",VLOOKUP(O$1,INDIRECT("'"&amp;$A105&amp;"'!$A$12:$Z$41"),MATCH("Points (Auto-generate)",INDIRECT("'"&amp;$A105&amp;"'!$A$12:$Z$12"),0),0)),"ER"))</f>
        <v>?</v>
      </c>
      <c r="P105" s="78" t="str">
        <f aca="true">IF($H105=0,"NA",IF($A105=INDIRECT("'"&amp;$A105&amp;"'!$B$1"),IF(VLOOKUP(P$1,INDIRECT("'"&amp;$A105&amp;"'!$A$12:$Z$41"),MATCH("Points (Auto-generate)",INDIRECT("'"&amp;$A105&amp;"'!$A$12:$Z$12"),0),0)="","?",VLOOKUP(P$1,INDIRECT("'"&amp;$A105&amp;"'!$A$12:$Z$41"),MATCH("Points (Auto-generate)",INDIRECT("'"&amp;$A105&amp;"'!$A$12:$Z$12"),0),0)),"ER"))</f>
        <v>?</v>
      </c>
      <c r="Q105" s="78" t="str">
        <f aca="true">IF($H105=0,"NA",IF($A105=INDIRECT("'"&amp;$A105&amp;"'!$B$1"),IF(VLOOKUP(Q$1,INDIRECT("'"&amp;$A105&amp;"'!$A$12:$Z$41"),MATCH("Points (Auto-generate)",INDIRECT("'"&amp;$A105&amp;"'!$A$12:$Z$12"),0),0)="","?",VLOOKUP(Q$1,INDIRECT("'"&amp;$A105&amp;"'!$A$12:$Z$41"),MATCH("Points (Auto-generate)",INDIRECT("'"&amp;$A105&amp;"'!$A$12:$Z$12"),0),0)),"ER"))</f>
        <v>?</v>
      </c>
      <c r="R105" s="78" t="str">
        <f aca="true">IF($H105=0,"NA",IF($A105=INDIRECT("'"&amp;$A105&amp;"'!$B$1"),IF(VLOOKUP(R$1,INDIRECT("'"&amp;$A105&amp;"'!$A$12:$Z$41"),MATCH("Points (Auto-generate)",INDIRECT("'"&amp;$A105&amp;"'!$A$12:$Z$12"),0),0)="","?",VLOOKUP(R$1,INDIRECT("'"&amp;$A105&amp;"'!$A$12:$Z$41"),MATCH("Points (Auto-generate)",INDIRECT("'"&amp;$A105&amp;"'!$A$12:$Z$12"),0),0)),"ER"))</f>
        <v>?</v>
      </c>
      <c r="S105" s="78" t="str">
        <f aca="true">IF($H105=0,"NA",IF($A105=INDIRECT("'"&amp;$A105&amp;"'!$B$1"),IF(VLOOKUP(S$1,INDIRECT("'"&amp;$A105&amp;"'!$A$12:$Z$41"),MATCH("Points (Auto-generate)",INDIRECT("'"&amp;$A105&amp;"'!$A$12:$Z$12"),0),0)="","?",VLOOKUP(S$1,INDIRECT("'"&amp;$A105&amp;"'!$A$12:$Z$41"),MATCH("Points (Auto-generate)",INDIRECT("'"&amp;$A105&amp;"'!$A$12:$Z$12"),0),0)),"ER"))</f>
        <v>?</v>
      </c>
      <c r="T105" s="78" t="str">
        <f aca="true">IF($H105=0,"NA",IF($A105=INDIRECT("'"&amp;$A105&amp;"'!$B$1"),IF(VLOOKUP(T$1,INDIRECT("'"&amp;$A105&amp;"'!$A$12:$Z$41"),MATCH("Points (Auto-generate)",INDIRECT("'"&amp;$A105&amp;"'!$A$12:$Z$12"),0),0)="","?",VLOOKUP(T$1,INDIRECT("'"&amp;$A105&amp;"'!$A$12:$Z$41"),MATCH("Points (Auto-generate)",INDIRECT("'"&amp;$A105&amp;"'!$A$12:$Z$12"),0),0)),"ER"))</f>
        <v>?</v>
      </c>
      <c r="U105" s="78" t="str">
        <f aca="true">IF($H105=0,"NA",IF($A105=INDIRECT("'"&amp;$A105&amp;"'!$B$1"),IF(VLOOKUP(U$1,INDIRECT("'"&amp;$A105&amp;"'!$A$12:$Z$41"),MATCH("Points (Auto-generate)",INDIRECT("'"&amp;$A105&amp;"'!$A$12:$Z$12"),0),0)="","?",VLOOKUP(U$1,INDIRECT("'"&amp;$A105&amp;"'!$A$12:$Z$41"),MATCH("Points (Auto-generate)",INDIRECT("'"&amp;$A105&amp;"'!$A$12:$Z$12"),0),0)),"ER"))</f>
        <v>?</v>
      </c>
      <c r="V105" s="78" t="str">
        <f aca="true">IF($H105=0,"NA",IF($A105=INDIRECT("'"&amp;$A105&amp;"'!$B$1"),IF(VLOOKUP(V$1,INDIRECT("'"&amp;$A105&amp;"'!$A$12:$Z$41"),MATCH("Points (Auto-generate)",INDIRECT("'"&amp;$A105&amp;"'!$A$12:$Z$12"),0),0)="","?",VLOOKUP(V$1,INDIRECT("'"&amp;$A105&amp;"'!$A$12:$Z$41"),MATCH("Points (Auto-generate)",INDIRECT("'"&amp;$A105&amp;"'!$A$12:$Z$12"),0),0)),"ER"))</f>
        <v>?</v>
      </c>
      <c r="W105" s="78" t="str">
        <f aca="true">IF($H105=0,"NA",IF($A105=INDIRECT("'"&amp;$A105&amp;"'!$B$1"),IF(VLOOKUP(W$1,INDIRECT("'"&amp;$A105&amp;"'!$A$12:$Z$41"),MATCH("Points (Auto-generate)",INDIRECT("'"&amp;$A105&amp;"'!$A$12:$Z$12"),0),0)="","?",VLOOKUP(W$1,INDIRECT("'"&amp;$A105&amp;"'!$A$12:$Z$41"),MATCH("Points (Auto-generate)",INDIRECT("'"&amp;$A105&amp;"'!$A$12:$Z$12"),0),0)),"ER"))</f>
        <v>?</v>
      </c>
      <c r="X105" s="78" t="str">
        <f aca="true">IF($H105=0,"NA",IF($A105=INDIRECT("'"&amp;$A105&amp;"'!$B$1"),IF(VLOOKUP(X$1,INDIRECT("'"&amp;$A105&amp;"'!$A$12:$Z$41"),MATCH("Points (Auto-generate)",INDIRECT("'"&amp;$A105&amp;"'!$A$12:$Z$12"),0),0)="","?",VLOOKUP(X$1,INDIRECT("'"&amp;$A105&amp;"'!$A$12:$Z$41"),MATCH("Points (Auto-generate)",INDIRECT("'"&amp;$A105&amp;"'!$A$12:$Z$12"),0),0)),"ER"))</f>
        <v>?</v>
      </c>
      <c r="Y105" s="78" t="str">
        <f aca="true">IF($H105=0,"NA",IF($A105=INDIRECT("'"&amp;$A105&amp;"'!$B$1"),IF(VLOOKUP(Y$1,INDIRECT("'"&amp;$A105&amp;"'!$A$12:$Z$41"),MATCH("Points (Auto-generate)",INDIRECT("'"&amp;$A105&amp;"'!$A$12:$Z$12"),0),0)="","?",VLOOKUP(Y$1,INDIRECT("'"&amp;$A105&amp;"'!$A$12:$Z$41"),MATCH("Points (Auto-generate)",INDIRECT("'"&amp;$A105&amp;"'!$A$12:$Z$12"),0),0)),"ER"))</f>
        <v>?</v>
      </c>
      <c r="Z105" s="78" t="str">
        <f aca="true">IF($H105=0,"NA",IF($A105=INDIRECT("'"&amp;$A105&amp;"'!$B$1"),IF(VLOOKUP(Z$1,INDIRECT("'"&amp;$A105&amp;"'!$A$12:$Z$41"),MATCH("Points (Auto-generate)",INDIRECT("'"&amp;$A105&amp;"'!$A$12:$Z$12"),0),0)="","?",VLOOKUP(Z$1,INDIRECT("'"&amp;$A105&amp;"'!$A$12:$Z$41"),MATCH("Points (Auto-generate)",INDIRECT("'"&amp;$A105&amp;"'!$A$12:$Z$12"),0),0)),"ER"))</f>
        <v>?</v>
      </c>
      <c r="AA105" s="78" t="str">
        <f aca="true">IF($H105=0,"NA",IF($A105=INDIRECT("'"&amp;$A105&amp;"'!$B$1"),IF(VLOOKUP(AA$1,INDIRECT("'"&amp;$A105&amp;"'!$A$12:$Z$41"),MATCH("Points (Auto-generate)",INDIRECT("'"&amp;$A105&amp;"'!$A$12:$Z$12"),0),0)="","?",VLOOKUP(AA$1,INDIRECT("'"&amp;$A105&amp;"'!$A$12:$Z$41"),MATCH("Points (Auto-generate)",INDIRECT("'"&amp;$A105&amp;"'!$A$12:$Z$12"),0),0)),"ER"))</f>
        <v>?</v>
      </c>
      <c r="AB105" s="78" t="str">
        <f aca="true">IF($H105=0,"NA",IF($A105=INDIRECT("'"&amp;$A105&amp;"'!$B$1"),IF(VLOOKUP(AB$1,INDIRECT("'"&amp;$A105&amp;"'!$A$12:$Z$41"),MATCH("Points (Auto-generate)",INDIRECT("'"&amp;$A105&amp;"'!$A$12:$Z$12"),0),0)="","?",VLOOKUP(AB$1,INDIRECT("'"&amp;$A105&amp;"'!$A$12:$Z$41"),MATCH("Points (Auto-generate)",INDIRECT("'"&amp;$A105&amp;"'!$A$12:$Z$12"),0),0)),"ER"))</f>
        <v>?</v>
      </c>
      <c r="AC105" s="78" t="str">
        <f aca="true">IF($H105=0,"NA",IF($A105=INDIRECT("'"&amp;$A105&amp;"'!$B$1"),IF(VLOOKUP(AC$1,INDIRECT("'"&amp;$A105&amp;"'!$A$12:$Z$41"),MATCH("Points (Auto-generate)",INDIRECT("'"&amp;$A105&amp;"'!$A$12:$Z$12"),0),0)="","?",VLOOKUP(AC$1,INDIRECT("'"&amp;$A105&amp;"'!$A$12:$Z$41"),MATCH("Points (Auto-generate)",INDIRECT("'"&amp;$A105&amp;"'!$A$12:$Z$12"),0),0)),"ER"))</f>
        <v>?</v>
      </c>
      <c r="AD105" s="78" t="str">
        <f aca="true">IF($H105=0,"NA",IF($A105=INDIRECT("'"&amp;$A105&amp;"'!$B$1"),IF(VLOOKUP(AD$1,INDIRECT("'"&amp;$A105&amp;"'!$A$12:$Z$41"),MATCH("Points (Auto-generate)",INDIRECT("'"&amp;$A105&amp;"'!$A$12:$Z$12"),0),0)="","?",VLOOKUP(AD$1,INDIRECT("'"&amp;$A105&amp;"'!$A$12:$Z$41"),MATCH("Points (Auto-generate)",INDIRECT("'"&amp;$A105&amp;"'!$A$12:$Z$12"),0),0)),"ER"))</f>
        <v>?</v>
      </c>
      <c r="AE105" s="78" t="str">
        <f aca="true">IF($H105=0,"NA",IF($A105=INDIRECT("'"&amp;$A105&amp;"'!$B$1"),IF(VLOOKUP(AE$1,INDIRECT("'"&amp;$A105&amp;"'!$A$12:$Z$41"),MATCH("Points (Auto-generate)",INDIRECT("'"&amp;$A105&amp;"'!$A$12:$Z$12"),0),0)="","?",VLOOKUP(AE$1,INDIRECT("'"&amp;$A105&amp;"'!$A$12:$Z$41"),MATCH("Points (Auto-generate)",INDIRECT("'"&amp;$A105&amp;"'!$A$12:$Z$12"),0),0)),"ER"))</f>
        <v>?</v>
      </c>
      <c r="AF105" s="78" t="str">
        <f aca="true">IF($H105=0,"NA",IF($A105=INDIRECT("'"&amp;$A105&amp;"'!$B$1"),IF(VLOOKUP(AF$1,INDIRECT("'"&amp;$A105&amp;"'!$A$12:$Z$41"),MATCH("Points (Auto-generate)",INDIRECT("'"&amp;$A105&amp;"'!$A$12:$Z$12"),0),0)="","?",VLOOKUP(AF$1,INDIRECT("'"&amp;$A105&amp;"'!$A$12:$Z$41"),MATCH("Points (Auto-generate)",INDIRECT("'"&amp;$A105&amp;"'!$A$12:$Z$12"),0),0)),"ER"))</f>
        <v>?</v>
      </c>
      <c r="AG105" s="78" t="str">
        <f aca="true">IF($H105=0,"NA",IF($A105=INDIRECT("'"&amp;$A105&amp;"'!$B$1"),IF(VLOOKUP(AG$1,INDIRECT("'"&amp;$A105&amp;"'!$A$12:$Z$41"),MATCH("Points (Auto-generate)",INDIRECT("'"&amp;$A105&amp;"'!$A$12:$Z$12"),0),0)="","?",VLOOKUP(AG$1,INDIRECT("'"&amp;$A105&amp;"'!$A$12:$Z$41"),MATCH("Points (Auto-generate)",INDIRECT("'"&amp;$A105&amp;"'!$A$12:$Z$12"),0),0)),"ER"))</f>
        <v>?</v>
      </c>
      <c r="AH105" s="78" t="str">
        <f aca="true">IF($H105=0,"NA",IF($A105=INDIRECT("'"&amp;$A105&amp;"'!$B$1"),IF(VLOOKUP(AH$1,INDIRECT("'"&amp;$A105&amp;"'!$A$12:$Z$41"),MATCH("Points (Auto-generate)",INDIRECT("'"&amp;$A105&amp;"'!$A$12:$Z$12"),0),0)="","?",VLOOKUP(AH$1,INDIRECT("'"&amp;$A105&amp;"'!$A$12:$Z$41"),MATCH("Points (Auto-generate)",INDIRECT("'"&amp;$A105&amp;"'!$A$12:$Z$12"),0),0)),"ER"))</f>
        <v>?</v>
      </c>
      <c r="AI105" s="78" t="str">
        <f aca="true">IF($H105=0,"NA",IF($A105=INDIRECT("'"&amp;$A105&amp;"'!$B$1"),IF(VLOOKUP(AI$1,INDIRECT("'"&amp;$A105&amp;"'!$A$12:$Z$41"),MATCH("Points (Auto-generate)",INDIRECT("'"&amp;$A105&amp;"'!$A$12:$Z$12"),0),0)="","?",VLOOKUP(AI$1,INDIRECT("'"&amp;$A105&amp;"'!$A$12:$Z$41"),MATCH("Points (Auto-generate)",INDIRECT("'"&amp;$A105&amp;"'!$A$12:$Z$12"),0),0)),"ER"))</f>
        <v>?</v>
      </c>
      <c r="AJ105" s="78" t="str">
        <f aca="true">IF($H105=0,"NA",IF($A105=INDIRECT("'"&amp;$A105&amp;"'!$B$1"),IF(VLOOKUP(AJ$1,INDIRECT("'"&amp;$A105&amp;"'!$A$12:$Z$41"),MATCH("Points (Auto-generate)",INDIRECT("'"&amp;$A105&amp;"'!$A$12:$Z$12"),0),0)="","?",VLOOKUP(AJ$1,INDIRECT("'"&amp;$A105&amp;"'!$A$12:$Z$41"),MATCH("Points (Auto-generate)",INDIRECT("'"&amp;$A105&amp;"'!$A$12:$Z$12"),0),0)),"ER"))</f>
        <v>?</v>
      </c>
      <c r="AK105" s="78" t="str">
        <f aca="true">IF($H105=0,"NA",IF($A105=INDIRECT("'"&amp;$A105&amp;"'!$B$1"),IF(VLOOKUP(AK$1,INDIRECT("'"&amp;$A105&amp;"'!$A$12:$Z$41"),MATCH("Points (Auto-generate)",INDIRECT("'"&amp;$A105&amp;"'!$A$12:$Z$12"),0),0)="","?",VLOOKUP(AK$1,INDIRECT("'"&amp;$A105&amp;"'!$A$12:$Z$41"),MATCH("Points (Auto-generate)",INDIRECT("'"&amp;$A105&amp;"'!$A$12:$Z$12"),0),0)),"ER"))</f>
        <v>?</v>
      </c>
    </row>
    <row r="106" customFormat="false" ht="14.25" hidden="false" customHeight="true" outlineLevel="0" collapsed="false">
      <c r="A106" s="74" t="s">
        <v>476</v>
      </c>
      <c r="B106" s="75" t="str">
        <f aca="false">IF(ISBLANK($A106),"NO_CODE",VLOOKUP($A106,'UPD Questions_290926 '!$E$1:$N$300,MATCH(B$1,'UPD Questions_290926 '!$E$1:$N$1,0),0)&amp;"")</f>
        <v>Enforcement</v>
      </c>
      <c r="C106" s="75" t="str">
        <f aca="false">IF(ISBLANK($A106),"NO_CODE",VLOOKUP($A106,'UPD Questions_290926 '!$E$1:$N$300,MATCH(C$1,'UPD Questions_290926 '!$E$1:$N$1,0),0)&amp;"")</f>
        <v>Development Compliance</v>
      </c>
      <c r="D106" s="75" t="str">
        <f aca="false">IF(ISBLANK($A106),"NO_CODE",VLOOKUP($A106,'UPD Questions_290926 '!$E$1:$N$300,MATCH(D$1,'UPD Questions_290926 '!$E$1:$N$1,0),0)&amp;"")</f>
        <v>Construction monitoring</v>
      </c>
      <c r="E106" s="75" t="str">
        <f aca="false">IF(ISBLANK($A106),"NO_CODE",VLOOKUP($A106,'UPD Questions_290926 '!$E$1:$N$300,MATCH(E$1,'UPD Questions_290926 '!$E$1:$N$1,0),0)&amp;"")</f>
        <v>SQ</v>
      </c>
      <c r="F106" s="75" t="str">
        <f aca="false">IF(ISBLANK($A106),"NO_CODE",VLOOKUP($A106,'UPD Questions_290926 '!$E$1:$N$300,MATCH(F$1,'UPD Questions_290926 '!$E$1:$N$1,0),0)&amp;"")</f>
        <v>Has a system for monitoring ongoing construction/projects for possible violations been implemented?</v>
      </c>
      <c r="G106" s="75" t="str">
        <f aca="false">IF(ISBLANK($A106),"NO_CODE",VLOOKUP($A106,'UPD Questions_290926 '!$E$1:$N$300,MATCH(G$1,'UPD Questions_290926 '!$E$1:$N$1,0),0)&amp;"")</f>
        <v>Implementation</v>
      </c>
      <c r="H106" s="77" t="n">
        <f aca="false">IF(ISBLANK($A106),"NO_CODE",VLOOKUP($A106,'UPD Questions_290926 '!$E$1:$N$300,MATCH(H$1,'UPD Questions_290926 '!$E$1:$N$1,0),0))</f>
        <v>5</v>
      </c>
      <c r="I106" s="78" t="str">
        <f aca="true">IF($H106=0,"NA",IF($A106=INDIRECT("'"&amp;$A106&amp;"'!$B$1"),IF(VLOOKUP(I$1,INDIRECT("'"&amp;$A106&amp;"'!$A$12:$Z$41"),MATCH("Points (Auto-generate)",INDIRECT("'"&amp;$A106&amp;"'!$A$12:$Z$12"),0),0)="","?",VLOOKUP(I$1,INDIRECT("'"&amp;$A106&amp;"'!$A$12:$Z$41"),MATCH("Points (Auto-generate)",INDIRECT("'"&amp;$A106&amp;"'!$A$12:$Z$12"),0),0)),"ER"))</f>
        <v>?</v>
      </c>
      <c r="J106" s="78" t="str">
        <f aca="true">IF($H106=0,"NA",IF($A106=INDIRECT("'"&amp;$A106&amp;"'!$B$1"),IF(VLOOKUP(J$1,INDIRECT("'"&amp;$A106&amp;"'!$A$12:$Z$41"),MATCH("Points (Auto-generate)",INDIRECT("'"&amp;$A106&amp;"'!$A$12:$Z$12"),0),0)="","?",VLOOKUP(J$1,INDIRECT("'"&amp;$A106&amp;"'!$A$12:$Z$41"),MATCH("Points (Auto-generate)",INDIRECT("'"&amp;$A106&amp;"'!$A$12:$Z$12"),0),0)),"ER"))</f>
        <v>?</v>
      </c>
      <c r="K106" s="78" t="str">
        <f aca="true">IF($H106=0,"NA",IF($A106=INDIRECT("'"&amp;$A106&amp;"'!$B$1"),IF(VLOOKUP(K$1,INDIRECT("'"&amp;$A106&amp;"'!$A$12:$Z$41"),MATCH("Points (Auto-generate)",INDIRECT("'"&amp;$A106&amp;"'!$A$12:$Z$12"),0),0)="","?",VLOOKUP(K$1,INDIRECT("'"&amp;$A106&amp;"'!$A$12:$Z$41"),MATCH("Points (Auto-generate)",INDIRECT("'"&amp;$A106&amp;"'!$A$12:$Z$12"),0),0)),"ER"))</f>
        <v>?</v>
      </c>
      <c r="L106" s="78" t="str">
        <f aca="true">IF($H106=0,"NA",IF($A106=INDIRECT("'"&amp;$A106&amp;"'!$B$1"),IF(VLOOKUP(L$1,INDIRECT("'"&amp;$A106&amp;"'!$A$12:$Z$41"),MATCH("Points (Auto-generate)",INDIRECT("'"&amp;$A106&amp;"'!$A$12:$Z$12"),0),0)="","?",VLOOKUP(L$1,INDIRECT("'"&amp;$A106&amp;"'!$A$12:$Z$41"),MATCH("Points (Auto-generate)",INDIRECT("'"&amp;$A106&amp;"'!$A$12:$Z$12"),0),0)),"ER"))</f>
        <v>?</v>
      </c>
      <c r="M106" s="78" t="str">
        <f aca="true">IF($H106=0,"NA",IF($A106=INDIRECT("'"&amp;$A106&amp;"'!$B$1"),IF(VLOOKUP(M$1,INDIRECT("'"&amp;$A106&amp;"'!$A$12:$Z$41"),MATCH("Points (Auto-generate)",INDIRECT("'"&amp;$A106&amp;"'!$A$12:$Z$12"),0),0)="","?",VLOOKUP(M$1,INDIRECT("'"&amp;$A106&amp;"'!$A$12:$Z$41"),MATCH("Points (Auto-generate)",INDIRECT("'"&amp;$A106&amp;"'!$A$12:$Z$12"),0),0)),"ER"))</f>
        <v>?</v>
      </c>
      <c r="N106" s="78" t="str">
        <f aca="true">IF($H106=0,"NA",IF($A106=INDIRECT("'"&amp;$A106&amp;"'!$B$1"),IF(VLOOKUP(N$1,INDIRECT("'"&amp;$A106&amp;"'!$A$12:$Z$41"),MATCH("Points (Auto-generate)",INDIRECT("'"&amp;$A106&amp;"'!$A$12:$Z$12"),0),0)="","?",VLOOKUP(N$1,INDIRECT("'"&amp;$A106&amp;"'!$A$12:$Z$41"),MATCH("Points (Auto-generate)",INDIRECT("'"&amp;$A106&amp;"'!$A$12:$Z$12"),0),0)),"ER"))</f>
        <v>?</v>
      </c>
      <c r="O106" s="78" t="str">
        <f aca="true">IF($H106=0,"NA",IF($A106=INDIRECT("'"&amp;$A106&amp;"'!$B$1"),IF(VLOOKUP(O$1,INDIRECT("'"&amp;$A106&amp;"'!$A$12:$Z$41"),MATCH("Points (Auto-generate)",INDIRECT("'"&amp;$A106&amp;"'!$A$12:$Z$12"),0),0)="","?",VLOOKUP(O$1,INDIRECT("'"&amp;$A106&amp;"'!$A$12:$Z$41"),MATCH("Points (Auto-generate)",INDIRECT("'"&amp;$A106&amp;"'!$A$12:$Z$12"),0),0)),"ER"))</f>
        <v>?</v>
      </c>
      <c r="P106" s="78" t="str">
        <f aca="true">IF($H106=0,"NA",IF($A106=INDIRECT("'"&amp;$A106&amp;"'!$B$1"),IF(VLOOKUP(P$1,INDIRECT("'"&amp;$A106&amp;"'!$A$12:$Z$41"),MATCH("Points (Auto-generate)",INDIRECT("'"&amp;$A106&amp;"'!$A$12:$Z$12"),0),0)="","?",VLOOKUP(P$1,INDIRECT("'"&amp;$A106&amp;"'!$A$12:$Z$41"),MATCH("Points (Auto-generate)",INDIRECT("'"&amp;$A106&amp;"'!$A$12:$Z$12"),0),0)),"ER"))</f>
        <v>?</v>
      </c>
      <c r="Q106" s="78" t="str">
        <f aca="true">IF($H106=0,"NA",IF($A106=INDIRECT("'"&amp;$A106&amp;"'!$B$1"),IF(VLOOKUP(Q$1,INDIRECT("'"&amp;$A106&amp;"'!$A$12:$Z$41"),MATCH("Points (Auto-generate)",INDIRECT("'"&amp;$A106&amp;"'!$A$12:$Z$12"),0),0)="","?",VLOOKUP(Q$1,INDIRECT("'"&amp;$A106&amp;"'!$A$12:$Z$41"),MATCH("Points (Auto-generate)",INDIRECT("'"&amp;$A106&amp;"'!$A$12:$Z$12"),0),0)),"ER"))</f>
        <v>?</v>
      </c>
      <c r="R106" s="78" t="str">
        <f aca="true">IF($H106=0,"NA",IF($A106=INDIRECT("'"&amp;$A106&amp;"'!$B$1"),IF(VLOOKUP(R$1,INDIRECT("'"&amp;$A106&amp;"'!$A$12:$Z$41"),MATCH("Points (Auto-generate)",INDIRECT("'"&amp;$A106&amp;"'!$A$12:$Z$12"),0),0)="","?",VLOOKUP(R$1,INDIRECT("'"&amp;$A106&amp;"'!$A$12:$Z$41"),MATCH("Points (Auto-generate)",INDIRECT("'"&amp;$A106&amp;"'!$A$12:$Z$12"),0),0)),"ER"))</f>
        <v>?</v>
      </c>
      <c r="S106" s="78" t="str">
        <f aca="true">IF($H106=0,"NA",IF($A106=INDIRECT("'"&amp;$A106&amp;"'!$B$1"),IF(VLOOKUP(S$1,INDIRECT("'"&amp;$A106&amp;"'!$A$12:$Z$41"),MATCH("Points (Auto-generate)",INDIRECT("'"&amp;$A106&amp;"'!$A$12:$Z$12"),0),0)="","?",VLOOKUP(S$1,INDIRECT("'"&amp;$A106&amp;"'!$A$12:$Z$41"),MATCH("Points (Auto-generate)",INDIRECT("'"&amp;$A106&amp;"'!$A$12:$Z$12"),0),0)),"ER"))</f>
        <v>?</v>
      </c>
      <c r="T106" s="78" t="str">
        <f aca="true">IF($H106=0,"NA",IF($A106=INDIRECT("'"&amp;$A106&amp;"'!$B$1"),IF(VLOOKUP(T$1,INDIRECT("'"&amp;$A106&amp;"'!$A$12:$Z$41"),MATCH("Points (Auto-generate)",INDIRECT("'"&amp;$A106&amp;"'!$A$12:$Z$12"),0),0)="","?",VLOOKUP(T$1,INDIRECT("'"&amp;$A106&amp;"'!$A$12:$Z$41"),MATCH("Points (Auto-generate)",INDIRECT("'"&amp;$A106&amp;"'!$A$12:$Z$12"),0),0)),"ER"))</f>
        <v>?</v>
      </c>
      <c r="U106" s="78" t="str">
        <f aca="true">IF($H106=0,"NA",IF($A106=INDIRECT("'"&amp;$A106&amp;"'!$B$1"),IF(VLOOKUP(U$1,INDIRECT("'"&amp;$A106&amp;"'!$A$12:$Z$41"),MATCH("Points (Auto-generate)",INDIRECT("'"&amp;$A106&amp;"'!$A$12:$Z$12"),0),0)="","?",VLOOKUP(U$1,INDIRECT("'"&amp;$A106&amp;"'!$A$12:$Z$41"),MATCH("Points (Auto-generate)",INDIRECT("'"&amp;$A106&amp;"'!$A$12:$Z$12"),0),0)),"ER"))</f>
        <v>?</v>
      </c>
      <c r="V106" s="78" t="str">
        <f aca="true">IF($H106=0,"NA",IF($A106=INDIRECT("'"&amp;$A106&amp;"'!$B$1"),IF(VLOOKUP(V$1,INDIRECT("'"&amp;$A106&amp;"'!$A$12:$Z$41"),MATCH("Points (Auto-generate)",INDIRECT("'"&amp;$A106&amp;"'!$A$12:$Z$12"),0),0)="","?",VLOOKUP(V$1,INDIRECT("'"&amp;$A106&amp;"'!$A$12:$Z$41"),MATCH("Points (Auto-generate)",INDIRECT("'"&amp;$A106&amp;"'!$A$12:$Z$12"),0),0)),"ER"))</f>
        <v>?</v>
      </c>
      <c r="W106" s="78" t="str">
        <f aca="true">IF($H106=0,"NA",IF($A106=INDIRECT("'"&amp;$A106&amp;"'!$B$1"),IF(VLOOKUP(W$1,INDIRECT("'"&amp;$A106&amp;"'!$A$12:$Z$41"),MATCH("Points (Auto-generate)",INDIRECT("'"&amp;$A106&amp;"'!$A$12:$Z$12"),0),0)="","?",VLOOKUP(W$1,INDIRECT("'"&amp;$A106&amp;"'!$A$12:$Z$41"),MATCH("Points (Auto-generate)",INDIRECT("'"&amp;$A106&amp;"'!$A$12:$Z$12"),0),0)),"ER"))</f>
        <v>?</v>
      </c>
      <c r="X106" s="78" t="str">
        <f aca="true">IF($H106=0,"NA",IF($A106=INDIRECT("'"&amp;$A106&amp;"'!$B$1"),IF(VLOOKUP(X$1,INDIRECT("'"&amp;$A106&amp;"'!$A$12:$Z$41"),MATCH("Points (Auto-generate)",INDIRECT("'"&amp;$A106&amp;"'!$A$12:$Z$12"),0),0)="","?",VLOOKUP(X$1,INDIRECT("'"&amp;$A106&amp;"'!$A$12:$Z$41"),MATCH("Points (Auto-generate)",INDIRECT("'"&amp;$A106&amp;"'!$A$12:$Z$12"),0),0)),"ER"))</f>
        <v>?</v>
      </c>
      <c r="Y106" s="78" t="str">
        <f aca="true">IF($H106=0,"NA",IF($A106=INDIRECT("'"&amp;$A106&amp;"'!$B$1"),IF(VLOOKUP(Y$1,INDIRECT("'"&amp;$A106&amp;"'!$A$12:$Z$41"),MATCH("Points (Auto-generate)",INDIRECT("'"&amp;$A106&amp;"'!$A$12:$Z$12"),0),0)="","?",VLOOKUP(Y$1,INDIRECT("'"&amp;$A106&amp;"'!$A$12:$Z$41"),MATCH("Points (Auto-generate)",INDIRECT("'"&amp;$A106&amp;"'!$A$12:$Z$12"),0),0)),"ER"))</f>
        <v>?</v>
      </c>
      <c r="Z106" s="78" t="str">
        <f aca="true">IF($H106=0,"NA",IF($A106=INDIRECT("'"&amp;$A106&amp;"'!$B$1"),IF(VLOOKUP(Z$1,INDIRECT("'"&amp;$A106&amp;"'!$A$12:$Z$41"),MATCH("Points (Auto-generate)",INDIRECT("'"&amp;$A106&amp;"'!$A$12:$Z$12"),0),0)="","?",VLOOKUP(Z$1,INDIRECT("'"&amp;$A106&amp;"'!$A$12:$Z$41"),MATCH("Points (Auto-generate)",INDIRECT("'"&amp;$A106&amp;"'!$A$12:$Z$12"),0),0)),"ER"))</f>
        <v>?</v>
      </c>
      <c r="AA106" s="78" t="str">
        <f aca="true">IF($H106=0,"NA",IF($A106=INDIRECT("'"&amp;$A106&amp;"'!$B$1"),IF(VLOOKUP(AA$1,INDIRECT("'"&amp;$A106&amp;"'!$A$12:$Z$41"),MATCH("Points (Auto-generate)",INDIRECT("'"&amp;$A106&amp;"'!$A$12:$Z$12"),0),0)="","?",VLOOKUP(AA$1,INDIRECT("'"&amp;$A106&amp;"'!$A$12:$Z$41"),MATCH("Points (Auto-generate)",INDIRECT("'"&amp;$A106&amp;"'!$A$12:$Z$12"),0),0)),"ER"))</f>
        <v>?</v>
      </c>
      <c r="AB106" s="78" t="str">
        <f aca="true">IF($H106=0,"NA",IF($A106=INDIRECT("'"&amp;$A106&amp;"'!$B$1"),IF(VLOOKUP(AB$1,INDIRECT("'"&amp;$A106&amp;"'!$A$12:$Z$41"),MATCH("Points (Auto-generate)",INDIRECT("'"&amp;$A106&amp;"'!$A$12:$Z$12"),0),0)="","?",VLOOKUP(AB$1,INDIRECT("'"&amp;$A106&amp;"'!$A$12:$Z$41"),MATCH("Points (Auto-generate)",INDIRECT("'"&amp;$A106&amp;"'!$A$12:$Z$12"),0),0)),"ER"))</f>
        <v>?</v>
      </c>
      <c r="AC106" s="78" t="str">
        <f aca="true">IF($H106=0,"NA",IF($A106=INDIRECT("'"&amp;$A106&amp;"'!$B$1"),IF(VLOOKUP(AC$1,INDIRECT("'"&amp;$A106&amp;"'!$A$12:$Z$41"),MATCH("Points (Auto-generate)",INDIRECT("'"&amp;$A106&amp;"'!$A$12:$Z$12"),0),0)="","?",VLOOKUP(AC$1,INDIRECT("'"&amp;$A106&amp;"'!$A$12:$Z$41"),MATCH("Points (Auto-generate)",INDIRECT("'"&amp;$A106&amp;"'!$A$12:$Z$12"),0),0)),"ER"))</f>
        <v>?</v>
      </c>
      <c r="AD106" s="78" t="str">
        <f aca="true">IF($H106=0,"NA",IF($A106=INDIRECT("'"&amp;$A106&amp;"'!$B$1"),IF(VLOOKUP(AD$1,INDIRECT("'"&amp;$A106&amp;"'!$A$12:$Z$41"),MATCH("Points (Auto-generate)",INDIRECT("'"&amp;$A106&amp;"'!$A$12:$Z$12"),0),0)="","?",VLOOKUP(AD$1,INDIRECT("'"&amp;$A106&amp;"'!$A$12:$Z$41"),MATCH("Points (Auto-generate)",INDIRECT("'"&amp;$A106&amp;"'!$A$12:$Z$12"),0),0)),"ER"))</f>
        <v>?</v>
      </c>
      <c r="AE106" s="78" t="str">
        <f aca="true">IF($H106=0,"NA",IF($A106=INDIRECT("'"&amp;$A106&amp;"'!$B$1"),IF(VLOOKUP(AE$1,INDIRECT("'"&amp;$A106&amp;"'!$A$12:$Z$41"),MATCH("Points (Auto-generate)",INDIRECT("'"&amp;$A106&amp;"'!$A$12:$Z$12"),0),0)="","?",VLOOKUP(AE$1,INDIRECT("'"&amp;$A106&amp;"'!$A$12:$Z$41"),MATCH("Points (Auto-generate)",INDIRECT("'"&amp;$A106&amp;"'!$A$12:$Z$12"),0),0)),"ER"))</f>
        <v>?</v>
      </c>
      <c r="AF106" s="78" t="str">
        <f aca="true">IF($H106=0,"NA",IF($A106=INDIRECT("'"&amp;$A106&amp;"'!$B$1"),IF(VLOOKUP(AF$1,INDIRECT("'"&amp;$A106&amp;"'!$A$12:$Z$41"),MATCH("Points (Auto-generate)",INDIRECT("'"&amp;$A106&amp;"'!$A$12:$Z$12"),0),0)="","?",VLOOKUP(AF$1,INDIRECT("'"&amp;$A106&amp;"'!$A$12:$Z$41"),MATCH("Points (Auto-generate)",INDIRECT("'"&amp;$A106&amp;"'!$A$12:$Z$12"),0),0)),"ER"))</f>
        <v>?</v>
      </c>
      <c r="AG106" s="78" t="str">
        <f aca="true">IF($H106=0,"NA",IF($A106=INDIRECT("'"&amp;$A106&amp;"'!$B$1"),IF(VLOOKUP(AG$1,INDIRECT("'"&amp;$A106&amp;"'!$A$12:$Z$41"),MATCH("Points (Auto-generate)",INDIRECT("'"&amp;$A106&amp;"'!$A$12:$Z$12"),0),0)="","?",VLOOKUP(AG$1,INDIRECT("'"&amp;$A106&amp;"'!$A$12:$Z$41"),MATCH("Points (Auto-generate)",INDIRECT("'"&amp;$A106&amp;"'!$A$12:$Z$12"),0),0)),"ER"))</f>
        <v>?</v>
      </c>
      <c r="AH106" s="78" t="str">
        <f aca="true">IF($H106=0,"NA",IF($A106=INDIRECT("'"&amp;$A106&amp;"'!$B$1"),IF(VLOOKUP(AH$1,INDIRECT("'"&amp;$A106&amp;"'!$A$12:$Z$41"),MATCH("Points (Auto-generate)",INDIRECT("'"&amp;$A106&amp;"'!$A$12:$Z$12"),0),0)="","?",VLOOKUP(AH$1,INDIRECT("'"&amp;$A106&amp;"'!$A$12:$Z$41"),MATCH("Points (Auto-generate)",INDIRECT("'"&amp;$A106&amp;"'!$A$12:$Z$12"),0),0)),"ER"))</f>
        <v>?</v>
      </c>
      <c r="AI106" s="78" t="str">
        <f aca="true">IF($H106=0,"NA",IF($A106=INDIRECT("'"&amp;$A106&amp;"'!$B$1"),IF(VLOOKUP(AI$1,INDIRECT("'"&amp;$A106&amp;"'!$A$12:$Z$41"),MATCH("Points (Auto-generate)",INDIRECT("'"&amp;$A106&amp;"'!$A$12:$Z$12"),0),0)="","?",VLOOKUP(AI$1,INDIRECT("'"&amp;$A106&amp;"'!$A$12:$Z$41"),MATCH("Points (Auto-generate)",INDIRECT("'"&amp;$A106&amp;"'!$A$12:$Z$12"),0),0)),"ER"))</f>
        <v>?</v>
      </c>
      <c r="AJ106" s="78" t="str">
        <f aca="true">IF($H106=0,"NA",IF($A106=INDIRECT("'"&amp;$A106&amp;"'!$B$1"),IF(VLOOKUP(AJ$1,INDIRECT("'"&amp;$A106&amp;"'!$A$12:$Z$41"),MATCH("Points (Auto-generate)",INDIRECT("'"&amp;$A106&amp;"'!$A$12:$Z$12"),0),0)="","?",VLOOKUP(AJ$1,INDIRECT("'"&amp;$A106&amp;"'!$A$12:$Z$41"),MATCH("Points (Auto-generate)",INDIRECT("'"&amp;$A106&amp;"'!$A$12:$Z$12"),0),0)),"ER"))</f>
        <v>?</v>
      </c>
      <c r="AK106" s="78" t="str">
        <f aca="true">IF($H106=0,"NA",IF($A106=INDIRECT("'"&amp;$A106&amp;"'!$B$1"),IF(VLOOKUP(AK$1,INDIRECT("'"&amp;$A106&amp;"'!$A$12:$Z$41"),MATCH("Points (Auto-generate)",INDIRECT("'"&amp;$A106&amp;"'!$A$12:$Z$12"),0),0)="","?",VLOOKUP(AK$1,INDIRECT("'"&amp;$A106&amp;"'!$A$12:$Z$41"),MATCH("Points (Auto-generate)",INDIRECT("'"&amp;$A106&amp;"'!$A$12:$Z$12"),0),0)),"ER"))</f>
        <v>?</v>
      </c>
    </row>
    <row r="107" customFormat="false" ht="14.25" hidden="false" customHeight="true" outlineLevel="0" collapsed="false">
      <c r="A107" s="74" t="s">
        <v>480</v>
      </c>
      <c r="B107" s="75" t="str">
        <f aca="false">IF(ISBLANK($A107),"NO_CODE",VLOOKUP($A107,'UPD Questions_290926 '!$E$1:$N$300,MATCH(B$1,'UPD Questions_290926 '!$E$1:$N$1,0),0)&amp;"")</f>
        <v>Enforcement</v>
      </c>
      <c r="C107" s="75" t="str">
        <f aca="false">IF(ISBLANK($A107),"NO_CODE",VLOOKUP($A107,'UPD Questions_290926 '!$E$1:$N$300,MATCH(C$1,'UPD Questions_290926 '!$E$1:$N$1,0),0)&amp;"")</f>
        <v>Development Compliance</v>
      </c>
      <c r="D107" s="75" t="str">
        <f aca="false">IF(ISBLANK($A107),"NO_CODE",VLOOKUP($A107,'UPD Questions_290926 '!$E$1:$N$300,MATCH(D$1,'UPD Questions_290926 '!$E$1:$N$1,0),0)&amp;"")</f>
        <v>Corrective action</v>
      </c>
      <c r="E107" s="75" t="str">
        <f aca="false">IF(ISBLANK($A107),"NO_CODE",VLOOKUP($A107,'UPD Questions_290926 '!$E$1:$N$300,MATCH(E$1,'UPD Questions_290926 '!$E$1:$N$1,0),0)&amp;"")</f>
        <v>MQ</v>
      </c>
      <c r="F107" s="75" t="str">
        <f aca="false">IF(ISBLANK($A107),"NO_CODE",VLOOKUP($A107,'UPD Questions_290926 '!$E$1:$N$300,MATCH(F$1,'UPD Questions_290926 '!$E$1:$N$1,0),0)&amp;"")</f>
        <v>Are there provisions to penalise violating plans?</v>
      </c>
      <c r="G107" s="75" t="str">
        <f aca="false">IF(ISBLANK($A107),"NO_CODE",VLOOKUP($A107,'UPD Questions_290926 '!$E$1:$N$300,MATCH(G$1,'UPD Questions_290926 '!$E$1:$N$1,0),0)&amp;"")</f>
        <v>Law or Policy</v>
      </c>
      <c r="H107" s="77" t="n">
        <f aca="false">IF(ISBLANK($A107),"NO_CODE",VLOOKUP($A107,'UPD Questions_290926 '!$E$1:$N$300,MATCH(H$1,'UPD Questions_290926 '!$E$1:$N$1,0),0))</f>
        <v>10</v>
      </c>
      <c r="I107" s="78" t="str">
        <f aca="true">IF($H107=0,"NA",IF($A107=INDIRECT("'"&amp;$A107&amp;"'!$B$1"),IF(VLOOKUP(I$1,INDIRECT("'"&amp;$A107&amp;"'!$A$12:$Z$41"),MATCH("Points (Auto-generate)",INDIRECT("'"&amp;$A107&amp;"'!$A$12:$Z$12"),0),0)="","?",VLOOKUP(I$1,INDIRECT("'"&amp;$A107&amp;"'!$A$12:$Z$41"),MATCH("Points (Auto-generate)",INDIRECT("'"&amp;$A107&amp;"'!$A$12:$Z$12"),0),0)),"ER"))</f>
        <v>?</v>
      </c>
      <c r="J107" s="78" t="str">
        <f aca="true">IF($H107=0,"NA",IF($A107=INDIRECT("'"&amp;$A107&amp;"'!$B$1"),IF(VLOOKUP(J$1,INDIRECT("'"&amp;$A107&amp;"'!$A$12:$Z$41"),MATCH("Points (Auto-generate)",INDIRECT("'"&amp;$A107&amp;"'!$A$12:$Z$12"),0),0)="","?",VLOOKUP(J$1,INDIRECT("'"&amp;$A107&amp;"'!$A$12:$Z$41"),MATCH("Points (Auto-generate)",INDIRECT("'"&amp;$A107&amp;"'!$A$12:$Z$12"),0),0)),"ER"))</f>
        <v>?</v>
      </c>
      <c r="K107" s="78" t="str">
        <f aca="true">IF($H107=0,"NA",IF($A107=INDIRECT("'"&amp;$A107&amp;"'!$B$1"),IF(VLOOKUP(K$1,INDIRECT("'"&amp;$A107&amp;"'!$A$12:$Z$41"),MATCH("Points (Auto-generate)",INDIRECT("'"&amp;$A107&amp;"'!$A$12:$Z$12"),0),0)="","?",VLOOKUP(K$1,INDIRECT("'"&amp;$A107&amp;"'!$A$12:$Z$41"),MATCH("Points (Auto-generate)",INDIRECT("'"&amp;$A107&amp;"'!$A$12:$Z$12"),0),0)),"ER"))</f>
        <v>?</v>
      </c>
      <c r="L107" s="78" t="str">
        <f aca="true">IF($H107=0,"NA",IF($A107=INDIRECT("'"&amp;$A107&amp;"'!$B$1"),IF(VLOOKUP(L$1,INDIRECT("'"&amp;$A107&amp;"'!$A$12:$Z$41"),MATCH("Points (Auto-generate)",INDIRECT("'"&amp;$A107&amp;"'!$A$12:$Z$12"),0),0)="","?",VLOOKUP(L$1,INDIRECT("'"&amp;$A107&amp;"'!$A$12:$Z$41"),MATCH("Points (Auto-generate)",INDIRECT("'"&amp;$A107&amp;"'!$A$12:$Z$12"),0),0)),"ER"))</f>
        <v>?</v>
      </c>
      <c r="M107" s="78" t="str">
        <f aca="true">IF($H107=0,"NA",IF($A107=INDIRECT("'"&amp;$A107&amp;"'!$B$1"),IF(VLOOKUP(M$1,INDIRECT("'"&amp;$A107&amp;"'!$A$12:$Z$41"),MATCH("Points (Auto-generate)",INDIRECT("'"&amp;$A107&amp;"'!$A$12:$Z$12"),0),0)="","?",VLOOKUP(M$1,INDIRECT("'"&amp;$A107&amp;"'!$A$12:$Z$41"),MATCH("Points (Auto-generate)",INDIRECT("'"&amp;$A107&amp;"'!$A$12:$Z$12"),0),0)),"ER"))</f>
        <v>?</v>
      </c>
      <c r="N107" s="78" t="str">
        <f aca="true">IF($H107=0,"NA",IF($A107=INDIRECT("'"&amp;$A107&amp;"'!$B$1"),IF(VLOOKUP(N$1,INDIRECT("'"&amp;$A107&amp;"'!$A$12:$Z$41"),MATCH("Points (Auto-generate)",INDIRECT("'"&amp;$A107&amp;"'!$A$12:$Z$12"),0),0)="","?",VLOOKUP(N$1,INDIRECT("'"&amp;$A107&amp;"'!$A$12:$Z$41"),MATCH("Points (Auto-generate)",INDIRECT("'"&amp;$A107&amp;"'!$A$12:$Z$12"),0),0)),"ER"))</f>
        <v>?</v>
      </c>
      <c r="O107" s="78" t="str">
        <f aca="true">IF($H107=0,"NA",IF($A107=INDIRECT("'"&amp;$A107&amp;"'!$B$1"),IF(VLOOKUP(O$1,INDIRECT("'"&amp;$A107&amp;"'!$A$12:$Z$41"),MATCH("Points (Auto-generate)",INDIRECT("'"&amp;$A107&amp;"'!$A$12:$Z$12"),0),0)="","?",VLOOKUP(O$1,INDIRECT("'"&amp;$A107&amp;"'!$A$12:$Z$41"),MATCH("Points (Auto-generate)",INDIRECT("'"&amp;$A107&amp;"'!$A$12:$Z$12"),0),0)),"ER"))</f>
        <v>?</v>
      </c>
      <c r="P107" s="78" t="str">
        <f aca="true">IF($H107=0,"NA",IF($A107=INDIRECT("'"&amp;$A107&amp;"'!$B$1"),IF(VLOOKUP(P$1,INDIRECT("'"&amp;$A107&amp;"'!$A$12:$Z$41"),MATCH("Points (Auto-generate)",INDIRECT("'"&amp;$A107&amp;"'!$A$12:$Z$12"),0),0)="","?",VLOOKUP(P$1,INDIRECT("'"&amp;$A107&amp;"'!$A$12:$Z$41"),MATCH("Points (Auto-generate)",INDIRECT("'"&amp;$A107&amp;"'!$A$12:$Z$12"),0),0)),"ER"))</f>
        <v>?</v>
      </c>
      <c r="Q107" s="78" t="str">
        <f aca="true">IF($H107=0,"NA",IF($A107=INDIRECT("'"&amp;$A107&amp;"'!$B$1"),IF(VLOOKUP(Q$1,INDIRECT("'"&amp;$A107&amp;"'!$A$12:$Z$41"),MATCH("Points (Auto-generate)",INDIRECT("'"&amp;$A107&amp;"'!$A$12:$Z$12"),0),0)="","?",VLOOKUP(Q$1,INDIRECT("'"&amp;$A107&amp;"'!$A$12:$Z$41"),MATCH("Points (Auto-generate)",INDIRECT("'"&amp;$A107&amp;"'!$A$12:$Z$12"),0),0)),"ER"))</f>
        <v>?</v>
      </c>
      <c r="R107" s="78" t="str">
        <f aca="true">IF($H107=0,"NA",IF($A107=INDIRECT("'"&amp;$A107&amp;"'!$B$1"),IF(VLOOKUP(R$1,INDIRECT("'"&amp;$A107&amp;"'!$A$12:$Z$41"),MATCH("Points (Auto-generate)",INDIRECT("'"&amp;$A107&amp;"'!$A$12:$Z$12"),0),0)="","?",VLOOKUP(R$1,INDIRECT("'"&amp;$A107&amp;"'!$A$12:$Z$41"),MATCH("Points (Auto-generate)",INDIRECT("'"&amp;$A107&amp;"'!$A$12:$Z$12"),0),0)),"ER"))</f>
        <v>?</v>
      </c>
      <c r="S107" s="78" t="str">
        <f aca="true">IF($H107=0,"NA",IF($A107=INDIRECT("'"&amp;$A107&amp;"'!$B$1"),IF(VLOOKUP(S$1,INDIRECT("'"&amp;$A107&amp;"'!$A$12:$Z$41"),MATCH("Points (Auto-generate)",INDIRECT("'"&amp;$A107&amp;"'!$A$12:$Z$12"),0),0)="","?",VLOOKUP(S$1,INDIRECT("'"&amp;$A107&amp;"'!$A$12:$Z$41"),MATCH("Points (Auto-generate)",INDIRECT("'"&amp;$A107&amp;"'!$A$12:$Z$12"),0),0)),"ER"))</f>
        <v>?</v>
      </c>
      <c r="T107" s="78" t="str">
        <f aca="true">IF($H107=0,"NA",IF($A107=INDIRECT("'"&amp;$A107&amp;"'!$B$1"),IF(VLOOKUP(T$1,INDIRECT("'"&amp;$A107&amp;"'!$A$12:$Z$41"),MATCH("Points (Auto-generate)",INDIRECT("'"&amp;$A107&amp;"'!$A$12:$Z$12"),0),0)="","?",VLOOKUP(T$1,INDIRECT("'"&amp;$A107&amp;"'!$A$12:$Z$41"),MATCH("Points (Auto-generate)",INDIRECT("'"&amp;$A107&amp;"'!$A$12:$Z$12"),0),0)),"ER"))</f>
        <v>?</v>
      </c>
      <c r="U107" s="78" t="str">
        <f aca="true">IF($H107=0,"NA",IF($A107=INDIRECT("'"&amp;$A107&amp;"'!$B$1"),IF(VLOOKUP(U$1,INDIRECT("'"&amp;$A107&amp;"'!$A$12:$Z$41"),MATCH("Points (Auto-generate)",INDIRECT("'"&amp;$A107&amp;"'!$A$12:$Z$12"),0),0)="","?",VLOOKUP(U$1,INDIRECT("'"&amp;$A107&amp;"'!$A$12:$Z$41"),MATCH("Points (Auto-generate)",INDIRECT("'"&amp;$A107&amp;"'!$A$12:$Z$12"),0),0)),"ER"))</f>
        <v>?</v>
      </c>
      <c r="V107" s="78" t="str">
        <f aca="true">IF($H107=0,"NA",IF($A107=INDIRECT("'"&amp;$A107&amp;"'!$B$1"),IF(VLOOKUP(V$1,INDIRECT("'"&amp;$A107&amp;"'!$A$12:$Z$41"),MATCH("Points (Auto-generate)",INDIRECT("'"&amp;$A107&amp;"'!$A$12:$Z$12"),0),0)="","?",VLOOKUP(V$1,INDIRECT("'"&amp;$A107&amp;"'!$A$12:$Z$41"),MATCH("Points (Auto-generate)",INDIRECT("'"&amp;$A107&amp;"'!$A$12:$Z$12"),0),0)),"ER"))</f>
        <v>?</v>
      </c>
      <c r="W107" s="78" t="str">
        <f aca="true">IF($H107=0,"NA",IF($A107=INDIRECT("'"&amp;$A107&amp;"'!$B$1"),IF(VLOOKUP(W$1,INDIRECT("'"&amp;$A107&amp;"'!$A$12:$Z$41"),MATCH("Points (Auto-generate)",INDIRECT("'"&amp;$A107&amp;"'!$A$12:$Z$12"),0),0)="","?",VLOOKUP(W$1,INDIRECT("'"&amp;$A107&amp;"'!$A$12:$Z$41"),MATCH("Points (Auto-generate)",INDIRECT("'"&amp;$A107&amp;"'!$A$12:$Z$12"),0),0)),"ER"))</f>
        <v>?</v>
      </c>
      <c r="X107" s="78" t="str">
        <f aca="true">IF($H107=0,"NA",IF($A107=INDIRECT("'"&amp;$A107&amp;"'!$B$1"),IF(VLOOKUP(X$1,INDIRECT("'"&amp;$A107&amp;"'!$A$12:$Z$41"),MATCH("Points (Auto-generate)",INDIRECT("'"&amp;$A107&amp;"'!$A$12:$Z$12"),0),0)="","?",VLOOKUP(X$1,INDIRECT("'"&amp;$A107&amp;"'!$A$12:$Z$41"),MATCH("Points (Auto-generate)",INDIRECT("'"&amp;$A107&amp;"'!$A$12:$Z$12"),0),0)),"ER"))</f>
        <v>?</v>
      </c>
      <c r="Y107" s="78" t="str">
        <f aca="true">IF($H107=0,"NA",IF($A107=INDIRECT("'"&amp;$A107&amp;"'!$B$1"),IF(VLOOKUP(Y$1,INDIRECT("'"&amp;$A107&amp;"'!$A$12:$Z$41"),MATCH("Points (Auto-generate)",INDIRECT("'"&amp;$A107&amp;"'!$A$12:$Z$12"),0),0)="","?",VLOOKUP(Y$1,INDIRECT("'"&amp;$A107&amp;"'!$A$12:$Z$41"),MATCH("Points (Auto-generate)",INDIRECT("'"&amp;$A107&amp;"'!$A$12:$Z$12"),0),0)),"ER"))</f>
        <v>?</v>
      </c>
      <c r="Z107" s="78" t="str">
        <f aca="true">IF($H107=0,"NA",IF($A107=INDIRECT("'"&amp;$A107&amp;"'!$B$1"),IF(VLOOKUP(Z$1,INDIRECT("'"&amp;$A107&amp;"'!$A$12:$Z$41"),MATCH("Points (Auto-generate)",INDIRECT("'"&amp;$A107&amp;"'!$A$12:$Z$12"),0),0)="","?",VLOOKUP(Z$1,INDIRECT("'"&amp;$A107&amp;"'!$A$12:$Z$41"),MATCH("Points (Auto-generate)",INDIRECT("'"&amp;$A107&amp;"'!$A$12:$Z$12"),0),0)),"ER"))</f>
        <v>?</v>
      </c>
      <c r="AA107" s="78" t="str">
        <f aca="true">IF($H107=0,"NA",IF($A107=INDIRECT("'"&amp;$A107&amp;"'!$B$1"),IF(VLOOKUP(AA$1,INDIRECT("'"&amp;$A107&amp;"'!$A$12:$Z$41"),MATCH("Points (Auto-generate)",INDIRECT("'"&amp;$A107&amp;"'!$A$12:$Z$12"),0),0)="","?",VLOOKUP(AA$1,INDIRECT("'"&amp;$A107&amp;"'!$A$12:$Z$41"),MATCH("Points (Auto-generate)",INDIRECT("'"&amp;$A107&amp;"'!$A$12:$Z$12"),0),0)),"ER"))</f>
        <v>?</v>
      </c>
      <c r="AB107" s="78" t="str">
        <f aca="true">IF($H107=0,"NA",IF($A107=INDIRECT("'"&amp;$A107&amp;"'!$B$1"),IF(VLOOKUP(AB$1,INDIRECT("'"&amp;$A107&amp;"'!$A$12:$Z$41"),MATCH("Points (Auto-generate)",INDIRECT("'"&amp;$A107&amp;"'!$A$12:$Z$12"),0),0)="","?",VLOOKUP(AB$1,INDIRECT("'"&amp;$A107&amp;"'!$A$12:$Z$41"),MATCH("Points (Auto-generate)",INDIRECT("'"&amp;$A107&amp;"'!$A$12:$Z$12"),0),0)),"ER"))</f>
        <v>?</v>
      </c>
      <c r="AC107" s="78" t="str">
        <f aca="true">IF($H107=0,"NA",IF($A107=INDIRECT("'"&amp;$A107&amp;"'!$B$1"),IF(VLOOKUP(AC$1,INDIRECT("'"&amp;$A107&amp;"'!$A$12:$Z$41"),MATCH("Points (Auto-generate)",INDIRECT("'"&amp;$A107&amp;"'!$A$12:$Z$12"),0),0)="","?",VLOOKUP(AC$1,INDIRECT("'"&amp;$A107&amp;"'!$A$12:$Z$41"),MATCH("Points (Auto-generate)",INDIRECT("'"&amp;$A107&amp;"'!$A$12:$Z$12"),0),0)),"ER"))</f>
        <v>?</v>
      </c>
      <c r="AD107" s="78" t="str">
        <f aca="true">IF($H107=0,"NA",IF($A107=INDIRECT("'"&amp;$A107&amp;"'!$B$1"),IF(VLOOKUP(AD$1,INDIRECT("'"&amp;$A107&amp;"'!$A$12:$Z$41"),MATCH("Points (Auto-generate)",INDIRECT("'"&amp;$A107&amp;"'!$A$12:$Z$12"),0),0)="","?",VLOOKUP(AD$1,INDIRECT("'"&amp;$A107&amp;"'!$A$12:$Z$41"),MATCH("Points (Auto-generate)",INDIRECT("'"&amp;$A107&amp;"'!$A$12:$Z$12"),0),0)),"ER"))</f>
        <v>?</v>
      </c>
      <c r="AE107" s="78" t="str">
        <f aca="true">IF($H107=0,"NA",IF($A107=INDIRECT("'"&amp;$A107&amp;"'!$B$1"),IF(VLOOKUP(AE$1,INDIRECT("'"&amp;$A107&amp;"'!$A$12:$Z$41"),MATCH("Points (Auto-generate)",INDIRECT("'"&amp;$A107&amp;"'!$A$12:$Z$12"),0),0)="","?",VLOOKUP(AE$1,INDIRECT("'"&amp;$A107&amp;"'!$A$12:$Z$41"),MATCH("Points (Auto-generate)",INDIRECT("'"&amp;$A107&amp;"'!$A$12:$Z$12"),0),0)),"ER"))</f>
        <v>?</v>
      </c>
      <c r="AF107" s="78" t="str">
        <f aca="true">IF($H107=0,"NA",IF($A107=INDIRECT("'"&amp;$A107&amp;"'!$B$1"),IF(VLOOKUP(AF$1,INDIRECT("'"&amp;$A107&amp;"'!$A$12:$Z$41"),MATCH("Points (Auto-generate)",INDIRECT("'"&amp;$A107&amp;"'!$A$12:$Z$12"),0),0)="","?",VLOOKUP(AF$1,INDIRECT("'"&amp;$A107&amp;"'!$A$12:$Z$41"),MATCH("Points (Auto-generate)",INDIRECT("'"&amp;$A107&amp;"'!$A$12:$Z$12"),0),0)),"ER"))</f>
        <v>?</v>
      </c>
      <c r="AG107" s="78" t="str">
        <f aca="true">IF($H107=0,"NA",IF($A107=INDIRECT("'"&amp;$A107&amp;"'!$B$1"),IF(VLOOKUP(AG$1,INDIRECT("'"&amp;$A107&amp;"'!$A$12:$Z$41"),MATCH("Points (Auto-generate)",INDIRECT("'"&amp;$A107&amp;"'!$A$12:$Z$12"),0),0)="","?",VLOOKUP(AG$1,INDIRECT("'"&amp;$A107&amp;"'!$A$12:$Z$41"),MATCH("Points (Auto-generate)",INDIRECT("'"&amp;$A107&amp;"'!$A$12:$Z$12"),0),0)),"ER"))</f>
        <v>?</v>
      </c>
      <c r="AH107" s="78" t="str">
        <f aca="true">IF($H107=0,"NA",IF($A107=INDIRECT("'"&amp;$A107&amp;"'!$B$1"),IF(VLOOKUP(AH$1,INDIRECT("'"&amp;$A107&amp;"'!$A$12:$Z$41"),MATCH("Points (Auto-generate)",INDIRECT("'"&amp;$A107&amp;"'!$A$12:$Z$12"),0),0)="","?",VLOOKUP(AH$1,INDIRECT("'"&amp;$A107&amp;"'!$A$12:$Z$41"),MATCH("Points (Auto-generate)",INDIRECT("'"&amp;$A107&amp;"'!$A$12:$Z$12"),0),0)),"ER"))</f>
        <v>?</v>
      </c>
      <c r="AI107" s="78" t="str">
        <f aca="true">IF($H107=0,"NA",IF($A107=INDIRECT("'"&amp;$A107&amp;"'!$B$1"),IF(VLOOKUP(AI$1,INDIRECT("'"&amp;$A107&amp;"'!$A$12:$Z$41"),MATCH("Points (Auto-generate)",INDIRECT("'"&amp;$A107&amp;"'!$A$12:$Z$12"),0),0)="","?",VLOOKUP(AI$1,INDIRECT("'"&amp;$A107&amp;"'!$A$12:$Z$41"),MATCH("Points (Auto-generate)",INDIRECT("'"&amp;$A107&amp;"'!$A$12:$Z$12"),0),0)),"ER"))</f>
        <v>?</v>
      </c>
      <c r="AJ107" s="78" t="str">
        <f aca="true">IF($H107=0,"NA",IF($A107=INDIRECT("'"&amp;$A107&amp;"'!$B$1"),IF(VLOOKUP(AJ$1,INDIRECT("'"&amp;$A107&amp;"'!$A$12:$Z$41"),MATCH("Points (Auto-generate)",INDIRECT("'"&amp;$A107&amp;"'!$A$12:$Z$12"),0),0)="","?",VLOOKUP(AJ$1,INDIRECT("'"&amp;$A107&amp;"'!$A$12:$Z$41"),MATCH("Points (Auto-generate)",INDIRECT("'"&amp;$A107&amp;"'!$A$12:$Z$12"),0),0)),"ER"))</f>
        <v>?</v>
      </c>
      <c r="AK107" s="78" t="str">
        <f aca="true">IF($H107=0,"NA",IF($A107=INDIRECT("'"&amp;$A107&amp;"'!$B$1"),IF(VLOOKUP(AK$1,INDIRECT("'"&amp;$A107&amp;"'!$A$12:$Z$41"),MATCH("Points (Auto-generate)",INDIRECT("'"&amp;$A107&amp;"'!$A$12:$Z$12"),0),0)="","?",VLOOKUP(AK$1,INDIRECT("'"&amp;$A107&amp;"'!$A$12:$Z$41"),MATCH("Points (Auto-generate)",INDIRECT("'"&amp;$A107&amp;"'!$A$12:$Z$12"),0),0)),"ER"))</f>
        <v>?</v>
      </c>
    </row>
    <row r="109" customFormat="false" ht="93.75" hidden="false" customHeight="true" outlineLevel="0" collapsed="false">
      <c r="F109" s="79" t="s">
        <v>517</v>
      </c>
      <c r="I109" s="70" t="s">
        <v>486</v>
      </c>
      <c r="J109" s="70" t="s">
        <v>487</v>
      </c>
      <c r="K109" s="70" t="s">
        <v>488</v>
      </c>
      <c r="L109" s="70" t="s">
        <v>489</v>
      </c>
      <c r="M109" s="70" t="s">
        <v>490</v>
      </c>
      <c r="N109" s="70" t="s">
        <v>491</v>
      </c>
      <c r="O109" s="70" t="s">
        <v>492</v>
      </c>
      <c r="P109" s="70" t="s">
        <v>493</v>
      </c>
      <c r="Q109" s="70" t="s">
        <v>494</v>
      </c>
      <c r="R109" s="70" t="s">
        <v>495</v>
      </c>
      <c r="S109" s="70" t="s">
        <v>496</v>
      </c>
      <c r="T109" s="70" t="s">
        <v>497</v>
      </c>
      <c r="U109" s="70" t="s">
        <v>498</v>
      </c>
      <c r="V109" s="70" t="s">
        <v>499</v>
      </c>
      <c r="W109" s="70" t="s">
        <v>500</v>
      </c>
      <c r="X109" s="70" t="s">
        <v>501</v>
      </c>
      <c r="Y109" s="70" t="s">
        <v>502</v>
      </c>
      <c r="Z109" s="70" t="s">
        <v>503</v>
      </c>
      <c r="AA109" s="70" t="s">
        <v>504</v>
      </c>
      <c r="AB109" s="70" t="s">
        <v>505</v>
      </c>
      <c r="AC109" s="70" t="s">
        <v>506</v>
      </c>
      <c r="AD109" s="70" t="s">
        <v>507</v>
      </c>
      <c r="AE109" s="70" t="s">
        <v>508</v>
      </c>
      <c r="AF109" s="70" t="s">
        <v>509</v>
      </c>
      <c r="AG109" s="70" t="s">
        <v>510</v>
      </c>
      <c r="AH109" s="70" t="s">
        <v>511</v>
      </c>
      <c r="AI109" s="70" t="s">
        <v>512</v>
      </c>
      <c r="AJ109" s="70" t="s">
        <v>513</v>
      </c>
      <c r="AK109" s="70" t="s">
        <v>514</v>
      </c>
    </row>
    <row r="110" customFormat="false" ht="14.25" hidden="false" customHeight="true" outlineLevel="0" collapsed="false">
      <c r="F110" s="80" t="s">
        <v>518</v>
      </c>
      <c r="I110" s="81" t="n">
        <f aca="false">SUMIFS(I$3:I$107,$E$3:$E$107,"MQ")/(COUNTIFS($E$3:$E$107,"MQ")-COUNTIFS($E$3:$E$107,"MQ",I$3:I$107,"NA"))</f>
        <v>0</v>
      </c>
      <c r="J110" s="81" t="n">
        <f aca="false">SUMIFS(J$3:J$107,$E$3:$E$107,"MQ")/(COUNTIFS($E$3:$E$107,"MQ")-COUNTIFS($E$3:$E$107,"MQ",J$3:J$107,"NA"))</f>
        <v>1.08262108262108</v>
      </c>
      <c r="K110" s="81" t="n">
        <f aca="false">SUMIFS(K$3:K$107,$E$3:$E$107,"MQ")/(COUNTIFS($E$3:$E$107,"MQ")-COUNTIFS($E$3:$E$107,"MQ",K$3:K$107,"NA"))</f>
        <v>0</v>
      </c>
      <c r="L110" s="81" t="n">
        <f aca="false">SUMIFS(L$3:L$107,$E$3:$E$107,"MQ")/(COUNTIFS($E$3:$E$107,"MQ")-COUNTIFS($E$3:$E$107,"MQ",L$3:L$107,"NA"))</f>
        <v>0</v>
      </c>
      <c r="M110" s="81" t="n">
        <f aca="false">SUMIFS(M$3:M$107,$E$3:$E$107,"MQ")/(COUNTIFS($E$3:$E$107,"MQ")-COUNTIFS($E$3:$E$107,"MQ",M$3:M$107,"NA"))</f>
        <v>0</v>
      </c>
      <c r="N110" s="81" t="n">
        <f aca="false">SUMIFS(N$3:N$107,$E$3:$E$107,"MQ")/(COUNTIFS($E$3:$E$107,"MQ")-COUNTIFS($E$3:$E$107,"MQ",N$3:N$107,"NA"))</f>
        <v>0</v>
      </c>
      <c r="O110" s="81" t="n">
        <f aca="false">SUMIFS(O$3:O$107,$E$3:$E$107,"MQ")/(COUNTIFS($E$3:$E$107,"MQ")-COUNTIFS($E$3:$E$107,"MQ",O$3:O$107,"NA"))</f>
        <v>0</v>
      </c>
      <c r="P110" s="81" t="n">
        <f aca="false">SUMIFS(P$3:P$107,$E$3:$E$107,"MQ")/(COUNTIFS($E$3:$E$107,"MQ")-COUNTIFS($E$3:$E$107,"MQ",P$3:P$107,"NA"))</f>
        <v>0</v>
      </c>
      <c r="Q110" s="81" t="n">
        <f aca="false">SUMIFS(Q$3:Q$107,$E$3:$E$107,"MQ")/(COUNTIFS($E$3:$E$107,"MQ")-COUNTIFS($E$3:$E$107,"MQ",Q$3:Q$107,"NA"))</f>
        <v>0</v>
      </c>
      <c r="R110" s="81" t="n">
        <f aca="false">SUMIFS(R$3:R$107,$E$3:$E$107,"MQ")/(COUNTIFS($E$3:$E$107,"MQ")-COUNTIFS($E$3:$E$107,"MQ",R$3:R$107,"NA"))</f>
        <v>0</v>
      </c>
      <c r="S110" s="81" t="n">
        <f aca="false">SUMIFS(S$3:S$107,$E$3:$E$107,"MQ")/(COUNTIFS($E$3:$E$107,"MQ")-COUNTIFS($E$3:$E$107,"MQ",S$3:S$107,"NA"))</f>
        <v>0</v>
      </c>
      <c r="T110" s="81" t="n">
        <f aca="false">SUMIFS(T$3:T$107,$E$3:$E$107,"MQ")/(COUNTIFS($E$3:$E$107,"MQ")-COUNTIFS($E$3:$E$107,"MQ",T$3:T$107,"NA"))</f>
        <v>0</v>
      </c>
      <c r="U110" s="81" t="n">
        <f aca="false">SUMIFS(U$3:U$107,$E$3:$E$107,"MQ")/(COUNTIFS($E$3:$E$107,"MQ")-COUNTIFS($E$3:$E$107,"MQ",U$3:U$107,"NA"))</f>
        <v>0</v>
      </c>
      <c r="V110" s="81" t="n">
        <f aca="false">SUMIFS(V$3:V$107,$E$3:$E$107,"MQ")/(COUNTIFS($E$3:$E$107,"MQ")-COUNTIFS($E$3:$E$107,"MQ",V$3:V$107,"NA"))</f>
        <v>0</v>
      </c>
      <c r="W110" s="81" t="n">
        <f aca="false">SUMIFS(W$3:W$107,$E$3:$E$107,"MQ")/(COUNTIFS($E$3:$E$107,"MQ")-COUNTIFS($E$3:$E$107,"MQ",W$3:W$107,"NA"))</f>
        <v>0</v>
      </c>
      <c r="X110" s="81" t="n">
        <f aca="false">SUMIFS(X$3:X$107,$E$3:$E$107,"MQ")/(COUNTIFS($E$3:$E$107,"MQ")-COUNTIFS($E$3:$E$107,"MQ",X$3:X$107,"NA"))</f>
        <v>0</v>
      </c>
      <c r="Y110" s="81" t="n">
        <f aca="false">SUMIFS(Y$3:Y$107,$E$3:$E$107,"MQ")/(COUNTIFS($E$3:$E$107,"MQ")-COUNTIFS($E$3:$E$107,"MQ",Y$3:Y$107,"NA"))</f>
        <v>0</v>
      </c>
      <c r="Z110" s="81" t="n">
        <f aca="false">SUMIFS(Z$3:Z$107,$E$3:$E$107,"MQ")/(COUNTIFS($E$3:$E$107,"MQ")-COUNTIFS($E$3:$E$107,"MQ",Z$3:Z$107,"NA"))</f>
        <v>0</v>
      </c>
      <c r="AA110" s="81" t="n">
        <f aca="false">SUMIFS(AA$3:AA$107,$E$3:$E$107,"MQ")/(COUNTIFS($E$3:$E$107,"MQ")-COUNTIFS($E$3:$E$107,"MQ",AA$3:AA$107,"NA"))</f>
        <v>0</v>
      </c>
      <c r="AB110" s="81" t="n">
        <f aca="false">SUMIFS(AB$3:AB$107,$E$3:$E$107,"MQ")/(COUNTIFS($E$3:$E$107,"MQ")-COUNTIFS($E$3:$E$107,"MQ",AB$3:AB$107,"NA"))</f>
        <v>0</v>
      </c>
      <c r="AC110" s="81" t="n">
        <f aca="false">SUMIFS(AC$3:AC$107,$E$3:$E$107,"MQ")/(COUNTIFS($E$3:$E$107,"MQ")-COUNTIFS($E$3:$E$107,"MQ",AC$3:AC$107,"NA"))</f>
        <v>0</v>
      </c>
      <c r="AD110" s="81" t="n">
        <f aca="false">SUMIFS(AD$3:AD$107,$E$3:$E$107,"MQ")/(COUNTIFS($E$3:$E$107,"MQ")-COUNTIFS($E$3:$E$107,"MQ",AD$3:AD$107,"NA"))</f>
        <v>0</v>
      </c>
      <c r="AE110" s="81" t="n">
        <f aca="false">SUMIFS(AE$3:AE$107,$E$3:$E$107,"MQ")/(COUNTIFS($E$3:$E$107,"MQ")-COUNTIFS($E$3:$E$107,"MQ",AE$3:AE$107,"NA"))</f>
        <v>0</v>
      </c>
      <c r="AF110" s="81" t="n">
        <f aca="false">SUMIFS(AF$3:AF$107,$E$3:$E$107,"MQ")/(COUNTIFS($E$3:$E$107,"MQ")-COUNTIFS($E$3:$E$107,"MQ",AF$3:AF$107,"NA"))</f>
        <v>0</v>
      </c>
      <c r="AG110" s="81" t="n">
        <f aca="false">SUMIFS(AG$3:AG$107,$E$3:$E$107,"MQ")/(COUNTIFS($E$3:$E$107,"MQ")-COUNTIFS($E$3:$E$107,"MQ",AG$3:AG$107,"NA"))</f>
        <v>0</v>
      </c>
      <c r="AH110" s="81" t="n">
        <f aca="false">SUMIFS(AH$3:AH$107,$E$3:$E$107,"MQ")/(COUNTIFS($E$3:$E$107,"MQ")-COUNTIFS($E$3:$E$107,"MQ",AH$3:AH$107,"NA"))</f>
        <v>0</v>
      </c>
      <c r="AI110" s="81" t="n">
        <f aca="false">SUMIFS(AI$3:AI$107,$E$3:$E$107,"MQ")/(COUNTIFS($E$3:$E$107,"MQ")-COUNTIFS($E$3:$E$107,"MQ",AI$3:AI$107,"NA"))</f>
        <v>0</v>
      </c>
      <c r="AJ110" s="81" t="n">
        <f aca="false">SUMIFS(AJ$3:AJ$107,$E$3:$E$107,"MQ")/(COUNTIFS($E$3:$E$107,"MQ")-COUNTIFS($E$3:$E$107,"MQ",AJ$3:AJ$107,"NA"))</f>
        <v>0</v>
      </c>
      <c r="AK110" s="81" t="n">
        <f aca="false">SUMIFS(AK$3:AK$107,$E$3:$E$107,"MQ")/(COUNTIFS($E$3:$E$107,"MQ")-COUNTIFS($E$3:$E$107,"MQ",AK$3:AK$107,"NA"))</f>
        <v>0</v>
      </c>
    </row>
    <row r="111" customFormat="false" ht="14.25" hidden="false" customHeight="true" outlineLevel="0" collapsed="false">
      <c r="F111" s="82" t="s">
        <v>519</v>
      </c>
      <c r="I111" s="83" t="n">
        <f aca="false">COUNTIFS($E$3:$E$107,"MQ",I$3:I$107,"?")</f>
        <v>39</v>
      </c>
      <c r="J111" s="83" t="n">
        <f aca="false">COUNTIFS($E$3:$E$107,"MQ",J$3:J$107,"?")</f>
        <v>27</v>
      </c>
      <c r="K111" s="83" t="n">
        <f aca="false">COUNTIFS($E$3:$E$107,"MQ",K$3:K$107,"?")</f>
        <v>39</v>
      </c>
      <c r="L111" s="83" t="n">
        <f aca="false">COUNTIFS($E$3:$E$107,"MQ",L$3:L$107,"?")</f>
        <v>39</v>
      </c>
      <c r="M111" s="83" t="n">
        <f aca="false">COUNTIFS($E$3:$E$107,"MQ",M$3:M$107,"?")</f>
        <v>39</v>
      </c>
      <c r="N111" s="83" t="n">
        <f aca="false">COUNTIFS($E$3:$E$107,"MQ",N$3:N$107,"?")</f>
        <v>39</v>
      </c>
      <c r="O111" s="83" t="n">
        <f aca="false">COUNTIFS($E$3:$E$107,"MQ",O$3:O$107,"?")</f>
        <v>39</v>
      </c>
      <c r="P111" s="83" t="n">
        <f aca="false">COUNTIFS($E$3:$E$107,"MQ",P$3:P$107,"?")</f>
        <v>39</v>
      </c>
      <c r="Q111" s="83" t="n">
        <f aca="false">COUNTIFS($E$3:$E$107,"MQ",Q$3:Q$107,"?")</f>
        <v>39</v>
      </c>
      <c r="R111" s="83" t="n">
        <f aca="false">COUNTIFS($E$3:$E$107,"MQ",R$3:R$107,"?")</f>
        <v>39</v>
      </c>
      <c r="S111" s="83" t="n">
        <f aca="false">COUNTIFS($E$3:$E$107,"MQ",S$3:S$107,"?")</f>
        <v>39</v>
      </c>
      <c r="T111" s="83" t="n">
        <f aca="false">COUNTIFS($E$3:$E$107,"MQ",T$3:T$107,"?")</f>
        <v>39</v>
      </c>
      <c r="U111" s="83" t="n">
        <f aca="false">COUNTIFS($E$3:$E$107,"MQ",U$3:U$107,"?")</f>
        <v>39</v>
      </c>
      <c r="V111" s="83" t="n">
        <f aca="false">COUNTIFS($E$3:$E$107,"MQ",V$3:V$107,"?")</f>
        <v>39</v>
      </c>
      <c r="W111" s="83" t="n">
        <f aca="false">COUNTIFS($E$3:$E$107,"MQ",W$3:W$107,"?")</f>
        <v>39</v>
      </c>
      <c r="X111" s="83" t="n">
        <f aca="false">COUNTIFS($E$3:$E$107,"MQ",X$3:X$107,"?")</f>
        <v>39</v>
      </c>
      <c r="Y111" s="83" t="n">
        <f aca="false">COUNTIFS($E$3:$E$107,"MQ",Y$3:Y$107,"?")</f>
        <v>39</v>
      </c>
      <c r="Z111" s="83" t="n">
        <f aca="false">COUNTIFS($E$3:$E$107,"MQ",Z$3:Z$107,"?")</f>
        <v>39</v>
      </c>
      <c r="AA111" s="83" t="n">
        <f aca="false">COUNTIFS($E$3:$E$107,"MQ",AA$3:AA$107,"?")</f>
        <v>39</v>
      </c>
      <c r="AB111" s="83" t="n">
        <f aca="false">COUNTIFS($E$3:$E$107,"MQ",AB$3:AB$107,"?")</f>
        <v>39</v>
      </c>
      <c r="AC111" s="83" t="n">
        <f aca="false">COUNTIFS($E$3:$E$107,"MQ",AC$3:AC$107,"?")</f>
        <v>38</v>
      </c>
      <c r="AD111" s="83" t="n">
        <f aca="false">COUNTIFS($E$3:$E$107,"MQ",AD$3:AD$107,"?")</f>
        <v>39</v>
      </c>
      <c r="AE111" s="83" t="n">
        <f aca="false">COUNTIFS($E$3:$E$107,"MQ",AE$3:AE$107,"?")</f>
        <v>39</v>
      </c>
      <c r="AF111" s="83" t="n">
        <f aca="false">COUNTIFS($E$3:$E$107,"MQ",AF$3:AF$107,"?")</f>
        <v>39</v>
      </c>
      <c r="AG111" s="83" t="n">
        <f aca="false">COUNTIFS($E$3:$E$107,"MQ",AG$3:AG$107,"?")</f>
        <v>39</v>
      </c>
      <c r="AH111" s="83" t="n">
        <f aca="false">COUNTIFS($E$3:$E$107,"MQ",AH$3:AH$107,"?")</f>
        <v>39</v>
      </c>
      <c r="AI111" s="83" t="n">
        <f aca="false">COUNTIFS($E$3:$E$107,"MQ",AI$3:AI$107,"?")</f>
        <v>39</v>
      </c>
      <c r="AJ111" s="83" t="n">
        <f aca="false">COUNTIFS($E$3:$E$107,"MQ",AJ$3:AJ$107,"?")</f>
        <v>39</v>
      </c>
      <c r="AK111" s="83" t="n">
        <f aca="false">COUNTIFS($E$3:$E$107,"MQ",AK$3:AK$107,"?")</f>
        <v>39</v>
      </c>
    </row>
    <row r="112" customFormat="false" ht="14.25" hidden="false" customHeight="true" outlineLevel="0" collapsed="false">
      <c r="F112" s="82" t="s">
        <v>520</v>
      </c>
      <c r="I112" s="83" t="n">
        <f aca="false">COUNTIFS($E$3:$E$107,"MQ",I$3:I$107,"NA")</f>
        <v>0</v>
      </c>
      <c r="J112" s="83" t="n">
        <f aca="false">COUNTIFS($E$3:$E$107,"MQ",J$3:J$107,"NA")</f>
        <v>0</v>
      </c>
      <c r="K112" s="83" t="n">
        <f aca="false">COUNTIFS($E$3:$E$107,"MQ",K$3:K$107,"NA")</f>
        <v>0</v>
      </c>
      <c r="L112" s="83" t="n">
        <f aca="false">COUNTIFS($E$3:$E$107,"MQ",L$3:L$107,"NA")</f>
        <v>0</v>
      </c>
      <c r="M112" s="83" t="n">
        <f aca="false">COUNTIFS($E$3:$E$107,"MQ",M$3:M$107,"NA")</f>
        <v>0</v>
      </c>
      <c r="N112" s="83" t="n">
        <f aca="false">COUNTIFS($E$3:$E$107,"MQ",N$3:N$107,"NA")</f>
        <v>0</v>
      </c>
      <c r="O112" s="83" t="n">
        <f aca="false">COUNTIFS($E$3:$E$107,"MQ",O$3:O$107,"NA")</f>
        <v>0</v>
      </c>
      <c r="P112" s="83" t="n">
        <f aca="false">COUNTIFS($E$3:$E$107,"MQ",P$3:P$107,"NA")</f>
        <v>0</v>
      </c>
      <c r="Q112" s="83" t="n">
        <f aca="false">COUNTIFS($E$3:$E$107,"MQ",Q$3:Q$107,"NA")</f>
        <v>0</v>
      </c>
      <c r="R112" s="83" t="n">
        <f aca="false">COUNTIFS($E$3:$E$107,"MQ",R$3:R$107,"NA")</f>
        <v>0</v>
      </c>
      <c r="S112" s="83" t="n">
        <f aca="false">COUNTIFS($E$3:$E$107,"MQ",S$3:S$107,"NA")</f>
        <v>0</v>
      </c>
      <c r="T112" s="83" t="n">
        <f aca="false">COUNTIFS($E$3:$E$107,"MQ",T$3:T$107,"NA")</f>
        <v>0</v>
      </c>
      <c r="U112" s="83" t="n">
        <f aca="false">COUNTIFS($E$3:$E$107,"MQ",U$3:U$107,"NA")</f>
        <v>0</v>
      </c>
      <c r="V112" s="83" t="n">
        <f aca="false">COUNTIFS($E$3:$E$107,"MQ",V$3:V$107,"NA")</f>
        <v>0</v>
      </c>
      <c r="W112" s="83" t="n">
        <f aca="false">COUNTIFS($E$3:$E$107,"MQ",W$3:W$107,"NA")</f>
        <v>0</v>
      </c>
      <c r="X112" s="83" t="n">
        <f aca="false">COUNTIFS($E$3:$E$107,"MQ",X$3:X$107,"NA")</f>
        <v>0</v>
      </c>
      <c r="Y112" s="83" t="n">
        <f aca="false">COUNTIFS($E$3:$E$107,"MQ",Y$3:Y$107,"NA")</f>
        <v>0</v>
      </c>
      <c r="Z112" s="83" t="n">
        <f aca="false">COUNTIFS($E$3:$E$107,"MQ",Z$3:Z$107,"NA")</f>
        <v>0</v>
      </c>
      <c r="AA112" s="83" t="n">
        <f aca="false">COUNTIFS($E$3:$E$107,"MQ",AA$3:AA$107,"NA")</f>
        <v>0</v>
      </c>
      <c r="AB112" s="83" t="n">
        <f aca="false">COUNTIFS($E$3:$E$107,"MQ",AB$3:AB$107,"NA")</f>
        <v>0</v>
      </c>
      <c r="AC112" s="83" t="n">
        <f aca="false">COUNTIFS($E$3:$E$107,"MQ",AC$3:AC$107,"NA")</f>
        <v>0</v>
      </c>
      <c r="AD112" s="83" t="n">
        <f aca="false">COUNTIFS($E$3:$E$107,"MQ",AD$3:AD$107,"NA")</f>
        <v>0</v>
      </c>
      <c r="AE112" s="83" t="n">
        <f aca="false">COUNTIFS($E$3:$E$107,"MQ",AE$3:AE$107,"NA")</f>
        <v>0</v>
      </c>
      <c r="AF112" s="83" t="n">
        <f aca="false">COUNTIFS($E$3:$E$107,"MQ",AF$3:AF$107,"NA")</f>
        <v>0</v>
      </c>
      <c r="AG112" s="83" t="n">
        <f aca="false">COUNTIFS($E$3:$E$107,"MQ",AG$3:AG$107,"NA")</f>
        <v>0</v>
      </c>
      <c r="AH112" s="83" t="n">
        <f aca="false">COUNTIFS($E$3:$E$107,"MQ",AH$3:AH$107,"NA")</f>
        <v>0</v>
      </c>
      <c r="AI112" s="83" t="n">
        <f aca="false">COUNTIFS($E$3:$E$107,"MQ",AI$3:AI$107,"NA")</f>
        <v>0</v>
      </c>
      <c r="AJ112" s="83" t="n">
        <f aca="false">COUNTIFS($E$3:$E$107,"MQ",AJ$3:AJ$107,"NA")</f>
        <v>0</v>
      </c>
      <c r="AK112" s="83" t="n">
        <f aca="false">COUNTIFS($E$3:$E$107,"MQ",AK$3:AK$107,"NA")</f>
        <v>0</v>
      </c>
    </row>
  </sheetData>
  <mergeCells count="1">
    <mergeCell ref="I2:AK2"/>
  </mergeCells>
  <conditionalFormatting sqref="A3:AK107">
    <cfRule type="expression" priority="2" aboveAverage="0" equalAverage="0" bottom="0" percent="0" rank="0" text="" dxfId="4">
      <formula>$A4=$A3&amp;"a"</formula>
    </cfRule>
    <cfRule type="expression" priority="3" aboveAverage="0" equalAverage="0" bottom="0" percent="0" rank="0" text="" dxfId="5">
      <formula>AND(LEFT($E3,2)="SQ",LEN($E3)=3)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4.25" customHeight="false" zeroHeight="false" outlineLevelRow="0" outlineLevelCol="0"/>
  <cols>
    <col collapsed="false" customWidth="false" hidden="false" outlineLevel="0" max="1" min="1" style="84" width="9.14"/>
    <col collapsed="false" customWidth="false" hidden="false" outlineLevel="0" max="2" min="2" style="85" width="9.14"/>
    <col collapsed="false" customWidth="true" hidden="false" outlineLevel="0" max="3" min="3" style="85" width="7.57"/>
    <col collapsed="false" customWidth="true" hidden="false" outlineLevel="0" max="4" min="4" style="85" width="5.14"/>
    <col collapsed="false" customWidth="true" hidden="false" outlineLevel="0" max="5" min="5" style="86" width="7.57"/>
    <col collapsed="false" customWidth="true" hidden="false" outlineLevel="0" max="6" min="6" style="86" width="8.71"/>
    <col collapsed="false" customWidth="true" hidden="false" outlineLevel="0" max="7" min="7" style="87" width="22.29"/>
    <col collapsed="false" customWidth="true" hidden="false" outlineLevel="0" max="8" min="8" style="88" width="19.14"/>
    <col collapsed="false" customWidth="true" hidden="false" outlineLevel="0" max="9" min="9" style="85" width="79.86"/>
    <col collapsed="false" customWidth="true" hidden="false" outlineLevel="0" max="10" min="10" style="84" width="7.71"/>
    <col collapsed="false" customWidth="true" hidden="false" outlineLevel="0" max="11" min="11" style="89" width="19.57"/>
    <col collapsed="false" customWidth="true" hidden="false" outlineLevel="0" max="12" min="12" style="85" width="18.29"/>
    <col collapsed="false" customWidth="true" hidden="false" outlineLevel="0" max="13" min="13" style="85" width="98.29"/>
    <col collapsed="false" customWidth="true" hidden="false" outlineLevel="0" max="14" min="14" style="90" width="138.14"/>
    <col collapsed="false" customWidth="false" hidden="false" outlineLevel="0" max="16384" min="15" style="85" width="9.14"/>
  </cols>
  <sheetData>
    <row r="1" s="84" customFormat="true" ht="48" hidden="false" customHeight="true" outlineLevel="0" collapsed="false">
      <c r="A1" s="91" t="s">
        <v>0</v>
      </c>
      <c r="B1" s="91" t="s">
        <v>1</v>
      </c>
      <c r="C1" s="91" t="s">
        <v>2</v>
      </c>
      <c r="D1" s="91" t="s">
        <v>3</v>
      </c>
      <c r="E1" s="92" t="s">
        <v>4</v>
      </c>
      <c r="F1" s="92" t="s">
        <v>5</v>
      </c>
      <c r="G1" s="7" t="s">
        <v>6</v>
      </c>
      <c r="H1" s="7" t="s">
        <v>7</v>
      </c>
      <c r="I1" s="91" t="s">
        <v>8</v>
      </c>
      <c r="J1" s="91" t="s">
        <v>9</v>
      </c>
      <c r="K1" s="91" t="s">
        <v>10</v>
      </c>
      <c r="L1" s="93" t="s">
        <v>11</v>
      </c>
      <c r="M1" s="94" t="s">
        <v>12</v>
      </c>
      <c r="N1" s="94" t="s">
        <v>13</v>
      </c>
    </row>
    <row r="2" customFormat="false" ht="111" hidden="false" customHeight="true" outlineLevel="0" collapsed="false">
      <c r="A2" s="95" t="s">
        <v>14</v>
      </c>
      <c r="B2" s="96" t="s">
        <v>15</v>
      </c>
      <c r="C2" s="96" t="s">
        <v>15</v>
      </c>
      <c r="D2" s="96" t="s">
        <v>16</v>
      </c>
      <c r="E2" s="97" t="s">
        <v>15</v>
      </c>
      <c r="F2" s="97" t="s">
        <v>17</v>
      </c>
      <c r="G2" s="13" t="s">
        <v>18</v>
      </c>
      <c r="H2" s="13" t="s">
        <v>19</v>
      </c>
      <c r="I2" s="11" t="s">
        <v>20</v>
      </c>
      <c r="J2" s="95" t="s">
        <v>21</v>
      </c>
      <c r="K2" s="98" t="n">
        <v>10</v>
      </c>
      <c r="L2" s="99" t="s">
        <v>22</v>
      </c>
      <c r="M2" s="96" t="s">
        <v>23</v>
      </c>
      <c r="N2" s="100" t="s">
        <v>24</v>
      </c>
    </row>
    <row r="3" customFormat="false" ht="40.5" hidden="false" customHeight="true" outlineLevel="0" collapsed="false">
      <c r="A3" s="95" t="s">
        <v>25</v>
      </c>
      <c r="B3" s="96" t="s">
        <v>26</v>
      </c>
      <c r="C3" s="96" t="s">
        <v>27</v>
      </c>
      <c r="D3" s="96" t="s">
        <v>16</v>
      </c>
      <c r="E3" s="97" t="s">
        <v>28</v>
      </c>
      <c r="F3" s="97" t="s">
        <v>17</v>
      </c>
      <c r="G3" s="13" t="s">
        <v>18</v>
      </c>
      <c r="H3" s="13" t="s">
        <v>19</v>
      </c>
      <c r="I3" s="96" t="s">
        <v>521</v>
      </c>
      <c r="J3" s="95" t="s">
        <v>21</v>
      </c>
      <c r="K3" s="98" t="n">
        <v>10</v>
      </c>
      <c r="L3" s="99" t="s">
        <v>22</v>
      </c>
      <c r="M3" s="96" t="s">
        <v>522</v>
      </c>
      <c r="N3" s="100"/>
    </row>
    <row r="4" customFormat="false" ht="48" hidden="false" customHeight="true" outlineLevel="0" collapsed="false">
      <c r="A4" s="101" t="s">
        <v>53</v>
      </c>
      <c r="B4" s="102" t="s">
        <v>28</v>
      </c>
      <c r="C4" s="96" t="s">
        <v>28</v>
      </c>
      <c r="D4" s="96" t="s">
        <v>16</v>
      </c>
      <c r="E4" s="97" t="s">
        <v>55</v>
      </c>
      <c r="F4" s="97" t="s">
        <v>17</v>
      </c>
      <c r="G4" s="13" t="s">
        <v>18</v>
      </c>
      <c r="H4" s="13" t="s">
        <v>33</v>
      </c>
      <c r="I4" s="102" t="s">
        <v>34</v>
      </c>
      <c r="J4" s="101" t="s">
        <v>21</v>
      </c>
      <c r="K4" s="103" t="n">
        <v>10</v>
      </c>
      <c r="L4" s="104" t="s">
        <v>22</v>
      </c>
      <c r="M4" s="96" t="s">
        <v>523</v>
      </c>
      <c r="N4" s="100"/>
    </row>
    <row r="5" customFormat="false" ht="69" hidden="false" customHeight="true" outlineLevel="0" collapsed="false">
      <c r="A5" s="105" t="s">
        <v>524</v>
      </c>
      <c r="B5" s="106" t="s">
        <v>37</v>
      </c>
      <c r="C5" s="106" t="s">
        <v>37</v>
      </c>
      <c r="D5" s="96" t="s">
        <v>16</v>
      </c>
      <c r="E5" s="97" t="s">
        <v>525</v>
      </c>
      <c r="F5" s="97" t="s">
        <v>17</v>
      </c>
      <c r="G5" s="13" t="s">
        <v>18</v>
      </c>
      <c r="H5" s="13" t="s">
        <v>33</v>
      </c>
      <c r="I5" s="106" t="s">
        <v>39</v>
      </c>
      <c r="J5" s="105" t="s">
        <v>40</v>
      </c>
      <c r="K5" s="107" t="n">
        <v>3.33</v>
      </c>
      <c r="L5" s="108" t="s">
        <v>22</v>
      </c>
      <c r="M5" s="106" t="s">
        <v>41</v>
      </c>
      <c r="N5" s="100"/>
    </row>
    <row r="6" customFormat="false" ht="42.75" hidden="false" customHeight="true" outlineLevel="0" collapsed="false">
      <c r="A6" s="105" t="s">
        <v>526</v>
      </c>
      <c r="B6" s="106" t="s">
        <v>43</v>
      </c>
      <c r="C6" s="106" t="s">
        <v>43</v>
      </c>
      <c r="D6" s="96" t="s">
        <v>16</v>
      </c>
      <c r="E6" s="97" t="s">
        <v>527</v>
      </c>
      <c r="F6" s="97" t="s">
        <v>17</v>
      </c>
      <c r="G6" s="13" t="s">
        <v>18</v>
      </c>
      <c r="H6" s="13" t="s">
        <v>33</v>
      </c>
      <c r="I6" s="21" t="s">
        <v>45</v>
      </c>
      <c r="J6" s="105" t="s">
        <v>40</v>
      </c>
      <c r="K6" s="107" t="n">
        <v>3.33</v>
      </c>
      <c r="L6" s="108" t="s">
        <v>22</v>
      </c>
      <c r="M6" s="106" t="s">
        <v>528</v>
      </c>
      <c r="N6" s="100"/>
    </row>
    <row r="7" customFormat="false" ht="67.5" hidden="false" customHeight="true" outlineLevel="0" collapsed="false">
      <c r="A7" s="105" t="s">
        <v>529</v>
      </c>
      <c r="B7" s="106" t="s">
        <v>48</v>
      </c>
      <c r="C7" s="106" t="s">
        <v>48</v>
      </c>
      <c r="D7" s="96" t="s">
        <v>16</v>
      </c>
      <c r="E7" s="97" t="s">
        <v>530</v>
      </c>
      <c r="F7" s="97" t="s">
        <v>17</v>
      </c>
      <c r="G7" s="13" t="s">
        <v>18</v>
      </c>
      <c r="H7" s="13" t="s">
        <v>33</v>
      </c>
      <c r="I7" s="109" t="s">
        <v>50</v>
      </c>
      <c r="J7" s="110" t="s">
        <v>40</v>
      </c>
      <c r="K7" s="107" t="n">
        <v>3.33</v>
      </c>
      <c r="L7" s="111" t="s">
        <v>22</v>
      </c>
      <c r="M7" s="109" t="s">
        <v>531</v>
      </c>
      <c r="N7" s="100" t="s">
        <v>52</v>
      </c>
    </row>
    <row r="8" customFormat="false" ht="404.25" hidden="false" customHeight="true" outlineLevel="0" collapsed="false">
      <c r="A8" s="95" t="s">
        <v>58</v>
      </c>
      <c r="B8" s="96" t="s">
        <v>27</v>
      </c>
      <c r="C8" s="112" t="s">
        <v>54</v>
      </c>
      <c r="D8" s="112" t="s">
        <v>16</v>
      </c>
      <c r="E8" s="113" t="s">
        <v>59</v>
      </c>
      <c r="F8" s="97" t="s">
        <v>17</v>
      </c>
      <c r="G8" s="13" t="s">
        <v>18</v>
      </c>
      <c r="H8" s="114" t="s">
        <v>33</v>
      </c>
      <c r="I8" s="115" t="s">
        <v>56</v>
      </c>
      <c r="J8" s="95" t="s">
        <v>21</v>
      </c>
      <c r="K8" s="98" t="n">
        <v>10</v>
      </c>
      <c r="L8" s="96" t="s">
        <v>22</v>
      </c>
      <c r="M8" s="112" t="s">
        <v>532</v>
      </c>
      <c r="N8" s="116"/>
      <c r="O8" s="85" t="s">
        <v>533</v>
      </c>
    </row>
    <row r="9" customFormat="false" ht="37.5" hidden="false" customHeight="true" outlineLevel="0" collapsed="false">
      <c r="A9" s="117" t="n">
        <v>8</v>
      </c>
      <c r="B9" s="118" t="s">
        <v>16</v>
      </c>
      <c r="C9" s="119"/>
      <c r="D9" s="119"/>
      <c r="E9" s="119"/>
      <c r="F9" s="120" t="s">
        <v>17</v>
      </c>
      <c r="G9" s="13" t="s">
        <v>18</v>
      </c>
      <c r="H9" s="114" t="s">
        <v>33</v>
      </c>
      <c r="I9" s="25" t="s">
        <v>60</v>
      </c>
      <c r="J9" s="26" t="s">
        <v>21</v>
      </c>
      <c r="K9" s="103" t="n">
        <v>10</v>
      </c>
      <c r="L9" s="104" t="s">
        <v>22</v>
      </c>
      <c r="M9" s="121" t="s">
        <v>534</v>
      </c>
      <c r="N9" s="122"/>
      <c r="O9" s="123"/>
      <c r="P9" s="29"/>
      <c r="R9" s="124"/>
      <c r="S9" s="125"/>
    </row>
    <row r="10" customFormat="false" ht="66" hidden="false" customHeight="true" outlineLevel="0" collapsed="false">
      <c r="A10" s="117" t="s">
        <v>535</v>
      </c>
      <c r="B10" s="118" t="s">
        <v>16</v>
      </c>
      <c r="C10" s="119"/>
      <c r="D10" s="119"/>
      <c r="E10" s="119"/>
      <c r="F10" s="120" t="s">
        <v>17</v>
      </c>
      <c r="G10" s="13" t="s">
        <v>18</v>
      </c>
      <c r="H10" s="114" t="s">
        <v>33</v>
      </c>
      <c r="I10" s="21" t="s">
        <v>64</v>
      </c>
      <c r="J10" s="24" t="s">
        <v>40</v>
      </c>
      <c r="K10" s="24" t="n">
        <v>3.3</v>
      </c>
      <c r="L10" s="99" t="s">
        <v>22</v>
      </c>
      <c r="M10" s="126" t="s">
        <v>536</v>
      </c>
      <c r="N10" s="122"/>
      <c r="P10" s="29"/>
      <c r="R10" s="124"/>
      <c r="S10" s="125"/>
    </row>
    <row r="11" customFormat="false" ht="66" hidden="false" customHeight="true" outlineLevel="0" collapsed="false">
      <c r="A11" s="117" t="s">
        <v>537</v>
      </c>
      <c r="B11" s="118" t="s">
        <v>16</v>
      </c>
      <c r="C11" s="119"/>
      <c r="D11" s="119"/>
      <c r="E11" s="119"/>
      <c r="F11" s="120" t="s">
        <v>17</v>
      </c>
      <c r="G11" s="13" t="s">
        <v>18</v>
      </c>
      <c r="H11" s="114" t="s">
        <v>33</v>
      </c>
      <c r="I11" s="21" t="s">
        <v>68</v>
      </c>
      <c r="J11" s="24" t="s">
        <v>40</v>
      </c>
      <c r="K11" s="24" t="n">
        <v>3.3</v>
      </c>
      <c r="L11" s="96" t="s">
        <v>22</v>
      </c>
      <c r="M11" s="126" t="s">
        <v>538</v>
      </c>
      <c r="N11" s="122"/>
      <c r="P11" s="29"/>
      <c r="R11" s="124"/>
      <c r="S11" s="125"/>
    </row>
    <row r="12" customFormat="false" ht="34.5" hidden="false" customHeight="true" outlineLevel="0" collapsed="false">
      <c r="A12" s="117" t="s">
        <v>539</v>
      </c>
      <c r="B12" s="118" t="s">
        <v>16</v>
      </c>
      <c r="C12" s="119"/>
      <c r="D12" s="119"/>
      <c r="E12" s="119"/>
      <c r="F12" s="120" t="s">
        <v>17</v>
      </c>
      <c r="G12" s="13" t="s">
        <v>18</v>
      </c>
      <c r="H12" s="114" t="s">
        <v>33</v>
      </c>
      <c r="I12" s="21" t="s">
        <v>72</v>
      </c>
      <c r="J12" s="24" t="s">
        <v>40</v>
      </c>
      <c r="K12" s="24" t="n">
        <v>3.3</v>
      </c>
      <c r="L12" s="96" t="s">
        <v>22</v>
      </c>
      <c r="M12" s="126" t="s">
        <v>540</v>
      </c>
      <c r="N12" s="122"/>
      <c r="P12" s="29"/>
      <c r="R12" s="124"/>
      <c r="S12" s="125"/>
    </row>
    <row r="13" customFormat="false" ht="124.5" hidden="false" customHeight="true" outlineLevel="0" collapsed="false">
      <c r="A13" s="95" t="s">
        <v>78</v>
      </c>
      <c r="B13" s="96" t="s">
        <v>59</v>
      </c>
      <c r="C13" s="127" t="s">
        <v>55</v>
      </c>
      <c r="D13" s="127" t="s">
        <v>16</v>
      </c>
      <c r="E13" s="128" t="s">
        <v>80</v>
      </c>
      <c r="F13" s="97" t="s">
        <v>17</v>
      </c>
      <c r="G13" s="13" t="s">
        <v>18</v>
      </c>
      <c r="H13" s="13" t="s">
        <v>541</v>
      </c>
      <c r="I13" s="96" t="s">
        <v>76</v>
      </c>
      <c r="J13" s="95" t="s">
        <v>21</v>
      </c>
      <c r="K13" s="98" t="n">
        <v>10</v>
      </c>
      <c r="L13" s="99" t="s">
        <v>22</v>
      </c>
      <c r="M13" s="96" t="s">
        <v>542</v>
      </c>
      <c r="N13" s="100"/>
    </row>
    <row r="14" customFormat="false" ht="42" hidden="false" customHeight="true" outlineLevel="0" collapsed="false">
      <c r="A14" s="95" t="s">
        <v>251</v>
      </c>
      <c r="B14" s="96" t="s">
        <v>79</v>
      </c>
      <c r="C14" s="96" t="s">
        <v>26</v>
      </c>
      <c r="D14" s="96" t="s">
        <v>16</v>
      </c>
      <c r="E14" s="97" t="s">
        <v>252</v>
      </c>
      <c r="F14" s="97" t="s">
        <v>17</v>
      </c>
      <c r="G14" s="13" t="s">
        <v>18</v>
      </c>
      <c r="H14" s="13" t="s">
        <v>81</v>
      </c>
      <c r="I14" s="96" t="s">
        <v>82</v>
      </c>
      <c r="J14" s="95" t="s">
        <v>21</v>
      </c>
      <c r="K14" s="98" t="n">
        <v>10</v>
      </c>
      <c r="L14" s="99" t="s">
        <v>83</v>
      </c>
      <c r="M14" s="96" t="s">
        <v>84</v>
      </c>
      <c r="N14" s="100"/>
    </row>
    <row r="15" customFormat="false" ht="40.5" hidden="false" customHeight="true" outlineLevel="0" collapsed="false">
      <c r="A15" s="105" t="s">
        <v>257</v>
      </c>
      <c r="B15" s="106" t="s">
        <v>86</v>
      </c>
      <c r="C15" s="106" t="s">
        <v>87</v>
      </c>
      <c r="D15" s="96" t="s">
        <v>16</v>
      </c>
      <c r="E15" s="97" t="s">
        <v>258</v>
      </c>
      <c r="F15" s="97" t="s">
        <v>17</v>
      </c>
      <c r="G15" s="13" t="s">
        <v>18</v>
      </c>
      <c r="H15" s="13" t="s">
        <v>81</v>
      </c>
      <c r="I15" s="106" t="s">
        <v>89</v>
      </c>
      <c r="J15" s="105" t="s">
        <v>40</v>
      </c>
      <c r="K15" s="107" t="n">
        <v>5</v>
      </c>
      <c r="L15" s="99" t="s">
        <v>90</v>
      </c>
      <c r="M15" s="106" t="s">
        <v>543</v>
      </c>
      <c r="N15" s="100" t="s">
        <v>544</v>
      </c>
    </row>
    <row r="16" customFormat="false" ht="84.75" hidden="false" customHeight="true" outlineLevel="0" collapsed="false">
      <c r="A16" s="105" t="s">
        <v>274</v>
      </c>
      <c r="B16" s="106" t="s">
        <v>93</v>
      </c>
      <c r="C16" s="106" t="s">
        <v>94</v>
      </c>
      <c r="D16" s="96" t="s">
        <v>16</v>
      </c>
      <c r="E16" s="97" t="s">
        <v>275</v>
      </c>
      <c r="F16" s="97" t="s">
        <v>17</v>
      </c>
      <c r="G16" s="13" t="s">
        <v>18</v>
      </c>
      <c r="H16" s="13" t="s">
        <v>81</v>
      </c>
      <c r="I16" s="106" t="s">
        <v>545</v>
      </c>
      <c r="J16" s="105" t="s">
        <v>40</v>
      </c>
      <c r="K16" s="107" t="n">
        <v>5</v>
      </c>
      <c r="L16" s="99" t="s">
        <v>97</v>
      </c>
      <c r="M16" s="106" t="s">
        <v>546</v>
      </c>
      <c r="N16" s="100"/>
    </row>
    <row r="17" customFormat="false" ht="81.75" hidden="false" customHeight="true" outlineLevel="0" collapsed="false">
      <c r="A17" s="105" t="s">
        <v>294</v>
      </c>
      <c r="B17" s="129" t="s">
        <v>485</v>
      </c>
      <c r="C17" s="129" t="s">
        <v>485</v>
      </c>
      <c r="D17" s="11" t="s">
        <v>16</v>
      </c>
      <c r="E17" s="32" t="s">
        <v>295</v>
      </c>
      <c r="F17" s="32" t="s">
        <v>17</v>
      </c>
      <c r="G17" s="13" t="s">
        <v>18</v>
      </c>
      <c r="H17" s="13" t="s">
        <v>81</v>
      </c>
      <c r="I17" s="11" t="s">
        <v>101</v>
      </c>
      <c r="J17" s="95" t="s">
        <v>21</v>
      </c>
      <c r="K17" s="107" t="n">
        <v>10</v>
      </c>
      <c r="L17" s="130" t="s">
        <v>102</v>
      </c>
      <c r="M17" s="11" t="s">
        <v>547</v>
      </c>
      <c r="N17" s="100"/>
    </row>
    <row r="18" customFormat="false" ht="90.75" hidden="false" customHeight="true" outlineLevel="0" collapsed="false">
      <c r="A18" s="95" t="s">
        <v>99</v>
      </c>
      <c r="B18" s="96" t="s">
        <v>55</v>
      </c>
      <c r="C18" s="96" t="s">
        <v>32</v>
      </c>
      <c r="D18" s="96" t="s">
        <v>16</v>
      </c>
      <c r="E18" s="97" t="s">
        <v>100</v>
      </c>
      <c r="F18" s="97" t="s">
        <v>17</v>
      </c>
      <c r="G18" s="13" t="s">
        <v>548</v>
      </c>
      <c r="H18" s="13" t="s">
        <v>106</v>
      </c>
      <c r="I18" s="11" t="s">
        <v>107</v>
      </c>
      <c r="J18" s="95" t="s">
        <v>21</v>
      </c>
      <c r="K18" s="98" t="n">
        <v>10</v>
      </c>
      <c r="L18" s="131" t="s">
        <v>22</v>
      </c>
      <c r="M18" s="112" t="s">
        <v>549</v>
      </c>
      <c r="N18" s="100"/>
    </row>
    <row r="19" customFormat="false" ht="95.25" hidden="false" customHeight="true" outlineLevel="0" collapsed="false">
      <c r="A19" s="132" t="s">
        <v>104</v>
      </c>
      <c r="B19" s="96" t="s">
        <v>110</v>
      </c>
      <c r="C19" s="96" t="s">
        <v>111</v>
      </c>
      <c r="D19" s="96" t="s">
        <v>16</v>
      </c>
      <c r="E19" s="97" t="s">
        <v>26</v>
      </c>
      <c r="F19" s="97" t="s">
        <v>17</v>
      </c>
      <c r="G19" s="13" t="s">
        <v>548</v>
      </c>
      <c r="H19" s="13" t="s">
        <v>113</v>
      </c>
      <c r="I19" s="11" t="s">
        <v>114</v>
      </c>
      <c r="J19" s="132" t="s">
        <v>21</v>
      </c>
      <c r="K19" s="133" t="n">
        <v>10</v>
      </c>
      <c r="L19" s="96" t="s">
        <v>22</v>
      </c>
      <c r="M19" s="96" t="s">
        <v>550</v>
      </c>
      <c r="N19" s="106"/>
    </row>
    <row r="20" customFormat="false" ht="54" hidden="false" customHeight="true" outlineLevel="0" collapsed="false">
      <c r="A20" s="132" t="s">
        <v>109</v>
      </c>
      <c r="B20" s="96" t="s">
        <v>117</v>
      </c>
      <c r="C20" s="96" t="s">
        <v>118</v>
      </c>
      <c r="D20" s="96" t="s">
        <v>16</v>
      </c>
      <c r="E20" s="97" t="s">
        <v>112</v>
      </c>
      <c r="F20" s="97" t="s">
        <v>17</v>
      </c>
      <c r="G20" s="13" t="s">
        <v>548</v>
      </c>
      <c r="H20" s="13" t="s">
        <v>113</v>
      </c>
      <c r="I20" s="11" t="s">
        <v>120</v>
      </c>
      <c r="J20" s="132" t="s">
        <v>21</v>
      </c>
      <c r="K20" s="133" t="n">
        <v>10</v>
      </c>
      <c r="L20" s="96" t="s">
        <v>83</v>
      </c>
      <c r="M20" s="96" t="s">
        <v>84</v>
      </c>
      <c r="N20" s="116"/>
    </row>
    <row r="21" customFormat="false" ht="105.75" hidden="false" customHeight="true" outlineLevel="0" collapsed="false">
      <c r="A21" s="132"/>
      <c r="B21" s="96" t="s">
        <v>122</v>
      </c>
      <c r="C21" s="96"/>
      <c r="D21" s="96"/>
      <c r="E21" s="97"/>
      <c r="F21" s="97" t="s">
        <v>17</v>
      </c>
      <c r="G21" s="13" t="s">
        <v>548</v>
      </c>
      <c r="H21" s="13" t="s">
        <v>113</v>
      </c>
      <c r="I21" s="11" t="s">
        <v>124</v>
      </c>
      <c r="J21" s="132" t="s">
        <v>40</v>
      </c>
      <c r="K21" s="133" t="n">
        <v>5</v>
      </c>
      <c r="L21" s="96" t="s">
        <v>90</v>
      </c>
      <c r="M21" s="106" t="s">
        <v>551</v>
      </c>
      <c r="N21" s="116"/>
    </row>
    <row r="22" customFormat="false" ht="54" hidden="false" customHeight="true" outlineLevel="0" collapsed="false">
      <c r="A22" s="132"/>
      <c r="B22" s="96" t="s">
        <v>127</v>
      </c>
      <c r="C22" s="96"/>
      <c r="D22" s="96"/>
      <c r="E22" s="97"/>
      <c r="F22" s="97" t="s">
        <v>17</v>
      </c>
      <c r="G22" s="13" t="s">
        <v>548</v>
      </c>
      <c r="H22" s="13" t="s">
        <v>113</v>
      </c>
      <c r="I22" s="11" t="s">
        <v>129</v>
      </c>
      <c r="J22" s="132" t="s">
        <v>40</v>
      </c>
      <c r="K22" s="134" t="n">
        <v>5</v>
      </c>
      <c r="L22" s="135" t="s">
        <v>97</v>
      </c>
      <c r="M22" s="136" t="s">
        <v>552</v>
      </c>
      <c r="N22" s="100"/>
    </row>
    <row r="23" customFormat="false" ht="164.25" hidden="false" customHeight="true" outlineLevel="0" collapsed="false">
      <c r="A23" s="137" t="s">
        <v>186</v>
      </c>
      <c r="B23" s="138"/>
      <c r="C23" s="138"/>
      <c r="D23" s="138" t="s">
        <v>16</v>
      </c>
      <c r="E23" s="87" t="s">
        <v>187</v>
      </c>
      <c r="F23" s="97" t="s">
        <v>17</v>
      </c>
      <c r="G23" s="13" t="s">
        <v>548</v>
      </c>
      <c r="H23" s="13" t="s">
        <v>133</v>
      </c>
      <c r="I23" s="139" t="s">
        <v>553</v>
      </c>
      <c r="J23" s="132" t="s">
        <v>21</v>
      </c>
      <c r="K23" s="134" t="n">
        <v>10</v>
      </c>
      <c r="L23" s="99" t="s">
        <v>22</v>
      </c>
      <c r="M23" s="139" t="s">
        <v>554</v>
      </c>
      <c r="N23" s="100"/>
    </row>
    <row r="24" customFormat="false" ht="54" hidden="false" customHeight="true" outlineLevel="0" collapsed="false">
      <c r="A24" s="95" t="s">
        <v>116</v>
      </c>
      <c r="B24" s="96" t="s">
        <v>54</v>
      </c>
      <c r="C24" s="96" t="s">
        <v>119</v>
      </c>
      <c r="D24" s="96" t="s">
        <v>16</v>
      </c>
      <c r="E24" s="97" t="s">
        <v>119</v>
      </c>
      <c r="F24" s="97" t="s">
        <v>17</v>
      </c>
      <c r="G24" s="13" t="s">
        <v>555</v>
      </c>
      <c r="H24" s="13" t="s">
        <v>139</v>
      </c>
      <c r="I24" s="96" t="s">
        <v>556</v>
      </c>
      <c r="J24" s="95" t="s">
        <v>21</v>
      </c>
      <c r="K24" s="98" t="n">
        <v>10</v>
      </c>
      <c r="L24" s="99" t="s">
        <v>141</v>
      </c>
      <c r="M24" s="106" t="s">
        <v>142</v>
      </c>
      <c r="N24" s="100"/>
    </row>
    <row r="25" customFormat="false" ht="126.75" hidden="false" customHeight="true" outlineLevel="0" collapsed="false">
      <c r="A25" s="132" t="s">
        <v>121</v>
      </c>
      <c r="B25" s="96"/>
      <c r="C25" s="96"/>
      <c r="D25" s="96"/>
      <c r="E25" s="97" t="s">
        <v>123</v>
      </c>
      <c r="F25" s="97" t="s">
        <v>17</v>
      </c>
      <c r="G25" s="13" t="s">
        <v>555</v>
      </c>
      <c r="H25" s="13" t="s">
        <v>139</v>
      </c>
      <c r="I25" s="96" t="s">
        <v>145</v>
      </c>
      <c r="J25" s="95" t="s">
        <v>40</v>
      </c>
      <c r="K25" s="98" t="n">
        <v>1.67</v>
      </c>
      <c r="L25" s="99" t="s">
        <v>90</v>
      </c>
      <c r="M25" s="106" t="s">
        <v>557</v>
      </c>
      <c r="N25" s="100"/>
    </row>
    <row r="26" customFormat="false" ht="57" hidden="false" customHeight="true" outlineLevel="0" collapsed="false">
      <c r="A26" s="132" t="s">
        <v>126</v>
      </c>
      <c r="B26" s="96"/>
      <c r="C26" s="96"/>
      <c r="D26" s="96"/>
      <c r="E26" s="97" t="s">
        <v>128</v>
      </c>
      <c r="F26" s="97" t="s">
        <v>17</v>
      </c>
      <c r="G26" s="13" t="s">
        <v>555</v>
      </c>
      <c r="H26" s="13" t="s">
        <v>139</v>
      </c>
      <c r="I26" s="96" t="s">
        <v>149</v>
      </c>
      <c r="J26" s="95" t="s">
        <v>40</v>
      </c>
      <c r="K26" s="98" t="n">
        <v>1.67</v>
      </c>
      <c r="L26" s="99" t="s">
        <v>90</v>
      </c>
      <c r="M26" s="106" t="s">
        <v>150</v>
      </c>
      <c r="N26" s="100"/>
    </row>
    <row r="27" customFormat="false" ht="54" hidden="false" customHeight="true" outlineLevel="0" collapsed="false">
      <c r="A27" s="132" t="s">
        <v>558</v>
      </c>
      <c r="B27" s="96"/>
      <c r="C27" s="96"/>
      <c r="D27" s="96"/>
      <c r="E27" s="97" t="s">
        <v>559</v>
      </c>
      <c r="F27" s="97" t="s">
        <v>17</v>
      </c>
      <c r="G27" s="13" t="s">
        <v>555</v>
      </c>
      <c r="H27" s="13" t="s">
        <v>139</v>
      </c>
      <c r="I27" s="96" t="s">
        <v>153</v>
      </c>
      <c r="J27" s="95" t="s">
        <v>40</v>
      </c>
      <c r="K27" s="98" t="n">
        <v>1.67</v>
      </c>
      <c r="L27" s="99" t="s">
        <v>90</v>
      </c>
      <c r="M27" s="106" t="s">
        <v>154</v>
      </c>
      <c r="N27" s="100"/>
    </row>
    <row r="28" customFormat="false" ht="65.25" hidden="false" customHeight="true" outlineLevel="0" collapsed="false">
      <c r="A28" s="132" t="s">
        <v>560</v>
      </c>
      <c r="B28" s="96"/>
      <c r="C28" s="96"/>
      <c r="D28" s="96"/>
      <c r="E28" s="97" t="s">
        <v>561</v>
      </c>
      <c r="F28" s="97" t="s">
        <v>17</v>
      </c>
      <c r="G28" s="13" t="s">
        <v>555</v>
      </c>
      <c r="H28" s="13" t="s">
        <v>139</v>
      </c>
      <c r="I28" s="96" t="s">
        <v>157</v>
      </c>
      <c r="J28" s="95" t="s">
        <v>40</v>
      </c>
      <c r="K28" s="98" t="n">
        <v>1.67</v>
      </c>
      <c r="L28" s="99" t="s">
        <v>90</v>
      </c>
      <c r="M28" s="106" t="s">
        <v>158</v>
      </c>
      <c r="N28" s="100"/>
    </row>
    <row r="29" customFormat="false" ht="55.5" hidden="false" customHeight="true" outlineLevel="0" collapsed="false">
      <c r="A29" s="132" t="s">
        <v>562</v>
      </c>
      <c r="B29" s="96"/>
      <c r="C29" s="96"/>
      <c r="D29" s="96"/>
      <c r="E29" s="97" t="s">
        <v>563</v>
      </c>
      <c r="F29" s="97" t="s">
        <v>17</v>
      </c>
      <c r="G29" s="13" t="s">
        <v>555</v>
      </c>
      <c r="H29" s="13" t="s">
        <v>139</v>
      </c>
      <c r="I29" s="96" t="s">
        <v>161</v>
      </c>
      <c r="J29" s="95" t="s">
        <v>40</v>
      </c>
      <c r="K29" s="98" t="n">
        <v>1.67</v>
      </c>
      <c r="L29" s="99" t="s">
        <v>90</v>
      </c>
      <c r="M29" s="106" t="s">
        <v>162</v>
      </c>
      <c r="N29" s="100"/>
    </row>
    <row r="30" customFormat="false" ht="120.75" hidden="false" customHeight="true" outlineLevel="0" collapsed="false">
      <c r="A30" s="132" t="s">
        <v>564</v>
      </c>
      <c r="B30" s="96"/>
      <c r="C30" s="96"/>
      <c r="D30" s="96"/>
      <c r="E30" s="97" t="s">
        <v>565</v>
      </c>
      <c r="F30" s="97" t="s">
        <v>17</v>
      </c>
      <c r="G30" s="13" t="s">
        <v>555</v>
      </c>
      <c r="H30" s="13" t="s">
        <v>139</v>
      </c>
      <c r="I30" s="96" t="s">
        <v>165</v>
      </c>
      <c r="J30" s="95" t="s">
        <v>40</v>
      </c>
      <c r="K30" s="98" t="n">
        <v>1.67</v>
      </c>
      <c r="L30" s="99" t="s">
        <v>90</v>
      </c>
      <c r="M30" s="106" t="s">
        <v>566</v>
      </c>
      <c r="N30" s="100"/>
    </row>
    <row r="31" customFormat="false" ht="47.25" hidden="false" customHeight="true" outlineLevel="0" collapsed="false">
      <c r="A31" s="101" t="s">
        <v>223</v>
      </c>
      <c r="B31" s="102" t="s">
        <v>32</v>
      </c>
      <c r="C31" s="102" t="s">
        <v>54</v>
      </c>
      <c r="D31" s="96" t="s">
        <v>16</v>
      </c>
      <c r="E31" s="97" t="s">
        <v>226</v>
      </c>
      <c r="F31" s="97" t="s">
        <v>97</v>
      </c>
      <c r="G31" s="13" t="s">
        <v>567</v>
      </c>
      <c r="H31" s="13" t="s">
        <v>568</v>
      </c>
      <c r="I31" s="102" t="s">
        <v>171</v>
      </c>
      <c r="J31" s="101" t="s">
        <v>21</v>
      </c>
      <c r="K31" s="103" t="n">
        <v>10</v>
      </c>
      <c r="L31" s="104" t="s">
        <v>97</v>
      </c>
      <c r="M31" s="106" t="s">
        <v>172</v>
      </c>
      <c r="N31" s="100"/>
    </row>
    <row r="32" customFormat="false" ht="60" hidden="false" customHeight="true" outlineLevel="0" collapsed="false">
      <c r="A32" s="105" t="s">
        <v>229</v>
      </c>
      <c r="B32" s="106" t="s">
        <v>38</v>
      </c>
      <c r="C32" s="102" t="s">
        <v>54</v>
      </c>
      <c r="D32" s="96" t="s">
        <v>16</v>
      </c>
      <c r="E32" s="97" t="s">
        <v>230</v>
      </c>
      <c r="F32" s="97" t="s">
        <v>97</v>
      </c>
      <c r="G32" s="13" t="s">
        <v>567</v>
      </c>
      <c r="H32" s="13" t="s">
        <v>568</v>
      </c>
      <c r="I32" s="106" t="s">
        <v>175</v>
      </c>
      <c r="J32" s="105" t="s">
        <v>40</v>
      </c>
      <c r="K32" s="107" t="n">
        <v>3.3</v>
      </c>
      <c r="L32" s="108" t="s">
        <v>97</v>
      </c>
      <c r="M32" s="106" t="s">
        <v>176</v>
      </c>
      <c r="N32" s="100" t="s">
        <v>177</v>
      </c>
    </row>
    <row r="33" customFormat="false" ht="54" hidden="false" customHeight="true" outlineLevel="0" collapsed="false">
      <c r="A33" s="105" t="s">
        <v>233</v>
      </c>
      <c r="B33" s="106" t="s">
        <v>44</v>
      </c>
      <c r="C33" s="102" t="s">
        <v>54</v>
      </c>
      <c r="D33" s="96" t="s">
        <v>16</v>
      </c>
      <c r="E33" s="97" t="s">
        <v>234</v>
      </c>
      <c r="F33" s="97" t="s">
        <v>97</v>
      </c>
      <c r="G33" s="13" t="s">
        <v>567</v>
      </c>
      <c r="H33" s="13" t="s">
        <v>568</v>
      </c>
      <c r="I33" s="106" t="s">
        <v>180</v>
      </c>
      <c r="J33" s="105" t="s">
        <v>40</v>
      </c>
      <c r="K33" s="107" t="n">
        <v>3.3</v>
      </c>
      <c r="L33" s="108" t="s">
        <v>97</v>
      </c>
      <c r="M33" s="106" t="s">
        <v>569</v>
      </c>
      <c r="N33" s="100" t="s">
        <v>177</v>
      </c>
    </row>
    <row r="34" customFormat="false" ht="44.25" hidden="false" customHeight="true" outlineLevel="0" collapsed="false">
      <c r="A34" s="105" t="s">
        <v>237</v>
      </c>
      <c r="B34" s="106" t="s">
        <v>49</v>
      </c>
      <c r="C34" s="102" t="s">
        <v>54</v>
      </c>
      <c r="D34" s="96" t="s">
        <v>16</v>
      </c>
      <c r="E34" s="97" t="s">
        <v>238</v>
      </c>
      <c r="F34" s="97" t="s">
        <v>97</v>
      </c>
      <c r="G34" s="13" t="s">
        <v>567</v>
      </c>
      <c r="H34" s="13" t="s">
        <v>568</v>
      </c>
      <c r="I34" s="106" t="s">
        <v>184</v>
      </c>
      <c r="J34" s="105" t="s">
        <v>40</v>
      </c>
      <c r="K34" s="107" t="n">
        <v>3.3</v>
      </c>
      <c r="L34" s="108" t="s">
        <v>97</v>
      </c>
      <c r="M34" s="106" t="s">
        <v>185</v>
      </c>
      <c r="N34" s="100"/>
    </row>
    <row r="35" customFormat="false" ht="131.25" hidden="false" customHeight="true" outlineLevel="0" collapsed="false">
      <c r="A35" s="137" t="s">
        <v>241</v>
      </c>
      <c r="B35" s="138"/>
      <c r="C35" s="138"/>
      <c r="D35" s="138" t="s">
        <v>16</v>
      </c>
      <c r="E35" s="87" t="s">
        <v>243</v>
      </c>
      <c r="F35" s="97" t="s">
        <v>97</v>
      </c>
      <c r="G35" s="13" t="s">
        <v>567</v>
      </c>
      <c r="H35" s="13" t="s">
        <v>570</v>
      </c>
      <c r="I35" s="96" t="s">
        <v>189</v>
      </c>
      <c r="J35" s="132" t="s">
        <v>21</v>
      </c>
      <c r="K35" s="134" t="n">
        <v>10</v>
      </c>
      <c r="L35" s="131" t="s">
        <v>97</v>
      </c>
      <c r="M35" s="140" t="s">
        <v>571</v>
      </c>
      <c r="N35" s="100"/>
    </row>
    <row r="36" customFormat="false" ht="49.5" hidden="false" customHeight="true" outlineLevel="0" collapsed="false">
      <c r="A36" s="101" t="s">
        <v>246</v>
      </c>
      <c r="B36" s="102" t="s">
        <v>80</v>
      </c>
      <c r="C36" s="102" t="s">
        <v>54</v>
      </c>
      <c r="D36" s="96" t="s">
        <v>16</v>
      </c>
      <c r="E36" s="97" t="s">
        <v>247</v>
      </c>
      <c r="F36" s="97" t="s">
        <v>97</v>
      </c>
      <c r="G36" s="13" t="s">
        <v>567</v>
      </c>
      <c r="H36" s="13" t="s">
        <v>192</v>
      </c>
      <c r="I36" s="102" t="s">
        <v>193</v>
      </c>
      <c r="J36" s="101" t="s">
        <v>21</v>
      </c>
      <c r="K36" s="141" t="n">
        <v>10</v>
      </c>
      <c r="L36" s="102" t="s">
        <v>97</v>
      </c>
      <c r="M36" s="140" t="s">
        <v>194</v>
      </c>
      <c r="N36" s="116"/>
    </row>
    <row r="37" customFormat="false" ht="75" hidden="false" customHeight="true" outlineLevel="0" collapsed="false">
      <c r="A37" s="105" t="s">
        <v>572</v>
      </c>
      <c r="B37" s="106" t="s">
        <v>88</v>
      </c>
      <c r="C37" s="102" t="s">
        <v>54</v>
      </c>
      <c r="D37" s="96" t="s">
        <v>16</v>
      </c>
      <c r="E37" s="97" t="s">
        <v>573</v>
      </c>
      <c r="F37" s="97" t="s">
        <v>97</v>
      </c>
      <c r="G37" s="13" t="s">
        <v>567</v>
      </c>
      <c r="H37" s="13" t="s">
        <v>192</v>
      </c>
      <c r="I37" s="106" t="s">
        <v>196</v>
      </c>
      <c r="J37" s="105" t="s">
        <v>40</v>
      </c>
      <c r="K37" s="142" t="n">
        <v>5</v>
      </c>
      <c r="L37" s="99" t="s">
        <v>97</v>
      </c>
      <c r="M37" s="139" t="s">
        <v>574</v>
      </c>
      <c r="N37" s="116"/>
    </row>
    <row r="38" customFormat="false" ht="71.25" hidden="false" customHeight="true" outlineLevel="0" collapsed="false">
      <c r="A38" s="105" t="s">
        <v>575</v>
      </c>
      <c r="B38" s="106" t="s">
        <v>95</v>
      </c>
      <c r="C38" s="102" t="s">
        <v>54</v>
      </c>
      <c r="D38" s="96" t="s">
        <v>16</v>
      </c>
      <c r="E38" s="97" t="s">
        <v>576</v>
      </c>
      <c r="F38" s="97" t="s">
        <v>97</v>
      </c>
      <c r="G38" s="13" t="s">
        <v>567</v>
      </c>
      <c r="H38" s="13" t="s">
        <v>192</v>
      </c>
      <c r="I38" s="106" t="s">
        <v>577</v>
      </c>
      <c r="J38" s="105" t="s">
        <v>40</v>
      </c>
      <c r="K38" s="107" t="n">
        <v>5</v>
      </c>
      <c r="L38" s="135" t="s">
        <v>97</v>
      </c>
      <c r="M38" s="106" t="s">
        <v>578</v>
      </c>
      <c r="N38" s="116"/>
    </row>
    <row r="39" customFormat="false" ht="78.75" hidden="false" customHeight="true" outlineLevel="0" collapsed="false">
      <c r="A39" s="95" t="s">
        <v>324</v>
      </c>
      <c r="B39" s="96" t="s">
        <v>132</v>
      </c>
      <c r="C39" s="96" t="s">
        <v>54</v>
      </c>
      <c r="D39" s="96" t="s">
        <v>16</v>
      </c>
      <c r="E39" s="97" t="s">
        <v>325</v>
      </c>
      <c r="F39" s="97" t="s">
        <v>97</v>
      </c>
      <c r="G39" s="13" t="s">
        <v>567</v>
      </c>
      <c r="H39" s="13" t="s">
        <v>203</v>
      </c>
      <c r="I39" s="96" t="s">
        <v>579</v>
      </c>
      <c r="J39" s="95" t="s">
        <v>21</v>
      </c>
      <c r="K39" s="98" t="n">
        <v>10</v>
      </c>
      <c r="L39" s="99" t="s">
        <v>97</v>
      </c>
      <c r="M39" s="136" t="s">
        <v>580</v>
      </c>
      <c r="N39" s="100"/>
    </row>
    <row r="40" customFormat="false" ht="264" hidden="false" customHeight="true" outlineLevel="0" collapsed="false">
      <c r="A40" s="132" t="s">
        <v>407</v>
      </c>
      <c r="B40" s="96" t="s">
        <v>207</v>
      </c>
      <c r="C40" s="96" t="s">
        <v>54</v>
      </c>
      <c r="D40" s="96" t="s">
        <v>16</v>
      </c>
      <c r="E40" s="97" t="s">
        <v>408</v>
      </c>
      <c r="F40" s="143" t="s">
        <v>97</v>
      </c>
      <c r="G40" s="13" t="s">
        <v>567</v>
      </c>
      <c r="H40" s="13" t="s">
        <v>581</v>
      </c>
      <c r="I40" s="96" t="s">
        <v>582</v>
      </c>
      <c r="J40" s="132" t="s">
        <v>21</v>
      </c>
      <c r="K40" s="134" t="n">
        <v>10</v>
      </c>
      <c r="L40" s="99" t="s">
        <v>97</v>
      </c>
      <c r="M40" s="106" t="s">
        <v>583</v>
      </c>
      <c r="N40" s="100"/>
    </row>
    <row r="41" customFormat="false" ht="45" hidden="false" customHeight="true" outlineLevel="0" collapsed="false">
      <c r="A41" s="132" t="s">
        <v>434</v>
      </c>
      <c r="B41" s="96" t="s">
        <v>212</v>
      </c>
      <c r="C41" s="96" t="s">
        <v>54</v>
      </c>
      <c r="D41" s="96" t="s">
        <v>16</v>
      </c>
      <c r="E41" s="97" t="s">
        <v>110</v>
      </c>
      <c r="F41" s="143" t="s">
        <v>97</v>
      </c>
      <c r="G41" s="13" t="s">
        <v>567</v>
      </c>
      <c r="H41" s="13" t="s">
        <v>581</v>
      </c>
      <c r="I41" s="96" t="s">
        <v>584</v>
      </c>
      <c r="J41" s="132" t="s">
        <v>21</v>
      </c>
      <c r="K41" s="134" t="n">
        <v>10</v>
      </c>
      <c r="L41" s="99" t="s">
        <v>97</v>
      </c>
      <c r="M41" s="96" t="s">
        <v>214</v>
      </c>
      <c r="N41" s="100"/>
    </row>
    <row r="42" customFormat="false" ht="336" hidden="false" customHeight="true" outlineLevel="0" collapsed="false">
      <c r="A42" s="132"/>
      <c r="B42" s="96"/>
      <c r="C42" s="96"/>
      <c r="D42" s="96"/>
      <c r="E42" s="97"/>
      <c r="F42" s="143"/>
      <c r="G42" s="13"/>
      <c r="H42" s="13"/>
      <c r="I42" s="96" t="s">
        <v>217</v>
      </c>
      <c r="J42" s="132" t="s">
        <v>40</v>
      </c>
      <c r="K42" s="134" t="n">
        <v>5</v>
      </c>
      <c r="L42" s="99" t="s">
        <v>97</v>
      </c>
      <c r="M42" s="106" t="s">
        <v>585</v>
      </c>
      <c r="N42" s="100"/>
    </row>
    <row r="43" customFormat="false" ht="266.25" hidden="false" customHeight="true" outlineLevel="0" collapsed="false">
      <c r="A43" s="132"/>
      <c r="B43" s="96"/>
      <c r="C43" s="96"/>
      <c r="D43" s="96"/>
      <c r="E43" s="97"/>
      <c r="F43" s="143"/>
      <c r="G43" s="13"/>
      <c r="H43" s="13"/>
      <c r="I43" s="96" t="s">
        <v>221</v>
      </c>
      <c r="J43" s="132" t="s">
        <v>40</v>
      </c>
      <c r="K43" s="134" t="n">
        <v>5</v>
      </c>
      <c r="L43" s="99" t="s">
        <v>97</v>
      </c>
      <c r="M43" s="106" t="s">
        <v>586</v>
      </c>
      <c r="N43" s="100"/>
    </row>
    <row r="44" customFormat="false" ht="53.25" hidden="false" customHeight="true" outlineLevel="0" collapsed="false">
      <c r="A44" s="132" t="s">
        <v>446</v>
      </c>
      <c r="B44" s="96" t="s">
        <v>224</v>
      </c>
      <c r="C44" s="96" t="s">
        <v>225</v>
      </c>
      <c r="D44" s="96" t="s">
        <v>16</v>
      </c>
      <c r="E44" s="97" t="s">
        <v>117</v>
      </c>
      <c r="F44" s="143" t="s">
        <v>97</v>
      </c>
      <c r="G44" s="13" t="s">
        <v>567</v>
      </c>
      <c r="H44" s="13" t="s">
        <v>581</v>
      </c>
      <c r="I44" s="96" t="s">
        <v>587</v>
      </c>
      <c r="J44" s="132" t="s">
        <v>21</v>
      </c>
      <c r="K44" s="134" t="n">
        <v>10</v>
      </c>
      <c r="L44" s="99" t="s">
        <v>97</v>
      </c>
      <c r="M44" s="106" t="s">
        <v>588</v>
      </c>
      <c r="N44" s="100"/>
    </row>
    <row r="45" customFormat="false" ht="137.25" hidden="false" customHeight="true" outlineLevel="0" collapsed="false">
      <c r="A45" s="132"/>
      <c r="B45" s="96"/>
      <c r="C45" s="96"/>
      <c r="D45" s="96"/>
      <c r="E45" s="97"/>
      <c r="F45" s="143"/>
      <c r="G45" s="13"/>
      <c r="H45" s="13"/>
      <c r="I45" s="96" t="s">
        <v>231</v>
      </c>
      <c r="J45" s="132" t="s">
        <v>40</v>
      </c>
      <c r="K45" s="134" t="n">
        <v>3.33</v>
      </c>
      <c r="L45" s="99" t="s">
        <v>97</v>
      </c>
      <c r="M45" s="106" t="s">
        <v>589</v>
      </c>
      <c r="N45" s="100"/>
    </row>
    <row r="46" customFormat="false" ht="186.75" hidden="false" customHeight="true" outlineLevel="0" collapsed="false">
      <c r="A46" s="132"/>
      <c r="B46" s="96"/>
      <c r="C46" s="96"/>
      <c r="D46" s="96"/>
      <c r="E46" s="97"/>
      <c r="F46" s="143"/>
      <c r="G46" s="13"/>
      <c r="H46" s="13"/>
      <c r="I46" s="96" t="s">
        <v>235</v>
      </c>
      <c r="J46" s="132" t="s">
        <v>40</v>
      </c>
      <c r="K46" s="134" t="n">
        <v>3.33</v>
      </c>
      <c r="L46" s="99" t="s">
        <v>97</v>
      </c>
      <c r="M46" s="125" t="s">
        <v>590</v>
      </c>
      <c r="N46" s="100"/>
    </row>
    <row r="47" customFormat="false" ht="180" hidden="false" customHeight="true" outlineLevel="0" collapsed="false">
      <c r="A47" s="132"/>
      <c r="B47" s="96"/>
      <c r="C47" s="96"/>
      <c r="D47" s="96"/>
      <c r="E47" s="97"/>
      <c r="F47" s="143"/>
      <c r="G47" s="13"/>
      <c r="H47" s="13"/>
      <c r="I47" s="96" t="s">
        <v>239</v>
      </c>
      <c r="J47" s="132" t="s">
        <v>40</v>
      </c>
      <c r="K47" s="134" t="n">
        <v>3.33</v>
      </c>
      <c r="L47" s="99" t="s">
        <v>97</v>
      </c>
      <c r="M47" s="106" t="s">
        <v>591</v>
      </c>
      <c r="N47" s="100"/>
    </row>
    <row r="48" customFormat="false" ht="271.5" hidden="false" customHeight="true" outlineLevel="0" collapsed="false">
      <c r="A48" s="132" t="s">
        <v>450</v>
      </c>
      <c r="B48" s="96" t="s">
        <v>242</v>
      </c>
      <c r="C48" s="96" t="s">
        <v>54</v>
      </c>
      <c r="D48" s="96" t="s">
        <v>16</v>
      </c>
      <c r="E48" s="97" t="s">
        <v>451</v>
      </c>
      <c r="F48" s="143" t="s">
        <v>97</v>
      </c>
      <c r="G48" s="13" t="s">
        <v>567</v>
      </c>
      <c r="H48" s="13" t="s">
        <v>581</v>
      </c>
      <c r="I48" s="96" t="s">
        <v>592</v>
      </c>
      <c r="J48" s="132" t="s">
        <v>21</v>
      </c>
      <c r="K48" s="134" t="n">
        <v>10</v>
      </c>
      <c r="L48" s="99" t="s">
        <v>97</v>
      </c>
      <c r="M48" s="109" t="s">
        <v>593</v>
      </c>
      <c r="N48" s="100"/>
    </row>
    <row r="49" customFormat="false" ht="96" hidden="false" customHeight="true" outlineLevel="0" collapsed="false">
      <c r="A49" s="95" t="s">
        <v>338</v>
      </c>
      <c r="B49" s="96" t="s">
        <v>137</v>
      </c>
      <c r="C49" s="96" t="s">
        <v>54</v>
      </c>
      <c r="D49" s="96" t="s">
        <v>16</v>
      </c>
      <c r="E49" s="97" t="s">
        <v>207</v>
      </c>
      <c r="F49" s="143" t="s">
        <v>97</v>
      </c>
      <c r="G49" s="13" t="s">
        <v>567</v>
      </c>
      <c r="H49" s="13" t="s">
        <v>248</v>
      </c>
      <c r="I49" s="96" t="s">
        <v>594</v>
      </c>
      <c r="J49" s="95" t="s">
        <v>21</v>
      </c>
      <c r="K49" s="98" t="n">
        <v>10</v>
      </c>
      <c r="L49" s="131" t="s">
        <v>97</v>
      </c>
      <c r="M49" s="106" t="s">
        <v>250</v>
      </c>
      <c r="N49" s="116"/>
    </row>
    <row r="50" customFormat="false" ht="50.25" hidden="false" customHeight="true" outlineLevel="0" collapsed="false">
      <c r="A50" s="95"/>
      <c r="B50" s="96"/>
      <c r="C50" s="96"/>
      <c r="D50" s="96"/>
      <c r="E50" s="97"/>
      <c r="F50" s="143"/>
      <c r="G50" s="13"/>
      <c r="H50" s="13"/>
      <c r="I50" s="102" t="s">
        <v>255</v>
      </c>
      <c r="J50" s="95" t="s">
        <v>21</v>
      </c>
      <c r="K50" s="144" t="n">
        <v>10</v>
      </c>
      <c r="L50" s="99" t="s">
        <v>97</v>
      </c>
      <c r="M50" s="145" t="s">
        <v>256</v>
      </c>
      <c r="N50" s="146"/>
    </row>
    <row r="51" customFormat="false" ht="153" hidden="false" customHeight="true" outlineLevel="0" collapsed="false">
      <c r="A51" s="95"/>
      <c r="B51" s="96"/>
      <c r="C51" s="96"/>
      <c r="D51" s="96"/>
      <c r="E51" s="97"/>
      <c r="F51" s="143"/>
      <c r="G51" s="13"/>
      <c r="H51" s="13"/>
      <c r="I51" s="106" t="s">
        <v>259</v>
      </c>
      <c r="J51" s="105" t="s">
        <v>40</v>
      </c>
      <c r="K51" s="142" t="n">
        <v>3.33</v>
      </c>
      <c r="L51" s="104" t="s">
        <v>97</v>
      </c>
      <c r="M51" s="127" t="s">
        <v>595</v>
      </c>
      <c r="N51" s="116"/>
    </row>
    <row r="52" customFormat="false" ht="19.5" hidden="false" customHeight="true" outlineLevel="0" collapsed="false">
      <c r="A52" s="95"/>
      <c r="B52" s="96"/>
      <c r="C52" s="96"/>
      <c r="D52" s="96"/>
      <c r="E52" s="97"/>
      <c r="F52" s="143"/>
      <c r="G52" s="13"/>
      <c r="H52" s="13"/>
      <c r="I52" s="106" t="s">
        <v>263</v>
      </c>
      <c r="J52" s="105" t="s">
        <v>264</v>
      </c>
      <c r="K52" s="142" t="n">
        <v>0.56</v>
      </c>
      <c r="L52" s="104" t="s">
        <v>97</v>
      </c>
      <c r="M52" s="106" t="s">
        <v>265</v>
      </c>
      <c r="N52" s="147"/>
    </row>
    <row r="53" customFormat="false" ht="19.5" hidden="false" customHeight="true" outlineLevel="0" collapsed="false">
      <c r="A53" s="95"/>
      <c r="B53" s="96"/>
      <c r="C53" s="96"/>
      <c r="D53" s="96"/>
      <c r="E53" s="97"/>
      <c r="F53" s="143"/>
      <c r="G53" s="13"/>
      <c r="H53" s="13"/>
      <c r="I53" s="106" t="s">
        <v>268</v>
      </c>
      <c r="J53" s="105" t="s">
        <v>269</v>
      </c>
      <c r="K53" s="142" t="n">
        <v>0.56</v>
      </c>
      <c r="L53" s="102" t="s">
        <v>97</v>
      </c>
      <c r="M53" s="106" t="s">
        <v>265</v>
      </c>
      <c r="N53" s="116"/>
    </row>
    <row r="54" customFormat="false" ht="22.5" hidden="false" customHeight="true" outlineLevel="0" collapsed="false">
      <c r="A54" s="95"/>
      <c r="B54" s="96"/>
      <c r="C54" s="96"/>
      <c r="D54" s="96"/>
      <c r="E54" s="97"/>
      <c r="F54" s="143"/>
      <c r="G54" s="13"/>
      <c r="H54" s="13"/>
      <c r="I54" s="106" t="s">
        <v>272</v>
      </c>
      <c r="J54" s="105" t="s">
        <v>273</v>
      </c>
      <c r="K54" s="107" t="n">
        <v>0.56</v>
      </c>
      <c r="L54" s="148" t="s">
        <v>97</v>
      </c>
      <c r="M54" s="106" t="s">
        <v>265</v>
      </c>
      <c r="N54" s="100"/>
    </row>
    <row r="55" customFormat="false" ht="79.5" hidden="false" customHeight="true" outlineLevel="0" collapsed="false">
      <c r="A55" s="95"/>
      <c r="B55" s="96"/>
      <c r="C55" s="96"/>
      <c r="D55" s="96"/>
      <c r="E55" s="97"/>
      <c r="F55" s="143"/>
      <c r="G55" s="13"/>
      <c r="H55" s="13"/>
      <c r="I55" s="106" t="s">
        <v>276</v>
      </c>
      <c r="J55" s="105" t="s">
        <v>40</v>
      </c>
      <c r="K55" s="107" t="n">
        <v>3.3</v>
      </c>
      <c r="L55" s="104" t="s">
        <v>97</v>
      </c>
      <c r="M55" s="106" t="s">
        <v>596</v>
      </c>
      <c r="N55" s="100"/>
    </row>
    <row r="56" customFormat="false" ht="19.5" hidden="false" customHeight="true" outlineLevel="0" collapsed="false">
      <c r="A56" s="95"/>
      <c r="B56" s="96"/>
      <c r="C56" s="96"/>
      <c r="D56" s="96"/>
      <c r="E56" s="97"/>
      <c r="F56" s="143"/>
      <c r="G56" s="13"/>
      <c r="H56" s="13"/>
      <c r="I56" s="106" t="s">
        <v>263</v>
      </c>
      <c r="J56" s="105" t="s">
        <v>264</v>
      </c>
      <c r="K56" s="107" t="n">
        <v>0.56</v>
      </c>
      <c r="L56" s="104" t="s">
        <v>97</v>
      </c>
      <c r="M56" s="106" t="s">
        <v>265</v>
      </c>
      <c r="N56" s="100"/>
    </row>
    <row r="57" customFormat="false" ht="19.5" hidden="false" customHeight="true" outlineLevel="0" collapsed="false">
      <c r="A57" s="95"/>
      <c r="B57" s="96"/>
      <c r="C57" s="96"/>
      <c r="D57" s="96"/>
      <c r="E57" s="97"/>
      <c r="F57" s="143"/>
      <c r="G57" s="13"/>
      <c r="H57" s="13"/>
      <c r="I57" s="106" t="s">
        <v>268</v>
      </c>
      <c r="J57" s="105" t="s">
        <v>269</v>
      </c>
      <c r="K57" s="107" t="n">
        <v>0.56</v>
      </c>
      <c r="L57" s="104" t="s">
        <v>97</v>
      </c>
      <c r="M57" s="106" t="s">
        <v>265</v>
      </c>
      <c r="N57" s="100"/>
    </row>
    <row r="58" customFormat="false" ht="27" hidden="false" customHeight="true" outlineLevel="0" collapsed="false">
      <c r="A58" s="95"/>
      <c r="B58" s="96"/>
      <c r="C58" s="96"/>
      <c r="D58" s="96"/>
      <c r="E58" s="97"/>
      <c r="F58" s="143"/>
      <c r="G58" s="13"/>
      <c r="H58" s="13"/>
      <c r="I58" s="106" t="s">
        <v>272</v>
      </c>
      <c r="J58" s="105" t="s">
        <v>273</v>
      </c>
      <c r="K58" s="107" t="n">
        <v>0.56</v>
      </c>
      <c r="L58" s="104" t="s">
        <v>97</v>
      </c>
      <c r="M58" s="106" t="s">
        <v>265</v>
      </c>
      <c r="N58" s="100"/>
    </row>
    <row r="59" customFormat="false" ht="87" hidden="false" customHeight="true" outlineLevel="0" collapsed="false">
      <c r="A59" s="95"/>
      <c r="B59" s="96"/>
      <c r="C59" s="96"/>
      <c r="D59" s="96"/>
      <c r="E59" s="97"/>
      <c r="F59" s="143"/>
      <c r="G59" s="13"/>
      <c r="H59" s="13"/>
      <c r="I59" s="106" t="s">
        <v>286</v>
      </c>
      <c r="J59" s="105" t="s">
        <v>40</v>
      </c>
      <c r="K59" s="107" t="n">
        <v>3.3</v>
      </c>
      <c r="L59" s="104" t="s">
        <v>97</v>
      </c>
      <c r="M59" s="106" t="s">
        <v>287</v>
      </c>
      <c r="N59" s="100"/>
    </row>
    <row r="60" customFormat="false" ht="19.5" hidden="false" customHeight="true" outlineLevel="0" collapsed="false">
      <c r="A60" s="95"/>
      <c r="B60" s="96"/>
      <c r="C60" s="96"/>
      <c r="D60" s="96"/>
      <c r="E60" s="97"/>
      <c r="F60" s="143"/>
      <c r="G60" s="13"/>
      <c r="H60" s="13"/>
      <c r="I60" s="106" t="s">
        <v>263</v>
      </c>
      <c r="J60" s="105" t="s">
        <v>264</v>
      </c>
      <c r="K60" s="107" t="n">
        <v>0.56</v>
      </c>
      <c r="L60" s="104" t="s">
        <v>97</v>
      </c>
      <c r="M60" s="106" t="s">
        <v>265</v>
      </c>
      <c r="N60" s="100"/>
    </row>
    <row r="61" customFormat="false" ht="19.5" hidden="false" customHeight="true" outlineLevel="0" collapsed="false">
      <c r="A61" s="95"/>
      <c r="B61" s="96"/>
      <c r="C61" s="96"/>
      <c r="D61" s="96"/>
      <c r="E61" s="97"/>
      <c r="F61" s="143"/>
      <c r="G61" s="13"/>
      <c r="H61" s="13"/>
      <c r="I61" s="106" t="s">
        <v>268</v>
      </c>
      <c r="J61" s="105" t="s">
        <v>269</v>
      </c>
      <c r="K61" s="107" t="n">
        <v>0.56</v>
      </c>
      <c r="L61" s="104" t="s">
        <v>97</v>
      </c>
      <c r="M61" s="106" t="s">
        <v>265</v>
      </c>
      <c r="N61" s="100"/>
    </row>
    <row r="62" customFormat="false" ht="30.75" hidden="false" customHeight="true" outlineLevel="0" collapsed="false">
      <c r="A62" s="95"/>
      <c r="B62" s="96"/>
      <c r="C62" s="96"/>
      <c r="D62" s="96"/>
      <c r="E62" s="97"/>
      <c r="F62" s="143"/>
      <c r="G62" s="13"/>
      <c r="H62" s="13"/>
      <c r="I62" s="106" t="s">
        <v>272</v>
      </c>
      <c r="J62" s="105" t="s">
        <v>273</v>
      </c>
      <c r="K62" s="107" t="n">
        <v>0.56</v>
      </c>
      <c r="L62" s="104" t="s">
        <v>97</v>
      </c>
      <c r="M62" s="106" t="s">
        <v>265</v>
      </c>
      <c r="N62" s="100"/>
    </row>
    <row r="63" customFormat="false" ht="50.25" hidden="false" customHeight="true" outlineLevel="0" collapsed="false">
      <c r="A63" s="95" t="s">
        <v>375</v>
      </c>
      <c r="B63" s="96" t="s">
        <v>118</v>
      </c>
      <c r="C63" s="96" t="s">
        <v>54</v>
      </c>
      <c r="D63" s="96" t="s">
        <v>16</v>
      </c>
      <c r="E63" s="97" t="s">
        <v>224</v>
      </c>
      <c r="F63" s="143" t="s">
        <v>97</v>
      </c>
      <c r="G63" s="13" t="s">
        <v>253</v>
      </c>
      <c r="H63" s="13" t="s">
        <v>296</v>
      </c>
      <c r="I63" s="102" t="s">
        <v>297</v>
      </c>
      <c r="J63" s="95" t="s">
        <v>21</v>
      </c>
      <c r="K63" s="98" t="n">
        <v>10</v>
      </c>
      <c r="L63" s="104" t="s">
        <v>97</v>
      </c>
      <c r="M63" s="106" t="s">
        <v>54</v>
      </c>
      <c r="N63" s="100"/>
    </row>
    <row r="64" customFormat="false" ht="96" hidden="false" customHeight="true" outlineLevel="0" collapsed="false">
      <c r="A64" s="105" t="s">
        <v>379</v>
      </c>
      <c r="B64" s="106" t="s">
        <v>216</v>
      </c>
      <c r="C64" s="106" t="s">
        <v>54</v>
      </c>
      <c r="D64" s="96" t="s">
        <v>16</v>
      </c>
      <c r="E64" s="97" t="s">
        <v>380</v>
      </c>
      <c r="F64" s="143" t="s">
        <v>97</v>
      </c>
      <c r="G64" s="13" t="s">
        <v>253</v>
      </c>
      <c r="H64" s="13" t="s">
        <v>296</v>
      </c>
      <c r="I64" s="106" t="s">
        <v>300</v>
      </c>
      <c r="J64" s="105" t="s">
        <v>40</v>
      </c>
      <c r="K64" s="98" t="n">
        <v>3.33</v>
      </c>
      <c r="L64" s="99" t="s">
        <v>97</v>
      </c>
      <c r="M64" s="106" t="s">
        <v>597</v>
      </c>
      <c r="N64" s="100" t="s">
        <v>302</v>
      </c>
    </row>
    <row r="65" customFormat="false" ht="141" hidden="false" customHeight="true" outlineLevel="0" collapsed="false">
      <c r="A65" s="105" t="s">
        <v>383</v>
      </c>
      <c r="B65" s="106" t="s">
        <v>220</v>
      </c>
      <c r="C65" s="106" t="s">
        <v>54</v>
      </c>
      <c r="D65" s="96" t="s">
        <v>16</v>
      </c>
      <c r="E65" s="97" t="s">
        <v>384</v>
      </c>
      <c r="F65" s="143" t="s">
        <v>97</v>
      </c>
      <c r="G65" s="13" t="s">
        <v>253</v>
      </c>
      <c r="H65" s="13" t="s">
        <v>296</v>
      </c>
      <c r="I65" s="106" t="s">
        <v>305</v>
      </c>
      <c r="J65" s="105" t="s">
        <v>40</v>
      </c>
      <c r="K65" s="98" t="n">
        <v>3.33</v>
      </c>
      <c r="L65" s="99" t="s">
        <v>97</v>
      </c>
      <c r="M65" s="106" t="s">
        <v>598</v>
      </c>
      <c r="N65" s="100"/>
    </row>
    <row r="66" customFormat="false" ht="30" hidden="false" customHeight="true" outlineLevel="0" collapsed="false">
      <c r="A66" s="105" t="s">
        <v>599</v>
      </c>
      <c r="B66" s="106" t="s">
        <v>54</v>
      </c>
      <c r="C66" s="106" t="s">
        <v>54</v>
      </c>
      <c r="D66" s="96" t="s">
        <v>16</v>
      </c>
      <c r="E66" s="97" t="s">
        <v>600</v>
      </c>
      <c r="F66" s="143" t="s">
        <v>97</v>
      </c>
      <c r="G66" s="13" t="s">
        <v>253</v>
      </c>
      <c r="H66" s="13" t="s">
        <v>296</v>
      </c>
      <c r="I66" s="106" t="s">
        <v>286</v>
      </c>
      <c r="J66" s="105" t="s">
        <v>40</v>
      </c>
      <c r="K66" s="98" t="n">
        <v>3.33</v>
      </c>
      <c r="L66" s="104" t="s">
        <v>97</v>
      </c>
      <c r="M66" s="106" t="s">
        <v>601</v>
      </c>
      <c r="N66" s="100"/>
    </row>
    <row r="67" customFormat="false" ht="37.5" hidden="false" customHeight="true" outlineLevel="0" collapsed="false">
      <c r="A67" s="95" t="s">
        <v>387</v>
      </c>
      <c r="B67" s="96" t="s">
        <v>226</v>
      </c>
      <c r="C67" s="96" t="s">
        <v>54</v>
      </c>
      <c r="D67" s="96" t="s">
        <v>16</v>
      </c>
      <c r="E67" s="97" t="s">
        <v>388</v>
      </c>
      <c r="F67" s="143" t="s">
        <v>97</v>
      </c>
      <c r="G67" s="13" t="s">
        <v>253</v>
      </c>
      <c r="H67" s="13" t="s">
        <v>312</v>
      </c>
      <c r="I67" s="102" t="s">
        <v>313</v>
      </c>
      <c r="J67" s="95" t="s">
        <v>21</v>
      </c>
      <c r="K67" s="98" t="n">
        <v>10</v>
      </c>
      <c r="L67" s="99" t="s">
        <v>97</v>
      </c>
      <c r="M67" s="106" t="s">
        <v>54</v>
      </c>
      <c r="N67" s="100"/>
    </row>
    <row r="68" customFormat="false" ht="207" hidden="false" customHeight="true" outlineLevel="0" collapsed="false">
      <c r="A68" s="95" t="s">
        <v>391</v>
      </c>
      <c r="B68" s="96" t="s">
        <v>54</v>
      </c>
      <c r="C68" s="96" t="s">
        <v>54</v>
      </c>
      <c r="D68" s="96" t="s">
        <v>16</v>
      </c>
      <c r="E68" s="97" t="s">
        <v>392</v>
      </c>
      <c r="F68" s="143" t="s">
        <v>97</v>
      </c>
      <c r="G68" s="13" t="s">
        <v>253</v>
      </c>
      <c r="H68" s="13" t="s">
        <v>312</v>
      </c>
      <c r="I68" s="106" t="s">
        <v>316</v>
      </c>
      <c r="J68" s="105" t="s">
        <v>40</v>
      </c>
      <c r="K68" s="98" t="n">
        <v>3.33</v>
      </c>
      <c r="L68" s="104" t="s">
        <v>97</v>
      </c>
      <c r="M68" s="106" t="s">
        <v>602</v>
      </c>
      <c r="N68" s="100"/>
    </row>
    <row r="69" customFormat="false" ht="143.25" hidden="false" customHeight="true" outlineLevel="0" collapsed="false">
      <c r="A69" s="95" t="s">
        <v>395</v>
      </c>
      <c r="B69" s="96" t="s">
        <v>54</v>
      </c>
      <c r="C69" s="96" t="s">
        <v>54</v>
      </c>
      <c r="D69" s="96" t="s">
        <v>16</v>
      </c>
      <c r="E69" s="97" t="s">
        <v>396</v>
      </c>
      <c r="F69" s="143" t="s">
        <v>97</v>
      </c>
      <c r="G69" s="13" t="s">
        <v>253</v>
      </c>
      <c r="H69" s="13" t="s">
        <v>312</v>
      </c>
      <c r="I69" s="106" t="s">
        <v>305</v>
      </c>
      <c r="J69" s="105" t="s">
        <v>40</v>
      </c>
      <c r="K69" s="98" t="n">
        <v>3.33</v>
      </c>
      <c r="L69" s="104" t="s">
        <v>97</v>
      </c>
      <c r="M69" s="106" t="s">
        <v>320</v>
      </c>
      <c r="N69" s="100"/>
    </row>
    <row r="70" customFormat="false" ht="159.75" hidden="false" customHeight="true" outlineLevel="0" collapsed="false">
      <c r="A70" s="95" t="s">
        <v>603</v>
      </c>
      <c r="B70" s="96" t="s">
        <v>54</v>
      </c>
      <c r="C70" s="96" t="s">
        <v>54</v>
      </c>
      <c r="D70" s="96" t="s">
        <v>16</v>
      </c>
      <c r="E70" s="97" t="s">
        <v>604</v>
      </c>
      <c r="F70" s="143" t="s">
        <v>97</v>
      </c>
      <c r="G70" s="13" t="s">
        <v>253</v>
      </c>
      <c r="H70" s="13" t="s">
        <v>312</v>
      </c>
      <c r="I70" s="106" t="s">
        <v>286</v>
      </c>
      <c r="J70" s="105" t="s">
        <v>40</v>
      </c>
      <c r="K70" s="98" t="n">
        <v>3.33</v>
      </c>
      <c r="L70" s="104" t="s">
        <v>97</v>
      </c>
      <c r="M70" s="106" t="s">
        <v>323</v>
      </c>
      <c r="N70" s="100"/>
    </row>
    <row r="71" customFormat="false" ht="37.5" hidden="false" customHeight="true" outlineLevel="0" collapsed="false">
      <c r="A71" s="95" t="s">
        <v>400</v>
      </c>
      <c r="B71" s="96" t="s">
        <v>54</v>
      </c>
      <c r="C71" s="96" t="s">
        <v>54</v>
      </c>
      <c r="D71" s="96" t="s">
        <v>16</v>
      </c>
      <c r="E71" s="97" t="s">
        <v>401</v>
      </c>
      <c r="F71" s="143" t="s">
        <v>97</v>
      </c>
      <c r="G71" s="13" t="s">
        <v>253</v>
      </c>
      <c r="H71" s="13" t="s">
        <v>326</v>
      </c>
      <c r="I71" s="102" t="s">
        <v>327</v>
      </c>
      <c r="J71" s="95" t="s">
        <v>21</v>
      </c>
      <c r="K71" s="98" t="n">
        <v>10</v>
      </c>
      <c r="L71" s="104" t="s">
        <v>97</v>
      </c>
      <c r="M71" s="106" t="s">
        <v>54</v>
      </c>
      <c r="N71" s="100"/>
    </row>
    <row r="72" customFormat="false" ht="203.25" hidden="false" customHeight="true" outlineLevel="0" collapsed="false">
      <c r="A72" s="95" t="s">
        <v>605</v>
      </c>
      <c r="B72" s="96" t="s">
        <v>54</v>
      </c>
      <c r="C72" s="96" t="s">
        <v>54</v>
      </c>
      <c r="D72" s="96" t="s">
        <v>16</v>
      </c>
      <c r="E72" s="97" t="s">
        <v>606</v>
      </c>
      <c r="F72" s="143" t="s">
        <v>97</v>
      </c>
      <c r="G72" s="13" t="s">
        <v>253</v>
      </c>
      <c r="H72" s="13" t="s">
        <v>326</v>
      </c>
      <c r="I72" s="106" t="s">
        <v>330</v>
      </c>
      <c r="J72" s="105" t="s">
        <v>40</v>
      </c>
      <c r="K72" s="98" t="n">
        <v>3.3</v>
      </c>
      <c r="L72" s="99" t="s">
        <v>97</v>
      </c>
      <c r="M72" s="106" t="s">
        <v>607</v>
      </c>
      <c r="N72" s="100"/>
    </row>
    <row r="73" customFormat="false" ht="190.5" hidden="false" customHeight="true" outlineLevel="0" collapsed="false">
      <c r="A73" s="95" t="s">
        <v>608</v>
      </c>
      <c r="B73" s="96" t="s">
        <v>54</v>
      </c>
      <c r="C73" s="96" t="s">
        <v>54</v>
      </c>
      <c r="D73" s="96" t="s">
        <v>16</v>
      </c>
      <c r="E73" s="97" t="s">
        <v>609</v>
      </c>
      <c r="F73" s="143" t="s">
        <v>97</v>
      </c>
      <c r="G73" s="13" t="s">
        <v>253</v>
      </c>
      <c r="H73" s="13" t="s">
        <v>326</v>
      </c>
      <c r="I73" s="106" t="s">
        <v>305</v>
      </c>
      <c r="J73" s="105" t="s">
        <v>40</v>
      </c>
      <c r="K73" s="98" t="n">
        <v>3.3</v>
      </c>
      <c r="L73" s="99" t="s">
        <v>97</v>
      </c>
      <c r="M73" s="106" t="s">
        <v>334</v>
      </c>
      <c r="N73" s="100"/>
    </row>
    <row r="74" customFormat="false" ht="50.25" hidden="false" customHeight="true" outlineLevel="0" collapsed="false">
      <c r="A74" s="95" t="s">
        <v>610</v>
      </c>
      <c r="B74" s="96" t="s">
        <v>54</v>
      </c>
      <c r="C74" s="96" t="s">
        <v>54</v>
      </c>
      <c r="D74" s="96" t="s">
        <v>16</v>
      </c>
      <c r="E74" s="97" t="s">
        <v>611</v>
      </c>
      <c r="F74" s="143" t="s">
        <v>97</v>
      </c>
      <c r="G74" s="13" t="s">
        <v>253</v>
      </c>
      <c r="H74" s="13" t="s">
        <v>326</v>
      </c>
      <c r="I74" s="106" t="s">
        <v>286</v>
      </c>
      <c r="J74" s="105" t="s">
        <v>40</v>
      </c>
      <c r="K74" s="98" t="n">
        <v>3.3</v>
      </c>
      <c r="L74" s="99" t="s">
        <v>97</v>
      </c>
      <c r="M74" s="106" t="s">
        <v>337</v>
      </c>
      <c r="N74" s="100"/>
    </row>
    <row r="75" customFormat="false" ht="50.25" hidden="false" customHeight="true" outlineLevel="0" collapsed="false">
      <c r="A75" s="95"/>
      <c r="B75" s="96"/>
      <c r="C75" s="96"/>
      <c r="D75" s="96"/>
      <c r="E75" s="97"/>
      <c r="F75" s="97" t="s">
        <v>97</v>
      </c>
      <c r="G75" s="13" t="s">
        <v>339</v>
      </c>
      <c r="H75" s="13" t="s">
        <v>339</v>
      </c>
      <c r="I75" s="149" t="s">
        <v>340</v>
      </c>
      <c r="J75" s="105" t="s">
        <v>21</v>
      </c>
      <c r="K75" s="98" t="n">
        <v>10</v>
      </c>
      <c r="L75" s="99" t="s">
        <v>97</v>
      </c>
      <c r="M75" s="106" t="s">
        <v>256</v>
      </c>
      <c r="N75" s="100"/>
    </row>
    <row r="76" customFormat="false" ht="50.25" hidden="false" customHeight="true" outlineLevel="0" collapsed="false">
      <c r="A76" s="95"/>
      <c r="B76" s="96"/>
      <c r="C76" s="96"/>
      <c r="D76" s="96"/>
      <c r="E76" s="97"/>
      <c r="F76" s="97" t="s">
        <v>97</v>
      </c>
      <c r="G76" s="13" t="s">
        <v>339</v>
      </c>
      <c r="H76" s="13" t="s">
        <v>339</v>
      </c>
      <c r="I76" s="150" t="s">
        <v>343</v>
      </c>
      <c r="J76" s="105" t="s">
        <v>40</v>
      </c>
      <c r="K76" s="98" t="n">
        <v>5</v>
      </c>
      <c r="L76" s="99" t="s">
        <v>97</v>
      </c>
      <c r="M76" s="106" t="s">
        <v>344</v>
      </c>
      <c r="N76" s="100" t="s">
        <v>345</v>
      </c>
    </row>
    <row r="77" customFormat="false" ht="50.25" hidden="false" customHeight="true" outlineLevel="0" collapsed="false">
      <c r="A77" s="95"/>
      <c r="B77" s="96"/>
      <c r="C77" s="96"/>
      <c r="D77" s="96"/>
      <c r="E77" s="97"/>
      <c r="F77" s="97" t="s">
        <v>97</v>
      </c>
      <c r="G77" s="13" t="s">
        <v>339</v>
      </c>
      <c r="H77" s="13" t="s">
        <v>339</v>
      </c>
      <c r="I77" s="106" t="s">
        <v>348</v>
      </c>
      <c r="J77" s="105" t="s">
        <v>40</v>
      </c>
      <c r="K77" s="98" t="n">
        <v>5</v>
      </c>
      <c r="L77" s="99" t="s">
        <v>97</v>
      </c>
      <c r="M77" s="106" t="s">
        <v>349</v>
      </c>
      <c r="N77" s="100" t="s">
        <v>350</v>
      </c>
    </row>
    <row r="78" customFormat="false" ht="47.25" hidden="false" customHeight="true" outlineLevel="0" collapsed="false">
      <c r="A78" s="132" t="s">
        <v>310</v>
      </c>
      <c r="B78" s="151" t="s">
        <v>54</v>
      </c>
      <c r="C78" s="151" t="s">
        <v>54</v>
      </c>
      <c r="D78" s="151" t="s">
        <v>16</v>
      </c>
      <c r="E78" s="97" t="s">
        <v>311</v>
      </c>
      <c r="F78" s="97" t="s">
        <v>97</v>
      </c>
      <c r="G78" s="13" t="s">
        <v>339</v>
      </c>
      <c r="H78" s="13" t="s">
        <v>339</v>
      </c>
      <c r="I78" s="102" t="s">
        <v>352</v>
      </c>
      <c r="J78" s="132" t="s">
        <v>21</v>
      </c>
      <c r="K78" s="134" t="n">
        <v>10</v>
      </c>
      <c r="L78" s="152" t="s">
        <v>97</v>
      </c>
      <c r="M78" s="106" t="s">
        <v>353</v>
      </c>
      <c r="N78" s="100"/>
    </row>
    <row r="79" customFormat="false" ht="138" hidden="false" customHeight="true" outlineLevel="0" collapsed="false">
      <c r="A79" s="132" t="s">
        <v>314</v>
      </c>
      <c r="B79" s="151" t="s">
        <v>54</v>
      </c>
      <c r="C79" s="151" t="s">
        <v>54</v>
      </c>
      <c r="D79" s="151" t="s">
        <v>16</v>
      </c>
      <c r="E79" s="97" t="s">
        <v>315</v>
      </c>
      <c r="F79" s="97" t="s">
        <v>97</v>
      </c>
      <c r="G79" s="13" t="s">
        <v>339</v>
      </c>
      <c r="H79" s="13" t="s">
        <v>356</v>
      </c>
      <c r="I79" s="40" t="s">
        <v>357</v>
      </c>
      <c r="J79" s="132" t="s">
        <v>40</v>
      </c>
      <c r="K79" s="134" t="n">
        <v>2.5</v>
      </c>
      <c r="L79" s="152" t="s">
        <v>97</v>
      </c>
      <c r="M79" s="106" t="s">
        <v>612</v>
      </c>
      <c r="N79" s="100"/>
    </row>
    <row r="80" customFormat="false" ht="147" hidden="false" customHeight="true" outlineLevel="0" collapsed="false">
      <c r="A80" s="132" t="s">
        <v>318</v>
      </c>
      <c r="B80" s="151" t="s">
        <v>54</v>
      </c>
      <c r="C80" s="151" t="s">
        <v>54</v>
      </c>
      <c r="D80" s="151" t="s">
        <v>16</v>
      </c>
      <c r="E80" s="97" t="s">
        <v>319</v>
      </c>
      <c r="F80" s="97" t="s">
        <v>97</v>
      </c>
      <c r="G80" s="13" t="s">
        <v>361</v>
      </c>
      <c r="H80" s="13" t="s">
        <v>362</v>
      </c>
      <c r="I80" s="21" t="s">
        <v>363</v>
      </c>
      <c r="J80" s="132" t="s">
        <v>40</v>
      </c>
      <c r="K80" s="134" t="n">
        <v>2.5</v>
      </c>
      <c r="L80" s="152" t="s">
        <v>97</v>
      </c>
      <c r="M80" s="106" t="s">
        <v>613</v>
      </c>
      <c r="N80" s="100"/>
    </row>
    <row r="81" customFormat="false" ht="102.75" hidden="false" customHeight="true" outlineLevel="0" collapsed="false">
      <c r="A81" s="132" t="s">
        <v>321</v>
      </c>
      <c r="B81" s="151" t="s">
        <v>54</v>
      </c>
      <c r="C81" s="151" t="s">
        <v>54</v>
      </c>
      <c r="D81" s="151" t="s">
        <v>16</v>
      </c>
      <c r="E81" s="97" t="s">
        <v>322</v>
      </c>
      <c r="F81" s="97" t="s">
        <v>97</v>
      </c>
      <c r="G81" s="13" t="s">
        <v>361</v>
      </c>
      <c r="H81" s="13" t="s">
        <v>367</v>
      </c>
      <c r="I81" s="40" t="s">
        <v>614</v>
      </c>
      <c r="J81" s="132" t="s">
        <v>40</v>
      </c>
      <c r="K81" s="134" t="n">
        <v>2.5</v>
      </c>
      <c r="L81" s="152" t="s">
        <v>97</v>
      </c>
      <c r="M81" s="106" t="s">
        <v>615</v>
      </c>
      <c r="N81" s="100"/>
    </row>
    <row r="82" customFormat="false" ht="107.25" hidden="false" customHeight="true" outlineLevel="0" collapsed="false">
      <c r="A82" s="132" t="s">
        <v>616</v>
      </c>
      <c r="B82" s="151" t="s">
        <v>54</v>
      </c>
      <c r="C82" s="151" t="s">
        <v>54</v>
      </c>
      <c r="D82" s="151" t="s">
        <v>16</v>
      </c>
      <c r="E82" s="97" t="s">
        <v>617</v>
      </c>
      <c r="F82" s="97" t="s">
        <v>97</v>
      </c>
      <c r="G82" s="13" t="s">
        <v>361</v>
      </c>
      <c r="H82" s="13" t="s">
        <v>372</v>
      </c>
      <c r="I82" s="40" t="s">
        <v>373</v>
      </c>
      <c r="J82" s="132" t="s">
        <v>40</v>
      </c>
      <c r="K82" s="134" t="n">
        <v>2.5</v>
      </c>
      <c r="L82" s="152" t="s">
        <v>97</v>
      </c>
      <c r="M82" s="106" t="s">
        <v>618</v>
      </c>
      <c r="N82" s="100"/>
    </row>
    <row r="83" customFormat="false" ht="33" hidden="false" customHeight="true" outlineLevel="0" collapsed="false">
      <c r="A83" s="95" t="s">
        <v>461</v>
      </c>
      <c r="B83" s="96" t="s">
        <v>252</v>
      </c>
      <c r="C83" s="96" t="s">
        <v>132</v>
      </c>
      <c r="D83" s="96" t="s">
        <v>16</v>
      </c>
      <c r="E83" s="97" t="s">
        <v>462</v>
      </c>
      <c r="F83" s="143" t="s">
        <v>97</v>
      </c>
      <c r="G83" s="119"/>
      <c r="H83" s="13" t="s">
        <v>377</v>
      </c>
      <c r="I83" s="102" t="s">
        <v>378</v>
      </c>
      <c r="J83" s="95" t="s">
        <v>21</v>
      </c>
      <c r="K83" s="98" t="n">
        <v>10</v>
      </c>
      <c r="L83" s="99" t="s">
        <v>22</v>
      </c>
      <c r="M83" s="21" t="s">
        <v>256</v>
      </c>
      <c r="N83" s="100"/>
    </row>
    <row r="84" customFormat="false" ht="246" hidden="false" customHeight="true" outlineLevel="0" collapsed="false">
      <c r="A84" s="95" t="s">
        <v>619</v>
      </c>
      <c r="B84" s="96" t="s">
        <v>54</v>
      </c>
      <c r="C84" s="96" t="s">
        <v>54</v>
      </c>
      <c r="D84" s="96" t="s">
        <v>16</v>
      </c>
      <c r="E84" s="97" t="s">
        <v>620</v>
      </c>
      <c r="F84" s="143" t="s">
        <v>97</v>
      </c>
      <c r="G84" s="13" t="s">
        <v>376</v>
      </c>
      <c r="H84" s="13" t="s">
        <v>377</v>
      </c>
      <c r="I84" s="106" t="s">
        <v>381</v>
      </c>
      <c r="J84" s="95" t="s">
        <v>40</v>
      </c>
      <c r="K84" s="98" t="n">
        <v>5</v>
      </c>
      <c r="L84" s="104" t="s">
        <v>22</v>
      </c>
      <c r="M84" s="106" t="s">
        <v>382</v>
      </c>
      <c r="N84" s="100"/>
    </row>
    <row r="85" customFormat="false" ht="391.5" hidden="false" customHeight="true" outlineLevel="0" collapsed="false">
      <c r="A85" s="95" t="s">
        <v>621</v>
      </c>
      <c r="B85" s="96" t="s">
        <v>54</v>
      </c>
      <c r="C85" s="96" t="s">
        <v>54</v>
      </c>
      <c r="D85" s="96" t="s">
        <v>16</v>
      </c>
      <c r="E85" s="97" t="s">
        <v>622</v>
      </c>
      <c r="F85" s="143" t="s">
        <v>97</v>
      </c>
      <c r="G85" s="13" t="s">
        <v>376</v>
      </c>
      <c r="H85" s="13" t="s">
        <v>377</v>
      </c>
      <c r="I85" s="106" t="s">
        <v>385</v>
      </c>
      <c r="J85" s="95" t="s">
        <v>40</v>
      </c>
      <c r="K85" s="98" t="n">
        <v>5</v>
      </c>
      <c r="L85" s="104" t="s">
        <v>97</v>
      </c>
      <c r="M85" s="106" t="s">
        <v>386</v>
      </c>
      <c r="N85" s="100"/>
    </row>
    <row r="86" customFormat="false" ht="37.5" hidden="false" customHeight="true" outlineLevel="0" collapsed="false">
      <c r="A86" s="95" t="s">
        <v>467</v>
      </c>
      <c r="B86" s="96" t="s">
        <v>54</v>
      </c>
      <c r="C86" s="96" t="s">
        <v>54</v>
      </c>
      <c r="D86" s="96" t="s">
        <v>16</v>
      </c>
      <c r="E86" s="97" t="s">
        <v>468</v>
      </c>
      <c r="F86" s="143" t="s">
        <v>97</v>
      </c>
      <c r="G86" s="13" t="s">
        <v>376</v>
      </c>
      <c r="H86" s="13" t="s">
        <v>389</v>
      </c>
      <c r="I86" s="96" t="s">
        <v>390</v>
      </c>
      <c r="J86" s="101" t="s">
        <v>21</v>
      </c>
      <c r="K86" s="103" t="n">
        <v>10</v>
      </c>
      <c r="L86" s="104" t="s">
        <v>97</v>
      </c>
      <c r="M86" s="106" t="s">
        <v>256</v>
      </c>
      <c r="N86" s="100"/>
    </row>
    <row r="87" customFormat="false" ht="37.5" hidden="false" customHeight="true" outlineLevel="0" collapsed="false">
      <c r="A87" s="95" t="s">
        <v>471</v>
      </c>
      <c r="B87" s="96" t="s">
        <v>54</v>
      </c>
      <c r="C87" s="96" t="s">
        <v>54</v>
      </c>
      <c r="D87" s="96" t="s">
        <v>16</v>
      </c>
      <c r="E87" s="97" t="s">
        <v>472</v>
      </c>
      <c r="F87" s="143" t="s">
        <v>97</v>
      </c>
      <c r="G87" s="13" t="s">
        <v>376</v>
      </c>
      <c r="H87" s="13" t="s">
        <v>389</v>
      </c>
      <c r="I87" s="96" t="s">
        <v>393</v>
      </c>
      <c r="J87" s="95" t="s">
        <v>40</v>
      </c>
      <c r="K87" s="98" t="n">
        <v>5</v>
      </c>
      <c r="L87" s="99" t="s">
        <v>22</v>
      </c>
      <c r="M87" s="106" t="s">
        <v>394</v>
      </c>
      <c r="N87" s="100"/>
    </row>
    <row r="88" customFormat="false" ht="36" hidden="false" customHeight="true" outlineLevel="0" collapsed="false">
      <c r="A88" s="95" t="s">
        <v>475</v>
      </c>
      <c r="B88" s="96" t="s">
        <v>54</v>
      </c>
      <c r="C88" s="96" t="s">
        <v>54</v>
      </c>
      <c r="D88" s="96" t="s">
        <v>16</v>
      </c>
      <c r="E88" s="97" t="s">
        <v>476</v>
      </c>
      <c r="F88" s="143" t="s">
        <v>97</v>
      </c>
      <c r="G88" s="13" t="s">
        <v>376</v>
      </c>
      <c r="H88" s="13" t="s">
        <v>389</v>
      </c>
      <c r="I88" s="96" t="s">
        <v>397</v>
      </c>
      <c r="J88" s="95" t="s">
        <v>40</v>
      </c>
      <c r="K88" s="98" t="n">
        <v>5</v>
      </c>
      <c r="L88" s="99" t="s">
        <v>97</v>
      </c>
      <c r="M88" s="106" t="s">
        <v>623</v>
      </c>
      <c r="N88" s="100"/>
    </row>
    <row r="89" customFormat="false" ht="32.25" hidden="false" customHeight="true" outlineLevel="0" collapsed="false">
      <c r="A89" s="132" t="s">
        <v>191</v>
      </c>
      <c r="B89" s="138" t="s">
        <v>54</v>
      </c>
      <c r="C89" s="138" t="s">
        <v>54</v>
      </c>
      <c r="D89" s="138" t="s">
        <v>16</v>
      </c>
      <c r="E89" s="97" t="s">
        <v>79</v>
      </c>
      <c r="F89" s="143" t="s">
        <v>97</v>
      </c>
      <c r="G89" s="13" t="s">
        <v>402</v>
      </c>
      <c r="H89" s="13" t="s">
        <v>403</v>
      </c>
      <c r="I89" s="153" t="s">
        <v>404</v>
      </c>
      <c r="J89" s="154" t="s">
        <v>21</v>
      </c>
      <c r="K89" s="155" t="n">
        <v>10</v>
      </c>
      <c r="L89" s="152" t="s">
        <v>405</v>
      </c>
      <c r="M89" s="96" t="s">
        <v>406</v>
      </c>
      <c r="N89" s="100"/>
    </row>
    <row r="90" s="167" customFormat="true" ht="201.75" hidden="false" customHeight="true" outlineLevel="0" collapsed="false">
      <c r="A90" s="156" t="s">
        <v>201</v>
      </c>
      <c r="B90" s="157"/>
      <c r="C90" s="157"/>
      <c r="D90" s="157" t="s">
        <v>16</v>
      </c>
      <c r="E90" s="158" t="s">
        <v>202</v>
      </c>
      <c r="F90" s="159" t="s">
        <v>97</v>
      </c>
      <c r="G90" s="160" t="s">
        <v>402</v>
      </c>
      <c r="H90" s="160" t="s">
        <v>409</v>
      </c>
      <c r="I90" s="161" t="s">
        <v>624</v>
      </c>
      <c r="J90" s="162" t="s">
        <v>21</v>
      </c>
      <c r="K90" s="163" t="n">
        <v>10</v>
      </c>
      <c r="L90" s="164" t="s">
        <v>405</v>
      </c>
      <c r="M90" s="165" t="s">
        <v>437</v>
      </c>
      <c r="N90" s="166"/>
    </row>
    <row r="91" s="167" customFormat="true" ht="108" hidden="false" customHeight="true" outlineLevel="0" collapsed="false">
      <c r="A91" s="156"/>
      <c r="B91" s="157"/>
      <c r="C91" s="157"/>
      <c r="D91" s="157"/>
      <c r="E91" s="158"/>
      <c r="F91" s="168"/>
      <c r="G91" s="160" t="s">
        <v>402</v>
      </c>
      <c r="H91" s="160" t="s">
        <v>409</v>
      </c>
      <c r="I91" s="169" t="s">
        <v>473</v>
      </c>
      <c r="J91" s="162" t="s">
        <v>40</v>
      </c>
      <c r="K91" s="170" t="n">
        <v>3.33</v>
      </c>
      <c r="L91" s="164" t="s">
        <v>22</v>
      </c>
      <c r="M91" s="165" t="s">
        <v>625</v>
      </c>
      <c r="N91" s="166"/>
    </row>
    <row r="92" s="167" customFormat="true" ht="81.75" hidden="false" customHeight="true" outlineLevel="0" collapsed="false">
      <c r="A92" s="156"/>
      <c r="B92" s="157"/>
      <c r="C92" s="157"/>
      <c r="D92" s="157"/>
      <c r="E92" s="158"/>
      <c r="F92" s="168"/>
      <c r="G92" s="160" t="s">
        <v>402</v>
      </c>
      <c r="H92" s="160" t="s">
        <v>409</v>
      </c>
      <c r="I92" s="165" t="s">
        <v>477</v>
      </c>
      <c r="J92" s="162" t="s">
        <v>40</v>
      </c>
      <c r="K92" s="170" t="n">
        <v>3.33</v>
      </c>
      <c r="L92" s="164" t="s">
        <v>97</v>
      </c>
      <c r="M92" s="165" t="s">
        <v>626</v>
      </c>
      <c r="N92" s="166"/>
    </row>
    <row r="93" s="177" customFormat="true" ht="139.5" hidden="false" customHeight="true" outlineLevel="0" collapsed="false">
      <c r="A93" s="171"/>
      <c r="B93" s="172"/>
      <c r="C93" s="172"/>
      <c r="D93" s="172"/>
      <c r="E93" s="173"/>
      <c r="F93" s="174"/>
      <c r="G93" s="13" t="s">
        <v>402</v>
      </c>
      <c r="H93" s="13" t="s">
        <v>409</v>
      </c>
      <c r="I93" s="143" t="s">
        <v>410</v>
      </c>
      <c r="J93" s="25" t="s">
        <v>21</v>
      </c>
      <c r="K93" s="175" t="n">
        <v>10</v>
      </c>
      <c r="L93" s="104" t="s">
        <v>22</v>
      </c>
      <c r="M93" s="36" t="s">
        <v>411</v>
      </c>
      <c r="N93" s="176"/>
    </row>
    <row r="94" s="177" customFormat="true" ht="272.25" hidden="false" customHeight="true" outlineLevel="0" collapsed="false">
      <c r="A94" s="171"/>
      <c r="B94" s="172"/>
      <c r="C94" s="172"/>
      <c r="D94" s="172"/>
      <c r="E94" s="173"/>
      <c r="F94" s="174"/>
      <c r="G94" s="13"/>
      <c r="H94" s="13"/>
      <c r="I94" s="178" t="s">
        <v>414</v>
      </c>
      <c r="J94" s="127" t="s">
        <v>40</v>
      </c>
      <c r="K94" s="179" t="n">
        <v>2</v>
      </c>
      <c r="L94" s="104" t="s">
        <v>22</v>
      </c>
      <c r="M94" s="180" t="s">
        <v>415</v>
      </c>
    </row>
    <row r="95" s="177" customFormat="true" ht="406.5" hidden="false" customHeight="true" outlineLevel="0" collapsed="false">
      <c r="A95" s="171"/>
      <c r="B95" s="172"/>
      <c r="C95" s="172"/>
      <c r="D95" s="172"/>
      <c r="E95" s="173"/>
      <c r="F95" s="174"/>
      <c r="G95" s="13" t="s">
        <v>402</v>
      </c>
      <c r="H95" s="13" t="s">
        <v>409</v>
      </c>
      <c r="I95" s="181" t="s">
        <v>418</v>
      </c>
      <c r="J95" s="182" t="s">
        <v>40</v>
      </c>
      <c r="K95" s="183" t="n">
        <v>2</v>
      </c>
      <c r="L95" s="99" t="s">
        <v>22</v>
      </c>
      <c r="M95" s="184" t="s">
        <v>419</v>
      </c>
      <c r="N95" s="176" t="s">
        <v>420</v>
      </c>
    </row>
    <row r="96" s="177" customFormat="true" ht="219.75" hidden="false" customHeight="true" outlineLevel="0" collapsed="false">
      <c r="A96" s="171"/>
      <c r="B96" s="172"/>
      <c r="C96" s="172"/>
      <c r="D96" s="172"/>
      <c r="E96" s="173"/>
      <c r="F96" s="174"/>
      <c r="G96" s="13" t="s">
        <v>402</v>
      </c>
      <c r="H96" s="13" t="s">
        <v>409</v>
      </c>
      <c r="I96" s="181" t="s">
        <v>423</v>
      </c>
      <c r="J96" s="182" t="s">
        <v>40</v>
      </c>
      <c r="K96" s="183" t="n">
        <v>2</v>
      </c>
      <c r="L96" s="99" t="s">
        <v>22</v>
      </c>
      <c r="M96" s="182" t="s">
        <v>424</v>
      </c>
      <c r="N96" s="176" t="s">
        <v>425</v>
      </c>
    </row>
    <row r="97" s="177" customFormat="true" ht="243.75" hidden="false" customHeight="true" outlineLevel="0" collapsed="false">
      <c r="A97" s="171"/>
      <c r="B97" s="172"/>
      <c r="C97" s="172"/>
      <c r="D97" s="172"/>
      <c r="E97" s="173"/>
      <c r="F97" s="174"/>
      <c r="G97" s="13" t="s">
        <v>402</v>
      </c>
      <c r="H97" s="13" t="s">
        <v>409</v>
      </c>
      <c r="I97" s="181" t="s">
        <v>428</v>
      </c>
      <c r="J97" s="182" t="s">
        <v>40</v>
      </c>
      <c r="K97" s="183" t="n">
        <v>2</v>
      </c>
      <c r="L97" s="99" t="s">
        <v>22</v>
      </c>
      <c r="M97" s="182" t="s">
        <v>429</v>
      </c>
      <c r="N97" s="176" t="s">
        <v>420</v>
      </c>
    </row>
    <row r="98" s="177" customFormat="true" ht="324" hidden="false" customHeight="true" outlineLevel="0" collapsed="false">
      <c r="A98" s="171"/>
      <c r="B98" s="172"/>
      <c r="C98" s="172"/>
      <c r="D98" s="172"/>
      <c r="E98" s="173"/>
      <c r="F98" s="174"/>
      <c r="G98" s="13" t="s">
        <v>402</v>
      </c>
      <c r="H98" s="13" t="s">
        <v>409</v>
      </c>
      <c r="I98" s="185" t="s">
        <v>432</v>
      </c>
      <c r="J98" s="182" t="s">
        <v>40</v>
      </c>
      <c r="K98" s="183" t="n">
        <v>2</v>
      </c>
      <c r="L98" s="99" t="s">
        <v>22</v>
      </c>
      <c r="M98" s="182" t="s">
        <v>433</v>
      </c>
      <c r="N98" s="176" t="s">
        <v>420</v>
      </c>
    </row>
    <row r="99" customFormat="false" ht="56.25" hidden="false" customHeight="true" outlineLevel="0" collapsed="false">
      <c r="A99" s="95" t="s">
        <v>455</v>
      </c>
      <c r="B99" s="96" t="s">
        <v>202</v>
      </c>
      <c r="C99" s="96" t="s">
        <v>112</v>
      </c>
      <c r="D99" s="96" t="s">
        <v>16</v>
      </c>
      <c r="E99" s="97" t="s">
        <v>456</v>
      </c>
      <c r="F99" s="143" t="s">
        <v>97</v>
      </c>
      <c r="G99" s="13" t="s">
        <v>402</v>
      </c>
      <c r="H99" s="13" t="s">
        <v>435</v>
      </c>
      <c r="I99" s="186" t="s">
        <v>436</v>
      </c>
      <c r="J99" s="101" t="s">
        <v>21</v>
      </c>
      <c r="K99" s="103" t="n">
        <v>10</v>
      </c>
      <c r="L99" s="104" t="s">
        <v>405</v>
      </c>
      <c r="M99" s="106" t="s">
        <v>437</v>
      </c>
      <c r="N99" s="100"/>
    </row>
    <row r="100" customFormat="false" ht="105.75" hidden="false" customHeight="true" outlineLevel="0" collapsed="false">
      <c r="A100" s="95"/>
      <c r="B100" s="96"/>
      <c r="C100" s="96"/>
      <c r="D100" s="96"/>
      <c r="E100" s="97"/>
      <c r="F100" s="143" t="s">
        <v>97</v>
      </c>
      <c r="G100" s="13" t="s">
        <v>402</v>
      </c>
      <c r="H100" s="13" t="s">
        <v>435</v>
      </c>
      <c r="I100" s="187" t="s">
        <v>440</v>
      </c>
      <c r="J100" s="95" t="s">
        <v>40</v>
      </c>
      <c r="K100" s="98" t="n">
        <v>5</v>
      </c>
      <c r="L100" s="99" t="s">
        <v>22</v>
      </c>
      <c r="M100" s="106" t="s">
        <v>441</v>
      </c>
      <c r="N100" s="100"/>
    </row>
    <row r="101" customFormat="false" ht="130.5" hidden="false" customHeight="true" outlineLevel="0" collapsed="false">
      <c r="A101" s="95"/>
      <c r="B101" s="96"/>
      <c r="C101" s="96"/>
      <c r="D101" s="96"/>
      <c r="E101" s="97"/>
      <c r="F101" s="143" t="s">
        <v>97</v>
      </c>
      <c r="G101" s="13" t="s">
        <v>402</v>
      </c>
      <c r="H101" s="13" t="s">
        <v>435</v>
      </c>
      <c r="I101" s="187" t="s">
        <v>444</v>
      </c>
      <c r="J101" s="95" t="s">
        <v>40</v>
      </c>
      <c r="K101" s="98" t="n">
        <v>5</v>
      </c>
      <c r="L101" s="99" t="s">
        <v>97</v>
      </c>
      <c r="M101" s="106" t="s">
        <v>627</v>
      </c>
      <c r="N101" s="100"/>
    </row>
    <row r="102" customFormat="false" ht="249.75" hidden="false" customHeight="true" outlineLevel="0" collapsed="false">
      <c r="A102" s="132" t="s">
        <v>131</v>
      </c>
      <c r="B102" s="96" t="s">
        <v>295</v>
      </c>
      <c r="C102" s="96" t="s">
        <v>137</v>
      </c>
      <c r="D102" s="96" t="s">
        <v>16</v>
      </c>
      <c r="E102" s="97" t="s">
        <v>132</v>
      </c>
      <c r="F102" s="143" t="s">
        <v>97</v>
      </c>
      <c r="G102" s="13" t="s">
        <v>402</v>
      </c>
      <c r="H102" s="13" t="s">
        <v>447</v>
      </c>
      <c r="I102" s="188" t="s">
        <v>448</v>
      </c>
      <c r="J102" s="132" t="s">
        <v>21</v>
      </c>
      <c r="K102" s="134" t="n">
        <v>10</v>
      </c>
      <c r="L102" s="99" t="s">
        <v>22</v>
      </c>
      <c r="M102" s="106" t="s">
        <v>449</v>
      </c>
      <c r="N102" s="100"/>
    </row>
    <row r="103" customFormat="false" ht="144" hidden="false" customHeight="true" outlineLevel="0" collapsed="false">
      <c r="A103" s="132" t="s">
        <v>136</v>
      </c>
      <c r="B103" s="96" t="s">
        <v>311</v>
      </c>
      <c r="C103" s="96" t="s">
        <v>168</v>
      </c>
      <c r="D103" s="96" t="s">
        <v>16</v>
      </c>
      <c r="E103" s="97" t="s">
        <v>137</v>
      </c>
      <c r="F103" s="143" t="s">
        <v>97</v>
      </c>
      <c r="G103" s="13" t="s">
        <v>402</v>
      </c>
      <c r="H103" s="13" t="s">
        <v>447</v>
      </c>
      <c r="I103" s="188" t="s">
        <v>452</v>
      </c>
      <c r="J103" s="132" t="s">
        <v>21</v>
      </c>
      <c r="K103" s="134" t="n">
        <v>10</v>
      </c>
      <c r="L103" s="99" t="s">
        <v>22</v>
      </c>
      <c r="M103" s="106" t="s">
        <v>453</v>
      </c>
      <c r="N103" s="100" t="s">
        <v>454</v>
      </c>
    </row>
    <row r="104" customFormat="false" ht="60.75" hidden="false" customHeight="true" outlineLevel="0" collapsed="false">
      <c r="A104" s="132" t="s">
        <v>479</v>
      </c>
      <c r="B104" s="96" t="s">
        <v>325</v>
      </c>
      <c r="C104" s="96" t="s">
        <v>54</v>
      </c>
      <c r="D104" s="96" t="s">
        <v>16</v>
      </c>
      <c r="E104" s="97" t="s">
        <v>480</v>
      </c>
      <c r="F104" s="11" t="s">
        <v>97</v>
      </c>
      <c r="G104" s="13" t="s">
        <v>457</v>
      </c>
      <c r="H104" s="13" t="s">
        <v>458</v>
      </c>
      <c r="I104" s="96" t="s">
        <v>628</v>
      </c>
      <c r="J104" s="132" t="s">
        <v>21</v>
      </c>
      <c r="K104" s="134" t="n">
        <v>10</v>
      </c>
      <c r="L104" s="99" t="s">
        <v>97</v>
      </c>
      <c r="M104" s="106" t="s">
        <v>460</v>
      </c>
      <c r="N104" s="100"/>
    </row>
    <row r="105" customFormat="false" ht="148.5" hidden="false" customHeight="true" outlineLevel="0" collapsed="false">
      <c r="A105" s="132" t="s">
        <v>629</v>
      </c>
      <c r="B105" s="96" t="s">
        <v>388</v>
      </c>
      <c r="C105" s="96" t="s">
        <v>187</v>
      </c>
      <c r="D105" s="96" t="s">
        <v>16</v>
      </c>
      <c r="E105" s="97" t="s">
        <v>630</v>
      </c>
      <c r="F105" s="97" t="s">
        <v>463</v>
      </c>
      <c r="G105" s="13" t="s">
        <v>457</v>
      </c>
      <c r="H105" s="13" t="s">
        <v>458</v>
      </c>
      <c r="I105" s="96" t="s">
        <v>631</v>
      </c>
      <c r="J105" s="132" t="s">
        <v>21</v>
      </c>
      <c r="K105" s="134" t="n">
        <v>10</v>
      </c>
      <c r="L105" s="131" t="s">
        <v>465</v>
      </c>
      <c r="M105" s="106" t="s">
        <v>632</v>
      </c>
      <c r="N105" s="100"/>
    </row>
    <row r="106" customFormat="false" ht="48.75" hidden="false" customHeight="true" outlineLevel="0" collapsed="false">
      <c r="A106" s="132" t="s">
        <v>633</v>
      </c>
      <c r="B106" s="96" t="s">
        <v>401</v>
      </c>
      <c r="C106" s="96" t="s">
        <v>79</v>
      </c>
      <c r="D106" s="96" t="s">
        <v>16</v>
      </c>
      <c r="E106" s="97" t="s">
        <v>634</v>
      </c>
      <c r="F106" s="97" t="s">
        <v>463</v>
      </c>
      <c r="G106" s="13" t="s">
        <v>457</v>
      </c>
      <c r="H106" s="13" t="s">
        <v>469</v>
      </c>
      <c r="I106" s="102" t="s">
        <v>470</v>
      </c>
      <c r="J106" s="154" t="s">
        <v>21</v>
      </c>
      <c r="K106" s="189" t="n">
        <v>10</v>
      </c>
      <c r="L106" s="186" t="s">
        <v>97</v>
      </c>
      <c r="M106" s="190" t="s">
        <v>256</v>
      </c>
      <c r="N106" s="100"/>
    </row>
    <row r="107" customFormat="false" ht="114.75" hidden="false" customHeight="true" outlineLevel="0" collapsed="false">
      <c r="A107" s="132"/>
      <c r="B107" s="96"/>
      <c r="C107" s="96"/>
      <c r="D107" s="96"/>
      <c r="E107" s="97"/>
      <c r="F107" s="97"/>
      <c r="G107" s="13" t="s">
        <v>457</v>
      </c>
      <c r="H107" s="13" t="s">
        <v>469</v>
      </c>
      <c r="I107" s="106" t="s">
        <v>473</v>
      </c>
      <c r="J107" s="132" t="s">
        <v>40</v>
      </c>
      <c r="K107" s="134" t="n">
        <v>5</v>
      </c>
      <c r="L107" s="191" t="s">
        <v>97</v>
      </c>
      <c r="M107" s="187" t="s">
        <v>474</v>
      </c>
      <c r="N107" s="100"/>
    </row>
    <row r="108" customFormat="false" ht="161.25" hidden="false" customHeight="true" outlineLevel="0" collapsed="false">
      <c r="A108" s="132"/>
      <c r="B108" s="96"/>
      <c r="C108" s="96"/>
      <c r="D108" s="96"/>
      <c r="E108" s="97"/>
      <c r="F108" s="97"/>
      <c r="G108" s="13" t="s">
        <v>457</v>
      </c>
      <c r="H108" s="13" t="s">
        <v>469</v>
      </c>
      <c r="I108" s="106" t="s">
        <v>477</v>
      </c>
      <c r="J108" s="132" t="s">
        <v>40</v>
      </c>
      <c r="K108" s="134" t="n">
        <v>5</v>
      </c>
      <c r="L108" s="192" t="s">
        <v>97</v>
      </c>
      <c r="M108" s="187" t="s">
        <v>478</v>
      </c>
      <c r="N108" s="100"/>
    </row>
    <row r="109" customFormat="false" ht="409.5" hidden="false" customHeight="true" outlineLevel="0" collapsed="false">
      <c r="A109" s="132" t="s">
        <v>635</v>
      </c>
      <c r="B109" s="96" t="s">
        <v>408</v>
      </c>
      <c r="C109" s="96" t="s">
        <v>202</v>
      </c>
      <c r="D109" s="96" t="s">
        <v>16</v>
      </c>
      <c r="E109" s="97" t="s">
        <v>636</v>
      </c>
      <c r="F109" s="97" t="s">
        <v>463</v>
      </c>
      <c r="G109" s="13" t="s">
        <v>457</v>
      </c>
      <c r="H109" s="13" t="s">
        <v>637</v>
      </c>
      <c r="I109" s="96" t="s">
        <v>482</v>
      </c>
      <c r="J109" s="132" t="s">
        <v>21</v>
      </c>
      <c r="K109" s="134" t="n">
        <v>10</v>
      </c>
      <c r="L109" s="99" t="s">
        <v>22</v>
      </c>
      <c r="M109" s="106" t="s">
        <v>638</v>
      </c>
      <c r="N109" s="193" t="s">
        <v>639</v>
      </c>
      <c r="O109" s="134"/>
    </row>
    <row r="110" s="85" customFormat="true" ht="29.25" hidden="false" customHeight="true" outlineLevel="0" collapsed="false">
      <c r="H110" s="90"/>
      <c r="I110" s="177"/>
      <c r="J110" s="84"/>
      <c r="K110" s="84"/>
      <c r="N110" s="90"/>
    </row>
    <row r="111" s="85" customFormat="true" ht="14.25" hidden="false" customHeight="true" outlineLevel="0" collapsed="false">
      <c r="H111" s="90"/>
      <c r="J111" s="84"/>
      <c r="K111" s="84"/>
      <c r="N111" s="90"/>
    </row>
    <row r="112" s="85" customFormat="true" ht="14.25" hidden="false" customHeight="true" outlineLevel="0" collapsed="false">
      <c r="H112" s="90"/>
      <c r="J112" s="84"/>
      <c r="K112" s="84"/>
      <c r="N112" s="90"/>
    </row>
    <row r="113" s="85" customFormat="true" ht="14.25" hidden="false" customHeight="true" outlineLevel="0" collapsed="false">
      <c r="H113" s="90"/>
      <c r="J113" s="84"/>
      <c r="K113" s="84"/>
      <c r="N113" s="90"/>
    </row>
    <row r="114" s="85" customFormat="true" ht="14.25" hidden="false" customHeight="true" outlineLevel="0" collapsed="false">
      <c r="H114" s="90"/>
      <c r="J114" s="84"/>
      <c r="K114" s="84"/>
      <c r="N114" s="90"/>
    </row>
    <row r="115" customFormat="false" ht="14.25" hidden="false" customHeight="true" outlineLevel="0" collapsed="false">
      <c r="A115" s="194"/>
      <c r="B115" s="195"/>
      <c r="C115" s="195"/>
      <c r="D115" s="195"/>
      <c r="G115" s="86"/>
      <c r="H115" s="196"/>
      <c r="I115" s="195"/>
      <c r="J115" s="194"/>
      <c r="K115" s="194"/>
      <c r="L115" s="195"/>
      <c r="M115" s="197"/>
    </row>
    <row r="116" customFormat="false" ht="14.25" hidden="false" customHeight="true" outlineLevel="0" collapsed="false">
      <c r="A116" s="194"/>
      <c r="B116" s="195"/>
      <c r="C116" s="195"/>
      <c r="D116" s="195"/>
      <c r="G116" s="86"/>
      <c r="H116" s="196"/>
      <c r="I116" s="195"/>
      <c r="J116" s="194"/>
      <c r="K116" s="194"/>
      <c r="L116" s="195"/>
      <c r="M116" s="197"/>
    </row>
    <row r="117" customFormat="false" ht="14.25" hidden="false" customHeight="true" outlineLevel="0" collapsed="false">
      <c r="A117" s="194"/>
      <c r="B117" s="195"/>
      <c r="C117" s="195"/>
      <c r="D117" s="195"/>
      <c r="G117" s="86"/>
      <c r="H117" s="196"/>
      <c r="I117" s="195"/>
      <c r="J117" s="194"/>
      <c r="K117" s="194"/>
      <c r="L117" s="195"/>
      <c r="M117" s="197"/>
    </row>
    <row r="118" customFormat="false" ht="14.25" hidden="false" customHeight="true" outlineLevel="0" collapsed="false">
      <c r="A118" s="194"/>
      <c r="B118" s="195"/>
      <c r="C118" s="195"/>
      <c r="D118" s="195"/>
      <c r="G118" s="86"/>
      <c r="H118" s="196"/>
      <c r="I118" s="195"/>
      <c r="J118" s="194"/>
      <c r="K118" s="194"/>
      <c r="L118" s="195"/>
      <c r="M118" s="197"/>
    </row>
    <row r="119" customFormat="false" ht="14.25" hidden="false" customHeight="true" outlineLevel="0" collapsed="false">
      <c r="A119" s="194"/>
      <c r="B119" s="195"/>
      <c r="C119" s="195"/>
      <c r="D119" s="195"/>
      <c r="G119" s="86"/>
      <c r="H119" s="196"/>
      <c r="I119" s="195"/>
      <c r="J119" s="194"/>
      <c r="K119" s="194"/>
      <c r="L119" s="195"/>
      <c r="M119" s="197"/>
    </row>
    <row r="120" customFormat="false" ht="14.25" hidden="false" customHeight="true" outlineLevel="0" collapsed="false">
      <c r="A120" s="194"/>
      <c r="B120" s="195"/>
      <c r="C120" s="195"/>
      <c r="D120" s="195"/>
      <c r="G120" s="86"/>
      <c r="H120" s="196"/>
      <c r="I120" s="195"/>
      <c r="J120" s="194"/>
      <c r="K120" s="194"/>
      <c r="L120" s="195"/>
      <c r="M120" s="197"/>
    </row>
    <row r="121" customFormat="false" ht="14.25" hidden="false" customHeight="true" outlineLevel="0" collapsed="false">
      <c r="A121" s="194"/>
      <c r="B121" s="195"/>
      <c r="C121" s="195"/>
      <c r="D121" s="195"/>
      <c r="G121" s="86"/>
      <c r="H121" s="196"/>
      <c r="I121" s="195"/>
      <c r="J121" s="194"/>
      <c r="K121" s="194"/>
      <c r="L121" s="195"/>
      <c r="M121" s="197"/>
    </row>
    <row r="122" customFormat="false" ht="14.25" hidden="false" customHeight="true" outlineLevel="0" collapsed="false">
      <c r="A122" s="194"/>
      <c r="B122" s="195"/>
      <c r="C122" s="195"/>
      <c r="D122" s="195"/>
      <c r="G122" s="86"/>
      <c r="H122" s="196"/>
      <c r="I122" s="195"/>
      <c r="J122" s="194"/>
      <c r="K122" s="194"/>
      <c r="L122" s="195"/>
      <c r="M122" s="197"/>
    </row>
    <row r="123" customFormat="false" ht="14.25" hidden="false" customHeight="true" outlineLevel="0" collapsed="false">
      <c r="A123" s="194"/>
      <c r="B123" s="195"/>
      <c r="C123" s="195"/>
      <c r="D123" s="195"/>
      <c r="G123" s="86"/>
      <c r="H123" s="196"/>
      <c r="I123" s="195"/>
      <c r="J123" s="194"/>
      <c r="K123" s="194"/>
      <c r="L123" s="195"/>
      <c r="M123" s="197"/>
    </row>
    <row r="124" customFormat="false" ht="14.25" hidden="false" customHeight="true" outlineLevel="0" collapsed="false">
      <c r="A124" s="194"/>
      <c r="B124" s="195"/>
      <c r="C124" s="195"/>
      <c r="D124" s="195"/>
      <c r="G124" s="86"/>
      <c r="H124" s="196"/>
      <c r="I124" s="195"/>
      <c r="J124" s="194"/>
      <c r="K124" s="194"/>
      <c r="L124" s="195"/>
      <c r="M124" s="197"/>
    </row>
    <row r="125" customFormat="false" ht="14.25" hidden="false" customHeight="true" outlineLevel="0" collapsed="false">
      <c r="A125" s="194"/>
      <c r="B125" s="195"/>
      <c r="C125" s="195"/>
      <c r="D125" s="195"/>
      <c r="G125" s="86"/>
      <c r="H125" s="196"/>
      <c r="I125" s="195"/>
      <c r="J125" s="194"/>
      <c r="K125" s="194"/>
      <c r="L125" s="195"/>
      <c r="M125" s="197"/>
    </row>
    <row r="126" customFormat="false" ht="14.25" hidden="false" customHeight="true" outlineLevel="0" collapsed="false">
      <c r="A126" s="194"/>
      <c r="B126" s="195"/>
      <c r="C126" s="195"/>
      <c r="D126" s="195"/>
      <c r="G126" s="86"/>
      <c r="H126" s="196"/>
      <c r="I126" s="195"/>
      <c r="J126" s="194"/>
      <c r="K126" s="194"/>
      <c r="L126" s="195"/>
      <c r="M126" s="197"/>
    </row>
    <row r="127" customFormat="false" ht="14.25" hidden="false" customHeight="true" outlineLevel="0" collapsed="false">
      <c r="A127" s="194"/>
      <c r="B127" s="195"/>
      <c r="C127" s="195"/>
      <c r="D127" s="195"/>
      <c r="G127" s="86"/>
      <c r="H127" s="196"/>
      <c r="I127" s="195"/>
      <c r="J127" s="194"/>
      <c r="K127" s="194"/>
      <c r="L127" s="195"/>
      <c r="M127" s="197"/>
    </row>
    <row r="128" customFormat="false" ht="14.25" hidden="false" customHeight="true" outlineLevel="0" collapsed="false">
      <c r="A128" s="194"/>
      <c r="B128" s="195"/>
      <c r="C128" s="195"/>
      <c r="D128" s="195"/>
      <c r="G128" s="86"/>
      <c r="H128" s="196"/>
      <c r="I128" s="195"/>
      <c r="J128" s="194"/>
      <c r="K128" s="194"/>
      <c r="L128" s="195"/>
      <c r="M128" s="197"/>
    </row>
    <row r="129" customFormat="false" ht="14.25" hidden="false" customHeight="true" outlineLevel="0" collapsed="false">
      <c r="A129" s="194"/>
      <c r="B129" s="195"/>
      <c r="C129" s="195"/>
      <c r="D129" s="195"/>
      <c r="G129" s="86"/>
      <c r="H129" s="196"/>
      <c r="I129" s="195"/>
      <c r="J129" s="194"/>
      <c r="K129" s="194"/>
      <c r="L129" s="195"/>
      <c r="M129" s="197"/>
    </row>
    <row r="130" customFormat="false" ht="14.25" hidden="false" customHeight="true" outlineLevel="0" collapsed="false">
      <c r="A130" s="194"/>
      <c r="B130" s="195"/>
      <c r="C130" s="195"/>
      <c r="D130" s="195"/>
      <c r="G130" s="86"/>
      <c r="H130" s="196"/>
      <c r="I130" s="195"/>
      <c r="J130" s="194"/>
      <c r="K130" s="194"/>
      <c r="L130" s="195"/>
      <c r="M130" s="197"/>
    </row>
    <row r="131" customFormat="false" ht="14.25" hidden="false" customHeight="true" outlineLevel="0" collapsed="false">
      <c r="A131" s="194"/>
      <c r="B131" s="195"/>
      <c r="C131" s="195"/>
      <c r="D131" s="195"/>
      <c r="G131" s="86"/>
      <c r="H131" s="196"/>
      <c r="I131" s="195"/>
      <c r="J131" s="194"/>
      <c r="K131" s="194"/>
      <c r="L131" s="195"/>
      <c r="M131" s="197"/>
    </row>
    <row r="132" customFormat="false" ht="14.25" hidden="false" customHeight="true" outlineLevel="0" collapsed="false">
      <c r="A132" s="194"/>
      <c r="B132" s="195"/>
      <c r="C132" s="195"/>
      <c r="D132" s="195"/>
      <c r="G132" s="86"/>
      <c r="H132" s="196"/>
      <c r="I132" s="195"/>
      <c r="J132" s="194"/>
      <c r="K132" s="194"/>
      <c r="L132" s="195"/>
      <c r="M132" s="197"/>
    </row>
    <row r="133" customFormat="false" ht="14.25" hidden="false" customHeight="true" outlineLevel="0" collapsed="false">
      <c r="A133" s="194"/>
      <c r="B133" s="195"/>
      <c r="C133" s="195"/>
      <c r="D133" s="195"/>
      <c r="G133" s="86"/>
      <c r="H133" s="196"/>
      <c r="I133" s="195"/>
      <c r="J133" s="194"/>
      <c r="K133" s="194"/>
      <c r="L133" s="195"/>
      <c r="M133" s="197"/>
    </row>
    <row r="134" customFormat="false" ht="14.25" hidden="false" customHeight="true" outlineLevel="0" collapsed="false">
      <c r="A134" s="194"/>
      <c r="B134" s="195"/>
      <c r="C134" s="195"/>
      <c r="D134" s="195"/>
      <c r="G134" s="86"/>
      <c r="H134" s="196"/>
      <c r="I134" s="195"/>
      <c r="J134" s="194"/>
      <c r="K134" s="194"/>
      <c r="L134" s="195"/>
      <c r="M134" s="197"/>
    </row>
    <row r="135" customFormat="false" ht="14.25" hidden="false" customHeight="true" outlineLevel="0" collapsed="false">
      <c r="A135" s="194"/>
      <c r="B135" s="195"/>
      <c r="C135" s="195"/>
      <c r="D135" s="195"/>
      <c r="G135" s="86"/>
      <c r="H135" s="196"/>
      <c r="I135" s="195"/>
      <c r="J135" s="194"/>
      <c r="K135" s="194"/>
      <c r="L135" s="195"/>
      <c r="M135" s="197"/>
    </row>
    <row r="136" customFormat="false" ht="14.25" hidden="false" customHeight="true" outlineLevel="0" collapsed="false">
      <c r="A136" s="194"/>
      <c r="B136" s="195"/>
      <c r="C136" s="195"/>
      <c r="D136" s="195"/>
      <c r="G136" s="86"/>
      <c r="H136" s="196"/>
      <c r="I136" s="195"/>
      <c r="J136" s="194"/>
      <c r="K136" s="194"/>
      <c r="L136" s="195"/>
      <c r="M136" s="197"/>
    </row>
    <row r="137" customFormat="false" ht="14.25" hidden="false" customHeight="true" outlineLevel="0" collapsed="false">
      <c r="A137" s="194"/>
      <c r="B137" s="195"/>
      <c r="C137" s="195"/>
      <c r="D137" s="195"/>
      <c r="G137" s="86"/>
      <c r="H137" s="196"/>
      <c r="I137" s="195"/>
      <c r="J137" s="194"/>
      <c r="K137" s="194"/>
      <c r="L137" s="195"/>
      <c r="M137" s="197"/>
    </row>
    <row r="138" customFormat="false" ht="14.25" hidden="false" customHeight="true" outlineLevel="0" collapsed="false">
      <c r="A138" s="194"/>
      <c r="B138" s="195"/>
      <c r="C138" s="195"/>
      <c r="D138" s="195"/>
      <c r="G138" s="86"/>
      <c r="H138" s="196"/>
      <c r="I138" s="195"/>
      <c r="J138" s="194"/>
      <c r="K138" s="194"/>
      <c r="L138" s="195"/>
      <c r="M138" s="197"/>
    </row>
    <row r="139" customFormat="false" ht="15.75" hidden="false" customHeight="true" outlineLevel="0" collapsed="false">
      <c r="A139" s="194"/>
      <c r="B139" s="195"/>
      <c r="C139" s="195"/>
      <c r="D139" s="195"/>
      <c r="G139" s="86"/>
      <c r="H139" s="196"/>
      <c r="I139" s="195"/>
      <c r="J139" s="194"/>
      <c r="K139" s="194"/>
      <c r="L139" s="195"/>
      <c r="M139" s="197" t="s">
        <v>485</v>
      </c>
    </row>
    <row r="140" customFormat="false" ht="14.25" hidden="false" customHeight="true" outlineLevel="0" collapsed="false">
      <c r="A140" s="194"/>
      <c r="B140" s="195"/>
      <c r="C140" s="195"/>
      <c r="D140" s="195"/>
      <c r="G140" s="86"/>
      <c r="H140" s="196"/>
      <c r="I140" s="195"/>
      <c r="J140" s="194"/>
      <c r="K140" s="194"/>
      <c r="L140" s="195"/>
      <c r="M140" s="197"/>
    </row>
    <row r="141" customFormat="false" ht="14.25" hidden="false" customHeight="true" outlineLevel="0" collapsed="false">
      <c r="A141" s="194"/>
      <c r="B141" s="195"/>
      <c r="C141" s="195"/>
      <c r="D141" s="195"/>
      <c r="G141" s="86"/>
      <c r="H141" s="196"/>
      <c r="I141" s="195"/>
      <c r="J141" s="194"/>
      <c r="K141" s="194"/>
      <c r="L141" s="195"/>
      <c r="M141" s="197"/>
    </row>
    <row r="142" customFormat="false" ht="14.25" hidden="false" customHeight="true" outlineLevel="0" collapsed="false">
      <c r="A142" s="194"/>
      <c r="B142" s="195"/>
      <c r="C142" s="195"/>
      <c r="D142" s="195"/>
      <c r="G142" s="86"/>
      <c r="H142" s="196"/>
      <c r="I142" s="195"/>
      <c r="J142" s="194"/>
      <c r="K142" s="194"/>
      <c r="L142" s="195"/>
      <c r="M142" s="197"/>
    </row>
    <row r="143" customFormat="false" ht="14.25" hidden="false" customHeight="true" outlineLevel="0" collapsed="false">
      <c r="A143" s="194"/>
      <c r="B143" s="195"/>
      <c r="C143" s="195"/>
      <c r="D143" s="195"/>
      <c r="G143" s="86"/>
      <c r="H143" s="196"/>
      <c r="I143" s="195"/>
      <c r="J143" s="194"/>
      <c r="K143" s="194"/>
      <c r="L143" s="195"/>
      <c r="M143" s="197"/>
    </row>
    <row r="144" customFormat="false" ht="14.25" hidden="false" customHeight="true" outlineLevel="0" collapsed="false">
      <c r="A144" s="194"/>
      <c r="B144" s="195"/>
      <c r="C144" s="195"/>
      <c r="D144" s="195"/>
      <c r="G144" s="86"/>
      <c r="H144" s="196"/>
      <c r="I144" s="195"/>
      <c r="J144" s="194"/>
      <c r="K144" s="194"/>
      <c r="L144" s="195"/>
      <c r="M144" s="197"/>
    </row>
    <row r="145" customFormat="false" ht="14.25" hidden="false" customHeight="true" outlineLevel="0" collapsed="false">
      <c r="A145" s="194"/>
      <c r="B145" s="195"/>
      <c r="C145" s="195"/>
      <c r="D145" s="195"/>
      <c r="G145" s="86"/>
      <c r="H145" s="196"/>
      <c r="I145" s="195"/>
      <c r="J145" s="194"/>
      <c r="K145" s="194"/>
      <c r="L145" s="195"/>
      <c r="M145" s="197"/>
    </row>
    <row r="146" customFormat="false" ht="15.75" hidden="false" customHeight="true" outlineLevel="0" collapsed="false">
      <c r="A146" s="194"/>
      <c r="B146" s="195"/>
      <c r="C146" s="195"/>
      <c r="D146" s="195"/>
      <c r="G146" s="86"/>
      <c r="H146" s="196"/>
      <c r="I146" s="195"/>
      <c r="J146" s="194"/>
      <c r="K146" s="194"/>
      <c r="L146" s="195"/>
      <c r="M146" s="197" t="s">
        <v>485</v>
      </c>
    </row>
    <row r="147" customFormat="false" ht="14.25" hidden="false" customHeight="true" outlineLevel="0" collapsed="false">
      <c r="A147" s="194"/>
      <c r="B147" s="195"/>
      <c r="C147" s="195"/>
      <c r="D147" s="195"/>
      <c r="G147" s="86"/>
      <c r="H147" s="196"/>
      <c r="I147" s="195"/>
      <c r="J147" s="194"/>
      <c r="K147" s="194"/>
      <c r="L147" s="195"/>
      <c r="M147" s="197"/>
    </row>
    <row r="148" customFormat="false" ht="14.25" hidden="false" customHeight="true" outlineLevel="0" collapsed="false">
      <c r="A148" s="194"/>
      <c r="B148" s="195"/>
      <c r="C148" s="195"/>
      <c r="D148" s="195"/>
      <c r="G148" s="86"/>
      <c r="H148" s="196"/>
      <c r="I148" s="195"/>
      <c r="J148" s="194"/>
      <c r="K148" s="194"/>
      <c r="L148" s="195"/>
      <c r="M148" s="197"/>
    </row>
    <row r="149" customFormat="false" ht="14.25" hidden="false" customHeight="true" outlineLevel="0" collapsed="false">
      <c r="A149" s="194"/>
      <c r="B149" s="195"/>
      <c r="C149" s="195"/>
      <c r="D149" s="195"/>
      <c r="G149" s="86"/>
      <c r="H149" s="196"/>
      <c r="I149" s="195"/>
      <c r="J149" s="194"/>
      <c r="K149" s="194"/>
      <c r="L149" s="195"/>
      <c r="M149" s="197"/>
    </row>
    <row r="150" customFormat="false" ht="14.25" hidden="false" customHeight="true" outlineLevel="0" collapsed="false">
      <c r="A150" s="194"/>
      <c r="B150" s="195"/>
      <c r="C150" s="195"/>
      <c r="D150" s="195"/>
      <c r="G150" s="86"/>
      <c r="H150" s="196"/>
      <c r="I150" s="195"/>
      <c r="J150" s="194"/>
      <c r="K150" s="194"/>
      <c r="L150" s="195"/>
      <c r="M150" s="197"/>
    </row>
    <row r="151" customFormat="false" ht="14.25" hidden="false" customHeight="true" outlineLevel="0" collapsed="false">
      <c r="A151" s="194"/>
      <c r="B151" s="195"/>
      <c r="C151" s="195"/>
      <c r="D151" s="195"/>
      <c r="G151" s="86"/>
      <c r="H151" s="196"/>
      <c r="I151" s="195"/>
      <c r="J151" s="194"/>
      <c r="K151" s="194"/>
      <c r="L151" s="195"/>
      <c r="M151" s="197"/>
    </row>
    <row r="152" customFormat="false" ht="15.75" hidden="false" customHeight="true" outlineLevel="0" collapsed="false">
      <c r="A152" s="194"/>
      <c r="B152" s="195"/>
      <c r="C152" s="195"/>
      <c r="D152" s="195"/>
      <c r="G152" s="86"/>
      <c r="H152" s="196"/>
      <c r="I152" s="195"/>
      <c r="J152" s="194"/>
      <c r="K152" s="194"/>
      <c r="L152" s="195"/>
      <c r="M152" s="197" t="s">
        <v>485</v>
      </c>
    </row>
    <row r="153" customFormat="false" ht="14.25" hidden="false" customHeight="true" outlineLevel="0" collapsed="false">
      <c r="A153" s="194"/>
      <c r="B153" s="195"/>
      <c r="C153" s="195"/>
      <c r="D153" s="195"/>
      <c r="G153" s="86"/>
      <c r="H153" s="196"/>
      <c r="I153" s="195"/>
      <c r="J153" s="194"/>
      <c r="K153" s="194"/>
      <c r="L153" s="195"/>
      <c r="M153" s="197"/>
    </row>
    <row r="154" customFormat="false" ht="14.25" hidden="false" customHeight="true" outlineLevel="0" collapsed="false">
      <c r="A154" s="194"/>
      <c r="B154" s="195"/>
      <c r="C154" s="195"/>
      <c r="D154" s="195"/>
      <c r="G154" s="86"/>
      <c r="H154" s="196"/>
      <c r="I154" s="195"/>
      <c r="J154" s="194"/>
      <c r="K154" s="194"/>
      <c r="L154" s="195"/>
      <c r="M154" s="197"/>
    </row>
    <row r="155" customFormat="false" ht="14.25" hidden="false" customHeight="true" outlineLevel="0" collapsed="false">
      <c r="A155" s="194"/>
      <c r="B155" s="195"/>
      <c r="C155" s="195"/>
      <c r="D155" s="195"/>
      <c r="G155" s="86"/>
      <c r="H155" s="196"/>
      <c r="I155" s="195"/>
      <c r="J155" s="194"/>
      <c r="K155" s="194"/>
      <c r="L155" s="195"/>
      <c r="M155" s="197"/>
    </row>
    <row r="156" customFormat="false" ht="14.25" hidden="false" customHeight="true" outlineLevel="0" collapsed="false">
      <c r="A156" s="194"/>
      <c r="B156" s="195"/>
      <c r="C156" s="195"/>
      <c r="D156" s="195"/>
      <c r="G156" s="86"/>
      <c r="H156" s="196"/>
      <c r="I156" s="195"/>
      <c r="J156" s="194"/>
      <c r="K156" s="194"/>
      <c r="L156" s="195"/>
      <c r="M156" s="197"/>
    </row>
    <row r="157" customFormat="false" ht="14.25" hidden="false" customHeight="true" outlineLevel="0" collapsed="false">
      <c r="A157" s="194"/>
      <c r="B157" s="195"/>
      <c r="C157" s="195"/>
      <c r="D157" s="195"/>
      <c r="G157" s="86"/>
      <c r="H157" s="196"/>
      <c r="I157" s="195"/>
      <c r="J157" s="194"/>
      <c r="K157" s="194"/>
      <c r="L157" s="195"/>
      <c r="M157" s="197"/>
    </row>
    <row r="158" customFormat="false" ht="14.25" hidden="false" customHeight="true" outlineLevel="0" collapsed="false">
      <c r="A158" s="194"/>
      <c r="B158" s="195"/>
      <c r="C158" s="195"/>
      <c r="D158" s="195"/>
      <c r="G158" s="86"/>
      <c r="H158" s="196"/>
      <c r="I158" s="195"/>
      <c r="J158" s="194"/>
      <c r="K158" s="194"/>
      <c r="L158" s="195"/>
      <c r="M158" s="197"/>
    </row>
    <row r="159" customFormat="false" ht="14.25" hidden="false" customHeight="true" outlineLevel="0" collapsed="false">
      <c r="A159" s="194"/>
      <c r="B159" s="195"/>
      <c r="C159" s="195"/>
      <c r="D159" s="195"/>
      <c r="G159" s="86"/>
      <c r="H159" s="196"/>
      <c r="I159" s="195"/>
      <c r="J159" s="194"/>
      <c r="K159" s="194"/>
      <c r="L159" s="195"/>
      <c r="M159" s="197"/>
    </row>
    <row r="160" customFormat="false" ht="14.25" hidden="false" customHeight="true" outlineLevel="0" collapsed="false">
      <c r="A160" s="194"/>
      <c r="B160" s="195"/>
      <c r="C160" s="195"/>
      <c r="D160" s="195"/>
      <c r="G160" s="86"/>
      <c r="H160" s="196"/>
      <c r="I160" s="195"/>
      <c r="J160" s="194"/>
      <c r="K160" s="194"/>
      <c r="L160" s="195"/>
      <c r="M160" s="197"/>
    </row>
    <row r="161" customFormat="false" ht="14.25" hidden="false" customHeight="true" outlineLevel="0" collapsed="false">
      <c r="A161" s="194"/>
      <c r="B161" s="195"/>
      <c r="C161" s="195"/>
      <c r="D161" s="195"/>
      <c r="G161" s="86"/>
      <c r="H161" s="196"/>
      <c r="I161" s="195"/>
      <c r="J161" s="194"/>
      <c r="K161" s="194"/>
      <c r="L161" s="195"/>
      <c r="M161" s="197"/>
    </row>
    <row r="162" customFormat="false" ht="14.25" hidden="false" customHeight="true" outlineLevel="0" collapsed="false">
      <c r="A162" s="194"/>
      <c r="B162" s="195"/>
      <c r="C162" s="195"/>
      <c r="D162" s="195"/>
      <c r="G162" s="86"/>
      <c r="H162" s="196"/>
      <c r="I162" s="195"/>
      <c r="J162" s="194"/>
      <c r="K162" s="194"/>
      <c r="L162" s="195"/>
      <c r="M162" s="197"/>
    </row>
    <row r="163" customFormat="false" ht="14.25" hidden="false" customHeight="true" outlineLevel="0" collapsed="false">
      <c r="A163" s="194"/>
      <c r="B163" s="195"/>
      <c r="C163" s="195"/>
      <c r="D163" s="195"/>
      <c r="G163" s="86"/>
      <c r="H163" s="196"/>
      <c r="I163" s="195"/>
      <c r="J163" s="194"/>
      <c r="K163" s="194"/>
      <c r="L163" s="195"/>
      <c r="M163" s="197"/>
    </row>
    <row r="164" customFormat="false" ht="14.25" hidden="false" customHeight="true" outlineLevel="0" collapsed="false">
      <c r="A164" s="194"/>
      <c r="B164" s="195"/>
      <c r="C164" s="195"/>
      <c r="D164" s="195"/>
      <c r="G164" s="86"/>
      <c r="H164" s="196"/>
      <c r="I164" s="195"/>
      <c r="J164" s="194"/>
      <c r="K164" s="194"/>
      <c r="L164" s="195"/>
      <c r="M164" s="197"/>
    </row>
    <row r="165" customFormat="false" ht="14.25" hidden="false" customHeight="true" outlineLevel="0" collapsed="false">
      <c r="A165" s="194"/>
      <c r="B165" s="195"/>
      <c r="C165" s="195"/>
      <c r="D165" s="195"/>
      <c r="G165" s="86"/>
      <c r="H165" s="196"/>
      <c r="I165" s="195"/>
      <c r="J165" s="194"/>
      <c r="K165" s="194"/>
      <c r="L165" s="195"/>
      <c r="M165" s="197"/>
    </row>
    <row r="166" customFormat="false" ht="14.25" hidden="false" customHeight="true" outlineLevel="0" collapsed="false">
      <c r="A166" s="194"/>
      <c r="B166" s="195"/>
      <c r="C166" s="195"/>
      <c r="D166" s="195"/>
      <c r="G166" s="86"/>
      <c r="H166" s="196"/>
      <c r="I166" s="195"/>
      <c r="J166" s="194"/>
      <c r="K166" s="194"/>
      <c r="L166" s="195"/>
      <c r="M166" s="197"/>
    </row>
    <row r="167" customFormat="false" ht="14.25" hidden="false" customHeight="true" outlineLevel="0" collapsed="false">
      <c r="A167" s="194"/>
      <c r="B167" s="195"/>
      <c r="C167" s="195"/>
      <c r="D167" s="195"/>
      <c r="G167" s="86"/>
      <c r="H167" s="196"/>
      <c r="I167" s="195"/>
      <c r="J167" s="194"/>
      <c r="K167" s="194"/>
      <c r="L167" s="195"/>
      <c r="M167" s="197"/>
    </row>
    <row r="168" customFormat="false" ht="14.25" hidden="false" customHeight="true" outlineLevel="0" collapsed="false">
      <c r="A168" s="194"/>
      <c r="B168" s="195"/>
      <c r="C168" s="195"/>
      <c r="D168" s="195"/>
      <c r="G168" s="86"/>
      <c r="H168" s="196"/>
      <c r="I168" s="195"/>
      <c r="J168" s="194"/>
      <c r="K168" s="194"/>
      <c r="L168" s="195"/>
      <c r="M168" s="197"/>
    </row>
    <row r="169" customFormat="false" ht="14.25" hidden="false" customHeight="true" outlineLevel="0" collapsed="false">
      <c r="A169" s="194"/>
      <c r="B169" s="195"/>
      <c r="C169" s="195"/>
      <c r="D169" s="195"/>
      <c r="G169" s="86"/>
      <c r="H169" s="196"/>
      <c r="I169" s="195"/>
      <c r="J169" s="194"/>
      <c r="K169" s="194"/>
      <c r="L169" s="195"/>
      <c r="M169" s="197"/>
    </row>
    <row r="170" customFormat="false" ht="14.25" hidden="false" customHeight="true" outlineLevel="0" collapsed="false">
      <c r="A170" s="194"/>
      <c r="B170" s="195"/>
      <c r="C170" s="195"/>
      <c r="D170" s="195"/>
      <c r="G170" s="86"/>
      <c r="H170" s="196"/>
      <c r="I170" s="195"/>
      <c r="J170" s="194"/>
      <c r="K170" s="194"/>
      <c r="L170" s="195"/>
      <c r="M170" s="197"/>
    </row>
    <row r="171" customFormat="false" ht="14.25" hidden="false" customHeight="true" outlineLevel="0" collapsed="false">
      <c r="A171" s="194"/>
      <c r="B171" s="195"/>
      <c r="C171" s="195"/>
      <c r="D171" s="195"/>
      <c r="G171" s="86"/>
      <c r="H171" s="196"/>
      <c r="I171" s="195"/>
      <c r="J171" s="194"/>
      <c r="K171" s="194"/>
      <c r="L171" s="195"/>
      <c r="M171" s="197"/>
    </row>
    <row r="172" customFormat="false" ht="14.25" hidden="false" customHeight="true" outlineLevel="0" collapsed="false">
      <c r="A172" s="194"/>
      <c r="B172" s="195"/>
      <c r="C172" s="195"/>
      <c r="D172" s="195"/>
      <c r="G172" s="86"/>
      <c r="H172" s="196"/>
      <c r="I172" s="195"/>
      <c r="J172" s="194"/>
      <c r="K172" s="194"/>
      <c r="L172" s="195"/>
      <c r="M172" s="197"/>
    </row>
    <row r="173" customFormat="false" ht="14.25" hidden="false" customHeight="true" outlineLevel="0" collapsed="false">
      <c r="A173" s="194"/>
      <c r="B173" s="195"/>
      <c r="C173" s="195"/>
      <c r="D173" s="195"/>
      <c r="G173" s="86"/>
      <c r="H173" s="196"/>
      <c r="I173" s="195"/>
      <c r="J173" s="194"/>
      <c r="K173" s="194"/>
      <c r="L173" s="195"/>
      <c r="M173" s="197"/>
    </row>
    <row r="174" customFormat="false" ht="15" hidden="false" customHeight="true" outlineLevel="0" collapsed="false">
      <c r="A174" s="194"/>
      <c r="B174" s="195"/>
      <c r="C174" s="195"/>
      <c r="D174" s="195"/>
      <c r="G174" s="86"/>
      <c r="H174" s="196"/>
      <c r="I174" s="195"/>
      <c r="J174" s="194"/>
      <c r="K174" s="194"/>
      <c r="L174" s="195"/>
      <c r="M174" s="197" t="s">
        <v>485</v>
      </c>
    </row>
    <row r="175" customFormat="false" ht="14.25" hidden="false" customHeight="true" outlineLevel="0" collapsed="false">
      <c r="A175" s="194"/>
      <c r="B175" s="195"/>
      <c r="C175" s="195"/>
      <c r="D175" s="195"/>
      <c r="G175" s="86"/>
      <c r="H175" s="196"/>
      <c r="I175" s="195"/>
      <c r="J175" s="194"/>
      <c r="K175" s="194"/>
      <c r="L175" s="195"/>
      <c r="M175" s="197"/>
    </row>
    <row r="176" customFormat="false" ht="14.25" hidden="false" customHeight="true" outlineLevel="0" collapsed="false">
      <c r="A176" s="194"/>
      <c r="B176" s="195"/>
      <c r="C176" s="195"/>
      <c r="D176" s="195"/>
      <c r="G176" s="86"/>
      <c r="H176" s="196"/>
      <c r="I176" s="195"/>
      <c r="J176" s="194"/>
      <c r="K176" s="194"/>
      <c r="L176" s="195"/>
      <c r="M176" s="197"/>
    </row>
    <row r="177" customFormat="false" ht="15" hidden="false" customHeight="true" outlineLevel="0" collapsed="false">
      <c r="A177" s="194"/>
      <c r="B177" s="195"/>
      <c r="C177" s="195"/>
      <c r="D177" s="195"/>
      <c r="G177" s="86"/>
      <c r="H177" s="196"/>
      <c r="I177" s="195"/>
      <c r="J177" s="194"/>
      <c r="K177" s="194"/>
      <c r="L177" s="195"/>
      <c r="M177" s="197" t="s">
        <v>485</v>
      </c>
    </row>
    <row r="178" customFormat="false" ht="14.25" hidden="false" customHeight="true" outlineLevel="0" collapsed="false">
      <c r="A178" s="194"/>
      <c r="B178" s="195"/>
      <c r="C178" s="195"/>
      <c r="D178" s="195"/>
      <c r="G178" s="86"/>
      <c r="H178" s="196"/>
      <c r="I178" s="195"/>
      <c r="J178" s="194"/>
      <c r="K178" s="194"/>
      <c r="L178" s="195"/>
      <c r="M178" s="197"/>
    </row>
    <row r="179" customFormat="false" ht="14.25" hidden="false" customHeight="true" outlineLevel="0" collapsed="false">
      <c r="A179" s="194"/>
      <c r="B179" s="195"/>
      <c r="C179" s="195"/>
      <c r="D179" s="195"/>
      <c r="G179" s="86"/>
      <c r="H179" s="196"/>
      <c r="I179" s="195"/>
      <c r="J179" s="194"/>
      <c r="K179" s="194"/>
      <c r="L179" s="195"/>
      <c r="M179" s="197"/>
    </row>
    <row r="180" customFormat="false" ht="14.25" hidden="false" customHeight="true" outlineLevel="0" collapsed="false">
      <c r="G180" s="86"/>
      <c r="H180" s="196"/>
    </row>
    <row r="181" customFormat="false" ht="14.25" hidden="false" customHeight="true" outlineLevel="0" collapsed="false">
      <c r="G181" s="86"/>
      <c r="H181" s="196"/>
    </row>
    <row r="182" customFormat="false" ht="14.25" hidden="false" customHeight="true" outlineLevel="0" collapsed="false">
      <c r="G182" s="86"/>
      <c r="H182" s="196"/>
    </row>
    <row r="183" customFormat="false" ht="14.25" hidden="false" customHeight="true" outlineLevel="0" collapsed="false">
      <c r="G183" s="86"/>
      <c r="H183" s="196"/>
    </row>
    <row r="184" customFormat="false" ht="14.25" hidden="false" customHeight="true" outlineLevel="0" collapsed="false">
      <c r="G184" s="86"/>
      <c r="H184" s="196"/>
    </row>
    <row r="185" customFormat="false" ht="14.25" hidden="false" customHeight="true" outlineLevel="0" collapsed="false">
      <c r="G185" s="86"/>
      <c r="H185" s="196"/>
    </row>
    <row r="186" customFormat="false" ht="14.25" hidden="false" customHeight="true" outlineLevel="0" collapsed="false">
      <c r="G186" s="86"/>
      <c r="H186" s="196"/>
    </row>
    <row r="187" customFormat="false" ht="14.25" hidden="false" customHeight="true" outlineLevel="0" collapsed="false">
      <c r="G187" s="86"/>
      <c r="H187" s="196"/>
    </row>
    <row r="188" customFormat="false" ht="14.25" hidden="false" customHeight="true" outlineLevel="0" collapsed="false">
      <c r="G188" s="86"/>
      <c r="H188" s="196"/>
    </row>
    <row r="189" customFormat="false" ht="14.25" hidden="false" customHeight="true" outlineLevel="0" collapsed="false">
      <c r="G189" s="86"/>
      <c r="H189" s="196"/>
    </row>
    <row r="190" customFormat="false" ht="14.25" hidden="false" customHeight="true" outlineLevel="0" collapsed="false">
      <c r="G190" s="86"/>
      <c r="H190" s="196"/>
    </row>
    <row r="191" customFormat="false" ht="14.25" hidden="false" customHeight="true" outlineLevel="0" collapsed="false">
      <c r="G191" s="86"/>
      <c r="H191" s="196"/>
    </row>
    <row r="192" customFormat="false" ht="14.25" hidden="false" customHeight="true" outlineLevel="0" collapsed="false">
      <c r="G192" s="86"/>
      <c r="H192" s="196"/>
    </row>
    <row r="193" customFormat="false" ht="14.25" hidden="false" customHeight="true" outlineLevel="0" collapsed="false">
      <c r="G193" s="86"/>
      <c r="H193" s="196"/>
    </row>
    <row r="194" customFormat="false" ht="14.25" hidden="false" customHeight="true" outlineLevel="0" collapsed="false">
      <c r="G194" s="86"/>
      <c r="H194" s="196"/>
    </row>
    <row r="195" customFormat="false" ht="14.25" hidden="false" customHeight="true" outlineLevel="0" collapsed="false">
      <c r="G195" s="86"/>
      <c r="H195" s="196"/>
    </row>
    <row r="196" customFormat="false" ht="14.25" hidden="false" customHeight="true" outlineLevel="0" collapsed="false">
      <c r="G196" s="86"/>
      <c r="H196" s="196"/>
    </row>
    <row r="197" customFormat="false" ht="14.25" hidden="false" customHeight="true" outlineLevel="0" collapsed="false">
      <c r="G197" s="86"/>
      <c r="H197" s="196"/>
    </row>
    <row r="198" customFormat="false" ht="14.25" hidden="false" customHeight="true" outlineLevel="0" collapsed="false">
      <c r="G198" s="86"/>
      <c r="H198" s="196"/>
    </row>
    <row r="199" customFormat="false" ht="14.25" hidden="false" customHeight="true" outlineLevel="0" collapsed="false">
      <c r="G199" s="86"/>
      <c r="H199" s="196"/>
    </row>
    <row r="200" customFormat="false" ht="14.25" hidden="false" customHeight="true" outlineLevel="0" collapsed="false">
      <c r="G200" s="86"/>
      <c r="H200" s="196"/>
    </row>
    <row r="201" customFormat="false" ht="14.25" hidden="false" customHeight="true" outlineLevel="0" collapsed="false">
      <c r="G201" s="86"/>
      <c r="H201" s="196"/>
    </row>
    <row r="202" customFormat="false" ht="14.25" hidden="false" customHeight="true" outlineLevel="0" collapsed="false">
      <c r="G202" s="86"/>
      <c r="H202" s="196"/>
    </row>
    <row r="203" customFormat="false" ht="14.25" hidden="false" customHeight="true" outlineLevel="0" collapsed="false">
      <c r="G203" s="86"/>
      <c r="H203" s="196"/>
    </row>
    <row r="204" customFormat="false" ht="14.25" hidden="false" customHeight="true" outlineLevel="0" collapsed="false">
      <c r="G204" s="86"/>
      <c r="H204" s="196"/>
    </row>
    <row r="205" customFormat="false" ht="14.25" hidden="false" customHeight="true" outlineLevel="0" collapsed="false">
      <c r="G205" s="86"/>
      <c r="H205" s="196"/>
    </row>
    <row r="206" customFormat="false" ht="14.25" hidden="false" customHeight="true" outlineLevel="0" collapsed="false">
      <c r="G206" s="86"/>
      <c r="H206" s="196"/>
    </row>
    <row r="207" customFormat="false" ht="14.25" hidden="false" customHeight="true" outlineLevel="0" collapsed="false">
      <c r="G207" s="86"/>
      <c r="H207" s="196"/>
    </row>
    <row r="208" customFormat="false" ht="14.25" hidden="false" customHeight="true" outlineLevel="0" collapsed="false">
      <c r="G208" s="86"/>
      <c r="H208" s="196"/>
    </row>
    <row r="209" customFormat="false" ht="14.25" hidden="false" customHeight="true" outlineLevel="0" collapsed="false">
      <c r="G209" s="86"/>
      <c r="H209" s="196"/>
    </row>
    <row r="210" customFormat="false" ht="14.25" hidden="false" customHeight="true" outlineLevel="0" collapsed="false">
      <c r="G210" s="86"/>
      <c r="H210" s="196"/>
    </row>
    <row r="211" customFormat="false" ht="14.25" hidden="false" customHeight="true" outlineLevel="0" collapsed="false">
      <c r="G211" s="86"/>
      <c r="H211" s="196"/>
    </row>
    <row r="212" customFormat="false" ht="14.25" hidden="false" customHeight="true" outlineLevel="0" collapsed="false">
      <c r="G212" s="86"/>
      <c r="H212" s="196"/>
    </row>
    <row r="213" customFormat="false" ht="14.25" hidden="false" customHeight="true" outlineLevel="0" collapsed="false">
      <c r="G213" s="86"/>
      <c r="H213" s="196"/>
    </row>
    <row r="214" customFormat="false" ht="14.25" hidden="false" customHeight="true" outlineLevel="0" collapsed="false">
      <c r="G214" s="86"/>
      <c r="H214" s="196"/>
    </row>
    <row r="215" customFormat="false" ht="14.25" hidden="false" customHeight="true" outlineLevel="0" collapsed="false">
      <c r="G215" s="86"/>
      <c r="H215" s="196"/>
    </row>
    <row r="216" customFormat="false" ht="14.25" hidden="false" customHeight="true" outlineLevel="0" collapsed="false">
      <c r="G216" s="86"/>
      <c r="H216" s="196"/>
    </row>
    <row r="217" customFormat="false" ht="14.25" hidden="false" customHeight="true" outlineLevel="0" collapsed="false">
      <c r="G217" s="86"/>
      <c r="H217" s="196"/>
    </row>
    <row r="218" customFormat="false" ht="14.25" hidden="false" customHeight="true" outlineLevel="0" collapsed="false">
      <c r="G218" s="86"/>
      <c r="H218" s="196"/>
    </row>
    <row r="219" customFormat="false" ht="14.25" hidden="false" customHeight="true" outlineLevel="0" collapsed="false">
      <c r="G219" s="86"/>
      <c r="H219" s="196"/>
    </row>
    <row r="220" customFormat="false" ht="14.25" hidden="false" customHeight="true" outlineLevel="0" collapsed="false">
      <c r="G220" s="86"/>
      <c r="H220" s="196"/>
    </row>
    <row r="221" customFormat="false" ht="14.25" hidden="false" customHeight="true" outlineLevel="0" collapsed="false">
      <c r="G221" s="86"/>
      <c r="H221" s="196"/>
    </row>
    <row r="222" customFormat="false" ht="14.25" hidden="false" customHeight="true" outlineLevel="0" collapsed="false">
      <c r="G222" s="86"/>
      <c r="H222" s="196"/>
    </row>
    <row r="223" customFormat="false" ht="14.25" hidden="false" customHeight="true" outlineLevel="0" collapsed="false">
      <c r="G223" s="86"/>
      <c r="H223" s="196"/>
    </row>
    <row r="224" customFormat="false" ht="14.25" hidden="false" customHeight="true" outlineLevel="0" collapsed="false">
      <c r="G224" s="86"/>
      <c r="H224" s="196"/>
    </row>
    <row r="225" customFormat="false" ht="14.25" hidden="false" customHeight="true" outlineLevel="0" collapsed="false">
      <c r="G225" s="86"/>
      <c r="H225" s="196"/>
    </row>
    <row r="226" customFormat="false" ht="14.25" hidden="false" customHeight="true" outlineLevel="0" collapsed="false">
      <c r="G226" s="86"/>
      <c r="H226" s="196"/>
    </row>
    <row r="227" customFormat="false" ht="14.25" hidden="false" customHeight="true" outlineLevel="0" collapsed="false">
      <c r="G227" s="86"/>
      <c r="H227" s="196"/>
    </row>
    <row r="228" customFormat="false" ht="14.25" hidden="false" customHeight="true" outlineLevel="0" collapsed="false">
      <c r="G228" s="86"/>
      <c r="H228" s="196"/>
    </row>
    <row r="229" customFormat="false" ht="14.25" hidden="false" customHeight="true" outlineLevel="0" collapsed="false">
      <c r="G229" s="86"/>
      <c r="H229" s="196"/>
    </row>
    <row r="230" customFormat="false" ht="14.25" hidden="false" customHeight="true" outlineLevel="0" collapsed="false">
      <c r="G230" s="86"/>
      <c r="H230" s="196"/>
    </row>
    <row r="231" customFormat="false" ht="14.25" hidden="false" customHeight="true" outlineLevel="0" collapsed="false">
      <c r="G231" s="86"/>
      <c r="H231" s="196"/>
    </row>
    <row r="232" customFormat="false" ht="14.25" hidden="false" customHeight="true" outlineLevel="0" collapsed="false">
      <c r="G232" s="86"/>
      <c r="H232" s="196"/>
    </row>
    <row r="233" customFormat="false" ht="14.25" hidden="false" customHeight="true" outlineLevel="0" collapsed="false">
      <c r="G233" s="86"/>
      <c r="H233" s="196"/>
    </row>
    <row r="234" customFormat="false" ht="14.25" hidden="false" customHeight="true" outlineLevel="0" collapsed="false">
      <c r="G234" s="86"/>
      <c r="H234" s="196"/>
    </row>
    <row r="235" customFormat="false" ht="14.25" hidden="false" customHeight="true" outlineLevel="0" collapsed="false">
      <c r="G235" s="86"/>
      <c r="H235" s="196"/>
    </row>
    <row r="236" customFormat="false" ht="14.25" hidden="false" customHeight="true" outlineLevel="0" collapsed="false">
      <c r="G236" s="86"/>
      <c r="H236" s="196"/>
    </row>
    <row r="237" customFormat="false" ht="14.25" hidden="false" customHeight="true" outlineLevel="0" collapsed="false">
      <c r="G237" s="86"/>
      <c r="H237" s="196"/>
    </row>
    <row r="238" customFormat="false" ht="14.25" hidden="false" customHeight="true" outlineLevel="0" collapsed="false">
      <c r="G238" s="86"/>
      <c r="H238" s="196"/>
    </row>
    <row r="239" customFormat="false" ht="14.25" hidden="false" customHeight="true" outlineLevel="0" collapsed="false">
      <c r="G239" s="86"/>
      <c r="H239" s="196"/>
    </row>
    <row r="240" customFormat="false" ht="14.25" hidden="false" customHeight="true" outlineLevel="0" collapsed="false">
      <c r="G240" s="86"/>
      <c r="H240" s="196"/>
    </row>
    <row r="241" customFormat="false" ht="14.25" hidden="false" customHeight="true" outlineLevel="0" collapsed="false">
      <c r="G241" s="86"/>
      <c r="H241" s="196"/>
    </row>
    <row r="242" customFormat="false" ht="14.25" hidden="false" customHeight="true" outlineLevel="0" collapsed="false">
      <c r="G242" s="198"/>
      <c r="H242" s="199"/>
    </row>
  </sheetData>
  <autoFilter ref="A1:N10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9.1484375" defaultRowHeight="14.25" customHeight="false" zeroHeight="false" outlineLevelRow="0" outlineLevelCol="0"/>
  <cols>
    <col collapsed="false" customWidth="true" hidden="false" outlineLevel="0" max="1" min="1" style="85" width="29.57"/>
    <col collapsed="false" customWidth="true" hidden="false" outlineLevel="0" max="2" min="2" style="90" width="44.29"/>
    <col collapsed="false" customWidth="false" hidden="false" outlineLevel="0" max="16384" min="3" style="85" width="9.14"/>
  </cols>
  <sheetData>
    <row r="1" customFormat="false" ht="14.25" hidden="false" customHeight="true" outlineLevel="0" collapsed="false">
      <c r="A1" s="85" t="s">
        <v>640</v>
      </c>
    </row>
    <row r="2" customFormat="false" ht="14.25" hidden="false" customHeight="true" outlineLevel="0" collapsed="false">
      <c r="A2" s="85" t="s">
        <v>641</v>
      </c>
    </row>
    <row r="3" customFormat="false" ht="14.25" hidden="false" customHeight="true" outlineLevel="0" collapsed="false">
      <c r="A3" s="85" t="s">
        <v>642</v>
      </c>
    </row>
    <row r="4" customFormat="false" ht="14.25" hidden="false" customHeight="true" outlineLevel="0" collapsed="false">
      <c r="A4" s="85" t="s">
        <v>643</v>
      </c>
    </row>
    <row r="5" customFormat="false" ht="43.5" hidden="false" customHeight="true" outlineLevel="0" collapsed="false">
      <c r="A5" s="85" t="s">
        <v>644</v>
      </c>
      <c r="B5" s="90" t="s">
        <v>645</v>
      </c>
    </row>
    <row r="7" customFormat="false" ht="28.5" hidden="false" customHeight="true" outlineLevel="0" collapsed="false">
      <c r="A7" s="85" t="s">
        <v>646</v>
      </c>
      <c r="B7" s="200" t="s">
        <v>647</v>
      </c>
    </row>
    <row r="8" customFormat="false" ht="14.25" hidden="false" customHeight="true" outlineLevel="0" collapsed="false">
      <c r="A8" s="85" t="s">
        <v>648</v>
      </c>
    </row>
    <row r="9" customFormat="false" ht="28.5" hidden="false" customHeight="true" outlineLevel="0" collapsed="false">
      <c r="A9" s="85" t="s">
        <v>649</v>
      </c>
      <c r="B9" s="90" t="s">
        <v>650</v>
      </c>
    </row>
    <row r="10" customFormat="false" ht="14.25" hidden="false" customHeight="true" outlineLevel="0" collapsed="false">
      <c r="A10" s="85"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2"/>
  <sheetViews>
    <sheetView showFormulas="false" showGridLines="true" showRowColHeaders="true" showZeros="true" rightToLeft="false" tabSelected="false" showOutlineSymbols="true" defaultGridColor="true" view="normal" topLeftCell="A60" colorId="64" zoomScale="100" zoomScaleNormal="100" zoomScalePageLayoutView="100" workbookViewId="0">
      <selection pane="topLeft" activeCell="I46" activeCellId="0" sqref="I46"/>
    </sheetView>
  </sheetViews>
  <sheetFormatPr defaultColWidth="9.1484375" defaultRowHeight="14.25" customHeight="false" zeroHeight="false" outlineLevelRow="0" outlineLevelCol="0"/>
  <cols>
    <col collapsed="false" customWidth="false" hidden="false" outlineLevel="0" max="1" min="1" style="84" width="9.14"/>
    <col collapsed="false" customWidth="false" hidden="false" outlineLevel="0" max="2" min="2" style="85" width="9.14"/>
    <col collapsed="false" customWidth="true" hidden="false" outlineLevel="0" max="3" min="3" style="85" width="7.57"/>
    <col collapsed="false" customWidth="true" hidden="false" outlineLevel="0" max="4" min="4" style="85" width="5.14"/>
    <col collapsed="false" customWidth="true" hidden="false" outlineLevel="0" max="5" min="5" style="86" width="7.57"/>
    <col collapsed="false" customWidth="true" hidden="false" outlineLevel="0" max="6" min="6" style="86" width="8.71"/>
    <col collapsed="false" customWidth="true" hidden="false" outlineLevel="0" max="7" min="7" style="87" width="22.29"/>
    <col collapsed="false" customWidth="true" hidden="false" outlineLevel="0" max="8" min="8" style="88" width="19.14"/>
    <col collapsed="false" customWidth="true" hidden="false" outlineLevel="0" max="9" min="9" style="85" width="73.14"/>
    <col collapsed="false" customWidth="true" hidden="false" outlineLevel="0" max="10" min="10" style="84" width="7.71"/>
    <col collapsed="false" customWidth="true" hidden="false" outlineLevel="0" max="11" min="11" style="89" width="7.29"/>
    <col collapsed="false" customWidth="true" hidden="false" outlineLevel="0" max="12" min="12" style="85" width="12.86"/>
    <col collapsed="false" customWidth="true" hidden="false" outlineLevel="0" max="13" min="13" style="85" width="81.14"/>
    <col collapsed="false" customWidth="false" hidden="false" outlineLevel="0" max="16384" min="14" style="85" width="9.14"/>
  </cols>
  <sheetData>
    <row r="1" s="84" customFormat="true" ht="48" hidden="false" customHeight="true" outlineLevel="0" collapsed="false">
      <c r="A1" s="91" t="s">
        <v>0</v>
      </c>
      <c r="B1" s="91" t="s">
        <v>1</v>
      </c>
      <c r="C1" s="91" t="s">
        <v>2</v>
      </c>
      <c r="D1" s="91" t="s">
        <v>3</v>
      </c>
      <c r="E1" s="92" t="s">
        <v>4</v>
      </c>
      <c r="F1" s="92" t="s">
        <v>5</v>
      </c>
      <c r="G1" s="7" t="s">
        <v>6</v>
      </c>
      <c r="H1" s="7" t="s">
        <v>7</v>
      </c>
      <c r="I1" s="91" t="s">
        <v>8</v>
      </c>
      <c r="J1" s="91" t="s">
        <v>9</v>
      </c>
      <c r="K1" s="91" t="s">
        <v>10</v>
      </c>
      <c r="L1" s="91" t="s">
        <v>11</v>
      </c>
      <c r="M1" s="94" t="s">
        <v>12</v>
      </c>
    </row>
    <row r="2" customFormat="false" ht="94.5" hidden="false" customHeight="true" outlineLevel="0" collapsed="false">
      <c r="A2" s="95" t="s">
        <v>14</v>
      </c>
      <c r="B2" s="96" t="s">
        <v>15</v>
      </c>
      <c r="C2" s="96" t="s">
        <v>15</v>
      </c>
      <c r="D2" s="96" t="s">
        <v>16</v>
      </c>
      <c r="E2" s="97" t="s">
        <v>15</v>
      </c>
      <c r="F2" s="97" t="s">
        <v>17</v>
      </c>
      <c r="G2" s="13" t="s">
        <v>18</v>
      </c>
      <c r="H2" s="13" t="s">
        <v>19</v>
      </c>
      <c r="I2" s="11" t="s">
        <v>652</v>
      </c>
      <c r="J2" s="95" t="s">
        <v>21</v>
      </c>
      <c r="K2" s="98" t="n">
        <v>10</v>
      </c>
      <c r="L2" s="96" t="s">
        <v>22</v>
      </c>
      <c r="M2" s="106" t="s">
        <v>653</v>
      </c>
    </row>
    <row r="3" customFormat="false" ht="85.5" hidden="false" customHeight="true" outlineLevel="0" collapsed="false">
      <c r="A3" s="95" t="s">
        <v>25</v>
      </c>
      <c r="B3" s="96" t="s">
        <v>26</v>
      </c>
      <c r="C3" s="96" t="s">
        <v>27</v>
      </c>
      <c r="D3" s="96" t="s">
        <v>16</v>
      </c>
      <c r="E3" s="97" t="s">
        <v>28</v>
      </c>
      <c r="F3" s="97" t="s">
        <v>17</v>
      </c>
      <c r="G3" s="13" t="s">
        <v>18</v>
      </c>
      <c r="H3" s="13" t="s">
        <v>19</v>
      </c>
      <c r="I3" s="96" t="s">
        <v>521</v>
      </c>
      <c r="J3" s="95" t="s">
        <v>21</v>
      </c>
      <c r="K3" s="98" t="n">
        <v>10</v>
      </c>
      <c r="L3" s="96" t="s">
        <v>22</v>
      </c>
      <c r="M3" s="106" t="s">
        <v>522</v>
      </c>
    </row>
    <row r="4" customFormat="false" ht="48" hidden="false" customHeight="true" outlineLevel="0" collapsed="false">
      <c r="A4" s="101" t="s">
        <v>53</v>
      </c>
      <c r="B4" s="102" t="s">
        <v>28</v>
      </c>
      <c r="C4" s="96" t="s">
        <v>28</v>
      </c>
      <c r="D4" s="96" t="s">
        <v>16</v>
      </c>
      <c r="E4" s="97" t="s">
        <v>55</v>
      </c>
      <c r="F4" s="97" t="s">
        <v>17</v>
      </c>
      <c r="G4" s="13" t="s">
        <v>18</v>
      </c>
      <c r="H4" s="13" t="s">
        <v>33</v>
      </c>
      <c r="I4" s="102" t="s">
        <v>654</v>
      </c>
      <c r="J4" s="101" t="s">
        <v>21</v>
      </c>
      <c r="K4" s="103" t="n">
        <v>10</v>
      </c>
      <c r="L4" s="102" t="s">
        <v>22</v>
      </c>
      <c r="M4" s="106" t="s">
        <v>523</v>
      </c>
    </row>
    <row r="5" customFormat="false" ht="105.75" hidden="false" customHeight="true" outlineLevel="0" collapsed="false">
      <c r="A5" s="105" t="s">
        <v>524</v>
      </c>
      <c r="B5" s="106" t="s">
        <v>37</v>
      </c>
      <c r="C5" s="106" t="s">
        <v>37</v>
      </c>
      <c r="D5" s="96" t="s">
        <v>16</v>
      </c>
      <c r="E5" s="97" t="s">
        <v>525</v>
      </c>
      <c r="F5" s="97" t="s">
        <v>17</v>
      </c>
      <c r="G5" s="13" t="s">
        <v>18</v>
      </c>
      <c r="H5" s="13" t="s">
        <v>33</v>
      </c>
      <c r="I5" s="21" t="s">
        <v>655</v>
      </c>
      <c r="J5" s="105" t="s">
        <v>40</v>
      </c>
      <c r="K5" s="107" t="n">
        <v>3.3</v>
      </c>
      <c r="L5" s="106" t="s">
        <v>22</v>
      </c>
      <c r="M5" s="106" t="s">
        <v>656</v>
      </c>
    </row>
    <row r="6" customFormat="false" ht="42.75" hidden="false" customHeight="true" outlineLevel="0" collapsed="false">
      <c r="A6" s="105" t="s">
        <v>526</v>
      </c>
      <c r="B6" s="106" t="s">
        <v>43</v>
      </c>
      <c r="C6" s="106" t="s">
        <v>43</v>
      </c>
      <c r="D6" s="96" t="s">
        <v>16</v>
      </c>
      <c r="E6" s="97" t="s">
        <v>527</v>
      </c>
      <c r="F6" s="97" t="s">
        <v>17</v>
      </c>
      <c r="G6" s="13" t="s">
        <v>18</v>
      </c>
      <c r="H6" s="13" t="s">
        <v>33</v>
      </c>
      <c r="I6" s="21" t="s">
        <v>657</v>
      </c>
      <c r="J6" s="105" t="s">
        <v>40</v>
      </c>
      <c r="K6" s="107" t="n">
        <v>3.3</v>
      </c>
      <c r="L6" s="106" t="s">
        <v>22</v>
      </c>
      <c r="M6" s="106" t="s">
        <v>658</v>
      </c>
    </row>
    <row r="7" customFormat="false" ht="40.5" hidden="false" customHeight="true" outlineLevel="0" collapsed="false">
      <c r="A7" s="105" t="s">
        <v>529</v>
      </c>
      <c r="B7" s="106" t="s">
        <v>48</v>
      </c>
      <c r="C7" s="106" t="s">
        <v>48</v>
      </c>
      <c r="D7" s="96" t="s">
        <v>16</v>
      </c>
      <c r="E7" s="97" t="s">
        <v>530</v>
      </c>
      <c r="F7" s="97" t="s">
        <v>17</v>
      </c>
      <c r="G7" s="13" t="s">
        <v>18</v>
      </c>
      <c r="H7" s="13" t="s">
        <v>33</v>
      </c>
      <c r="I7" s="21" t="s">
        <v>659</v>
      </c>
      <c r="J7" s="105" t="s">
        <v>40</v>
      </c>
      <c r="K7" s="107" t="n">
        <v>3.3</v>
      </c>
      <c r="L7" s="106" t="s">
        <v>22</v>
      </c>
      <c r="M7" s="106" t="s">
        <v>660</v>
      </c>
    </row>
    <row r="8" customFormat="false" ht="54" hidden="false" customHeight="true" outlineLevel="0" collapsed="false">
      <c r="A8" s="95" t="s">
        <v>58</v>
      </c>
      <c r="B8" s="96" t="s">
        <v>27</v>
      </c>
      <c r="C8" s="96" t="s">
        <v>54</v>
      </c>
      <c r="D8" s="96" t="s">
        <v>16</v>
      </c>
      <c r="E8" s="97" t="s">
        <v>59</v>
      </c>
      <c r="F8" s="97" t="s">
        <v>17</v>
      </c>
      <c r="G8" s="13" t="s">
        <v>18</v>
      </c>
      <c r="H8" s="13" t="s">
        <v>33</v>
      </c>
      <c r="I8" s="96" t="s">
        <v>661</v>
      </c>
      <c r="J8" s="95" t="s">
        <v>21</v>
      </c>
      <c r="K8" s="98" t="n">
        <v>10</v>
      </c>
      <c r="L8" s="96" t="s">
        <v>22</v>
      </c>
      <c r="M8" s="106" t="s">
        <v>662</v>
      </c>
    </row>
    <row r="9" customFormat="false" ht="391.5" hidden="false" customHeight="true" outlineLevel="0" collapsed="false">
      <c r="A9" s="101" t="s">
        <v>74</v>
      </c>
      <c r="B9" s="102" t="s">
        <v>100</v>
      </c>
      <c r="C9" s="102" t="s">
        <v>59</v>
      </c>
      <c r="D9" s="96" t="s">
        <v>16</v>
      </c>
      <c r="E9" s="97" t="s">
        <v>27</v>
      </c>
      <c r="F9" s="97" t="s">
        <v>17</v>
      </c>
      <c r="G9" s="13" t="s">
        <v>18</v>
      </c>
      <c r="H9" s="13" t="s">
        <v>663</v>
      </c>
      <c r="I9" s="201" t="s">
        <v>664</v>
      </c>
      <c r="J9" s="101" t="s">
        <v>21</v>
      </c>
      <c r="K9" s="103" t="n">
        <v>10</v>
      </c>
      <c r="L9" s="102" t="s">
        <v>22</v>
      </c>
      <c r="M9" s="106" t="s">
        <v>665</v>
      </c>
    </row>
    <row r="10" customFormat="false" ht="25.5" hidden="false" customHeight="true" outlineLevel="0" collapsed="false">
      <c r="A10" s="105" t="s">
        <v>666</v>
      </c>
      <c r="B10" s="106" t="s">
        <v>667</v>
      </c>
      <c r="C10" s="106" t="s">
        <v>63</v>
      </c>
      <c r="D10" s="96" t="s">
        <v>16</v>
      </c>
      <c r="E10" s="97" t="s">
        <v>668</v>
      </c>
      <c r="F10" s="97" t="s">
        <v>17</v>
      </c>
      <c r="G10" s="13" t="s">
        <v>18</v>
      </c>
      <c r="H10" s="13" t="s">
        <v>663</v>
      </c>
      <c r="I10" s="106" t="s">
        <v>669</v>
      </c>
      <c r="J10" s="105" t="s">
        <v>40</v>
      </c>
      <c r="K10" s="107" t="n">
        <v>3.3</v>
      </c>
      <c r="L10" s="102" t="s">
        <v>22</v>
      </c>
      <c r="M10" s="106" t="s">
        <v>670</v>
      </c>
    </row>
    <row r="11" customFormat="false" ht="25.5" hidden="false" customHeight="true" outlineLevel="0" collapsed="false">
      <c r="A11" s="105" t="s">
        <v>671</v>
      </c>
      <c r="B11" s="106" t="s">
        <v>672</v>
      </c>
      <c r="C11" s="106" t="s">
        <v>67</v>
      </c>
      <c r="D11" s="96" t="s">
        <v>16</v>
      </c>
      <c r="E11" s="97" t="s">
        <v>673</v>
      </c>
      <c r="F11" s="97" t="s">
        <v>17</v>
      </c>
      <c r="G11" s="13" t="s">
        <v>18</v>
      </c>
      <c r="H11" s="13" t="s">
        <v>663</v>
      </c>
      <c r="I11" s="106" t="s">
        <v>674</v>
      </c>
      <c r="J11" s="105" t="s">
        <v>40</v>
      </c>
      <c r="K11" s="107" t="n">
        <v>3.3</v>
      </c>
      <c r="L11" s="102" t="s">
        <v>22</v>
      </c>
      <c r="M11" s="106" t="s">
        <v>670</v>
      </c>
    </row>
    <row r="12" customFormat="false" ht="37.5" hidden="false" customHeight="true" outlineLevel="0" collapsed="false">
      <c r="A12" s="105" t="s">
        <v>675</v>
      </c>
      <c r="B12" s="106" t="s">
        <v>676</v>
      </c>
      <c r="C12" s="106" t="s">
        <v>71</v>
      </c>
      <c r="D12" s="96" t="s">
        <v>16</v>
      </c>
      <c r="E12" s="97" t="s">
        <v>677</v>
      </c>
      <c r="F12" s="97" t="s">
        <v>17</v>
      </c>
      <c r="G12" s="13" t="s">
        <v>18</v>
      </c>
      <c r="H12" s="13" t="s">
        <v>663</v>
      </c>
      <c r="I12" s="106" t="s">
        <v>678</v>
      </c>
      <c r="J12" s="105" t="s">
        <v>40</v>
      </c>
      <c r="K12" s="107" t="n">
        <v>3.3</v>
      </c>
      <c r="L12" s="102" t="s">
        <v>22</v>
      </c>
      <c r="M12" s="106" t="s">
        <v>679</v>
      </c>
    </row>
    <row r="13" customFormat="false" ht="87" hidden="false" customHeight="true" outlineLevel="0" collapsed="false">
      <c r="A13" s="95" t="s">
        <v>78</v>
      </c>
      <c r="B13" s="96" t="s">
        <v>59</v>
      </c>
      <c r="C13" s="96" t="s">
        <v>55</v>
      </c>
      <c r="D13" s="96" t="s">
        <v>16</v>
      </c>
      <c r="E13" s="97" t="s">
        <v>80</v>
      </c>
      <c r="F13" s="97" t="s">
        <v>17</v>
      </c>
      <c r="G13" s="13" t="s">
        <v>18</v>
      </c>
      <c r="H13" s="13" t="s">
        <v>541</v>
      </c>
      <c r="I13" s="96" t="s">
        <v>680</v>
      </c>
      <c r="J13" s="95" t="s">
        <v>21</v>
      </c>
      <c r="K13" s="98" t="n">
        <v>10</v>
      </c>
      <c r="L13" s="96" t="s">
        <v>22</v>
      </c>
      <c r="M13" s="106" t="s">
        <v>681</v>
      </c>
    </row>
    <row r="14" s="167" customFormat="true" ht="37.5" hidden="false" customHeight="true" outlineLevel="0" collapsed="false">
      <c r="A14" s="202" t="s">
        <v>31</v>
      </c>
      <c r="B14" s="203" t="s">
        <v>112</v>
      </c>
      <c r="C14" s="203" t="s">
        <v>80</v>
      </c>
      <c r="D14" s="203" t="s">
        <v>16</v>
      </c>
      <c r="E14" s="204" t="s">
        <v>32</v>
      </c>
      <c r="F14" s="204" t="s">
        <v>17</v>
      </c>
      <c r="G14" s="160" t="s">
        <v>18</v>
      </c>
      <c r="H14" s="160" t="s">
        <v>663</v>
      </c>
      <c r="I14" s="205" t="s">
        <v>682</v>
      </c>
      <c r="J14" s="202" t="s">
        <v>21</v>
      </c>
      <c r="K14" s="206" t="n">
        <v>10</v>
      </c>
      <c r="L14" s="203" t="s">
        <v>22</v>
      </c>
      <c r="M14" s="207" t="s">
        <v>683</v>
      </c>
    </row>
    <row r="15" customFormat="false" ht="42" hidden="false" customHeight="true" outlineLevel="0" collapsed="false">
      <c r="A15" s="95" t="s">
        <v>251</v>
      </c>
      <c r="B15" s="96" t="s">
        <v>79</v>
      </c>
      <c r="C15" s="96" t="s">
        <v>26</v>
      </c>
      <c r="D15" s="96" t="s">
        <v>16</v>
      </c>
      <c r="E15" s="97" t="s">
        <v>252</v>
      </c>
      <c r="F15" s="97" t="s">
        <v>17</v>
      </c>
      <c r="G15" s="13" t="s">
        <v>18</v>
      </c>
      <c r="H15" s="13" t="s">
        <v>81</v>
      </c>
      <c r="I15" s="102" t="s">
        <v>82</v>
      </c>
      <c r="J15" s="95" t="s">
        <v>21</v>
      </c>
      <c r="K15" s="98" t="n">
        <v>10</v>
      </c>
      <c r="L15" s="96" t="s">
        <v>97</v>
      </c>
      <c r="M15" s="106" t="s">
        <v>54</v>
      </c>
    </row>
    <row r="16" customFormat="false" ht="81" hidden="false" customHeight="true" outlineLevel="0" collapsed="false">
      <c r="A16" s="105" t="s">
        <v>257</v>
      </c>
      <c r="B16" s="106" t="s">
        <v>86</v>
      </c>
      <c r="C16" s="106" t="s">
        <v>87</v>
      </c>
      <c r="D16" s="96" t="s">
        <v>16</v>
      </c>
      <c r="E16" s="97" t="s">
        <v>258</v>
      </c>
      <c r="F16" s="97" t="s">
        <v>17</v>
      </c>
      <c r="G16" s="13" t="s">
        <v>18</v>
      </c>
      <c r="H16" s="13" t="s">
        <v>81</v>
      </c>
      <c r="I16" s="106" t="s">
        <v>684</v>
      </c>
      <c r="J16" s="105" t="s">
        <v>40</v>
      </c>
      <c r="K16" s="107" t="n">
        <v>5</v>
      </c>
      <c r="L16" s="102" t="s">
        <v>97</v>
      </c>
      <c r="M16" s="106" t="s">
        <v>685</v>
      </c>
    </row>
    <row r="17" customFormat="false" ht="100.5" hidden="false" customHeight="true" outlineLevel="0" collapsed="false">
      <c r="A17" s="105" t="s">
        <v>274</v>
      </c>
      <c r="B17" s="106" t="s">
        <v>93</v>
      </c>
      <c r="C17" s="106" t="s">
        <v>94</v>
      </c>
      <c r="D17" s="96" t="s">
        <v>16</v>
      </c>
      <c r="E17" s="97" t="s">
        <v>275</v>
      </c>
      <c r="F17" s="97" t="s">
        <v>17</v>
      </c>
      <c r="G17" s="13" t="s">
        <v>18</v>
      </c>
      <c r="H17" s="13" t="s">
        <v>81</v>
      </c>
      <c r="I17" s="106" t="s">
        <v>545</v>
      </c>
      <c r="J17" s="105" t="s">
        <v>40</v>
      </c>
      <c r="K17" s="107" t="n">
        <v>5</v>
      </c>
      <c r="L17" s="102" t="s">
        <v>97</v>
      </c>
      <c r="M17" s="106" t="s">
        <v>686</v>
      </c>
    </row>
    <row r="18" customFormat="false" ht="121.5" hidden="false" customHeight="true" outlineLevel="0" collapsed="false">
      <c r="A18" s="105" t="s">
        <v>294</v>
      </c>
      <c r="B18" s="129" t="s">
        <v>485</v>
      </c>
      <c r="C18" s="129" t="s">
        <v>485</v>
      </c>
      <c r="D18" s="208" t="s">
        <v>16</v>
      </c>
      <c r="E18" s="209" t="s">
        <v>295</v>
      </c>
      <c r="F18" s="209" t="s">
        <v>17</v>
      </c>
      <c r="G18" s="13" t="s">
        <v>18</v>
      </c>
      <c r="H18" s="13" t="s">
        <v>81</v>
      </c>
      <c r="I18" s="11" t="s">
        <v>101</v>
      </c>
      <c r="J18" s="105" t="s">
        <v>21</v>
      </c>
      <c r="K18" s="107" t="n">
        <v>10</v>
      </c>
      <c r="L18" s="208" t="s">
        <v>97</v>
      </c>
      <c r="M18" s="21" t="s">
        <v>687</v>
      </c>
    </row>
    <row r="19" customFormat="false" ht="88.5" hidden="false" customHeight="true" outlineLevel="0" collapsed="false">
      <c r="A19" s="95" t="s">
        <v>99</v>
      </c>
      <c r="B19" s="96" t="s">
        <v>55</v>
      </c>
      <c r="C19" s="96" t="s">
        <v>32</v>
      </c>
      <c r="D19" s="96" t="s">
        <v>16</v>
      </c>
      <c r="E19" s="97" t="s">
        <v>100</v>
      </c>
      <c r="F19" s="97" t="s">
        <v>17</v>
      </c>
      <c r="G19" s="13" t="s">
        <v>548</v>
      </c>
      <c r="H19" s="13" t="s">
        <v>106</v>
      </c>
      <c r="I19" s="96" t="s">
        <v>688</v>
      </c>
      <c r="J19" s="95" t="s">
        <v>21</v>
      </c>
      <c r="K19" s="98" t="n">
        <v>10</v>
      </c>
      <c r="L19" s="96" t="s">
        <v>22</v>
      </c>
      <c r="M19" s="106" t="s">
        <v>689</v>
      </c>
    </row>
    <row r="20" customFormat="false" ht="63" hidden="false" customHeight="true" outlineLevel="0" collapsed="false">
      <c r="A20" s="132" t="s">
        <v>104</v>
      </c>
      <c r="B20" s="96" t="s">
        <v>110</v>
      </c>
      <c r="C20" s="96" t="s">
        <v>111</v>
      </c>
      <c r="D20" s="96" t="s">
        <v>16</v>
      </c>
      <c r="E20" s="97" t="s">
        <v>26</v>
      </c>
      <c r="F20" s="97" t="s">
        <v>17</v>
      </c>
      <c r="G20" s="13" t="s">
        <v>548</v>
      </c>
      <c r="H20" s="13" t="s">
        <v>113</v>
      </c>
      <c r="I20" s="210" t="s">
        <v>690</v>
      </c>
      <c r="J20" s="132" t="s">
        <v>21</v>
      </c>
      <c r="K20" s="134" t="n">
        <v>10</v>
      </c>
      <c r="L20" s="96" t="s">
        <v>22</v>
      </c>
      <c r="M20" s="106" t="s">
        <v>691</v>
      </c>
      <c r="N20" s="85" t="s">
        <v>692</v>
      </c>
    </row>
    <row r="21" customFormat="false" ht="67.5" hidden="false" customHeight="true" outlineLevel="0" collapsed="false">
      <c r="A21" s="132" t="s">
        <v>109</v>
      </c>
      <c r="B21" s="96" t="s">
        <v>117</v>
      </c>
      <c r="C21" s="96" t="s">
        <v>118</v>
      </c>
      <c r="D21" s="96" t="s">
        <v>16</v>
      </c>
      <c r="E21" s="97" t="s">
        <v>112</v>
      </c>
      <c r="F21" s="97" t="s">
        <v>17</v>
      </c>
      <c r="G21" s="13" t="s">
        <v>548</v>
      </c>
      <c r="H21" s="13" t="s">
        <v>113</v>
      </c>
      <c r="I21" s="210" t="s">
        <v>693</v>
      </c>
      <c r="J21" s="132" t="s">
        <v>21</v>
      </c>
      <c r="K21" s="134" t="n">
        <v>10</v>
      </c>
      <c r="L21" s="96" t="s">
        <v>22</v>
      </c>
      <c r="M21" s="106" t="s">
        <v>694</v>
      </c>
    </row>
    <row r="22" customFormat="false" ht="81" hidden="false" customHeight="true" outlineLevel="0" collapsed="false">
      <c r="A22" s="95" t="s">
        <v>167</v>
      </c>
      <c r="B22" s="96" t="s">
        <v>187</v>
      </c>
      <c r="C22" s="96" t="s">
        <v>100</v>
      </c>
      <c r="D22" s="96" t="s">
        <v>16</v>
      </c>
      <c r="E22" s="97" t="s">
        <v>168</v>
      </c>
      <c r="F22" s="97" t="s">
        <v>17</v>
      </c>
      <c r="G22" s="13" t="s">
        <v>548</v>
      </c>
      <c r="H22" s="13" t="s">
        <v>133</v>
      </c>
      <c r="I22" s="96" t="s">
        <v>695</v>
      </c>
      <c r="J22" s="95" t="s">
        <v>21</v>
      </c>
      <c r="K22" s="98" t="n">
        <v>10</v>
      </c>
      <c r="L22" s="96" t="s">
        <v>22</v>
      </c>
      <c r="M22" s="106" t="s">
        <v>696</v>
      </c>
    </row>
    <row r="23" customFormat="false" ht="126" hidden="false" customHeight="true" outlineLevel="0" collapsed="false">
      <c r="A23" s="137" t="s">
        <v>186</v>
      </c>
      <c r="B23" s="138"/>
      <c r="C23" s="138"/>
      <c r="D23" s="138" t="s">
        <v>16</v>
      </c>
      <c r="E23" s="87" t="s">
        <v>187</v>
      </c>
      <c r="F23" s="97" t="s">
        <v>17</v>
      </c>
      <c r="G23" s="13" t="s">
        <v>548</v>
      </c>
      <c r="H23" s="13" t="s">
        <v>133</v>
      </c>
      <c r="I23" s="139" t="s">
        <v>697</v>
      </c>
      <c r="J23" s="132" t="s">
        <v>21</v>
      </c>
      <c r="K23" s="134" t="n">
        <v>10</v>
      </c>
      <c r="L23" s="96" t="s">
        <v>22</v>
      </c>
      <c r="M23" s="139" t="s">
        <v>698</v>
      </c>
    </row>
    <row r="24" customFormat="false" ht="54" hidden="false" customHeight="true" outlineLevel="0" collapsed="false">
      <c r="A24" s="95" t="s">
        <v>116</v>
      </c>
      <c r="B24" s="96" t="s">
        <v>54</v>
      </c>
      <c r="C24" s="96" t="s">
        <v>119</v>
      </c>
      <c r="D24" s="96" t="s">
        <v>16</v>
      </c>
      <c r="E24" s="97" t="s">
        <v>119</v>
      </c>
      <c r="F24" s="97" t="s">
        <v>17</v>
      </c>
      <c r="G24" s="13" t="s">
        <v>555</v>
      </c>
      <c r="H24" s="13" t="s">
        <v>139</v>
      </c>
      <c r="I24" s="102" t="s">
        <v>556</v>
      </c>
      <c r="J24" s="96" t="s">
        <v>21</v>
      </c>
      <c r="K24" s="98" t="n">
        <v>10</v>
      </c>
      <c r="L24" s="96" t="s">
        <v>141</v>
      </c>
      <c r="M24" s="106" t="s">
        <v>699</v>
      </c>
    </row>
    <row r="25" customFormat="false" ht="104.25" hidden="false" customHeight="true" outlineLevel="0" collapsed="false">
      <c r="A25" s="132" t="s">
        <v>121</v>
      </c>
      <c r="B25" s="96"/>
      <c r="C25" s="96"/>
      <c r="D25" s="96"/>
      <c r="E25" s="97" t="s">
        <v>123</v>
      </c>
      <c r="F25" s="97" t="s">
        <v>17</v>
      </c>
      <c r="G25" s="13" t="s">
        <v>555</v>
      </c>
      <c r="H25" s="13" t="s">
        <v>139</v>
      </c>
      <c r="I25" s="96" t="s">
        <v>700</v>
      </c>
      <c r="J25" s="96" t="s">
        <v>40</v>
      </c>
      <c r="K25" s="98" t="n">
        <v>1.67</v>
      </c>
      <c r="L25" s="96"/>
      <c r="M25" s="207" t="s">
        <v>701</v>
      </c>
    </row>
    <row r="26" customFormat="false" ht="64.5" hidden="false" customHeight="true" outlineLevel="0" collapsed="false">
      <c r="A26" s="132" t="s">
        <v>126</v>
      </c>
      <c r="B26" s="96"/>
      <c r="C26" s="96"/>
      <c r="D26" s="96"/>
      <c r="E26" s="97" t="s">
        <v>128</v>
      </c>
      <c r="F26" s="97" t="s">
        <v>17</v>
      </c>
      <c r="G26" s="13" t="s">
        <v>555</v>
      </c>
      <c r="H26" s="13" t="s">
        <v>139</v>
      </c>
      <c r="I26" s="96" t="s">
        <v>702</v>
      </c>
      <c r="J26" s="96" t="s">
        <v>40</v>
      </c>
      <c r="K26" s="98" t="n">
        <v>1.67</v>
      </c>
      <c r="L26" s="96"/>
      <c r="M26" s="207" t="s">
        <v>703</v>
      </c>
    </row>
    <row r="27" customFormat="false" ht="72" hidden="false" customHeight="true" outlineLevel="0" collapsed="false">
      <c r="A27" s="132" t="s">
        <v>558</v>
      </c>
      <c r="B27" s="96"/>
      <c r="C27" s="96"/>
      <c r="D27" s="96"/>
      <c r="E27" s="97" t="s">
        <v>559</v>
      </c>
      <c r="F27" s="97" t="s">
        <v>17</v>
      </c>
      <c r="G27" s="13" t="s">
        <v>555</v>
      </c>
      <c r="H27" s="13" t="s">
        <v>139</v>
      </c>
      <c r="I27" s="96" t="s">
        <v>153</v>
      </c>
      <c r="J27" s="96" t="s">
        <v>40</v>
      </c>
      <c r="K27" s="98" t="n">
        <v>1.67</v>
      </c>
      <c r="L27" s="96"/>
      <c r="M27" s="207" t="s">
        <v>704</v>
      </c>
    </row>
    <row r="28" customFormat="false" ht="65.25" hidden="false" customHeight="true" outlineLevel="0" collapsed="false">
      <c r="A28" s="132" t="s">
        <v>560</v>
      </c>
      <c r="B28" s="96"/>
      <c r="C28" s="96"/>
      <c r="D28" s="96"/>
      <c r="E28" s="97" t="s">
        <v>561</v>
      </c>
      <c r="F28" s="97" t="s">
        <v>17</v>
      </c>
      <c r="G28" s="13" t="s">
        <v>555</v>
      </c>
      <c r="H28" s="13" t="s">
        <v>139</v>
      </c>
      <c r="I28" s="96" t="s">
        <v>705</v>
      </c>
      <c r="J28" s="96" t="s">
        <v>40</v>
      </c>
      <c r="K28" s="98" t="n">
        <v>1.67</v>
      </c>
      <c r="L28" s="96"/>
      <c r="M28" s="207" t="s">
        <v>706</v>
      </c>
    </row>
    <row r="29" customFormat="false" ht="74.25" hidden="false" customHeight="true" outlineLevel="0" collapsed="false">
      <c r="A29" s="132" t="s">
        <v>562</v>
      </c>
      <c r="B29" s="96"/>
      <c r="C29" s="96"/>
      <c r="D29" s="96"/>
      <c r="E29" s="97" t="s">
        <v>563</v>
      </c>
      <c r="F29" s="97" t="s">
        <v>17</v>
      </c>
      <c r="G29" s="13" t="s">
        <v>555</v>
      </c>
      <c r="H29" s="13" t="s">
        <v>139</v>
      </c>
      <c r="I29" s="96" t="s">
        <v>161</v>
      </c>
      <c r="J29" s="96" t="s">
        <v>40</v>
      </c>
      <c r="K29" s="98" t="n">
        <v>1.67</v>
      </c>
      <c r="L29" s="96"/>
      <c r="M29" s="207" t="s">
        <v>707</v>
      </c>
    </row>
    <row r="30" customFormat="false" ht="63.75" hidden="false" customHeight="true" outlineLevel="0" collapsed="false">
      <c r="A30" s="132" t="s">
        <v>564</v>
      </c>
      <c r="B30" s="96"/>
      <c r="C30" s="96"/>
      <c r="D30" s="96"/>
      <c r="E30" s="97" t="s">
        <v>565</v>
      </c>
      <c r="F30" s="97" t="s">
        <v>17</v>
      </c>
      <c r="G30" s="13" t="s">
        <v>555</v>
      </c>
      <c r="H30" s="13" t="s">
        <v>139</v>
      </c>
      <c r="I30" s="96" t="s">
        <v>165</v>
      </c>
      <c r="J30" s="96" t="s">
        <v>40</v>
      </c>
      <c r="K30" s="98" t="n">
        <v>1.67</v>
      </c>
      <c r="L30" s="96"/>
      <c r="M30" s="207" t="s">
        <v>708</v>
      </c>
    </row>
    <row r="31" customFormat="false" ht="47.25" hidden="false" customHeight="true" outlineLevel="0" collapsed="false">
      <c r="A31" s="101" t="s">
        <v>223</v>
      </c>
      <c r="B31" s="102" t="s">
        <v>32</v>
      </c>
      <c r="C31" s="102" t="s">
        <v>54</v>
      </c>
      <c r="D31" s="96" t="s">
        <v>16</v>
      </c>
      <c r="E31" s="97" t="s">
        <v>226</v>
      </c>
      <c r="F31" s="97" t="s">
        <v>97</v>
      </c>
      <c r="G31" s="13" t="s">
        <v>567</v>
      </c>
      <c r="H31" s="13" t="s">
        <v>568</v>
      </c>
      <c r="I31" s="205" t="s">
        <v>709</v>
      </c>
      <c r="J31" s="101" t="s">
        <v>21</v>
      </c>
      <c r="K31" s="103" t="n">
        <v>10</v>
      </c>
      <c r="L31" s="102" t="s">
        <v>97</v>
      </c>
      <c r="M31" s="106" t="s">
        <v>172</v>
      </c>
    </row>
    <row r="32" customFormat="false" ht="50.25" hidden="false" customHeight="true" outlineLevel="0" collapsed="false">
      <c r="A32" s="105" t="s">
        <v>229</v>
      </c>
      <c r="B32" s="106" t="s">
        <v>38</v>
      </c>
      <c r="C32" s="102" t="s">
        <v>54</v>
      </c>
      <c r="D32" s="96" t="s">
        <v>16</v>
      </c>
      <c r="E32" s="97" t="s">
        <v>230</v>
      </c>
      <c r="F32" s="97" t="s">
        <v>97</v>
      </c>
      <c r="G32" s="13" t="s">
        <v>567</v>
      </c>
      <c r="H32" s="13" t="s">
        <v>568</v>
      </c>
      <c r="I32" s="207" t="s">
        <v>710</v>
      </c>
      <c r="J32" s="105" t="s">
        <v>40</v>
      </c>
      <c r="K32" s="107" t="n">
        <v>3.3</v>
      </c>
      <c r="L32" s="106" t="s">
        <v>97</v>
      </c>
      <c r="M32" s="106" t="s">
        <v>711</v>
      </c>
    </row>
    <row r="33" customFormat="false" ht="50.25" hidden="false" customHeight="true" outlineLevel="0" collapsed="false">
      <c r="A33" s="105" t="s">
        <v>233</v>
      </c>
      <c r="B33" s="106" t="s">
        <v>44</v>
      </c>
      <c r="C33" s="102" t="s">
        <v>54</v>
      </c>
      <c r="D33" s="96" t="s">
        <v>16</v>
      </c>
      <c r="E33" s="97" t="s">
        <v>234</v>
      </c>
      <c r="F33" s="97" t="s">
        <v>97</v>
      </c>
      <c r="G33" s="13" t="s">
        <v>567</v>
      </c>
      <c r="H33" s="13" t="s">
        <v>568</v>
      </c>
      <c r="I33" s="207" t="s">
        <v>712</v>
      </c>
      <c r="J33" s="105" t="s">
        <v>40</v>
      </c>
      <c r="K33" s="107" t="n">
        <v>3.3</v>
      </c>
      <c r="L33" s="106" t="s">
        <v>97</v>
      </c>
      <c r="M33" s="207" t="s">
        <v>713</v>
      </c>
    </row>
    <row r="34" customFormat="false" ht="63" hidden="false" customHeight="true" outlineLevel="0" collapsed="false">
      <c r="A34" s="105" t="s">
        <v>237</v>
      </c>
      <c r="B34" s="106" t="s">
        <v>49</v>
      </c>
      <c r="C34" s="102" t="s">
        <v>54</v>
      </c>
      <c r="D34" s="96" t="s">
        <v>16</v>
      </c>
      <c r="E34" s="97" t="s">
        <v>238</v>
      </c>
      <c r="F34" s="97" t="s">
        <v>97</v>
      </c>
      <c r="G34" s="13" t="s">
        <v>567</v>
      </c>
      <c r="H34" s="13" t="s">
        <v>568</v>
      </c>
      <c r="I34" s="207" t="s">
        <v>714</v>
      </c>
      <c r="J34" s="105" t="s">
        <v>40</v>
      </c>
      <c r="K34" s="107" t="n">
        <v>3.3</v>
      </c>
      <c r="L34" s="106" t="s">
        <v>97</v>
      </c>
      <c r="M34" s="106" t="s">
        <v>715</v>
      </c>
    </row>
    <row r="35" customFormat="false" ht="138.75" hidden="false" customHeight="true" outlineLevel="0" collapsed="false">
      <c r="A35" s="137" t="s">
        <v>241</v>
      </c>
      <c r="B35" s="138"/>
      <c r="C35" s="138"/>
      <c r="D35" s="138" t="s">
        <v>16</v>
      </c>
      <c r="E35" s="87" t="s">
        <v>243</v>
      </c>
      <c r="F35" s="97" t="s">
        <v>97</v>
      </c>
      <c r="G35" s="13" t="s">
        <v>567</v>
      </c>
      <c r="H35" s="13" t="s">
        <v>570</v>
      </c>
      <c r="I35" s="203" t="s">
        <v>716</v>
      </c>
      <c r="J35" s="162" t="s">
        <v>21</v>
      </c>
      <c r="K35" s="163" t="n">
        <v>10</v>
      </c>
      <c r="L35" s="203" t="s">
        <v>97</v>
      </c>
      <c r="M35" s="165" t="s">
        <v>717</v>
      </c>
    </row>
    <row r="36" customFormat="false" ht="25.5" hidden="false" customHeight="true" outlineLevel="0" collapsed="false">
      <c r="A36" s="101" t="s">
        <v>246</v>
      </c>
      <c r="B36" s="102" t="s">
        <v>80</v>
      </c>
      <c r="C36" s="102" t="s">
        <v>54</v>
      </c>
      <c r="D36" s="96" t="s">
        <v>16</v>
      </c>
      <c r="E36" s="97" t="s">
        <v>247</v>
      </c>
      <c r="F36" s="97" t="s">
        <v>97</v>
      </c>
      <c r="G36" s="13" t="s">
        <v>567</v>
      </c>
      <c r="H36" s="13" t="s">
        <v>192</v>
      </c>
      <c r="I36" s="205" t="s">
        <v>718</v>
      </c>
      <c r="J36" s="91" t="s">
        <v>21</v>
      </c>
      <c r="K36" s="211" t="n">
        <v>10</v>
      </c>
      <c r="L36" s="205" t="s">
        <v>97</v>
      </c>
      <c r="M36" s="207" t="s">
        <v>719</v>
      </c>
    </row>
    <row r="37" customFormat="false" ht="63" hidden="false" customHeight="true" outlineLevel="0" collapsed="false">
      <c r="A37" s="105" t="s">
        <v>572</v>
      </c>
      <c r="B37" s="106" t="s">
        <v>88</v>
      </c>
      <c r="C37" s="102" t="s">
        <v>54</v>
      </c>
      <c r="D37" s="96" t="s">
        <v>16</v>
      </c>
      <c r="E37" s="97" t="s">
        <v>573</v>
      </c>
      <c r="F37" s="97" t="s">
        <v>97</v>
      </c>
      <c r="G37" s="13" t="s">
        <v>567</v>
      </c>
      <c r="H37" s="13" t="s">
        <v>192</v>
      </c>
      <c r="I37" s="207" t="s">
        <v>720</v>
      </c>
      <c r="J37" s="212" t="s">
        <v>40</v>
      </c>
      <c r="K37" s="213" t="n">
        <v>5</v>
      </c>
      <c r="L37" s="203" t="s">
        <v>97</v>
      </c>
      <c r="M37" s="207" t="s">
        <v>721</v>
      </c>
    </row>
    <row r="38" customFormat="false" ht="50.25" hidden="false" customHeight="true" outlineLevel="0" collapsed="false">
      <c r="A38" s="105" t="s">
        <v>575</v>
      </c>
      <c r="B38" s="106" t="s">
        <v>95</v>
      </c>
      <c r="C38" s="102" t="s">
        <v>54</v>
      </c>
      <c r="D38" s="96" t="s">
        <v>16</v>
      </c>
      <c r="E38" s="97" t="s">
        <v>576</v>
      </c>
      <c r="F38" s="97" t="s">
        <v>97</v>
      </c>
      <c r="G38" s="13" t="s">
        <v>567</v>
      </c>
      <c r="H38" s="13" t="s">
        <v>192</v>
      </c>
      <c r="I38" s="207" t="s">
        <v>577</v>
      </c>
      <c r="J38" s="212" t="s">
        <v>40</v>
      </c>
      <c r="K38" s="213" t="n">
        <v>5</v>
      </c>
      <c r="L38" s="203" t="s">
        <v>97</v>
      </c>
      <c r="M38" s="207" t="s">
        <v>722</v>
      </c>
    </row>
    <row r="39" customFormat="false" ht="63" hidden="false" customHeight="true" outlineLevel="0" collapsed="false">
      <c r="A39" s="95" t="s">
        <v>324</v>
      </c>
      <c r="B39" s="96" t="s">
        <v>132</v>
      </c>
      <c r="C39" s="96" t="s">
        <v>54</v>
      </c>
      <c r="D39" s="96" t="s">
        <v>16</v>
      </c>
      <c r="E39" s="97" t="s">
        <v>325</v>
      </c>
      <c r="F39" s="97" t="s">
        <v>97</v>
      </c>
      <c r="G39" s="13" t="s">
        <v>567</v>
      </c>
      <c r="H39" s="13" t="s">
        <v>203</v>
      </c>
      <c r="I39" s="203" t="s">
        <v>579</v>
      </c>
      <c r="J39" s="202" t="s">
        <v>21</v>
      </c>
      <c r="K39" s="206" t="n">
        <v>10</v>
      </c>
      <c r="L39" s="203" t="s">
        <v>97</v>
      </c>
      <c r="M39" s="207" t="s">
        <v>580</v>
      </c>
    </row>
    <row r="40" customFormat="false" ht="126" hidden="false" customHeight="true" outlineLevel="0" collapsed="false">
      <c r="A40" s="132" t="s">
        <v>407</v>
      </c>
      <c r="B40" s="96" t="s">
        <v>207</v>
      </c>
      <c r="C40" s="96" t="s">
        <v>54</v>
      </c>
      <c r="D40" s="96" t="s">
        <v>16</v>
      </c>
      <c r="E40" s="97" t="s">
        <v>408</v>
      </c>
      <c r="F40" s="143" t="s">
        <v>97</v>
      </c>
      <c r="G40" s="13" t="s">
        <v>567</v>
      </c>
      <c r="H40" s="13" t="s">
        <v>581</v>
      </c>
      <c r="I40" s="203" t="s">
        <v>582</v>
      </c>
      <c r="J40" s="162" t="s">
        <v>21</v>
      </c>
      <c r="K40" s="163" t="n">
        <v>10</v>
      </c>
      <c r="L40" s="203" t="s">
        <v>97</v>
      </c>
      <c r="M40" s="207" t="s">
        <v>723</v>
      </c>
    </row>
    <row r="41" customFormat="false" ht="264.75" hidden="false" customHeight="true" outlineLevel="0" collapsed="false">
      <c r="A41" s="132" t="s">
        <v>434</v>
      </c>
      <c r="B41" s="96" t="s">
        <v>212</v>
      </c>
      <c r="C41" s="96" t="s">
        <v>54</v>
      </c>
      <c r="D41" s="96" t="s">
        <v>16</v>
      </c>
      <c r="E41" s="97" t="s">
        <v>110</v>
      </c>
      <c r="F41" s="143" t="s">
        <v>97</v>
      </c>
      <c r="G41" s="13" t="s">
        <v>567</v>
      </c>
      <c r="H41" s="13" t="s">
        <v>581</v>
      </c>
      <c r="I41" s="96" t="s">
        <v>584</v>
      </c>
      <c r="J41" s="132" t="s">
        <v>21</v>
      </c>
      <c r="K41" s="134" t="n">
        <v>10</v>
      </c>
      <c r="L41" s="96" t="s">
        <v>97</v>
      </c>
      <c r="M41" s="106" t="s">
        <v>724</v>
      </c>
    </row>
    <row r="42" customFormat="false" ht="53.25" hidden="false" customHeight="true" outlineLevel="0" collapsed="false">
      <c r="A42" s="132" t="s">
        <v>446</v>
      </c>
      <c r="B42" s="96" t="s">
        <v>224</v>
      </c>
      <c r="C42" s="96" t="s">
        <v>225</v>
      </c>
      <c r="D42" s="96" t="s">
        <v>16</v>
      </c>
      <c r="E42" s="97" t="s">
        <v>117</v>
      </c>
      <c r="F42" s="143" t="s">
        <v>97</v>
      </c>
      <c r="G42" s="13" t="s">
        <v>567</v>
      </c>
      <c r="H42" s="13" t="s">
        <v>581</v>
      </c>
      <c r="I42" s="96" t="s">
        <v>587</v>
      </c>
      <c r="J42" s="132" t="s">
        <v>21</v>
      </c>
      <c r="K42" s="134" t="n">
        <v>10</v>
      </c>
      <c r="L42" s="96" t="s">
        <v>97</v>
      </c>
      <c r="M42" s="106" t="s">
        <v>725</v>
      </c>
    </row>
    <row r="43" customFormat="false" ht="50.25" hidden="false" customHeight="true" outlineLevel="0" collapsed="false">
      <c r="A43" s="132" t="s">
        <v>450</v>
      </c>
      <c r="B43" s="96" t="s">
        <v>242</v>
      </c>
      <c r="C43" s="96" t="s">
        <v>54</v>
      </c>
      <c r="D43" s="96" t="s">
        <v>16</v>
      </c>
      <c r="E43" s="97" t="s">
        <v>451</v>
      </c>
      <c r="F43" s="143" t="s">
        <v>97</v>
      </c>
      <c r="G43" s="13" t="s">
        <v>567</v>
      </c>
      <c r="H43" s="13" t="s">
        <v>581</v>
      </c>
      <c r="I43" s="96" t="s">
        <v>592</v>
      </c>
      <c r="J43" s="132" t="s">
        <v>21</v>
      </c>
      <c r="K43" s="134" t="n">
        <v>10</v>
      </c>
      <c r="L43" s="96" t="s">
        <v>97</v>
      </c>
      <c r="M43" s="106" t="s">
        <v>726</v>
      </c>
    </row>
    <row r="44" customFormat="false" ht="88.5" hidden="false" customHeight="true" outlineLevel="0" collapsed="false">
      <c r="A44" s="95" t="s">
        <v>338</v>
      </c>
      <c r="B44" s="96" t="s">
        <v>137</v>
      </c>
      <c r="C44" s="96" t="s">
        <v>54</v>
      </c>
      <c r="D44" s="96" t="s">
        <v>16</v>
      </c>
      <c r="E44" s="97" t="s">
        <v>207</v>
      </c>
      <c r="F44" s="143" t="s">
        <v>97</v>
      </c>
      <c r="G44" s="13" t="s">
        <v>567</v>
      </c>
      <c r="H44" s="13" t="s">
        <v>248</v>
      </c>
      <c r="I44" s="96" t="s">
        <v>594</v>
      </c>
      <c r="J44" s="95" t="s">
        <v>21</v>
      </c>
      <c r="K44" s="98" t="n">
        <v>10</v>
      </c>
      <c r="L44" s="96" t="s">
        <v>97</v>
      </c>
      <c r="M44" s="106" t="s">
        <v>727</v>
      </c>
    </row>
    <row r="45" s="224" customFormat="true" ht="282.75" hidden="false" customHeight="true" outlineLevel="0" collapsed="false">
      <c r="A45" s="214" t="s">
        <v>206</v>
      </c>
      <c r="B45" s="215"/>
      <c r="C45" s="215"/>
      <c r="D45" s="215" t="s">
        <v>16</v>
      </c>
      <c r="E45" s="216" t="s">
        <v>111</v>
      </c>
      <c r="F45" s="217" t="s">
        <v>17</v>
      </c>
      <c r="G45" s="218"/>
      <c r="H45" s="219"/>
      <c r="I45" s="220" t="s">
        <v>728</v>
      </c>
      <c r="J45" s="221" t="s">
        <v>21</v>
      </c>
      <c r="K45" s="222" t="n">
        <v>10</v>
      </c>
      <c r="L45" s="223" t="s">
        <v>22</v>
      </c>
      <c r="M45" s="220" t="s">
        <v>729</v>
      </c>
    </row>
    <row r="46" s="224" customFormat="true" ht="108.75" hidden="false" customHeight="true" outlineLevel="0" collapsed="false">
      <c r="A46" s="214" t="s">
        <v>211</v>
      </c>
      <c r="B46" s="215"/>
      <c r="C46" s="215"/>
      <c r="D46" s="215" t="s">
        <v>16</v>
      </c>
      <c r="E46" s="216" t="s">
        <v>118</v>
      </c>
      <c r="F46" s="217" t="s">
        <v>17</v>
      </c>
      <c r="G46" s="218"/>
      <c r="H46" s="219"/>
      <c r="I46" s="220" t="s">
        <v>730</v>
      </c>
      <c r="J46" s="221" t="s">
        <v>21</v>
      </c>
      <c r="K46" s="222" t="n">
        <v>10</v>
      </c>
      <c r="L46" s="221" t="s">
        <v>22</v>
      </c>
      <c r="M46" s="220" t="s">
        <v>731</v>
      </c>
    </row>
    <row r="47" customFormat="false" ht="56.25" hidden="false" customHeight="true" outlineLevel="0" collapsed="false">
      <c r="A47" s="95" t="s">
        <v>351</v>
      </c>
      <c r="B47" s="96" t="s">
        <v>111</v>
      </c>
      <c r="C47" s="96" t="s">
        <v>54</v>
      </c>
      <c r="D47" s="96" t="s">
        <v>16</v>
      </c>
      <c r="E47" s="97" t="s">
        <v>212</v>
      </c>
      <c r="F47" s="143" t="s">
        <v>97</v>
      </c>
      <c r="G47" s="13" t="s">
        <v>253</v>
      </c>
      <c r="H47" s="13" t="s">
        <v>732</v>
      </c>
      <c r="I47" s="102" t="s">
        <v>733</v>
      </c>
      <c r="J47" s="95" t="s">
        <v>21</v>
      </c>
      <c r="K47" s="98" t="n">
        <v>10</v>
      </c>
      <c r="L47" s="96" t="s">
        <v>97</v>
      </c>
      <c r="M47" s="225" t="s">
        <v>54</v>
      </c>
    </row>
    <row r="48" customFormat="false" ht="37.5" hidden="false" customHeight="true" outlineLevel="0" collapsed="false">
      <c r="A48" s="105" t="s">
        <v>354</v>
      </c>
      <c r="B48" s="106" t="s">
        <v>734</v>
      </c>
      <c r="C48" s="106" t="s">
        <v>54</v>
      </c>
      <c r="D48" s="96" t="s">
        <v>16</v>
      </c>
      <c r="E48" s="97" t="s">
        <v>355</v>
      </c>
      <c r="F48" s="143" t="s">
        <v>97</v>
      </c>
      <c r="G48" s="13" t="s">
        <v>253</v>
      </c>
      <c r="H48" s="13" t="s">
        <v>732</v>
      </c>
      <c r="I48" s="106" t="s">
        <v>735</v>
      </c>
      <c r="J48" s="105" t="s">
        <v>40</v>
      </c>
      <c r="K48" s="107" t="n">
        <v>3.3</v>
      </c>
      <c r="L48" s="102" t="s">
        <v>97</v>
      </c>
      <c r="M48" s="106" t="s">
        <v>736</v>
      </c>
    </row>
    <row r="49" customFormat="false" ht="88.5" hidden="false" customHeight="true" outlineLevel="0" collapsed="false">
      <c r="A49" s="105" t="s">
        <v>359</v>
      </c>
      <c r="B49" s="106" t="s">
        <v>737</v>
      </c>
      <c r="C49" s="106" t="s">
        <v>54</v>
      </c>
      <c r="D49" s="96" t="s">
        <v>16</v>
      </c>
      <c r="E49" s="97" t="s">
        <v>360</v>
      </c>
      <c r="F49" s="143" t="s">
        <v>97</v>
      </c>
      <c r="G49" s="13" t="s">
        <v>253</v>
      </c>
      <c r="H49" s="13" t="s">
        <v>732</v>
      </c>
      <c r="I49" s="106" t="s">
        <v>276</v>
      </c>
      <c r="J49" s="105" t="s">
        <v>40</v>
      </c>
      <c r="K49" s="107" t="n">
        <v>3.3</v>
      </c>
      <c r="L49" s="102" t="s">
        <v>97</v>
      </c>
      <c r="M49" s="106" t="s">
        <v>738</v>
      </c>
    </row>
    <row r="50" customFormat="false" ht="25.5" hidden="false" customHeight="true" outlineLevel="0" collapsed="false">
      <c r="A50" s="105" t="s">
        <v>365</v>
      </c>
      <c r="B50" s="106" t="s">
        <v>485</v>
      </c>
      <c r="C50" s="106" t="s">
        <v>54</v>
      </c>
      <c r="D50" s="96" t="s">
        <v>16</v>
      </c>
      <c r="E50" s="97" t="s">
        <v>366</v>
      </c>
      <c r="F50" s="143" t="s">
        <v>97</v>
      </c>
      <c r="G50" s="13" t="s">
        <v>253</v>
      </c>
      <c r="H50" s="13" t="s">
        <v>732</v>
      </c>
      <c r="I50" s="106" t="s">
        <v>286</v>
      </c>
      <c r="J50" s="105" t="s">
        <v>40</v>
      </c>
      <c r="K50" s="107" t="n">
        <v>3.3</v>
      </c>
      <c r="L50" s="102" t="s">
        <v>97</v>
      </c>
      <c r="M50" s="106" t="s">
        <v>739</v>
      </c>
    </row>
    <row r="51" customFormat="false" ht="50.25" hidden="false" customHeight="true" outlineLevel="0" collapsed="false">
      <c r="A51" s="95" t="s">
        <v>375</v>
      </c>
      <c r="B51" s="96" t="s">
        <v>118</v>
      </c>
      <c r="C51" s="96" t="s">
        <v>54</v>
      </c>
      <c r="D51" s="96" t="s">
        <v>16</v>
      </c>
      <c r="E51" s="97" t="s">
        <v>224</v>
      </c>
      <c r="F51" s="143" t="s">
        <v>97</v>
      </c>
      <c r="G51" s="13" t="s">
        <v>253</v>
      </c>
      <c r="H51" s="13" t="s">
        <v>296</v>
      </c>
      <c r="I51" s="102" t="s">
        <v>297</v>
      </c>
      <c r="J51" s="95" t="s">
        <v>21</v>
      </c>
      <c r="K51" s="98" t="n">
        <v>10</v>
      </c>
      <c r="L51" s="102" t="s">
        <v>97</v>
      </c>
      <c r="M51" s="106" t="s">
        <v>54</v>
      </c>
    </row>
    <row r="52" customFormat="false" ht="113.25" hidden="false" customHeight="true" outlineLevel="0" collapsed="false">
      <c r="A52" s="105" t="s">
        <v>379</v>
      </c>
      <c r="B52" s="106" t="s">
        <v>216</v>
      </c>
      <c r="C52" s="106" t="s">
        <v>54</v>
      </c>
      <c r="D52" s="96" t="s">
        <v>16</v>
      </c>
      <c r="E52" s="97" t="s">
        <v>380</v>
      </c>
      <c r="F52" s="143" t="s">
        <v>97</v>
      </c>
      <c r="G52" s="13" t="s">
        <v>253</v>
      </c>
      <c r="H52" s="13" t="s">
        <v>296</v>
      </c>
      <c r="I52" s="106" t="s">
        <v>300</v>
      </c>
      <c r="J52" s="105" t="s">
        <v>40</v>
      </c>
      <c r="K52" s="107" t="n">
        <v>3.3</v>
      </c>
      <c r="L52" s="96" t="s">
        <v>97</v>
      </c>
      <c r="M52" s="106" t="s">
        <v>740</v>
      </c>
    </row>
    <row r="53" customFormat="false" ht="88.5" hidden="false" customHeight="true" outlineLevel="0" collapsed="false">
      <c r="A53" s="105" t="s">
        <v>383</v>
      </c>
      <c r="B53" s="106" t="s">
        <v>220</v>
      </c>
      <c r="C53" s="106" t="s">
        <v>54</v>
      </c>
      <c r="D53" s="96" t="s">
        <v>16</v>
      </c>
      <c r="E53" s="97" t="s">
        <v>384</v>
      </c>
      <c r="F53" s="143" t="s">
        <v>97</v>
      </c>
      <c r="G53" s="13" t="s">
        <v>253</v>
      </c>
      <c r="H53" s="13" t="s">
        <v>296</v>
      </c>
      <c r="I53" s="106" t="s">
        <v>305</v>
      </c>
      <c r="J53" s="105" t="s">
        <v>40</v>
      </c>
      <c r="K53" s="107" t="n">
        <v>3.3</v>
      </c>
      <c r="L53" s="96" t="s">
        <v>97</v>
      </c>
      <c r="M53" s="106" t="s">
        <v>741</v>
      </c>
    </row>
    <row r="54" customFormat="false" ht="25.5" hidden="false" customHeight="true" outlineLevel="0" collapsed="false">
      <c r="A54" s="105" t="s">
        <v>599</v>
      </c>
      <c r="B54" s="106" t="s">
        <v>54</v>
      </c>
      <c r="C54" s="106" t="s">
        <v>54</v>
      </c>
      <c r="D54" s="96" t="s">
        <v>16</v>
      </c>
      <c r="E54" s="97" t="s">
        <v>600</v>
      </c>
      <c r="F54" s="143" t="s">
        <v>97</v>
      </c>
      <c r="G54" s="13" t="s">
        <v>253</v>
      </c>
      <c r="H54" s="13" t="s">
        <v>296</v>
      </c>
      <c r="I54" s="106" t="s">
        <v>286</v>
      </c>
      <c r="J54" s="105" t="s">
        <v>40</v>
      </c>
      <c r="K54" s="107" t="n">
        <v>3.3</v>
      </c>
      <c r="L54" s="102" t="s">
        <v>97</v>
      </c>
      <c r="M54" s="106" t="s">
        <v>601</v>
      </c>
    </row>
    <row r="55" customFormat="false" ht="37.5" hidden="false" customHeight="true" outlineLevel="0" collapsed="false">
      <c r="A55" s="95" t="s">
        <v>387</v>
      </c>
      <c r="B55" s="96" t="s">
        <v>226</v>
      </c>
      <c r="C55" s="96" t="s">
        <v>54</v>
      </c>
      <c r="D55" s="96" t="s">
        <v>16</v>
      </c>
      <c r="E55" s="97" t="s">
        <v>388</v>
      </c>
      <c r="F55" s="143" t="s">
        <v>97</v>
      </c>
      <c r="G55" s="13" t="s">
        <v>253</v>
      </c>
      <c r="H55" s="13" t="s">
        <v>312</v>
      </c>
      <c r="I55" s="102" t="s">
        <v>313</v>
      </c>
      <c r="J55" s="95" t="s">
        <v>21</v>
      </c>
      <c r="K55" s="98" t="n">
        <v>10</v>
      </c>
      <c r="L55" s="96" t="s">
        <v>97</v>
      </c>
      <c r="M55" s="106" t="s">
        <v>54</v>
      </c>
    </row>
    <row r="56" customFormat="false" ht="75.75" hidden="false" customHeight="true" outlineLevel="0" collapsed="false">
      <c r="A56" s="95" t="s">
        <v>391</v>
      </c>
      <c r="B56" s="96" t="s">
        <v>54</v>
      </c>
      <c r="C56" s="96" t="s">
        <v>54</v>
      </c>
      <c r="D56" s="96" t="s">
        <v>16</v>
      </c>
      <c r="E56" s="97" t="s">
        <v>392</v>
      </c>
      <c r="F56" s="143" t="s">
        <v>97</v>
      </c>
      <c r="G56" s="13" t="s">
        <v>253</v>
      </c>
      <c r="H56" s="13" t="s">
        <v>312</v>
      </c>
      <c r="I56" s="106" t="s">
        <v>316</v>
      </c>
      <c r="J56" s="105" t="s">
        <v>40</v>
      </c>
      <c r="K56" s="98" t="n">
        <v>3.3</v>
      </c>
      <c r="L56" s="102" t="s">
        <v>97</v>
      </c>
      <c r="M56" s="106" t="s">
        <v>742</v>
      </c>
    </row>
    <row r="57" customFormat="false" ht="88.5" hidden="false" customHeight="true" outlineLevel="0" collapsed="false">
      <c r="A57" s="95" t="s">
        <v>395</v>
      </c>
      <c r="B57" s="96" t="s">
        <v>54</v>
      </c>
      <c r="C57" s="96" t="s">
        <v>54</v>
      </c>
      <c r="D57" s="96" t="s">
        <v>16</v>
      </c>
      <c r="E57" s="97" t="s">
        <v>396</v>
      </c>
      <c r="F57" s="143" t="s">
        <v>97</v>
      </c>
      <c r="G57" s="13" t="s">
        <v>253</v>
      </c>
      <c r="H57" s="13" t="s">
        <v>312</v>
      </c>
      <c r="I57" s="106" t="s">
        <v>305</v>
      </c>
      <c r="J57" s="105" t="s">
        <v>40</v>
      </c>
      <c r="K57" s="98" t="n">
        <v>3.3</v>
      </c>
      <c r="L57" s="102" t="s">
        <v>97</v>
      </c>
      <c r="M57" s="106" t="s">
        <v>743</v>
      </c>
    </row>
    <row r="58" customFormat="false" ht="25.5" hidden="false" customHeight="true" outlineLevel="0" collapsed="false">
      <c r="A58" s="95" t="s">
        <v>603</v>
      </c>
      <c r="B58" s="96" t="s">
        <v>54</v>
      </c>
      <c r="C58" s="96" t="s">
        <v>54</v>
      </c>
      <c r="D58" s="96" t="s">
        <v>16</v>
      </c>
      <c r="E58" s="97" t="s">
        <v>604</v>
      </c>
      <c r="F58" s="143" t="s">
        <v>97</v>
      </c>
      <c r="G58" s="13" t="s">
        <v>253</v>
      </c>
      <c r="H58" s="13" t="s">
        <v>312</v>
      </c>
      <c r="I58" s="106" t="s">
        <v>286</v>
      </c>
      <c r="J58" s="105" t="s">
        <v>40</v>
      </c>
      <c r="K58" s="98" t="n">
        <v>3.3</v>
      </c>
      <c r="L58" s="102" t="s">
        <v>97</v>
      </c>
      <c r="M58" s="106" t="s">
        <v>744</v>
      </c>
    </row>
    <row r="59" customFormat="false" ht="37.5" hidden="false" customHeight="true" outlineLevel="0" collapsed="false">
      <c r="A59" s="95" t="s">
        <v>400</v>
      </c>
      <c r="B59" s="96" t="s">
        <v>54</v>
      </c>
      <c r="C59" s="96" t="s">
        <v>54</v>
      </c>
      <c r="D59" s="96" t="s">
        <v>16</v>
      </c>
      <c r="E59" s="97" t="s">
        <v>401</v>
      </c>
      <c r="F59" s="143" t="s">
        <v>97</v>
      </c>
      <c r="G59" s="13" t="s">
        <v>253</v>
      </c>
      <c r="H59" s="13" t="s">
        <v>326</v>
      </c>
      <c r="I59" s="102" t="s">
        <v>327</v>
      </c>
      <c r="J59" s="95" t="s">
        <v>21</v>
      </c>
      <c r="K59" s="98" t="n">
        <v>10</v>
      </c>
      <c r="L59" s="96" t="s">
        <v>97</v>
      </c>
      <c r="M59" s="106" t="s">
        <v>54</v>
      </c>
    </row>
    <row r="60" customFormat="false" ht="78" hidden="false" customHeight="true" outlineLevel="0" collapsed="false">
      <c r="A60" s="95" t="s">
        <v>605</v>
      </c>
      <c r="B60" s="96" t="s">
        <v>54</v>
      </c>
      <c r="C60" s="96" t="s">
        <v>54</v>
      </c>
      <c r="D60" s="96" t="s">
        <v>16</v>
      </c>
      <c r="E60" s="97" t="s">
        <v>606</v>
      </c>
      <c r="F60" s="143" t="s">
        <v>97</v>
      </c>
      <c r="G60" s="13" t="s">
        <v>253</v>
      </c>
      <c r="H60" s="13" t="s">
        <v>326</v>
      </c>
      <c r="I60" s="106" t="s">
        <v>330</v>
      </c>
      <c r="J60" s="105" t="s">
        <v>40</v>
      </c>
      <c r="K60" s="98" t="n">
        <v>3.3</v>
      </c>
      <c r="L60" s="102" t="s">
        <v>97</v>
      </c>
      <c r="M60" s="106" t="s">
        <v>745</v>
      </c>
    </row>
    <row r="61" customFormat="false" ht="93" hidden="false" customHeight="true" outlineLevel="0" collapsed="false">
      <c r="A61" s="95" t="s">
        <v>608</v>
      </c>
      <c r="B61" s="96" t="s">
        <v>54</v>
      </c>
      <c r="C61" s="96" t="s">
        <v>54</v>
      </c>
      <c r="D61" s="96" t="s">
        <v>16</v>
      </c>
      <c r="E61" s="97" t="s">
        <v>609</v>
      </c>
      <c r="F61" s="143" t="s">
        <v>97</v>
      </c>
      <c r="G61" s="13" t="s">
        <v>253</v>
      </c>
      <c r="H61" s="13" t="s">
        <v>326</v>
      </c>
      <c r="I61" s="106" t="s">
        <v>305</v>
      </c>
      <c r="J61" s="105" t="s">
        <v>40</v>
      </c>
      <c r="K61" s="98" t="n">
        <v>3.3</v>
      </c>
      <c r="L61" s="102" t="s">
        <v>97</v>
      </c>
      <c r="M61" s="106" t="s">
        <v>746</v>
      </c>
    </row>
    <row r="62" customFormat="false" ht="25.5" hidden="false" customHeight="true" outlineLevel="0" collapsed="false">
      <c r="A62" s="95" t="s">
        <v>610</v>
      </c>
      <c r="B62" s="96" t="s">
        <v>54</v>
      </c>
      <c r="C62" s="96" t="s">
        <v>54</v>
      </c>
      <c r="D62" s="96" t="s">
        <v>16</v>
      </c>
      <c r="E62" s="97" t="s">
        <v>611</v>
      </c>
      <c r="F62" s="143" t="s">
        <v>97</v>
      </c>
      <c r="G62" s="13" t="s">
        <v>253</v>
      </c>
      <c r="H62" s="13" t="s">
        <v>326</v>
      </c>
      <c r="I62" s="106" t="s">
        <v>286</v>
      </c>
      <c r="J62" s="105" t="s">
        <v>40</v>
      </c>
      <c r="K62" s="98" t="n">
        <v>3.3</v>
      </c>
      <c r="L62" s="102" t="s">
        <v>97</v>
      </c>
      <c r="M62" s="106" t="s">
        <v>601</v>
      </c>
    </row>
    <row r="63" customFormat="false" ht="47.25" hidden="false" customHeight="true" outlineLevel="0" collapsed="false">
      <c r="A63" s="132" t="s">
        <v>310</v>
      </c>
      <c r="B63" s="151" t="s">
        <v>54</v>
      </c>
      <c r="C63" s="151" t="s">
        <v>54</v>
      </c>
      <c r="D63" s="151" t="s">
        <v>16</v>
      </c>
      <c r="E63" s="97" t="s">
        <v>311</v>
      </c>
      <c r="F63" s="97" t="s">
        <v>97</v>
      </c>
      <c r="G63" s="13" t="s">
        <v>339</v>
      </c>
      <c r="H63" s="13" t="s">
        <v>339</v>
      </c>
      <c r="I63" s="102" t="s">
        <v>352</v>
      </c>
      <c r="J63" s="132" t="s">
        <v>21</v>
      </c>
      <c r="K63" s="134" t="n">
        <v>10</v>
      </c>
      <c r="L63" s="151" t="s">
        <v>97</v>
      </c>
      <c r="M63" s="106" t="s">
        <v>353</v>
      </c>
    </row>
    <row r="64" customFormat="false" ht="130.5" hidden="false" customHeight="true" outlineLevel="0" collapsed="false">
      <c r="A64" s="132" t="s">
        <v>314</v>
      </c>
      <c r="B64" s="151" t="s">
        <v>54</v>
      </c>
      <c r="C64" s="151" t="s">
        <v>54</v>
      </c>
      <c r="D64" s="151" t="s">
        <v>16</v>
      </c>
      <c r="E64" s="97" t="s">
        <v>315</v>
      </c>
      <c r="F64" s="97" t="s">
        <v>97</v>
      </c>
      <c r="G64" s="13" t="s">
        <v>339</v>
      </c>
      <c r="H64" s="13" t="s">
        <v>356</v>
      </c>
      <c r="I64" s="226" t="s">
        <v>357</v>
      </c>
      <c r="J64" s="132" t="s">
        <v>40</v>
      </c>
      <c r="K64" s="134" t="n">
        <v>2.5</v>
      </c>
      <c r="L64" s="151" t="s">
        <v>97</v>
      </c>
      <c r="M64" s="106" t="s">
        <v>747</v>
      </c>
    </row>
    <row r="65" customFormat="false" ht="130.5" hidden="false" customHeight="true" outlineLevel="0" collapsed="false">
      <c r="A65" s="132" t="s">
        <v>318</v>
      </c>
      <c r="B65" s="151" t="s">
        <v>54</v>
      </c>
      <c r="C65" s="151" t="s">
        <v>54</v>
      </c>
      <c r="D65" s="151" t="s">
        <v>16</v>
      </c>
      <c r="E65" s="97" t="s">
        <v>319</v>
      </c>
      <c r="F65" s="97" t="s">
        <v>97</v>
      </c>
      <c r="G65" s="13" t="s">
        <v>361</v>
      </c>
      <c r="H65" s="13" t="s">
        <v>362</v>
      </c>
      <c r="I65" s="226" t="s">
        <v>363</v>
      </c>
      <c r="J65" s="132" t="s">
        <v>40</v>
      </c>
      <c r="K65" s="134" t="n">
        <v>2.5</v>
      </c>
      <c r="L65" s="151" t="s">
        <v>97</v>
      </c>
      <c r="M65" s="106" t="s">
        <v>747</v>
      </c>
    </row>
    <row r="66" customFormat="false" ht="124.5" hidden="false" customHeight="true" outlineLevel="0" collapsed="false">
      <c r="A66" s="132" t="s">
        <v>321</v>
      </c>
      <c r="B66" s="151" t="s">
        <v>54</v>
      </c>
      <c r="C66" s="151" t="s">
        <v>54</v>
      </c>
      <c r="D66" s="151" t="s">
        <v>16</v>
      </c>
      <c r="E66" s="97" t="s">
        <v>322</v>
      </c>
      <c r="F66" s="97" t="s">
        <v>97</v>
      </c>
      <c r="G66" s="13" t="s">
        <v>361</v>
      </c>
      <c r="H66" s="13" t="s">
        <v>367</v>
      </c>
      <c r="I66" s="226" t="s">
        <v>614</v>
      </c>
      <c r="J66" s="132" t="s">
        <v>40</v>
      </c>
      <c r="K66" s="134" t="n">
        <v>2.5</v>
      </c>
      <c r="L66" s="151" t="s">
        <v>97</v>
      </c>
      <c r="M66" s="106" t="s">
        <v>747</v>
      </c>
    </row>
    <row r="67" customFormat="false" ht="126" hidden="false" customHeight="true" outlineLevel="0" collapsed="false">
      <c r="A67" s="132" t="s">
        <v>616</v>
      </c>
      <c r="B67" s="151" t="s">
        <v>54</v>
      </c>
      <c r="C67" s="151" t="s">
        <v>54</v>
      </c>
      <c r="D67" s="151" t="s">
        <v>16</v>
      </c>
      <c r="E67" s="97" t="s">
        <v>617</v>
      </c>
      <c r="F67" s="97" t="s">
        <v>97</v>
      </c>
      <c r="G67" s="13" t="s">
        <v>361</v>
      </c>
      <c r="H67" s="13" t="s">
        <v>372</v>
      </c>
      <c r="I67" s="226" t="s">
        <v>748</v>
      </c>
      <c r="J67" s="132" t="s">
        <v>40</v>
      </c>
      <c r="K67" s="134" t="n">
        <v>2.5</v>
      </c>
      <c r="L67" s="151" t="s">
        <v>97</v>
      </c>
      <c r="M67" s="106" t="s">
        <v>747</v>
      </c>
    </row>
    <row r="68" customFormat="false" ht="57.75" hidden="false" customHeight="true" outlineLevel="0" collapsed="false">
      <c r="A68" s="95" t="s">
        <v>461</v>
      </c>
      <c r="B68" s="96" t="s">
        <v>252</v>
      </c>
      <c r="C68" s="96" t="s">
        <v>132</v>
      </c>
      <c r="D68" s="96" t="s">
        <v>16</v>
      </c>
      <c r="E68" s="97" t="s">
        <v>462</v>
      </c>
      <c r="F68" s="143" t="s">
        <v>97</v>
      </c>
      <c r="G68" s="119"/>
      <c r="H68" s="13" t="s">
        <v>377</v>
      </c>
      <c r="I68" s="102" t="s">
        <v>378</v>
      </c>
      <c r="J68" s="95" t="s">
        <v>21</v>
      </c>
      <c r="K68" s="98" t="n">
        <v>10</v>
      </c>
      <c r="L68" s="96" t="s">
        <v>22</v>
      </c>
      <c r="M68" s="129" t="s">
        <v>749</v>
      </c>
    </row>
    <row r="69" customFormat="false" ht="14.25" hidden="false" customHeight="true" outlineLevel="0" collapsed="false">
      <c r="A69" s="132"/>
      <c r="B69" s="96"/>
      <c r="C69" s="96"/>
      <c r="D69" s="96"/>
      <c r="E69" s="97"/>
      <c r="F69" s="143" t="s">
        <v>97</v>
      </c>
      <c r="G69" s="97"/>
      <c r="H69" s="143"/>
      <c r="I69" s="102"/>
      <c r="J69" s="102"/>
      <c r="K69" s="102"/>
      <c r="L69" s="102"/>
      <c r="M69" s="129" t="s">
        <v>750</v>
      </c>
    </row>
    <row r="70" customFormat="false" ht="14.25" hidden="false" customHeight="true" outlineLevel="0" collapsed="false">
      <c r="A70" s="132"/>
      <c r="B70" s="96"/>
      <c r="C70" s="96"/>
      <c r="D70" s="96"/>
      <c r="E70" s="97"/>
      <c r="F70" s="143" t="s">
        <v>97</v>
      </c>
      <c r="G70" s="97"/>
      <c r="H70" s="143"/>
      <c r="I70" s="102"/>
      <c r="J70" s="102"/>
      <c r="K70" s="102"/>
      <c r="L70" s="102"/>
      <c r="M70" s="129" t="s">
        <v>751</v>
      </c>
    </row>
    <row r="71" customFormat="false" ht="14.25" hidden="false" customHeight="true" outlineLevel="0" collapsed="false">
      <c r="A71" s="132"/>
      <c r="B71" s="96"/>
      <c r="C71" s="96"/>
      <c r="D71" s="96"/>
      <c r="E71" s="97"/>
      <c r="F71" s="143" t="s">
        <v>97</v>
      </c>
      <c r="G71" s="97"/>
      <c r="H71" s="143"/>
      <c r="I71" s="102"/>
      <c r="J71" s="102"/>
      <c r="K71" s="102"/>
      <c r="L71" s="102"/>
      <c r="M71" s="129" t="s">
        <v>752</v>
      </c>
    </row>
    <row r="72" customFormat="false" ht="14.25" hidden="false" customHeight="true" outlineLevel="0" collapsed="false">
      <c r="A72" s="132"/>
      <c r="B72" s="96"/>
      <c r="C72" s="96"/>
      <c r="D72" s="96"/>
      <c r="E72" s="97"/>
      <c r="F72" s="143" t="s">
        <v>97</v>
      </c>
      <c r="G72" s="97"/>
      <c r="H72" s="143"/>
      <c r="I72" s="102"/>
      <c r="J72" s="102"/>
      <c r="K72" s="102"/>
      <c r="L72" s="102"/>
      <c r="M72" s="129" t="s">
        <v>753</v>
      </c>
    </row>
    <row r="73" customFormat="false" ht="14.25" hidden="false" customHeight="true" outlineLevel="0" collapsed="false">
      <c r="A73" s="132"/>
      <c r="B73" s="96"/>
      <c r="C73" s="96"/>
      <c r="D73" s="96"/>
      <c r="E73" s="97"/>
      <c r="F73" s="143" t="s">
        <v>97</v>
      </c>
      <c r="G73" s="97"/>
      <c r="H73" s="143"/>
      <c r="I73" s="102"/>
      <c r="J73" s="102"/>
      <c r="K73" s="102"/>
      <c r="L73" s="102"/>
      <c r="M73" s="129" t="s">
        <v>754</v>
      </c>
    </row>
    <row r="74" customFormat="false" ht="99" hidden="false" customHeight="true" outlineLevel="0" collapsed="false">
      <c r="A74" s="95" t="s">
        <v>619</v>
      </c>
      <c r="B74" s="96" t="s">
        <v>54</v>
      </c>
      <c r="C74" s="96" t="s">
        <v>54</v>
      </c>
      <c r="D74" s="96" t="s">
        <v>16</v>
      </c>
      <c r="E74" s="97" t="s">
        <v>620</v>
      </c>
      <c r="F74" s="143" t="s">
        <v>97</v>
      </c>
      <c r="G74" s="13" t="s">
        <v>376</v>
      </c>
      <c r="H74" s="13" t="s">
        <v>377</v>
      </c>
      <c r="I74" s="106" t="s">
        <v>381</v>
      </c>
      <c r="J74" s="95" t="s">
        <v>40</v>
      </c>
      <c r="K74" s="98" t="n">
        <v>5</v>
      </c>
      <c r="L74" s="102" t="s">
        <v>22</v>
      </c>
      <c r="M74" s="106" t="s">
        <v>755</v>
      </c>
    </row>
    <row r="75" customFormat="false" ht="94.5" hidden="false" customHeight="true" outlineLevel="0" collapsed="false">
      <c r="A75" s="95" t="s">
        <v>621</v>
      </c>
      <c r="B75" s="96" t="s">
        <v>54</v>
      </c>
      <c r="C75" s="96" t="s">
        <v>54</v>
      </c>
      <c r="D75" s="96" t="s">
        <v>16</v>
      </c>
      <c r="E75" s="97" t="s">
        <v>622</v>
      </c>
      <c r="F75" s="143" t="s">
        <v>97</v>
      </c>
      <c r="G75" s="13" t="s">
        <v>376</v>
      </c>
      <c r="H75" s="13" t="s">
        <v>377</v>
      </c>
      <c r="I75" s="106" t="s">
        <v>385</v>
      </c>
      <c r="J75" s="95" t="s">
        <v>40</v>
      </c>
      <c r="K75" s="98" t="n">
        <v>5</v>
      </c>
      <c r="L75" s="102" t="s">
        <v>97</v>
      </c>
      <c r="M75" s="106" t="s">
        <v>756</v>
      </c>
    </row>
    <row r="76" customFormat="false" ht="37.5" hidden="false" customHeight="true" outlineLevel="0" collapsed="false">
      <c r="A76" s="95" t="s">
        <v>467</v>
      </c>
      <c r="B76" s="96" t="s">
        <v>54</v>
      </c>
      <c r="C76" s="96" t="s">
        <v>54</v>
      </c>
      <c r="D76" s="96" t="s">
        <v>16</v>
      </c>
      <c r="E76" s="97" t="s">
        <v>468</v>
      </c>
      <c r="F76" s="143" t="s">
        <v>97</v>
      </c>
      <c r="G76" s="13" t="s">
        <v>376</v>
      </c>
      <c r="H76" s="13" t="s">
        <v>389</v>
      </c>
      <c r="I76" s="96" t="s">
        <v>390</v>
      </c>
      <c r="J76" s="95" t="s">
        <v>21</v>
      </c>
      <c r="K76" s="98" t="n">
        <v>10</v>
      </c>
      <c r="L76" s="96" t="s">
        <v>97</v>
      </c>
      <c r="M76" s="106" t="s">
        <v>757</v>
      </c>
    </row>
    <row r="77" customFormat="false" ht="37.5" hidden="false" customHeight="true" outlineLevel="0" collapsed="false">
      <c r="A77" s="95" t="s">
        <v>471</v>
      </c>
      <c r="B77" s="96" t="s">
        <v>54</v>
      </c>
      <c r="C77" s="96" t="s">
        <v>54</v>
      </c>
      <c r="D77" s="96" t="s">
        <v>16</v>
      </c>
      <c r="E77" s="97" t="s">
        <v>472</v>
      </c>
      <c r="F77" s="143" t="s">
        <v>97</v>
      </c>
      <c r="G77" s="13" t="s">
        <v>376</v>
      </c>
      <c r="H77" s="13" t="s">
        <v>389</v>
      </c>
      <c r="I77" s="96" t="s">
        <v>758</v>
      </c>
      <c r="J77" s="95" t="s">
        <v>40</v>
      </c>
      <c r="K77" s="98" t="n">
        <v>5</v>
      </c>
      <c r="L77" s="102" t="s">
        <v>22</v>
      </c>
      <c r="M77" s="106" t="s">
        <v>759</v>
      </c>
    </row>
    <row r="78" customFormat="false" ht="75.75" hidden="false" customHeight="true" outlineLevel="0" collapsed="false">
      <c r="A78" s="95" t="s">
        <v>475</v>
      </c>
      <c r="B78" s="96" t="s">
        <v>54</v>
      </c>
      <c r="C78" s="96" t="s">
        <v>54</v>
      </c>
      <c r="D78" s="96" t="s">
        <v>16</v>
      </c>
      <c r="E78" s="97" t="s">
        <v>476</v>
      </c>
      <c r="F78" s="143" t="s">
        <v>97</v>
      </c>
      <c r="G78" s="13" t="s">
        <v>376</v>
      </c>
      <c r="H78" s="13" t="s">
        <v>389</v>
      </c>
      <c r="I78" s="96" t="s">
        <v>397</v>
      </c>
      <c r="J78" s="95" t="s">
        <v>40</v>
      </c>
      <c r="K78" s="98" t="n">
        <v>5</v>
      </c>
      <c r="L78" s="102" t="s">
        <v>97</v>
      </c>
      <c r="M78" s="106" t="s">
        <v>760</v>
      </c>
    </row>
    <row r="79" customFormat="false" ht="25.5" hidden="false" customHeight="true" outlineLevel="0" collapsed="false">
      <c r="A79" s="132" t="s">
        <v>191</v>
      </c>
      <c r="B79" s="138" t="s">
        <v>54</v>
      </c>
      <c r="C79" s="138" t="s">
        <v>54</v>
      </c>
      <c r="D79" s="138" t="s">
        <v>16</v>
      </c>
      <c r="E79" s="97" t="s">
        <v>79</v>
      </c>
      <c r="F79" s="209" t="s">
        <v>17</v>
      </c>
      <c r="G79" s="13" t="s">
        <v>402</v>
      </c>
      <c r="H79" s="13" t="s">
        <v>403</v>
      </c>
      <c r="I79" s="96" t="s">
        <v>761</v>
      </c>
      <c r="J79" s="132" t="s">
        <v>21</v>
      </c>
      <c r="K79" s="134" t="n">
        <v>10</v>
      </c>
      <c r="L79" s="151" t="s">
        <v>405</v>
      </c>
      <c r="M79" s="96" t="s">
        <v>762</v>
      </c>
    </row>
    <row r="80" customFormat="false" ht="88.5" hidden="false" customHeight="true" outlineLevel="0" collapsed="false">
      <c r="A80" s="137" t="s">
        <v>195</v>
      </c>
      <c r="B80" s="227"/>
      <c r="C80" s="227"/>
      <c r="D80" s="106" t="s">
        <v>16</v>
      </c>
      <c r="E80" s="228" t="s">
        <v>86</v>
      </c>
      <c r="F80" s="209" t="s">
        <v>17</v>
      </c>
      <c r="G80" s="13" t="s">
        <v>402</v>
      </c>
      <c r="H80" s="13" t="s">
        <v>403</v>
      </c>
      <c r="I80" s="106" t="s">
        <v>763</v>
      </c>
      <c r="J80" s="137" t="s">
        <v>40</v>
      </c>
      <c r="K80" s="229" t="n">
        <v>5</v>
      </c>
      <c r="L80" s="106" t="s">
        <v>22</v>
      </c>
      <c r="M80" s="106" t="s">
        <v>764</v>
      </c>
    </row>
    <row r="81" customFormat="false" ht="75.75" hidden="false" customHeight="true" outlineLevel="0" collapsed="false">
      <c r="A81" s="137" t="s">
        <v>198</v>
      </c>
      <c r="B81" s="227"/>
      <c r="C81" s="227"/>
      <c r="D81" s="227" t="s">
        <v>16</v>
      </c>
      <c r="E81" s="228" t="s">
        <v>93</v>
      </c>
      <c r="F81" s="209" t="s">
        <v>17</v>
      </c>
      <c r="G81" s="13" t="s">
        <v>402</v>
      </c>
      <c r="H81" s="13" t="s">
        <v>403</v>
      </c>
      <c r="I81" s="106" t="s">
        <v>765</v>
      </c>
      <c r="J81" s="137" t="s">
        <v>40</v>
      </c>
      <c r="K81" s="229" t="n">
        <v>5</v>
      </c>
      <c r="L81" s="106" t="s">
        <v>97</v>
      </c>
      <c r="M81" s="106" t="s">
        <v>766</v>
      </c>
    </row>
    <row r="82" customFormat="false" ht="201.75" hidden="false" customHeight="true" outlineLevel="0" collapsed="false">
      <c r="A82" s="137" t="s">
        <v>201</v>
      </c>
      <c r="B82" s="138"/>
      <c r="C82" s="138"/>
      <c r="D82" s="138" t="s">
        <v>16</v>
      </c>
      <c r="E82" s="87" t="s">
        <v>202</v>
      </c>
      <c r="F82" s="209" t="s">
        <v>17</v>
      </c>
      <c r="G82" s="13" t="s">
        <v>402</v>
      </c>
      <c r="H82" s="13" t="s">
        <v>409</v>
      </c>
      <c r="I82" s="139" t="s">
        <v>767</v>
      </c>
      <c r="J82" s="132" t="s">
        <v>21</v>
      </c>
      <c r="K82" s="134" t="n">
        <v>10</v>
      </c>
      <c r="L82" s="96" t="s">
        <v>22</v>
      </c>
      <c r="M82" s="139" t="s">
        <v>768</v>
      </c>
    </row>
    <row r="83" customFormat="false" ht="88.5" hidden="false" customHeight="true" outlineLevel="0" collapsed="false">
      <c r="A83" s="95" t="s">
        <v>455</v>
      </c>
      <c r="B83" s="96" t="s">
        <v>202</v>
      </c>
      <c r="C83" s="96" t="s">
        <v>112</v>
      </c>
      <c r="D83" s="96" t="s">
        <v>16</v>
      </c>
      <c r="E83" s="97" t="s">
        <v>456</v>
      </c>
      <c r="F83" s="143" t="s">
        <v>97</v>
      </c>
      <c r="G83" s="13" t="s">
        <v>402</v>
      </c>
      <c r="H83" s="13" t="s">
        <v>435</v>
      </c>
      <c r="I83" s="96" t="s">
        <v>444</v>
      </c>
      <c r="J83" s="95" t="s">
        <v>21</v>
      </c>
      <c r="K83" s="98" t="n">
        <v>10</v>
      </c>
      <c r="L83" s="96" t="s">
        <v>97</v>
      </c>
      <c r="M83" s="106" t="s">
        <v>769</v>
      </c>
    </row>
    <row r="84" customFormat="false" ht="66" hidden="false" customHeight="true" outlineLevel="0" collapsed="false">
      <c r="A84" s="132" t="s">
        <v>131</v>
      </c>
      <c r="B84" s="96" t="s">
        <v>295</v>
      </c>
      <c r="C84" s="96" t="s">
        <v>137</v>
      </c>
      <c r="D84" s="96" t="s">
        <v>16</v>
      </c>
      <c r="E84" s="97" t="s">
        <v>132</v>
      </c>
      <c r="F84" s="209" t="s">
        <v>17</v>
      </c>
      <c r="G84" s="13" t="s">
        <v>402</v>
      </c>
      <c r="H84" s="13" t="s">
        <v>447</v>
      </c>
      <c r="I84" s="96" t="s">
        <v>448</v>
      </c>
      <c r="J84" s="132" t="s">
        <v>21</v>
      </c>
      <c r="K84" s="134" t="n">
        <v>10</v>
      </c>
      <c r="L84" s="96" t="s">
        <v>22</v>
      </c>
      <c r="M84" s="106" t="s">
        <v>770</v>
      </c>
    </row>
    <row r="85" customFormat="false" ht="75.75" hidden="false" customHeight="true" outlineLevel="0" collapsed="false">
      <c r="A85" s="132" t="s">
        <v>136</v>
      </c>
      <c r="B85" s="96" t="s">
        <v>311</v>
      </c>
      <c r="C85" s="96" t="s">
        <v>168</v>
      </c>
      <c r="D85" s="96" t="s">
        <v>16</v>
      </c>
      <c r="E85" s="97" t="s">
        <v>137</v>
      </c>
      <c r="F85" s="209" t="s">
        <v>17</v>
      </c>
      <c r="G85" s="13" t="s">
        <v>402</v>
      </c>
      <c r="H85" s="13" t="s">
        <v>447</v>
      </c>
      <c r="I85" s="96" t="s">
        <v>452</v>
      </c>
      <c r="J85" s="132" t="s">
        <v>21</v>
      </c>
      <c r="K85" s="134" t="n">
        <v>10</v>
      </c>
      <c r="L85" s="96" t="s">
        <v>22</v>
      </c>
      <c r="M85" s="106" t="s">
        <v>771</v>
      </c>
    </row>
    <row r="86" customFormat="false" ht="50.25" hidden="false" customHeight="true" outlineLevel="0" collapsed="false">
      <c r="A86" s="132" t="s">
        <v>479</v>
      </c>
      <c r="B86" s="96" t="s">
        <v>325</v>
      </c>
      <c r="C86" s="96" t="s">
        <v>54</v>
      </c>
      <c r="D86" s="96" t="s">
        <v>16</v>
      </c>
      <c r="E86" s="97" t="s">
        <v>480</v>
      </c>
      <c r="F86" s="208" t="s">
        <v>97</v>
      </c>
      <c r="G86" s="13" t="s">
        <v>457</v>
      </c>
      <c r="H86" s="13" t="s">
        <v>458</v>
      </c>
      <c r="I86" s="96" t="s">
        <v>628</v>
      </c>
      <c r="J86" s="132" t="s">
        <v>21</v>
      </c>
      <c r="K86" s="134" t="n">
        <v>10</v>
      </c>
      <c r="L86" s="96" t="s">
        <v>97</v>
      </c>
      <c r="M86" s="106" t="s">
        <v>772</v>
      </c>
    </row>
    <row r="87" customFormat="false" ht="126" hidden="false" customHeight="true" outlineLevel="0" collapsed="false">
      <c r="A87" s="132" t="s">
        <v>629</v>
      </c>
      <c r="B87" s="96" t="s">
        <v>388</v>
      </c>
      <c r="C87" s="96" t="s">
        <v>187</v>
      </c>
      <c r="D87" s="96" t="s">
        <v>16</v>
      </c>
      <c r="E87" s="97" t="s">
        <v>630</v>
      </c>
      <c r="F87" s="97" t="s">
        <v>463</v>
      </c>
      <c r="G87" s="13" t="s">
        <v>457</v>
      </c>
      <c r="H87" s="13" t="s">
        <v>458</v>
      </c>
      <c r="I87" s="96" t="s">
        <v>631</v>
      </c>
      <c r="J87" s="132" t="s">
        <v>21</v>
      </c>
      <c r="K87" s="134" t="n">
        <v>10</v>
      </c>
      <c r="L87" s="96" t="s">
        <v>97</v>
      </c>
      <c r="M87" s="106" t="s">
        <v>773</v>
      </c>
    </row>
    <row r="88" customFormat="false" ht="113.25" hidden="false" customHeight="true" outlineLevel="0" collapsed="false">
      <c r="A88" s="132" t="s">
        <v>633</v>
      </c>
      <c r="B88" s="96" t="s">
        <v>401</v>
      </c>
      <c r="C88" s="96" t="s">
        <v>79</v>
      </c>
      <c r="D88" s="96" t="s">
        <v>16</v>
      </c>
      <c r="E88" s="97" t="s">
        <v>634</v>
      </c>
      <c r="F88" s="97" t="s">
        <v>463</v>
      </c>
      <c r="G88" s="13" t="s">
        <v>457</v>
      </c>
      <c r="H88" s="13" t="s">
        <v>469</v>
      </c>
      <c r="I88" s="96" t="s">
        <v>774</v>
      </c>
      <c r="J88" s="132" t="s">
        <v>21</v>
      </c>
      <c r="K88" s="134" t="n">
        <v>10</v>
      </c>
      <c r="L88" s="96" t="s">
        <v>97</v>
      </c>
      <c r="M88" s="106" t="s">
        <v>775</v>
      </c>
    </row>
    <row r="89" customFormat="false" ht="409.5" hidden="false" customHeight="true" outlineLevel="0" collapsed="false">
      <c r="A89" s="132" t="s">
        <v>635</v>
      </c>
      <c r="B89" s="96" t="s">
        <v>408</v>
      </c>
      <c r="C89" s="96" t="s">
        <v>202</v>
      </c>
      <c r="D89" s="96" t="s">
        <v>16</v>
      </c>
      <c r="E89" s="97" t="s">
        <v>636</v>
      </c>
      <c r="F89" s="97" t="s">
        <v>463</v>
      </c>
      <c r="G89" s="13" t="s">
        <v>457</v>
      </c>
      <c r="H89" s="13" t="s">
        <v>637</v>
      </c>
      <c r="I89" s="96" t="s">
        <v>482</v>
      </c>
      <c r="J89" s="132" t="s">
        <v>21</v>
      </c>
      <c r="K89" s="134" t="n">
        <v>10</v>
      </c>
      <c r="L89" s="96" t="s">
        <v>22</v>
      </c>
      <c r="M89" s="106" t="s">
        <v>776</v>
      </c>
    </row>
    <row r="90" s="85" customFormat="true" ht="55.5" hidden="false" customHeight="true" outlineLevel="0" collapsed="false">
      <c r="H90" s="90"/>
      <c r="K90" s="84"/>
    </row>
    <row r="91" s="85" customFormat="true" ht="14.25" hidden="false" customHeight="true" outlineLevel="0" collapsed="false">
      <c r="H91" s="90"/>
      <c r="K91" s="84"/>
    </row>
    <row r="92" s="85" customFormat="true" ht="14.25" hidden="false" customHeight="true" outlineLevel="0" collapsed="false">
      <c r="H92" s="90"/>
      <c r="K92" s="84"/>
    </row>
    <row r="93" s="85" customFormat="true" ht="14.25" hidden="false" customHeight="true" outlineLevel="0" collapsed="false">
      <c r="H93" s="90"/>
      <c r="K93" s="84"/>
    </row>
    <row r="94" s="85" customFormat="true" ht="14.25" hidden="false" customHeight="true" outlineLevel="0" collapsed="false">
      <c r="H94" s="90"/>
      <c r="K94" s="84"/>
    </row>
    <row r="95" customFormat="false" ht="14.25" hidden="false" customHeight="true" outlineLevel="0" collapsed="false">
      <c r="A95" s="194"/>
      <c r="B95" s="195"/>
      <c r="C95" s="195"/>
      <c r="D95" s="195"/>
      <c r="G95" s="86"/>
      <c r="H95" s="196"/>
      <c r="I95" s="195"/>
      <c r="J95" s="194"/>
      <c r="K95" s="194"/>
      <c r="L95" s="195"/>
      <c r="M95" s="197"/>
    </row>
    <row r="96" customFormat="false" ht="14.25" hidden="false" customHeight="true" outlineLevel="0" collapsed="false">
      <c r="A96" s="194"/>
      <c r="B96" s="195"/>
      <c r="C96" s="195"/>
      <c r="D96" s="195"/>
      <c r="G96" s="86"/>
      <c r="H96" s="196"/>
      <c r="I96" s="195"/>
      <c r="J96" s="194"/>
      <c r="K96" s="194"/>
      <c r="L96" s="195"/>
      <c r="M96" s="197"/>
    </row>
    <row r="97" customFormat="false" ht="14.25" hidden="false" customHeight="true" outlineLevel="0" collapsed="false">
      <c r="A97" s="194"/>
      <c r="B97" s="195"/>
      <c r="C97" s="195"/>
      <c r="D97" s="195"/>
      <c r="G97" s="86"/>
      <c r="H97" s="196"/>
      <c r="I97" s="195"/>
      <c r="J97" s="194"/>
      <c r="K97" s="194"/>
      <c r="L97" s="195"/>
      <c r="M97" s="197"/>
    </row>
    <row r="98" customFormat="false" ht="14.25" hidden="false" customHeight="true" outlineLevel="0" collapsed="false">
      <c r="A98" s="194"/>
      <c r="B98" s="195"/>
      <c r="C98" s="195"/>
      <c r="D98" s="195"/>
      <c r="G98" s="86"/>
      <c r="H98" s="196"/>
      <c r="I98" s="195"/>
      <c r="J98" s="194"/>
      <c r="K98" s="194"/>
      <c r="L98" s="195"/>
      <c r="M98" s="197"/>
    </row>
    <row r="99" customFormat="false" ht="14.25" hidden="false" customHeight="true" outlineLevel="0" collapsed="false">
      <c r="A99" s="194"/>
      <c r="B99" s="195"/>
      <c r="C99" s="195"/>
      <c r="D99" s="195"/>
      <c r="G99" s="86"/>
      <c r="H99" s="196"/>
      <c r="I99" s="195"/>
      <c r="J99" s="194"/>
      <c r="K99" s="194"/>
      <c r="L99" s="195"/>
      <c r="M99" s="197"/>
    </row>
    <row r="100" customFormat="false" ht="14.25" hidden="false" customHeight="true" outlineLevel="0" collapsed="false">
      <c r="A100" s="194"/>
      <c r="B100" s="195"/>
      <c r="C100" s="195"/>
      <c r="D100" s="195"/>
      <c r="G100" s="86"/>
      <c r="H100" s="196"/>
      <c r="I100" s="195"/>
      <c r="J100" s="194"/>
      <c r="K100" s="194"/>
      <c r="L100" s="195"/>
      <c r="M100" s="197"/>
    </row>
    <row r="101" customFormat="false" ht="14.25" hidden="false" customHeight="true" outlineLevel="0" collapsed="false">
      <c r="A101" s="194"/>
      <c r="B101" s="195"/>
      <c r="C101" s="195"/>
      <c r="D101" s="195"/>
      <c r="G101" s="86"/>
      <c r="H101" s="196"/>
      <c r="I101" s="195"/>
      <c r="J101" s="194"/>
      <c r="K101" s="194"/>
      <c r="L101" s="195"/>
      <c r="M101" s="197"/>
    </row>
    <row r="102" customFormat="false" ht="14.25" hidden="false" customHeight="true" outlineLevel="0" collapsed="false">
      <c r="A102" s="194"/>
      <c r="B102" s="195"/>
      <c r="C102" s="195"/>
      <c r="D102" s="195"/>
      <c r="G102" s="86"/>
      <c r="H102" s="196"/>
      <c r="I102" s="195"/>
      <c r="J102" s="194"/>
      <c r="K102" s="194"/>
      <c r="L102" s="195"/>
      <c r="M102" s="197"/>
    </row>
    <row r="103" customFormat="false" ht="14.25" hidden="false" customHeight="true" outlineLevel="0" collapsed="false">
      <c r="A103" s="194"/>
      <c r="B103" s="195"/>
      <c r="C103" s="195"/>
      <c r="D103" s="195"/>
      <c r="G103" s="86"/>
      <c r="H103" s="196"/>
      <c r="I103" s="195"/>
      <c r="J103" s="194"/>
      <c r="K103" s="194"/>
      <c r="L103" s="195"/>
      <c r="M103" s="197"/>
    </row>
    <row r="104" customFormat="false" ht="14.25" hidden="false" customHeight="true" outlineLevel="0" collapsed="false">
      <c r="A104" s="194"/>
      <c r="B104" s="195"/>
      <c r="C104" s="195"/>
      <c r="D104" s="195"/>
      <c r="G104" s="86"/>
      <c r="H104" s="196"/>
      <c r="I104" s="195"/>
      <c r="J104" s="194"/>
      <c r="K104" s="194"/>
      <c r="L104" s="195"/>
      <c r="M104" s="197"/>
    </row>
    <row r="105" customFormat="false" ht="14.25" hidden="false" customHeight="true" outlineLevel="0" collapsed="false">
      <c r="A105" s="194"/>
      <c r="B105" s="195"/>
      <c r="C105" s="195"/>
      <c r="D105" s="195"/>
      <c r="G105" s="86"/>
      <c r="H105" s="196"/>
      <c r="I105" s="195"/>
      <c r="J105" s="194"/>
      <c r="K105" s="194"/>
      <c r="L105" s="195"/>
      <c r="M105" s="197"/>
    </row>
    <row r="106" customFormat="false" ht="14.25" hidden="false" customHeight="true" outlineLevel="0" collapsed="false">
      <c r="A106" s="194"/>
      <c r="B106" s="195"/>
      <c r="C106" s="195"/>
      <c r="D106" s="195"/>
      <c r="G106" s="86"/>
      <c r="H106" s="196"/>
      <c r="I106" s="195"/>
      <c r="J106" s="194"/>
      <c r="K106" s="194"/>
      <c r="L106" s="195"/>
      <c r="M106" s="197"/>
    </row>
    <row r="107" customFormat="false" ht="14.25" hidden="false" customHeight="true" outlineLevel="0" collapsed="false">
      <c r="A107" s="194"/>
      <c r="B107" s="195"/>
      <c r="C107" s="195"/>
      <c r="D107" s="195"/>
      <c r="G107" s="86"/>
      <c r="H107" s="196"/>
      <c r="I107" s="195"/>
      <c r="J107" s="194"/>
      <c r="K107" s="194"/>
      <c r="L107" s="195"/>
      <c r="M107" s="197"/>
    </row>
    <row r="108" customFormat="false" ht="14.25" hidden="false" customHeight="true" outlineLevel="0" collapsed="false">
      <c r="A108" s="194"/>
      <c r="B108" s="195"/>
      <c r="C108" s="195"/>
      <c r="D108" s="195"/>
      <c r="G108" s="86"/>
      <c r="H108" s="196"/>
      <c r="I108" s="195"/>
      <c r="J108" s="194"/>
      <c r="K108" s="194"/>
      <c r="L108" s="195"/>
      <c r="M108" s="197"/>
    </row>
    <row r="109" customFormat="false" ht="14.25" hidden="false" customHeight="true" outlineLevel="0" collapsed="false">
      <c r="A109" s="194"/>
      <c r="B109" s="195"/>
      <c r="C109" s="195"/>
      <c r="D109" s="195"/>
      <c r="G109" s="86"/>
      <c r="H109" s="196"/>
      <c r="I109" s="195"/>
      <c r="J109" s="194"/>
      <c r="K109" s="194"/>
      <c r="L109" s="195"/>
      <c r="M109" s="197"/>
    </row>
    <row r="110" customFormat="false" ht="14.25" hidden="false" customHeight="true" outlineLevel="0" collapsed="false">
      <c r="A110" s="194"/>
      <c r="B110" s="195"/>
      <c r="C110" s="195"/>
      <c r="D110" s="195"/>
      <c r="G110" s="86"/>
      <c r="H110" s="196"/>
      <c r="I110" s="195"/>
      <c r="J110" s="194"/>
      <c r="K110" s="194"/>
      <c r="L110" s="195"/>
      <c r="M110" s="197"/>
    </row>
    <row r="111" customFormat="false" ht="14.25" hidden="false" customHeight="true" outlineLevel="0" collapsed="false">
      <c r="A111" s="194"/>
      <c r="B111" s="195"/>
      <c r="C111" s="195"/>
      <c r="D111" s="195"/>
      <c r="G111" s="86"/>
      <c r="H111" s="196"/>
      <c r="I111" s="195"/>
      <c r="J111" s="194"/>
      <c r="K111" s="194"/>
      <c r="L111" s="195"/>
      <c r="M111" s="197"/>
    </row>
    <row r="112" customFormat="false" ht="14.25" hidden="false" customHeight="true" outlineLevel="0" collapsed="false">
      <c r="A112" s="194"/>
      <c r="B112" s="195"/>
      <c r="C112" s="195"/>
      <c r="D112" s="195"/>
      <c r="G112" s="86"/>
      <c r="H112" s="196"/>
      <c r="I112" s="195"/>
      <c r="J112" s="194"/>
      <c r="K112" s="194"/>
      <c r="L112" s="195"/>
      <c r="M112" s="197"/>
    </row>
    <row r="113" customFormat="false" ht="14.25" hidden="false" customHeight="true" outlineLevel="0" collapsed="false">
      <c r="A113" s="194"/>
      <c r="B113" s="195"/>
      <c r="C113" s="195"/>
      <c r="D113" s="195"/>
      <c r="G113" s="86"/>
      <c r="H113" s="196"/>
      <c r="I113" s="195"/>
      <c r="J113" s="194"/>
      <c r="K113" s="194"/>
      <c r="L113" s="195"/>
      <c r="M113" s="197"/>
    </row>
    <row r="114" customFormat="false" ht="14.25" hidden="false" customHeight="true" outlineLevel="0" collapsed="false">
      <c r="A114" s="194"/>
      <c r="B114" s="195"/>
      <c r="C114" s="195"/>
      <c r="D114" s="195"/>
      <c r="G114" s="86"/>
      <c r="H114" s="196"/>
      <c r="I114" s="195"/>
      <c r="J114" s="194"/>
      <c r="K114" s="194"/>
      <c r="L114" s="195"/>
      <c r="M114" s="197"/>
    </row>
    <row r="115" customFormat="false" ht="14.25" hidden="false" customHeight="true" outlineLevel="0" collapsed="false">
      <c r="A115" s="194"/>
      <c r="B115" s="195"/>
      <c r="C115" s="195"/>
      <c r="D115" s="195"/>
      <c r="G115" s="86"/>
      <c r="H115" s="196"/>
      <c r="I115" s="195"/>
      <c r="J115" s="194"/>
      <c r="K115" s="194"/>
      <c r="L115" s="195"/>
      <c r="M115" s="197"/>
    </row>
    <row r="116" customFormat="false" ht="14.25" hidden="false" customHeight="true" outlineLevel="0" collapsed="false">
      <c r="A116" s="194"/>
      <c r="B116" s="195"/>
      <c r="C116" s="195"/>
      <c r="D116" s="195"/>
      <c r="G116" s="86"/>
      <c r="H116" s="196"/>
      <c r="I116" s="195"/>
      <c r="J116" s="194"/>
      <c r="K116" s="194"/>
      <c r="L116" s="195"/>
      <c r="M116" s="197"/>
    </row>
    <row r="117" customFormat="false" ht="14.25" hidden="false" customHeight="true" outlineLevel="0" collapsed="false">
      <c r="A117" s="194"/>
      <c r="B117" s="195"/>
      <c r="C117" s="195"/>
      <c r="D117" s="195"/>
      <c r="G117" s="86"/>
      <c r="H117" s="196"/>
      <c r="I117" s="195"/>
      <c r="J117" s="194"/>
      <c r="K117" s="194"/>
      <c r="L117" s="195"/>
      <c r="M117" s="197"/>
    </row>
    <row r="118" customFormat="false" ht="14.25" hidden="false" customHeight="true" outlineLevel="0" collapsed="false">
      <c r="A118" s="194"/>
      <c r="B118" s="195"/>
      <c r="C118" s="195"/>
      <c r="D118" s="195"/>
      <c r="G118" s="86"/>
      <c r="H118" s="196"/>
      <c r="I118" s="195"/>
      <c r="J118" s="194"/>
      <c r="K118" s="194"/>
      <c r="L118" s="195"/>
      <c r="M118" s="197"/>
    </row>
    <row r="119" customFormat="false" ht="15.75" hidden="false" customHeight="true" outlineLevel="0" collapsed="false">
      <c r="A119" s="194"/>
      <c r="B119" s="195"/>
      <c r="C119" s="195"/>
      <c r="D119" s="195"/>
      <c r="G119" s="86"/>
      <c r="H119" s="196"/>
      <c r="I119" s="195"/>
      <c r="J119" s="194"/>
      <c r="K119" s="194"/>
      <c r="L119" s="195"/>
      <c r="M119" s="197" t="s">
        <v>485</v>
      </c>
    </row>
    <row r="120" customFormat="false" ht="14.25" hidden="false" customHeight="true" outlineLevel="0" collapsed="false">
      <c r="A120" s="194"/>
      <c r="B120" s="195"/>
      <c r="C120" s="195"/>
      <c r="D120" s="195"/>
      <c r="G120" s="86"/>
      <c r="H120" s="196"/>
      <c r="I120" s="195"/>
      <c r="J120" s="194"/>
      <c r="K120" s="194"/>
      <c r="L120" s="195"/>
      <c r="M120" s="197"/>
    </row>
    <row r="121" customFormat="false" ht="14.25" hidden="false" customHeight="true" outlineLevel="0" collapsed="false">
      <c r="A121" s="194"/>
      <c r="B121" s="195"/>
      <c r="C121" s="195"/>
      <c r="D121" s="195"/>
      <c r="G121" s="86"/>
      <c r="H121" s="196"/>
      <c r="I121" s="195"/>
      <c r="J121" s="194"/>
      <c r="K121" s="194"/>
      <c r="L121" s="195"/>
      <c r="M121" s="197"/>
    </row>
    <row r="122" customFormat="false" ht="14.25" hidden="false" customHeight="true" outlineLevel="0" collapsed="false">
      <c r="A122" s="194"/>
      <c r="B122" s="195"/>
      <c r="C122" s="195"/>
      <c r="D122" s="195"/>
      <c r="G122" s="86"/>
      <c r="H122" s="196"/>
      <c r="I122" s="195"/>
      <c r="J122" s="194"/>
      <c r="K122" s="194"/>
      <c r="L122" s="195"/>
      <c r="M122" s="197"/>
    </row>
    <row r="123" customFormat="false" ht="14.25" hidden="false" customHeight="true" outlineLevel="0" collapsed="false">
      <c r="A123" s="194"/>
      <c r="B123" s="195"/>
      <c r="C123" s="195"/>
      <c r="D123" s="195"/>
      <c r="G123" s="86"/>
      <c r="H123" s="196"/>
      <c r="I123" s="195"/>
      <c r="J123" s="194"/>
      <c r="K123" s="194"/>
      <c r="L123" s="195"/>
      <c r="M123" s="197"/>
    </row>
    <row r="124" customFormat="false" ht="14.25" hidden="false" customHeight="true" outlineLevel="0" collapsed="false">
      <c r="A124" s="194"/>
      <c r="B124" s="195"/>
      <c r="C124" s="195"/>
      <c r="D124" s="195"/>
      <c r="G124" s="86"/>
      <c r="H124" s="196"/>
      <c r="I124" s="195"/>
      <c r="J124" s="194"/>
      <c r="K124" s="194"/>
      <c r="L124" s="195"/>
      <c r="M124" s="197"/>
    </row>
    <row r="125" customFormat="false" ht="14.25" hidden="false" customHeight="true" outlineLevel="0" collapsed="false">
      <c r="A125" s="194"/>
      <c r="B125" s="195"/>
      <c r="C125" s="195"/>
      <c r="D125" s="195"/>
      <c r="G125" s="86"/>
      <c r="H125" s="196"/>
      <c r="I125" s="195"/>
      <c r="J125" s="194"/>
      <c r="K125" s="194"/>
      <c r="L125" s="195"/>
      <c r="M125" s="197"/>
    </row>
    <row r="126" customFormat="false" ht="15.75" hidden="false" customHeight="true" outlineLevel="0" collapsed="false">
      <c r="A126" s="194"/>
      <c r="B126" s="195"/>
      <c r="C126" s="195"/>
      <c r="D126" s="195"/>
      <c r="G126" s="86"/>
      <c r="H126" s="196"/>
      <c r="I126" s="195"/>
      <c r="J126" s="194"/>
      <c r="K126" s="194"/>
      <c r="L126" s="195"/>
      <c r="M126" s="197" t="s">
        <v>485</v>
      </c>
    </row>
    <row r="127" customFormat="false" ht="14.25" hidden="false" customHeight="true" outlineLevel="0" collapsed="false">
      <c r="A127" s="194"/>
      <c r="B127" s="195"/>
      <c r="C127" s="195"/>
      <c r="D127" s="195"/>
      <c r="G127" s="86"/>
      <c r="H127" s="196"/>
      <c r="I127" s="195"/>
      <c r="J127" s="194"/>
      <c r="K127" s="194"/>
      <c r="L127" s="195"/>
      <c r="M127" s="197"/>
    </row>
    <row r="128" customFormat="false" ht="14.25" hidden="false" customHeight="true" outlineLevel="0" collapsed="false">
      <c r="A128" s="194"/>
      <c r="B128" s="195"/>
      <c r="C128" s="195"/>
      <c r="D128" s="195"/>
      <c r="G128" s="86"/>
      <c r="H128" s="196"/>
      <c r="I128" s="195"/>
      <c r="J128" s="194"/>
      <c r="K128" s="194"/>
      <c r="L128" s="195"/>
      <c r="M128" s="197"/>
    </row>
    <row r="129" customFormat="false" ht="14.25" hidden="false" customHeight="true" outlineLevel="0" collapsed="false">
      <c r="A129" s="194"/>
      <c r="B129" s="195"/>
      <c r="C129" s="195"/>
      <c r="D129" s="195"/>
      <c r="G129" s="86"/>
      <c r="H129" s="196"/>
      <c r="I129" s="195"/>
      <c r="J129" s="194"/>
      <c r="K129" s="194"/>
      <c r="L129" s="195"/>
      <c r="M129" s="197"/>
    </row>
    <row r="130" customFormat="false" ht="14.25" hidden="false" customHeight="true" outlineLevel="0" collapsed="false">
      <c r="A130" s="194"/>
      <c r="B130" s="195"/>
      <c r="C130" s="195"/>
      <c r="D130" s="195"/>
      <c r="G130" s="86"/>
      <c r="H130" s="196"/>
      <c r="I130" s="195"/>
      <c r="J130" s="194"/>
      <c r="K130" s="194"/>
      <c r="L130" s="195"/>
      <c r="M130" s="197"/>
    </row>
    <row r="131" customFormat="false" ht="14.25" hidden="false" customHeight="true" outlineLevel="0" collapsed="false">
      <c r="A131" s="194"/>
      <c r="B131" s="195"/>
      <c r="C131" s="195"/>
      <c r="D131" s="195"/>
      <c r="G131" s="86"/>
      <c r="H131" s="196"/>
      <c r="I131" s="195"/>
      <c r="J131" s="194"/>
      <c r="K131" s="194"/>
      <c r="L131" s="195"/>
      <c r="M131" s="197"/>
    </row>
    <row r="132" customFormat="false" ht="15.75" hidden="false" customHeight="true" outlineLevel="0" collapsed="false">
      <c r="A132" s="194"/>
      <c r="B132" s="195"/>
      <c r="C132" s="195"/>
      <c r="D132" s="195"/>
      <c r="G132" s="86"/>
      <c r="H132" s="196"/>
      <c r="I132" s="195"/>
      <c r="J132" s="194"/>
      <c r="K132" s="194"/>
      <c r="L132" s="195"/>
      <c r="M132" s="197" t="s">
        <v>485</v>
      </c>
    </row>
    <row r="133" customFormat="false" ht="14.25" hidden="false" customHeight="true" outlineLevel="0" collapsed="false">
      <c r="A133" s="194"/>
      <c r="B133" s="195"/>
      <c r="C133" s="195"/>
      <c r="D133" s="195"/>
      <c r="G133" s="86"/>
      <c r="H133" s="196"/>
      <c r="I133" s="195"/>
      <c r="J133" s="194"/>
      <c r="K133" s="194"/>
      <c r="L133" s="195"/>
      <c r="M133" s="197"/>
    </row>
    <row r="134" customFormat="false" ht="14.25" hidden="false" customHeight="true" outlineLevel="0" collapsed="false">
      <c r="A134" s="194"/>
      <c r="B134" s="195"/>
      <c r="C134" s="195"/>
      <c r="D134" s="195"/>
      <c r="G134" s="86"/>
      <c r="H134" s="196"/>
      <c r="I134" s="195"/>
      <c r="J134" s="194"/>
      <c r="K134" s="194"/>
      <c r="L134" s="195"/>
      <c r="M134" s="197"/>
    </row>
    <row r="135" customFormat="false" ht="14.25" hidden="false" customHeight="true" outlineLevel="0" collapsed="false">
      <c r="A135" s="194"/>
      <c r="B135" s="195"/>
      <c r="C135" s="195"/>
      <c r="D135" s="195"/>
      <c r="G135" s="86"/>
      <c r="H135" s="196"/>
      <c r="I135" s="195"/>
      <c r="J135" s="194"/>
      <c r="K135" s="194"/>
      <c r="L135" s="195"/>
      <c r="M135" s="197"/>
    </row>
    <row r="136" customFormat="false" ht="14.25" hidden="false" customHeight="true" outlineLevel="0" collapsed="false">
      <c r="A136" s="194"/>
      <c r="B136" s="195"/>
      <c r="C136" s="195"/>
      <c r="D136" s="195"/>
      <c r="G136" s="86"/>
      <c r="H136" s="196"/>
      <c r="I136" s="195"/>
      <c r="J136" s="194"/>
      <c r="K136" s="194"/>
      <c r="L136" s="195"/>
      <c r="M136" s="197"/>
    </row>
    <row r="137" customFormat="false" ht="14.25" hidden="false" customHeight="true" outlineLevel="0" collapsed="false">
      <c r="A137" s="194"/>
      <c r="B137" s="195"/>
      <c r="C137" s="195"/>
      <c r="D137" s="195"/>
      <c r="G137" s="86"/>
      <c r="H137" s="196"/>
      <c r="I137" s="195"/>
      <c r="J137" s="194"/>
      <c r="K137" s="194"/>
      <c r="L137" s="195"/>
      <c r="M137" s="197"/>
    </row>
    <row r="138" customFormat="false" ht="14.25" hidden="false" customHeight="true" outlineLevel="0" collapsed="false">
      <c r="A138" s="194"/>
      <c r="B138" s="195"/>
      <c r="C138" s="195"/>
      <c r="D138" s="195"/>
      <c r="G138" s="86"/>
      <c r="H138" s="196"/>
      <c r="I138" s="195"/>
      <c r="J138" s="194"/>
      <c r="K138" s="194"/>
      <c r="L138" s="195"/>
      <c r="M138" s="197"/>
    </row>
    <row r="139" customFormat="false" ht="14.25" hidden="false" customHeight="true" outlineLevel="0" collapsed="false">
      <c r="A139" s="194"/>
      <c r="B139" s="195"/>
      <c r="C139" s="195"/>
      <c r="D139" s="195"/>
      <c r="G139" s="86"/>
      <c r="H139" s="196"/>
      <c r="I139" s="195"/>
      <c r="J139" s="194"/>
      <c r="K139" s="194"/>
      <c r="L139" s="195"/>
      <c r="M139" s="197"/>
    </row>
    <row r="140" customFormat="false" ht="14.25" hidden="false" customHeight="true" outlineLevel="0" collapsed="false">
      <c r="A140" s="194"/>
      <c r="B140" s="195"/>
      <c r="C140" s="195"/>
      <c r="D140" s="195"/>
      <c r="G140" s="86"/>
      <c r="H140" s="196"/>
      <c r="I140" s="195"/>
      <c r="J140" s="194"/>
      <c r="K140" s="194"/>
      <c r="L140" s="195"/>
      <c r="M140" s="197"/>
    </row>
    <row r="141" customFormat="false" ht="14.25" hidden="false" customHeight="true" outlineLevel="0" collapsed="false">
      <c r="A141" s="194"/>
      <c r="B141" s="195"/>
      <c r="C141" s="195"/>
      <c r="D141" s="195"/>
      <c r="G141" s="86"/>
      <c r="H141" s="196"/>
      <c r="I141" s="195"/>
      <c r="J141" s="194"/>
      <c r="K141" s="194"/>
      <c r="L141" s="195"/>
      <c r="M141" s="197"/>
    </row>
    <row r="142" customFormat="false" ht="14.25" hidden="false" customHeight="true" outlineLevel="0" collapsed="false">
      <c r="A142" s="194"/>
      <c r="B142" s="195"/>
      <c r="C142" s="195"/>
      <c r="D142" s="195"/>
      <c r="G142" s="86"/>
      <c r="H142" s="196"/>
      <c r="I142" s="195"/>
      <c r="J142" s="194"/>
      <c r="K142" s="194"/>
      <c r="L142" s="195"/>
      <c r="M142" s="197"/>
    </row>
    <row r="143" customFormat="false" ht="14.25" hidden="false" customHeight="true" outlineLevel="0" collapsed="false">
      <c r="A143" s="194"/>
      <c r="B143" s="195"/>
      <c r="C143" s="195"/>
      <c r="D143" s="195"/>
      <c r="G143" s="86"/>
      <c r="H143" s="196"/>
      <c r="I143" s="195"/>
      <c r="J143" s="194"/>
      <c r="K143" s="194"/>
      <c r="L143" s="195"/>
      <c r="M143" s="197"/>
    </row>
    <row r="144" customFormat="false" ht="14.25" hidden="false" customHeight="true" outlineLevel="0" collapsed="false">
      <c r="A144" s="194"/>
      <c r="B144" s="195"/>
      <c r="C144" s="195"/>
      <c r="D144" s="195"/>
      <c r="G144" s="86"/>
      <c r="H144" s="196"/>
      <c r="I144" s="195"/>
      <c r="J144" s="194"/>
      <c r="K144" s="194"/>
      <c r="L144" s="195"/>
      <c r="M144" s="197"/>
    </row>
    <row r="145" customFormat="false" ht="14.25" hidden="false" customHeight="true" outlineLevel="0" collapsed="false">
      <c r="A145" s="194"/>
      <c r="B145" s="195"/>
      <c r="C145" s="195"/>
      <c r="D145" s="195"/>
      <c r="G145" s="86"/>
      <c r="H145" s="196"/>
      <c r="I145" s="195"/>
      <c r="J145" s="194"/>
      <c r="K145" s="194"/>
      <c r="L145" s="195"/>
      <c r="M145" s="197"/>
    </row>
    <row r="146" customFormat="false" ht="14.25" hidden="false" customHeight="true" outlineLevel="0" collapsed="false">
      <c r="A146" s="194"/>
      <c r="B146" s="195"/>
      <c r="C146" s="195"/>
      <c r="D146" s="195"/>
      <c r="G146" s="86"/>
      <c r="H146" s="196"/>
      <c r="I146" s="195"/>
      <c r="J146" s="194"/>
      <c r="K146" s="194"/>
      <c r="L146" s="195"/>
      <c r="M146" s="197"/>
    </row>
    <row r="147" customFormat="false" ht="14.25" hidden="false" customHeight="true" outlineLevel="0" collapsed="false">
      <c r="A147" s="194"/>
      <c r="B147" s="195"/>
      <c r="C147" s="195"/>
      <c r="D147" s="195"/>
      <c r="G147" s="86"/>
      <c r="H147" s="196"/>
      <c r="I147" s="195"/>
      <c r="J147" s="194"/>
      <c r="K147" s="194"/>
      <c r="L147" s="195"/>
      <c r="M147" s="197"/>
    </row>
    <row r="148" customFormat="false" ht="14.25" hidden="false" customHeight="true" outlineLevel="0" collapsed="false">
      <c r="A148" s="194"/>
      <c r="B148" s="195"/>
      <c r="C148" s="195"/>
      <c r="D148" s="195"/>
      <c r="G148" s="86"/>
      <c r="H148" s="196"/>
      <c r="I148" s="195"/>
      <c r="J148" s="194"/>
      <c r="K148" s="194"/>
      <c r="L148" s="195"/>
      <c r="M148" s="197"/>
    </row>
    <row r="149" customFormat="false" ht="14.25" hidden="false" customHeight="true" outlineLevel="0" collapsed="false">
      <c r="A149" s="194"/>
      <c r="B149" s="195"/>
      <c r="C149" s="195"/>
      <c r="D149" s="195"/>
      <c r="G149" s="86"/>
      <c r="H149" s="196"/>
      <c r="I149" s="195"/>
      <c r="J149" s="194"/>
      <c r="K149" s="194"/>
      <c r="L149" s="195"/>
      <c r="M149" s="197"/>
    </row>
    <row r="150" customFormat="false" ht="14.25" hidden="false" customHeight="true" outlineLevel="0" collapsed="false">
      <c r="A150" s="194"/>
      <c r="B150" s="195"/>
      <c r="C150" s="195"/>
      <c r="D150" s="195"/>
      <c r="G150" s="86"/>
      <c r="H150" s="196"/>
      <c r="I150" s="195"/>
      <c r="J150" s="194"/>
      <c r="K150" s="194"/>
      <c r="L150" s="195"/>
      <c r="M150" s="197"/>
    </row>
    <row r="151" customFormat="false" ht="14.25" hidden="false" customHeight="true" outlineLevel="0" collapsed="false">
      <c r="A151" s="194"/>
      <c r="B151" s="195"/>
      <c r="C151" s="195"/>
      <c r="D151" s="195"/>
      <c r="G151" s="86"/>
      <c r="H151" s="196"/>
      <c r="I151" s="195"/>
      <c r="J151" s="194"/>
      <c r="K151" s="194"/>
      <c r="L151" s="195"/>
      <c r="M151" s="197"/>
    </row>
    <row r="152" customFormat="false" ht="14.25" hidden="false" customHeight="true" outlineLevel="0" collapsed="false">
      <c r="A152" s="194"/>
      <c r="B152" s="195"/>
      <c r="C152" s="195"/>
      <c r="D152" s="195"/>
      <c r="G152" s="86"/>
      <c r="H152" s="196"/>
      <c r="I152" s="195"/>
      <c r="J152" s="194"/>
      <c r="K152" s="194"/>
      <c r="L152" s="195"/>
      <c r="M152" s="197"/>
    </row>
    <row r="153" customFormat="false" ht="14.25" hidden="false" customHeight="true" outlineLevel="0" collapsed="false">
      <c r="A153" s="194"/>
      <c r="B153" s="195"/>
      <c r="C153" s="195"/>
      <c r="D153" s="195"/>
      <c r="G153" s="86"/>
      <c r="H153" s="196"/>
      <c r="I153" s="195"/>
      <c r="J153" s="194"/>
      <c r="K153" s="194"/>
      <c r="L153" s="195"/>
      <c r="M153" s="197"/>
    </row>
    <row r="154" customFormat="false" ht="15" hidden="false" customHeight="true" outlineLevel="0" collapsed="false">
      <c r="A154" s="194"/>
      <c r="B154" s="195"/>
      <c r="C154" s="195"/>
      <c r="D154" s="195"/>
      <c r="G154" s="86"/>
      <c r="H154" s="196"/>
      <c r="I154" s="195"/>
      <c r="J154" s="194"/>
      <c r="K154" s="194"/>
      <c r="L154" s="195"/>
      <c r="M154" s="197" t="s">
        <v>485</v>
      </c>
    </row>
    <row r="155" customFormat="false" ht="14.25" hidden="false" customHeight="true" outlineLevel="0" collapsed="false">
      <c r="A155" s="194"/>
      <c r="B155" s="195"/>
      <c r="C155" s="195"/>
      <c r="D155" s="195"/>
      <c r="G155" s="86"/>
      <c r="H155" s="196"/>
      <c r="I155" s="195"/>
      <c r="J155" s="194"/>
      <c r="K155" s="194"/>
      <c r="L155" s="195"/>
      <c r="M155" s="197"/>
    </row>
    <row r="156" customFormat="false" ht="14.25" hidden="false" customHeight="true" outlineLevel="0" collapsed="false">
      <c r="A156" s="194"/>
      <c r="B156" s="195"/>
      <c r="C156" s="195"/>
      <c r="D156" s="195"/>
      <c r="G156" s="86"/>
      <c r="H156" s="196"/>
      <c r="I156" s="195"/>
      <c r="J156" s="194"/>
      <c r="K156" s="194"/>
      <c r="L156" s="195"/>
      <c r="M156" s="197"/>
    </row>
    <row r="157" customFormat="false" ht="15" hidden="false" customHeight="true" outlineLevel="0" collapsed="false">
      <c r="A157" s="194"/>
      <c r="B157" s="195"/>
      <c r="C157" s="195"/>
      <c r="D157" s="195"/>
      <c r="G157" s="86"/>
      <c r="H157" s="196"/>
      <c r="I157" s="195"/>
      <c r="J157" s="194"/>
      <c r="K157" s="194"/>
      <c r="L157" s="195"/>
      <c r="M157" s="197" t="s">
        <v>485</v>
      </c>
    </row>
    <row r="158" customFormat="false" ht="14.25" hidden="false" customHeight="true" outlineLevel="0" collapsed="false">
      <c r="A158" s="194"/>
      <c r="B158" s="195"/>
      <c r="C158" s="195"/>
      <c r="D158" s="195"/>
      <c r="G158" s="86"/>
      <c r="H158" s="196"/>
      <c r="I158" s="195"/>
      <c r="J158" s="194"/>
      <c r="K158" s="194"/>
      <c r="L158" s="195"/>
      <c r="M158" s="197"/>
    </row>
    <row r="159" customFormat="false" ht="14.25" hidden="false" customHeight="true" outlineLevel="0" collapsed="false">
      <c r="A159" s="194"/>
      <c r="B159" s="195"/>
      <c r="C159" s="195"/>
      <c r="D159" s="195"/>
      <c r="G159" s="86"/>
      <c r="H159" s="196"/>
      <c r="I159" s="195"/>
      <c r="J159" s="194"/>
      <c r="K159" s="194"/>
      <c r="L159" s="195"/>
      <c r="M159" s="197"/>
    </row>
    <row r="160" customFormat="false" ht="14.25" hidden="false" customHeight="true" outlineLevel="0" collapsed="false">
      <c r="G160" s="86"/>
      <c r="H160" s="196"/>
    </row>
    <row r="161" customFormat="false" ht="14.25" hidden="false" customHeight="true" outlineLevel="0" collapsed="false">
      <c r="G161" s="86"/>
      <c r="H161" s="196"/>
    </row>
    <row r="162" customFormat="false" ht="14.25" hidden="false" customHeight="true" outlineLevel="0" collapsed="false">
      <c r="G162" s="86"/>
      <c r="H162" s="196"/>
    </row>
    <row r="163" customFormat="false" ht="14.25" hidden="false" customHeight="true" outlineLevel="0" collapsed="false">
      <c r="G163" s="86"/>
      <c r="H163" s="196"/>
    </row>
    <row r="164" customFormat="false" ht="14.25" hidden="false" customHeight="true" outlineLevel="0" collapsed="false">
      <c r="G164" s="86"/>
      <c r="H164" s="196"/>
    </row>
    <row r="165" customFormat="false" ht="14.25" hidden="false" customHeight="true" outlineLevel="0" collapsed="false">
      <c r="G165" s="86"/>
      <c r="H165" s="196"/>
    </row>
    <row r="166" customFormat="false" ht="14.25" hidden="false" customHeight="true" outlineLevel="0" collapsed="false">
      <c r="G166" s="86"/>
      <c r="H166" s="196"/>
    </row>
    <row r="167" customFormat="false" ht="14.25" hidden="false" customHeight="true" outlineLevel="0" collapsed="false">
      <c r="G167" s="86"/>
      <c r="H167" s="196"/>
    </row>
    <row r="168" customFormat="false" ht="14.25" hidden="false" customHeight="true" outlineLevel="0" collapsed="false">
      <c r="G168" s="86"/>
      <c r="H168" s="196"/>
    </row>
    <row r="169" customFormat="false" ht="14.25" hidden="false" customHeight="true" outlineLevel="0" collapsed="false">
      <c r="G169" s="86"/>
      <c r="H169" s="196"/>
    </row>
    <row r="170" customFormat="false" ht="14.25" hidden="false" customHeight="true" outlineLevel="0" collapsed="false">
      <c r="G170" s="86"/>
      <c r="H170" s="196"/>
    </row>
    <row r="171" customFormat="false" ht="14.25" hidden="false" customHeight="true" outlineLevel="0" collapsed="false">
      <c r="G171" s="86"/>
      <c r="H171" s="196"/>
    </row>
    <row r="172" customFormat="false" ht="14.25" hidden="false" customHeight="true" outlineLevel="0" collapsed="false">
      <c r="G172" s="86"/>
      <c r="H172" s="196"/>
    </row>
    <row r="173" customFormat="false" ht="14.25" hidden="false" customHeight="true" outlineLevel="0" collapsed="false">
      <c r="G173" s="86"/>
      <c r="H173" s="196"/>
    </row>
    <row r="174" customFormat="false" ht="14.25" hidden="false" customHeight="true" outlineLevel="0" collapsed="false">
      <c r="G174" s="86"/>
      <c r="H174" s="196"/>
    </row>
    <row r="175" customFormat="false" ht="14.25" hidden="false" customHeight="true" outlineLevel="0" collapsed="false">
      <c r="G175" s="86"/>
      <c r="H175" s="196"/>
    </row>
    <row r="176" customFormat="false" ht="14.25" hidden="false" customHeight="true" outlineLevel="0" collapsed="false">
      <c r="G176" s="86"/>
      <c r="H176" s="196"/>
    </row>
    <row r="177" customFormat="false" ht="14.25" hidden="false" customHeight="true" outlineLevel="0" collapsed="false">
      <c r="G177" s="86"/>
      <c r="H177" s="196"/>
    </row>
    <row r="178" customFormat="false" ht="14.25" hidden="false" customHeight="true" outlineLevel="0" collapsed="false">
      <c r="G178" s="86"/>
      <c r="H178" s="196"/>
    </row>
    <row r="179" customFormat="false" ht="14.25" hidden="false" customHeight="true" outlineLevel="0" collapsed="false">
      <c r="G179" s="86"/>
      <c r="H179" s="196"/>
    </row>
    <row r="180" customFormat="false" ht="14.25" hidden="false" customHeight="true" outlineLevel="0" collapsed="false">
      <c r="G180" s="86"/>
      <c r="H180" s="196"/>
    </row>
    <row r="181" customFormat="false" ht="14.25" hidden="false" customHeight="true" outlineLevel="0" collapsed="false">
      <c r="G181" s="86"/>
      <c r="H181" s="196"/>
    </row>
    <row r="182" customFormat="false" ht="14.25" hidden="false" customHeight="true" outlineLevel="0" collapsed="false">
      <c r="G182" s="86"/>
      <c r="H182" s="196"/>
    </row>
    <row r="183" customFormat="false" ht="14.25" hidden="false" customHeight="true" outlineLevel="0" collapsed="false">
      <c r="G183" s="86"/>
      <c r="H183" s="196"/>
    </row>
    <row r="184" customFormat="false" ht="14.25" hidden="false" customHeight="true" outlineLevel="0" collapsed="false">
      <c r="G184" s="86"/>
      <c r="H184" s="196"/>
    </row>
    <row r="185" customFormat="false" ht="14.25" hidden="false" customHeight="true" outlineLevel="0" collapsed="false">
      <c r="G185" s="86"/>
      <c r="H185" s="196"/>
    </row>
    <row r="186" customFormat="false" ht="14.25" hidden="false" customHeight="true" outlineLevel="0" collapsed="false">
      <c r="G186" s="86"/>
      <c r="H186" s="196"/>
    </row>
    <row r="187" customFormat="false" ht="14.25" hidden="false" customHeight="true" outlineLevel="0" collapsed="false">
      <c r="G187" s="86"/>
      <c r="H187" s="196"/>
    </row>
    <row r="188" customFormat="false" ht="14.25" hidden="false" customHeight="true" outlineLevel="0" collapsed="false">
      <c r="G188" s="86"/>
      <c r="H188" s="196"/>
    </row>
    <row r="189" customFormat="false" ht="14.25" hidden="false" customHeight="true" outlineLevel="0" collapsed="false">
      <c r="G189" s="86"/>
      <c r="H189" s="196"/>
    </row>
    <row r="190" customFormat="false" ht="14.25" hidden="false" customHeight="true" outlineLevel="0" collapsed="false">
      <c r="G190" s="86"/>
      <c r="H190" s="196"/>
    </row>
    <row r="191" customFormat="false" ht="14.25" hidden="false" customHeight="true" outlineLevel="0" collapsed="false">
      <c r="G191" s="86"/>
      <c r="H191" s="196"/>
    </row>
    <row r="192" customFormat="false" ht="14.25" hidden="false" customHeight="true" outlineLevel="0" collapsed="false">
      <c r="G192" s="86"/>
      <c r="H192" s="196"/>
    </row>
    <row r="193" customFormat="false" ht="14.25" hidden="false" customHeight="true" outlineLevel="0" collapsed="false">
      <c r="G193" s="86"/>
      <c r="H193" s="196"/>
    </row>
    <row r="194" customFormat="false" ht="14.25" hidden="false" customHeight="true" outlineLevel="0" collapsed="false">
      <c r="G194" s="86"/>
      <c r="H194" s="196"/>
    </row>
    <row r="195" customFormat="false" ht="14.25" hidden="false" customHeight="true" outlineLevel="0" collapsed="false">
      <c r="G195" s="86"/>
      <c r="H195" s="196"/>
    </row>
    <row r="196" customFormat="false" ht="14.25" hidden="false" customHeight="true" outlineLevel="0" collapsed="false">
      <c r="G196" s="86"/>
      <c r="H196" s="196"/>
    </row>
    <row r="197" customFormat="false" ht="14.25" hidden="false" customHeight="true" outlineLevel="0" collapsed="false">
      <c r="G197" s="86"/>
      <c r="H197" s="196"/>
    </row>
    <row r="198" customFormat="false" ht="14.25" hidden="false" customHeight="true" outlineLevel="0" collapsed="false">
      <c r="G198" s="86"/>
      <c r="H198" s="196"/>
    </row>
    <row r="199" customFormat="false" ht="14.25" hidden="false" customHeight="true" outlineLevel="0" collapsed="false">
      <c r="G199" s="86"/>
      <c r="H199" s="196"/>
    </row>
    <row r="200" customFormat="false" ht="14.25" hidden="false" customHeight="true" outlineLevel="0" collapsed="false">
      <c r="G200" s="86"/>
      <c r="H200" s="196"/>
    </row>
    <row r="201" customFormat="false" ht="14.25" hidden="false" customHeight="true" outlineLevel="0" collapsed="false">
      <c r="G201" s="86"/>
      <c r="H201" s="196"/>
    </row>
    <row r="202" customFormat="false" ht="14.25" hidden="false" customHeight="true" outlineLevel="0" collapsed="false">
      <c r="G202" s="86"/>
      <c r="H202" s="196"/>
    </row>
    <row r="203" customFormat="false" ht="14.25" hidden="false" customHeight="true" outlineLevel="0" collapsed="false">
      <c r="G203" s="86"/>
      <c r="H203" s="196"/>
    </row>
    <row r="204" customFormat="false" ht="14.25" hidden="false" customHeight="true" outlineLevel="0" collapsed="false">
      <c r="G204" s="86"/>
      <c r="H204" s="196"/>
    </row>
    <row r="205" customFormat="false" ht="14.25" hidden="false" customHeight="true" outlineLevel="0" collapsed="false">
      <c r="G205" s="86"/>
      <c r="H205" s="196"/>
    </row>
    <row r="206" customFormat="false" ht="14.25" hidden="false" customHeight="true" outlineLevel="0" collapsed="false">
      <c r="G206" s="86"/>
      <c r="H206" s="196"/>
    </row>
    <row r="207" customFormat="false" ht="14.25" hidden="false" customHeight="true" outlineLevel="0" collapsed="false">
      <c r="G207" s="86"/>
      <c r="H207" s="196"/>
    </row>
    <row r="208" customFormat="false" ht="14.25" hidden="false" customHeight="true" outlineLevel="0" collapsed="false">
      <c r="G208" s="86"/>
      <c r="H208" s="196"/>
    </row>
    <row r="209" customFormat="false" ht="14.25" hidden="false" customHeight="true" outlineLevel="0" collapsed="false">
      <c r="G209" s="86"/>
      <c r="H209" s="196"/>
    </row>
    <row r="210" customFormat="false" ht="14.25" hidden="false" customHeight="true" outlineLevel="0" collapsed="false">
      <c r="G210" s="86"/>
      <c r="H210" s="196"/>
    </row>
    <row r="211" customFormat="false" ht="14.25" hidden="false" customHeight="true" outlineLevel="0" collapsed="false">
      <c r="G211" s="86"/>
      <c r="H211" s="196"/>
    </row>
    <row r="212" customFormat="false" ht="14.25" hidden="false" customHeight="true" outlineLevel="0" collapsed="false">
      <c r="G212" s="86"/>
      <c r="H212" s="196"/>
    </row>
    <row r="213" customFormat="false" ht="14.25" hidden="false" customHeight="true" outlineLevel="0" collapsed="false">
      <c r="G213" s="86"/>
      <c r="H213" s="196"/>
    </row>
    <row r="214" customFormat="false" ht="14.25" hidden="false" customHeight="true" outlineLevel="0" collapsed="false">
      <c r="G214" s="86"/>
      <c r="H214" s="196"/>
    </row>
    <row r="215" customFormat="false" ht="14.25" hidden="false" customHeight="true" outlineLevel="0" collapsed="false">
      <c r="G215" s="86"/>
      <c r="H215" s="196"/>
    </row>
    <row r="216" customFormat="false" ht="14.25" hidden="false" customHeight="true" outlineLevel="0" collapsed="false">
      <c r="G216" s="86"/>
      <c r="H216" s="196"/>
    </row>
    <row r="217" customFormat="false" ht="14.25" hidden="false" customHeight="true" outlineLevel="0" collapsed="false">
      <c r="G217" s="86"/>
      <c r="H217" s="196"/>
    </row>
    <row r="218" customFormat="false" ht="14.25" hidden="false" customHeight="true" outlineLevel="0" collapsed="false">
      <c r="G218" s="86"/>
      <c r="H218" s="196"/>
    </row>
    <row r="219" customFormat="false" ht="14.25" hidden="false" customHeight="true" outlineLevel="0" collapsed="false">
      <c r="G219" s="86"/>
      <c r="H219" s="196"/>
    </row>
    <row r="220" customFormat="false" ht="14.25" hidden="false" customHeight="true" outlineLevel="0" collapsed="false">
      <c r="G220" s="86"/>
      <c r="H220" s="196"/>
    </row>
    <row r="221" customFormat="false" ht="14.25" hidden="false" customHeight="true" outlineLevel="0" collapsed="false">
      <c r="G221" s="86"/>
      <c r="H221" s="196"/>
    </row>
    <row r="222" customFormat="false" ht="14.25" hidden="false" customHeight="true" outlineLevel="0" collapsed="false">
      <c r="G222" s="198"/>
      <c r="H222" s="199"/>
    </row>
  </sheetData>
  <mergeCells count="7">
    <mergeCell ref="B68:B73"/>
    <mergeCell ref="C68:C73"/>
    <mergeCell ref="D68:D73"/>
    <mergeCell ref="I68:I73"/>
    <mergeCell ref="J68:J73"/>
    <mergeCell ref="K68:K73"/>
    <mergeCell ref="L68:L7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15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a State Spatial Planning Board which is mandated with planning policies and reforms for the state?</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Check if the state Town and Country Planning (T&amp;CP) act provides for a state-level town and country planning board/ spatial planning board or equivalent body with a 'Shall' provision. If yes, score 5. Where the law only enables the constitution of such a body (e.g., “the State Government may constitute”), additionally verify whether the body has actually been constituted through a government notification or order, or by checking the official website of the relevant State Government department or planning body. If yes, score 5.Part B - If Part A is scored as 'Yes', check whether the body has an explicit mandate to advise on or formulate state-level spatial planning policies and reforms. if yes, score 5.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note that the name of the body need not be identical, provided its statutory functions correspond to the intent of the question.</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State planning board provided / constituted ("&amp;TEXT($C$7/2,"0.00")&amp;")"</f>
        <v>Part A: State planning board provided / constituted (5.00)</v>
      </c>
      <c r="I12" s="237" t="str">
        <f aca="false">"Part B: Mandate on state spatial planning policies &amp; reforms (counts only if Part A = YES) ("&amp;TEXT($C$7/2,"0.00")&amp;")"</f>
        <v>Part B: Mandate on state spatial planning policies &amp; reforms (counts only if Part A = YES)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4.25" hidden="false" customHeight="true" outlineLevel="0" collapsed="false">
      <c r="A14" s="238" t="s">
        <v>487</v>
      </c>
      <c r="B14" s="239"/>
      <c r="C14" s="239"/>
      <c r="D14" s="239"/>
      <c r="E14" s="239"/>
      <c r="F14" s="239"/>
      <c r="G14" s="239"/>
      <c r="H14" s="240"/>
      <c r="I14" s="240"/>
      <c r="J14" s="241" t="str">
        <f aca="false">IF(H14="","",IF(H14="NO",0,IF(I14="","",IF(I14="YES",$C$7,$C$7/2))))</f>
        <v/>
      </c>
      <c r="K14" s="239"/>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23.25" hidden="false" customHeight="true" outlineLevel="0" collapsed="false">
      <c r="A33" s="238" t="s">
        <v>506</v>
      </c>
      <c r="B33" s="239" t="s">
        <v>793</v>
      </c>
      <c r="C33" s="239" t="s">
        <v>794</v>
      </c>
      <c r="D33" s="239" t="s">
        <v>795</v>
      </c>
      <c r="E33" s="239" t="s">
        <v>796</v>
      </c>
      <c r="F33" s="239" t="s">
        <v>797</v>
      </c>
      <c r="G33" s="239" t="s">
        <v>798</v>
      </c>
      <c r="H33" s="240" t="s">
        <v>799</v>
      </c>
      <c r="I33" s="240" t="s">
        <v>799</v>
      </c>
      <c r="J33" s="241" t="n">
        <f aca="false">IF(H33="","",IF(H33="NO",0,IF(I33="","",IF(I33="YES",$C$7,$C$7/2))))</f>
        <v>0</v>
      </c>
      <c r="K33" s="242" t="s">
        <v>800</v>
      </c>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28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State-level planning framework</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provision for the establishment of Planning Authorities for notified new towns or special developments?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has provisions for establishing a planning authority for new areas/towns notified. The state can also be considered, if the provision mandates the existing planning authority to develop a plan for the notified new area.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B9" activeCellId="0" sqref="B9"/>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Metropolitan/ Regional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T&amp;CP/Metropolitan Planning Act for provisions that mandate the creation of a metropolitan/regional plan. Relevant metropolitan authority act/urban areas development authority act can also be considered for evidence. If the city is not a metropolitan, the act should mandate the creation of a regional plan.</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6" activeCellId="0" sqref="B6"/>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Municipal/city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 Act for provisions that mandate the creation of a municipal/city plan. Relevant urban areas development authority act can also be considered for evidence.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H16" activeCellId="0" sqref="H16"/>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require three levels of spatial plans for cities: Metropolitan/Regional, Municipal and Ward(s) /Local &gt;:&lt; Ward(s)/local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101.2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T&amp;CP Act should mandate three levels of spatial plans.  &gt;:&lt; Check the T&amp;CP Act for provisions that mandate the creation of a third tier of plan at the zone/ward level. Town planning schemes that are developed within the framework of the municipal/city plan shall not be considered. </v>
      </c>
    </row>
    <row r="10" customFormat="false" ht="43.5"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in the comments if the mandate is for a zonal/ward/local area plan, mention the type.</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c r="K12" s="237" t="s">
        <v>802</v>
      </c>
    </row>
    <row r="13" customFormat="false" ht="14.25" hidden="false" customHeight="true" outlineLevel="0" collapsed="false">
      <c r="A13" s="238" t="s">
        <v>486</v>
      </c>
      <c r="B13" s="239"/>
      <c r="C13" s="239"/>
      <c r="D13" s="239"/>
      <c r="E13" s="239"/>
      <c r="F13" s="239"/>
      <c r="G13" s="239"/>
      <c r="H13" s="240"/>
      <c r="I13" s="241" t="str">
        <f aca="false">IF(H13="YES",$C$7,IF(H13="NO",0,""))</f>
        <v/>
      </c>
      <c r="J13" s="239"/>
      <c r="K13" s="239"/>
    </row>
    <row r="14" customFormat="false" ht="14.25" hidden="false" customHeight="true" outlineLevel="0" collapsed="false">
      <c r="A14" s="238" t="s">
        <v>487</v>
      </c>
      <c r="B14" s="239"/>
      <c r="C14" s="239"/>
      <c r="D14" s="239"/>
      <c r="E14" s="239"/>
      <c r="F14" s="239"/>
      <c r="G14" s="239"/>
      <c r="H14" s="240"/>
      <c r="I14" s="241" t="str">
        <f aca="false">IF(H14="YES",$C$7,IF(H14="NO",0,""))</f>
        <v/>
      </c>
      <c r="J14" s="239"/>
      <c r="K14" s="239"/>
    </row>
    <row r="15" customFormat="false" ht="14.25" hidden="false" customHeight="true" outlineLevel="0" collapsed="false">
      <c r="A15" s="238" t="s">
        <v>488</v>
      </c>
      <c r="B15" s="239"/>
      <c r="C15" s="239"/>
      <c r="D15" s="239"/>
      <c r="E15" s="239"/>
      <c r="F15" s="239"/>
      <c r="G15" s="239"/>
      <c r="H15" s="240"/>
      <c r="I15" s="241" t="str">
        <f aca="false">IF(H15="YES",$C$7,IF(H15="NO",0,""))</f>
        <v/>
      </c>
      <c r="J15" s="239"/>
      <c r="K15" s="239"/>
    </row>
    <row r="16" customFormat="false" ht="14.25" hidden="false" customHeight="true" outlineLevel="0" collapsed="false">
      <c r="A16" s="238" t="s">
        <v>489</v>
      </c>
      <c r="B16" s="239"/>
      <c r="C16" s="239"/>
      <c r="D16" s="239"/>
      <c r="E16" s="239"/>
      <c r="F16" s="239"/>
      <c r="G16" s="239"/>
      <c r="H16" s="240"/>
      <c r="I16" s="241" t="str">
        <f aca="false">IF(H16="YES",$C$7,IF(H16="NO",0,""))</f>
        <v/>
      </c>
      <c r="J16" s="239"/>
      <c r="K16" s="239"/>
    </row>
    <row r="17" customFormat="false" ht="14.25" hidden="false" customHeight="true" outlineLevel="0" collapsed="false">
      <c r="A17" s="238" t="s">
        <v>490</v>
      </c>
      <c r="B17" s="239"/>
      <c r="C17" s="239"/>
      <c r="D17" s="239"/>
      <c r="E17" s="239"/>
      <c r="F17" s="239"/>
      <c r="G17" s="239"/>
      <c r="H17" s="240"/>
      <c r="I17" s="241" t="str">
        <f aca="false">IF(H17="YES",$C$7,IF(H17="NO",0,""))</f>
        <v/>
      </c>
      <c r="J17" s="239"/>
      <c r="K17" s="239"/>
    </row>
    <row r="18" customFormat="false" ht="14.25" hidden="false" customHeight="true" outlineLevel="0" collapsed="false">
      <c r="A18" s="238" t="s">
        <v>491</v>
      </c>
      <c r="B18" s="239"/>
      <c r="C18" s="239"/>
      <c r="D18" s="239"/>
      <c r="E18" s="239"/>
      <c r="F18" s="239"/>
      <c r="G18" s="239"/>
      <c r="H18" s="240"/>
      <c r="I18" s="241" t="str">
        <f aca="false">IF(H18="YES",$C$7,IF(H18="NO",0,""))</f>
        <v/>
      </c>
      <c r="J18" s="239"/>
      <c r="K18" s="239"/>
    </row>
    <row r="19" customFormat="false" ht="14.25" hidden="false" customHeight="true" outlineLevel="0" collapsed="false">
      <c r="A19" s="238" t="s">
        <v>492</v>
      </c>
      <c r="B19" s="239"/>
      <c r="C19" s="239"/>
      <c r="D19" s="239"/>
      <c r="E19" s="239"/>
      <c r="F19" s="239"/>
      <c r="G19" s="239"/>
      <c r="H19" s="240"/>
      <c r="I19" s="241" t="str">
        <f aca="false">IF(H19="YES",$C$7,IF(H19="NO",0,""))</f>
        <v/>
      </c>
      <c r="J19" s="239"/>
      <c r="K19" s="239"/>
    </row>
    <row r="20" customFormat="false" ht="14.25" hidden="false" customHeight="true" outlineLevel="0" collapsed="false">
      <c r="A20" s="238" t="s">
        <v>493</v>
      </c>
      <c r="B20" s="239"/>
      <c r="C20" s="239"/>
      <c r="D20" s="239"/>
      <c r="E20" s="239"/>
      <c r="F20" s="239"/>
      <c r="G20" s="239"/>
      <c r="H20" s="240"/>
      <c r="I20" s="241" t="str">
        <f aca="false">IF(H20="YES",$C$7,IF(H20="NO",0,""))</f>
        <v/>
      </c>
      <c r="J20" s="239"/>
      <c r="K20" s="239"/>
    </row>
    <row r="21" customFormat="false" ht="14.25" hidden="false" customHeight="true" outlineLevel="0" collapsed="false">
      <c r="A21" s="238" t="s">
        <v>494</v>
      </c>
      <c r="B21" s="239"/>
      <c r="C21" s="239"/>
      <c r="D21" s="239"/>
      <c r="E21" s="239"/>
      <c r="F21" s="239"/>
      <c r="G21" s="239"/>
      <c r="H21" s="240"/>
      <c r="I21" s="241" t="str">
        <f aca="false">IF(H21="YES",$C$7,IF(H21="NO",0,""))</f>
        <v/>
      </c>
      <c r="J21" s="239"/>
      <c r="K21" s="239"/>
    </row>
    <row r="22" customFormat="false" ht="14.25" hidden="false" customHeight="true" outlineLevel="0" collapsed="false">
      <c r="A22" s="238" t="s">
        <v>495</v>
      </c>
      <c r="B22" s="239"/>
      <c r="C22" s="239"/>
      <c r="D22" s="239"/>
      <c r="E22" s="239"/>
      <c r="F22" s="239"/>
      <c r="G22" s="239"/>
      <c r="H22" s="240"/>
      <c r="I22" s="241" t="str">
        <f aca="false">IF(H22="YES",$C$7,IF(H22="NO",0,""))</f>
        <v/>
      </c>
      <c r="J22" s="239"/>
      <c r="K22" s="239"/>
    </row>
    <row r="23" customFormat="false" ht="14.25" hidden="false" customHeight="true" outlineLevel="0" collapsed="false">
      <c r="A23" s="238" t="s">
        <v>496</v>
      </c>
      <c r="B23" s="239"/>
      <c r="C23" s="239"/>
      <c r="D23" s="239"/>
      <c r="E23" s="239"/>
      <c r="F23" s="239"/>
      <c r="G23" s="239"/>
      <c r="H23" s="240"/>
      <c r="I23" s="241" t="str">
        <f aca="false">IF(H23="YES",$C$7,IF(H23="NO",0,""))</f>
        <v/>
      </c>
      <c r="J23" s="239"/>
      <c r="K23" s="239"/>
    </row>
    <row r="24" customFormat="false" ht="14.25" hidden="false" customHeight="true" outlineLevel="0" collapsed="false">
      <c r="A24" s="238" t="s">
        <v>497</v>
      </c>
      <c r="B24" s="239"/>
      <c r="C24" s="239"/>
      <c r="D24" s="239"/>
      <c r="E24" s="239"/>
      <c r="F24" s="239"/>
      <c r="G24" s="239"/>
      <c r="H24" s="240"/>
      <c r="I24" s="241" t="str">
        <f aca="false">IF(H24="YES",$C$7,IF(H24="NO",0,""))</f>
        <v/>
      </c>
      <c r="J24" s="239"/>
      <c r="K24" s="239"/>
    </row>
    <row r="25" customFormat="false" ht="14.25" hidden="false" customHeight="true" outlineLevel="0" collapsed="false">
      <c r="A25" s="238" t="s">
        <v>498</v>
      </c>
      <c r="B25" s="239"/>
      <c r="C25" s="239"/>
      <c r="D25" s="239"/>
      <c r="E25" s="239"/>
      <c r="F25" s="239"/>
      <c r="G25" s="239"/>
      <c r="H25" s="240"/>
      <c r="I25" s="241" t="str">
        <f aca="false">IF(H25="YES",$C$7,IF(H25="NO",0,""))</f>
        <v/>
      </c>
      <c r="J25" s="239"/>
      <c r="K25" s="239"/>
    </row>
    <row r="26" customFormat="false" ht="14.25" hidden="false" customHeight="true" outlineLevel="0" collapsed="false">
      <c r="A26" s="238" t="s">
        <v>499</v>
      </c>
      <c r="B26" s="239"/>
      <c r="C26" s="239"/>
      <c r="D26" s="239"/>
      <c r="E26" s="239"/>
      <c r="F26" s="239"/>
      <c r="G26" s="239"/>
      <c r="H26" s="240"/>
      <c r="I26" s="241" t="str">
        <f aca="false">IF(H26="YES",$C$7,IF(H26="NO",0,""))</f>
        <v/>
      </c>
      <c r="J26" s="239"/>
      <c r="K26" s="239"/>
    </row>
    <row r="27" customFormat="false" ht="14.25" hidden="false" customHeight="true" outlineLevel="0" collapsed="false">
      <c r="A27" s="238" t="s">
        <v>500</v>
      </c>
      <c r="B27" s="239"/>
      <c r="C27" s="239"/>
      <c r="D27" s="239"/>
      <c r="E27" s="239"/>
      <c r="F27" s="239"/>
      <c r="G27" s="239"/>
      <c r="H27" s="240"/>
      <c r="I27" s="241" t="str">
        <f aca="false">IF(H27="YES",$C$7,IF(H27="NO",0,""))</f>
        <v/>
      </c>
      <c r="J27" s="239"/>
      <c r="K27" s="239"/>
    </row>
    <row r="28" customFormat="false" ht="14.25" hidden="false" customHeight="true" outlineLevel="0" collapsed="false">
      <c r="A28" s="238" t="s">
        <v>501</v>
      </c>
      <c r="B28" s="239"/>
      <c r="C28" s="239"/>
      <c r="D28" s="239"/>
      <c r="E28" s="239"/>
      <c r="F28" s="239"/>
      <c r="G28" s="239"/>
      <c r="H28" s="240"/>
      <c r="I28" s="241" t="str">
        <f aca="false">IF(H28="YES",$C$7,IF(H28="NO",0,""))</f>
        <v/>
      </c>
      <c r="J28" s="239"/>
      <c r="K28" s="239"/>
    </row>
    <row r="29" customFormat="false" ht="14.25" hidden="false" customHeight="true" outlineLevel="0" collapsed="false">
      <c r="A29" s="238" t="s">
        <v>502</v>
      </c>
      <c r="B29" s="239"/>
      <c r="C29" s="239"/>
      <c r="D29" s="239"/>
      <c r="E29" s="239"/>
      <c r="F29" s="239"/>
      <c r="G29" s="239"/>
      <c r="H29" s="240"/>
      <c r="I29" s="241" t="str">
        <f aca="false">IF(H29="YES",$C$7,IF(H29="NO",0,""))</f>
        <v/>
      </c>
      <c r="J29" s="239"/>
      <c r="K29" s="239"/>
    </row>
    <row r="30" customFormat="false" ht="14.25" hidden="false" customHeight="true" outlineLevel="0" collapsed="false">
      <c r="A30" s="238" t="s">
        <v>503</v>
      </c>
      <c r="B30" s="239"/>
      <c r="C30" s="239"/>
      <c r="D30" s="239"/>
      <c r="E30" s="239"/>
      <c r="F30" s="239"/>
      <c r="G30" s="239"/>
      <c r="H30" s="240"/>
      <c r="I30" s="241" t="str">
        <f aca="false">IF(H30="YES",$C$7,IF(H30="NO",0,""))</f>
        <v/>
      </c>
      <c r="J30" s="239"/>
      <c r="K30" s="239"/>
    </row>
    <row r="31" customFormat="false" ht="14.25" hidden="false" customHeight="true" outlineLevel="0" collapsed="false">
      <c r="A31" s="238" t="s">
        <v>504</v>
      </c>
      <c r="B31" s="239"/>
      <c r="C31" s="239"/>
      <c r="D31" s="239"/>
      <c r="E31" s="239"/>
      <c r="F31" s="239"/>
      <c r="G31" s="239"/>
      <c r="H31" s="240"/>
      <c r="I31" s="241" t="str">
        <f aca="false">IF(H31="YES",$C$7,IF(H31="NO",0,""))</f>
        <v/>
      </c>
      <c r="J31" s="239"/>
      <c r="K31" s="239"/>
    </row>
    <row r="32" customFormat="false" ht="14.25" hidden="false" customHeight="true" outlineLevel="0" collapsed="false">
      <c r="A32" s="238" t="s">
        <v>505</v>
      </c>
      <c r="B32" s="239"/>
      <c r="C32" s="239"/>
      <c r="D32" s="239"/>
      <c r="E32" s="239"/>
      <c r="F32" s="239"/>
      <c r="G32" s="239"/>
      <c r="H32" s="240"/>
      <c r="I32" s="241" t="str">
        <f aca="false">IF(H32="YES",$C$7,IF(H32="NO",0,""))</f>
        <v/>
      </c>
      <c r="J32" s="239"/>
      <c r="K32" s="239"/>
    </row>
    <row r="33" customFormat="false" ht="14.25" hidden="false" customHeight="true" outlineLevel="0" collapsed="false">
      <c r="A33" s="238" t="s">
        <v>506</v>
      </c>
      <c r="B33" s="239"/>
      <c r="C33" s="239"/>
      <c r="D33" s="239"/>
      <c r="E33" s="239"/>
      <c r="F33" s="239"/>
      <c r="G33" s="239"/>
      <c r="H33" s="240"/>
      <c r="I33" s="241" t="str">
        <f aca="false">IF(H33="YES",$C$7,IF(H33="NO",0,""))</f>
        <v/>
      </c>
      <c r="J33" s="239"/>
      <c r="K33" s="239"/>
    </row>
    <row r="34" customFormat="false" ht="14.25" hidden="false" customHeight="true" outlineLevel="0" collapsed="false">
      <c r="A34" s="238" t="s">
        <v>507</v>
      </c>
      <c r="B34" s="239"/>
      <c r="C34" s="239"/>
      <c r="D34" s="239"/>
      <c r="E34" s="239"/>
      <c r="F34" s="239"/>
      <c r="G34" s="239"/>
      <c r="H34" s="240"/>
      <c r="I34" s="241" t="str">
        <f aca="false">IF(H34="YES",$C$7,IF(H34="NO",0,""))</f>
        <v/>
      </c>
      <c r="J34" s="239"/>
      <c r="K34" s="239"/>
    </row>
    <row r="35" customFormat="false" ht="14.25" hidden="false" customHeight="true" outlineLevel="0" collapsed="false">
      <c r="A35" s="238" t="s">
        <v>508</v>
      </c>
      <c r="B35" s="239"/>
      <c r="C35" s="239"/>
      <c r="D35" s="239"/>
      <c r="E35" s="239"/>
      <c r="F35" s="239"/>
      <c r="G35" s="239"/>
      <c r="H35" s="240"/>
      <c r="I35" s="241" t="str">
        <f aca="false">IF(H35="YES",$C$7,IF(H35="NO",0,""))</f>
        <v/>
      </c>
      <c r="J35" s="239"/>
      <c r="K35" s="239"/>
    </row>
    <row r="36" customFormat="false" ht="14.25" hidden="false" customHeight="true" outlineLevel="0" collapsed="false">
      <c r="A36" s="238" t="s">
        <v>509</v>
      </c>
      <c r="B36" s="239"/>
      <c r="C36" s="239"/>
      <c r="D36" s="239"/>
      <c r="E36" s="239"/>
      <c r="F36" s="239"/>
      <c r="G36" s="239"/>
      <c r="H36" s="240"/>
      <c r="I36" s="241" t="str">
        <f aca="false">IF(H36="YES",$C$7,IF(H36="NO",0,""))</f>
        <v/>
      </c>
      <c r="J36" s="239"/>
      <c r="K36" s="239"/>
    </row>
    <row r="37" customFormat="false" ht="14.25" hidden="false" customHeight="true" outlineLevel="0" collapsed="false">
      <c r="A37" s="238" t="s">
        <v>510</v>
      </c>
      <c r="B37" s="239"/>
      <c r="C37" s="239"/>
      <c r="D37" s="239"/>
      <c r="E37" s="239"/>
      <c r="F37" s="239"/>
      <c r="G37" s="239"/>
      <c r="H37" s="240"/>
      <c r="I37" s="241" t="str">
        <f aca="false">IF(H37="YES",$C$7,IF(H37="NO",0,""))</f>
        <v/>
      </c>
      <c r="J37" s="239"/>
      <c r="K37" s="239"/>
    </row>
    <row r="38" customFormat="false" ht="14.25" hidden="false" customHeight="true" outlineLevel="0" collapsed="false">
      <c r="A38" s="238" t="s">
        <v>511</v>
      </c>
      <c r="B38" s="239"/>
      <c r="C38" s="239"/>
      <c r="D38" s="239"/>
      <c r="E38" s="239"/>
      <c r="F38" s="239"/>
      <c r="G38" s="239"/>
      <c r="H38" s="240"/>
      <c r="I38" s="241" t="str">
        <f aca="false">IF(H38="YES",$C$7,IF(H38="NO",0,""))</f>
        <v/>
      </c>
      <c r="J38" s="239"/>
      <c r="K38" s="239"/>
    </row>
    <row r="39" customFormat="false" ht="14.25" hidden="false" customHeight="true" outlineLevel="0" collapsed="false">
      <c r="A39" s="238" t="s">
        <v>512</v>
      </c>
      <c r="B39" s="239"/>
      <c r="C39" s="239"/>
      <c r="D39" s="239"/>
      <c r="E39" s="239"/>
      <c r="F39" s="239"/>
      <c r="G39" s="239"/>
      <c r="H39" s="240"/>
      <c r="I39" s="241" t="str">
        <f aca="false">IF(H39="YES",$C$7,IF(H39="NO",0,""))</f>
        <v/>
      </c>
      <c r="J39" s="239"/>
      <c r="K39" s="239"/>
    </row>
    <row r="40" customFormat="false" ht="14.25" hidden="false" customHeight="true" outlineLevel="0" collapsed="false">
      <c r="A40" s="238" t="s">
        <v>513</v>
      </c>
      <c r="B40" s="239"/>
      <c r="C40" s="239"/>
      <c r="D40" s="239"/>
      <c r="E40" s="239"/>
      <c r="F40" s="239"/>
      <c r="G40" s="239"/>
      <c r="H40" s="240"/>
      <c r="I40" s="241" t="str">
        <f aca="false">IF(H40="YES",$C$7,IF(H40="NO",0,""))</f>
        <v/>
      </c>
      <c r="J40" s="239"/>
      <c r="K40" s="239"/>
    </row>
    <row r="41" customFormat="false" ht="14.25" hidden="false" customHeight="true" outlineLevel="0" collapsed="false">
      <c r="A41" s="238" t="s">
        <v>514</v>
      </c>
      <c r="B41" s="239"/>
      <c r="C41" s="239"/>
      <c r="D41" s="239"/>
      <c r="E41" s="239"/>
      <c r="F41" s="239"/>
      <c r="G41" s="239"/>
      <c r="H41" s="240"/>
      <c r="I41" s="241" t="str">
        <f aca="false">IF(H41="YES",$C$7,IF(H41="NO",0,""))</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55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 planning boundary of the municipal/city plan aligned with political and administrative boundaries?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municipal/city plan, its maps and/or the notification defining the planning area. Identify the ULG and administrative units used to define the planning area. First, compare the planning boundary with the ULG boundary. If the planning boundary is coterminous with the ULG boundary, score 10. Where the planning area extends beyond the ULG boundary, identify how the additional area has been defined in the plan or notification. The extension need not follow district boundaries. It may comprise whole gram panchayats, revenue villages, taluks/tehsils or other notified administrative/local-government units. The key test is whether existing units are included in their entirety rather than split by the planning boundary.For example:Entire ULG only = Score 10Entire ULG + 10 complete Gram Panchayats = Score 10Entire ULG + 15 complete revenue villages = Score 10Entire ULG + 2 complete taluks = Score 10ULG + only part of a Gram Panchayat/revenue village = Score 0Planning boundary itself divides the ULG, leaving part of the ULG outside the plan = Score 0 Use the notification/text defining the planning area as the primary source.Refer to the plan map where necessary to verify the boundary. Do not assess whether the planning boundary is appropriate or whether it represents the functional urban region; assess only whether it aligns with identifiable political/local-government and administrative units. Score 10: The municipal/city plan boundary corresponds to the ULG boundary, or any area extending beyond the ULG is defined using whole administrative/local-government units. Score 0: The planning boundary bisects the ULG or other administrative/local-government units used to constitute the planning area.</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2" t="s">
        <v>803</v>
      </c>
      <c r="H14" s="240" t="s">
        <v>804</v>
      </c>
      <c r="I14" s="241" t="n">
        <f aca="false">IF(H14="YES",$C$7,IF(H14="NO",0,""))</f>
        <v>10</v>
      </c>
      <c r="J14" s="239" t="s">
        <v>805</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63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metropolitan/regional plan be approved by the state government?</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Act/metropolitan planning act mandates the metropolitan/regional plan to be approved by the state government.</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67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municipal/city plan be approved by the MPC (Metropolitan Planning Committee)  for metropolitan cities or by DPC (District Planning Committee) for non-metropolitan cities?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 mandates the municipal/city plans to be approved by the metropolitan planning committee in case of million plus cities and District Planning Committees in the case of non-metropolitan cities. In the case of states with no metropolitan cities, check if the municipal/city plan is to be approved by the state.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71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Spatial planning hierarchy &gt;:&lt; Spatial planning hierarchy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clear decentralised procedure for approvals of each level of plans? &gt;:&lt; Does the law mandate that the ward(s)/local plan be approved by the ULG?</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state T&amp;CP Act for provisions that delineate a decentralised plan approval process.  &gt;:&lt; Check if the T&amp;CP Act mandates the zonal/ward plans to be approved by the ULG.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27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each level of Municipal/City Plans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Act clearly define the objectives/contents of each level of spatial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Act for provisions that detail the objectives and contents of each level of spatial plan. The Act should broadly mention what each level of spatial plan should cover. Score 3.33 each for the objectives and contents of - 1. Metropolitan/regional plan2. Municipal/city plan3. Ward(s)/local plan If the T&amp;CP Act provides for all three, score 10. </v>
      </c>
    </row>
    <row r="10" customFormat="false" ht="51.75"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"Objectives/contents: Metropolitan/regional plan ("&amp;TEXT($C$7/3,"0.00")&amp;")"</f>
        <v>Objectives/contents: Metropolitan/regional plan (3.33)</v>
      </c>
      <c r="I12" s="237" t="str">
        <f aca="false">"Objectives/contents: Municipal/city plan ("&amp;TEXT($C$7/3,"0.00")&amp;")"</f>
        <v>Objectives/contents: Municipal/city plan (3.33)</v>
      </c>
      <c r="J12" s="237" t="str">
        <f aca="false">"Objectives/contents: Ward/local plan ("&amp;TEXT($C$7/3,"0.00")&amp;")"</f>
        <v>Objectives/contents: Ward/local plan (3.33)</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4.25" hidden="false" customHeight="true" outlineLevel="0" collapsed="false">
      <c r="A14" s="238" t="s">
        <v>487</v>
      </c>
      <c r="B14" s="239"/>
      <c r="C14" s="239"/>
      <c r="D14" s="239"/>
      <c r="E14" s="239"/>
      <c r="F14" s="239"/>
      <c r="G14" s="239"/>
      <c r="H14" s="240"/>
      <c r="I14" s="240"/>
      <c r="J14" s="240"/>
      <c r="K14" s="241" t="str">
        <f aca="false">IF(OR(H14="",I14="",J14=""),"",COUNTIF(H14:J14,"YES")/3*$C$7)</f>
        <v/>
      </c>
      <c r="L14" s="239"/>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C10" activeCellId="0" sqref="C10"/>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88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Does the law provide for the constitution of an MPC/DPC?</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Part A:  Check whether there is a mandate in the Municipal or T&amp;CP Act for the constitution of MPC/DPC. If yes, score 2.5                                                                                                                                                                   Part B: Check whether the State has notified the rules for the MPC/DPC applicable to the city. If yes, score 2.5.MPC applies to metropolitan cities (46 cities); DPC applies for non-metropolitan cities</v>
      </c>
    </row>
    <row r="10" customFormat="false" ht="54"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Mandate in Municipal / T&amp;CP Act ("&amp;TEXT($C$7/2,"0.00")&amp;")"</f>
        <v>Part A: Mandate in Municipal / T&amp;CP Act (2.50)</v>
      </c>
      <c r="I12" s="237" t="str">
        <f aca="false">"Part B: MPC/DPC rules notified ("&amp;TEXT($C$7/2,"0.00")&amp;")"</f>
        <v>Part B: MPC/DPC rules notified (2.50)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IF(OR(H13="",I13=""),"",COUNTIF(H13:I13,"YES")/2*$C$7)</f>
        <v/>
      </c>
      <c r="K13" s="239"/>
    </row>
    <row r="14" customFormat="false" ht="14.25" hidden="false" customHeight="true" outlineLevel="0" collapsed="false">
      <c r="A14" s="238" t="s">
        <v>487</v>
      </c>
      <c r="B14" s="239"/>
      <c r="C14" s="239"/>
      <c r="D14" s="239"/>
      <c r="E14" s="239"/>
      <c r="F14" s="239"/>
      <c r="G14" s="239"/>
      <c r="H14" s="240"/>
      <c r="I14" s="240"/>
      <c r="J14" s="241" t="str">
        <f aca="false">IF(OR(H14="",I14=""),"",COUNTIF(H14:I14,"YES")/2*$C$7)</f>
        <v/>
      </c>
      <c r="K14" s="239"/>
    </row>
    <row r="15" customFormat="false" ht="14.25" hidden="false" customHeight="true" outlineLevel="0" collapsed="false">
      <c r="A15" s="238" t="s">
        <v>488</v>
      </c>
      <c r="B15" s="239"/>
      <c r="C15" s="239"/>
      <c r="D15" s="239"/>
      <c r="E15" s="239"/>
      <c r="F15" s="239"/>
      <c r="G15" s="239"/>
      <c r="H15" s="240"/>
      <c r="I15" s="240"/>
      <c r="J15" s="241" t="str">
        <f aca="false">IF(OR(H15="",I15=""),"",COUNTIF(H15:I15,"YES")/2*$C$7)</f>
        <v/>
      </c>
      <c r="K15" s="239"/>
    </row>
    <row r="16" customFormat="false" ht="14.25" hidden="false" customHeight="true" outlineLevel="0" collapsed="false">
      <c r="A16" s="238" t="s">
        <v>489</v>
      </c>
      <c r="B16" s="239"/>
      <c r="C16" s="239"/>
      <c r="D16" s="239"/>
      <c r="E16" s="239"/>
      <c r="F16" s="239"/>
      <c r="G16" s="239"/>
      <c r="H16" s="240"/>
      <c r="I16" s="240"/>
      <c r="J16" s="241" t="str">
        <f aca="false">IF(OR(H16="",I16=""),"",COUNTIF(H16:I16,"YES")/2*$C$7)</f>
        <v/>
      </c>
      <c r="K16" s="239"/>
    </row>
    <row r="17" customFormat="false" ht="14.25" hidden="false" customHeight="true" outlineLevel="0" collapsed="false">
      <c r="A17" s="238" t="s">
        <v>490</v>
      </c>
      <c r="B17" s="239"/>
      <c r="C17" s="239"/>
      <c r="D17" s="239"/>
      <c r="E17" s="239"/>
      <c r="F17" s="239"/>
      <c r="G17" s="239"/>
      <c r="H17" s="240"/>
      <c r="I17" s="240"/>
      <c r="J17" s="241" t="str">
        <f aca="false">IF(OR(H17="",I17=""),"",COUNTIF(H17:I17,"YES")/2*$C$7)</f>
        <v/>
      </c>
      <c r="K17" s="239"/>
    </row>
    <row r="18" customFormat="false" ht="14.25" hidden="false" customHeight="true" outlineLevel="0" collapsed="false">
      <c r="A18" s="238" t="s">
        <v>491</v>
      </c>
      <c r="B18" s="239"/>
      <c r="C18" s="239"/>
      <c r="D18" s="239"/>
      <c r="E18" s="239"/>
      <c r="F18" s="239"/>
      <c r="G18" s="239"/>
      <c r="H18" s="240"/>
      <c r="I18" s="240"/>
      <c r="J18" s="241" t="str">
        <f aca="false">IF(OR(H18="",I18=""),"",COUNTIF(H18:I18,"YES")/2*$C$7)</f>
        <v/>
      </c>
      <c r="K18" s="239"/>
    </row>
    <row r="19" customFormat="false" ht="14.25" hidden="false" customHeight="true" outlineLevel="0" collapsed="false">
      <c r="A19" s="238" t="s">
        <v>492</v>
      </c>
      <c r="B19" s="239"/>
      <c r="C19" s="239"/>
      <c r="D19" s="239"/>
      <c r="E19" s="239"/>
      <c r="F19" s="239"/>
      <c r="G19" s="239"/>
      <c r="H19" s="240"/>
      <c r="I19" s="240"/>
      <c r="J19" s="241" t="str">
        <f aca="false">IF(OR(H19="",I19=""),"",COUNTIF(H19:I19,"YES")/2*$C$7)</f>
        <v/>
      </c>
      <c r="K19" s="239"/>
    </row>
    <row r="20" customFormat="false" ht="14.25" hidden="false" customHeight="true" outlineLevel="0" collapsed="false">
      <c r="A20" s="238" t="s">
        <v>493</v>
      </c>
      <c r="B20" s="239"/>
      <c r="C20" s="239"/>
      <c r="D20" s="239"/>
      <c r="E20" s="239"/>
      <c r="F20" s="239"/>
      <c r="G20" s="239"/>
      <c r="H20" s="240"/>
      <c r="I20" s="240"/>
      <c r="J20" s="241" t="str">
        <f aca="false">IF(OR(H20="",I20=""),"",COUNTIF(H20:I20,"YES")/2*$C$7)</f>
        <v/>
      </c>
      <c r="K20" s="239"/>
    </row>
    <row r="21" customFormat="false" ht="14.25" hidden="false" customHeight="true" outlineLevel="0" collapsed="false">
      <c r="A21" s="238" t="s">
        <v>494</v>
      </c>
      <c r="B21" s="239"/>
      <c r="C21" s="239"/>
      <c r="D21" s="239"/>
      <c r="E21" s="239"/>
      <c r="F21" s="239"/>
      <c r="G21" s="239"/>
      <c r="H21" s="240"/>
      <c r="I21" s="240"/>
      <c r="J21" s="241" t="str">
        <f aca="false">IF(OR(H21="",I21=""),"",COUNTIF(H21:I21,"YES")/2*$C$7)</f>
        <v/>
      </c>
      <c r="K21" s="239"/>
    </row>
    <row r="22" customFormat="false" ht="14.25" hidden="false" customHeight="true" outlineLevel="0" collapsed="false">
      <c r="A22" s="238" t="s">
        <v>495</v>
      </c>
      <c r="B22" s="239"/>
      <c r="C22" s="239"/>
      <c r="D22" s="239"/>
      <c r="E22" s="239"/>
      <c r="F22" s="239"/>
      <c r="G22" s="239"/>
      <c r="H22" s="240"/>
      <c r="I22" s="240"/>
      <c r="J22" s="241" t="str">
        <f aca="false">IF(OR(H22="",I22=""),"",COUNTIF(H22:I22,"YES")/2*$C$7)</f>
        <v/>
      </c>
      <c r="K22" s="239"/>
    </row>
    <row r="23" customFormat="false" ht="14.25" hidden="false" customHeight="true" outlineLevel="0" collapsed="false">
      <c r="A23" s="238" t="s">
        <v>496</v>
      </c>
      <c r="B23" s="239"/>
      <c r="C23" s="239"/>
      <c r="D23" s="239"/>
      <c r="E23" s="239"/>
      <c r="F23" s="239"/>
      <c r="G23" s="239"/>
      <c r="H23" s="240"/>
      <c r="I23" s="240"/>
      <c r="J23" s="241" t="str">
        <f aca="false">IF(OR(H23="",I23=""),"",COUNTIF(H23:I23,"YES")/2*$C$7)</f>
        <v/>
      </c>
      <c r="K23" s="239"/>
    </row>
    <row r="24" customFormat="false" ht="14.25" hidden="false" customHeight="true" outlineLevel="0" collapsed="false">
      <c r="A24" s="238" t="s">
        <v>497</v>
      </c>
      <c r="B24" s="239"/>
      <c r="C24" s="239"/>
      <c r="D24" s="239"/>
      <c r="E24" s="239"/>
      <c r="F24" s="239"/>
      <c r="G24" s="239"/>
      <c r="H24" s="240"/>
      <c r="I24" s="240"/>
      <c r="J24" s="241" t="str">
        <f aca="false">IF(OR(H24="",I24=""),"",COUNTIF(H24:I24,"YES")/2*$C$7)</f>
        <v/>
      </c>
      <c r="K24" s="239"/>
    </row>
    <row r="25" customFormat="false" ht="14.25" hidden="false" customHeight="true" outlineLevel="0" collapsed="false">
      <c r="A25" s="238" t="s">
        <v>498</v>
      </c>
      <c r="B25" s="239"/>
      <c r="C25" s="239"/>
      <c r="D25" s="239"/>
      <c r="E25" s="239"/>
      <c r="F25" s="239"/>
      <c r="G25" s="239"/>
      <c r="H25" s="240"/>
      <c r="I25" s="240"/>
      <c r="J25" s="241" t="str">
        <f aca="false">IF(OR(H25="",I25=""),"",COUNTIF(H25:I25,"YES")/2*$C$7)</f>
        <v/>
      </c>
      <c r="K25" s="239"/>
    </row>
    <row r="26" customFormat="false" ht="14.25" hidden="false" customHeight="true" outlineLevel="0" collapsed="false">
      <c r="A26" s="238" t="s">
        <v>499</v>
      </c>
      <c r="B26" s="239"/>
      <c r="C26" s="239"/>
      <c r="D26" s="239"/>
      <c r="E26" s="239"/>
      <c r="F26" s="239"/>
      <c r="G26" s="239"/>
      <c r="H26" s="240"/>
      <c r="I26" s="240"/>
      <c r="J26" s="241" t="str">
        <f aca="false">IF(OR(H26="",I26=""),"",COUNTIF(H26:I26,"YES")/2*$C$7)</f>
        <v/>
      </c>
      <c r="K26" s="239"/>
    </row>
    <row r="27" customFormat="false" ht="14.25" hidden="false" customHeight="true" outlineLevel="0" collapsed="false">
      <c r="A27" s="238" t="s">
        <v>500</v>
      </c>
      <c r="B27" s="239"/>
      <c r="C27" s="239"/>
      <c r="D27" s="239"/>
      <c r="E27" s="239"/>
      <c r="F27" s="239"/>
      <c r="G27" s="239"/>
      <c r="H27" s="240"/>
      <c r="I27" s="240"/>
      <c r="J27" s="241" t="str">
        <f aca="false">IF(OR(H27="",I27=""),"",COUNTIF(H27:I27,"YES")/2*$C$7)</f>
        <v/>
      </c>
      <c r="K27" s="239"/>
    </row>
    <row r="28" customFormat="false" ht="14.25" hidden="false" customHeight="true" outlineLevel="0" collapsed="false">
      <c r="A28" s="238" t="s">
        <v>501</v>
      </c>
      <c r="B28" s="239"/>
      <c r="C28" s="239"/>
      <c r="D28" s="239"/>
      <c r="E28" s="239"/>
      <c r="F28" s="239"/>
      <c r="G28" s="239"/>
      <c r="H28" s="240"/>
      <c r="I28" s="240"/>
      <c r="J28" s="241" t="str">
        <f aca="false">IF(OR(H28="",I28=""),"",COUNTIF(H28:I28,"YES")/2*$C$7)</f>
        <v/>
      </c>
      <c r="K28" s="239"/>
    </row>
    <row r="29" customFormat="false" ht="14.25" hidden="false" customHeight="true" outlineLevel="0" collapsed="false">
      <c r="A29" s="238" t="s">
        <v>502</v>
      </c>
      <c r="B29" s="239"/>
      <c r="C29" s="239"/>
      <c r="D29" s="239"/>
      <c r="E29" s="239"/>
      <c r="F29" s="239"/>
      <c r="G29" s="239"/>
      <c r="H29" s="240"/>
      <c r="I29" s="240"/>
      <c r="J29" s="241" t="str">
        <f aca="false">IF(OR(H29="",I29=""),"",COUNTIF(H29:I29,"YES")/2*$C$7)</f>
        <v/>
      </c>
      <c r="K29" s="239"/>
    </row>
    <row r="30" customFormat="false" ht="14.25" hidden="false" customHeight="true" outlineLevel="0" collapsed="false">
      <c r="A30" s="238" t="s">
        <v>503</v>
      </c>
      <c r="B30" s="239"/>
      <c r="C30" s="239"/>
      <c r="D30" s="239"/>
      <c r="E30" s="239"/>
      <c r="F30" s="239"/>
      <c r="G30" s="239"/>
      <c r="H30" s="240"/>
      <c r="I30" s="240"/>
      <c r="J30" s="241" t="str">
        <f aca="false">IF(OR(H30="",I30=""),"",COUNTIF(H30:I30,"YES")/2*$C$7)</f>
        <v/>
      </c>
      <c r="K30" s="239"/>
    </row>
    <row r="31" customFormat="false" ht="14.25" hidden="false" customHeight="true" outlineLevel="0" collapsed="false">
      <c r="A31" s="238" t="s">
        <v>504</v>
      </c>
      <c r="B31" s="239"/>
      <c r="C31" s="239"/>
      <c r="D31" s="239"/>
      <c r="E31" s="239"/>
      <c r="F31" s="239"/>
      <c r="G31" s="239"/>
      <c r="H31" s="240"/>
      <c r="I31" s="240"/>
      <c r="J31" s="241" t="str">
        <f aca="false">IF(OR(H31="",I31=""),"",COUNTIF(H31:I31,"YES")/2*$C$7)</f>
        <v/>
      </c>
      <c r="K31" s="239"/>
    </row>
    <row r="32" customFormat="false" ht="14.25" hidden="false" customHeight="true" outlineLevel="0" collapsed="false">
      <c r="A32" s="238" t="s">
        <v>505</v>
      </c>
      <c r="B32" s="239"/>
      <c r="C32" s="239"/>
      <c r="D32" s="239"/>
      <c r="E32" s="239"/>
      <c r="F32" s="239"/>
      <c r="G32" s="239"/>
      <c r="H32" s="240"/>
      <c r="I32" s="240"/>
      <c r="J32" s="241" t="str">
        <f aca="false">IF(OR(H32="",I32=""),"",COUNTIF(H32:I32,"YES")/2*$C$7)</f>
        <v/>
      </c>
      <c r="K32" s="239"/>
    </row>
    <row r="33" customFormat="false" ht="14.25" hidden="false" customHeight="true" outlineLevel="0" collapsed="false">
      <c r="A33" s="238" t="s">
        <v>506</v>
      </c>
      <c r="B33" s="239"/>
      <c r="C33" s="239"/>
      <c r="D33" s="239"/>
      <c r="E33" s="239"/>
      <c r="F33" s="239"/>
      <c r="G33" s="239"/>
      <c r="H33" s="240"/>
      <c r="I33" s="240"/>
      <c r="J33" s="241" t="str">
        <f aca="false">IF(OR(H33="",I33=""),"",COUNTIF(H33:I33,"YES")/2*$C$7)</f>
        <v/>
      </c>
      <c r="K33" s="239"/>
    </row>
    <row r="34" customFormat="false" ht="14.25" hidden="false" customHeight="true" outlineLevel="0" collapsed="false">
      <c r="A34" s="238" t="s">
        <v>507</v>
      </c>
      <c r="B34" s="239"/>
      <c r="C34" s="239"/>
      <c r="D34" s="239"/>
      <c r="E34" s="239"/>
      <c r="F34" s="239"/>
      <c r="G34" s="239"/>
      <c r="H34" s="240"/>
      <c r="I34" s="240"/>
      <c r="J34" s="241" t="str">
        <f aca="false">IF(OR(H34="",I34=""),"",COUNTIF(H34:I34,"YES")/2*$C$7)</f>
        <v/>
      </c>
      <c r="K34" s="239"/>
    </row>
    <row r="35" customFormat="false" ht="14.25" hidden="false" customHeight="true" outlineLevel="0" collapsed="false">
      <c r="A35" s="238" t="s">
        <v>508</v>
      </c>
      <c r="B35" s="239"/>
      <c r="C35" s="239"/>
      <c r="D35" s="239"/>
      <c r="E35" s="239"/>
      <c r="F35" s="239"/>
      <c r="G35" s="239"/>
      <c r="H35" s="240"/>
      <c r="I35" s="240"/>
      <c r="J35" s="241" t="str">
        <f aca="false">IF(OR(H35="",I35=""),"",COUNTIF(H35:I35,"YES")/2*$C$7)</f>
        <v/>
      </c>
      <c r="K35" s="239"/>
    </row>
    <row r="36" customFormat="false" ht="14.25" hidden="false" customHeight="true" outlineLevel="0" collapsed="false">
      <c r="A36" s="238" t="s">
        <v>509</v>
      </c>
      <c r="B36" s="239"/>
      <c r="C36" s="239"/>
      <c r="D36" s="239"/>
      <c r="E36" s="239"/>
      <c r="F36" s="239"/>
      <c r="G36" s="239"/>
      <c r="H36" s="240"/>
      <c r="I36" s="240"/>
      <c r="J36" s="241" t="str">
        <f aca="false">IF(OR(H36="",I36=""),"",COUNTIF(H36:I36,"YES")/2*$C$7)</f>
        <v/>
      </c>
      <c r="K36" s="239"/>
    </row>
    <row r="37" customFormat="false" ht="14.25" hidden="false" customHeight="true" outlineLevel="0" collapsed="false">
      <c r="A37" s="238" t="s">
        <v>510</v>
      </c>
      <c r="B37" s="239"/>
      <c r="C37" s="239"/>
      <c r="D37" s="239"/>
      <c r="E37" s="239"/>
      <c r="F37" s="239"/>
      <c r="G37" s="239"/>
      <c r="H37" s="240"/>
      <c r="I37" s="240"/>
      <c r="J37" s="241" t="str">
        <f aca="false">IF(OR(H37="",I37=""),"",COUNTIF(H37:I37,"YES")/2*$C$7)</f>
        <v/>
      </c>
      <c r="K37" s="239"/>
    </row>
    <row r="38" customFormat="false" ht="14.25" hidden="false" customHeight="true" outlineLevel="0" collapsed="false">
      <c r="A38" s="238" t="s">
        <v>511</v>
      </c>
      <c r="B38" s="239"/>
      <c r="C38" s="239"/>
      <c r="D38" s="239"/>
      <c r="E38" s="239"/>
      <c r="F38" s="239"/>
      <c r="G38" s="239"/>
      <c r="H38" s="240"/>
      <c r="I38" s="240"/>
      <c r="J38" s="241" t="str">
        <f aca="false">IF(OR(H38="",I38=""),"",COUNTIF(H38:I38,"YES")/2*$C$7)</f>
        <v/>
      </c>
      <c r="K38" s="239"/>
    </row>
    <row r="39" customFormat="false" ht="14.25" hidden="false" customHeight="true" outlineLevel="0" collapsed="false">
      <c r="A39" s="238" t="s">
        <v>512</v>
      </c>
      <c r="B39" s="239"/>
      <c r="C39" s="239"/>
      <c r="D39" s="239"/>
      <c r="E39" s="239"/>
      <c r="F39" s="239"/>
      <c r="G39" s="239"/>
      <c r="H39" s="240"/>
      <c r="I39" s="240"/>
      <c r="J39" s="241" t="str">
        <f aca="false">IF(OR(H39="",I39=""),"",COUNTIF(H39:I39,"YES")/2*$C$7)</f>
        <v/>
      </c>
      <c r="K39" s="239"/>
    </row>
    <row r="40" customFormat="false" ht="14.25" hidden="false" customHeight="true" outlineLevel="0" collapsed="false">
      <c r="A40" s="238" t="s">
        <v>513</v>
      </c>
      <c r="B40" s="239"/>
      <c r="C40" s="239"/>
      <c r="D40" s="239"/>
      <c r="E40" s="239"/>
      <c r="F40" s="239"/>
      <c r="G40" s="239"/>
      <c r="H40" s="240"/>
      <c r="I40" s="240"/>
      <c r="J40" s="241" t="str">
        <f aca="false">IF(OR(H40="",I40=""),"",COUNTIF(H40:I40,"YES")/2*$C$7)</f>
        <v/>
      </c>
      <c r="K40" s="239"/>
    </row>
    <row r="41" customFormat="false" ht="14.25" hidden="false" customHeight="true" outlineLevel="0" collapsed="false">
      <c r="A41" s="238" t="s">
        <v>514</v>
      </c>
      <c r="B41" s="239"/>
      <c r="C41" s="239"/>
      <c r="D41" s="239"/>
      <c r="E41" s="239"/>
      <c r="F41" s="239"/>
      <c r="G41" s="239"/>
      <c r="H41" s="240"/>
      <c r="I41" s="240"/>
      <c r="J41" s="241" t="str">
        <f aca="false">IF(OR(H41="",I41=""),"",COUNTIF(H41:I41,"YES")/2*$C$7)</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95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43.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 &gt;:&lt; 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 &gt;:&lt; Metropolitan and district planning institutions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functional MPC/DPC? &gt;:&lt; Have they met at least once in the past two years?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whether the MPC/DPC has met at least once in the past two years. Score 5 where there is evidence of meeting in the last two years.Evidence: State UD/Municipal Administration department notifications/constitution orders/website; MPC/DPC meeting minutes, agendas or resolutions; MPC/DPC and metropolitan planning authority/development authority websites and RTIs.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100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82"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Legal and institutional planning architecture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Metropolitan and district planning institutions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(million-plus) have a Metropolitan Authority?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state municipal and T&amp;CP Act mandates a statutory metropolitan-level authority. For example the Greater Bengaluru Authority (GBA) under the Greater Bengaluru Governance Act, 2024. Score 10 where such a metropolitan authority has been established by law and constituted for the city.                                           Note: The question is NA for non-metropolitan cities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807</v>
      </c>
    </row>
    <row r="11" customFormat="false" ht="28.5" hidden="false" customHeight="true" outlineLevel="0" collapsed="false">
      <c r="H11" s="234" t="s">
        <v>808</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IF(H13="NA","NA",IF(H13="YES",$C$7,IF(H13="NO",0,"")))</f>
        <v/>
      </c>
      <c r="J13" s="239"/>
    </row>
    <row r="14" customFormat="false" ht="14.25" hidden="false" customHeight="true" outlineLevel="0" collapsed="false">
      <c r="A14" s="238" t="s">
        <v>487</v>
      </c>
      <c r="B14" s="239"/>
      <c r="C14" s="239"/>
      <c r="D14" s="239"/>
      <c r="E14" s="239"/>
      <c r="F14" s="239"/>
      <c r="G14" s="239"/>
      <c r="H14" s="240"/>
      <c r="I14" s="241" t="str">
        <f aca="false">IF(H14="NA","NA",IF(H14="YES",$C$7,IF(H14="NO",0,"")))</f>
        <v/>
      </c>
      <c r="J14" s="239"/>
    </row>
    <row r="15" customFormat="false" ht="14.25" hidden="false" customHeight="true" outlineLevel="0" collapsed="false">
      <c r="A15" s="238" t="s">
        <v>488</v>
      </c>
      <c r="B15" s="239"/>
      <c r="C15" s="239"/>
      <c r="D15" s="239"/>
      <c r="E15" s="239"/>
      <c r="F15" s="239"/>
      <c r="G15" s="239"/>
      <c r="H15" s="240"/>
      <c r="I15" s="241" t="str">
        <f aca="false">IF(H15="NA","NA",IF(H15="YES",$C$7,IF(H15="NO",0,"")))</f>
        <v/>
      </c>
      <c r="J15" s="239"/>
    </row>
    <row r="16" customFormat="false" ht="14.25" hidden="false" customHeight="true" outlineLevel="0" collapsed="false">
      <c r="A16" s="238" t="s">
        <v>489</v>
      </c>
      <c r="B16" s="239"/>
      <c r="C16" s="239"/>
      <c r="D16" s="239"/>
      <c r="E16" s="239"/>
      <c r="F16" s="239"/>
      <c r="G16" s="239"/>
      <c r="H16" s="240"/>
      <c r="I16" s="241" t="str">
        <f aca="false">IF(H16="NA","NA",IF(H16="YES",$C$7,IF(H16="NO",0,"")))</f>
        <v/>
      </c>
      <c r="J16" s="239"/>
    </row>
    <row r="17" customFormat="false" ht="14.25" hidden="false" customHeight="true" outlineLevel="0" collapsed="false">
      <c r="A17" s="238" t="s">
        <v>490</v>
      </c>
      <c r="B17" s="239"/>
      <c r="C17" s="239"/>
      <c r="D17" s="239"/>
      <c r="E17" s="239"/>
      <c r="F17" s="239"/>
      <c r="G17" s="239"/>
      <c r="H17" s="240"/>
      <c r="I17" s="241" t="str">
        <f aca="false">IF(H17="NA","NA",IF(H17="YES",$C$7,IF(H17="NO",0,"")))</f>
        <v/>
      </c>
      <c r="J17" s="239"/>
    </row>
    <row r="18" customFormat="false" ht="14.25" hidden="false" customHeight="true" outlineLevel="0" collapsed="false">
      <c r="A18" s="238" t="s">
        <v>491</v>
      </c>
      <c r="B18" s="239"/>
      <c r="C18" s="239"/>
      <c r="D18" s="239"/>
      <c r="E18" s="239"/>
      <c r="F18" s="239"/>
      <c r="G18" s="239"/>
      <c r="H18" s="240"/>
      <c r="I18" s="241" t="str">
        <f aca="false">IF(H18="NA","NA",IF(H18="YES",$C$7,IF(H18="NO",0,"")))</f>
        <v/>
      </c>
      <c r="J18" s="239"/>
    </row>
    <row r="19" customFormat="false" ht="14.25" hidden="false" customHeight="true" outlineLevel="0" collapsed="false">
      <c r="A19" s="238" t="s">
        <v>492</v>
      </c>
      <c r="B19" s="239"/>
      <c r="C19" s="239"/>
      <c r="D19" s="239"/>
      <c r="E19" s="239"/>
      <c r="F19" s="239"/>
      <c r="G19" s="239"/>
      <c r="H19" s="240"/>
      <c r="I19" s="241" t="str">
        <f aca="false">IF(H19="NA","NA",IF(H19="YES",$C$7,IF(H19="NO",0,"")))</f>
        <v/>
      </c>
      <c r="J19" s="239"/>
    </row>
    <row r="20" customFormat="false" ht="14.25" hidden="false" customHeight="true" outlineLevel="0" collapsed="false">
      <c r="A20" s="238" t="s">
        <v>493</v>
      </c>
      <c r="B20" s="239"/>
      <c r="C20" s="239"/>
      <c r="D20" s="239"/>
      <c r="E20" s="239"/>
      <c r="F20" s="239"/>
      <c r="G20" s="239"/>
      <c r="H20" s="240"/>
      <c r="I20" s="241" t="str">
        <f aca="false">IF(H20="NA","NA",IF(H20="YES",$C$7,IF(H20="NO",0,"")))</f>
        <v/>
      </c>
      <c r="J20" s="239"/>
    </row>
    <row r="21" customFormat="false" ht="14.25" hidden="false" customHeight="true" outlineLevel="0" collapsed="false">
      <c r="A21" s="238" t="s">
        <v>494</v>
      </c>
      <c r="B21" s="239"/>
      <c r="C21" s="239"/>
      <c r="D21" s="239"/>
      <c r="E21" s="239"/>
      <c r="F21" s="239"/>
      <c r="G21" s="239"/>
      <c r="H21" s="240"/>
      <c r="I21" s="241" t="str">
        <f aca="false">IF(H21="NA","NA",IF(H21="YES",$C$7,IF(H21="NO",0,"")))</f>
        <v/>
      </c>
      <c r="J21" s="239"/>
    </row>
    <row r="22" customFormat="false" ht="14.25" hidden="false" customHeight="true" outlineLevel="0" collapsed="false">
      <c r="A22" s="238" t="s">
        <v>495</v>
      </c>
      <c r="B22" s="239"/>
      <c r="C22" s="239"/>
      <c r="D22" s="239"/>
      <c r="E22" s="239"/>
      <c r="F22" s="239"/>
      <c r="G22" s="239"/>
      <c r="H22" s="240"/>
      <c r="I22" s="241" t="str">
        <f aca="false">IF(H22="NA","NA",IF(H22="YES",$C$7,IF(H22="NO",0,"")))</f>
        <v/>
      </c>
      <c r="J22" s="239"/>
    </row>
    <row r="23" customFormat="false" ht="14.25" hidden="false" customHeight="true" outlineLevel="0" collapsed="false">
      <c r="A23" s="238" t="s">
        <v>496</v>
      </c>
      <c r="B23" s="239"/>
      <c r="C23" s="239"/>
      <c r="D23" s="239"/>
      <c r="E23" s="239"/>
      <c r="F23" s="239"/>
      <c r="G23" s="239"/>
      <c r="H23" s="240"/>
      <c r="I23" s="241" t="str">
        <f aca="false">IF(H23="NA","NA",IF(H23="YES",$C$7,IF(H23="NO",0,"")))</f>
        <v/>
      </c>
      <c r="J23" s="239"/>
    </row>
    <row r="24" customFormat="false" ht="14.25" hidden="false" customHeight="true" outlineLevel="0" collapsed="false">
      <c r="A24" s="238" t="s">
        <v>497</v>
      </c>
      <c r="B24" s="239"/>
      <c r="C24" s="239"/>
      <c r="D24" s="239"/>
      <c r="E24" s="239"/>
      <c r="F24" s="239"/>
      <c r="G24" s="239"/>
      <c r="H24" s="240"/>
      <c r="I24" s="241" t="str">
        <f aca="false">IF(H24="NA","NA",IF(H24="YES",$C$7,IF(H24="NO",0,"")))</f>
        <v/>
      </c>
      <c r="J24" s="239"/>
    </row>
    <row r="25" customFormat="false" ht="14.25" hidden="false" customHeight="true" outlineLevel="0" collapsed="false">
      <c r="A25" s="238" t="s">
        <v>498</v>
      </c>
      <c r="B25" s="239"/>
      <c r="C25" s="239"/>
      <c r="D25" s="239"/>
      <c r="E25" s="239"/>
      <c r="F25" s="239"/>
      <c r="G25" s="239"/>
      <c r="H25" s="240"/>
      <c r="I25" s="241" t="str">
        <f aca="false">IF(H25="NA","NA",IF(H25="YES",$C$7,IF(H25="NO",0,"")))</f>
        <v/>
      </c>
      <c r="J25" s="239"/>
    </row>
    <row r="26" customFormat="false" ht="14.25" hidden="false" customHeight="true" outlineLevel="0" collapsed="false">
      <c r="A26" s="238" t="s">
        <v>499</v>
      </c>
      <c r="B26" s="239"/>
      <c r="C26" s="239"/>
      <c r="D26" s="239"/>
      <c r="E26" s="239"/>
      <c r="F26" s="239"/>
      <c r="G26" s="239"/>
      <c r="H26" s="240"/>
      <c r="I26" s="241" t="str">
        <f aca="false">IF(H26="NA","NA",IF(H26="YES",$C$7,IF(H26="NO",0,"")))</f>
        <v/>
      </c>
      <c r="J26" s="239"/>
    </row>
    <row r="27" customFormat="false" ht="14.25" hidden="false" customHeight="true" outlineLevel="0" collapsed="false">
      <c r="A27" s="238" t="s">
        <v>500</v>
      </c>
      <c r="B27" s="239"/>
      <c r="C27" s="239"/>
      <c r="D27" s="239"/>
      <c r="E27" s="239"/>
      <c r="F27" s="239"/>
      <c r="G27" s="239"/>
      <c r="H27" s="240"/>
      <c r="I27" s="241" t="str">
        <f aca="false">IF(H27="NA","NA",IF(H27="YES",$C$7,IF(H27="NO",0,"")))</f>
        <v/>
      </c>
      <c r="J27" s="239"/>
    </row>
    <row r="28" customFormat="false" ht="14.25" hidden="false" customHeight="true" outlineLevel="0" collapsed="false">
      <c r="A28" s="238" t="s">
        <v>501</v>
      </c>
      <c r="B28" s="239"/>
      <c r="C28" s="239"/>
      <c r="D28" s="239"/>
      <c r="E28" s="239"/>
      <c r="F28" s="239"/>
      <c r="G28" s="239"/>
      <c r="H28" s="240"/>
      <c r="I28" s="241" t="str">
        <f aca="false">IF(H28="NA","NA",IF(H28="YES",$C$7,IF(H28="NO",0,"")))</f>
        <v/>
      </c>
      <c r="J28" s="239"/>
    </row>
    <row r="29" customFormat="false" ht="14.25" hidden="false" customHeight="true" outlineLevel="0" collapsed="false">
      <c r="A29" s="238" t="s">
        <v>502</v>
      </c>
      <c r="B29" s="239"/>
      <c r="C29" s="239"/>
      <c r="D29" s="239"/>
      <c r="E29" s="239"/>
      <c r="F29" s="239"/>
      <c r="G29" s="239"/>
      <c r="H29" s="240"/>
      <c r="I29" s="241" t="str">
        <f aca="false">IF(H29="NA","NA",IF(H29="YES",$C$7,IF(H29="NO",0,"")))</f>
        <v/>
      </c>
      <c r="J29" s="239"/>
    </row>
    <row r="30" customFormat="false" ht="14.25" hidden="false" customHeight="true" outlineLevel="0" collapsed="false">
      <c r="A30" s="238" t="s">
        <v>503</v>
      </c>
      <c r="B30" s="239"/>
      <c r="C30" s="239"/>
      <c r="D30" s="239"/>
      <c r="E30" s="239"/>
      <c r="F30" s="239"/>
      <c r="G30" s="239"/>
      <c r="H30" s="240"/>
      <c r="I30" s="241" t="str">
        <f aca="false">IF(H30="NA","NA",IF(H30="YES",$C$7,IF(H30="NO",0,"")))</f>
        <v/>
      </c>
      <c r="J30" s="239"/>
    </row>
    <row r="31" customFormat="false" ht="14.25" hidden="false" customHeight="true" outlineLevel="0" collapsed="false">
      <c r="A31" s="238" t="s">
        <v>504</v>
      </c>
      <c r="B31" s="239"/>
      <c r="C31" s="239"/>
      <c r="D31" s="239"/>
      <c r="E31" s="239"/>
      <c r="F31" s="239"/>
      <c r="G31" s="239"/>
      <c r="H31" s="240"/>
      <c r="I31" s="241" t="str">
        <f aca="false">IF(H31="NA","NA",IF(H31="YES",$C$7,IF(H31="NO",0,"")))</f>
        <v/>
      </c>
      <c r="J31" s="239"/>
    </row>
    <row r="32" customFormat="false" ht="14.25" hidden="false" customHeight="true" outlineLevel="0" collapsed="false">
      <c r="A32" s="238" t="s">
        <v>505</v>
      </c>
      <c r="B32" s="239"/>
      <c r="C32" s="239"/>
      <c r="D32" s="239"/>
      <c r="E32" s="239"/>
      <c r="F32" s="239"/>
      <c r="G32" s="239"/>
      <c r="H32" s="240"/>
      <c r="I32" s="241" t="str">
        <f aca="false">IF(H32="NA","NA",IF(H32="YES",$C$7,IF(H32="NO",0,"")))</f>
        <v/>
      </c>
      <c r="J32" s="239"/>
    </row>
    <row r="33" customFormat="false" ht="14.25" hidden="false" customHeight="true" outlineLevel="0" collapsed="false">
      <c r="A33" s="238" t="s">
        <v>506</v>
      </c>
      <c r="B33" s="239"/>
      <c r="C33" s="239"/>
      <c r="D33" s="239"/>
      <c r="E33" s="239"/>
      <c r="F33" s="239"/>
      <c r="G33" s="239"/>
      <c r="H33" s="240"/>
      <c r="I33" s="241" t="str">
        <f aca="false">IF(H33="NA","NA",IF(H33="YES",$C$7,IF(H33="NO",0,"")))</f>
        <v/>
      </c>
      <c r="J33" s="239"/>
    </row>
    <row r="34" customFormat="false" ht="14.25" hidden="false" customHeight="true" outlineLevel="0" collapsed="false">
      <c r="A34" s="238" t="s">
        <v>507</v>
      </c>
      <c r="B34" s="239"/>
      <c r="C34" s="239"/>
      <c r="D34" s="239"/>
      <c r="E34" s="239"/>
      <c r="F34" s="239"/>
      <c r="G34" s="239"/>
      <c r="H34" s="240"/>
      <c r="I34" s="241" t="str">
        <f aca="false">IF(H34="NA","NA",IF(H34="YES",$C$7,IF(H34="NO",0,"")))</f>
        <v/>
      </c>
      <c r="J34" s="239"/>
    </row>
    <row r="35" customFormat="false" ht="14.25" hidden="false" customHeight="true" outlineLevel="0" collapsed="false">
      <c r="A35" s="238" t="s">
        <v>508</v>
      </c>
      <c r="B35" s="239"/>
      <c r="C35" s="239"/>
      <c r="D35" s="239"/>
      <c r="E35" s="239"/>
      <c r="F35" s="239"/>
      <c r="G35" s="239"/>
      <c r="H35" s="240"/>
      <c r="I35" s="241" t="str">
        <f aca="false">IF(H35="NA","NA",IF(H35="YES",$C$7,IF(H35="NO",0,"")))</f>
        <v/>
      </c>
      <c r="J35" s="239"/>
    </row>
    <row r="36" customFormat="false" ht="14.25" hidden="false" customHeight="true" outlineLevel="0" collapsed="false">
      <c r="A36" s="238" t="s">
        <v>509</v>
      </c>
      <c r="B36" s="239"/>
      <c r="C36" s="239"/>
      <c r="D36" s="239"/>
      <c r="E36" s="239"/>
      <c r="F36" s="239"/>
      <c r="G36" s="239"/>
      <c r="H36" s="240"/>
      <c r="I36" s="241" t="str">
        <f aca="false">IF(H36="NA","NA",IF(H36="YES",$C$7,IF(H36="NO",0,"")))</f>
        <v/>
      </c>
      <c r="J36" s="239"/>
    </row>
    <row r="37" customFormat="false" ht="14.25" hidden="false" customHeight="true" outlineLevel="0" collapsed="false">
      <c r="A37" s="238" t="s">
        <v>510</v>
      </c>
      <c r="B37" s="239"/>
      <c r="C37" s="239"/>
      <c r="D37" s="239"/>
      <c r="E37" s="239"/>
      <c r="F37" s="239"/>
      <c r="G37" s="239"/>
      <c r="H37" s="240"/>
      <c r="I37" s="241" t="str">
        <f aca="false">IF(H37="NA","NA",IF(H37="YES",$C$7,IF(H37="NO",0,"")))</f>
        <v/>
      </c>
      <c r="J37" s="239"/>
    </row>
    <row r="38" customFormat="false" ht="14.25" hidden="false" customHeight="true" outlineLevel="0" collapsed="false">
      <c r="A38" s="238" t="s">
        <v>511</v>
      </c>
      <c r="B38" s="239"/>
      <c r="C38" s="239"/>
      <c r="D38" s="239"/>
      <c r="E38" s="239"/>
      <c r="F38" s="239"/>
      <c r="G38" s="239"/>
      <c r="H38" s="240"/>
      <c r="I38" s="241" t="str">
        <f aca="false">IF(H38="NA","NA",IF(H38="YES",$C$7,IF(H38="NO",0,"")))</f>
        <v/>
      </c>
      <c r="J38" s="239"/>
    </row>
    <row r="39" customFormat="false" ht="14.25" hidden="false" customHeight="true" outlineLevel="0" collapsed="false">
      <c r="A39" s="238" t="s">
        <v>512</v>
      </c>
      <c r="B39" s="239"/>
      <c r="C39" s="239"/>
      <c r="D39" s="239"/>
      <c r="E39" s="239"/>
      <c r="F39" s="239"/>
      <c r="G39" s="239"/>
      <c r="H39" s="240"/>
      <c r="I39" s="241" t="str">
        <f aca="false">IF(H39="NA","NA",IF(H39="YES",$C$7,IF(H39="NO",0,"")))</f>
        <v/>
      </c>
      <c r="J39" s="239"/>
    </row>
    <row r="40" customFormat="false" ht="14.25" hidden="false" customHeight="true" outlineLevel="0" collapsed="false">
      <c r="A40" s="238" t="s">
        <v>513</v>
      </c>
      <c r="B40" s="239"/>
      <c r="C40" s="239"/>
      <c r="D40" s="239"/>
      <c r="E40" s="239"/>
      <c r="F40" s="239"/>
      <c r="G40" s="239"/>
      <c r="H40" s="240"/>
      <c r="I40" s="241" t="str">
        <f aca="false">IF(H40="NA","NA",IF(H40="YES",$C$7,IF(H40="NO",0,"")))</f>
        <v/>
      </c>
      <c r="J40" s="239"/>
    </row>
    <row r="41" customFormat="false" ht="14.25" hidden="false" customHeight="true" outlineLevel="0" collapsed="false">
      <c r="A41" s="238" t="s">
        <v>514</v>
      </c>
      <c r="B41" s="239"/>
      <c r="C41" s="239"/>
      <c r="D41" s="239"/>
      <c r="E41" s="239"/>
      <c r="F41" s="239"/>
      <c r="G41" s="239"/>
      <c r="H41" s="240"/>
      <c r="I41" s="241" t="str">
        <f aca="false">IF(H41="NA","NA",IF(H41="YES",$C$7,IF(H41="NO",0,"")))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26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participation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participation of all parastatals/ agencies /ULGs in creation of Spatial plans (metro/municipal/ward)?</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Act for provisions that mandate the participation of all parastatals/agencies/ULGs in creation of spatial plans at all three levels with respect to its jurisdiction. The clause may either state verbatim "all parastatals/agencies/ULGs" or allude to their presence using other terminologies such as local bodies/relevant authorities. Check if the act mandates the constitution of an advisory council to advise the planning authorities on drawing up the plan. The advisory council should have representation from various civic agencies. Score 10 if there are such provisions, else, score 0.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112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public participation in preparation of the municipal plan through Area Sabhas / Ward Sabhas and other means?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mandates public participation in preparation of municipal/city plan through:Part A: Formal platforms such as ward committees and area sabhas. If yes, score 5.Part B: Other means* for municipal/city plan. If yes, score 5.*Even if the provision alludes to 'public participation/consultation or consolidation of suggestions and objections without specifying the mode for the same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806</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Formal platforms (ward committees / area sabhas) ("&amp;TEXT($C$7/2,"0.00")&amp;")"</f>
        <v>Part A: Formal platforms (ward committees / area sabhas) (5.00)</v>
      </c>
      <c r="I12" s="237" t="str">
        <f aca="false">"Part B: Other means ("&amp;TEXT($C$7/2,"0.00")&amp;")"</f>
        <v>Part B: Other means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IF(OR(H13="",I13=""),"",COUNTIF(H13:I13,"YES")/2*$C$7)</f>
        <v/>
      </c>
      <c r="K13" s="239"/>
    </row>
    <row r="14" customFormat="false" ht="14.25" hidden="false" customHeight="true" outlineLevel="0" collapsed="false">
      <c r="A14" s="238" t="s">
        <v>487</v>
      </c>
      <c r="B14" s="239"/>
      <c r="C14" s="239"/>
      <c r="D14" s="239"/>
      <c r="E14" s="239"/>
      <c r="F14" s="239"/>
      <c r="G14" s="239"/>
      <c r="H14" s="240"/>
      <c r="I14" s="240"/>
      <c r="J14" s="241" t="str">
        <f aca="false">IF(OR(H14="",I14=""),"",COUNTIF(H14:I14,"YES")/2*$C$7)</f>
        <v/>
      </c>
      <c r="K14" s="239"/>
    </row>
    <row r="15" customFormat="false" ht="14.25" hidden="false" customHeight="true" outlineLevel="0" collapsed="false">
      <c r="A15" s="238" t="s">
        <v>488</v>
      </c>
      <c r="B15" s="239"/>
      <c r="C15" s="239"/>
      <c r="D15" s="239"/>
      <c r="E15" s="239"/>
      <c r="F15" s="239"/>
      <c r="G15" s="239"/>
      <c r="H15" s="240"/>
      <c r="I15" s="240"/>
      <c r="J15" s="241" t="str">
        <f aca="false">IF(OR(H15="",I15=""),"",COUNTIF(H15:I15,"YES")/2*$C$7)</f>
        <v/>
      </c>
      <c r="K15" s="239"/>
    </row>
    <row r="16" customFormat="false" ht="14.25" hidden="false" customHeight="true" outlineLevel="0" collapsed="false">
      <c r="A16" s="238" t="s">
        <v>489</v>
      </c>
      <c r="B16" s="239"/>
      <c r="C16" s="239"/>
      <c r="D16" s="239"/>
      <c r="E16" s="239"/>
      <c r="F16" s="239"/>
      <c r="G16" s="239"/>
      <c r="H16" s="240"/>
      <c r="I16" s="240"/>
      <c r="J16" s="241" t="str">
        <f aca="false">IF(OR(H16="",I16=""),"",COUNTIF(H16:I16,"YES")/2*$C$7)</f>
        <v/>
      </c>
      <c r="K16" s="239"/>
    </row>
    <row r="17" customFormat="false" ht="14.25" hidden="false" customHeight="true" outlineLevel="0" collapsed="false">
      <c r="A17" s="238" t="s">
        <v>490</v>
      </c>
      <c r="B17" s="239"/>
      <c r="C17" s="239"/>
      <c r="D17" s="239"/>
      <c r="E17" s="239"/>
      <c r="F17" s="239"/>
      <c r="G17" s="239"/>
      <c r="H17" s="240"/>
      <c r="I17" s="240"/>
      <c r="J17" s="241" t="str">
        <f aca="false">IF(OR(H17="",I17=""),"",COUNTIF(H17:I17,"YES")/2*$C$7)</f>
        <v/>
      </c>
      <c r="K17" s="239"/>
    </row>
    <row r="18" customFormat="false" ht="14.25" hidden="false" customHeight="true" outlineLevel="0" collapsed="false">
      <c r="A18" s="238" t="s">
        <v>491</v>
      </c>
      <c r="B18" s="239"/>
      <c r="C18" s="239"/>
      <c r="D18" s="239"/>
      <c r="E18" s="239"/>
      <c r="F18" s="239"/>
      <c r="G18" s="239"/>
      <c r="H18" s="240"/>
      <c r="I18" s="240"/>
      <c r="J18" s="241" t="str">
        <f aca="false">IF(OR(H18="",I18=""),"",COUNTIF(H18:I18,"YES")/2*$C$7)</f>
        <v/>
      </c>
      <c r="K18" s="239"/>
    </row>
    <row r="19" customFormat="false" ht="14.25" hidden="false" customHeight="true" outlineLevel="0" collapsed="false">
      <c r="A19" s="238" t="s">
        <v>492</v>
      </c>
      <c r="B19" s="239"/>
      <c r="C19" s="239"/>
      <c r="D19" s="239"/>
      <c r="E19" s="239"/>
      <c r="F19" s="239"/>
      <c r="G19" s="239"/>
      <c r="H19" s="240"/>
      <c r="I19" s="240"/>
      <c r="J19" s="241" t="str">
        <f aca="false">IF(OR(H19="",I19=""),"",COUNTIF(H19:I19,"YES")/2*$C$7)</f>
        <v/>
      </c>
      <c r="K19" s="239"/>
    </row>
    <row r="20" customFormat="false" ht="14.25" hidden="false" customHeight="true" outlineLevel="0" collapsed="false">
      <c r="A20" s="238" t="s">
        <v>493</v>
      </c>
      <c r="B20" s="239"/>
      <c r="C20" s="239"/>
      <c r="D20" s="239"/>
      <c r="E20" s="239"/>
      <c r="F20" s="239"/>
      <c r="G20" s="239"/>
      <c r="H20" s="240"/>
      <c r="I20" s="240"/>
      <c r="J20" s="241" t="str">
        <f aca="false">IF(OR(H20="",I20=""),"",COUNTIF(H20:I20,"YES")/2*$C$7)</f>
        <v/>
      </c>
      <c r="K20" s="239"/>
    </row>
    <row r="21" customFormat="false" ht="14.25" hidden="false" customHeight="true" outlineLevel="0" collapsed="false">
      <c r="A21" s="238" t="s">
        <v>494</v>
      </c>
      <c r="B21" s="239"/>
      <c r="C21" s="239"/>
      <c r="D21" s="239"/>
      <c r="E21" s="239"/>
      <c r="F21" s="239"/>
      <c r="G21" s="239"/>
      <c r="H21" s="240"/>
      <c r="I21" s="240"/>
      <c r="J21" s="241" t="str">
        <f aca="false">IF(OR(H21="",I21=""),"",COUNTIF(H21:I21,"YES")/2*$C$7)</f>
        <v/>
      </c>
      <c r="K21" s="239"/>
    </row>
    <row r="22" customFormat="false" ht="14.25" hidden="false" customHeight="true" outlineLevel="0" collapsed="false">
      <c r="A22" s="238" t="s">
        <v>495</v>
      </c>
      <c r="B22" s="239"/>
      <c r="C22" s="239"/>
      <c r="D22" s="239"/>
      <c r="E22" s="239"/>
      <c r="F22" s="239"/>
      <c r="G22" s="239"/>
      <c r="H22" s="240"/>
      <c r="I22" s="240"/>
      <c r="J22" s="241" t="str">
        <f aca="false">IF(OR(H22="",I22=""),"",COUNTIF(H22:I22,"YES")/2*$C$7)</f>
        <v/>
      </c>
      <c r="K22" s="239"/>
    </row>
    <row r="23" customFormat="false" ht="14.25" hidden="false" customHeight="true" outlineLevel="0" collapsed="false">
      <c r="A23" s="238" t="s">
        <v>496</v>
      </c>
      <c r="B23" s="239"/>
      <c r="C23" s="239"/>
      <c r="D23" s="239"/>
      <c r="E23" s="239"/>
      <c r="F23" s="239"/>
      <c r="G23" s="239"/>
      <c r="H23" s="240"/>
      <c r="I23" s="240"/>
      <c r="J23" s="241" t="str">
        <f aca="false">IF(OR(H23="",I23=""),"",COUNTIF(H23:I23,"YES")/2*$C$7)</f>
        <v/>
      </c>
      <c r="K23" s="239"/>
    </row>
    <row r="24" customFormat="false" ht="14.25" hidden="false" customHeight="true" outlineLevel="0" collapsed="false">
      <c r="A24" s="238" t="s">
        <v>497</v>
      </c>
      <c r="B24" s="239"/>
      <c r="C24" s="239"/>
      <c r="D24" s="239"/>
      <c r="E24" s="239"/>
      <c r="F24" s="239"/>
      <c r="G24" s="239"/>
      <c r="H24" s="240"/>
      <c r="I24" s="240"/>
      <c r="J24" s="241" t="str">
        <f aca="false">IF(OR(H24="",I24=""),"",COUNTIF(H24:I24,"YES")/2*$C$7)</f>
        <v/>
      </c>
      <c r="K24" s="239"/>
    </row>
    <row r="25" customFormat="false" ht="14.25" hidden="false" customHeight="true" outlineLevel="0" collapsed="false">
      <c r="A25" s="238" t="s">
        <v>498</v>
      </c>
      <c r="B25" s="239"/>
      <c r="C25" s="239"/>
      <c r="D25" s="239"/>
      <c r="E25" s="239"/>
      <c r="F25" s="239"/>
      <c r="G25" s="239"/>
      <c r="H25" s="240"/>
      <c r="I25" s="240"/>
      <c r="J25" s="241" t="str">
        <f aca="false">IF(OR(H25="",I25=""),"",COUNTIF(H25:I25,"YES")/2*$C$7)</f>
        <v/>
      </c>
      <c r="K25" s="239"/>
    </row>
    <row r="26" customFormat="false" ht="14.25" hidden="false" customHeight="true" outlineLevel="0" collapsed="false">
      <c r="A26" s="238" t="s">
        <v>499</v>
      </c>
      <c r="B26" s="239"/>
      <c r="C26" s="239"/>
      <c r="D26" s="239"/>
      <c r="E26" s="239"/>
      <c r="F26" s="239"/>
      <c r="G26" s="239"/>
      <c r="H26" s="240"/>
      <c r="I26" s="240"/>
      <c r="J26" s="241" t="str">
        <f aca="false">IF(OR(H26="",I26=""),"",COUNTIF(H26:I26,"YES")/2*$C$7)</f>
        <v/>
      </c>
      <c r="K26" s="239"/>
    </row>
    <row r="27" customFormat="false" ht="14.25" hidden="false" customHeight="true" outlineLevel="0" collapsed="false">
      <c r="A27" s="238" t="s">
        <v>500</v>
      </c>
      <c r="B27" s="239"/>
      <c r="C27" s="239"/>
      <c r="D27" s="239"/>
      <c r="E27" s="239"/>
      <c r="F27" s="239"/>
      <c r="G27" s="239"/>
      <c r="H27" s="240"/>
      <c r="I27" s="240"/>
      <c r="J27" s="241" t="str">
        <f aca="false">IF(OR(H27="",I27=""),"",COUNTIF(H27:I27,"YES")/2*$C$7)</f>
        <v/>
      </c>
      <c r="K27" s="239"/>
    </row>
    <row r="28" customFormat="false" ht="14.25" hidden="false" customHeight="true" outlineLevel="0" collapsed="false">
      <c r="A28" s="238" t="s">
        <v>501</v>
      </c>
      <c r="B28" s="239"/>
      <c r="C28" s="239"/>
      <c r="D28" s="239"/>
      <c r="E28" s="239"/>
      <c r="F28" s="239"/>
      <c r="G28" s="239"/>
      <c r="H28" s="240"/>
      <c r="I28" s="240"/>
      <c r="J28" s="241" t="str">
        <f aca="false">IF(OR(H28="",I28=""),"",COUNTIF(H28:I28,"YES")/2*$C$7)</f>
        <v/>
      </c>
      <c r="K28" s="239"/>
    </row>
    <row r="29" customFormat="false" ht="14.25" hidden="false" customHeight="true" outlineLevel="0" collapsed="false">
      <c r="A29" s="238" t="s">
        <v>502</v>
      </c>
      <c r="B29" s="239"/>
      <c r="C29" s="239"/>
      <c r="D29" s="239"/>
      <c r="E29" s="239"/>
      <c r="F29" s="239"/>
      <c r="G29" s="239"/>
      <c r="H29" s="240"/>
      <c r="I29" s="240"/>
      <c r="J29" s="241" t="str">
        <f aca="false">IF(OR(H29="",I29=""),"",COUNTIF(H29:I29,"YES")/2*$C$7)</f>
        <v/>
      </c>
      <c r="K29" s="239"/>
    </row>
    <row r="30" customFormat="false" ht="14.25" hidden="false" customHeight="true" outlineLevel="0" collapsed="false">
      <c r="A30" s="238" t="s">
        <v>503</v>
      </c>
      <c r="B30" s="239"/>
      <c r="C30" s="239"/>
      <c r="D30" s="239"/>
      <c r="E30" s="239"/>
      <c r="F30" s="239"/>
      <c r="G30" s="239"/>
      <c r="H30" s="240"/>
      <c r="I30" s="240"/>
      <c r="J30" s="241" t="str">
        <f aca="false">IF(OR(H30="",I30=""),"",COUNTIF(H30:I30,"YES")/2*$C$7)</f>
        <v/>
      </c>
      <c r="K30" s="239"/>
    </row>
    <row r="31" customFormat="false" ht="14.25" hidden="false" customHeight="true" outlineLevel="0" collapsed="false">
      <c r="A31" s="238" t="s">
        <v>504</v>
      </c>
      <c r="B31" s="239"/>
      <c r="C31" s="239"/>
      <c r="D31" s="239"/>
      <c r="E31" s="239"/>
      <c r="F31" s="239"/>
      <c r="G31" s="239"/>
      <c r="H31" s="240"/>
      <c r="I31" s="240"/>
      <c r="J31" s="241" t="str">
        <f aca="false">IF(OR(H31="",I31=""),"",COUNTIF(H31:I31,"YES")/2*$C$7)</f>
        <v/>
      </c>
      <c r="K31" s="239"/>
    </row>
    <row r="32" customFormat="false" ht="14.25" hidden="false" customHeight="true" outlineLevel="0" collapsed="false">
      <c r="A32" s="238" t="s">
        <v>505</v>
      </c>
      <c r="B32" s="239"/>
      <c r="C32" s="239"/>
      <c r="D32" s="239"/>
      <c r="E32" s="239"/>
      <c r="F32" s="239"/>
      <c r="G32" s="239"/>
      <c r="H32" s="240"/>
      <c r="I32" s="240"/>
      <c r="J32" s="241" t="str">
        <f aca="false">IF(OR(H32="",I32=""),"",COUNTIF(H32:I32,"YES")/2*$C$7)</f>
        <v/>
      </c>
      <c r="K32" s="239"/>
    </row>
    <row r="33" customFormat="false" ht="14.25" hidden="false" customHeight="true" outlineLevel="0" collapsed="false">
      <c r="A33" s="238" t="s">
        <v>506</v>
      </c>
      <c r="B33" s="239"/>
      <c r="C33" s="239"/>
      <c r="D33" s="239"/>
      <c r="E33" s="239"/>
      <c r="F33" s="239"/>
      <c r="G33" s="239"/>
      <c r="H33" s="240"/>
      <c r="I33" s="240"/>
      <c r="J33" s="241" t="str">
        <f aca="false">IF(OR(H33="",I33=""),"",COUNTIF(H33:I33,"YES")/2*$C$7)</f>
        <v/>
      </c>
      <c r="K33" s="239"/>
    </row>
    <row r="34" customFormat="false" ht="14.25" hidden="false" customHeight="true" outlineLevel="0" collapsed="false">
      <c r="A34" s="238" t="s">
        <v>507</v>
      </c>
      <c r="B34" s="239"/>
      <c r="C34" s="239"/>
      <c r="D34" s="239"/>
      <c r="E34" s="239"/>
      <c r="F34" s="239"/>
      <c r="G34" s="239"/>
      <c r="H34" s="240"/>
      <c r="I34" s="240"/>
      <c r="J34" s="241" t="str">
        <f aca="false">IF(OR(H34="",I34=""),"",COUNTIF(H34:I34,"YES")/2*$C$7)</f>
        <v/>
      </c>
      <c r="K34" s="239"/>
    </row>
    <row r="35" customFormat="false" ht="14.25" hidden="false" customHeight="true" outlineLevel="0" collapsed="false">
      <c r="A35" s="238" t="s">
        <v>508</v>
      </c>
      <c r="B35" s="239"/>
      <c r="C35" s="239"/>
      <c r="D35" s="239"/>
      <c r="E35" s="239"/>
      <c r="F35" s="239"/>
      <c r="G35" s="239"/>
      <c r="H35" s="240"/>
      <c r="I35" s="240"/>
      <c r="J35" s="241" t="str">
        <f aca="false">IF(OR(H35="",I35=""),"",COUNTIF(H35:I35,"YES")/2*$C$7)</f>
        <v/>
      </c>
      <c r="K35" s="239"/>
    </row>
    <row r="36" customFormat="false" ht="14.25" hidden="false" customHeight="true" outlineLevel="0" collapsed="false">
      <c r="A36" s="238" t="s">
        <v>509</v>
      </c>
      <c r="B36" s="239"/>
      <c r="C36" s="239"/>
      <c r="D36" s="239"/>
      <c r="E36" s="239"/>
      <c r="F36" s="239"/>
      <c r="G36" s="239"/>
      <c r="H36" s="240"/>
      <c r="I36" s="240"/>
      <c r="J36" s="241" t="str">
        <f aca="false">IF(OR(H36="",I36=""),"",COUNTIF(H36:I36,"YES")/2*$C$7)</f>
        <v/>
      </c>
      <c r="K36" s="239"/>
    </row>
    <row r="37" customFormat="false" ht="14.25" hidden="false" customHeight="true" outlineLevel="0" collapsed="false">
      <c r="A37" s="238" t="s">
        <v>510</v>
      </c>
      <c r="B37" s="239"/>
      <c r="C37" s="239"/>
      <c r="D37" s="239"/>
      <c r="E37" s="239"/>
      <c r="F37" s="239"/>
      <c r="G37" s="239"/>
      <c r="H37" s="240"/>
      <c r="I37" s="240"/>
      <c r="J37" s="241" t="str">
        <f aca="false">IF(OR(H37="",I37=""),"",COUNTIF(H37:I37,"YES")/2*$C$7)</f>
        <v/>
      </c>
      <c r="K37" s="239"/>
    </row>
    <row r="38" customFormat="false" ht="14.25" hidden="false" customHeight="true" outlineLevel="0" collapsed="false">
      <c r="A38" s="238" t="s">
        <v>511</v>
      </c>
      <c r="B38" s="239"/>
      <c r="C38" s="239"/>
      <c r="D38" s="239"/>
      <c r="E38" s="239"/>
      <c r="F38" s="239"/>
      <c r="G38" s="239"/>
      <c r="H38" s="240"/>
      <c r="I38" s="240"/>
      <c r="J38" s="241" t="str">
        <f aca="false">IF(OR(H38="",I38=""),"",COUNTIF(H38:I38,"YES")/2*$C$7)</f>
        <v/>
      </c>
      <c r="K38" s="239"/>
    </row>
    <row r="39" customFormat="false" ht="14.25" hidden="false" customHeight="true" outlineLevel="0" collapsed="false">
      <c r="A39" s="238" t="s">
        <v>512</v>
      </c>
      <c r="B39" s="239"/>
      <c r="C39" s="239"/>
      <c r="D39" s="239"/>
      <c r="E39" s="239"/>
      <c r="F39" s="239"/>
      <c r="G39" s="239"/>
      <c r="H39" s="240"/>
      <c r="I39" s="240"/>
      <c r="J39" s="241" t="str">
        <f aca="false">IF(OR(H39="",I39=""),"",COUNTIF(H39:I39,"YES")/2*$C$7)</f>
        <v/>
      </c>
      <c r="K39" s="239"/>
    </row>
    <row r="40" customFormat="false" ht="14.25" hidden="false" customHeight="true" outlineLevel="0" collapsed="false">
      <c r="A40" s="238" t="s">
        <v>513</v>
      </c>
      <c r="B40" s="239"/>
      <c r="C40" s="239"/>
      <c r="D40" s="239"/>
      <c r="E40" s="239"/>
      <c r="F40" s="239"/>
      <c r="G40" s="239"/>
      <c r="H40" s="240"/>
      <c r="I40" s="240"/>
      <c r="J40" s="241" t="str">
        <f aca="false">IF(OR(H40="",I40=""),"",COUNTIF(H40:I40,"YES")/2*$C$7)</f>
        <v/>
      </c>
      <c r="K40" s="239"/>
    </row>
    <row r="41" customFormat="false" ht="14.25" hidden="false" customHeight="true" outlineLevel="0" collapsed="false">
      <c r="A41" s="238" t="s">
        <v>514</v>
      </c>
      <c r="B41" s="239"/>
      <c r="C41" s="239"/>
      <c r="D41" s="239"/>
      <c r="E41" s="239"/>
      <c r="F41" s="239"/>
      <c r="G41" s="239"/>
      <c r="H41" s="240"/>
      <c r="I41" s="240"/>
      <c r="J41" s="241" t="str">
        <f aca="false">IF(OR(H41="",I41=""),"",COUNTIF(H41:I41,"YES")/2*$C$7)</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123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Does the law mandate public scrutiny for (including objections and responses) municipal/city plan through Area Sabhas / Ward Sabhas and other means?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if the T&amp;CP Act mandates public scrutiny (including objections and responses) through:Part A: Formal platforms such as ward committees and area sabhas. If yes, score 2.50.Part B: Other means* for municipal/city plan. If yes, score 2.50*Even if the provision alludes to 'public scrutiny/consultation or consolidation of suggestions and objections without specifying the mode for the same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Formal platforms (ward committees / area sabhas) ("&amp;TEXT($C$7/2,"0.00")&amp;")"</f>
        <v>Part A: Formal platforms (ward committees / area sabhas) (2.50)</v>
      </c>
      <c r="I12" s="237" t="str">
        <f aca="false">"Part B: Other means ("&amp;TEXT($C$7/2,"0.00")&amp;")"</f>
        <v>Part B: Other means (2.50)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IF(OR(H13="",I13=""),"",COUNTIF(H13:I13,"YES")/2*$C$7)</f>
        <v/>
      </c>
      <c r="K13" s="239"/>
    </row>
    <row r="14" customFormat="false" ht="14.25" hidden="false" customHeight="true" outlineLevel="0" collapsed="false">
      <c r="A14" s="238" t="s">
        <v>487</v>
      </c>
      <c r="B14" s="239"/>
      <c r="C14" s="239"/>
      <c r="D14" s="239"/>
      <c r="E14" s="239"/>
      <c r="F14" s="239"/>
      <c r="G14" s="239"/>
      <c r="H14" s="240"/>
      <c r="I14" s="240"/>
      <c r="J14" s="241" t="str">
        <f aca="false">IF(OR(H14="",I14=""),"",COUNTIF(H14:I14,"YES")/2*$C$7)</f>
        <v/>
      </c>
      <c r="K14" s="239"/>
    </row>
    <row r="15" customFormat="false" ht="14.25" hidden="false" customHeight="true" outlineLevel="0" collapsed="false">
      <c r="A15" s="238" t="s">
        <v>488</v>
      </c>
      <c r="B15" s="239"/>
      <c r="C15" s="239"/>
      <c r="D15" s="239"/>
      <c r="E15" s="239"/>
      <c r="F15" s="239"/>
      <c r="G15" s="239"/>
      <c r="H15" s="240"/>
      <c r="I15" s="240"/>
      <c r="J15" s="241" t="str">
        <f aca="false">IF(OR(H15="",I15=""),"",COUNTIF(H15:I15,"YES")/2*$C$7)</f>
        <v/>
      </c>
      <c r="K15" s="239"/>
    </row>
    <row r="16" customFormat="false" ht="14.25" hidden="false" customHeight="true" outlineLevel="0" collapsed="false">
      <c r="A16" s="238" t="s">
        <v>489</v>
      </c>
      <c r="B16" s="239"/>
      <c r="C16" s="239"/>
      <c r="D16" s="239"/>
      <c r="E16" s="239"/>
      <c r="F16" s="239"/>
      <c r="G16" s="239"/>
      <c r="H16" s="240"/>
      <c r="I16" s="240"/>
      <c r="J16" s="241" t="str">
        <f aca="false">IF(OR(H16="",I16=""),"",COUNTIF(H16:I16,"YES")/2*$C$7)</f>
        <v/>
      </c>
      <c r="K16" s="239"/>
    </row>
    <row r="17" customFormat="false" ht="14.25" hidden="false" customHeight="true" outlineLevel="0" collapsed="false">
      <c r="A17" s="238" t="s">
        <v>490</v>
      </c>
      <c r="B17" s="239"/>
      <c r="C17" s="239"/>
      <c r="D17" s="239"/>
      <c r="E17" s="239"/>
      <c r="F17" s="239"/>
      <c r="G17" s="239"/>
      <c r="H17" s="240"/>
      <c r="I17" s="240"/>
      <c r="J17" s="241" t="str">
        <f aca="false">IF(OR(H17="",I17=""),"",COUNTIF(H17:I17,"YES")/2*$C$7)</f>
        <v/>
      </c>
      <c r="K17" s="239"/>
    </row>
    <row r="18" customFormat="false" ht="14.25" hidden="false" customHeight="true" outlineLevel="0" collapsed="false">
      <c r="A18" s="238" t="s">
        <v>491</v>
      </c>
      <c r="B18" s="239"/>
      <c r="C18" s="239"/>
      <c r="D18" s="239"/>
      <c r="E18" s="239"/>
      <c r="F18" s="239"/>
      <c r="G18" s="239"/>
      <c r="H18" s="240"/>
      <c r="I18" s="240"/>
      <c r="J18" s="241" t="str">
        <f aca="false">IF(OR(H18="",I18=""),"",COUNTIF(H18:I18,"YES")/2*$C$7)</f>
        <v/>
      </c>
      <c r="K18" s="239"/>
    </row>
    <row r="19" customFormat="false" ht="14.25" hidden="false" customHeight="true" outlineLevel="0" collapsed="false">
      <c r="A19" s="238" t="s">
        <v>492</v>
      </c>
      <c r="B19" s="239"/>
      <c r="C19" s="239"/>
      <c r="D19" s="239"/>
      <c r="E19" s="239"/>
      <c r="F19" s="239"/>
      <c r="G19" s="239"/>
      <c r="H19" s="240"/>
      <c r="I19" s="240"/>
      <c r="J19" s="241" t="str">
        <f aca="false">IF(OR(H19="",I19=""),"",COUNTIF(H19:I19,"YES")/2*$C$7)</f>
        <v/>
      </c>
      <c r="K19" s="239"/>
    </row>
    <row r="20" customFormat="false" ht="14.25" hidden="false" customHeight="true" outlineLevel="0" collapsed="false">
      <c r="A20" s="238" t="s">
        <v>493</v>
      </c>
      <c r="B20" s="239"/>
      <c r="C20" s="239"/>
      <c r="D20" s="239"/>
      <c r="E20" s="239"/>
      <c r="F20" s="239"/>
      <c r="G20" s="239"/>
      <c r="H20" s="240"/>
      <c r="I20" s="240"/>
      <c r="J20" s="241" t="str">
        <f aca="false">IF(OR(H20="",I20=""),"",COUNTIF(H20:I20,"YES")/2*$C$7)</f>
        <v/>
      </c>
      <c r="K20" s="239"/>
    </row>
    <row r="21" customFormat="false" ht="14.25" hidden="false" customHeight="true" outlineLevel="0" collapsed="false">
      <c r="A21" s="238" t="s">
        <v>494</v>
      </c>
      <c r="B21" s="239"/>
      <c r="C21" s="239"/>
      <c r="D21" s="239"/>
      <c r="E21" s="239"/>
      <c r="F21" s="239"/>
      <c r="G21" s="239"/>
      <c r="H21" s="240"/>
      <c r="I21" s="240"/>
      <c r="J21" s="241" t="str">
        <f aca="false">IF(OR(H21="",I21=""),"",COUNTIF(H21:I21,"YES")/2*$C$7)</f>
        <v/>
      </c>
      <c r="K21" s="239"/>
    </row>
    <row r="22" customFormat="false" ht="14.25" hidden="false" customHeight="true" outlineLevel="0" collapsed="false">
      <c r="A22" s="238" t="s">
        <v>495</v>
      </c>
      <c r="B22" s="239"/>
      <c r="C22" s="239"/>
      <c r="D22" s="239"/>
      <c r="E22" s="239"/>
      <c r="F22" s="239"/>
      <c r="G22" s="239"/>
      <c r="H22" s="240"/>
      <c r="I22" s="240"/>
      <c r="J22" s="241" t="str">
        <f aca="false">IF(OR(H22="",I22=""),"",COUNTIF(H22:I22,"YES")/2*$C$7)</f>
        <v/>
      </c>
      <c r="K22" s="239"/>
    </row>
    <row r="23" customFormat="false" ht="14.25" hidden="false" customHeight="true" outlineLevel="0" collapsed="false">
      <c r="A23" s="238" t="s">
        <v>496</v>
      </c>
      <c r="B23" s="239"/>
      <c r="C23" s="239"/>
      <c r="D23" s="239"/>
      <c r="E23" s="239"/>
      <c r="F23" s="239"/>
      <c r="G23" s="239"/>
      <c r="H23" s="240"/>
      <c r="I23" s="240"/>
      <c r="J23" s="241" t="str">
        <f aca="false">IF(OR(H23="",I23=""),"",COUNTIF(H23:I23,"YES")/2*$C$7)</f>
        <v/>
      </c>
      <c r="K23" s="239"/>
    </row>
    <row r="24" customFormat="false" ht="14.25" hidden="false" customHeight="true" outlineLevel="0" collapsed="false">
      <c r="A24" s="238" t="s">
        <v>497</v>
      </c>
      <c r="B24" s="239"/>
      <c r="C24" s="239"/>
      <c r="D24" s="239"/>
      <c r="E24" s="239"/>
      <c r="F24" s="239"/>
      <c r="G24" s="239"/>
      <c r="H24" s="240"/>
      <c r="I24" s="240"/>
      <c r="J24" s="241" t="str">
        <f aca="false">IF(OR(H24="",I24=""),"",COUNTIF(H24:I24,"YES")/2*$C$7)</f>
        <v/>
      </c>
      <c r="K24" s="239"/>
    </row>
    <row r="25" customFormat="false" ht="14.25" hidden="false" customHeight="true" outlineLevel="0" collapsed="false">
      <c r="A25" s="238" t="s">
        <v>498</v>
      </c>
      <c r="B25" s="239"/>
      <c r="C25" s="239"/>
      <c r="D25" s="239"/>
      <c r="E25" s="239"/>
      <c r="F25" s="239"/>
      <c r="G25" s="239"/>
      <c r="H25" s="240"/>
      <c r="I25" s="240"/>
      <c r="J25" s="241" t="str">
        <f aca="false">IF(OR(H25="",I25=""),"",COUNTIF(H25:I25,"YES")/2*$C$7)</f>
        <v/>
      </c>
      <c r="K25" s="239"/>
    </row>
    <row r="26" customFormat="false" ht="14.25" hidden="false" customHeight="true" outlineLevel="0" collapsed="false">
      <c r="A26" s="238" t="s">
        <v>499</v>
      </c>
      <c r="B26" s="239"/>
      <c r="C26" s="239"/>
      <c r="D26" s="239"/>
      <c r="E26" s="239"/>
      <c r="F26" s="239"/>
      <c r="G26" s="239"/>
      <c r="H26" s="240"/>
      <c r="I26" s="240"/>
      <c r="J26" s="241" t="str">
        <f aca="false">IF(OR(H26="",I26=""),"",COUNTIF(H26:I26,"YES")/2*$C$7)</f>
        <v/>
      </c>
      <c r="K26" s="239"/>
    </row>
    <row r="27" customFormat="false" ht="14.25" hidden="false" customHeight="true" outlineLevel="0" collapsed="false">
      <c r="A27" s="238" t="s">
        <v>500</v>
      </c>
      <c r="B27" s="239"/>
      <c r="C27" s="239"/>
      <c r="D27" s="239"/>
      <c r="E27" s="239"/>
      <c r="F27" s="239"/>
      <c r="G27" s="239"/>
      <c r="H27" s="240"/>
      <c r="I27" s="240"/>
      <c r="J27" s="241" t="str">
        <f aca="false">IF(OR(H27="",I27=""),"",COUNTIF(H27:I27,"YES")/2*$C$7)</f>
        <v/>
      </c>
      <c r="K27" s="239"/>
    </row>
    <row r="28" customFormat="false" ht="14.25" hidden="false" customHeight="true" outlineLevel="0" collapsed="false">
      <c r="A28" s="238" t="s">
        <v>501</v>
      </c>
      <c r="B28" s="239"/>
      <c r="C28" s="239"/>
      <c r="D28" s="239"/>
      <c r="E28" s="239"/>
      <c r="F28" s="239"/>
      <c r="G28" s="239"/>
      <c r="H28" s="240"/>
      <c r="I28" s="240"/>
      <c r="J28" s="241" t="str">
        <f aca="false">IF(OR(H28="",I28=""),"",COUNTIF(H28:I28,"YES")/2*$C$7)</f>
        <v/>
      </c>
      <c r="K28" s="239"/>
    </row>
    <row r="29" customFormat="false" ht="14.25" hidden="false" customHeight="true" outlineLevel="0" collapsed="false">
      <c r="A29" s="238" t="s">
        <v>502</v>
      </c>
      <c r="B29" s="239"/>
      <c r="C29" s="239"/>
      <c r="D29" s="239"/>
      <c r="E29" s="239"/>
      <c r="F29" s="239"/>
      <c r="G29" s="239"/>
      <c r="H29" s="240"/>
      <c r="I29" s="240"/>
      <c r="J29" s="241" t="str">
        <f aca="false">IF(OR(H29="",I29=""),"",COUNTIF(H29:I29,"YES")/2*$C$7)</f>
        <v/>
      </c>
      <c r="K29" s="239"/>
    </row>
    <row r="30" customFormat="false" ht="14.25" hidden="false" customHeight="true" outlineLevel="0" collapsed="false">
      <c r="A30" s="238" t="s">
        <v>503</v>
      </c>
      <c r="B30" s="239"/>
      <c r="C30" s="239"/>
      <c r="D30" s="239"/>
      <c r="E30" s="239"/>
      <c r="F30" s="239"/>
      <c r="G30" s="239"/>
      <c r="H30" s="240"/>
      <c r="I30" s="240"/>
      <c r="J30" s="241" t="str">
        <f aca="false">IF(OR(H30="",I30=""),"",COUNTIF(H30:I30,"YES")/2*$C$7)</f>
        <v/>
      </c>
      <c r="K30" s="239"/>
    </row>
    <row r="31" customFormat="false" ht="14.25" hidden="false" customHeight="true" outlineLevel="0" collapsed="false">
      <c r="A31" s="238" t="s">
        <v>504</v>
      </c>
      <c r="B31" s="239"/>
      <c r="C31" s="239"/>
      <c r="D31" s="239"/>
      <c r="E31" s="239"/>
      <c r="F31" s="239"/>
      <c r="G31" s="239"/>
      <c r="H31" s="240"/>
      <c r="I31" s="240"/>
      <c r="J31" s="241" t="str">
        <f aca="false">IF(OR(H31="",I31=""),"",COUNTIF(H31:I31,"YES")/2*$C$7)</f>
        <v/>
      </c>
      <c r="K31" s="239"/>
    </row>
    <row r="32" customFormat="false" ht="14.25" hidden="false" customHeight="true" outlineLevel="0" collapsed="false">
      <c r="A32" s="238" t="s">
        <v>505</v>
      </c>
      <c r="B32" s="239"/>
      <c r="C32" s="239"/>
      <c r="D32" s="239"/>
      <c r="E32" s="239"/>
      <c r="F32" s="239"/>
      <c r="G32" s="239"/>
      <c r="H32" s="240"/>
      <c r="I32" s="240"/>
      <c r="J32" s="241" t="str">
        <f aca="false">IF(OR(H32="",I32=""),"",COUNTIF(H32:I32,"YES")/2*$C$7)</f>
        <v/>
      </c>
      <c r="K32" s="239"/>
    </row>
    <row r="33" customFormat="false" ht="14.25" hidden="false" customHeight="true" outlineLevel="0" collapsed="false">
      <c r="A33" s="238" t="s">
        <v>506</v>
      </c>
      <c r="B33" s="239"/>
      <c r="C33" s="239"/>
      <c r="D33" s="239"/>
      <c r="E33" s="239"/>
      <c r="F33" s="239"/>
      <c r="G33" s="239"/>
      <c r="H33" s="240"/>
      <c r="I33" s="240"/>
      <c r="J33" s="241" t="str">
        <f aca="false">IF(OR(H33="",I33=""),"",COUNTIF(H33:I33,"YES")/2*$C$7)</f>
        <v/>
      </c>
      <c r="K33" s="239"/>
    </row>
    <row r="34" customFormat="false" ht="14.25" hidden="false" customHeight="true" outlineLevel="0" collapsed="false">
      <c r="A34" s="238" t="s">
        <v>507</v>
      </c>
      <c r="B34" s="239"/>
      <c r="C34" s="239"/>
      <c r="D34" s="239"/>
      <c r="E34" s="239"/>
      <c r="F34" s="239"/>
      <c r="G34" s="239"/>
      <c r="H34" s="240"/>
      <c r="I34" s="240"/>
      <c r="J34" s="241" t="str">
        <f aca="false">IF(OR(H34="",I34=""),"",COUNTIF(H34:I34,"YES")/2*$C$7)</f>
        <v/>
      </c>
      <c r="K34" s="239"/>
    </row>
    <row r="35" customFormat="false" ht="14.25" hidden="false" customHeight="true" outlineLevel="0" collapsed="false">
      <c r="A35" s="238" t="s">
        <v>508</v>
      </c>
      <c r="B35" s="239"/>
      <c r="C35" s="239"/>
      <c r="D35" s="239"/>
      <c r="E35" s="239"/>
      <c r="F35" s="239"/>
      <c r="G35" s="239"/>
      <c r="H35" s="240"/>
      <c r="I35" s="240"/>
      <c r="J35" s="241" t="str">
        <f aca="false">IF(OR(H35="",I35=""),"",COUNTIF(H35:I35,"YES")/2*$C$7)</f>
        <v/>
      </c>
      <c r="K35" s="239"/>
    </row>
    <row r="36" customFormat="false" ht="14.25" hidden="false" customHeight="true" outlineLevel="0" collapsed="false">
      <c r="A36" s="238" t="s">
        <v>509</v>
      </c>
      <c r="B36" s="239"/>
      <c r="C36" s="239"/>
      <c r="D36" s="239"/>
      <c r="E36" s="239"/>
      <c r="F36" s="239"/>
      <c r="G36" s="239"/>
      <c r="H36" s="240"/>
      <c r="I36" s="240"/>
      <c r="J36" s="241" t="str">
        <f aca="false">IF(OR(H36="",I36=""),"",COUNTIF(H36:I36,"YES")/2*$C$7)</f>
        <v/>
      </c>
      <c r="K36" s="239"/>
    </row>
    <row r="37" customFormat="false" ht="14.25" hidden="false" customHeight="true" outlineLevel="0" collapsed="false">
      <c r="A37" s="238" t="s">
        <v>510</v>
      </c>
      <c r="B37" s="239"/>
      <c r="C37" s="239"/>
      <c r="D37" s="239"/>
      <c r="E37" s="239"/>
      <c r="F37" s="239"/>
      <c r="G37" s="239"/>
      <c r="H37" s="240"/>
      <c r="I37" s="240"/>
      <c r="J37" s="241" t="str">
        <f aca="false">IF(OR(H37="",I37=""),"",COUNTIF(H37:I37,"YES")/2*$C$7)</f>
        <v/>
      </c>
      <c r="K37" s="239"/>
    </row>
    <row r="38" customFormat="false" ht="14.25" hidden="false" customHeight="true" outlineLevel="0" collapsed="false">
      <c r="A38" s="238" t="s">
        <v>511</v>
      </c>
      <c r="B38" s="239"/>
      <c r="C38" s="239"/>
      <c r="D38" s="239"/>
      <c r="E38" s="239"/>
      <c r="F38" s="239"/>
      <c r="G38" s="239"/>
      <c r="H38" s="240"/>
      <c r="I38" s="240"/>
      <c r="J38" s="241" t="str">
        <f aca="false">IF(OR(H38="",I38=""),"",COUNTIF(H38:I38,"YES")/2*$C$7)</f>
        <v/>
      </c>
      <c r="K38" s="239"/>
    </row>
    <row r="39" customFormat="false" ht="14.25" hidden="false" customHeight="true" outlineLevel="0" collapsed="false">
      <c r="A39" s="238" t="s">
        <v>512</v>
      </c>
      <c r="B39" s="239"/>
      <c r="C39" s="239"/>
      <c r="D39" s="239"/>
      <c r="E39" s="239"/>
      <c r="F39" s="239"/>
      <c r="G39" s="239"/>
      <c r="H39" s="240"/>
      <c r="I39" s="240"/>
      <c r="J39" s="241" t="str">
        <f aca="false">IF(OR(H39="",I39=""),"",COUNTIF(H39:I39,"YES")/2*$C$7)</f>
        <v/>
      </c>
      <c r="K39" s="239"/>
    </row>
    <row r="40" customFormat="false" ht="14.25" hidden="false" customHeight="true" outlineLevel="0" collapsed="false">
      <c r="A40" s="238" t="s">
        <v>513</v>
      </c>
      <c r="B40" s="239"/>
      <c r="C40" s="239"/>
      <c r="D40" s="239"/>
      <c r="E40" s="239"/>
      <c r="F40" s="239"/>
      <c r="G40" s="239"/>
      <c r="H40" s="240"/>
      <c r="I40" s="240"/>
      <c r="J40" s="241" t="str">
        <f aca="false">IF(OR(H40="",I40=""),"",COUNTIF(H40:I40,"YES")/2*$C$7)</f>
        <v/>
      </c>
      <c r="K40" s="239"/>
    </row>
    <row r="41" customFormat="false" ht="14.25" hidden="false" customHeight="true" outlineLevel="0" collapsed="false">
      <c r="A41" s="238" t="s">
        <v>514</v>
      </c>
      <c r="B41" s="239"/>
      <c r="C41" s="239"/>
      <c r="D41" s="239"/>
      <c r="E41" s="239"/>
      <c r="F41" s="239"/>
      <c r="G41" s="239"/>
      <c r="H41" s="240"/>
      <c r="I41" s="240"/>
      <c r="J41" s="241" t="str">
        <f aca="false">IF(OR(H41="",I41=""),"",COUNTIF(H41:I41,"YES")/2*$C$7)</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128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 &gt;:&lt; Municipal/City Plan preparation, participation and review</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Public participation and scrutiny &gt;:&lt; Public participation and scrutiny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public scrutiny for (including objections and responses) municipal/city plan? &gt;:&lt; Was the public scrutiny undertaken for (including objections and responses) municipal/city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Law/Policy &amp; 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&gt;:&lt; Check Development Authority/ULG websites (as applicable) for consultation minutes/details/notifcations for inviting suggestions; newspaper reports; and the municipal/city plan for evidence of public scrutiny. If such evidence is found, score 5.</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1" min="8" style="68" width="22"/>
    <col collapsed="false" customWidth="true" hidden="false" outlineLevel="0" max="12" min="12" style="68" width="14"/>
    <col collapsed="false" customWidth="true" hidden="false" outlineLevel="0" max="13" min="13" style="68" width="45"/>
  </cols>
  <sheetData>
    <row r="1" customFormat="false" ht="14.25" hidden="false" customHeight="true" outlineLevel="0" collapsed="false">
      <c r="A1" s="230" t="s">
        <v>777</v>
      </c>
      <c r="B1" s="230" t="s">
        <v>132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preparation, participation and review</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Plan modification and implementation review</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periodic review and revision of the notified municipal/city plan, including corresponding revisions to the Development Control Regulations (DCRs)?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State Town Planning Act.Score 10: The law mandates periodic review and revision of the municipal/city plan, specifies a review/revision timeline and responsible authority, and requires corresponding review and revision of the DCRs, where necessary, following municipal/city plan revision.Score 2.5 for each component and enter the sum if there are multiple components - 1. The law mandates periodic review and revision of the municipal/city plan ((alluding to the revision or creation of a new plan say after ten years) to the municipal/city plans shall not be considered).2. Specifies a review/revision timeline 3. Specifies for responsible authority4. Requires corresponding review and revision of the DCRs following municipal/city plan revision</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806</v>
      </c>
    </row>
    <row r="11" customFormat="false" ht="28.5" hidden="false" customHeight="true" outlineLevel="0" collapsed="false">
      <c r="H11" s="234" t="s">
        <v>782</v>
      </c>
      <c r="I11" s="234" t="s">
        <v>782</v>
      </c>
      <c r="J11" s="234" t="s">
        <v>782</v>
      </c>
      <c r="K11" s="234" t="s">
        <v>782</v>
      </c>
      <c r="L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"Periodic review &amp; revision mandated ("&amp;TEXT($C$7/4,"0.00")&amp;")"</f>
        <v>Periodic review &amp; revision mandated (2.50)</v>
      </c>
      <c r="I12" s="237" t="str">
        <f aca="false">"Review/revision timeline specified ("&amp;TEXT($C$7/4,"0.00")&amp;")"</f>
        <v>Review/revision timeline specified (2.50)</v>
      </c>
      <c r="J12" s="237" t="str">
        <f aca="false">"Responsible authority specified ("&amp;TEXT($C$7/4,"0.00")&amp;")"</f>
        <v>Responsible authority specified (2.50)</v>
      </c>
      <c r="K12" s="237" t="str">
        <f aca="false">"Corresponding DCR revision required ("&amp;TEXT($C$7/4,"0.00")&amp;")"</f>
        <v>Corresponding DCR revision required (2.50)</v>
      </c>
      <c r="L12" s="235" t="s">
        <v>791</v>
      </c>
      <c r="M12" s="237" t="s">
        <v>792</v>
      </c>
    </row>
    <row r="13" customFormat="false" ht="14.25" hidden="false" customHeight="true" outlineLevel="0" collapsed="false">
      <c r="A13" s="238" t="s">
        <v>486</v>
      </c>
      <c r="B13" s="239"/>
      <c r="C13" s="239"/>
      <c r="D13" s="239"/>
      <c r="E13" s="239"/>
      <c r="F13" s="239"/>
      <c r="G13" s="239"/>
      <c r="H13" s="240"/>
      <c r="I13" s="240"/>
      <c r="J13" s="240"/>
      <c r="K13" s="240"/>
      <c r="L13" s="241" t="str">
        <f aca="false">IF(OR(H13="",I13="",J13="",K13=""),"",COUNTIF(H13:K13,"YES")/4*$C$7)</f>
        <v/>
      </c>
      <c r="M13" s="239"/>
    </row>
    <row r="14" customFormat="false" ht="14.25" hidden="false" customHeight="true" outlineLevel="0" collapsed="false">
      <c r="A14" s="238" t="s">
        <v>487</v>
      </c>
      <c r="B14" s="239"/>
      <c r="C14" s="239"/>
      <c r="D14" s="239"/>
      <c r="E14" s="239"/>
      <c r="F14" s="239"/>
      <c r="G14" s="239"/>
      <c r="H14" s="240"/>
      <c r="I14" s="240"/>
      <c r="J14" s="240"/>
      <c r="K14" s="240"/>
      <c r="L14" s="241" t="str">
        <f aca="false">IF(OR(H14="",I14="",J14="",K14=""),"",COUNTIF(H14:K14,"YES")/4*$C$7)</f>
        <v/>
      </c>
      <c r="M14" s="239"/>
    </row>
    <row r="15" customFormat="false" ht="14.25" hidden="false" customHeight="true" outlineLevel="0" collapsed="false">
      <c r="A15" s="238" t="s">
        <v>488</v>
      </c>
      <c r="B15" s="239"/>
      <c r="C15" s="239"/>
      <c r="D15" s="239"/>
      <c r="E15" s="239"/>
      <c r="F15" s="239"/>
      <c r="G15" s="239"/>
      <c r="H15" s="240"/>
      <c r="I15" s="240"/>
      <c r="J15" s="240"/>
      <c r="K15" s="240"/>
      <c r="L15" s="241" t="str">
        <f aca="false">IF(OR(H15="",I15="",J15="",K15=""),"",COUNTIF(H15:K15,"YES")/4*$C$7)</f>
        <v/>
      </c>
      <c r="M15" s="239"/>
    </row>
    <row r="16" customFormat="false" ht="14.25" hidden="false" customHeight="true" outlineLevel="0" collapsed="false">
      <c r="A16" s="238" t="s">
        <v>489</v>
      </c>
      <c r="B16" s="239"/>
      <c r="C16" s="239"/>
      <c r="D16" s="239"/>
      <c r="E16" s="239"/>
      <c r="F16" s="239"/>
      <c r="G16" s="239"/>
      <c r="H16" s="240"/>
      <c r="I16" s="240"/>
      <c r="J16" s="240"/>
      <c r="K16" s="240"/>
      <c r="L16" s="241" t="str">
        <f aca="false">IF(OR(H16="",I16="",J16="",K16=""),"",COUNTIF(H16:K16,"YES")/4*$C$7)</f>
        <v/>
      </c>
      <c r="M16" s="239"/>
    </row>
    <row r="17" customFormat="false" ht="14.25" hidden="false" customHeight="true" outlineLevel="0" collapsed="false">
      <c r="A17" s="238" t="s">
        <v>490</v>
      </c>
      <c r="B17" s="239"/>
      <c r="C17" s="239"/>
      <c r="D17" s="239"/>
      <c r="E17" s="239"/>
      <c r="F17" s="239"/>
      <c r="G17" s="239"/>
      <c r="H17" s="240"/>
      <c r="I17" s="240"/>
      <c r="J17" s="240"/>
      <c r="K17" s="240"/>
      <c r="L17" s="241" t="str">
        <f aca="false">IF(OR(H17="",I17="",J17="",K17=""),"",COUNTIF(H17:K17,"YES")/4*$C$7)</f>
        <v/>
      </c>
      <c r="M17" s="239"/>
    </row>
    <row r="18" customFormat="false" ht="14.25" hidden="false" customHeight="true" outlineLevel="0" collapsed="false">
      <c r="A18" s="238" t="s">
        <v>491</v>
      </c>
      <c r="B18" s="239"/>
      <c r="C18" s="239"/>
      <c r="D18" s="239"/>
      <c r="E18" s="239"/>
      <c r="F18" s="239"/>
      <c r="G18" s="239"/>
      <c r="H18" s="240"/>
      <c r="I18" s="240"/>
      <c r="J18" s="240"/>
      <c r="K18" s="240"/>
      <c r="L18" s="241" t="str">
        <f aca="false">IF(OR(H18="",I18="",J18="",K18=""),"",COUNTIF(H18:K18,"YES")/4*$C$7)</f>
        <v/>
      </c>
      <c r="M18" s="239"/>
    </row>
    <row r="19" customFormat="false" ht="14.25" hidden="false" customHeight="true" outlineLevel="0" collapsed="false">
      <c r="A19" s="238" t="s">
        <v>492</v>
      </c>
      <c r="B19" s="239"/>
      <c r="C19" s="239"/>
      <c r="D19" s="239"/>
      <c r="E19" s="239"/>
      <c r="F19" s="239"/>
      <c r="G19" s="239"/>
      <c r="H19" s="240"/>
      <c r="I19" s="240"/>
      <c r="J19" s="240"/>
      <c r="K19" s="240"/>
      <c r="L19" s="241" t="str">
        <f aca="false">IF(OR(H19="",I19="",J19="",K19=""),"",COUNTIF(H19:K19,"YES")/4*$C$7)</f>
        <v/>
      </c>
      <c r="M19" s="239"/>
    </row>
    <row r="20" customFormat="false" ht="14.25" hidden="false" customHeight="true" outlineLevel="0" collapsed="false">
      <c r="A20" s="238" t="s">
        <v>493</v>
      </c>
      <c r="B20" s="239"/>
      <c r="C20" s="239"/>
      <c r="D20" s="239"/>
      <c r="E20" s="239"/>
      <c r="F20" s="239"/>
      <c r="G20" s="239"/>
      <c r="H20" s="240"/>
      <c r="I20" s="240"/>
      <c r="J20" s="240"/>
      <c r="K20" s="240"/>
      <c r="L20" s="241" t="str">
        <f aca="false">IF(OR(H20="",I20="",J20="",K20=""),"",COUNTIF(H20:K20,"YES")/4*$C$7)</f>
        <v/>
      </c>
      <c r="M20" s="239"/>
    </row>
    <row r="21" customFormat="false" ht="14.25" hidden="false" customHeight="true" outlineLevel="0" collapsed="false">
      <c r="A21" s="238" t="s">
        <v>494</v>
      </c>
      <c r="B21" s="239"/>
      <c r="C21" s="239"/>
      <c r="D21" s="239"/>
      <c r="E21" s="239"/>
      <c r="F21" s="239"/>
      <c r="G21" s="239"/>
      <c r="H21" s="240"/>
      <c r="I21" s="240"/>
      <c r="J21" s="240"/>
      <c r="K21" s="240"/>
      <c r="L21" s="241" t="str">
        <f aca="false">IF(OR(H21="",I21="",J21="",K21=""),"",COUNTIF(H21:K21,"YES")/4*$C$7)</f>
        <v/>
      </c>
      <c r="M21" s="239"/>
    </row>
    <row r="22" customFormat="false" ht="14.25" hidden="false" customHeight="true" outlineLevel="0" collapsed="false">
      <c r="A22" s="238" t="s">
        <v>495</v>
      </c>
      <c r="B22" s="239"/>
      <c r="C22" s="239"/>
      <c r="D22" s="239"/>
      <c r="E22" s="239"/>
      <c r="F22" s="239"/>
      <c r="G22" s="239"/>
      <c r="H22" s="240"/>
      <c r="I22" s="240"/>
      <c r="J22" s="240"/>
      <c r="K22" s="240"/>
      <c r="L22" s="241" t="str">
        <f aca="false">IF(OR(H22="",I22="",J22="",K22=""),"",COUNTIF(H22:K22,"YES")/4*$C$7)</f>
        <v/>
      </c>
      <c r="M22" s="239"/>
    </row>
    <row r="23" customFormat="false" ht="14.25" hidden="false" customHeight="true" outlineLevel="0" collapsed="false">
      <c r="A23" s="238" t="s">
        <v>496</v>
      </c>
      <c r="B23" s="239"/>
      <c r="C23" s="239"/>
      <c r="D23" s="239"/>
      <c r="E23" s="239"/>
      <c r="F23" s="239"/>
      <c r="G23" s="239"/>
      <c r="H23" s="240"/>
      <c r="I23" s="240"/>
      <c r="J23" s="240"/>
      <c r="K23" s="240"/>
      <c r="L23" s="241" t="str">
        <f aca="false">IF(OR(H23="",I23="",J23="",K23=""),"",COUNTIF(H23:K23,"YES")/4*$C$7)</f>
        <v/>
      </c>
      <c r="M23" s="239"/>
    </row>
    <row r="24" customFormat="false" ht="14.25" hidden="false" customHeight="true" outlineLevel="0" collapsed="false">
      <c r="A24" s="238" t="s">
        <v>497</v>
      </c>
      <c r="B24" s="239"/>
      <c r="C24" s="239"/>
      <c r="D24" s="239"/>
      <c r="E24" s="239"/>
      <c r="F24" s="239"/>
      <c r="G24" s="239"/>
      <c r="H24" s="240"/>
      <c r="I24" s="240"/>
      <c r="J24" s="240"/>
      <c r="K24" s="240"/>
      <c r="L24" s="241" t="str">
        <f aca="false">IF(OR(H24="",I24="",J24="",K24=""),"",COUNTIF(H24:K24,"YES")/4*$C$7)</f>
        <v/>
      </c>
      <c r="M24" s="239"/>
    </row>
    <row r="25" customFormat="false" ht="14.25" hidden="false" customHeight="true" outlineLevel="0" collapsed="false">
      <c r="A25" s="238" t="s">
        <v>498</v>
      </c>
      <c r="B25" s="239"/>
      <c r="C25" s="239"/>
      <c r="D25" s="239"/>
      <c r="E25" s="239"/>
      <c r="F25" s="239"/>
      <c r="G25" s="239"/>
      <c r="H25" s="240"/>
      <c r="I25" s="240"/>
      <c r="J25" s="240"/>
      <c r="K25" s="240"/>
      <c r="L25" s="241" t="str">
        <f aca="false">IF(OR(H25="",I25="",J25="",K25=""),"",COUNTIF(H25:K25,"YES")/4*$C$7)</f>
        <v/>
      </c>
      <c r="M25" s="239"/>
    </row>
    <row r="26" customFormat="false" ht="14.25" hidden="false" customHeight="true" outlineLevel="0" collapsed="false">
      <c r="A26" s="238" t="s">
        <v>499</v>
      </c>
      <c r="B26" s="239"/>
      <c r="C26" s="239"/>
      <c r="D26" s="239"/>
      <c r="E26" s="239"/>
      <c r="F26" s="239"/>
      <c r="G26" s="239"/>
      <c r="H26" s="240"/>
      <c r="I26" s="240"/>
      <c r="J26" s="240"/>
      <c r="K26" s="240"/>
      <c r="L26" s="241" t="str">
        <f aca="false">IF(OR(H26="",I26="",J26="",K26=""),"",COUNTIF(H26:K26,"YES")/4*$C$7)</f>
        <v/>
      </c>
      <c r="M26" s="239"/>
    </row>
    <row r="27" customFormat="false" ht="14.25" hidden="false" customHeight="true" outlineLevel="0" collapsed="false">
      <c r="A27" s="238" t="s">
        <v>500</v>
      </c>
      <c r="B27" s="239"/>
      <c r="C27" s="239"/>
      <c r="D27" s="239"/>
      <c r="E27" s="239"/>
      <c r="F27" s="239"/>
      <c r="G27" s="239"/>
      <c r="H27" s="240"/>
      <c r="I27" s="240"/>
      <c r="J27" s="240"/>
      <c r="K27" s="240"/>
      <c r="L27" s="241" t="str">
        <f aca="false">IF(OR(H27="",I27="",J27="",K27=""),"",COUNTIF(H27:K27,"YES")/4*$C$7)</f>
        <v/>
      </c>
      <c r="M27" s="239"/>
    </row>
    <row r="28" customFormat="false" ht="14.25" hidden="false" customHeight="true" outlineLevel="0" collapsed="false">
      <c r="A28" s="238" t="s">
        <v>501</v>
      </c>
      <c r="B28" s="239"/>
      <c r="C28" s="239"/>
      <c r="D28" s="239"/>
      <c r="E28" s="239"/>
      <c r="F28" s="239"/>
      <c r="G28" s="239"/>
      <c r="H28" s="240"/>
      <c r="I28" s="240"/>
      <c r="J28" s="240"/>
      <c r="K28" s="240"/>
      <c r="L28" s="241" t="str">
        <f aca="false">IF(OR(H28="",I28="",J28="",K28=""),"",COUNTIF(H28:K28,"YES")/4*$C$7)</f>
        <v/>
      </c>
      <c r="M28" s="239"/>
    </row>
    <row r="29" customFormat="false" ht="14.25" hidden="false" customHeight="true" outlineLevel="0" collapsed="false">
      <c r="A29" s="238" t="s">
        <v>502</v>
      </c>
      <c r="B29" s="239"/>
      <c r="C29" s="239"/>
      <c r="D29" s="239"/>
      <c r="E29" s="239"/>
      <c r="F29" s="239"/>
      <c r="G29" s="239"/>
      <c r="H29" s="240"/>
      <c r="I29" s="240"/>
      <c r="J29" s="240"/>
      <c r="K29" s="240"/>
      <c r="L29" s="241" t="str">
        <f aca="false">IF(OR(H29="",I29="",J29="",K29=""),"",COUNTIF(H29:K29,"YES")/4*$C$7)</f>
        <v/>
      </c>
      <c r="M29" s="239"/>
    </row>
    <row r="30" customFormat="false" ht="14.25" hidden="false" customHeight="true" outlineLevel="0" collapsed="false">
      <c r="A30" s="238" t="s">
        <v>503</v>
      </c>
      <c r="B30" s="239"/>
      <c r="C30" s="239"/>
      <c r="D30" s="239"/>
      <c r="E30" s="239"/>
      <c r="F30" s="239"/>
      <c r="G30" s="239"/>
      <c r="H30" s="240"/>
      <c r="I30" s="240"/>
      <c r="J30" s="240"/>
      <c r="K30" s="240"/>
      <c r="L30" s="241" t="str">
        <f aca="false">IF(OR(H30="",I30="",J30="",K30=""),"",COUNTIF(H30:K30,"YES")/4*$C$7)</f>
        <v/>
      </c>
      <c r="M30" s="239"/>
    </row>
    <row r="31" customFormat="false" ht="14.25" hidden="false" customHeight="true" outlineLevel="0" collapsed="false">
      <c r="A31" s="238" t="s">
        <v>504</v>
      </c>
      <c r="B31" s="239"/>
      <c r="C31" s="239"/>
      <c r="D31" s="239"/>
      <c r="E31" s="239"/>
      <c r="F31" s="239"/>
      <c r="G31" s="239"/>
      <c r="H31" s="240"/>
      <c r="I31" s="240"/>
      <c r="J31" s="240"/>
      <c r="K31" s="240"/>
      <c r="L31" s="241" t="str">
        <f aca="false">IF(OR(H31="",I31="",J31="",K31=""),"",COUNTIF(H31:K31,"YES")/4*$C$7)</f>
        <v/>
      </c>
      <c r="M31" s="239"/>
    </row>
    <row r="32" customFormat="false" ht="14.25" hidden="false" customHeight="true" outlineLevel="0" collapsed="false">
      <c r="A32" s="238" t="s">
        <v>505</v>
      </c>
      <c r="B32" s="239"/>
      <c r="C32" s="239"/>
      <c r="D32" s="239"/>
      <c r="E32" s="239"/>
      <c r="F32" s="239"/>
      <c r="G32" s="239"/>
      <c r="H32" s="240"/>
      <c r="I32" s="240"/>
      <c r="J32" s="240"/>
      <c r="K32" s="240"/>
      <c r="L32" s="241" t="str">
        <f aca="false">IF(OR(H32="",I32="",J32="",K32=""),"",COUNTIF(H32:K32,"YES")/4*$C$7)</f>
        <v/>
      </c>
      <c r="M32" s="239"/>
    </row>
    <row r="33" customFormat="false" ht="14.25" hidden="false" customHeight="true" outlineLevel="0" collapsed="false">
      <c r="A33" s="238" t="s">
        <v>506</v>
      </c>
      <c r="B33" s="239"/>
      <c r="C33" s="239"/>
      <c r="D33" s="239"/>
      <c r="E33" s="239"/>
      <c r="F33" s="239"/>
      <c r="G33" s="239"/>
      <c r="H33" s="240"/>
      <c r="I33" s="240"/>
      <c r="J33" s="240"/>
      <c r="K33" s="240"/>
      <c r="L33" s="241" t="str">
        <f aca="false">IF(OR(H33="",I33="",J33="",K33=""),"",COUNTIF(H33:K33,"YES")/4*$C$7)</f>
        <v/>
      </c>
      <c r="M33" s="239"/>
    </row>
    <row r="34" customFormat="false" ht="14.25" hidden="false" customHeight="true" outlineLevel="0" collapsed="false">
      <c r="A34" s="238" t="s">
        <v>507</v>
      </c>
      <c r="B34" s="239"/>
      <c r="C34" s="239"/>
      <c r="D34" s="239"/>
      <c r="E34" s="239"/>
      <c r="F34" s="239"/>
      <c r="G34" s="239"/>
      <c r="H34" s="240"/>
      <c r="I34" s="240"/>
      <c r="J34" s="240"/>
      <c r="K34" s="240"/>
      <c r="L34" s="241" t="str">
        <f aca="false">IF(OR(H34="",I34="",J34="",K34=""),"",COUNTIF(H34:K34,"YES")/4*$C$7)</f>
        <v/>
      </c>
      <c r="M34" s="239"/>
    </row>
    <row r="35" customFormat="false" ht="14.25" hidden="false" customHeight="true" outlineLevel="0" collapsed="false">
      <c r="A35" s="238" t="s">
        <v>508</v>
      </c>
      <c r="B35" s="239"/>
      <c r="C35" s="239"/>
      <c r="D35" s="239"/>
      <c r="E35" s="239"/>
      <c r="F35" s="239"/>
      <c r="G35" s="239"/>
      <c r="H35" s="240"/>
      <c r="I35" s="240"/>
      <c r="J35" s="240"/>
      <c r="K35" s="240"/>
      <c r="L35" s="241" t="str">
        <f aca="false">IF(OR(H35="",I35="",J35="",K35=""),"",COUNTIF(H35:K35,"YES")/4*$C$7)</f>
        <v/>
      </c>
      <c r="M35" s="239"/>
    </row>
    <row r="36" customFormat="false" ht="14.25" hidden="false" customHeight="true" outlineLevel="0" collapsed="false">
      <c r="A36" s="238" t="s">
        <v>509</v>
      </c>
      <c r="B36" s="239"/>
      <c r="C36" s="239"/>
      <c r="D36" s="239"/>
      <c r="E36" s="239"/>
      <c r="F36" s="239"/>
      <c r="G36" s="239"/>
      <c r="H36" s="240"/>
      <c r="I36" s="240"/>
      <c r="J36" s="240"/>
      <c r="K36" s="240"/>
      <c r="L36" s="241" t="str">
        <f aca="false">IF(OR(H36="",I36="",J36="",K36=""),"",COUNTIF(H36:K36,"YES")/4*$C$7)</f>
        <v/>
      </c>
      <c r="M36" s="239"/>
    </row>
    <row r="37" customFormat="false" ht="14.25" hidden="false" customHeight="true" outlineLevel="0" collapsed="false">
      <c r="A37" s="238" t="s">
        <v>510</v>
      </c>
      <c r="B37" s="239"/>
      <c r="C37" s="239"/>
      <c r="D37" s="239"/>
      <c r="E37" s="239"/>
      <c r="F37" s="239"/>
      <c r="G37" s="239"/>
      <c r="H37" s="240"/>
      <c r="I37" s="240"/>
      <c r="J37" s="240"/>
      <c r="K37" s="240"/>
      <c r="L37" s="241" t="str">
        <f aca="false">IF(OR(H37="",I37="",J37="",K37=""),"",COUNTIF(H37:K37,"YES")/4*$C$7)</f>
        <v/>
      </c>
      <c r="M37" s="239"/>
    </row>
    <row r="38" customFormat="false" ht="14.25" hidden="false" customHeight="true" outlineLevel="0" collapsed="false">
      <c r="A38" s="238" t="s">
        <v>511</v>
      </c>
      <c r="B38" s="239"/>
      <c r="C38" s="239"/>
      <c r="D38" s="239"/>
      <c r="E38" s="239"/>
      <c r="F38" s="239"/>
      <c r="G38" s="239"/>
      <c r="H38" s="240"/>
      <c r="I38" s="240"/>
      <c r="J38" s="240"/>
      <c r="K38" s="240"/>
      <c r="L38" s="241" t="str">
        <f aca="false">IF(OR(H38="",I38="",J38="",K38=""),"",COUNTIF(H38:K38,"YES")/4*$C$7)</f>
        <v/>
      </c>
      <c r="M38" s="239"/>
    </row>
    <row r="39" customFormat="false" ht="14.25" hidden="false" customHeight="true" outlineLevel="0" collapsed="false">
      <c r="A39" s="238" t="s">
        <v>512</v>
      </c>
      <c r="B39" s="239"/>
      <c r="C39" s="239"/>
      <c r="D39" s="239"/>
      <c r="E39" s="239"/>
      <c r="F39" s="239"/>
      <c r="G39" s="239"/>
      <c r="H39" s="240"/>
      <c r="I39" s="240"/>
      <c r="J39" s="240"/>
      <c r="K39" s="240"/>
      <c r="L39" s="241" t="str">
        <f aca="false">IF(OR(H39="",I39="",J39="",K39=""),"",COUNTIF(H39:K39,"YES")/4*$C$7)</f>
        <v/>
      </c>
      <c r="M39" s="239"/>
    </row>
    <row r="40" customFormat="false" ht="14.25" hidden="false" customHeight="true" outlineLevel="0" collapsed="false">
      <c r="A40" s="238" t="s">
        <v>513</v>
      </c>
      <c r="B40" s="239"/>
      <c r="C40" s="239"/>
      <c r="D40" s="239"/>
      <c r="E40" s="239"/>
      <c r="F40" s="239"/>
      <c r="G40" s="239"/>
      <c r="H40" s="240"/>
      <c r="I40" s="240"/>
      <c r="J40" s="240"/>
      <c r="K40" s="240"/>
      <c r="L40" s="241" t="str">
        <f aca="false">IF(OR(H40="",I40="",J40="",K40=""),"",COUNTIF(H40:K40,"YES")/4*$C$7)</f>
        <v/>
      </c>
      <c r="M40" s="239"/>
    </row>
    <row r="41" customFormat="false" ht="14.25" hidden="false" customHeight="true" outlineLevel="0" collapsed="false">
      <c r="A41" s="238" t="s">
        <v>514</v>
      </c>
      <c r="B41" s="239"/>
      <c r="C41" s="239"/>
      <c r="D41" s="239"/>
      <c r="E41" s="239"/>
      <c r="F41" s="239"/>
      <c r="G41" s="239"/>
      <c r="H41" s="240"/>
      <c r="I41" s="240"/>
      <c r="J41" s="240"/>
      <c r="K41" s="240"/>
      <c r="L41" s="241" t="str">
        <f aca="false">IF(OR(H41="",I41="",J41="",K41=""),"",COUNTIF(H41:K41,"YES")/4*$C$7)</f>
        <v/>
      </c>
      <c r="M41" s="239"/>
    </row>
  </sheetData>
  <dataValidations count="1">
    <dataValidation allowBlank="true" error="Please enter a valid value (see note above the column)." errorStyle="stop" errorTitle="Invalid entry" operator="between" showDropDown="false" showErrorMessage="true" showInputMessage="false" sqref="H13:K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144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a) Water Supply/ Sewerage, Sanitation and Solid Waste Management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1.Water Supply/sewerage plan or mandate to have a water supply component as part of the municipal/city plan. Score: 0.55                                                                                                             2. City sanitation plan or mandate to have a sanitation component as part of the municipal/city municipal/city plan. Score: 0.55                                                                                                                                                                                                                                                            3.Solid Waste Management Plan or mandate to have a solid waste management as part of the municipal/city municipal/city plan Score: 0.55Provisions that make such a plan optional with 'may' provision shall not be considered.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"Water supply / sewerage ("&amp;TEXT($C$7/3,"0.00")&amp;")"</f>
        <v>Water supply / sewerage (0.56)</v>
      </c>
      <c r="I12" s="237" t="str">
        <f aca="false">"City sanitation ("&amp;TEXT($C$7/3,"0.00")&amp;")"</f>
        <v>City sanitation (0.56)</v>
      </c>
      <c r="J12" s="237" t="str">
        <f aca="false">"Solid waste management ("&amp;TEXT($C$7/3,"0.00")&amp;")"</f>
        <v>Solid waste management (0.56)</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4.25" hidden="false" customHeight="true" outlineLevel="0" collapsed="false">
      <c r="A14" s="238" t="s">
        <v>487</v>
      </c>
      <c r="B14" s="239"/>
      <c r="C14" s="239"/>
      <c r="D14" s="239"/>
      <c r="E14" s="239"/>
      <c r="F14" s="239"/>
      <c r="G14" s="239"/>
      <c r="H14" s="240"/>
      <c r="I14" s="240"/>
      <c r="J14" s="240"/>
      <c r="K14" s="241" t="str">
        <f aca="false">IF(OR(H14="",I14="",J14=""),"",COUNTIF(H14:J14,"YES")/3*$C$7)</f>
        <v/>
      </c>
      <c r="L14" s="239"/>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148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b) Disaster Resilience</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disaster management/resilience plan or mandate to have a disaster management/resilience component as a part of the municipal/city plan. Provisions that make such a plan optional with 'may' provision shall not be considered.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152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c) Comprehensive mobility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comprehensive mobility plan or mandate to have a mobility component as part of the municipal/city plan. Provisions that make such a plan optional with 'may' provision shall not be considered.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156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d) Sustainability/Climate/Environmental conservation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sustainability plan or mandate to have a sustainability/climate/environmental conservation component as part of the municipal/city plan. Provisions that make such a plan optional with 'may' provision shall not be considered.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160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e) Heritage conservation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heritage conservation plan or mandate to have a heritage conservation component as part of the municipal/city plan. Provisions that make such a plan optional with 'may' provision shall not be considered.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164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Planning  &gt;:&lt; Planning </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objectives and contents &gt;:&lt; Municipal/City Plan objectives and contents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Statutory requirements for plan content &gt;:&lt; Statutory requirements for plan content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T&amp;CP Act mandate the planning for:   &gt;:&lt; f) Social Development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1.67</v>
      </c>
      <c r="C7" s="232" t="n">
        <f aca="false">VLOOKUP($B$1,'UPD Questions_290926 '!$E$1:$N$300,MATCH($A$7,'UPD Questions_290926 '!$E$1:$N$1,0),0)</f>
        <v>1.67</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NA- question already covered in ASICS 2017 &gt;:&lt; Law/Policy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T&amp;CP and other relevant acts as prescribed below: &gt;:&lt; Check the T&amp;CP/Urban Development Authority (UDA)/allied acts for provisions that mandate the planning authority to prepare a social development plan or mandate to have a social development component as part of the municipal/city plan. Provisions that make such a plan optional with 'may' provision shall not be considered. Check if the social development plan includes components on planning for health, education and affordable housing. Score each component in the following manner:1.Public health. Score: 0.55                                                                                                             2. Education. Score: 0.55                                                                                                                                                                                                                                                            3. Affordable housing Score: 0.55</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"Public health ("&amp;TEXT($C$7/3,"0.00")&amp;")"</f>
        <v>Public health (0.56)</v>
      </c>
      <c r="I12" s="237" t="str">
        <f aca="false">"Education ("&amp;TEXT($C$7/3,"0.00")&amp;")"</f>
        <v>Education (0.56)</v>
      </c>
      <c r="J12" s="237" t="str">
        <f aca="false">"Affordable housing ("&amp;TEXT($C$7/3,"0.00")&amp;")"</f>
        <v>Affordable housing (0.56)</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4.25" hidden="false" customHeight="true" outlineLevel="0" collapsed="false">
      <c r="A14" s="238" t="s">
        <v>487</v>
      </c>
      <c r="B14" s="239"/>
      <c r="C14" s="239"/>
      <c r="D14" s="239"/>
      <c r="E14" s="239"/>
      <c r="F14" s="239"/>
      <c r="G14" s="239"/>
      <c r="H14" s="240"/>
      <c r="I14" s="240"/>
      <c r="J14" s="240"/>
      <c r="K14" s="241" t="str">
        <f aca="false">IF(OR(H14="",I14="",J14=""),"",COUNTIF(H14:J14,"YES")/3*$C$7)</f>
        <v/>
      </c>
      <c r="L14" s="239"/>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174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Metropolitan/Regional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words metropolitan/regional plan or any word that can be safely assumed to be a synonym for a metropolitan region. Check the website of the metro region development authority or urban development authority or ULB website. Score 3.33 if any of these apply, else, 0.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ensure an existence of a notified document of the plan. Maps alone will not make the cut</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179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Municipal/City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 municipal/development/city plan or municipal/city plan. Check the website of the urban development authority or ULG website or T&amp;CP Dept. Score 3.33 if any of these apply, else, 0.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ensure an existence of a notified document of the plan. Maps alone will not make the cut</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183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Existence of Municipal/City Plans at each level &gt;:&lt; Existence of Municipal/City Plans at each level</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 spatial plans at the Metropolitan/Regional, Municipal and Ward(s) /Local level notified? &gt;:&lt; Is there a Ward(s) /Local area/ neighbourhood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The existence of such a document or map should be notified in respective state gazettes &gt;:&lt;  Document should mention the word ward development plan/zonal plan/local area plan. This can exist as a standalone document or spatial plans or map.  Score 3.33 if any of these apply, else, 0.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187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Validity of Municipal/City Plans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municipal/city plan that is currently in force and within its prescribed validity period?</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Review the applicable municipal/ city plan to identify the valid period, and the gazette notification date of the current and immediately preceding municipal/city plan Score 10 — notified within the statutory periodScore 0 — municipal/city plans that have lapsed and have not been replaced by a new municipal/city plan should be  treated as ‘no municipal/city plans/inactive municipal/city plans.The scorer to capture in the scoring sheet the amount of time (in months) that has been passed since the end of the validity period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c r="K12" s="237" t="s">
        <v>809</v>
      </c>
    </row>
    <row r="13" customFormat="false" ht="14.25" hidden="false" customHeight="true" outlineLevel="0" collapsed="false">
      <c r="A13" s="238" t="s">
        <v>486</v>
      </c>
      <c r="B13" s="239"/>
      <c r="C13" s="239"/>
      <c r="D13" s="239"/>
      <c r="E13" s="239"/>
      <c r="F13" s="239"/>
      <c r="G13" s="239"/>
      <c r="H13" s="240"/>
      <c r="I13" s="241" t="str">
        <f aca="false">IF(H13="YES",$C$7,IF(H13="NO",0,""))</f>
        <v/>
      </c>
      <c r="J13" s="239"/>
      <c r="K13" s="239"/>
    </row>
    <row r="14" customFormat="false" ht="14.25" hidden="false" customHeight="true" outlineLevel="0" collapsed="false">
      <c r="A14" s="238" t="s">
        <v>487</v>
      </c>
      <c r="B14" s="239"/>
      <c r="C14" s="239"/>
      <c r="D14" s="239"/>
      <c r="E14" s="239"/>
      <c r="F14" s="239"/>
      <c r="G14" s="239"/>
      <c r="H14" s="240"/>
      <c r="I14" s="241" t="str">
        <f aca="false">IF(H14="YES",$C$7,IF(H14="NO",0,""))</f>
        <v/>
      </c>
      <c r="J14" s="239"/>
      <c r="K14" s="239"/>
    </row>
    <row r="15" customFormat="false" ht="14.25" hidden="false" customHeight="true" outlineLevel="0" collapsed="false">
      <c r="A15" s="238" t="s">
        <v>488</v>
      </c>
      <c r="B15" s="239"/>
      <c r="C15" s="239"/>
      <c r="D15" s="239"/>
      <c r="E15" s="239"/>
      <c r="F15" s="239"/>
      <c r="G15" s="239"/>
      <c r="H15" s="240"/>
      <c r="I15" s="241" t="str">
        <f aca="false">IF(H15="YES",$C$7,IF(H15="NO",0,""))</f>
        <v/>
      </c>
      <c r="J15" s="239"/>
      <c r="K15" s="239"/>
    </row>
    <row r="16" customFormat="false" ht="14.25" hidden="false" customHeight="true" outlineLevel="0" collapsed="false">
      <c r="A16" s="238" t="s">
        <v>489</v>
      </c>
      <c r="B16" s="239"/>
      <c r="C16" s="239"/>
      <c r="D16" s="239"/>
      <c r="E16" s="239"/>
      <c r="F16" s="239"/>
      <c r="G16" s="239"/>
      <c r="H16" s="240"/>
      <c r="I16" s="241" t="str">
        <f aca="false">IF(H16="YES",$C$7,IF(H16="NO",0,""))</f>
        <v/>
      </c>
      <c r="J16" s="239"/>
      <c r="K16" s="239"/>
    </row>
    <row r="17" customFormat="false" ht="14.25" hidden="false" customHeight="true" outlineLevel="0" collapsed="false">
      <c r="A17" s="238" t="s">
        <v>490</v>
      </c>
      <c r="B17" s="239"/>
      <c r="C17" s="239"/>
      <c r="D17" s="239"/>
      <c r="E17" s="239"/>
      <c r="F17" s="239"/>
      <c r="G17" s="239"/>
      <c r="H17" s="240"/>
      <c r="I17" s="241" t="str">
        <f aca="false">IF(H17="YES",$C$7,IF(H17="NO",0,""))</f>
        <v/>
      </c>
      <c r="J17" s="239"/>
      <c r="K17" s="239"/>
    </row>
    <row r="18" customFormat="false" ht="14.25" hidden="false" customHeight="true" outlineLevel="0" collapsed="false">
      <c r="A18" s="238" t="s">
        <v>491</v>
      </c>
      <c r="B18" s="239"/>
      <c r="C18" s="239"/>
      <c r="D18" s="239"/>
      <c r="E18" s="239"/>
      <c r="F18" s="239"/>
      <c r="G18" s="239"/>
      <c r="H18" s="240"/>
      <c r="I18" s="241" t="str">
        <f aca="false">IF(H18="YES",$C$7,IF(H18="NO",0,""))</f>
        <v/>
      </c>
      <c r="J18" s="239"/>
      <c r="K18" s="239"/>
    </row>
    <row r="19" customFormat="false" ht="14.25" hidden="false" customHeight="true" outlineLevel="0" collapsed="false">
      <c r="A19" s="238" t="s">
        <v>492</v>
      </c>
      <c r="B19" s="239"/>
      <c r="C19" s="239"/>
      <c r="D19" s="239"/>
      <c r="E19" s="239"/>
      <c r="F19" s="239"/>
      <c r="G19" s="239"/>
      <c r="H19" s="240"/>
      <c r="I19" s="241" t="str">
        <f aca="false">IF(H19="YES",$C$7,IF(H19="NO",0,""))</f>
        <v/>
      </c>
      <c r="J19" s="239"/>
      <c r="K19" s="239"/>
    </row>
    <row r="20" customFormat="false" ht="14.25" hidden="false" customHeight="true" outlineLevel="0" collapsed="false">
      <c r="A20" s="238" t="s">
        <v>493</v>
      </c>
      <c r="B20" s="239"/>
      <c r="C20" s="239"/>
      <c r="D20" s="239"/>
      <c r="E20" s="239"/>
      <c r="F20" s="239"/>
      <c r="G20" s="239"/>
      <c r="H20" s="240"/>
      <c r="I20" s="241" t="str">
        <f aca="false">IF(H20="YES",$C$7,IF(H20="NO",0,""))</f>
        <v/>
      </c>
      <c r="J20" s="239"/>
      <c r="K20" s="239"/>
    </row>
    <row r="21" customFormat="false" ht="14.25" hidden="false" customHeight="true" outlineLevel="0" collapsed="false">
      <c r="A21" s="238" t="s">
        <v>494</v>
      </c>
      <c r="B21" s="239"/>
      <c r="C21" s="239"/>
      <c r="D21" s="239"/>
      <c r="E21" s="239"/>
      <c r="F21" s="239"/>
      <c r="G21" s="239"/>
      <c r="H21" s="240"/>
      <c r="I21" s="241" t="str">
        <f aca="false">IF(H21="YES",$C$7,IF(H21="NO",0,""))</f>
        <v/>
      </c>
      <c r="J21" s="239"/>
      <c r="K21" s="239"/>
    </row>
    <row r="22" customFormat="false" ht="14.25" hidden="false" customHeight="true" outlineLevel="0" collapsed="false">
      <c r="A22" s="238" t="s">
        <v>495</v>
      </c>
      <c r="B22" s="239"/>
      <c r="C22" s="239"/>
      <c r="D22" s="239"/>
      <c r="E22" s="239"/>
      <c r="F22" s="239"/>
      <c r="G22" s="239"/>
      <c r="H22" s="240"/>
      <c r="I22" s="241" t="str">
        <f aca="false">IF(H22="YES",$C$7,IF(H22="NO",0,""))</f>
        <v/>
      </c>
      <c r="J22" s="239"/>
      <c r="K22" s="239"/>
    </row>
    <row r="23" customFormat="false" ht="14.25" hidden="false" customHeight="true" outlineLevel="0" collapsed="false">
      <c r="A23" s="238" t="s">
        <v>496</v>
      </c>
      <c r="B23" s="239"/>
      <c r="C23" s="239"/>
      <c r="D23" s="239"/>
      <c r="E23" s="239"/>
      <c r="F23" s="239"/>
      <c r="G23" s="239"/>
      <c r="H23" s="240"/>
      <c r="I23" s="241" t="str">
        <f aca="false">IF(H23="YES",$C$7,IF(H23="NO",0,""))</f>
        <v/>
      </c>
      <c r="J23" s="239"/>
      <c r="K23" s="239"/>
    </row>
    <row r="24" customFormat="false" ht="14.25" hidden="false" customHeight="true" outlineLevel="0" collapsed="false">
      <c r="A24" s="238" t="s">
        <v>497</v>
      </c>
      <c r="B24" s="239"/>
      <c r="C24" s="239"/>
      <c r="D24" s="239"/>
      <c r="E24" s="239"/>
      <c r="F24" s="239"/>
      <c r="G24" s="239"/>
      <c r="H24" s="240"/>
      <c r="I24" s="241" t="str">
        <f aca="false">IF(H24="YES",$C$7,IF(H24="NO",0,""))</f>
        <v/>
      </c>
      <c r="J24" s="239"/>
      <c r="K24" s="239"/>
    </row>
    <row r="25" customFormat="false" ht="14.25" hidden="false" customHeight="true" outlineLevel="0" collapsed="false">
      <c r="A25" s="238" t="s">
        <v>498</v>
      </c>
      <c r="B25" s="239"/>
      <c r="C25" s="239"/>
      <c r="D25" s="239"/>
      <c r="E25" s="239"/>
      <c r="F25" s="239"/>
      <c r="G25" s="239"/>
      <c r="H25" s="240"/>
      <c r="I25" s="241" t="str">
        <f aca="false">IF(H25="YES",$C$7,IF(H25="NO",0,""))</f>
        <v/>
      </c>
      <c r="J25" s="239"/>
      <c r="K25" s="239"/>
    </row>
    <row r="26" customFormat="false" ht="14.25" hidden="false" customHeight="true" outlineLevel="0" collapsed="false">
      <c r="A26" s="238" t="s">
        <v>499</v>
      </c>
      <c r="B26" s="239"/>
      <c r="C26" s="239"/>
      <c r="D26" s="239"/>
      <c r="E26" s="239"/>
      <c r="F26" s="239"/>
      <c r="G26" s="239"/>
      <c r="H26" s="240"/>
      <c r="I26" s="241" t="str">
        <f aca="false">IF(H26="YES",$C$7,IF(H26="NO",0,""))</f>
        <v/>
      </c>
      <c r="J26" s="239"/>
      <c r="K26" s="239"/>
    </row>
    <row r="27" customFormat="false" ht="14.25" hidden="false" customHeight="true" outlineLevel="0" collapsed="false">
      <c r="A27" s="238" t="s">
        <v>500</v>
      </c>
      <c r="B27" s="239"/>
      <c r="C27" s="239"/>
      <c r="D27" s="239"/>
      <c r="E27" s="239"/>
      <c r="F27" s="239"/>
      <c r="G27" s="239"/>
      <c r="H27" s="240"/>
      <c r="I27" s="241" t="str">
        <f aca="false">IF(H27="YES",$C$7,IF(H27="NO",0,""))</f>
        <v/>
      </c>
      <c r="J27" s="239"/>
      <c r="K27" s="239"/>
    </row>
    <row r="28" customFormat="false" ht="14.25" hidden="false" customHeight="true" outlineLevel="0" collapsed="false">
      <c r="A28" s="238" t="s">
        <v>501</v>
      </c>
      <c r="B28" s="239"/>
      <c r="C28" s="239"/>
      <c r="D28" s="239"/>
      <c r="E28" s="239"/>
      <c r="F28" s="239"/>
      <c r="G28" s="239"/>
      <c r="H28" s="240"/>
      <c r="I28" s="241" t="str">
        <f aca="false">IF(H28="YES",$C$7,IF(H28="NO",0,""))</f>
        <v/>
      </c>
      <c r="J28" s="239"/>
      <c r="K28" s="239"/>
    </row>
    <row r="29" customFormat="false" ht="14.25" hidden="false" customHeight="true" outlineLevel="0" collapsed="false">
      <c r="A29" s="238" t="s">
        <v>502</v>
      </c>
      <c r="B29" s="239"/>
      <c r="C29" s="239"/>
      <c r="D29" s="239"/>
      <c r="E29" s="239"/>
      <c r="F29" s="239"/>
      <c r="G29" s="239"/>
      <c r="H29" s="240"/>
      <c r="I29" s="241" t="str">
        <f aca="false">IF(H29="YES",$C$7,IF(H29="NO",0,""))</f>
        <v/>
      </c>
      <c r="J29" s="239"/>
      <c r="K29" s="239"/>
    </row>
    <row r="30" customFormat="false" ht="14.25" hidden="false" customHeight="true" outlineLevel="0" collapsed="false">
      <c r="A30" s="238" t="s">
        <v>503</v>
      </c>
      <c r="B30" s="239"/>
      <c r="C30" s="239"/>
      <c r="D30" s="239"/>
      <c r="E30" s="239"/>
      <c r="F30" s="239"/>
      <c r="G30" s="239"/>
      <c r="H30" s="240"/>
      <c r="I30" s="241" t="str">
        <f aca="false">IF(H30="YES",$C$7,IF(H30="NO",0,""))</f>
        <v/>
      </c>
      <c r="J30" s="239"/>
      <c r="K30" s="239"/>
    </row>
    <row r="31" customFormat="false" ht="14.25" hidden="false" customHeight="true" outlineLevel="0" collapsed="false">
      <c r="A31" s="238" t="s">
        <v>504</v>
      </c>
      <c r="B31" s="239"/>
      <c r="C31" s="239"/>
      <c r="D31" s="239"/>
      <c r="E31" s="239"/>
      <c r="F31" s="239"/>
      <c r="G31" s="239"/>
      <c r="H31" s="240"/>
      <c r="I31" s="241" t="str">
        <f aca="false">IF(H31="YES",$C$7,IF(H31="NO",0,""))</f>
        <v/>
      </c>
      <c r="J31" s="239"/>
      <c r="K31" s="239"/>
    </row>
    <row r="32" customFormat="false" ht="14.25" hidden="false" customHeight="true" outlineLevel="0" collapsed="false">
      <c r="A32" s="238" t="s">
        <v>505</v>
      </c>
      <c r="B32" s="239"/>
      <c r="C32" s="239"/>
      <c r="D32" s="239"/>
      <c r="E32" s="239"/>
      <c r="F32" s="239"/>
      <c r="G32" s="239"/>
      <c r="H32" s="240"/>
      <c r="I32" s="241" t="str">
        <f aca="false">IF(H32="YES",$C$7,IF(H32="NO",0,""))</f>
        <v/>
      </c>
      <c r="J32" s="239"/>
      <c r="K32" s="239"/>
    </row>
    <row r="33" customFormat="false" ht="14.25" hidden="false" customHeight="true" outlineLevel="0" collapsed="false">
      <c r="A33" s="238" t="s">
        <v>506</v>
      </c>
      <c r="B33" s="239"/>
      <c r="C33" s="239"/>
      <c r="D33" s="239"/>
      <c r="E33" s="239"/>
      <c r="F33" s="239"/>
      <c r="G33" s="239"/>
      <c r="H33" s="240"/>
      <c r="I33" s="241" t="str">
        <f aca="false">IF(H33="YES",$C$7,IF(H33="NO",0,""))</f>
        <v/>
      </c>
      <c r="J33" s="239"/>
      <c r="K33" s="239"/>
    </row>
    <row r="34" customFormat="false" ht="14.25" hidden="false" customHeight="true" outlineLevel="0" collapsed="false">
      <c r="A34" s="238" t="s">
        <v>507</v>
      </c>
      <c r="B34" s="239"/>
      <c r="C34" s="239"/>
      <c r="D34" s="239"/>
      <c r="E34" s="239"/>
      <c r="F34" s="239"/>
      <c r="G34" s="239"/>
      <c r="H34" s="240"/>
      <c r="I34" s="241" t="str">
        <f aca="false">IF(H34="YES",$C$7,IF(H34="NO",0,""))</f>
        <v/>
      </c>
      <c r="J34" s="239"/>
      <c r="K34" s="239"/>
    </row>
    <row r="35" customFormat="false" ht="14.25" hidden="false" customHeight="true" outlineLevel="0" collapsed="false">
      <c r="A35" s="238" t="s">
        <v>508</v>
      </c>
      <c r="B35" s="239"/>
      <c r="C35" s="239"/>
      <c r="D35" s="239"/>
      <c r="E35" s="239"/>
      <c r="F35" s="239"/>
      <c r="G35" s="239"/>
      <c r="H35" s="240"/>
      <c r="I35" s="241" t="str">
        <f aca="false">IF(H35="YES",$C$7,IF(H35="NO",0,""))</f>
        <v/>
      </c>
      <c r="J35" s="239"/>
      <c r="K35" s="239"/>
    </row>
    <row r="36" customFormat="false" ht="14.25" hidden="false" customHeight="true" outlineLevel="0" collapsed="false">
      <c r="A36" s="238" t="s">
        <v>509</v>
      </c>
      <c r="B36" s="239"/>
      <c r="C36" s="239"/>
      <c r="D36" s="239"/>
      <c r="E36" s="239"/>
      <c r="F36" s="239"/>
      <c r="G36" s="239"/>
      <c r="H36" s="240"/>
      <c r="I36" s="241" t="str">
        <f aca="false">IF(H36="YES",$C$7,IF(H36="NO",0,""))</f>
        <v/>
      </c>
      <c r="J36" s="239"/>
      <c r="K36" s="239"/>
    </row>
    <row r="37" customFormat="false" ht="14.25" hidden="false" customHeight="true" outlineLevel="0" collapsed="false">
      <c r="A37" s="238" t="s">
        <v>510</v>
      </c>
      <c r="B37" s="239"/>
      <c r="C37" s="239"/>
      <c r="D37" s="239"/>
      <c r="E37" s="239"/>
      <c r="F37" s="239"/>
      <c r="G37" s="239"/>
      <c r="H37" s="240"/>
      <c r="I37" s="241" t="str">
        <f aca="false">IF(H37="YES",$C$7,IF(H37="NO",0,""))</f>
        <v/>
      </c>
      <c r="J37" s="239"/>
      <c r="K37" s="239"/>
    </row>
    <row r="38" customFormat="false" ht="14.25" hidden="false" customHeight="true" outlineLevel="0" collapsed="false">
      <c r="A38" s="238" t="s">
        <v>511</v>
      </c>
      <c r="B38" s="239"/>
      <c r="C38" s="239"/>
      <c r="D38" s="239"/>
      <c r="E38" s="239"/>
      <c r="F38" s="239"/>
      <c r="G38" s="239"/>
      <c r="H38" s="240"/>
      <c r="I38" s="241" t="str">
        <f aca="false">IF(H38="YES",$C$7,IF(H38="NO",0,""))</f>
        <v/>
      </c>
      <c r="J38" s="239"/>
      <c r="K38" s="239"/>
    </row>
    <row r="39" customFormat="false" ht="14.25" hidden="false" customHeight="true" outlineLevel="0" collapsed="false">
      <c r="A39" s="238" t="s">
        <v>512</v>
      </c>
      <c r="B39" s="239"/>
      <c r="C39" s="239"/>
      <c r="D39" s="239"/>
      <c r="E39" s="239"/>
      <c r="F39" s="239"/>
      <c r="G39" s="239"/>
      <c r="H39" s="240"/>
      <c r="I39" s="241" t="str">
        <f aca="false">IF(H39="YES",$C$7,IF(H39="NO",0,""))</f>
        <v/>
      </c>
      <c r="J39" s="239"/>
      <c r="K39" s="239"/>
    </row>
    <row r="40" customFormat="false" ht="14.25" hidden="false" customHeight="true" outlineLevel="0" collapsed="false">
      <c r="A40" s="238" t="s">
        <v>513</v>
      </c>
      <c r="B40" s="239"/>
      <c r="C40" s="239"/>
      <c r="D40" s="239"/>
      <c r="E40" s="239"/>
      <c r="F40" s="239"/>
      <c r="G40" s="239"/>
      <c r="H40" s="240"/>
      <c r="I40" s="241" t="str">
        <f aca="false">IF(H40="YES",$C$7,IF(H40="NO",0,""))</f>
        <v/>
      </c>
      <c r="J40" s="239"/>
      <c r="K40" s="239"/>
    </row>
    <row r="41" customFormat="false" ht="14.25" hidden="false" customHeight="true" outlineLevel="0" collapsed="false">
      <c r="A41" s="238" t="s">
        <v>514</v>
      </c>
      <c r="B41" s="239"/>
      <c r="C41" s="239"/>
      <c r="D41" s="239"/>
      <c r="E41" s="239"/>
      <c r="F41" s="239"/>
      <c r="G41" s="239"/>
      <c r="H41" s="240"/>
      <c r="I41" s="241" t="str">
        <f aca="false">IF(H41="YES",$C$7,IF(H41="NO",0,""))</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86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 Are the spatial plans at the Metropolitan/Regional, Municipal and Ward(s) /Local level in a concurrent or nested timeline of validity? &gt;:&lt; Is the Metropolitan/Regional plan in a concurrent or nested timeline of validity with municipal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metropolitan/regional and municipal/city-level plans overlap and align, so that the municipal/city plan does not extend beyond the metropolitan/regional plan's validity. For example, if the metropolitan/regional plan is valid from 2001–2021, the municipal/city plan should not extend beyond 2021.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93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Alignment across planning levels &gt;:&lt; Alignment across planning levels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 Are the spatial plans at the Metropolitan/Regional, Municipal and Ward(s) /Local level in a concurrent or nested timeline of validity? &gt;:&lt; Is the Municipal municipal/city plan in a concurrent or nested timeline of validity with Ward municipal/city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validity periods of the metropolitan/regional, municipal/city, and ward/zonal/local area/neighbourhood-level spatial plans align, ensuring that lower-level plans do not extend beyond the metropolitan/regional plan's validity. &gt;:&lt; Check whether the validity periods of the municipal/city municipal/city plan and ward/local-level plans overlap and are aligned, such that the validity of the ward/local-level plan does not extend beyond that of the municipal/city municipal/city plan. For example: if the municipal/city plan is valid from 2021–2041, the applicable ward/zonal/local-level plan should fall within and not extend beyond 2041.</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810</v>
      </c>
    </row>
    <row r="11" customFormat="false" ht="28.5" hidden="false" customHeight="true" outlineLevel="0" collapsed="false">
      <c r="H11" s="234" t="s">
        <v>808</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IF(H13="NA","NA",IF(H13="YES",$C$7,IF(H13="NO",0,"")))</f>
        <v/>
      </c>
      <c r="J13" s="239"/>
    </row>
    <row r="14" customFormat="false" ht="14.25" hidden="false" customHeight="true" outlineLevel="0" collapsed="false">
      <c r="A14" s="238" t="s">
        <v>487</v>
      </c>
      <c r="B14" s="239"/>
      <c r="C14" s="239"/>
      <c r="D14" s="239"/>
      <c r="E14" s="239"/>
      <c r="F14" s="239"/>
      <c r="G14" s="239"/>
      <c r="H14" s="240"/>
      <c r="I14" s="241" t="str">
        <f aca="false">IF(H14="NA","NA",IF(H14="YES",$C$7,IF(H14="NO",0,"")))</f>
        <v/>
      </c>
      <c r="J14" s="239"/>
    </row>
    <row r="15" customFormat="false" ht="14.25" hidden="false" customHeight="true" outlineLevel="0" collapsed="false">
      <c r="A15" s="238" t="s">
        <v>488</v>
      </c>
      <c r="B15" s="239"/>
      <c r="C15" s="239"/>
      <c r="D15" s="239"/>
      <c r="E15" s="239"/>
      <c r="F15" s="239"/>
      <c r="G15" s="239"/>
      <c r="H15" s="240"/>
      <c r="I15" s="241" t="str">
        <f aca="false">IF(H15="NA","NA",IF(H15="YES",$C$7,IF(H15="NO",0,"")))</f>
        <v/>
      </c>
      <c r="J15" s="239"/>
    </row>
    <row r="16" customFormat="false" ht="14.25" hidden="false" customHeight="true" outlineLevel="0" collapsed="false">
      <c r="A16" s="238" t="s">
        <v>489</v>
      </c>
      <c r="B16" s="239"/>
      <c r="C16" s="239"/>
      <c r="D16" s="239"/>
      <c r="E16" s="239"/>
      <c r="F16" s="239"/>
      <c r="G16" s="239"/>
      <c r="H16" s="240"/>
      <c r="I16" s="241" t="str">
        <f aca="false">IF(H16="NA","NA",IF(H16="YES",$C$7,IF(H16="NO",0,"")))</f>
        <v/>
      </c>
      <c r="J16" s="239"/>
    </row>
    <row r="17" customFormat="false" ht="14.25" hidden="false" customHeight="true" outlineLevel="0" collapsed="false">
      <c r="A17" s="238" t="s">
        <v>490</v>
      </c>
      <c r="B17" s="239"/>
      <c r="C17" s="239"/>
      <c r="D17" s="239"/>
      <c r="E17" s="239"/>
      <c r="F17" s="239"/>
      <c r="G17" s="239"/>
      <c r="H17" s="240"/>
      <c r="I17" s="241" t="str">
        <f aca="false">IF(H17="NA","NA",IF(H17="YES",$C$7,IF(H17="NO",0,"")))</f>
        <v/>
      </c>
      <c r="J17" s="239"/>
    </row>
    <row r="18" customFormat="false" ht="14.25" hidden="false" customHeight="true" outlineLevel="0" collapsed="false">
      <c r="A18" s="238" t="s">
        <v>491</v>
      </c>
      <c r="B18" s="239"/>
      <c r="C18" s="239"/>
      <c r="D18" s="239"/>
      <c r="E18" s="239"/>
      <c r="F18" s="239"/>
      <c r="G18" s="239"/>
      <c r="H18" s="240"/>
      <c r="I18" s="241" t="str">
        <f aca="false">IF(H18="NA","NA",IF(H18="YES",$C$7,IF(H18="NO",0,"")))</f>
        <v/>
      </c>
      <c r="J18" s="239"/>
    </row>
    <row r="19" customFormat="false" ht="14.25" hidden="false" customHeight="true" outlineLevel="0" collapsed="false">
      <c r="A19" s="238" t="s">
        <v>492</v>
      </c>
      <c r="B19" s="239"/>
      <c r="C19" s="239"/>
      <c r="D19" s="239"/>
      <c r="E19" s="239"/>
      <c r="F19" s="239"/>
      <c r="G19" s="239"/>
      <c r="H19" s="240"/>
      <c r="I19" s="241" t="str">
        <f aca="false">IF(H19="NA","NA",IF(H19="YES",$C$7,IF(H19="NO",0,"")))</f>
        <v/>
      </c>
      <c r="J19" s="239"/>
    </row>
    <row r="20" customFormat="false" ht="14.25" hidden="false" customHeight="true" outlineLevel="0" collapsed="false">
      <c r="A20" s="238" t="s">
        <v>493</v>
      </c>
      <c r="B20" s="239"/>
      <c r="C20" s="239"/>
      <c r="D20" s="239"/>
      <c r="E20" s="239"/>
      <c r="F20" s="239"/>
      <c r="G20" s="239"/>
      <c r="H20" s="240"/>
      <c r="I20" s="241" t="str">
        <f aca="false">IF(H20="NA","NA",IF(H20="YES",$C$7,IF(H20="NO",0,"")))</f>
        <v/>
      </c>
      <c r="J20" s="239"/>
    </row>
    <row r="21" customFormat="false" ht="14.25" hidden="false" customHeight="true" outlineLevel="0" collapsed="false">
      <c r="A21" s="238" t="s">
        <v>494</v>
      </c>
      <c r="B21" s="239"/>
      <c r="C21" s="239"/>
      <c r="D21" s="239"/>
      <c r="E21" s="239"/>
      <c r="F21" s="239"/>
      <c r="G21" s="239"/>
      <c r="H21" s="240"/>
      <c r="I21" s="241" t="str">
        <f aca="false">IF(H21="NA","NA",IF(H21="YES",$C$7,IF(H21="NO",0,"")))</f>
        <v/>
      </c>
      <c r="J21" s="239"/>
    </row>
    <row r="22" customFormat="false" ht="14.25" hidden="false" customHeight="true" outlineLevel="0" collapsed="false">
      <c r="A22" s="238" t="s">
        <v>495</v>
      </c>
      <c r="B22" s="239"/>
      <c r="C22" s="239"/>
      <c r="D22" s="239"/>
      <c r="E22" s="239"/>
      <c r="F22" s="239"/>
      <c r="G22" s="239"/>
      <c r="H22" s="240"/>
      <c r="I22" s="241" t="str">
        <f aca="false">IF(H22="NA","NA",IF(H22="YES",$C$7,IF(H22="NO",0,"")))</f>
        <v/>
      </c>
      <c r="J22" s="239"/>
    </row>
    <row r="23" customFormat="false" ht="14.25" hidden="false" customHeight="true" outlineLevel="0" collapsed="false">
      <c r="A23" s="238" t="s">
        <v>496</v>
      </c>
      <c r="B23" s="239"/>
      <c r="C23" s="239"/>
      <c r="D23" s="239"/>
      <c r="E23" s="239"/>
      <c r="F23" s="239"/>
      <c r="G23" s="239"/>
      <c r="H23" s="240"/>
      <c r="I23" s="241" t="str">
        <f aca="false">IF(H23="NA","NA",IF(H23="YES",$C$7,IF(H23="NO",0,"")))</f>
        <v/>
      </c>
      <c r="J23" s="239"/>
    </row>
    <row r="24" customFormat="false" ht="14.25" hidden="false" customHeight="true" outlineLevel="0" collapsed="false">
      <c r="A24" s="238" t="s">
        <v>497</v>
      </c>
      <c r="B24" s="239"/>
      <c r="C24" s="239"/>
      <c r="D24" s="239"/>
      <c r="E24" s="239"/>
      <c r="F24" s="239"/>
      <c r="G24" s="239"/>
      <c r="H24" s="240"/>
      <c r="I24" s="241" t="str">
        <f aca="false">IF(H24="NA","NA",IF(H24="YES",$C$7,IF(H24="NO",0,"")))</f>
        <v/>
      </c>
      <c r="J24" s="239"/>
    </row>
    <row r="25" customFormat="false" ht="14.25" hidden="false" customHeight="true" outlineLevel="0" collapsed="false">
      <c r="A25" s="238" t="s">
        <v>498</v>
      </c>
      <c r="B25" s="239"/>
      <c r="C25" s="239"/>
      <c r="D25" s="239"/>
      <c r="E25" s="239"/>
      <c r="F25" s="239"/>
      <c r="G25" s="239"/>
      <c r="H25" s="240"/>
      <c r="I25" s="241" t="str">
        <f aca="false">IF(H25="NA","NA",IF(H25="YES",$C$7,IF(H25="NO",0,"")))</f>
        <v/>
      </c>
      <c r="J25" s="239"/>
    </row>
    <row r="26" customFormat="false" ht="14.25" hidden="false" customHeight="true" outlineLevel="0" collapsed="false">
      <c r="A26" s="238" t="s">
        <v>499</v>
      </c>
      <c r="B26" s="239"/>
      <c r="C26" s="239"/>
      <c r="D26" s="239"/>
      <c r="E26" s="239"/>
      <c r="F26" s="239"/>
      <c r="G26" s="239"/>
      <c r="H26" s="240"/>
      <c r="I26" s="241" t="str">
        <f aca="false">IF(H26="NA","NA",IF(H26="YES",$C$7,IF(H26="NO",0,"")))</f>
        <v/>
      </c>
      <c r="J26" s="239"/>
    </row>
    <row r="27" customFormat="false" ht="14.25" hidden="false" customHeight="true" outlineLevel="0" collapsed="false">
      <c r="A27" s="238" t="s">
        <v>500</v>
      </c>
      <c r="B27" s="239"/>
      <c r="C27" s="239"/>
      <c r="D27" s="239"/>
      <c r="E27" s="239"/>
      <c r="F27" s="239"/>
      <c r="G27" s="239"/>
      <c r="H27" s="240"/>
      <c r="I27" s="241" t="str">
        <f aca="false">IF(H27="NA","NA",IF(H27="YES",$C$7,IF(H27="NO",0,"")))</f>
        <v/>
      </c>
      <c r="J27" s="239"/>
    </row>
    <row r="28" customFormat="false" ht="14.25" hidden="false" customHeight="true" outlineLevel="0" collapsed="false">
      <c r="A28" s="238" t="s">
        <v>501</v>
      </c>
      <c r="B28" s="239"/>
      <c r="C28" s="239"/>
      <c r="D28" s="239"/>
      <c r="E28" s="239"/>
      <c r="F28" s="239"/>
      <c r="G28" s="239"/>
      <c r="H28" s="240"/>
      <c r="I28" s="241" t="str">
        <f aca="false">IF(H28="NA","NA",IF(H28="YES",$C$7,IF(H28="NO",0,"")))</f>
        <v/>
      </c>
      <c r="J28" s="239"/>
    </row>
    <row r="29" customFormat="false" ht="14.25" hidden="false" customHeight="true" outlineLevel="0" collapsed="false">
      <c r="A29" s="238" t="s">
        <v>502</v>
      </c>
      <c r="B29" s="239"/>
      <c r="C29" s="239"/>
      <c r="D29" s="239"/>
      <c r="E29" s="239"/>
      <c r="F29" s="239"/>
      <c r="G29" s="239"/>
      <c r="H29" s="240"/>
      <c r="I29" s="241" t="str">
        <f aca="false">IF(H29="NA","NA",IF(H29="YES",$C$7,IF(H29="NO",0,"")))</f>
        <v/>
      </c>
      <c r="J29" s="239"/>
    </row>
    <row r="30" customFormat="false" ht="14.25" hidden="false" customHeight="true" outlineLevel="0" collapsed="false">
      <c r="A30" s="238" t="s">
        <v>503</v>
      </c>
      <c r="B30" s="239"/>
      <c r="C30" s="239"/>
      <c r="D30" s="239"/>
      <c r="E30" s="239"/>
      <c r="F30" s="239"/>
      <c r="G30" s="239"/>
      <c r="H30" s="240"/>
      <c r="I30" s="241" t="str">
        <f aca="false">IF(H30="NA","NA",IF(H30="YES",$C$7,IF(H30="NO",0,"")))</f>
        <v/>
      </c>
      <c r="J30" s="239"/>
    </row>
    <row r="31" customFormat="false" ht="14.25" hidden="false" customHeight="true" outlineLevel="0" collapsed="false">
      <c r="A31" s="238" t="s">
        <v>504</v>
      </c>
      <c r="B31" s="239"/>
      <c r="C31" s="239"/>
      <c r="D31" s="239"/>
      <c r="E31" s="239"/>
      <c r="F31" s="239"/>
      <c r="G31" s="239"/>
      <c r="H31" s="240"/>
      <c r="I31" s="241" t="str">
        <f aca="false">IF(H31="NA","NA",IF(H31="YES",$C$7,IF(H31="NO",0,"")))</f>
        <v/>
      </c>
      <c r="J31" s="239"/>
    </row>
    <row r="32" customFormat="false" ht="14.25" hidden="false" customHeight="true" outlineLevel="0" collapsed="false">
      <c r="A32" s="238" t="s">
        <v>505</v>
      </c>
      <c r="B32" s="239"/>
      <c r="C32" s="239"/>
      <c r="D32" s="239"/>
      <c r="E32" s="239"/>
      <c r="F32" s="239"/>
      <c r="G32" s="239"/>
      <c r="H32" s="240"/>
      <c r="I32" s="241" t="str">
        <f aca="false">IF(H32="NA","NA",IF(H32="YES",$C$7,IF(H32="NO",0,"")))</f>
        <v/>
      </c>
      <c r="J32" s="239"/>
    </row>
    <row r="33" customFormat="false" ht="14.25" hidden="false" customHeight="true" outlineLevel="0" collapsed="false">
      <c r="A33" s="238" t="s">
        <v>506</v>
      </c>
      <c r="B33" s="239"/>
      <c r="C33" s="239"/>
      <c r="D33" s="239"/>
      <c r="E33" s="239"/>
      <c r="F33" s="239"/>
      <c r="G33" s="239"/>
      <c r="H33" s="240"/>
      <c r="I33" s="241" t="str">
        <f aca="false">IF(H33="NA","NA",IF(H33="YES",$C$7,IF(H33="NO",0,"")))</f>
        <v/>
      </c>
      <c r="J33" s="239"/>
    </row>
    <row r="34" customFormat="false" ht="14.25" hidden="false" customHeight="true" outlineLevel="0" collapsed="false">
      <c r="A34" s="238" t="s">
        <v>507</v>
      </c>
      <c r="B34" s="239"/>
      <c r="C34" s="239"/>
      <c r="D34" s="239"/>
      <c r="E34" s="239"/>
      <c r="F34" s="239"/>
      <c r="G34" s="239"/>
      <c r="H34" s="240"/>
      <c r="I34" s="241" t="str">
        <f aca="false">IF(H34="NA","NA",IF(H34="YES",$C$7,IF(H34="NO",0,"")))</f>
        <v/>
      </c>
      <c r="J34" s="239"/>
    </row>
    <row r="35" customFormat="false" ht="14.25" hidden="false" customHeight="true" outlineLevel="0" collapsed="false">
      <c r="A35" s="238" t="s">
        <v>508</v>
      </c>
      <c r="B35" s="239"/>
      <c r="C35" s="239"/>
      <c r="D35" s="239"/>
      <c r="E35" s="239"/>
      <c r="F35" s="239"/>
      <c r="G35" s="239"/>
      <c r="H35" s="240"/>
      <c r="I35" s="241" t="str">
        <f aca="false">IF(H35="NA","NA",IF(H35="YES",$C$7,IF(H35="NO",0,"")))</f>
        <v/>
      </c>
      <c r="J35" s="239"/>
    </row>
    <row r="36" customFormat="false" ht="14.25" hidden="false" customHeight="true" outlineLevel="0" collapsed="false">
      <c r="A36" s="238" t="s">
        <v>509</v>
      </c>
      <c r="B36" s="239"/>
      <c r="C36" s="239"/>
      <c r="D36" s="239"/>
      <c r="E36" s="239"/>
      <c r="F36" s="239"/>
      <c r="G36" s="239"/>
      <c r="H36" s="240"/>
      <c r="I36" s="241" t="str">
        <f aca="false">IF(H36="NA","NA",IF(H36="YES",$C$7,IF(H36="NO",0,"")))</f>
        <v/>
      </c>
      <c r="J36" s="239"/>
    </row>
    <row r="37" customFormat="false" ht="14.25" hidden="false" customHeight="true" outlineLevel="0" collapsed="false">
      <c r="A37" s="238" t="s">
        <v>510</v>
      </c>
      <c r="B37" s="239"/>
      <c r="C37" s="239"/>
      <c r="D37" s="239"/>
      <c r="E37" s="239"/>
      <c r="F37" s="239"/>
      <c r="G37" s="239"/>
      <c r="H37" s="240"/>
      <c r="I37" s="241" t="str">
        <f aca="false">IF(H37="NA","NA",IF(H37="YES",$C$7,IF(H37="NO",0,"")))</f>
        <v/>
      </c>
      <c r="J37" s="239"/>
    </row>
    <row r="38" customFormat="false" ht="14.25" hidden="false" customHeight="true" outlineLevel="0" collapsed="false">
      <c r="A38" s="238" t="s">
        <v>511</v>
      </c>
      <c r="B38" s="239"/>
      <c r="C38" s="239"/>
      <c r="D38" s="239"/>
      <c r="E38" s="239"/>
      <c r="F38" s="239"/>
      <c r="G38" s="239"/>
      <c r="H38" s="240"/>
      <c r="I38" s="241" t="str">
        <f aca="false">IF(H38="NA","NA",IF(H38="YES",$C$7,IF(H38="NO",0,"")))</f>
        <v/>
      </c>
      <c r="J38" s="239"/>
    </row>
    <row r="39" customFormat="false" ht="14.25" hidden="false" customHeight="true" outlineLevel="0" collapsed="false">
      <c r="A39" s="238" t="s">
        <v>512</v>
      </c>
      <c r="B39" s="239"/>
      <c r="C39" s="239"/>
      <c r="D39" s="239"/>
      <c r="E39" s="239"/>
      <c r="F39" s="239"/>
      <c r="G39" s="239"/>
      <c r="H39" s="240"/>
      <c r="I39" s="241" t="str">
        <f aca="false">IF(H39="NA","NA",IF(H39="YES",$C$7,IF(H39="NO",0,"")))</f>
        <v/>
      </c>
      <c r="J39" s="239"/>
    </row>
    <row r="40" customFormat="false" ht="14.25" hidden="false" customHeight="true" outlineLevel="0" collapsed="false">
      <c r="A40" s="238" t="s">
        <v>513</v>
      </c>
      <c r="B40" s="239"/>
      <c r="C40" s="239"/>
      <c r="D40" s="239"/>
      <c r="E40" s="239"/>
      <c r="F40" s="239"/>
      <c r="G40" s="239"/>
      <c r="H40" s="240"/>
      <c r="I40" s="241" t="str">
        <f aca="false">IF(H40="NA","NA",IF(H40="YES",$C$7,IF(H40="NO",0,"")))</f>
        <v/>
      </c>
      <c r="J40" s="239"/>
    </row>
    <row r="41" customFormat="false" ht="14.25" hidden="false" customHeight="true" outlineLevel="0" collapsed="false">
      <c r="A41" s="238" t="s">
        <v>514</v>
      </c>
      <c r="B41" s="239"/>
      <c r="C41" s="239"/>
      <c r="D41" s="239"/>
      <c r="E41" s="239"/>
      <c r="F41" s="239"/>
      <c r="G41" s="239"/>
      <c r="H41" s="240"/>
      <c r="I41" s="241" t="str">
        <f aca="false">IF(H41="NA","NA",IF(H41="YES",$C$7,IF(H41="NO",0,"")))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202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Inter-agency coordination and integration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 the municipal/city plans at each level, integrate the plans and priorities of various sectoral public departments and agencies?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creation of the municipal/city plan at each level involved creation of a committee/process for deliberation and decision making where all sectoral public departments and agencies were invited (at least water and sewerage, traffic, electricity, transport, health and education). Details of such delibrations can be available in the municipal/city plan, or as MoM / notes on the planning authority's website.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2" t="s">
        <v>811</v>
      </c>
      <c r="H14" s="240" t="s">
        <v>799</v>
      </c>
      <c r="I14" s="241" t="n">
        <f aca="false">IF(H14="YES",$C$7,IF(H14="NO",0,""))</f>
        <v>0</v>
      </c>
      <c r="J14" s="239" t="s">
        <v>812</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0" activeCellId="0" sqref="G10"/>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111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jobs and economy?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key economic development priorities and provides measurable targets/outcomes for them. These may include:Increase in workforce participation.Number of jobs to be generated across economic sectors.Land identified/allocated for economic activities.Number/area of enterprises, industries or commercial activities to be facilitated.Provision of designated spaces/facilities for street vendors and other informal livelihoods. Score based on whether the municipal/city plan contains both:1. A clearly stated objective or priority in the municipal/city plan relating to the city’s economy, employment or livelihoods. This could include job creation, workforce participation, industrial/commercial development, informal livelihoods, economic clusters, markets, tourism, or allocating land/infrastructure to support economic activity.2. Quantifiable targets or outcome indicators to measure progress. Score 10: The municipal/city plan identifies clear economic development priorities and includes measurable/quantifiable targets or outcome indicators against which progress can be assessed. Score 5: The municipal/city plan identifies clear economic development priorities and proposed interventions/actions, but does not provide measurable targets/outcome indicators.  Score 0: The municipal/city plan does not identify clear economic development priorities and associated interventions. General or aspirational references to economic development, employment, jobs or livelihoods without clearly identified priorities and interventions shall not be considered for scoring.</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(5.00)</v>
      </c>
      <c r="I12" s="237" t="str">
        <f aca="false">"Measurable targets / outcome indicators (counts only if priorities = YES) ("&amp;TEXT($C$7/2,"0.00")&amp;")"</f>
        <v>Measurable targets / outcome indicators (counts only if priorities = YES)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814</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K9" activeCellId="0" sqref="K9"/>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216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environment and heritage conservation? &gt;:&lt; a) Environmental Conservation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components:Natural Environment and Climate ResilienceThese may include:Protection, enhancement or increase of recreational and non-recreational green spaces, urban forests and natural habitats.Conservation, restoration or revival of lakes, wetlands and other water bodies.Protection of environmentally sensitive areas and natural assets through appropriate zoning, buffers or other development controls.Increase in green cover, afforestation or reforestation.Protection/restoration of biodiversity and ecologically significant areas.Reduction in air, water and soil pollution.Climate-change mitigation and adaptation, including reduction in greenhouse gas emissions.Promotion of renewable energy and clean technologies.Disaster-risk reduction and resilience of natural systems.                                                                                                                                                                                                                                              For each component, score as follows:Score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targets/outcome indicators. Score 0: The component is absent, or is referred to only in general/aspirational terms without clearly identified priorities and associated interventions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(2.50)</v>
      </c>
      <c r="I12" s="237" t="str">
        <f aca="false">"Measurable targets / outcome indicators (counts only if priorities = YES) ("&amp;TEXT($C$7/2,"0.00")&amp;")"</f>
        <v>Measurable targets / outcome indicators (counts only if priorities = YES) (2.50)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815</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I14" activeCellId="0" sqref="I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220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environment and heritage conservation? &gt;:&lt; b) Heritage Conservation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  &gt;:&lt; Check whether the municipal/city  plan identifies clear priorities, interventions and measurable targets/outcomes across the following two components:                                                                       Heritage ConservationThese may include:Identification and protection of heritage buildings, precincts, sites and other heritage assets.Identification and protection of natural heritage and culturally significant landscapes.Conservation, restoration or adaptive reuse of heritage buildings/sites.Designation of heritage zones/precincts and appropriate development controls or buffer areas.Protection of the character and built form of heritage areas.Integration of heritage conservation with redevelopment and other development proposals.Measurable targets for conservation, restoration or protection of identified heritage assets/precincts. For each component, score as follows:Score 5: The municipal/city plan identifies atleast 2 or more clear priorities and associated interventions/actions and provides measurable/quantifiable targets or outcome indicators. Score 2.5: The municipal/city  plan identifies atleast 2 or more clear priorities and associated interventions/actions, but does not provide measurable targets/outcme indicators. Score 0: The component is absent, or is referred to only in general/aspirational terms without clearly identified priorities and associated interventions.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(2.50)</v>
      </c>
      <c r="I12" s="237" t="str">
        <f aca="false">"Measurable targets / outcome indicators (counts only if priorities = YES) ("&amp;TEXT($C$7/2,"0.00")&amp;")"</f>
        <v>Measurable targets / outcome indicators (counts only if priorities = YES) (2.50)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816</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230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a) Education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EducationThese may include:Coverage/accessibility of anganwadis and pre-primary facilities.Availability of schools relative to population/service standards.Accessibility of educational facilities, including for persons with disabilities.Other measurable education-related service or accessibility outcomes.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(1.67)</v>
      </c>
      <c r="I12" s="237" t="str">
        <f aca="false">"Measurable targets / outcome indicators (counts only if priorities = YES) ("&amp;TEXT($C$7/2,"0.00")&amp;")"</f>
        <v>Measurable targets / outcome indicators (counts only if priorities = YES) (1.67)</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817</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5" activeCellId="0" sqref="G15"/>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234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b) Healthcare</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HealthcareThese may include:Coverage/accessibility of dispensaries and primary healthcare facilities.Coverage/accessibility of hospitals, maternity/child welfare centres, rehabilitation or diagnostic facilities.Improvements in access to healthcare.Public-health outcomes, including reduction in vector-borne diseases or other locally relevant health risks.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(1.67)</v>
      </c>
      <c r="I12" s="237" t="str">
        <f aca="false">"Measurable targets / outcome indicators (counts only if priorities = YES) ("&amp;TEXT($C$7/2,"0.00")&amp;")"</f>
        <v>Measurable targets / outcome indicators (counts only if priorities = YES) (1.67)</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817</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7" activeCellId="0" sqref="G17"/>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238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 &gt;:&lt; 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 &gt;:&lt; 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on social development (health care, education)? &gt;:&lt; c) Affordable housing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across the following three components: &gt;:&lt; Affordable housingThese may include:Assessment of existing and projected affordable housing requirements.Number/percentage of slums or inadequate settlements proposed for rehabilitation/upgradation.Provision of affordable housing - Identification of land parcels.Increase in affordable housing as a proportion of housing stock.Access to livelihood opportunities, public transport and basic services. For each component, score as follows:Score: 3.33 - The municipal/city plan identifies  atleast two or more clear priorities and associated interventions/actions and provides measurable/quantifiable targets or outcome indicators. Score: 1.67 -  If the municipal/city  plan identifies  atleast two or more clear priorities and associated interventions/actions, but does not provide measurable targets/outcome indicators. Score 0 if the component is absent, or is referred to only in general/aspirational terms without clearly identified priorities and associated interventions.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(1.67)</v>
      </c>
      <c r="I12" s="237" t="str">
        <f aca="false">"Measurable targets / outcome indicators (counts only if priorities = YES) ("&amp;TEXT($C$7/2,"0.00")&amp;")"</f>
        <v>Measurable targets / outcome indicators (counts only if priorities = YES) (1.67)</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817</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5" activeCellId="0" sqref="G15"/>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243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Objectives of the Municipal/City Plan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municipal/city plan include objectives for women?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 municipal/city plan identifies clear priorities, interventions and measurable targets/outcomes relating to women’s inclusion and access to the city.These may include:Economic participation and livelihoods: Measures to support women’s participation in formal and informal employment, including access to employment centres, markets, vending spaces and other livelihood opportunities.Access to infrastructure and basic services: Equitable access to housing, water and sanitation, healthcare, education, childcare and other public services.Mobility and accessibility: Safe and accessible public transport, walking and cycling infrastructure, and improved connectivity to employment and essential services.Safety and public spaces: Measures to improve women’s safety and access to streets, public spaces, parks and other public facilities.Care infrastructure: Provision and accessibility of childcare, care facilities and other infrastructure that supports women’s participation in economic and public life. Score 10: The municipal/city  plan identifies  atleast two or more clear priorities relating to women’s inclusion and associated interventions/actions and provides measurable/quantifiable targets or outcome indicators.Score 5: The municipal/city identifies  atleast two or more clear priorities relating to women’s inclusion and associated interventions/actions, but does not provide measurable targets/outcome indicators.Score 0: The municipal/city plan does not identify clear priorities and associated interventions relating to women’s inclusion. General or aspirational references to women, gender equality, inclusion or safety without clearly identified priorities and associated interventions shall not be considered for scoring.</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"Clear priorities &amp; interventions identified ("&amp;TEXT($C$7/2,"0.00")&amp;")"</f>
        <v>Clear priorities &amp; interventions identified (5.00)</v>
      </c>
      <c r="I12" s="237" t="str">
        <f aca="false">"Measurable targets / outcome indicators (counts only if priorities = YES) ("&amp;TEXT($C$7/2,"0.00")&amp;")"</f>
        <v>Measurable targets / outcome indicators (counts only if priorities = YES)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5" hidden="false" customHeight="true" outlineLevel="0" collapsed="false">
      <c r="A14" s="238" t="s">
        <v>487</v>
      </c>
      <c r="B14" s="239"/>
      <c r="C14" s="239"/>
      <c r="D14" s="239"/>
      <c r="E14" s="239"/>
      <c r="F14" s="239"/>
      <c r="G14" s="243" t="s">
        <v>813</v>
      </c>
      <c r="H14" s="240" t="s">
        <v>799</v>
      </c>
      <c r="I14" s="240" t="s">
        <v>799</v>
      </c>
      <c r="J14" s="241" t="n">
        <f aca="false">IF(H14="","",IF(H14="NO",0,IF(I14="","",IF(I14="YES",$C$7,$C$7/2))))</f>
        <v>0</v>
      </c>
      <c r="K14" s="239" t="s">
        <v>817</v>
      </c>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6" activeCellId="0" sqref="G16"/>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247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Municipal/City Plan status, hierarchy and coordination</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Shared spatial information and data coordination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 common digital base municipal/city plan Map shared among Planning Authorities, and data updated through GIS with fixed periodicity by the relevent sectoral agencies (transport, network infrastructure, land use changes)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for the following:                                                                                                                    1) A State Spatial Data Centre with a map available for use by all agencies and parastatals in the state (Example: Karnataka State Remote Sensing Centre). If it is available, score 5                                                                                      2) The centre must provide atleast 2 of the following spatial data files (shape files/KML files) on - Land use, transport (road network, railway lines, metro lines etc.), admin boundaries (ward/corporation boundarie, metropolitan boundaries). If it is available, score 5 , else score 0 .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806</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1: State spatial data centre / shared map ("&amp;TEXT($C$7/2,"0.00")&amp;")"</f>
        <v>Part 1: State spatial data centre / shared map (5.00)</v>
      </c>
      <c r="I12" s="237" t="str">
        <f aca="false">"Part 2: At least 2 spatial data files available ("&amp;TEXT($C$7/2,"0.00")&amp;")"</f>
        <v>Part 2: At least 2 spatial data files available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IF(OR(H13="",I13=""),"",COUNTIF(H13:I13,"YES")/2*$C$7)</f>
        <v/>
      </c>
      <c r="K13" s="239"/>
    </row>
    <row r="14" customFormat="false" ht="15" hidden="false" customHeight="true" outlineLevel="0" collapsed="false">
      <c r="A14" s="238" t="s">
        <v>487</v>
      </c>
      <c r="B14" s="239"/>
      <c r="C14" s="239"/>
      <c r="D14" s="239"/>
      <c r="E14" s="239"/>
      <c r="F14" s="239"/>
      <c r="G14" s="243" t="s">
        <v>818</v>
      </c>
      <c r="H14" s="240" t="s">
        <v>804</v>
      </c>
      <c r="I14" s="240" t="s">
        <v>804</v>
      </c>
      <c r="J14" s="241" t="n">
        <f aca="false">IF(OR(H14="",I14=""),"",COUNTIF(H14:I14,"YES")/2*$C$7)</f>
        <v>10</v>
      </c>
      <c r="K14" s="239" t="s">
        <v>819</v>
      </c>
    </row>
    <row r="15" customFormat="false" ht="14.25" hidden="false" customHeight="true" outlineLevel="0" collapsed="false">
      <c r="A15" s="238" t="s">
        <v>488</v>
      </c>
      <c r="B15" s="239"/>
      <c r="C15" s="239"/>
      <c r="D15" s="239"/>
      <c r="E15" s="239"/>
      <c r="F15" s="239"/>
      <c r="G15" s="239"/>
      <c r="H15" s="240"/>
      <c r="I15" s="240"/>
      <c r="J15" s="241" t="str">
        <f aca="false">IF(OR(H15="",I15=""),"",COUNTIF(H15:I15,"YES")/2*$C$7)</f>
        <v/>
      </c>
      <c r="K15" s="239"/>
    </row>
    <row r="16" customFormat="false" ht="14.25" hidden="false" customHeight="true" outlineLevel="0" collapsed="false">
      <c r="A16" s="238" t="s">
        <v>489</v>
      </c>
      <c r="B16" s="239"/>
      <c r="C16" s="239"/>
      <c r="D16" s="239"/>
      <c r="E16" s="239"/>
      <c r="F16" s="239"/>
      <c r="G16" s="239"/>
      <c r="H16" s="240"/>
      <c r="I16" s="240"/>
      <c r="J16" s="241" t="str">
        <f aca="false">IF(OR(H16="",I16=""),"",COUNTIF(H16:I16,"YES")/2*$C$7)</f>
        <v/>
      </c>
      <c r="K16" s="239"/>
    </row>
    <row r="17" customFormat="false" ht="14.25" hidden="false" customHeight="true" outlineLevel="0" collapsed="false">
      <c r="A17" s="238" t="s">
        <v>490</v>
      </c>
      <c r="B17" s="239"/>
      <c r="C17" s="239"/>
      <c r="D17" s="239"/>
      <c r="E17" s="239"/>
      <c r="F17" s="239"/>
      <c r="G17" s="239"/>
      <c r="H17" s="240"/>
      <c r="I17" s="240"/>
      <c r="J17" s="241" t="str">
        <f aca="false">IF(OR(H17="",I17=""),"",COUNTIF(H17:I17,"YES")/2*$C$7)</f>
        <v/>
      </c>
      <c r="K17" s="239"/>
    </row>
    <row r="18" customFormat="false" ht="14.25" hidden="false" customHeight="true" outlineLevel="0" collapsed="false">
      <c r="A18" s="238" t="s">
        <v>491</v>
      </c>
      <c r="B18" s="239"/>
      <c r="C18" s="239"/>
      <c r="D18" s="239"/>
      <c r="E18" s="239"/>
      <c r="F18" s="239"/>
      <c r="G18" s="239"/>
      <c r="H18" s="240"/>
      <c r="I18" s="240"/>
      <c r="J18" s="241" t="str">
        <f aca="false">IF(OR(H18="",I18=""),"",COUNTIF(H18:I18,"YES")/2*$C$7)</f>
        <v/>
      </c>
      <c r="K18" s="239"/>
    </row>
    <row r="19" customFormat="false" ht="14.25" hidden="false" customHeight="true" outlineLevel="0" collapsed="false">
      <c r="A19" s="238" t="s">
        <v>492</v>
      </c>
      <c r="B19" s="239"/>
      <c r="C19" s="239"/>
      <c r="D19" s="239"/>
      <c r="E19" s="239"/>
      <c r="F19" s="239"/>
      <c r="G19" s="239"/>
      <c r="H19" s="240"/>
      <c r="I19" s="240"/>
      <c r="J19" s="241" t="str">
        <f aca="false">IF(OR(H19="",I19=""),"",COUNTIF(H19:I19,"YES")/2*$C$7)</f>
        <v/>
      </c>
      <c r="K19" s="239"/>
    </row>
    <row r="20" customFormat="false" ht="14.25" hidden="false" customHeight="true" outlineLevel="0" collapsed="false">
      <c r="A20" s="238" t="s">
        <v>493</v>
      </c>
      <c r="B20" s="239"/>
      <c r="C20" s="239"/>
      <c r="D20" s="239"/>
      <c r="E20" s="239"/>
      <c r="F20" s="239"/>
      <c r="G20" s="239"/>
      <c r="H20" s="240"/>
      <c r="I20" s="240"/>
      <c r="J20" s="241" t="str">
        <f aca="false">IF(OR(H20="",I20=""),"",COUNTIF(H20:I20,"YES")/2*$C$7)</f>
        <v/>
      </c>
      <c r="K20" s="239"/>
    </row>
    <row r="21" customFormat="false" ht="14.25" hidden="false" customHeight="true" outlineLevel="0" collapsed="false">
      <c r="A21" s="238" t="s">
        <v>494</v>
      </c>
      <c r="B21" s="239"/>
      <c r="C21" s="239"/>
      <c r="D21" s="239"/>
      <c r="E21" s="239"/>
      <c r="F21" s="239"/>
      <c r="G21" s="239"/>
      <c r="H21" s="240"/>
      <c r="I21" s="240"/>
      <c r="J21" s="241" t="str">
        <f aca="false">IF(OR(H21="",I21=""),"",COUNTIF(H21:I21,"YES")/2*$C$7)</f>
        <v/>
      </c>
      <c r="K21" s="239"/>
    </row>
    <row r="22" customFormat="false" ht="14.25" hidden="false" customHeight="true" outlineLevel="0" collapsed="false">
      <c r="A22" s="238" t="s">
        <v>495</v>
      </c>
      <c r="B22" s="239"/>
      <c r="C22" s="239"/>
      <c r="D22" s="239"/>
      <c r="E22" s="239"/>
      <c r="F22" s="239"/>
      <c r="G22" s="239"/>
      <c r="H22" s="240"/>
      <c r="I22" s="240"/>
      <c r="J22" s="241" t="str">
        <f aca="false">IF(OR(H22="",I22=""),"",COUNTIF(H22:I22,"YES")/2*$C$7)</f>
        <v/>
      </c>
      <c r="K22" s="239"/>
    </row>
    <row r="23" customFormat="false" ht="14.25" hidden="false" customHeight="true" outlineLevel="0" collapsed="false">
      <c r="A23" s="238" t="s">
        <v>496</v>
      </c>
      <c r="B23" s="239"/>
      <c r="C23" s="239"/>
      <c r="D23" s="239"/>
      <c r="E23" s="239"/>
      <c r="F23" s="239"/>
      <c r="G23" s="239"/>
      <c r="H23" s="240"/>
      <c r="I23" s="240"/>
      <c r="J23" s="241" t="str">
        <f aca="false">IF(OR(H23="",I23=""),"",COUNTIF(H23:I23,"YES")/2*$C$7)</f>
        <v/>
      </c>
      <c r="K23" s="239"/>
    </row>
    <row r="24" customFormat="false" ht="14.25" hidden="false" customHeight="true" outlineLevel="0" collapsed="false">
      <c r="A24" s="238" t="s">
        <v>497</v>
      </c>
      <c r="B24" s="239"/>
      <c r="C24" s="239"/>
      <c r="D24" s="239"/>
      <c r="E24" s="239"/>
      <c r="F24" s="239"/>
      <c r="G24" s="239"/>
      <c r="H24" s="240"/>
      <c r="I24" s="240"/>
      <c r="J24" s="241" t="str">
        <f aca="false">IF(OR(H24="",I24=""),"",COUNTIF(H24:I24,"YES")/2*$C$7)</f>
        <v/>
      </c>
      <c r="K24" s="239"/>
    </row>
    <row r="25" customFormat="false" ht="14.25" hidden="false" customHeight="true" outlineLevel="0" collapsed="false">
      <c r="A25" s="238" t="s">
        <v>498</v>
      </c>
      <c r="B25" s="239"/>
      <c r="C25" s="239"/>
      <c r="D25" s="239"/>
      <c r="E25" s="239"/>
      <c r="F25" s="239"/>
      <c r="G25" s="239"/>
      <c r="H25" s="240"/>
      <c r="I25" s="240"/>
      <c r="J25" s="241" t="str">
        <f aca="false">IF(OR(H25="",I25=""),"",COUNTIF(H25:I25,"YES")/2*$C$7)</f>
        <v/>
      </c>
      <c r="K25" s="239"/>
    </row>
    <row r="26" customFormat="false" ht="14.25" hidden="false" customHeight="true" outlineLevel="0" collapsed="false">
      <c r="A26" s="238" t="s">
        <v>499</v>
      </c>
      <c r="B26" s="239"/>
      <c r="C26" s="239"/>
      <c r="D26" s="239"/>
      <c r="E26" s="239"/>
      <c r="F26" s="239"/>
      <c r="G26" s="239"/>
      <c r="H26" s="240"/>
      <c r="I26" s="240"/>
      <c r="J26" s="241" t="str">
        <f aca="false">IF(OR(H26="",I26=""),"",COUNTIF(H26:I26,"YES")/2*$C$7)</f>
        <v/>
      </c>
      <c r="K26" s="239"/>
    </row>
    <row r="27" customFormat="false" ht="14.25" hidden="false" customHeight="true" outlineLevel="0" collapsed="false">
      <c r="A27" s="238" t="s">
        <v>500</v>
      </c>
      <c r="B27" s="239"/>
      <c r="C27" s="239"/>
      <c r="D27" s="239"/>
      <c r="E27" s="239"/>
      <c r="F27" s="239"/>
      <c r="G27" s="239"/>
      <c r="H27" s="240"/>
      <c r="I27" s="240"/>
      <c r="J27" s="241" t="str">
        <f aca="false">IF(OR(H27="",I27=""),"",COUNTIF(H27:I27,"YES")/2*$C$7)</f>
        <v/>
      </c>
      <c r="K27" s="239"/>
    </row>
    <row r="28" customFormat="false" ht="14.25" hidden="false" customHeight="true" outlineLevel="0" collapsed="false">
      <c r="A28" s="238" t="s">
        <v>501</v>
      </c>
      <c r="B28" s="239"/>
      <c r="C28" s="239"/>
      <c r="D28" s="239"/>
      <c r="E28" s="239"/>
      <c r="F28" s="239"/>
      <c r="G28" s="239"/>
      <c r="H28" s="240"/>
      <c r="I28" s="240"/>
      <c r="J28" s="241" t="str">
        <f aca="false">IF(OR(H28="",I28=""),"",COUNTIF(H28:I28,"YES")/2*$C$7)</f>
        <v/>
      </c>
      <c r="K28" s="239"/>
    </row>
    <row r="29" customFormat="false" ht="14.25" hidden="false" customHeight="true" outlineLevel="0" collapsed="false">
      <c r="A29" s="238" t="s">
        <v>502</v>
      </c>
      <c r="B29" s="239"/>
      <c r="C29" s="239"/>
      <c r="D29" s="239"/>
      <c r="E29" s="239"/>
      <c r="F29" s="239"/>
      <c r="G29" s="239"/>
      <c r="H29" s="240"/>
      <c r="I29" s="240"/>
      <c r="J29" s="241" t="str">
        <f aca="false">IF(OR(H29="",I29=""),"",COUNTIF(H29:I29,"YES")/2*$C$7)</f>
        <v/>
      </c>
      <c r="K29" s="239"/>
    </row>
    <row r="30" customFormat="false" ht="14.25" hidden="false" customHeight="true" outlineLevel="0" collapsed="false">
      <c r="A30" s="238" t="s">
        <v>503</v>
      </c>
      <c r="B30" s="239"/>
      <c r="C30" s="239"/>
      <c r="D30" s="239"/>
      <c r="E30" s="239"/>
      <c r="F30" s="239"/>
      <c r="G30" s="239"/>
      <c r="H30" s="240"/>
      <c r="I30" s="240"/>
      <c r="J30" s="241" t="str">
        <f aca="false">IF(OR(H30="",I30=""),"",COUNTIF(H30:I30,"YES")/2*$C$7)</f>
        <v/>
      </c>
      <c r="K30" s="239"/>
    </row>
    <row r="31" customFormat="false" ht="14.25" hidden="false" customHeight="true" outlineLevel="0" collapsed="false">
      <c r="A31" s="238" t="s">
        <v>504</v>
      </c>
      <c r="B31" s="239"/>
      <c r="C31" s="239"/>
      <c r="D31" s="239"/>
      <c r="E31" s="239"/>
      <c r="F31" s="239"/>
      <c r="G31" s="239"/>
      <c r="H31" s="240"/>
      <c r="I31" s="240"/>
      <c r="J31" s="241" t="str">
        <f aca="false">IF(OR(H31="",I31=""),"",COUNTIF(H31:I31,"YES")/2*$C$7)</f>
        <v/>
      </c>
      <c r="K31" s="239"/>
    </row>
    <row r="32" customFormat="false" ht="14.25" hidden="false" customHeight="true" outlineLevel="0" collapsed="false">
      <c r="A32" s="238" t="s">
        <v>505</v>
      </c>
      <c r="B32" s="239"/>
      <c r="C32" s="239"/>
      <c r="D32" s="239"/>
      <c r="E32" s="239"/>
      <c r="F32" s="239"/>
      <c r="G32" s="239"/>
      <c r="H32" s="240"/>
      <c r="I32" s="240"/>
      <c r="J32" s="241" t="str">
        <f aca="false">IF(OR(H32="",I32=""),"",COUNTIF(H32:I32,"YES")/2*$C$7)</f>
        <v/>
      </c>
      <c r="K32" s="239"/>
    </row>
    <row r="33" customFormat="false" ht="14.25" hidden="false" customHeight="true" outlineLevel="0" collapsed="false">
      <c r="A33" s="238" t="s">
        <v>506</v>
      </c>
      <c r="B33" s="239"/>
      <c r="C33" s="239"/>
      <c r="D33" s="239"/>
      <c r="E33" s="239"/>
      <c r="F33" s="239"/>
      <c r="G33" s="239"/>
      <c r="H33" s="240"/>
      <c r="I33" s="240"/>
      <c r="J33" s="241" t="str">
        <f aca="false">IF(OR(H33="",I33=""),"",COUNTIF(H33:I33,"YES")/2*$C$7)</f>
        <v/>
      </c>
      <c r="K33" s="239"/>
    </row>
    <row r="34" customFormat="false" ht="14.25" hidden="false" customHeight="true" outlineLevel="0" collapsed="false">
      <c r="A34" s="238" t="s">
        <v>507</v>
      </c>
      <c r="B34" s="239"/>
      <c r="C34" s="239"/>
      <c r="D34" s="239"/>
      <c r="E34" s="239"/>
      <c r="F34" s="239"/>
      <c r="G34" s="239"/>
      <c r="H34" s="240"/>
      <c r="I34" s="240"/>
      <c r="J34" s="241" t="str">
        <f aca="false">IF(OR(H34="",I34=""),"",COUNTIF(H34:I34,"YES")/2*$C$7)</f>
        <v/>
      </c>
      <c r="K34" s="239"/>
    </row>
    <row r="35" customFormat="false" ht="14.25" hidden="false" customHeight="true" outlineLevel="0" collapsed="false">
      <c r="A35" s="238" t="s">
        <v>508</v>
      </c>
      <c r="B35" s="239"/>
      <c r="C35" s="239"/>
      <c r="D35" s="239"/>
      <c r="E35" s="239"/>
      <c r="F35" s="239"/>
      <c r="G35" s="239"/>
      <c r="H35" s="240"/>
      <c r="I35" s="240"/>
      <c r="J35" s="241" t="str">
        <f aca="false">IF(OR(H35="",I35=""),"",COUNTIF(H35:I35,"YES")/2*$C$7)</f>
        <v/>
      </c>
      <c r="K35" s="239"/>
    </row>
    <row r="36" customFormat="false" ht="14.25" hidden="false" customHeight="true" outlineLevel="0" collapsed="false">
      <c r="A36" s="238" t="s">
        <v>509</v>
      </c>
      <c r="B36" s="239"/>
      <c r="C36" s="239"/>
      <c r="D36" s="239"/>
      <c r="E36" s="239"/>
      <c r="F36" s="239"/>
      <c r="G36" s="239"/>
      <c r="H36" s="240"/>
      <c r="I36" s="240"/>
      <c r="J36" s="241" t="str">
        <f aca="false">IF(OR(H36="",I36=""),"",COUNTIF(H36:I36,"YES")/2*$C$7)</f>
        <v/>
      </c>
      <c r="K36" s="239"/>
    </row>
    <row r="37" customFormat="false" ht="14.25" hidden="false" customHeight="true" outlineLevel="0" collapsed="false">
      <c r="A37" s="238" t="s">
        <v>510</v>
      </c>
      <c r="B37" s="239"/>
      <c r="C37" s="239"/>
      <c r="D37" s="239"/>
      <c r="E37" s="239"/>
      <c r="F37" s="239"/>
      <c r="G37" s="239"/>
      <c r="H37" s="240"/>
      <c r="I37" s="240"/>
      <c r="J37" s="241" t="str">
        <f aca="false">IF(OR(H37="",I37=""),"",COUNTIF(H37:I37,"YES")/2*$C$7)</f>
        <v/>
      </c>
      <c r="K37" s="239"/>
    </row>
    <row r="38" customFormat="false" ht="14.25" hidden="false" customHeight="true" outlineLevel="0" collapsed="false">
      <c r="A38" s="238" t="s">
        <v>511</v>
      </c>
      <c r="B38" s="239"/>
      <c r="C38" s="239"/>
      <c r="D38" s="239"/>
      <c r="E38" s="239"/>
      <c r="F38" s="239"/>
      <c r="G38" s="239"/>
      <c r="H38" s="240"/>
      <c r="I38" s="240"/>
      <c r="J38" s="241" t="str">
        <f aca="false">IF(OR(H38="",I38=""),"",COUNTIF(H38:I38,"YES")/2*$C$7)</f>
        <v/>
      </c>
      <c r="K38" s="239"/>
    </row>
    <row r="39" customFormat="false" ht="14.25" hidden="false" customHeight="true" outlineLevel="0" collapsed="false">
      <c r="A39" s="238" t="s">
        <v>512</v>
      </c>
      <c r="B39" s="239"/>
      <c r="C39" s="239"/>
      <c r="D39" s="239"/>
      <c r="E39" s="239"/>
      <c r="F39" s="239"/>
      <c r="G39" s="239"/>
      <c r="H39" s="240"/>
      <c r="I39" s="240"/>
      <c r="J39" s="241" t="str">
        <f aca="false">IF(OR(H39="",I39=""),"",COUNTIF(H39:I39,"YES")/2*$C$7)</f>
        <v/>
      </c>
      <c r="K39" s="239"/>
    </row>
    <row r="40" customFormat="false" ht="14.25" hidden="false" customHeight="true" outlineLevel="0" collapsed="false">
      <c r="A40" s="238" t="s">
        <v>513</v>
      </c>
      <c r="B40" s="239"/>
      <c r="C40" s="239"/>
      <c r="D40" s="239"/>
      <c r="E40" s="239"/>
      <c r="F40" s="239"/>
      <c r="G40" s="239"/>
      <c r="H40" s="240"/>
      <c r="I40" s="240"/>
      <c r="J40" s="241" t="str">
        <f aca="false">IF(OR(H40="",I40=""),"",COUNTIF(H40:I40,"YES")/2*$C$7)</f>
        <v/>
      </c>
      <c r="K40" s="239"/>
    </row>
    <row r="41" customFormat="false" ht="14.25" hidden="false" customHeight="true" outlineLevel="0" collapsed="false">
      <c r="A41" s="238" t="s">
        <v>514</v>
      </c>
      <c r="B41" s="239"/>
      <c r="C41" s="239"/>
      <c r="D41" s="239"/>
      <c r="E41" s="239"/>
      <c r="F41" s="239"/>
      <c r="G41" s="239"/>
      <c r="H41" s="240"/>
      <c r="I41" s="240"/>
      <c r="J41" s="241" t="str">
        <f aca="false">IF(OR(H41="",I41=""),"",COUNTIF(H41:I41,"YES")/2*$C$7)</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hyperlinks>
    <hyperlink ref="G14" r:id="rId1" display="https://ksrsac.karnataka.gov.in/map.asp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0" activeCellId="0" sqref="G10"/>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258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city have a notified and active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 website, relevant parastatal/sectoral agency website, master plan and other official government sources for the existence of the relevant plan.The plan should be currently applicable/active for the city. Do not treat a strategy, guideline, mission document, project report, or brief document prepared solely to satisfy a scheme requirement as a sectoral plan unless it performs the functions of a city-level sectoral plan. For the city sanitation plan, a one-page document prepared for the Swachh Bharat Mission shall not qualify, consistent with your existing methodology.</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"UPD23a1: Water Supply &amp; Sewerage Plan ("&amp;TEXT($C$7/3,"0.00")&amp;")"</f>
        <v>UPD23a1: Water Supply &amp; Sewerage Plan (1.11)</v>
      </c>
      <c r="I12" s="237" t="str">
        <f aca="false">"UPD23a2: Solid Waste Management Plan ("&amp;TEXT($C$7/3,"0.00")&amp;")"</f>
        <v>UPD23a2: Solid Waste Management Plan (1.11)</v>
      </c>
      <c r="J12" s="237" t="str">
        <f aca="false">"UPD23a3: City Sanitation Plan ("&amp;TEXT($C$7/3,"0.00")&amp;")"</f>
        <v>UPD23a3: City Sanitation Plan (1.11)</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5" hidden="false" customHeight="true" outlineLevel="0" collapsed="false">
      <c r="A14" s="238" t="s">
        <v>487</v>
      </c>
      <c r="B14" s="239"/>
      <c r="C14" s="239"/>
      <c r="D14" s="239"/>
      <c r="E14" s="239"/>
      <c r="F14" s="239"/>
      <c r="G14" s="243" t="s">
        <v>820</v>
      </c>
      <c r="H14" s="240" t="s">
        <v>804</v>
      </c>
      <c r="I14" s="240" t="s">
        <v>799</v>
      </c>
      <c r="J14" s="240" t="s">
        <v>799</v>
      </c>
      <c r="K14" s="241" t="n">
        <f aca="false">IF(OR(H14="",I14="",J14=""),"",COUNTIF(H14:J14,"YES")/3*$C$7)</f>
        <v>1.11</v>
      </c>
      <c r="L14" s="239" t="s">
        <v>821</v>
      </c>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6" activeCellId="0" sqref="G16"/>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275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have development priorities and measureable objectives?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identifies clear sector-specific development priorities/interventions; and specifies measurable objectives or targets against the identified priorities, including quantitative or qualitative indicators, as appropriate. Examples may include targets relating to service coverage, reduction of service gaps, treatment and processing capacity, network expansion, reduction of losses, wastewater treatment, waste segregation/processing, safe disposal of faecal sludge, or reduction in untreated sewage discharge, as relevant to the sector. General statements of intent, such as improving sanitation, achieving universal water supply or creating a clean city, without identifiable priorities/interventions and measurable objectives or targets, shall not qualify.</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"UPD23b1: Water Supply &amp; Sewerage Plan ("&amp;TEXT($C$7/3,"0.00")&amp;")"</f>
        <v>UPD23b1: Water Supply &amp; Sewerage Plan (1.11)</v>
      </c>
      <c r="I12" s="237" t="str">
        <f aca="false">"UPD23b2: Solid Waste Management Plan ("&amp;TEXT($C$7/3,"0.00")&amp;")"</f>
        <v>UPD23b2: Solid Waste Management Plan (1.11)</v>
      </c>
      <c r="J12" s="237" t="str">
        <f aca="false">"UPD23b3: City Sanitation Plan ("&amp;TEXT($C$7/3,"0.00")&amp;")"</f>
        <v>UPD23b3: City Sanitation Plan (1.11)</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5" hidden="false" customHeight="true" outlineLevel="0" collapsed="false">
      <c r="A14" s="238" t="s">
        <v>487</v>
      </c>
      <c r="B14" s="239"/>
      <c r="C14" s="239"/>
      <c r="D14" s="239"/>
      <c r="E14" s="239"/>
      <c r="F14" s="239"/>
      <c r="G14" s="243" t="s">
        <v>820</v>
      </c>
      <c r="H14" s="240" t="s">
        <v>804</v>
      </c>
      <c r="I14" s="240" t="s">
        <v>799</v>
      </c>
      <c r="J14" s="240" t="s">
        <v>799</v>
      </c>
      <c r="K14" s="241" t="n">
        <f aca="false">IF(OR(H14="",I14="",J14=""),"",COUNTIF(H14:J14,"YES")/3*$C$7)</f>
        <v>1.11</v>
      </c>
      <c r="L14" s="239" t="s">
        <v>822</v>
      </c>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D9" colorId="64" zoomScale="100" zoomScaleNormal="100" zoomScalePageLayoutView="100" workbookViewId="0">
      <selection pane="topLeft" activeCell="G19" activeCellId="0" sqref="G19"/>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285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Water supply and sewerage, sanitation, solid waste management  &gt;:&lt; Water supply and sewerage, sanitation, solid waste management </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Water Supply and Sewerage Plan, City Sanitation Plan, and Solid Waste Management Plan  that clearly articulates development priorities, measurable objectives, and the roles and responsibilities of the ULG? &gt;:&lt; Does the plan clearly articulate the role of the ULG?</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plan clearly assigns the ULG a defined role and/or specific responsibilities in implementation of the plan. This may include responsibility for service delivery, infrastructure creation, financing, operations and maintenance, monitoring, coordination with other agencies, or other functions relevant to implementation.A general reference to the ULG as a stakeholder or participating institution, without identifiable responsibilities, shall not qualify.</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"UPD23c1: Water Supply &amp; Sewerage Plan ("&amp;TEXT($C$7/3,"0.00")&amp;")"</f>
        <v>UPD23c1: Water Supply &amp; Sewerage Plan (1.11)</v>
      </c>
      <c r="I12" s="237" t="str">
        <f aca="false">"UPD23c2: Solid Waste Management Plan ("&amp;TEXT($C$7/3,"0.00")&amp;")"</f>
        <v>UPD23c2: Solid Waste Management Plan (1.11)</v>
      </c>
      <c r="J12" s="237" t="str">
        <f aca="false">"UPD23c3: City Sanitation Plan ("&amp;TEXT($C$7/3,"0.00")&amp;")"</f>
        <v>UPD23c3: City Sanitation Plan (1.11)</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IF(OR(H13="",I13="",J13=""),"",COUNTIF(H13:J13,"YES")/3*$C$7)</f>
        <v/>
      </c>
      <c r="L13" s="239"/>
    </row>
    <row r="14" customFormat="false" ht="15" hidden="false" customHeight="true" outlineLevel="0" collapsed="false">
      <c r="A14" s="238" t="s">
        <v>487</v>
      </c>
      <c r="B14" s="239"/>
      <c r="C14" s="239"/>
      <c r="D14" s="239"/>
      <c r="E14" s="239"/>
      <c r="F14" s="239"/>
      <c r="G14" s="243" t="s">
        <v>820</v>
      </c>
      <c r="H14" s="240" t="s">
        <v>799</v>
      </c>
      <c r="I14" s="240" t="s">
        <v>799</v>
      </c>
      <c r="J14" s="240" t="s">
        <v>799</v>
      </c>
      <c r="K14" s="241" t="n">
        <f aca="false">IF(OR(H14="",I14="",J14=""),"",COUNTIF(H14:J14,"YES")/3*$C$7)</f>
        <v>0</v>
      </c>
      <c r="L14" s="239" t="s">
        <v>823</v>
      </c>
    </row>
    <row r="15" customFormat="false" ht="14.25" hidden="false" customHeight="true" outlineLevel="0" collapsed="false">
      <c r="A15" s="238" t="s">
        <v>488</v>
      </c>
      <c r="B15" s="239"/>
      <c r="C15" s="239"/>
      <c r="D15" s="239"/>
      <c r="E15" s="239"/>
      <c r="F15" s="239"/>
      <c r="G15" s="239"/>
      <c r="H15" s="240"/>
      <c r="I15" s="240"/>
      <c r="J15" s="240"/>
      <c r="K15" s="241" t="str">
        <f aca="false">IF(OR(H15="",I15="",J15=""),"",COUNTIF(H15:J15,"YES")/3*$C$7)</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IF(OR(H16="",I16="",J16=""),"",COUNTIF(H16:J16,"YES")/3*$C$7)</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IF(OR(H17="",I17="",J17=""),"",COUNTIF(H17:J17,"YES")/3*$C$7)</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IF(OR(H18="",I18="",J18=""),"",COUNTIF(H18:J18,"YES")/3*$C$7)</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IF(OR(H19="",I19="",J19=""),"",COUNTIF(H19:J19,"YES")/3*$C$7)</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IF(OR(H20="",I20="",J20=""),"",COUNTIF(H20:J20,"YES")/3*$C$7)</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IF(OR(H21="",I21="",J21=""),"",COUNTIF(H21:J21,"YES")/3*$C$7)</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IF(OR(H22="",I22="",J22=""),"",COUNTIF(H22:J22,"YES")/3*$C$7)</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IF(OR(H23="",I23="",J23=""),"",COUNTIF(H23:J23,"YES")/3*$C$7)</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IF(OR(H24="",I24="",J24=""),"",COUNTIF(H24:J24,"YES")/3*$C$7)</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IF(OR(H25="",I25="",J25=""),"",COUNTIF(H25:J25,"YES")/3*$C$7)</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IF(OR(H26="",I26="",J26=""),"",COUNTIF(H26:J26,"YES")/3*$C$7)</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IF(OR(H27="",I27="",J27=""),"",COUNTIF(H27:J27,"YES")/3*$C$7)</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IF(OR(H28="",I28="",J28=""),"",COUNTIF(H28:J28,"YES")/3*$C$7)</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IF(OR(H29="",I29="",J29=""),"",COUNTIF(H29:J29,"YES")/3*$C$7)</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IF(OR(H30="",I30="",J30=""),"",COUNTIF(H30:J30,"YES")/3*$C$7)</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IF(OR(H31="",I31="",J31=""),"",COUNTIF(H31:J31,"YES")/3*$C$7)</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IF(OR(H32="",I32="",J32=""),"",COUNTIF(H32:J32,"YES")/3*$C$7)</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IF(OR(H33="",I33="",J33=""),"",COUNTIF(H33:J33,"YES")/3*$C$7)</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IF(OR(H34="",I34="",J34=""),"",COUNTIF(H34:J34,"YES")/3*$C$7)</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IF(OR(H35="",I35="",J35=""),"",COUNTIF(H35:J35,"YES")/3*$C$7)</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IF(OR(H36="",I36="",J36=""),"",COUNTIF(H36:J36,"YES")/3*$C$7)</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IF(OR(H37="",I37="",J37=""),"",COUNTIF(H37:J37,"YES")/3*$C$7)</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IF(OR(H38="",I38="",J38=""),"",COUNTIF(H38:J38,"YES")/3*$C$7)</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IF(OR(H39="",I39="",J39=""),"",COUNTIF(H39:J39,"YES")/3*$C$7)</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IF(OR(H40="",I40="",J40=""),"",COUNTIF(H40:J40,"YES")/3*$C$7)</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IF(OR(H41="",I41="",J41=""),"",COUNTIF(H41:J41,"YES")/3*$C$7)</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hyperlinks>
    <hyperlink ref="G14" r:id="rId1" display="https://bwssb.karnataka.gov.in/storage/pdf-files/documents/Vision%20Document%202050%20%20new.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299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city have a notified and active Sustainability/Resilience Strategy?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website/city website  for the existence of a Climate Action Plan, City Resilience Strategy or Sustainability Strategy. The document must be formally adopted or approved by the competent authority (a  ULG/Council resolution, a Government Order, or integration into the statutory municipal/city plan/DP) to be scored.  A Disaster Management Plan may also be considered as evidence.  If the plan/ strategy does exist  score 3.33, or score 0 otherwise.                                                                                                                                Note: A draft document. Independent consultant's report/academic /NGO reports will not be considered.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Independent consultant's report/academic reports will not be considered.</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2" t="s">
        <v>824</v>
      </c>
      <c r="H14" s="240" t="s">
        <v>804</v>
      </c>
      <c r="I14" s="241" t="n">
        <f aca="false">IF(H14="YES",$C$7,IF(H14="NO",0,""))</f>
        <v>3.33</v>
      </c>
      <c r="J14" s="244" t="s">
        <v>825</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1" activeCellId="0" sqref="G11"/>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304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have development priorities and measurable objectives?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climate action plan, city resilience strategy, sustainability strategy or disaster management plan identifies clear priorities and specifies measurable objectives or targets against those priorities, including quantitative or qualitative indicators, as appropriate. Examples may include greenhouse-gas emission reduction or net-zero targets; reduction in exposure to heat, flooding or other climate hazards; increase in green cover; flood-risk mitigation; water security; or other climate adaptation and resilience outcomes.A general statement of intent, such as becoming climate-resilient, sustainable or reducing emissions, without identifiable priorities and measurable objectives or targets, shall not qualify.Score 3.33 if the plan identifies atleast two or more clear priorities and includes measurable objectives or targets against those priorities;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2" t="s">
        <v>826</v>
      </c>
      <c r="H14" s="240" t="s">
        <v>804</v>
      </c>
      <c r="I14" s="241" t="n">
        <f aca="false">IF(H14="YES",$C$7,IF(H14="NO",0,""))</f>
        <v>3.33</v>
      </c>
      <c r="J14" s="239" t="s">
        <v>827</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308</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Sustainability, resilience and climate action &gt;:&lt; Sustainability, resilience and climate action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Sustainability/ Resilience Strategy/Climate Action Plan that clearly articulates development priorities, measurable objectives, and the roles and responsibilities of the ULG? &gt;:&lt; Does the plan clearly articulate the role of the ULG?</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Score 3.33 where the plan clearly articulates the role/responsibilities of the ULG in its preparation/implementation;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2" t="s">
        <v>826</v>
      </c>
      <c r="H14" s="240" t="s">
        <v>804</v>
      </c>
      <c r="I14" s="241" t="n">
        <f aca="false">IF(H14="YES",$C$7,IF(H14="NO",0,""))</f>
        <v>3.33</v>
      </c>
      <c r="J14" s="239" t="s">
        <v>828</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H18" activeCellId="0" sqref="H18"/>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315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city have a notified and active Comprehensive Mobility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plan/ULB website/parastatal website/UMTA or State transport department website for the existence of a Comprehensive Mobility Plan (CMP). The plan must be formally adopted or approved by the competent authority (approval by the UMTA where one exists, the State Government, or a Municipal Corporation/Council resolution) to be scored - a draft, a consultant's report or an unadopted study will not be considered.Check whether the city has a Comprehensive Mobility Plan (CMP) that has been formally adopted or approved by the competent authority, such as the UMTA, the Urban Development Department, Transport Department or the ULG/Council through a resolution. Sources may include the municipal/city plan, the ULB website, parastatal websites, and the UMTA or State Transport Department website.A draft CMP, a consultant's report, or an unadopted study, without evidence of formal adoption or approval, shall not qualify.Score 3.33 if the city has a CMP formally adopted or approved by the competent authority;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3" t="s">
        <v>829</v>
      </c>
      <c r="H14" s="240" t="s">
        <v>804</v>
      </c>
      <c r="I14" s="241" t="n">
        <f aca="false">IF(H14="YES",$C$7,IF(H14="NO",0,""))</f>
        <v>3.33</v>
      </c>
      <c r="J14" s="239" t="s">
        <v>830</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G14" r:id="rId1" display="https://dult.karnataka.gov.in/assets/front/pdf/Comprehensive_Mobility_Pla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H18" activeCellId="0" sqref="H18"/>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319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have development priorities and measurable objectives?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identifies clear priorities and specifies measurable objectives or targets against those priorities, including quantitative or qualitative indicators, as appropriate. Examples may include a target mode share for sustainable modes (public transport, walking and cycling); targets for road safety or transport-related emissions; or actionable projects with measurable timelines, budget estimates and a phasing plan.A general statement of intent, such as improving mobility, promoting public transport or reducing congestion, without identifiable priorities and measurable objectives or targets, shall not qualify.Score 3.33 if the CMP identifies atleast two or more clear priorities and includes measurable objectives or targets against those priorities;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3" t="s">
        <v>829</v>
      </c>
      <c r="H14" s="240" t="s">
        <v>804</v>
      </c>
      <c r="I14" s="241" t="n">
        <f aca="false">IF(H14="YES",$C$7,IF(H14="NO",0,""))</f>
        <v>3.33</v>
      </c>
      <c r="J14" s="239" t="s">
        <v>831</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G14" r:id="rId1" display="https://dult.karnataka.gov.in/assets/front/pdf/Comprehensive_Mobility_Pla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C9" colorId="64" zoomScale="100" zoomScaleNormal="100" zoomScalePageLayoutView="100" workbookViewId="0">
      <selection pane="topLeft" activeCell="G17" activeCellId="0" sqref="G17"/>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322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Comprehensive mobility planning &gt;:&lt; Comprehensive mobility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Comprehensive Mobility Plan that clearly articulates development priorities, measurable objectives, and the roles and responsibilities of the ULG? &gt;:&lt; Does the plan clearly articulate the role of the ULG?</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CMP clearly articulates the roles and responsibilities of the Urban Local Government (ULG) in its preparation and/or implementation. Examples may include the ULG's participation in preparing the plan, such as membership of the steering or technical committee or a council resolution endorsing it; the assignment of specific projects, programmes or actions to the ULG; responsibilities for funding, execution, operation or maintenance of identified interventions; or the ULG's role in monitoring and reviewing the plan's progress.A passing mention of the ULG as a stakeholder, or a general reference to coordination among agencies, without specifying the ULG's role or responsibilities, shall not qualify.Score 3.3 if the CMP clearly articulates the roles and responsibilities of the ULG in its preparation and/or implementation;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3" t="s">
        <v>829</v>
      </c>
      <c r="H14" s="240" t="s">
        <v>804</v>
      </c>
      <c r="I14" s="241" t="n">
        <f aca="false">IF(H14="YES",$C$7,IF(H14="NO",0,""))</f>
        <v>3.33</v>
      </c>
      <c r="J14" s="239" t="s">
        <v>832</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G14" r:id="rId1" display="https://dult.karnataka.gov.in/assets/front/pdf/Comprehensive_Mobility_Pla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10" colorId="64" zoomScale="100" zoomScaleNormal="100" zoomScalePageLayoutView="100" workbookViewId="0">
      <selection pane="topLeft" activeCell="J14" activeCellId="0" sqref="J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329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city have a notified and active Economic Vision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the municipal/city plan, ULG website, relevant parastatal website, or city/district website for the existence of an Economic Vision, Economic Development Plan or equivalent city-level economic strategy. The document must:Be a final document; draft documents shall not be considered.Be formally adopted/approved by the competent authority, evidenced through a Municipal Corporation/Council resolution, Government Order, formal approval by the competent authority, or integration into the statutory municipal/city plan/Development Plan.Be currently active/applicable. Where the document specifies a validity or implementation period, the city must be within that period at the time of assessment. An expired or superseded plan shall not be considered.Independent consultant reports, academic studies/reports, background studies or other documents that have not been formally adopted/approved by the competent authority shall not be considered.Score 3.3 if the city has a final, formally adopted/approved and currently active/applicable Economic Vision, Economic Development Plan or equivalent city-level economic strategy that meets all the above conditions;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5" hidden="false" customHeight="true" outlineLevel="0" collapsed="false">
      <c r="A14" s="238" t="s">
        <v>487</v>
      </c>
      <c r="B14" s="239"/>
      <c r="C14" s="239"/>
      <c r="D14" s="239"/>
      <c r="E14" s="239"/>
      <c r="F14" s="239"/>
      <c r="G14" s="243" t="s">
        <v>833</v>
      </c>
      <c r="H14" s="240" t="s">
        <v>799</v>
      </c>
      <c r="I14" s="241" t="n">
        <f aca="false">IF(H14="YES",$C$7,IF(H14="NO",0,""))</f>
        <v>0</v>
      </c>
      <c r="J14" s="239" t="s">
        <v>834</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hyperlinks>
    <hyperlink ref="G14" r:id="rId1" display="https://www.thehindu.com/news/cities/bangalore/proposed-economic-masterplan-for-bengaluru-metropolitan-region-targets-75-public-transport/article71420718.ec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J14" activeCellId="0" sqref="J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333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have development priorities and measurable objectives?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identifies clear economic development priorities and specifies measurable objectives or targets against those priorities, including quantitative or qualitative indicators, as appropriate. Examples may include targets relating to employment/job creation, workforce participation, development of identified economic sectors or clusters, land/infrastructure provision for economic activities, enterprise development, or investment to be mobilised. A general statement of intent, such as making the city an economic hub, promoting economic growth or generating employment, without identifiable priorities and measurable objectives or targets, shall not qualify. Score 3.3 if the plan identifies  atleast two or more clear economic development priorities and includes measurable objectives or targets against those priorities;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t="s">
        <v>799</v>
      </c>
      <c r="I14" s="241" t="n">
        <f aca="false">IF(H14="YES",$C$7,IF(H14="NO",0,""))</f>
        <v>0</v>
      </c>
      <c r="J14" s="239" t="s">
        <v>835</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J11" activeCellId="0" sqref="J11"/>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336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Sectoral planning &gt;:&lt; Sectoral planning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Economic development planning &gt;:&lt; Economic development planning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an Economic Vision Plan that clearly articulates development priorities, measurable objectives, and the roles and responsibilities of the ULG? &gt;:&lt; Does the plan clearly articulate the role of the ULG?</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3.33</v>
      </c>
      <c r="C7" s="232" t="n">
        <f aca="false">VLOOKUP($B$1,'UPD Questions_290926 '!$E$1:$N$300,MATCH($A$7,'UPD Questions_290926 '!$E$1:$N$1,0),0)</f>
        <v>3.33</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NA &gt;:&lt; Check whether the plan clearly assigns the ULG a defined role and/or specific responsibilities in implementation of the economic vision/strategy. This may include responsibility for facilitating economic development initiatives, providing enabling infrastructure, supporting livelihoods or enterprises, financing, implementing identified projects, monitoring progress against economic targets, or coordinating with relevant government departments, parastatals, and other agencies. A general reference to the ULG as a stakeholder, partner or participating institution, without identifiable responsibilities, shall not qualify. Score 3.3 where the plan clearly assigns the ULG defined roles and/or specific responsibilities in implementation;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t="s">
        <v>799</v>
      </c>
      <c r="I14" s="241" t="n">
        <f aca="false">IF(H14="YES",$C$7,IF(H14="NO",0,""))</f>
        <v>0</v>
      </c>
      <c r="J14" s="239" t="s">
        <v>835</v>
      </c>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1" min="8" style="68" width="22"/>
    <col collapsed="false" customWidth="true" hidden="false" outlineLevel="0" max="12" min="12" style="68" width="14"/>
    <col collapsed="false" customWidth="true" hidden="false" outlineLevel="0" max="13" min="13" style="68" width="45"/>
    <col collapsed="false" customWidth="true" hidden="false" outlineLevel="0" max="18" min="14" style="68" width="30"/>
  </cols>
  <sheetData>
    <row r="1" customFormat="false" ht="14.25" hidden="false" customHeight="true" outlineLevel="0" collapsed="false">
      <c r="A1" s="230" t="s">
        <v>777</v>
      </c>
      <c r="B1" s="230" t="s">
        <v>342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Does the city have adequate professional town-planning capacity?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number of filled positions (against the sanctioned posts) of town/urban planners in the ULG and, where applicable, the Development/Planning Authority responsible for planning the city. Town planners per lakh population = (Filled qualified town planners in the ULG + filled qualified town planners attributable to the city in the Development/Planning Authority) ÷ Census 2011 population × 1,00,000 Cities assessed will receive a Score of 5. All other cities will be scored proportionately against this benchmark.Score = (Town planners per lakh population in the city ÷ Highest town planners per lakh population among cities assessed) × 5For example, if the highest-performing city has 2 planners/lakh, a city with 1.5 planners/lakh scores 3.75, and one with 1 planner/lakh scores 2.5.</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Scorer comment - Record in the score sheet, separately for the ULG and Development/Planning Authority: total sanctioned town-planner positions; total filled positions; vacancies and vacancy rate; women and men among filled positions; and town planners per lakh population.</v>
      </c>
      <c r="H10" s="233" t="s">
        <v>836</v>
      </c>
    </row>
    <row r="11" customFormat="false" ht="28.5" hidden="false" customHeight="true" outlineLevel="0" collapsed="false">
      <c r="H11" s="234" t="s">
        <v>837</v>
      </c>
      <c r="I11" s="234" t="s">
        <v>837</v>
      </c>
      <c r="J11" s="234" t="s">
        <v>838</v>
      </c>
      <c r="K11" s="234" t="s">
        <v>839</v>
      </c>
      <c r="L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840</v>
      </c>
      <c r="I12" s="237" t="s">
        <v>841</v>
      </c>
      <c r="J12" s="237" t="s">
        <v>842</v>
      </c>
      <c r="K12" s="245" t="s">
        <v>843</v>
      </c>
      <c r="L12" s="235" t="s">
        <v>791</v>
      </c>
      <c r="M12" s="237" t="s">
        <v>792</v>
      </c>
      <c r="N12" s="237" t="s">
        <v>844</v>
      </c>
      <c r="O12" s="237" t="s">
        <v>845</v>
      </c>
      <c r="P12" s="237" t="s">
        <v>846</v>
      </c>
      <c r="Q12" s="237" t="s">
        <v>847</v>
      </c>
      <c r="R12" s="237" t="s">
        <v>848</v>
      </c>
    </row>
    <row r="13" customFormat="false" ht="14.25" hidden="false" customHeight="true" outlineLevel="0" collapsed="false">
      <c r="A13" s="238" t="s">
        <v>486</v>
      </c>
      <c r="B13" s="239"/>
      <c r="C13" s="239"/>
      <c r="D13" s="239"/>
      <c r="E13" s="239"/>
      <c r="F13" s="239"/>
      <c r="G13" s="239"/>
      <c r="H13" s="240"/>
      <c r="I13" s="240"/>
      <c r="J13" s="240"/>
      <c r="K13" s="246" t="str">
        <f aca="false">IF(OR(H13="",I13="",J13=""),"",(H13+I13)/J13*100000)</f>
        <v/>
      </c>
      <c r="L13" s="241" t="str">
        <f aca="false">IF(K13="","",IF(MAX($K$13:$K$41)=0,0,K13/MAX($K$13:$K$41)*$C$7))</f>
        <v/>
      </c>
      <c r="M13" s="239"/>
      <c r="N13" s="239"/>
      <c r="O13" s="239"/>
      <c r="P13" s="239"/>
      <c r="Q13" s="239"/>
      <c r="R13" s="239"/>
    </row>
    <row r="14" customFormat="false" ht="14.25" hidden="false" customHeight="true" outlineLevel="0" collapsed="false">
      <c r="A14" s="238" t="s">
        <v>487</v>
      </c>
      <c r="B14" s="239"/>
      <c r="C14" s="239"/>
      <c r="D14" s="239"/>
      <c r="E14" s="239"/>
      <c r="F14" s="239"/>
      <c r="G14" s="239"/>
      <c r="H14" s="240"/>
      <c r="I14" s="240"/>
      <c r="J14" s="240"/>
      <c r="K14" s="246" t="str">
        <f aca="false">IF(OR(H14="",I14="",J14=""),"",(H14+I14)/J14*100000)</f>
        <v/>
      </c>
      <c r="L14" s="241" t="str">
        <f aca="false">IF(K14="","",IF(MAX($K$13:$K$41)=0,0,K14/MAX($K$13:$K$41)*$C$7))</f>
        <v/>
      </c>
      <c r="M14" s="239"/>
      <c r="N14" s="239"/>
      <c r="O14" s="239"/>
      <c r="P14" s="239"/>
      <c r="Q14" s="239"/>
      <c r="R14" s="239"/>
    </row>
    <row r="15" customFormat="false" ht="14.25" hidden="false" customHeight="true" outlineLevel="0" collapsed="false">
      <c r="A15" s="238" t="s">
        <v>488</v>
      </c>
      <c r="B15" s="239"/>
      <c r="C15" s="239"/>
      <c r="D15" s="239"/>
      <c r="E15" s="239"/>
      <c r="F15" s="239"/>
      <c r="G15" s="239"/>
      <c r="H15" s="240"/>
      <c r="I15" s="240"/>
      <c r="J15" s="240"/>
      <c r="K15" s="246" t="str">
        <f aca="false">IF(OR(H15="",I15="",J15=""),"",(H15+I15)/J15*100000)</f>
        <v/>
      </c>
      <c r="L15" s="241" t="str">
        <f aca="false">IF(K15="","",IF(MAX($K$13:$K$41)=0,0,K15/MAX($K$13:$K$41)*$C$7))</f>
        <v/>
      </c>
      <c r="M15" s="239"/>
      <c r="N15" s="239"/>
      <c r="O15" s="239"/>
      <c r="P15" s="239"/>
      <c r="Q15" s="239"/>
      <c r="R15" s="239"/>
    </row>
    <row r="16" customFormat="false" ht="14.25" hidden="false" customHeight="true" outlineLevel="0" collapsed="false">
      <c r="A16" s="238" t="s">
        <v>489</v>
      </c>
      <c r="B16" s="239"/>
      <c r="C16" s="239"/>
      <c r="D16" s="239"/>
      <c r="E16" s="239"/>
      <c r="F16" s="239"/>
      <c r="G16" s="239"/>
      <c r="H16" s="240"/>
      <c r="I16" s="240"/>
      <c r="J16" s="240"/>
      <c r="K16" s="246" t="str">
        <f aca="false">IF(OR(H16="",I16="",J16=""),"",(H16+I16)/J16*100000)</f>
        <v/>
      </c>
      <c r="L16" s="241" t="str">
        <f aca="false">IF(K16="","",IF(MAX($K$13:$K$41)=0,0,K16/MAX($K$13:$K$41)*$C$7))</f>
        <v/>
      </c>
      <c r="M16" s="239"/>
      <c r="N16" s="239"/>
      <c r="O16" s="239"/>
      <c r="P16" s="239"/>
      <c r="Q16" s="239"/>
      <c r="R16" s="239"/>
    </row>
    <row r="17" customFormat="false" ht="14.25" hidden="false" customHeight="true" outlineLevel="0" collapsed="false">
      <c r="A17" s="238" t="s">
        <v>490</v>
      </c>
      <c r="B17" s="239"/>
      <c r="C17" s="239"/>
      <c r="D17" s="239"/>
      <c r="E17" s="239"/>
      <c r="F17" s="239"/>
      <c r="G17" s="239"/>
      <c r="H17" s="240"/>
      <c r="I17" s="240"/>
      <c r="J17" s="240"/>
      <c r="K17" s="246" t="str">
        <f aca="false">IF(OR(H17="",I17="",J17=""),"",(H17+I17)/J17*100000)</f>
        <v/>
      </c>
      <c r="L17" s="241" t="str">
        <f aca="false">IF(K17="","",IF(MAX($K$13:$K$41)=0,0,K17/MAX($K$13:$K$41)*$C$7))</f>
        <v/>
      </c>
      <c r="M17" s="239"/>
      <c r="N17" s="239"/>
      <c r="O17" s="239"/>
      <c r="P17" s="239"/>
      <c r="Q17" s="239"/>
      <c r="R17" s="239"/>
    </row>
    <row r="18" customFormat="false" ht="14.25" hidden="false" customHeight="true" outlineLevel="0" collapsed="false">
      <c r="A18" s="238" t="s">
        <v>491</v>
      </c>
      <c r="B18" s="239"/>
      <c r="C18" s="239"/>
      <c r="D18" s="239"/>
      <c r="E18" s="239"/>
      <c r="F18" s="239"/>
      <c r="G18" s="239"/>
      <c r="H18" s="240"/>
      <c r="I18" s="240"/>
      <c r="J18" s="240"/>
      <c r="K18" s="246" t="str">
        <f aca="false">IF(OR(H18="",I18="",J18=""),"",(H18+I18)/J18*100000)</f>
        <v/>
      </c>
      <c r="L18" s="241" t="str">
        <f aca="false">IF(K18="","",IF(MAX($K$13:$K$41)=0,0,K18/MAX($K$13:$K$41)*$C$7))</f>
        <v/>
      </c>
      <c r="M18" s="239"/>
      <c r="N18" s="239"/>
      <c r="O18" s="239"/>
      <c r="P18" s="239"/>
      <c r="Q18" s="239"/>
      <c r="R18" s="239"/>
    </row>
    <row r="19" customFormat="false" ht="14.25" hidden="false" customHeight="true" outlineLevel="0" collapsed="false">
      <c r="A19" s="238" t="s">
        <v>492</v>
      </c>
      <c r="B19" s="239"/>
      <c r="C19" s="239"/>
      <c r="D19" s="239"/>
      <c r="E19" s="239"/>
      <c r="F19" s="239"/>
      <c r="G19" s="239"/>
      <c r="H19" s="240"/>
      <c r="I19" s="240"/>
      <c r="J19" s="240"/>
      <c r="K19" s="246" t="str">
        <f aca="false">IF(OR(H19="",I19="",J19=""),"",(H19+I19)/J19*100000)</f>
        <v/>
      </c>
      <c r="L19" s="241" t="str">
        <f aca="false">IF(K19="","",IF(MAX($K$13:$K$41)=0,0,K19/MAX($K$13:$K$41)*$C$7))</f>
        <v/>
      </c>
      <c r="M19" s="239"/>
      <c r="N19" s="239"/>
      <c r="O19" s="239"/>
      <c r="P19" s="239"/>
      <c r="Q19" s="239"/>
      <c r="R19" s="239"/>
    </row>
    <row r="20" customFormat="false" ht="14.25" hidden="false" customHeight="true" outlineLevel="0" collapsed="false">
      <c r="A20" s="238" t="s">
        <v>493</v>
      </c>
      <c r="B20" s="239"/>
      <c r="C20" s="239"/>
      <c r="D20" s="239"/>
      <c r="E20" s="239"/>
      <c r="F20" s="239"/>
      <c r="G20" s="239"/>
      <c r="H20" s="240"/>
      <c r="I20" s="240"/>
      <c r="J20" s="240"/>
      <c r="K20" s="246" t="str">
        <f aca="false">IF(OR(H20="",I20="",J20=""),"",(H20+I20)/J20*100000)</f>
        <v/>
      </c>
      <c r="L20" s="241" t="str">
        <f aca="false">IF(K20="","",IF(MAX($K$13:$K$41)=0,0,K20/MAX($K$13:$K$41)*$C$7))</f>
        <v/>
      </c>
      <c r="M20" s="239"/>
      <c r="N20" s="239"/>
      <c r="O20" s="239"/>
      <c r="P20" s="239"/>
      <c r="Q20" s="239"/>
      <c r="R20" s="239"/>
    </row>
    <row r="21" customFormat="false" ht="14.25" hidden="false" customHeight="true" outlineLevel="0" collapsed="false">
      <c r="A21" s="238" t="s">
        <v>494</v>
      </c>
      <c r="B21" s="239"/>
      <c r="C21" s="239"/>
      <c r="D21" s="239"/>
      <c r="E21" s="239"/>
      <c r="F21" s="239"/>
      <c r="G21" s="239"/>
      <c r="H21" s="240"/>
      <c r="I21" s="240"/>
      <c r="J21" s="240"/>
      <c r="K21" s="246" t="str">
        <f aca="false">IF(OR(H21="",I21="",J21=""),"",(H21+I21)/J21*100000)</f>
        <v/>
      </c>
      <c r="L21" s="241" t="str">
        <f aca="false">IF(K21="","",IF(MAX($K$13:$K$41)=0,0,K21/MAX($K$13:$K$41)*$C$7))</f>
        <v/>
      </c>
      <c r="M21" s="239"/>
      <c r="N21" s="239"/>
      <c r="O21" s="239"/>
      <c r="P21" s="239"/>
      <c r="Q21" s="239"/>
      <c r="R21" s="239"/>
    </row>
    <row r="22" customFormat="false" ht="14.25" hidden="false" customHeight="true" outlineLevel="0" collapsed="false">
      <c r="A22" s="238" t="s">
        <v>495</v>
      </c>
      <c r="B22" s="239"/>
      <c r="C22" s="239"/>
      <c r="D22" s="239"/>
      <c r="E22" s="239"/>
      <c r="F22" s="239"/>
      <c r="G22" s="239"/>
      <c r="H22" s="240"/>
      <c r="I22" s="240"/>
      <c r="J22" s="240"/>
      <c r="K22" s="246" t="str">
        <f aca="false">IF(OR(H22="",I22="",J22=""),"",(H22+I22)/J22*100000)</f>
        <v/>
      </c>
      <c r="L22" s="241" t="str">
        <f aca="false">IF(K22="","",IF(MAX($K$13:$K$41)=0,0,K22/MAX($K$13:$K$41)*$C$7))</f>
        <v/>
      </c>
      <c r="M22" s="239"/>
      <c r="N22" s="239"/>
      <c r="O22" s="239"/>
      <c r="P22" s="239"/>
      <c r="Q22" s="239"/>
      <c r="R22" s="239"/>
    </row>
    <row r="23" customFormat="false" ht="14.25" hidden="false" customHeight="true" outlineLevel="0" collapsed="false">
      <c r="A23" s="238" t="s">
        <v>496</v>
      </c>
      <c r="B23" s="239"/>
      <c r="C23" s="239"/>
      <c r="D23" s="239"/>
      <c r="E23" s="239"/>
      <c r="F23" s="239"/>
      <c r="G23" s="239"/>
      <c r="H23" s="240"/>
      <c r="I23" s="240"/>
      <c r="J23" s="240"/>
      <c r="K23" s="246" t="str">
        <f aca="false">IF(OR(H23="",I23="",J23=""),"",(H23+I23)/J23*100000)</f>
        <v/>
      </c>
      <c r="L23" s="241" t="str">
        <f aca="false">IF(K23="","",IF(MAX($K$13:$K$41)=0,0,K23/MAX($K$13:$K$41)*$C$7))</f>
        <v/>
      </c>
      <c r="M23" s="239"/>
      <c r="N23" s="239"/>
      <c r="O23" s="239"/>
      <c r="P23" s="239"/>
      <c r="Q23" s="239"/>
      <c r="R23" s="239"/>
    </row>
    <row r="24" customFormat="false" ht="14.25" hidden="false" customHeight="true" outlineLevel="0" collapsed="false">
      <c r="A24" s="238" t="s">
        <v>497</v>
      </c>
      <c r="B24" s="239"/>
      <c r="C24" s="239"/>
      <c r="D24" s="239"/>
      <c r="E24" s="239"/>
      <c r="F24" s="239"/>
      <c r="G24" s="239"/>
      <c r="H24" s="240"/>
      <c r="I24" s="240"/>
      <c r="J24" s="240"/>
      <c r="K24" s="246" t="str">
        <f aca="false">IF(OR(H24="",I24="",J24=""),"",(H24+I24)/J24*100000)</f>
        <v/>
      </c>
      <c r="L24" s="241" t="str">
        <f aca="false">IF(K24="","",IF(MAX($K$13:$K$41)=0,0,K24/MAX($K$13:$K$41)*$C$7))</f>
        <v/>
      </c>
      <c r="M24" s="239"/>
      <c r="N24" s="239"/>
      <c r="O24" s="239"/>
      <c r="P24" s="239"/>
      <c r="Q24" s="239"/>
      <c r="R24" s="239"/>
    </row>
    <row r="25" customFormat="false" ht="14.25" hidden="false" customHeight="true" outlineLevel="0" collapsed="false">
      <c r="A25" s="238" t="s">
        <v>498</v>
      </c>
      <c r="B25" s="239"/>
      <c r="C25" s="239"/>
      <c r="D25" s="239"/>
      <c r="E25" s="239"/>
      <c r="F25" s="239"/>
      <c r="G25" s="239"/>
      <c r="H25" s="240"/>
      <c r="I25" s="240"/>
      <c r="J25" s="240"/>
      <c r="K25" s="246" t="str">
        <f aca="false">IF(OR(H25="",I25="",J25=""),"",(H25+I25)/J25*100000)</f>
        <v/>
      </c>
      <c r="L25" s="241" t="str">
        <f aca="false">IF(K25="","",IF(MAX($K$13:$K$41)=0,0,K25/MAX($K$13:$K$41)*$C$7))</f>
        <v/>
      </c>
      <c r="M25" s="239"/>
      <c r="N25" s="239"/>
      <c r="O25" s="239"/>
      <c r="P25" s="239"/>
      <c r="Q25" s="239"/>
      <c r="R25" s="239"/>
    </row>
    <row r="26" customFormat="false" ht="14.25" hidden="false" customHeight="true" outlineLevel="0" collapsed="false">
      <c r="A26" s="238" t="s">
        <v>499</v>
      </c>
      <c r="B26" s="239"/>
      <c r="C26" s="239"/>
      <c r="D26" s="239"/>
      <c r="E26" s="239"/>
      <c r="F26" s="239"/>
      <c r="G26" s="239"/>
      <c r="H26" s="240"/>
      <c r="I26" s="240"/>
      <c r="J26" s="240"/>
      <c r="K26" s="246" t="str">
        <f aca="false">IF(OR(H26="",I26="",J26=""),"",(H26+I26)/J26*100000)</f>
        <v/>
      </c>
      <c r="L26" s="241" t="str">
        <f aca="false">IF(K26="","",IF(MAX($K$13:$K$41)=0,0,K26/MAX($K$13:$K$41)*$C$7))</f>
        <v/>
      </c>
      <c r="M26" s="239"/>
      <c r="N26" s="239"/>
      <c r="O26" s="239"/>
      <c r="P26" s="239"/>
      <c r="Q26" s="239"/>
      <c r="R26" s="239"/>
    </row>
    <row r="27" customFormat="false" ht="14.25" hidden="false" customHeight="true" outlineLevel="0" collapsed="false">
      <c r="A27" s="238" t="s">
        <v>500</v>
      </c>
      <c r="B27" s="239"/>
      <c r="C27" s="239"/>
      <c r="D27" s="239"/>
      <c r="E27" s="239"/>
      <c r="F27" s="239"/>
      <c r="G27" s="239"/>
      <c r="H27" s="240"/>
      <c r="I27" s="240"/>
      <c r="J27" s="240"/>
      <c r="K27" s="246" t="str">
        <f aca="false">IF(OR(H27="",I27="",J27=""),"",(H27+I27)/J27*100000)</f>
        <v/>
      </c>
      <c r="L27" s="241" t="str">
        <f aca="false">IF(K27="","",IF(MAX($K$13:$K$41)=0,0,K27/MAX($K$13:$K$41)*$C$7))</f>
        <v/>
      </c>
      <c r="M27" s="239"/>
      <c r="N27" s="239"/>
      <c r="O27" s="239"/>
      <c r="P27" s="239"/>
      <c r="Q27" s="239"/>
      <c r="R27" s="239"/>
    </row>
    <row r="28" customFormat="false" ht="14.25" hidden="false" customHeight="true" outlineLevel="0" collapsed="false">
      <c r="A28" s="238" t="s">
        <v>501</v>
      </c>
      <c r="B28" s="239"/>
      <c r="C28" s="239"/>
      <c r="D28" s="239"/>
      <c r="E28" s="239"/>
      <c r="F28" s="239"/>
      <c r="G28" s="239"/>
      <c r="H28" s="240"/>
      <c r="I28" s="240"/>
      <c r="J28" s="240"/>
      <c r="K28" s="246" t="str">
        <f aca="false">IF(OR(H28="",I28="",J28=""),"",(H28+I28)/J28*100000)</f>
        <v/>
      </c>
      <c r="L28" s="241" t="str">
        <f aca="false">IF(K28="","",IF(MAX($K$13:$K$41)=0,0,K28/MAX($K$13:$K$41)*$C$7))</f>
        <v/>
      </c>
      <c r="M28" s="239"/>
      <c r="N28" s="239"/>
      <c r="O28" s="239"/>
      <c r="P28" s="239"/>
      <c r="Q28" s="239"/>
      <c r="R28" s="239"/>
    </row>
    <row r="29" customFormat="false" ht="14.25" hidden="false" customHeight="true" outlineLevel="0" collapsed="false">
      <c r="A29" s="238" t="s">
        <v>502</v>
      </c>
      <c r="B29" s="239"/>
      <c r="C29" s="239"/>
      <c r="D29" s="239"/>
      <c r="E29" s="239"/>
      <c r="F29" s="239"/>
      <c r="G29" s="239"/>
      <c r="H29" s="240"/>
      <c r="I29" s="240"/>
      <c r="J29" s="240"/>
      <c r="K29" s="246" t="str">
        <f aca="false">IF(OR(H29="",I29="",J29=""),"",(H29+I29)/J29*100000)</f>
        <v/>
      </c>
      <c r="L29" s="241" t="str">
        <f aca="false">IF(K29="","",IF(MAX($K$13:$K$41)=0,0,K29/MAX($K$13:$K$41)*$C$7))</f>
        <v/>
      </c>
      <c r="M29" s="239"/>
      <c r="N29" s="239"/>
      <c r="O29" s="239"/>
      <c r="P29" s="239"/>
      <c r="Q29" s="239"/>
      <c r="R29" s="239"/>
    </row>
    <row r="30" customFormat="false" ht="14.25" hidden="false" customHeight="true" outlineLevel="0" collapsed="false">
      <c r="A30" s="238" t="s">
        <v>503</v>
      </c>
      <c r="B30" s="239"/>
      <c r="C30" s="239"/>
      <c r="D30" s="239"/>
      <c r="E30" s="239"/>
      <c r="F30" s="239"/>
      <c r="G30" s="239"/>
      <c r="H30" s="240"/>
      <c r="I30" s="240"/>
      <c r="J30" s="240"/>
      <c r="K30" s="246" t="str">
        <f aca="false">IF(OR(H30="",I30="",J30=""),"",(H30+I30)/J30*100000)</f>
        <v/>
      </c>
      <c r="L30" s="241" t="str">
        <f aca="false">IF(K30="","",IF(MAX($K$13:$K$41)=0,0,K30/MAX($K$13:$K$41)*$C$7))</f>
        <v/>
      </c>
      <c r="M30" s="239"/>
      <c r="N30" s="239"/>
      <c r="O30" s="239"/>
      <c r="P30" s="239"/>
      <c r="Q30" s="239"/>
      <c r="R30" s="239"/>
    </row>
    <row r="31" customFormat="false" ht="14.25" hidden="false" customHeight="true" outlineLevel="0" collapsed="false">
      <c r="A31" s="238" t="s">
        <v>504</v>
      </c>
      <c r="B31" s="239"/>
      <c r="C31" s="239"/>
      <c r="D31" s="239"/>
      <c r="E31" s="239"/>
      <c r="F31" s="239"/>
      <c r="G31" s="239"/>
      <c r="H31" s="240"/>
      <c r="I31" s="240"/>
      <c r="J31" s="240"/>
      <c r="K31" s="246" t="str">
        <f aca="false">IF(OR(H31="",I31="",J31=""),"",(H31+I31)/J31*100000)</f>
        <v/>
      </c>
      <c r="L31" s="241" t="str">
        <f aca="false">IF(K31="","",IF(MAX($K$13:$K$41)=0,0,K31/MAX($K$13:$K$41)*$C$7))</f>
        <v/>
      </c>
      <c r="M31" s="239"/>
      <c r="N31" s="239"/>
      <c r="O31" s="239"/>
      <c r="P31" s="239"/>
      <c r="Q31" s="239"/>
      <c r="R31" s="239"/>
    </row>
    <row r="32" customFormat="false" ht="14.25" hidden="false" customHeight="true" outlineLevel="0" collapsed="false">
      <c r="A32" s="238" t="s">
        <v>505</v>
      </c>
      <c r="B32" s="239"/>
      <c r="C32" s="239"/>
      <c r="D32" s="239"/>
      <c r="E32" s="239"/>
      <c r="F32" s="239"/>
      <c r="G32" s="239"/>
      <c r="H32" s="240"/>
      <c r="I32" s="240"/>
      <c r="J32" s="240"/>
      <c r="K32" s="246" t="str">
        <f aca="false">IF(OR(H32="",I32="",J32=""),"",(H32+I32)/J32*100000)</f>
        <v/>
      </c>
      <c r="L32" s="241" t="str">
        <f aca="false">IF(K32="","",IF(MAX($K$13:$K$41)=0,0,K32/MAX($K$13:$K$41)*$C$7))</f>
        <v/>
      </c>
      <c r="M32" s="239"/>
      <c r="N32" s="239"/>
      <c r="O32" s="239"/>
      <c r="P32" s="239"/>
      <c r="Q32" s="239"/>
      <c r="R32" s="239"/>
    </row>
    <row r="33" customFormat="false" ht="14.25" hidden="false" customHeight="true" outlineLevel="0" collapsed="false">
      <c r="A33" s="238" t="s">
        <v>506</v>
      </c>
      <c r="B33" s="239"/>
      <c r="C33" s="239"/>
      <c r="D33" s="239"/>
      <c r="E33" s="239"/>
      <c r="F33" s="239"/>
      <c r="G33" s="239"/>
      <c r="H33" s="240"/>
      <c r="I33" s="240"/>
      <c r="J33" s="240"/>
      <c r="K33" s="246" t="str">
        <f aca="false">IF(OR(H33="",I33="",J33=""),"",(H33+I33)/J33*100000)</f>
        <v/>
      </c>
      <c r="L33" s="241" t="str">
        <f aca="false">IF(K33="","",IF(MAX($K$13:$K$41)=0,0,K33/MAX($K$13:$K$41)*$C$7))</f>
        <v/>
      </c>
      <c r="M33" s="239"/>
      <c r="N33" s="239"/>
      <c r="O33" s="239"/>
      <c r="P33" s="239"/>
      <c r="Q33" s="239"/>
      <c r="R33" s="239"/>
    </row>
    <row r="34" customFormat="false" ht="14.25" hidden="false" customHeight="true" outlineLevel="0" collapsed="false">
      <c r="A34" s="238" t="s">
        <v>507</v>
      </c>
      <c r="B34" s="239"/>
      <c r="C34" s="239"/>
      <c r="D34" s="239"/>
      <c r="E34" s="239"/>
      <c r="F34" s="239"/>
      <c r="G34" s="239"/>
      <c r="H34" s="240"/>
      <c r="I34" s="240"/>
      <c r="J34" s="240"/>
      <c r="K34" s="246" t="str">
        <f aca="false">IF(OR(H34="",I34="",J34=""),"",(H34+I34)/J34*100000)</f>
        <v/>
      </c>
      <c r="L34" s="241" t="str">
        <f aca="false">IF(K34="","",IF(MAX($K$13:$K$41)=0,0,K34/MAX($K$13:$K$41)*$C$7))</f>
        <v/>
      </c>
      <c r="M34" s="239"/>
      <c r="N34" s="239"/>
      <c r="O34" s="239"/>
      <c r="P34" s="239"/>
      <c r="Q34" s="239"/>
      <c r="R34" s="239"/>
    </row>
    <row r="35" customFormat="false" ht="14.25" hidden="false" customHeight="true" outlineLevel="0" collapsed="false">
      <c r="A35" s="238" t="s">
        <v>508</v>
      </c>
      <c r="B35" s="239"/>
      <c r="C35" s="239"/>
      <c r="D35" s="239"/>
      <c r="E35" s="239"/>
      <c r="F35" s="239"/>
      <c r="G35" s="239"/>
      <c r="H35" s="240"/>
      <c r="I35" s="240"/>
      <c r="J35" s="240"/>
      <c r="K35" s="246" t="str">
        <f aca="false">IF(OR(H35="",I35="",J35=""),"",(H35+I35)/J35*100000)</f>
        <v/>
      </c>
      <c r="L35" s="241" t="str">
        <f aca="false">IF(K35="","",IF(MAX($K$13:$K$41)=0,0,K35/MAX($K$13:$K$41)*$C$7))</f>
        <v/>
      </c>
      <c r="M35" s="239"/>
      <c r="N35" s="239"/>
      <c r="O35" s="239"/>
      <c r="P35" s="239"/>
      <c r="Q35" s="239"/>
      <c r="R35" s="239"/>
    </row>
    <row r="36" customFormat="false" ht="14.25" hidden="false" customHeight="true" outlineLevel="0" collapsed="false">
      <c r="A36" s="238" t="s">
        <v>509</v>
      </c>
      <c r="B36" s="239"/>
      <c r="C36" s="239"/>
      <c r="D36" s="239"/>
      <c r="E36" s="239"/>
      <c r="F36" s="239"/>
      <c r="G36" s="239"/>
      <c r="H36" s="240"/>
      <c r="I36" s="240"/>
      <c r="J36" s="240"/>
      <c r="K36" s="246" t="str">
        <f aca="false">IF(OR(H36="",I36="",J36=""),"",(H36+I36)/J36*100000)</f>
        <v/>
      </c>
      <c r="L36" s="241" t="str">
        <f aca="false">IF(K36="","",IF(MAX($K$13:$K$41)=0,0,K36/MAX($K$13:$K$41)*$C$7))</f>
        <v/>
      </c>
      <c r="M36" s="239"/>
      <c r="N36" s="239"/>
      <c r="O36" s="239"/>
      <c r="P36" s="239"/>
      <c r="Q36" s="239"/>
      <c r="R36" s="239"/>
    </row>
    <row r="37" customFormat="false" ht="14.25" hidden="false" customHeight="true" outlineLevel="0" collapsed="false">
      <c r="A37" s="238" t="s">
        <v>510</v>
      </c>
      <c r="B37" s="239"/>
      <c r="C37" s="239"/>
      <c r="D37" s="239"/>
      <c r="E37" s="239"/>
      <c r="F37" s="239"/>
      <c r="G37" s="239"/>
      <c r="H37" s="240"/>
      <c r="I37" s="240"/>
      <c r="J37" s="240"/>
      <c r="K37" s="246" t="str">
        <f aca="false">IF(OR(H37="",I37="",J37=""),"",(H37+I37)/J37*100000)</f>
        <v/>
      </c>
      <c r="L37" s="241" t="str">
        <f aca="false">IF(K37="","",IF(MAX($K$13:$K$41)=0,0,K37/MAX($K$13:$K$41)*$C$7))</f>
        <v/>
      </c>
      <c r="M37" s="239"/>
      <c r="N37" s="239"/>
      <c r="O37" s="239"/>
      <c r="P37" s="239"/>
      <c r="Q37" s="239"/>
      <c r="R37" s="239"/>
    </row>
    <row r="38" customFormat="false" ht="14.25" hidden="false" customHeight="true" outlineLevel="0" collapsed="false">
      <c r="A38" s="238" t="s">
        <v>511</v>
      </c>
      <c r="B38" s="239"/>
      <c r="C38" s="239"/>
      <c r="D38" s="239"/>
      <c r="E38" s="239"/>
      <c r="F38" s="239"/>
      <c r="G38" s="239"/>
      <c r="H38" s="240"/>
      <c r="I38" s="240"/>
      <c r="J38" s="240"/>
      <c r="K38" s="246" t="str">
        <f aca="false">IF(OR(H38="",I38="",J38=""),"",(H38+I38)/J38*100000)</f>
        <v/>
      </c>
      <c r="L38" s="241" t="str">
        <f aca="false">IF(K38="","",IF(MAX($K$13:$K$41)=0,0,K38/MAX($K$13:$K$41)*$C$7))</f>
        <v/>
      </c>
      <c r="M38" s="239"/>
      <c r="N38" s="239"/>
      <c r="O38" s="239"/>
      <c r="P38" s="239"/>
      <c r="Q38" s="239"/>
      <c r="R38" s="239"/>
    </row>
    <row r="39" customFormat="false" ht="14.25" hidden="false" customHeight="true" outlineLevel="0" collapsed="false">
      <c r="A39" s="238" t="s">
        <v>512</v>
      </c>
      <c r="B39" s="239"/>
      <c r="C39" s="239"/>
      <c r="D39" s="239"/>
      <c r="E39" s="239"/>
      <c r="F39" s="239"/>
      <c r="G39" s="239"/>
      <c r="H39" s="240"/>
      <c r="I39" s="240"/>
      <c r="J39" s="240"/>
      <c r="K39" s="246" t="str">
        <f aca="false">IF(OR(H39="",I39="",J39=""),"",(H39+I39)/J39*100000)</f>
        <v/>
      </c>
      <c r="L39" s="241" t="str">
        <f aca="false">IF(K39="","",IF(MAX($K$13:$K$41)=0,0,K39/MAX($K$13:$K$41)*$C$7))</f>
        <v/>
      </c>
      <c r="M39" s="239"/>
      <c r="N39" s="239"/>
      <c r="O39" s="239"/>
      <c r="P39" s="239"/>
      <c r="Q39" s="239"/>
      <c r="R39" s="239"/>
    </row>
    <row r="40" customFormat="false" ht="14.25" hidden="false" customHeight="true" outlineLevel="0" collapsed="false">
      <c r="A40" s="238" t="s">
        <v>513</v>
      </c>
      <c r="B40" s="239"/>
      <c r="C40" s="239"/>
      <c r="D40" s="239"/>
      <c r="E40" s="239"/>
      <c r="F40" s="239"/>
      <c r="G40" s="239"/>
      <c r="H40" s="240"/>
      <c r="I40" s="240"/>
      <c r="J40" s="240"/>
      <c r="K40" s="246" t="str">
        <f aca="false">IF(OR(H40="",I40="",J40=""),"",(H40+I40)/J40*100000)</f>
        <v/>
      </c>
      <c r="L40" s="241" t="str">
        <f aca="false">IF(K40="","",IF(MAX($K$13:$K$41)=0,0,K40/MAX($K$13:$K$41)*$C$7))</f>
        <v/>
      </c>
      <c r="M40" s="239"/>
      <c r="N40" s="239"/>
      <c r="O40" s="239"/>
      <c r="P40" s="239"/>
      <c r="Q40" s="239"/>
      <c r="R40" s="239"/>
    </row>
    <row r="41" customFormat="false" ht="14.25" hidden="false" customHeight="true" outlineLevel="0" collapsed="false">
      <c r="A41" s="238" t="s">
        <v>514</v>
      </c>
      <c r="B41" s="239"/>
      <c r="C41" s="239"/>
      <c r="D41" s="239"/>
      <c r="E41" s="239"/>
      <c r="F41" s="239"/>
      <c r="G41" s="239"/>
      <c r="H41" s="240"/>
      <c r="I41" s="240"/>
      <c r="J41" s="240"/>
      <c r="K41" s="246" t="str">
        <f aca="false">IF(OR(H41="",I41="",J41=""),"",(H41+I41)/J41*100000)</f>
        <v/>
      </c>
      <c r="L41" s="241" t="str">
        <f aca="false">IF(K41="","",IF(MAX($K$13:$K$41)=0,0,K41/MAX($K$13:$K$41)*$C$7))</f>
        <v/>
      </c>
      <c r="M41" s="239"/>
      <c r="N41" s="239"/>
      <c r="O41" s="239"/>
      <c r="P41" s="239"/>
      <c r="Q41" s="239"/>
      <c r="R41" s="239"/>
    </row>
  </sheetData>
  <dataValidations count="2">
    <dataValidation allowBlank="true" error="Please enter a valid value (see note above the column)." errorStyle="stop" errorTitle="Invalid entry" operator="greaterThanOrEqual" showDropDown="false" showErrorMessage="true" showInputMessage="false" sqref="H13:I41" type="whole">
      <formula1>0</formula1>
      <formula2>0</formula2>
    </dataValidation>
    <dataValidation allowBlank="true" error="Please enter a valid value (see note above the column)." errorStyle="stop" errorTitle="Invalid entry" operator="greaterThanOrEqual" showDropDown="false" showErrorMessage="true" showInputMessage="false" sqref="J13:J41" type="whole">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347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Specialised institutional capacity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adequate and representative professional town-planning capacity? &gt;:&lt; What proportion of the city's professional town-planning workforce is women?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Compute women town planners as a proportion of the total filled qualified town-planner positions across the ULG and, where applicable, the Development/Planning Authority staff attributable to the city, using the latest available staffing data.% women town planners = (Number of women town planners ÷ Total filled qualified town-planner positions) × 100Scoring bands:Score 5 — women constitute ≥33% of the professional town-planning workforceScore 2.5 — women constitute 15–32%Score 0 — women constitute &lt;15%</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Record, wherever available, the proportion of women among senior/decision-making town-planning positions.</v>
      </c>
      <c r="H10" s="233" t="s">
        <v>849</v>
      </c>
    </row>
    <row r="11" customFormat="false" ht="28.5" hidden="false" customHeight="true" outlineLevel="0" collapsed="false">
      <c r="H11" s="234" t="s">
        <v>850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851</v>
      </c>
      <c r="I12" s="235" t="s">
        <v>791</v>
      </c>
      <c r="J12" s="237" t="s">
        <v>792</v>
      </c>
      <c r="K12" s="237" t="s">
        <v>852</v>
      </c>
    </row>
    <row r="13" customFormat="false" ht="14.25" hidden="false" customHeight="true" outlineLevel="0" collapsed="false">
      <c r="A13" s="238" t="s">
        <v>486</v>
      </c>
      <c r="B13" s="239"/>
      <c r="C13" s="239"/>
      <c r="D13" s="239"/>
      <c r="E13" s="239"/>
      <c r="F13" s="239"/>
      <c r="G13" s="239"/>
      <c r="H13" s="247"/>
      <c r="I13" s="241" t="str">
        <f aca="false">IF(H13="","",IF(H13&gt;=0.33,$C$7,IF(H13&gt;=0.15,$C$7/2,0)))</f>
        <v/>
      </c>
      <c r="J13" s="239"/>
      <c r="K13" s="239"/>
    </row>
    <row r="14" customFormat="false" ht="14.25" hidden="false" customHeight="true" outlineLevel="0" collapsed="false">
      <c r="A14" s="238" t="s">
        <v>487</v>
      </c>
      <c r="B14" s="239"/>
      <c r="C14" s="239"/>
      <c r="D14" s="239"/>
      <c r="E14" s="239"/>
      <c r="F14" s="239"/>
      <c r="G14" s="239"/>
      <c r="H14" s="247"/>
      <c r="I14" s="241" t="str">
        <f aca="false">IF(H14="","",IF(H14&gt;=0.33,$C$7,IF(H14&gt;=0.15,$C$7/2,0)))</f>
        <v/>
      </c>
      <c r="J14" s="239"/>
      <c r="K14" s="239"/>
    </row>
    <row r="15" customFormat="false" ht="14.25" hidden="false" customHeight="true" outlineLevel="0" collapsed="false">
      <c r="A15" s="238" t="s">
        <v>488</v>
      </c>
      <c r="B15" s="239"/>
      <c r="C15" s="239"/>
      <c r="D15" s="239"/>
      <c r="E15" s="239"/>
      <c r="F15" s="239"/>
      <c r="G15" s="239"/>
      <c r="H15" s="247"/>
      <c r="I15" s="241" t="str">
        <f aca="false">IF(H15="","",IF(H15&gt;=0.33,$C$7,IF(H15&gt;=0.15,$C$7/2,0)))</f>
        <v/>
      </c>
      <c r="J15" s="239"/>
      <c r="K15" s="239"/>
    </row>
    <row r="16" customFormat="false" ht="14.25" hidden="false" customHeight="true" outlineLevel="0" collapsed="false">
      <c r="A16" s="238" t="s">
        <v>489</v>
      </c>
      <c r="B16" s="239"/>
      <c r="C16" s="239"/>
      <c r="D16" s="239"/>
      <c r="E16" s="239"/>
      <c r="F16" s="239"/>
      <c r="G16" s="239"/>
      <c r="H16" s="247"/>
      <c r="I16" s="241" t="str">
        <f aca="false">IF(H16="","",IF(H16&gt;=0.33,$C$7,IF(H16&gt;=0.15,$C$7/2,0)))</f>
        <v/>
      </c>
      <c r="J16" s="239"/>
      <c r="K16" s="239"/>
    </row>
    <row r="17" customFormat="false" ht="14.25" hidden="false" customHeight="true" outlineLevel="0" collapsed="false">
      <c r="A17" s="238" t="s">
        <v>490</v>
      </c>
      <c r="B17" s="239"/>
      <c r="C17" s="239"/>
      <c r="D17" s="239"/>
      <c r="E17" s="239"/>
      <c r="F17" s="239"/>
      <c r="G17" s="239"/>
      <c r="H17" s="247"/>
      <c r="I17" s="241" t="str">
        <f aca="false">IF(H17="","",IF(H17&gt;=0.33,$C$7,IF(H17&gt;=0.15,$C$7/2,0)))</f>
        <v/>
      </c>
      <c r="J17" s="239"/>
      <c r="K17" s="239"/>
    </row>
    <row r="18" customFormat="false" ht="14.25" hidden="false" customHeight="true" outlineLevel="0" collapsed="false">
      <c r="A18" s="238" t="s">
        <v>491</v>
      </c>
      <c r="B18" s="239"/>
      <c r="C18" s="239"/>
      <c r="D18" s="239"/>
      <c r="E18" s="239"/>
      <c r="F18" s="239"/>
      <c r="G18" s="239"/>
      <c r="H18" s="247"/>
      <c r="I18" s="241" t="str">
        <f aca="false">IF(H18="","",IF(H18&gt;=0.33,$C$7,IF(H18&gt;=0.15,$C$7/2,0)))</f>
        <v/>
      </c>
      <c r="J18" s="239"/>
      <c r="K18" s="239"/>
    </row>
    <row r="19" customFormat="false" ht="14.25" hidden="false" customHeight="true" outlineLevel="0" collapsed="false">
      <c r="A19" s="238" t="s">
        <v>492</v>
      </c>
      <c r="B19" s="239"/>
      <c r="C19" s="239"/>
      <c r="D19" s="239"/>
      <c r="E19" s="239"/>
      <c r="F19" s="239"/>
      <c r="G19" s="239"/>
      <c r="H19" s="247"/>
      <c r="I19" s="241" t="str">
        <f aca="false">IF(H19="","",IF(H19&gt;=0.33,$C$7,IF(H19&gt;=0.15,$C$7/2,0)))</f>
        <v/>
      </c>
      <c r="J19" s="239"/>
      <c r="K19" s="239"/>
    </row>
    <row r="20" customFormat="false" ht="14.25" hidden="false" customHeight="true" outlineLevel="0" collapsed="false">
      <c r="A20" s="238" t="s">
        <v>493</v>
      </c>
      <c r="B20" s="239"/>
      <c r="C20" s="239"/>
      <c r="D20" s="239"/>
      <c r="E20" s="239"/>
      <c r="F20" s="239"/>
      <c r="G20" s="239"/>
      <c r="H20" s="247"/>
      <c r="I20" s="241" t="str">
        <f aca="false">IF(H20="","",IF(H20&gt;=0.33,$C$7,IF(H20&gt;=0.15,$C$7/2,0)))</f>
        <v/>
      </c>
      <c r="J20" s="239"/>
      <c r="K20" s="239"/>
    </row>
    <row r="21" customFormat="false" ht="14.25" hidden="false" customHeight="true" outlineLevel="0" collapsed="false">
      <c r="A21" s="238" t="s">
        <v>494</v>
      </c>
      <c r="B21" s="239"/>
      <c r="C21" s="239"/>
      <c r="D21" s="239"/>
      <c r="E21" s="239"/>
      <c r="F21" s="239"/>
      <c r="G21" s="239"/>
      <c r="H21" s="247"/>
      <c r="I21" s="241" t="str">
        <f aca="false">IF(H21="","",IF(H21&gt;=0.33,$C$7,IF(H21&gt;=0.15,$C$7/2,0)))</f>
        <v/>
      </c>
      <c r="J21" s="239"/>
      <c r="K21" s="239"/>
    </row>
    <row r="22" customFormat="false" ht="14.25" hidden="false" customHeight="true" outlineLevel="0" collapsed="false">
      <c r="A22" s="238" t="s">
        <v>495</v>
      </c>
      <c r="B22" s="239"/>
      <c r="C22" s="239"/>
      <c r="D22" s="239"/>
      <c r="E22" s="239"/>
      <c r="F22" s="239"/>
      <c r="G22" s="239"/>
      <c r="H22" s="247"/>
      <c r="I22" s="241" t="str">
        <f aca="false">IF(H22="","",IF(H22&gt;=0.33,$C$7,IF(H22&gt;=0.15,$C$7/2,0)))</f>
        <v/>
      </c>
      <c r="J22" s="239"/>
      <c r="K22" s="239"/>
    </row>
    <row r="23" customFormat="false" ht="14.25" hidden="false" customHeight="true" outlineLevel="0" collapsed="false">
      <c r="A23" s="238" t="s">
        <v>496</v>
      </c>
      <c r="B23" s="239"/>
      <c r="C23" s="239"/>
      <c r="D23" s="239"/>
      <c r="E23" s="239"/>
      <c r="F23" s="239"/>
      <c r="G23" s="239"/>
      <c r="H23" s="247"/>
      <c r="I23" s="241" t="str">
        <f aca="false">IF(H23="","",IF(H23&gt;=0.33,$C$7,IF(H23&gt;=0.15,$C$7/2,0)))</f>
        <v/>
      </c>
      <c r="J23" s="239"/>
      <c r="K23" s="239"/>
    </row>
    <row r="24" customFormat="false" ht="14.25" hidden="false" customHeight="true" outlineLevel="0" collapsed="false">
      <c r="A24" s="238" t="s">
        <v>497</v>
      </c>
      <c r="B24" s="239"/>
      <c r="C24" s="239"/>
      <c r="D24" s="239"/>
      <c r="E24" s="239"/>
      <c r="F24" s="239"/>
      <c r="G24" s="239"/>
      <c r="H24" s="247"/>
      <c r="I24" s="241" t="str">
        <f aca="false">IF(H24="","",IF(H24&gt;=0.33,$C$7,IF(H24&gt;=0.15,$C$7/2,0)))</f>
        <v/>
      </c>
      <c r="J24" s="239"/>
      <c r="K24" s="239"/>
    </row>
    <row r="25" customFormat="false" ht="14.25" hidden="false" customHeight="true" outlineLevel="0" collapsed="false">
      <c r="A25" s="238" t="s">
        <v>498</v>
      </c>
      <c r="B25" s="239"/>
      <c r="C25" s="239"/>
      <c r="D25" s="239"/>
      <c r="E25" s="239"/>
      <c r="F25" s="239"/>
      <c r="G25" s="239"/>
      <c r="H25" s="247"/>
      <c r="I25" s="241" t="str">
        <f aca="false">IF(H25="","",IF(H25&gt;=0.33,$C$7,IF(H25&gt;=0.15,$C$7/2,0)))</f>
        <v/>
      </c>
      <c r="J25" s="239"/>
      <c r="K25" s="239"/>
    </row>
    <row r="26" customFormat="false" ht="14.25" hidden="false" customHeight="true" outlineLevel="0" collapsed="false">
      <c r="A26" s="238" t="s">
        <v>499</v>
      </c>
      <c r="B26" s="239"/>
      <c r="C26" s="239"/>
      <c r="D26" s="239"/>
      <c r="E26" s="239"/>
      <c r="F26" s="239"/>
      <c r="G26" s="239"/>
      <c r="H26" s="247"/>
      <c r="I26" s="241" t="str">
        <f aca="false">IF(H26="","",IF(H26&gt;=0.33,$C$7,IF(H26&gt;=0.15,$C$7/2,0)))</f>
        <v/>
      </c>
      <c r="J26" s="239"/>
      <c r="K26" s="239"/>
    </row>
    <row r="27" customFormat="false" ht="14.25" hidden="false" customHeight="true" outlineLevel="0" collapsed="false">
      <c r="A27" s="238" t="s">
        <v>500</v>
      </c>
      <c r="B27" s="239"/>
      <c r="C27" s="239"/>
      <c r="D27" s="239"/>
      <c r="E27" s="239"/>
      <c r="F27" s="239"/>
      <c r="G27" s="239"/>
      <c r="H27" s="247"/>
      <c r="I27" s="241" t="str">
        <f aca="false">IF(H27="","",IF(H27&gt;=0.33,$C$7,IF(H27&gt;=0.15,$C$7/2,0)))</f>
        <v/>
      </c>
      <c r="J27" s="239"/>
      <c r="K27" s="239"/>
    </row>
    <row r="28" customFormat="false" ht="14.25" hidden="false" customHeight="true" outlineLevel="0" collapsed="false">
      <c r="A28" s="238" t="s">
        <v>501</v>
      </c>
      <c r="B28" s="239"/>
      <c r="C28" s="239"/>
      <c r="D28" s="239"/>
      <c r="E28" s="239"/>
      <c r="F28" s="239"/>
      <c r="G28" s="239"/>
      <c r="H28" s="247"/>
      <c r="I28" s="241" t="str">
        <f aca="false">IF(H28="","",IF(H28&gt;=0.33,$C$7,IF(H28&gt;=0.15,$C$7/2,0)))</f>
        <v/>
      </c>
      <c r="J28" s="239"/>
      <c r="K28" s="239"/>
    </row>
    <row r="29" customFormat="false" ht="14.25" hidden="false" customHeight="true" outlineLevel="0" collapsed="false">
      <c r="A29" s="238" t="s">
        <v>502</v>
      </c>
      <c r="B29" s="239"/>
      <c r="C29" s="239"/>
      <c r="D29" s="239"/>
      <c r="E29" s="239"/>
      <c r="F29" s="239"/>
      <c r="G29" s="239"/>
      <c r="H29" s="247"/>
      <c r="I29" s="241" t="str">
        <f aca="false">IF(H29="","",IF(H29&gt;=0.33,$C$7,IF(H29&gt;=0.15,$C$7/2,0)))</f>
        <v/>
      </c>
      <c r="J29" s="239"/>
      <c r="K29" s="239"/>
    </row>
    <row r="30" customFormat="false" ht="14.25" hidden="false" customHeight="true" outlineLevel="0" collapsed="false">
      <c r="A30" s="238" t="s">
        <v>503</v>
      </c>
      <c r="B30" s="239"/>
      <c r="C30" s="239"/>
      <c r="D30" s="239"/>
      <c r="E30" s="239"/>
      <c r="F30" s="239"/>
      <c r="G30" s="239"/>
      <c r="H30" s="247"/>
      <c r="I30" s="241" t="str">
        <f aca="false">IF(H30="","",IF(H30&gt;=0.33,$C$7,IF(H30&gt;=0.15,$C$7/2,0)))</f>
        <v/>
      </c>
      <c r="J30" s="239"/>
      <c r="K30" s="239"/>
    </row>
    <row r="31" customFormat="false" ht="14.25" hidden="false" customHeight="true" outlineLevel="0" collapsed="false">
      <c r="A31" s="238" t="s">
        <v>504</v>
      </c>
      <c r="B31" s="239"/>
      <c r="C31" s="239"/>
      <c r="D31" s="239"/>
      <c r="E31" s="239"/>
      <c r="F31" s="239"/>
      <c r="G31" s="239"/>
      <c r="H31" s="247"/>
      <c r="I31" s="241" t="str">
        <f aca="false">IF(H31="","",IF(H31&gt;=0.33,$C$7,IF(H31&gt;=0.15,$C$7/2,0)))</f>
        <v/>
      </c>
      <c r="J31" s="239"/>
      <c r="K31" s="239"/>
    </row>
    <row r="32" customFormat="false" ht="14.25" hidden="false" customHeight="true" outlineLevel="0" collapsed="false">
      <c r="A32" s="238" t="s">
        <v>505</v>
      </c>
      <c r="B32" s="239"/>
      <c r="C32" s="239"/>
      <c r="D32" s="239"/>
      <c r="E32" s="239"/>
      <c r="F32" s="239"/>
      <c r="G32" s="239"/>
      <c r="H32" s="247"/>
      <c r="I32" s="241" t="str">
        <f aca="false">IF(H32="","",IF(H32&gt;=0.33,$C$7,IF(H32&gt;=0.15,$C$7/2,0)))</f>
        <v/>
      </c>
      <c r="J32" s="239"/>
      <c r="K32" s="239"/>
    </row>
    <row r="33" customFormat="false" ht="14.25" hidden="false" customHeight="true" outlineLevel="0" collapsed="false">
      <c r="A33" s="238" t="s">
        <v>506</v>
      </c>
      <c r="B33" s="239"/>
      <c r="C33" s="239"/>
      <c r="D33" s="239"/>
      <c r="E33" s="239"/>
      <c r="F33" s="239"/>
      <c r="G33" s="239"/>
      <c r="H33" s="247"/>
      <c r="I33" s="241" t="str">
        <f aca="false">IF(H33="","",IF(H33&gt;=0.33,$C$7,IF(H33&gt;=0.15,$C$7/2,0)))</f>
        <v/>
      </c>
      <c r="J33" s="239"/>
      <c r="K33" s="239"/>
    </row>
    <row r="34" customFormat="false" ht="14.25" hidden="false" customHeight="true" outlineLevel="0" collapsed="false">
      <c r="A34" s="238" t="s">
        <v>507</v>
      </c>
      <c r="B34" s="239"/>
      <c r="C34" s="239"/>
      <c r="D34" s="239"/>
      <c r="E34" s="239"/>
      <c r="F34" s="239"/>
      <c r="G34" s="239"/>
      <c r="H34" s="247"/>
      <c r="I34" s="241" t="str">
        <f aca="false">IF(H34="","",IF(H34&gt;=0.33,$C$7,IF(H34&gt;=0.15,$C$7/2,0)))</f>
        <v/>
      </c>
      <c r="J34" s="239"/>
      <c r="K34" s="239"/>
    </row>
    <row r="35" customFormat="false" ht="14.25" hidden="false" customHeight="true" outlineLevel="0" collapsed="false">
      <c r="A35" s="238" t="s">
        <v>508</v>
      </c>
      <c r="B35" s="239"/>
      <c r="C35" s="239"/>
      <c r="D35" s="239"/>
      <c r="E35" s="239"/>
      <c r="F35" s="239"/>
      <c r="G35" s="239"/>
      <c r="H35" s="247"/>
      <c r="I35" s="241" t="str">
        <f aca="false">IF(H35="","",IF(H35&gt;=0.33,$C$7,IF(H35&gt;=0.15,$C$7/2,0)))</f>
        <v/>
      </c>
      <c r="J35" s="239"/>
      <c r="K35" s="239"/>
    </row>
    <row r="36" customFormat="false" ht="14.25" hidden="false" customHeight="true" outlineLevel="0" collapsed="false">
      <c r="A36" s="238" t="s">
        <v>509</v>
      </c>
      <c r="B36" s="239"/>
      <c r="C36" s="239"/>
      <c r="D36" s="239"/>
      <c r="E36" s="239"/>
      <c r="F36" s="239"/>
      <c r="G36" s="239"/>
      <c r="H36" s="247"/>
      <c r="I36" s="241" t="str">
        <f aca="false">IF(H36="","",IF(H36&gt;=0.33,$C$7,IF(H36&gt;=0.15,$C$7/2,0)))</f>
        <v/>
      </c>
      <c r="J36" s="239"/>
      <c r="K36" s="239"/>
    </row>
    <row r="37" customFormat="false" ht="14.25" hidden="false" customHeight="true" outlineLevel="0" collapsed="false">
      <c r="A37" s="238" t="s">
        <v>510</v>
      </c>
      <c r="B37" s="239"/>
      <c r="C37" s="239"/>
      <c r="D37" s="239"/>
      <c r="E37" s="239"/>
      <c r="F37" s="239"/>
      <c r="G37" s="239"/>
      <c r="H37" s="247"/>
      <c r="I37" s="241" t="str">
        <f aca="false">IF(H37="","",IF(H37&gt;=0.33,$C$7,IF(H37&gt;=0.15,$C$7/2,0)))</f>
        <v/>
      </c>
      <c r="J37" s="239"/>
      <c r="K37" s="239"/>
    </row>
    <row r="38" customFormat="false" ht="14.25" hidden="false" customHeight="true" outlineLevel="0" collapsed="false">
      <c r="A38" s="238" t="s">
        <v>511</v>
      </c>
      <c r="B38" s="239"/>
      <c r="C38" s="239"/>
      <c r="D38" s="239"/>
      <c r="E38" s="239"/>
      <c r="F38" s="239"/>
      <c r="G38" s="239"/>
      <c r="H38" s="247"/>
      <c r="I38" s="241" t="str">
        <f aca="false">IF(H38="","",IF(H38&gt;=0.33,$C$7,IF(H38&gt;=0.15,$C$7/2,0)))</f>
        <v/>
      </c>
      <c r="J38" s="239"/>
      <c r="K38" s="239"/>
    </row>
    <row r="39" customFormat="false" ht="14.25" hidden="false" customHeight="true" outlineLevel="0" collapsed="false">
      <c r="A39" s="238" t="s">
        <v>512</v>
      </c>
      <c r="B39" s="239"/>
      <c r="C39" s="239"/>
      <c r="D39" s="239"/>
      <c r="E39" s="239"/>
      <c r="F39" s="239"/>
      <c r="G39" s="239"/>
      <c r="H39" s="247"/>
      <c r="I39" s="241" t="str">
        <f aca="false">IF(H39="","",IF(H39&gt;=0.33,$C$7,IF(H39&gt;=0.15,$C$7/2,0)))</f>
        <v/>
      </c>
      <c r="J39" s="239"/>
      <c r="K39" s="239"/>
    </row>
    <row r="40" customFormat="false" ht="14.25" hidden="false" customHeight="true" outlineLevel="0" collapsed="false">
      <c r="A40" s="238" t="s">
        <v>513</v>
      </c>
      <c r="B40" s="239"/>
      <c r="C40" s="239"/>
      <c r="D40" s="239"/>
      <c r="E40" s="239"/>
      <c r="F40" s="239"/>
      <c r="G40" s="239"/>
      <c r="H40" s="247"/>
      <c r="I40" s="241" t="str">
        <f aca="false">IF(H40="","",IF(H40&gt;=0.33,$C$7,IF(H40&gt;=0.15,$C$7/2,0)))</f>
        <v/>
      </c>
      <c r="J40" s="239"/>
      <c r="K40" s="239"/>
    </row>
    <row r="41" customFormat="false" ht="14.25" hidden="false" customHeight="true" outlineLevel="0" collapsed="false">
      <c r="A41" s="238" t="s">
        <v>514</v>
      </c>
      <c r="B41" s="239"/>
      <c r="C41" s="239"/>
      <c r="D41" s="239"/>
      <c r="E41" s="239"/>
      <c r="F41" s="239"/>
      <c r="G41" s="239"/>
      <c r="H41" s="247"/>
      <c r="I41" s="241" t="str">
        <f aca="false">IF(H41="","",IF(H41&gt;=0.33,$C$7,IF(H41&gt;=0.15,$C$7/2,0)))</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355</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Specialised institutional capacity</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Urban design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Urban Design Cell?</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2" t="n">
        <f aca="false">VLOOKUP($B$1,'UPD Questions_290926 '!$E$1:$N$300,MATCH($A$7,'UPD Questions_290926 '!$E$1:$N$1,0),0)</f>
        <v>2.5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an Urban Design Cell/Unit/Vertical or equivalent. If this information is not available on the ULG website, evidence may be obtained from official government sources, credible media reports on the establishment/functioning of such a cell, or through RTI/official email requests. For towns with a population below five lakh, consider a shared Urban Design Cell/resource available to the city at the State or district level. Score 2.5 if there is evidence that an Urban Design Cell/Unit/Vertical exists, including a qualifying shared State/district-level resource for towns below five lakh; score 0 otherwise.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360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Climate</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Climate Action/Sustainability/Disaster Management Cell?</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2" t="n">
        <f aca="false">VLOOKUP($B$1,'UPD Questions_290926 '!$E$1:$N$300,MATCH($A$7,'UPD Questions_290926 '!$E$1:$N$1,0),0)</f>
        <v>2.5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climate action, sustainability, resilience and/or disaster management cell/unit/vertical or equivalent. If this information is not available on the ULG website, you may obtain evidence from official government sources, credible media reports on the establishment/functioning of such a cell, or RTI/official email requests. For towns with a population below five lakh, consider a shared climate action/sustainability/disaster management cell or resource available to the city at the state or district level. Score 2.5 if there is evidence that such a cell/unit/vertical exists and is functional for the city, including a qualifying shared state/district-level resource for towns below five lakh;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366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Economic development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an Economic Develepment Cell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2" t="n">
        <f aca="false">VLOOKUP($B$1,'UPD Questions_290926 '!$E$1:$N$300,MATCH($A$7,'UPD Questions_290926 '!$E$1:$N$1,0),0)</f>
        <v>2.5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an economic 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an economic development cell/unit/vertical exists and is functional for the city; score 0 otherwise. Applicability: this indicator is applicable only to million-plus cities (population of 10 lakh or more). For all other cities, score NA.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853</v>
      </c>
    </row>
    <row r="11" customFormat="false" ht="28.5" hidden="false" customHeight="true" outlineLevel="0" collapsed="false">
      <c r="H11" s="234" t="s">
        <v>808</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IF(H13="NA","NA",IF(H13="YES",$C$7,IF(H13="NO",0,"")))</f>
        <v/>
      </c>
      <c r="J13" s="239"/>
    </row>
    <row r="14" customFormat="false" ht="14.25" hidden="false" customHeight="true" outlineLevel="0" collapsed="false">
      <c r="A14" s="238" t="s">
        <v>487</v>
      </c>
      <c r="B14" s="239"/>
      <c r="C14" s="239"/>
      <c r="D14" s="239"/>
      <c r="E14" s="239"/>
      <c r="F14" s="239"/>
      <c r="G14" s="239"/>
      <c r="H14" s="240"/>
      <c r="I14" s="241" t="str">
        <f aca="false">IF(H14="NA","NA",IF(H14="YES",$C$7,IF(H14="NO",0,"")))</f>
        <v/>
      </c>
      <c r="J14" s="239"/>
    </row>
    <row r="15" customFormat="false" ht="14.25" hidden="false" customHeight="true" outlineLevel="0" collapsed="false">
      <c r="A15" s="238" t="s">
        <v>488</v>
      </c>
      <c r="B15" s="239"/>
      <c r="C15" s="239"/>
      <c r="D15" s="239"/>
      <c r="E15" s="239"/>
      <c r="F15" s="239"/>
      <c r="G15" s="239"/>
      <c r="H15" s="240"/>
      <c r="I15" s="241" t="str">
        <f aca="false">IF(H15="NA","NA",IF(H15="YES",$C$7,IF(H15="NO",0,"")))</f>
        <v/>
      </c>
      <c r="J15" s="239"/>
    </row>
    <row r="16" customFormat="false" ht="14.25" hidden="false" customHeight="true" outlineLevel="0" collapsed="false">
      <c r="A16" s="238" t="s">
        <v>489</v>
      </c>
      <c r="B16" s="239"/>
      <c r="C16" s="239"/>
      <c r="D16" s="239"/>
      <c r="E16" s="239"/>
      <c r="F16" s="239"/>
      <c r="G16" s="239"/>
      <c r="H16" s="240"/>
      <c r="I16" s="241" t="str">
        <f aca="false">IF(H16="NA","NA",IF(H16="YES",$C$7,IF(H16="NO",0,"")))</f>
        <v/>
      </c>
      <c r="J16" s="239"/>
    </row>
    <row r="17" customFormat="false" ht="14.25" hidden="false" customHeight="true" outlineLevel="0" collapsed="false">
      <c r="A17" s="238" t="s">
        <v>490</v>
      </c>
      <c r="B17" s="239"/>
      <c r="C17" s="239"/>
      <c r="D17" s="239"/>
      <c r="E17" s="239"/>
      <c r="F17" s="239"/>
      <c r="G17" s="239"/>
      <c r="H17" s="240"/>
      <c r="I17" s="241" t="str">
        <f aca="false">IF(H17="NA","NA",IF(H17="YES",$C$7,IF(H17="NO",0,"")))</f>
        <v/>
      </c>
      <c r="J17" s="239"/>
    </row>
    <row r="18" customFormat="false" ht="14.25" hidden="false" customHeight="true" outlineLevel="0" collapsed="false">
      <c r="A18" s="238" t="s">
        <v>491</v>
      </c>
      <c r="B18" s="239"/>
      <c r="C18" s="239"/>
      <c r="D18" s="239"/>
      <c r="E18" s="239"/>
      <c r="F18" s="239"/>
      <c r="G18" s="239"/>
      <c r="H18" s="240"/>
      <c r="I18" s="241" t="str">
        <f aca="false">IF(H18="NA","NA",IF(H18="YES",$C$7,IF(H18="NO",0,"")))</f>
        <v/>
      </c>
      <c r="J18" s="239"/>
    </row>
    <row r="19" customFormat="false" ht="14.25" hidden="false" customHeight="true" outlineLevel="0" collapsed="false">
      <c r="A19" s="238" t="s">
        <v>492</v>
      </c>
      <c r="B19" s="239"/>
      <c r="C19" s="239"/>
      <c r="D19" s="239"/>
      <c r="E19" s="239"/>
      <c r="F19" s="239"/>
      <c r="G19" s="239"/>
      <c r="H19" s="240"/>
      <c r="I19" s="241" t="str">
        <f aca="false">IF(H19="NA","NA",IF(H19="YES",$C$7,IF(H19="NO",0,"")))</f>
        <v/>
      </c>
      <c r="J19" s="239"/>
    </row>
    <row r="20" customFormat="false" ht="14.25" hidden="false" customHeight="true" outlineLevel="0" collapsed="false">
      <c r="A20" s="238" t="s">
        <v>493</v>
      </c>
      <c r="B20" s="239"/>
      <c r="C20" s="239"/>
      <c r="D20" s="239"/>
      <c r="E20" s="239"/>
      <c r="F20" s="239"/>
      <c r="G20" s="239"/>
      <c r="H20" s="240"/>
      <c r="I20" s="241" t="str">
        <f aca="false">IF(H20="NA","NA",IF(H20="YES",$C$7,IF(H20="NO",0,"")))</f>
        <v/>
      </c>
      <c r="J20" s="239"/>
    </row>
    <row r="21" customFormat="false" ht="14.25" hidden="false" customHeight="true" outlineLevel="0" collapsed="false">
      <c r="A21" s="238" t="s">
        <v>494</v>
      </c>
      <c r="B21" s="239"/>
      <c r="C21" s="239"/>
      <c r="D21" s="239"/>
      <c r="E21" s="239"/>
      <c r="F21" s="239"/>
      <c r="G21" s="239"/>
      <c r="H21" s="240"/>
      <c r="I21" s="241" t="str">
        <f aca="false">IF(H21="NA","NA",IF(H21="YES",$C$7,IF(H21="NO",0,"")))</f>
        <v/>
      </c>
      <c r="J21" s="239"/>
    </row>
    <row r="22" customFormat="false" ht="14.25" hidden="false" customHeight="true" outlineLevel="0" collapsed="false">
      <c r="A22" s="238" t="s">
        <v>495</v>
      </c>
      <c r="B22" s="239"/>
      <c r="C22" s="239"/>
      <c r="D22" s="239"/>
      <c r="E22" s="239"/>
      <c r="F22" s="239"/>
      <c r="G22" s="239"/>
      <c r="H22" s="240"/>
      <c r="I22" s="241" t="str">
        <f aca="false">IF(H22="NA","NA",IF(H22="YES",$C$7,IF(H22="NO",0,"")))</f>
        <v/>
      </c>
      <c r="J22" s="239"/>
    </row>
    <row r="23" customFormat="false" ht="14.25" hidden="false" customHeight="true" outlineLevel="0" collapsed="false">
      <c r="A23" s="238" t="s">
        <v>496</v>
      </c>
      <c r="B23" s="239"/>
      <c r="C23" s="239"/>
      <c r="D23" s="239"/>
      <c r="E23" s="239"/>
      <c r="F23" s="239"/>
      <c r="G23" s="239"/>
      <c r="H23" s="240"/>
      <c r="I23" s="241" t="str">
        <f aca="false">IF(H23="NA","NA",IF(H23="YES",$C$7,IF(H23="NO",0,"")))</f>
        <v/>
      </c>
      <c r="J23" s="239"/>
    </row>
    <row r="24" customFormat="false" ht="14.25" hidden="false" customHeight="true" outlineLevel="0" collapsed="false">
      <c r="A24" s="238" t="s">
        <v>497</v>
      </c>
      <c r="B24" s="239"/>
      <c r="C24" s="239"/>
      <c r="D24" s="239"/>
      <c r="E24" s="239"/>
      <c r="F24" s="239"/>
      <c r="G24" s="239"/>
      <c r="H24" s="240"/>
      <c r="I24" s="241" t="str">
        <f aca="false">IF(H24="NA","NA",IF(H24="YES",$C$7,IF(H24="NO",0,"")))</f>
        <v/>
      </c>
      <c r="J24" s="239"/>
    </row>
    <row r="25" customFormat="false" ht="14.25" hidden="false" customHeight="true" outlineLevel="0" collapsed="false">
      <c r="A25" s="238" t="s">
        <v>498</v>
      </c>
      <c r="B25" s="239"/>
      <c r="C25" s="239"/>
      <c r="D25" s="239"/>
      <c r="E25" s="239"/>
      <c r="F25" s="239"/>
      <c r="G25" s="239"/>
      <c r="H25" s="240"/>
      <c r="I25" s="241" t="str">
        <f aca="false">IF(H25="NA","NA",IF(H25="YES",$C$7,IF(H25="NO",0,"")))</f>
        <v/>
      </c>
      <c r="J25" s="239"/>
    </row>
    <row r="26" customFormat="false" ht="14.25" hidden="false" customHeight="true" outlineLevel="0" collapsed="false">
      <c r="A26" s="238" t="s">
        <v>499</v>
      </c>
      <c r="B26" s="239"/>
      <c r="C26" s="239"/>
      <c r="D26" s="239"/>
      <c r="E26" s="239"/>
      <c r="F26" s="239"/>
      <c r="G26" s="239"/>
      <c r="H26" s="240"/>
      <c r="I26" s="241" t="str">
        <f aca="false">IF(H26="NA","NA",IF(H26="YES",$C$7,IF(H26="NO",0,"")))</f>
        <v/>
      </c>
      <c r="J26" s="239"/>
    </row>
    <row r="27" customFormat="false" ht="14.25" hidden="false" customHeight="true" outlineLevel="0" collapsed="false">
      <c r="A27" s="238" t="s">
        <v>500</v>
      </c>
      <c r="B27" s="239"/>
      <c r="C27" s="239"/>
      <c r="D27" s="239"/>
      <c r="E27" s="239"/>
      <c r="F27" s="239"/>
      <c r="G27" s="239"/>
      <c r="H27" s="240"/>
      <c r="I27" s="241" t="str">
        <f aca="false">IF(H27="NA","NA",IF(H27="YES",$C$7,IF(H27="NO",0,"")))</f>
        <v/>
      </c>
      <c r="J27" s="239"/>
    </row>
    <row r="28" customFormat="false" ht="14.25" hidden="false" customHeight="true" outlineLevel="0" collapsed="false">
      <c r="A28" s="238" t="s">
        <v>501</v>
      </c>
      <c r="B28" s="239"/>
      <c r="C28" s="239"/>
      <c r="D28" s="239"/>
      <c r="E28" s="239"/>
      <c r="F28" s="239"/>
      <c r="G28" s="239"/>
      <c r="H28" s="240"/>
      <c r="I28" s="241" t="str">
        <f aca="false">IF(H28="NA","NA",IF(H28="YES",$C$7,IF(H28="NO",0,"")))</f>
        <v/>
      </c>
      <c r="J28" s="239"/>
    </row>
    <row r="29" customFormat="false" ht="14.25" hidden="false" customHeight="true" outlineLevel="0" collapsed="false">
      <c r="A29" s="238" t="s">
        <v>502</v>
      </c>
      <c r="B29" s="239"/>
      <c r="C29" s="239"/>
      <c r="D29" s="239"/>
      <c r="E29" s="239"/>
      <c r="F29" s="239"/>
      <c r="G29" s="239"/>
      <c r="H29" s="240"/>
      <c r="I29" s="241" t="str">
        <f aca="false">IF(H29="NA","NA",IF(H29="YES",$C$7,IF(H29="NO",0,"")))</f>
        <v/>
      </c>
      <c r="J29" s="239"/>
    </row>
    <row r="30" customFormat="false" ht="14.25" hidden="false" customHeight="true" outlineLevel="0" collapsed="false">
      <c r="A30" s="238" t="s">
        <v>503</v>
      </c>
      <c r="B30" s="239"/>
      <c r="C30" s="239"/>
      <c r="D30" s="239"/>
      <c r="E30" s="239"/>
      <c r="F30" s="239"/>
      <c r="G30" s="239"/>
      <c r="H30" s="240"/>
      <c r="I30" s="241" t="str">
        <f aca="false">IF(H30="NA","NA",IF(H30="YES",$C$7,IF(H30="NO",0,"")))</f>
        <v/>
      </c>
      <c r="J30" s="239"/>
    </row>
    <row r="31" customFormat="false" ht="14.25" hidden="false" customHeight="true" outlineLevel="0" collapsed="false">
      <c r="A31" s="238" t="s">
        <v>504</v>
      </c>
      <c r="B31" s="239"/>
      <c r="C31" s="239"/>
      <c r="D31" s="239"/>
      <c r="E31" s="239"/>
      <c r="F31" s="239"/>
      <c r="G31" s="239"/>
      <c r="H31" s="240"/>
      <c r="I31" s="241" t="str">
        <f aca="false">IF(H31="NA","NA",IF(H31="YES",$C$7,IF(H31="NO",0,"")))</f>
        <v/>
      </c>
      <c r="J31" s="239"/>
    </row>
    <row r="32" customFormat="false" ht="14.25" hidden="false" customHeight="true" outlineLevel="0" collapsed="false">
      <c r="A32" s="238" t="s">
        <v>505</v>
      </c>
      <c r="B32" s="239"/>
      <c r="C32" s="239"/>
      <c r="D32" s="239"/>
      <c r="E32" s="239"/>
      <c r="F32" s="239"/>
      <c r="G32" s="239"/>
      <c r="H32" s="240"/>
      <c r="I32" s="241" t="str">
        <f aca="false">IF(H32="NA","NA",IF(H32="YES",$C$7,IF(H32="NO",0,"")))</f>
        <v/>
      </c>
      <c r="J32" s="239"/>
    </row>
    <row r="33" customFormat="false" ht="14.25" hidden="false" customHeight="true" outlineLevel="0" collapsed="false">
      <c r="A33" s="238" t="s">
        <v>506</v>
      </c>
      <c r="B33" s="239"/>
      <c r="C33" s="239"/>
      <c r="D33" s="239"/>
      <c r="E33" s="239"/>
      <c r="F33" s="239"/>
      <c r="G33" s="239"/>
      <c r="H33" s="240"/>
      <c r="I33" s="241" t="str">
        <f aca="false">IF(H33="NA","NA",IF(H33="YES",$C$7,IF(H33="NO",0,"")))</f>
        <v/>
      </c>
      <c r="J33" s="239"/>
    </row>
    <row r="34" customFormat="false" ht="14.25" hidden="false" customHeight="true" outlineLevel="0" collapsed="false">
      <c r="A34" s="238" t="s">
        <v>507</v>
      </c>
      <c r="B34" s="239"/>
      <c r="C34" s="239"/>
      <c r="D34" s="239"/>
      <c r="E34" s="239"/>
      <c r="F34" s="239"/>
      <c r="G34" s="239"/>
      <c r="H34" s="240"/>
      <c r="I34" s="241" t="str">
        <f aca="false">IF(H34="NA","NA",IF(H34="YES",$C$7,IF(H34="NO",0,"")))</f>
        <v/>
      </c>
      <c r="J34" s="239"/>
    </row>
    <row r="35" customFormat="false" ht="14.25" hidden="false" customHeight="true" outlineLevel="0" collapsed="false">
      <c r="A35" s="238" t="s">
        <v>508</v>
      </c>
      <c r="B35" s="239"/>
      <c r="C35" s="239"/>
      <c r="D35" s="239"/>
      <c r="E35" s="239"/>
      <c r="F35" s="239"/>
      <c r="G35" s="239"/>
      <c r="H35" s="240"/>
      <c r="I35" s="241" t="str">
        <f aca="false">IF(H35="NA","NA",IF(H35="YES",$C$7,IF(H35="NO",0,"")))</f>
        <v/>
      </c>
      <c r="J35" s="239"/>
    </row>
    <row r="36" customFormat="false" ht="14.25" hidden="false" customHeight="true" outlineLevel="0" collapsed="false">
      <c r="A36" s="238" t="s">
        <v>509</v>
      </c>
      <c r="B36" s="239"/>
      <c r="C36" s="239"/>
      <c r="D36" s="239"/>
      <c r="E36" s="239"/>
      <c r="F36" s="239"/>
      <c r="G36" s="239"/>
      <c r="H36" s="240"/>
      <c r="I36" s="241" t="str">
        <f aca="false">IF(H36="NA","NA",IF(H36="YES",$C$7,IF(H36="NO",0,"")))</f>
        <v/>
      </c>
      <c r="J36" s="239"/>
    </row>
    <row r="37" customFormat="false" ht="14.25" hidden="false" customHeight="true" outlineLevel="0" collapsed="false">
      <c r="A37" s="238" t="s">
        <v>510</v>
      </c>
      <c r="B37" s="239"/>
      <c r="C37" s="239"/>
      <c r="D37" s="239"/>
      <c r="E37" s="239"/>
      <c r="F37" s="239"/>
      <c r="G37" s="239"/>
      <c r="H37" s="240"/>
      <c r="I37" s="241" t="str">
        <f aca="false">IF(H37="NA","NA",IF(H37="YES",$C$7,IF(H37="NO",0,"")))</f>
        <v/>
      </c>
      <c r="J37" s="239"/>
    </row>
    <row r="38" customFormat="false" ht="14.25" hidden="false" customHeight="true" outlineLevel="0" collapsed="false">
      <c r="A38" s="238" t="s">
        <v>511</v>
      </c>
      <c r="B38" s="239"/>
      <c r="C38" s="239"/>
      <c r="D38" s="239"/>
      <c r="E38" s="239"/>
      <c r="F38" s="239"/>
      <c r="G38" s="239"/>
      <c r="H38" s="240"/>
      <c r="I38" s="241" t="str">
        <f aca="false">IF(H38="NA","NA",IF(H38="YES",$C$7,IF(H38="NO",0,"")))</f>
        <v/>
      </c>
      <c r="J38" s="239"/>
    </row>
    <row r="39" customFormat="false" ht="14.25" hidden="false" customHeight="true" outlineLevel="0" collapsed="false">
      <c r="A39" s="238" t="s">
        <v>512</v>
      </c>
      <c r="B39" s="239"/>
      <c r="C39" s="239"/>
      <c r="D39" s="239"/>
      <c r="E39" s="239"/>
      <c r="F39" s="239"/>
      <c r="G39" s="239"/>
      <c r="H39" s="240"/>
      <c r="I39" s="241" t="str">
        <f aca="false">IF(H39="NA","NA",IF(H39="YES",$C$7,IF(H39="NO",0,"")))</f>
        <v/>
      </c>
      <c r="J39" s="239"/>
    </row>
    <row r="40" customFormat="false" ht="14.25" hidden="false" customHeight="true" outlineLevel="0" collapsed="false">
      <c r="A40" s="238" t="s">
        <v>513</v>
      </c>
      <c r="B40" s="239"/>
      <c r="C40" s="239"/>
      <c r="D40" s="239"/>
      <c r="E40" s="239"/>
      <c r="F40" s="239"/>
      <c r="G40" s="239"/>
      <c r="H40" s="240"/>
      <c r="I40" s="241" t="str">
        <f aca="false">IF(H40="NA","NA",IF(H40="YES",$C$7,IF(H40="NO",0,"")))</f>
        <v/>
      </c>
      <c r="J40" s="239"/>
    </row>
    <row r="41" customFormat="false" ht="14.25" hidden="false" customHeight="true" outlineLevel="0" collapsed="false">
      <c r="A41" s="238" t="s">
        <v>514</v>
      </c>
      <c r="B41" s="239"/>
      <c r="C41" s="239"/>
      <c r="D41" s="239"/>
      <c r="E41" s="239"/>
      <c r="F41" s="239"/>
      <c r="G41" s="239"/>
      <c r="H41" s="240"/>
      <c r="I41" s="241" t="str">
        <f aca="false">IF(H41="NA","NA",IF(H41="YES",$C$7,IF(H41="NO",0,"")))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371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Specialised institutional capacity &gt;:&lt; Does the city have dedicated institutional capacity to undertake specialised planning and development functions?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Specialised institutional capacity &gt;:&lt; Women's welfare or development</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dedicated institutional cells/units for specialised functions? &gt;:&lt; Does the city have a dedicated Women's Welfare/Development Cell?</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2.5</v>
      </c>
      <c r="C7" s="232" t="n">
        <f aca="false">VLOOKUP($B$1,'UPD Questions_290926 '!$E$1:$N$300,MATCH($A$7,'UPD Questions_290926 '!$E$1:$N$1,0),0)</f>
        <v>2.5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Score 10, assessed through 4 sub-questions of 2.5 each: an Urban Design Cell; a Climate Action/Sustainability/Disaster Management Cell; an Economic Development Cell; and a dedicated Women's Welfare/Development Cell &gt;:&lt; Check the ULG website to determine whether the city has a dedicated women’s welfare/development cell/unit/vertical or equivalent. If this information is not available on the ULG website, evidence may be obtained from official government sources, credible media reports on the establishment/functioning of such a cell, or through RTI/official email requests. Score 2.5 if there is evidence that a dedicated women’s welfare/development cell/unit/vertical exists and is functional for the city; score 0 otherwise. Applicability: This indicator is applicable only to million-plus cities. For all non-million-plus cities, score NA.</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853</v>
      </c>
    </row>
    <row r="11" customFormat="false" ht="28.5" hidden="false" customHeight="true" outlineLevel="0" collapsed="false">
      <c r="H11" s="234" t="s">
        <v>808</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IF(H13="NA","NA",IF(H13="YES",$C$7,IF(H13="NO",0,"")))</f>
        <v/>
      </c>
      <c r="J13" s="239"/>
    </row>
    <row r="14" customFormat="false" ht="14.25" hidden="false" customHeight="true" outlineLevel="0" collapsed="false">
      <c r="A14" s="238" t="s">
        <v>487</v>
      </c>
      <c r="B14" s="239"/>
      <c r="C14" s="239"/>
      <c r="D14" s="239"/>
      <c r="E14" s="239"/>
      <c r="F14" s="239"/>
      <c r="G14" s="239"/>
      <c r="H14" s="240"/>
      <c r="I14" s="241" t="str">
        <f aca="false">IF(H14="NA","NA",IF(H14="YES",$C$7,IF(H14="NO",0,"")))</f>
        <v/>
      </c>
      <c r="J14" s="239"/>
    </row>
    <row r="15" customFormat="false" ht="14.25" hidden="false" customHeight="true" outlineLevel="0" collapsed="false">
      <c r="A15" s="238" t="s">
        <v>488</v>
      </c>
      <c r="B15" s="239"/>
      <c r="C15" s="239"/>
      <c r="D15" s="239"/>
      <c r="E15" s="239"/>
      <c r="F15" s="239"/>
      <c r="G15" s="239"/>
      <c r="H15" s="240"/>
      <c r="I15" s="241" t="str">
        <f aca="false">IF(H15="NA","NA",IF(H15="YES",$C$7,IF(H15="NO",0,"")))</f>
        <v/>
      </c>
      <c r="J15" s="239"/>
    </row>
    <row r="16" customFormat="false" ht="14.25" hidden="false" customHeight="true" outlineLevel="0" collapsed="false">
      <c r="A16" s="238" t="s">
        <v>489</v>
      </c>
      <c r="B16" s="239"/>
      <c r="C16" s="239"/>
      <c r="D16" s="239"/>
      <c r="E16" s="239"/>
      <c r="F16" s="239"/>
      <c r="G16" s="239"/>
      <c r="H16" s="240"/>
      <c r="I16" s="241" t="str">
        <f aca="false">IF(H16="NA","NA",IF(H16="YES",$C$7,IF(H16="NO",0,"")))</f>
        <v/>
      </c>
      <c r="J16" s="239"/>
    </row>
    <row r="17" customFormat="false" ht="14.25" hidden="false" customHeight="true" outlineLevel="0" collapsed="false">
      <c r="A17" s="238" t="s">
        <v>490</v>
      </c>
      <c r="B17" s="239"/>
      <c r="C17" s="239"/>
      <c r="D17" s="239"/>
      <c r="E17" s="239"/>
      <c r="F17" s="239"/>
      <c r="G17" s="239"/>
      <c r="H17" s="240"/>
      <c r="I17" s="241" t="str">
        <f aca="false">IF(H17="NA","NA",IF(H17="YES",$C$7,IF(H17="NO",0,"")))</f>
        <v/>
      </c>
      <c r="J17" s="239"/>
    </row>
    <row r="18" customFormat="false" ht="14.25" hidden="false" customHeight="true" outlineLevel="0" collapsed="false">
      <c r="A18" s="238" t="s">
        <v>491</v>
      </c>
      <c r="B18" s="239"/>
      <c r="C18" s="239"/>
      <c r="D18" s="239"/>
      <c r="E18" s="239"/>
      <c r="F18" s="239"/>
      <c r="G18" s="239"/>
      <c r="H18" s="240"/>
      <c r="I18" s="241" t="str">
        <f aca="false">IF(H18="NA","NA",IF(H18="YES",$C$7,IF(H18="NO",0,"")))</f>
        <v/>
      </c>
      <c r="J18" s="239"/>
    </row>
    <row r="19" customFormat="false" ht="14.25" hidden="false" customHeight="true" outlineLevel="0" collapsed="false">
      <c r="A19" s="238" t="s">
        <v>492</v>
      </c>
      <c r="B19" s="239"/>
      <c r="C19" s="239"/>
      <c r="D19" s="239"/>
      <c r="E19" s="239"/>
      <c r="F19" s="239"/>
      <c r="G19" s="239"/>
      <c r="H19" s="240"/>
      <c r="I19" s="241" t="str">
        <f aca="false">IF(H19="NA","NA",IF(H19="YES",$C$7,IF(H19="NO",0,"")))</f>
        <v/>
      </c>
      <c r="J19" s="239"/>
    </row>
    <row r="20" customFormat="false" ht="14.25" hidden="false" customHeight="true" outlineLevel="0" collapsed="false">
      <c r="A20" s="238" t="s">
        <v>493</v>
      </c>
      <c r="B20" s="239"/>
      <c r="C20" s="239"/>
      <c r="D20" s="239"/>
      <c r="E20" s="239"/>
      <c r="F20" s="239"/>
      <c r="G20" s="239"/>
      <c r="H20" s="240"/>
      <c r="I20" s="241" t="str">
        <f aca="false">IF(H20="NA","NA",IF(H20="YES",$C$7,IF(H20="NO",0,"")))</f>
        <v/>
      </c>
      <c r="J20" s="239"/>
    </row>
    <row r="21" customFormat="false" ht="14.25" hidden="false" customHeight="true" outlineLevel="0" collapsed="false">
      <c r="A21" s="238" t="s">
        <v>494</v>
      </c>
      <c r="B21" s="239"/>
      <c r="C21" s="239"/>
      <c r="D21" s="239"/>
      <c r="E21" s="239"/>
      <c r="F21" s="239"/>
      <c r="G21" s="239"/>
      <c r="H21" s="240"/>
      <c r="I21" s="241" t="str">
        <f aca="false">IF(H21="NA","NA",IF(H21="YES",$C$7,IF(H21="NO",0,"")))</f>
        <v/>
      </c>
      <c r="J21" s="239"/>
    </row>
    <row r="22" customFormat="false" ht="14.25" hidden="false" customHeight="true" outlineLevel="0" collapsed="false">
      <c r="A22" s="238" t="s">
        <v>495</v>
      </c>
      <c r="B22" s="239"/>
      <c r="C22" s="239"/>
      <c r="D22" s="239"/>
      <c r="E22" s="239"/>
      <c r="F22" s="239"/>
      <c r="G22" s="239"/>
      <c r="H22" s="240"/>
      <c r="I22" s="241" t="str">
        <f aca="false">IF(H22="NA","NA",IF(H22="YES",$C$7,IF(H22="NO",0,"")))</f>
        <v/>
      </c>
      <c r="J22" s="239"/>
    </row>
    <row r="23" customFormat="false" ht="14.25" hidden="false" customHeight="true" outlineLevel="0" collapsed="false">
      <c r="A23" s="238" t="s">
        <v>496</v>
      </c>
      <c r="B23" s="239"/>
      <c r="C23" s="239"/>
      <c r="D23" s="239"/>
      <c r="E23" s="239"/>
      <c r="F23" s="239"/>
      <c r="G23" s="239"/>
      <c r="H23" s="240"/>
      <c r="I23" s="241" t="str">
        <f aca="false">IF(H23="NA","NA",IF(H23="YES",$C$7,IF(H23="NO",0,"")))</f>
        <v/>
      </c>
      <c r="J23" s="239"/>
    </row>
    <row r="24" customFormat="false" ht="14.25" hidden="false" customHeight="true" outlineLevel="0" collapsed="false">
      <c r="A24" s="238" t="s">
        <v>497</v>
      </c>
      <c r="B24" s="239"/>
      <c r="C24" s="239"/>
      <c r="D24" s="239"/>
      <c r="E24" s="239"/>
      <c r="F24" s="239"/>
      <c r="G24" s="239"/>
      <c r="H24" s="240"/>
      <c r="I24" s="241" t="str">
        <f aca="false">IF(H24="NA","NA",IF(H24="YES",$C$7,IF(H24="NO",0,"")))</f>
        <v/>
      </c>
      <c r="J24" s="239"/>
    </row>
    <row r="25" customFormat="false" ht="14.25" hidden="false" customHeight="true" outlineLevel="0" collapsed="false">
      <c r="A25" s="238" t="s">
        <v>498</v>
      </c>
      <c r="B25" s="239"/>
      <c r="C25" s="239"/>
      <c r="D25" s="239"/>
      <c r="E25" s="239"/>
      <c r="F25" s="239"/>
      <c r="G25" s="239"/>
      <c r="H25" s="240"/>
      <c r="I25" s="241" t="str">
        <f aca="false">IF(H25="NA","NA",IF(H25="YES",$C$7,IF(H25="NO",0,"")))</f>
        <v/>
      </c>
      <c r="J25" s="239"/>
    </row>
    <row r="26" customFormat="false" ht="14.25" hidden="false" customHeight="true" outlineLevel="0" collapsed="false">
      <c r="A26" s="238" t="s">
        <v>499</v>
      </c>
      <c r="B26" s="239"/>
      <c r="C26" s="239"/>
      <c r="D26" s="239"/>
      <c r="E26" s="239"/>
      <c r="F26" s="239"/>
      <c r="G26" s="239"/>
      <c r="H26" s="240"/>
      <c r="I26" s="241" t="str">
        <f aca="false">IF(H26="NA","NA",IF(H26="YES",$C$7,IF(H26="NO",0,"")))</f>
        <v/>
      </c>
      <c r="J26" s="239"/>
    </row>
    <row r="27" customFormat="false" ht="14.25" hidden="false" customHeight="true" outlineLevel="0" collapsed="false">
      <c r="A27" s="238" t="s">
        <v>500</v>
      </c>
      <c r="B27" s="239"/>
      <c r="C27" s="239"/>
      <c r="D27" s="239"/>
      <c r="E27" s="239"/>
      <c r="F27" s="239"/>
      <c r="G27" s="239"/>
      <c r="H27" s="240"/>
      <c r="I27" s="241" t="str">
        <f aca="false">IF(H27="NA","NA",IF(H27="YES",$C$7,IF(H27="NO",0,"")))</f>
        <v/>
      </c>
      <c r="J27" s="239"/>
    </row>
    <row r="28" customFormat="false" ht="14.25" hidden="false" customHeight="true" outlineLevel="0" collapsed="false">
      <c r="A28" s="238" t="s">
        <v>501</v>
      </c>
      <c r="B28" s="239"/>
      <c r="C28" s="239"/>
      <c r="D28" s="239"/>
      <c r="E28" s="239"/>
      <c r="F28" s="239"/>
      <c r="G28" s="239"/>
      <c r="H28" s="240"/>
      <c r="I28" s="241" t="str">
        <f aca="false">IF(H28="NA","NA",IF(H28="YES",$C$7,IF(H28="NO",0,"")))</f>
        <v/>
      </c>
      <c r="J28" s="239"/>
    </row>
    <row r="29" customFormat="false" ht="14.25" hidden="false" customHeight="true" outlineLevel="0" collapsed="false">
      <c r="A29" s="238" t="s">
        <v>502</v>
      </c>
      <c r="B29" s="239"/>
      <c r="C29" s="239"/>
      <c r="D29" s="239"/>
      <c r="E29" s="239"/>
      <c r="F29" s="239"/>
      <c r="G29" s="239"/>
      <c r="H29" s="240"/>
      <c r="I29" s="241" t="str">
        <f aca="false">IF(H29="NA","NA",IF(H29="YES",$C$7,IF(H29="NO",0,"")))</f>
        <v/>
      </c>
      <c r="J29" s="239"/>
    </row>
    <row r="30" customFormat="false" ht="14.25" hidden="false" customHeight="true" outlineLevel="0" collapsed="false">
      <c r="A30" s="238" t="s">
        <v>503</v>
      </c>
      <c r="B30" s="239"/>
      <c r="C30" s="239"/>
      <c r="D30" s="239"/>
      <c r="E30" s="239"/>
      <c r="F30" s="239"/>
      <c r="G30" s="239"/>
      <c r="H30" s="240"/>
      <c r="I30" s="241" t="str">
        <f aca="false">IF(H30="NA","NA",IF(H30="YES",$C$7,IF(H30="NO",0,"")))</f>
        <v/>
      </c>
      <c r="J30" s="239"/>
    </row>
    <row r="31" customFormat="false" ht="14.25" hidden="false" customHeight="true" outlineLevel="0" collapsed="false">
      <c r="A31" s="238" t="s">
        <v>504</v>
      </c>
      <c r="B31" s="239"/>
      <c r="C31" s="239"/>
      <c r="D31" s="239"/>
      <c r="E31" s="239"/>
      <c r="F31" s="239"/>
      <c r="G31" s="239"/>
      <c r="H31" s="240"/>
      <c r="I31" s="241" t="str">
        <f aca="false">IF(H31="NA","NA",IF(H31="YES",$C$7,IF(H31="NO",0,"")))</f>
        <v/>
      </c>
      <c r="J31" s="239"/>
    </row>
    <row r="32" customFormat="false" ht="14.25" hidden="false" customHeight="true" outlineLevel="0" collapsed="false">
      <c r="A32" s="238" t="s">
        <v>505</v>
      </c>
      <c r="B32" s="239"/>
      <c r="C32" s="239"/>
      <c r="D32" s="239"/>
      <c r="E32" s="239"/>
      <c r="F32" s="239"/>
      <c r="G32" s="239"/>
      <c r="H32" s="240"/>
      <c r="I32" s="241" t="str">
        <f aca="false">IF(H32="NA","NA",IF(H32="YES",$C$7,IF(H32="NO",0,"")))</f>
        <v/>
      </c>
      <c r="J32" s="239"/>
    </row>
    <row r="33" customFormat="false" ht="14.25" hidden="false" customHeight="true" outlineLevel="0" collapsed="false">
      <c r="A33" s="238" t="s">
        <v>506</v>
      </c>
      <c r="B33" s="239"/>
      <c r="C33" s="239"/>
      <c r="D33" s="239"/>
      <c r="E33" s="239"/>
      <c r="F33" s="239"/>
      <c r="G33" s="239"/>
      <c r="H33" s="240"/>
      <c r="I33" s="241" t="str">
        <f aca="false">IF(H33="NA","NA",IF(H33="YES",$C$7,IF(H33="NO",0,"")))</f>
        <v/>
      </c>
      <c r="J33" s="239"/>
    </row>
    <row r="34" customFormat="false" ht="14.25" hidden="false" customHeight="true" outlineLevel="0" collapsed="false">
      <c r="A34" s="238" t="s">
        <v>507</v>
      </c>
      <c r="B34" s="239"/>
      <c r="C34" s="239"/>
      <c r="D34" s="239"/>
      <c r="E34" s="239"/>
      <c r="F34" s="239"/>
      <c r="G34" s="239"/>
      <c r="H34" s="240"/>
      <c r="I34" s="241" t="str">
        <f aca="false">IF(H34="NA","NA",IF(H34="YES",$C$7,IF(H34="NO",0,"")))</f>
        <v/>
      </c>
      <c r="J34" s="239"/>
    </row>
    <row r="35" customFormat="false" ht="14.25" hidden="false" customHeight="true" outlineLevel="0" collapsed="false">
      <c r="A35" s="238" t="s">
        <v>508</v>
      </c>
      <c r="B35" s="239"/>
      <c r="C35" s="239"/>
      <c r="D35" s="239"/>
      <c r="E35" s="239"/>
      <c r="F35" s="239"/>
      <c r="G35" s="239"/>
      <c r="H35" s="240"/>
      <c r="I35" s="241" t="str">
        <f aca="false">IF(H35="NA","NA",IF(H35="YES",$C$7,IF(H35="NO",0,"")))</f>
        <v/>
      </c>
      <c r="J35" s="239"/>
    </row>
    <row r="36" customFormat="false" ht="14.25" hidden="false" customHeight="true" outlineLevel="0" collapsed="false">
      <c r="A36" s="238" t="s">
        <v>509</v>
      </c>
      <c r="B36" s="239"/>
      <c r="C36" s="239"/>
      <c r="D36" s="239"/>
      <c r="E36" s="239"/>
      <c r="F36" s="239"/>
      <c r="G36" s="239"/>
      <c r="H36" s="240"/>
      <c r="I36" s="241" t="str">
        <f aca="false">IF(H36="NA","NA",IF(H36="YES",$C$7,IF(H36="NO",0,"")))</f>
        <v/>
      </c>
      <c r="J36" s="239"/>
    </row>
    <row r="37" customFormat="false" ht="14.25" hidden="false" customHeight="true" outlineLevel="0" collapsed="false">
      <c r="A37" s="238" t="s">
        <v>510</v>
      </c>
      <c r="B37" s="239"/>
      <c r="C37" s="239"/>
      <c r="D37" s="239"/>
      <c r="E37" s="239"/>
      <c r="F37" s="239"/>
      <c r="G37" s="239"/>
      <c r="H37" s="240"/>
      <c r="I37" s="241" t="str">
        <f aca="false">IF(H37="NA","NA",IF(H37="YES",$C$7,IF(H37="NO",0,"")))</f>
        <v/>
      </c>
      <c r="J37" s="239"/>
    </row>
    <row r="38" customFormat="false" ht="14.25" hidden="false" customHeight="true" outlineLevel="0" collapsed="false">
      <c r="A38" s="238" t="s">
        <v>511</v>
      </c>
      <c r="B38" s="239"/>
      <c r="C38" s="239"/>
      <c r="D38" s="239"/>
      <c r="E38" s="239"/>
      <c r="F38" s="239"/>
      <c r="G38" s="239"/>
      <c r="H38" s="240"/>
      <c r="I38" s="241" t="str">
        <f aca="false">IF(H38="NA","NA",IF(H38="YES",$C$7,IF(H38="NO",0,"")))</f>
        <v/>
      </c>
      <c r="J38" s="239"/>
    </row>
    <row r="39" customFormat="false" ht="14.25" hidden="false" customHeight="true" outlineLevel="0" collapsed="false">
      <c r="A39" s="238" t="s">
        <v>512</v>
      </c>
      <c r="B39" s="239"/>
      <c r="C39" s="239"/>
      <c r="D39" s="239"/>
      <c r="E39" s="239"/>
      <c r="F39" s="239"/>
      <c r="G39" s="239"/>
      <c r="H39" s="240"/>
      <c r="I39" s="241" t="str">
        <f aca="false">IF(H39="NA","NA",IF(H39="YES",$C$7,IF(H39="NO",0,"")))</f>
        <v/>
      </c>
      <c r="J39" s="239"/>
    </row>
    <row r="40" customFormat="false" ht="14.25" hidden="false" customHeight="true" outlineLevel="0" collapsed="false">
      <c r="A40" s="238" t="s">
        <v>513</v>
      </c>
      <c r="B40" s="239"/>
      <c r="C40" s="239"/>
      <c r="D40" s="239"/>
      <c r="E40" s="239"/>
      <c r="F40" s="239"/>
      <c r="G40" s="239"/>
      <c r="H40" s="240"/>
      <c r="I40" s="241" t="str">
        <f aca="false">IF(H40="NA","NA",IF(H40="YES",$C$7,IF(H40="NO",0,"")))</f>
        <v/>
      </c>
      <c r="J40" s="239"/>
    </row>
    <row r="41" customFormat="false" ht="14.25" hidden="false" customHeight="true" outlineLevel="0" collapsed="false">
      <c r="A41" s="238" t="s">
        <v>514</v>
      </c>
      <c r="B41" s="239"/>
      <c r="C41" s="239"/>
      <c r="D41" s="239"/>
      <c r="E41" s="239"/>
      <c r="F41" s="239"/>
      <c r="G41" s="239"/>
      <c r="H41" s="240"/>
      <c r="I41" s="241" t="str">
        <f aca="false">IF(H41="NA","NA",IF(H41="YES",$C$7,IF(H41="NO",0,"")))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2" min="8" style="68" width="22"/>
    <col collapsed="false" customWidth="true" hidden="false" outlineLevel="0" max="13" min="13" style="68" width="14"/>
    <col collapsed="false" customWidth="true" hidden="false" outlineLevel="0" max="14" min="14" style="68" width="45"/>
  </cols>
  <sheetData>
    <row r="1" customFormat="false" ht="14.25" hidden="false" customHeight="true" outlineLevel="0" collapsed="false">
      <c r="A1" s="230" t="s">
        <v>777</v>
      </c>
      <c r="B1" s="230" t="s">
        <v>380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law mandate comprehensive urban design standards and universal accessibility?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provides for urban design standards/guidelines for the planning, design or execution of urban development across the following four categories:1. Roads and streetscapes – including different categories/hierarchies of urban roads.2. Footpaths/pedestrian infrastructure.3. Underground public utilities – including water supply, sewerage, storm-water drainage, electricity, telecommunications/internet and gas.4. Buit form based codes - build to line, minimum frontage, floor heights, building material etc.5. Universal accessibility For each of the five categories, check whether the applicable law mandates or enables urban design standards/guidelines for the planning, design or execution of urban development.For each category, score as follows:Score 1: Where the law uses mandatory language (e.g., “shall”) requiring the preparation, prescription, adoption or application of urban design standards/guidelines.Score 0.5: Where the law uses enabling/discretionary language (e.g., “may”) permitting the preparation, prescription, adoption or application of such standards/guidelines.Score 0: Where there is no such provision.Maximum score: 5 points (5 categories × 1 point). A general power to regulate development, without a specific provision for relevant design standards/guidelines, shall not qualify.</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854</v>
      </c>
    </row>
    <row r="11" customFormat="false" ht="28.5" hidden="false" customHeight="true" outlineLevel="0" collapsed="false">
      <c r="H11" s="234" t="s">
        <v>855</v>
      </c>
      <c r="I11" s="234" t="s">
        <v>855</v>
      </c>
      <c r="J11" s="234" t="s">
        <v>855</v>
      </c>
      <c r="K11" s="234" t="s">
        <v>855</v>
      </c>
      <c r="L11" s="234" t="s">
        <v>855</v>
      </c>
      <c r="M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"Roads &amp; streetscapes ("&amp;TEXT($C$7/5,"0.00")&amp;")"</f>
        <v>Roads &amp; streetscapes (1.00)</v>
      </c>
      <c r="I12" s="237" t="str">
        <f aca="false">"Footpaths / pedestrian infrastructure ("&amp;TEXT($C$7/5,"0.00")&amp;")"</f>
        <v>Footpaths / pedestrian infrastructure (1.00)</v>
      </c>
      <c r="J12" s="237" t="str">
        <f aca="false">"Underground public utilities ("&amp;TEXT($C$7/5,"0.00")&amp;")"</f>
        <v>Underground public utilities (1.00)</v>
      </c>
      <c r="K12" s="237" t="str">
        <f aca="false">"Built-form based codes ("&amp;TEXT($C$7/5,"0.00")&amp;")"</f>
        <v>Built-form based codes (1.00)</v>
      </c>
      <c r="L12" s="237" t="str">
        <f aca="false">"Universal accessibility ("&amp;TEXT($C$7/5,"0.00")&amp;")"</f>
        <v>Universal accessibility (1.00)</v>
      </c>
      <c r="M12" s="235" t="s">
        <v>791</v>
      </c>
      <c r="N12" s="237" t="s">
        <v>792</v>
      </c>
    </row>
    <row r="13" customFormat="false" ht="14.25" hidden="false" customHeight="true" outlineLevel="0" collapsed="false">
      <c r="A13" s="238" t="s">
        <v>486</v>
      </c>
      <c r="B13" s="239"/>
      <c r="C13" s="239"/>
      <c r="D13" s="239"/>
      <c r="E13" s="239"/>
      <c r="F13" s="239"/>
      <c r="G13" s="239"/>
      <c r="H13" s="240"/>
      <c r="I13" s="240"/>
      <c r="J13" s="240"/>
      <c r="K13" s="240"/>
      <c r="L13" s="240"/>
      <c r="M13" s="241" t="str">
        <f aca="false">IF(OR(H13="",I13="",J13="",K13="",L13=""),"",(COUNTIF(H13:L13,"SHALL")+0.5*COUNTIF(H13:L13,"MAY"))/5*$C$7)</f>
        <v/>
      </c>
      <c r="N13" s="239"/>
    </row>
    <row r="14" customFormat="false" ht="14.25" hidden="false" customHeight="true" outlineLevel="0" collapsed="false">
      <c r="A14" s="238" t="s">
        <v>487</v>
      </c>
      <c r="B14" s="239"/>
      <c r="C14" s="239"/>
      <c r="D14" s="239"/>
      <c r="E14" s="239"/>
      <c r="F14" s="239"/>
      <c r="G14" s="239"/>
      <c r="H14" s="240"/>
      <c r="I14" s="240"/>
      <c r="J14" s="240"/>
      <c r="K14" s="240"/>
      <c r="L14" s="240"/>
      <c r="M14" s="241" t="str">
        <f aca="false">IF(OR(H14="",I14="",J14="",K14="",L14=""),"",(COUNTIF(H14:L14,"SHALL")+0.5*COUNTIF(H14:L14,"MAY"))/5*$C$7)</f>
        <v/>
      </c>
      <c r="N14" s="239"/>
    </row>
    <row r="15" customFormat="false" ht="14.25" hidden="false" customHeight="true" outlineLevel="0" collapsed="false">
      <c r="A15" s="238" t="s">
        <v>488</v>
      </c>
      <c r="B15" s="239"/>
      <c r="C15" s="239"/>
      <c r="D15" s="239"/>
      <c r="E15" s="239"/>
      <c r="F15" s="239"/>
      <c r="G15" s="239"/>
      <c r="H15" s="240"/>
      <c r="I15" s="240"/>
      <c r="J15" s="240"/>
      <c r="K15" s="240"/>
      <c r="L15" s="240"/>
      <c r="M15" s="241" t="str">
        <f aca="false">IF(OR(H15="",I15="",J15="",K15="",L15=""),"",(COUNTIF(H15:L15,"SHALL")+0.5*COUNTIF(H15:L15,"MAY"))/5*$C$7)</f>
        <v/>
      </c>
      <c r="N15" s="239"/>
    </row>
    <row r="16" customFormat="false" ht="14.25" hidden="false" customHeight="true" outlineLevel="0" collapsed="false">
      <c r="A16" s="238" t="s">
        <v>489</v>
      </c>
      <c r="B16" s="239"/>
      <c r="C16" s="239"/>
      <c r="D16" s="239"/>
      <c r="E16" s="239"/>
      <c r="F16" s="239"/>
      <c r="G16" s="239"/>
      <c r="H16" s="240"/>
      <c r="I16" s="240"/>
      <c r="J16" s="240"/>
      <c r="K16" s="240"/>
      <c r="L16" s="240"/>
      <c r="M16" s="241" t="str">
        <f aca="false">IF(OR(H16="",I16="",J16="",K16="",L16=""),"",(COUNTIF(H16:L16,"SHALL")+0.5*COUNTIF(H16:L16,"MAY"))/5*$C$7)</f>
        <v/>
      </c>
      <c r="N16" s="239"/>
    </row>
    <row r="17" customFormat="false" ht="14.25" hidden="false" customHeight="true" outlineLevel="0" collapsed="false">
      <c r="A17" s="238" t="s">
        <v>490</v>
      </c>
      <c r="B17" s="239"/>
      <c r="C17" s="239"/>
      <c r="D17" s="239"/>
      <c r="E17" s="239"/>
      <c r="F17" s="239"/>
      <c r="G17" s="239"/>
      <c r="H17" s="240"/>
      <c r="I17" s="240"/>
      <c r="J17" s="240"/>
      <c r="K17" s="240"/>
      <c r="L17" s="240"/>
      <c r="M17" s="241" t="str">
        <f aca="false">IF(OR(H17="",I17="",J17="",K17="",L17=""),"",(COUNTIF(H17:L17,"SHALL")+0.5*COUNTIF(H17:L17,"MAY"))/5*$C$7)</f>
        <v/>
      </c>
      <c r="N17" s="239"/>
    </row>
    <row r="18" customFormat="false" ht="14.25" hidden="false" customHeight="true" outlineLevel="0" collapsed="false">
      <c r="A18" s="238" t="s">
        <v>491</v>
      </c>
      <c r="B18" s="239"/>
      <c r="C18" s="239"/>
      <c r="D18" s="239"/>
      <c r="E18" s="239"/>
      <c r="F18" s="239"/>
      <c r="G18" s="239"/>
      <c r="H18" s="240"/>
      <c r="I18" s="240"/>
      <c r="J18" s="240"/>
      <c r="K18" s="240"/>
      <c r="L18" s="240"/>
      <c r="M18" s="241" t="str">
        <f aca="false">IF(OR(H18="",I18="",J18="",K18="",L18=""),"",(COUNTIF(H18:L18,"SHALL")+0.5*COUNTIF(H18:L18,"MAY"))/5*$C$7)</f>
        <v/>
      </c>
      <c r="N18" s="239"/>
    </row>
    <row r="19" customFormat="false" ht="14.25" hidden="false" customHeight="true" outlineLevel="0" collapsed="false">
      <c r="A19" s="238" t="s">
        <v>492</v>
      </c>
      <c r="B19" s="239"/>
      <c r="C19" s="239"/>
      <c r="D19" s="239"/>
      <c r="E19" s="239"/>
      <c r="F19" s="239"/>
      <c r="G19" s="239"/>
      <c r="H19" s="240"/>
      <c r="I19" s="240"/>
      <c r="J19" s="240"/>
      <c r="K19" s="240"/>
      <c r="L19" s="240"/>
      <c r="M19" s="241" t="str">
        <f aca="false">IF(OR(H19="",I19="",J19="",K19="",L19=""),"",(COUNTIF(H19:L19,"SHALL")+0.5*COUNTIF(H19:L19,"MAY"))/5*$C$7)</f>
        <v/>
      </c>
      <c r="N19" s="239"/>
    </row>
    <row r="20" customFormat="false" ht="14.25" hidden="false" customHeight="true" outlineLevel="0" collapsed="false">
      <c r="A20" s="238" t="s">
        <v>493</v>
      </c>
      <c r="B20" s="239"/>
      <c r="C20" s="239"/>
      <c r="D20" s="239"/>
      <c r="E20" s="239"/>
      <c r="F20" s="239"/>
      <c r="G20" s="239"/>
      <c r="H20" s="240"/>
      <c r="I20" s="240"/>
      <c r="J20" s="240"/>
      <c r="K20" s="240"/>
      <c r="L20" s="240"/>
      <c r="M20" s="241" t="str">
        <f aca="false">IF(OR(H20="",I20="",J20="",K20="",L20=""),"",(COUNTIF(H20:L20,"SHALL")+0.5*COUNTIF(H20:L20,"MAY"))/5*$C$7)</f>
        <v/>
      </c>
      <c r="N20" s="239"/>
    </row>
    <row r="21" customFormat="false" ht="14.25" hidden="false" customHeight="true" outlineLevel="0" collapsed="false">
      <c r="A21" s="238" t="s">
        <v>494</v>
      </c>
      <c r="B21" s="239"/>
      <c r="C21" s="239"/>
      <c r="D21" s="239"/>
      <c r="E21" s="239"/>
      <c r="F21" s="239"/>
      <c r="G21" s="239"/>
      <c r="H21" s="240"/>
      <c r="I21" s="240"/>
      <c r="J21" s="240"/>
      <c r="K21" s="240"/>
      <c r="L21" s="240"/>
      <c r="M21" s="241" t="str">
        <f aca="false">IF(OR(H21="",I21="",J21="",K21="",L21=""),"",(COUNTIF(H21:L21,"SHALL")+0.5*COUNTIF(H21:L21,"MAY"))/5*$C$7)</f>
        <v/>
      </c>
      <c r="N21" s="239"/>
    </row>
    <row r="22" customFormat="false" ht="14.25" hidden="false" customHeight="true" outlineLevel="0" collapsed="false">
      <c r="A22" s="238" t="s">
        <v>495</v>
      </c>
      <c r="B22" s="239"/>
      <c r="C22" s="239"/>
      <c r="D22" s="239"/>
      <c r="E22" s="239"/>
      <c r="F22" s="239"/>
      <c r="G22" s="239"/>
      <c r="H22" s="240"/>
      <c r="I22" s="240"/>
      <c r="J22" s="240"/>
      <c r="K22" s="240"/>
      <c r="L22" s="240"/>
      <c r="M22" s="241" t="str">
        <f aca="false">IF(OR(H22="",I22="",J22="",K22="",L22=""),"",(COUNTIF(H22:L22,"SHALL")+0.5*COUNTIF(H22:L22,"MAY"))/5*$C$7)</f>
        <v/>
      </c>
      <c r="N22" s="239"/>
    </row>
    <row r="23" customFormat="false" ht="14.25" hidden="false" customHeight="true" outlineLevel="0" collapsed="false">
      <c r="A23" s="238" t="s">
        <v>496</v>
      </c>
      <c r="B23" s="239"/>
      <c r="C23" s="239"/>
      <c r="D23" s="239"/>
      <c r="E23" s="239"/>
      <c r="F23" s="239"/>
      <c r="G23" s="239"/>
      <c r="H23" s="240"/>
      <c r="I23" s="240"/>
      <c r="J23" s="240"/>
      <c r="K23" s="240"/>
      <c r="L23" s="240"/>
      <c r="M23" s="241" t="str">
        <f aca="false">IF(OR(H23="",I23="",J23="",K23="",L23=""),"",(COUNTIF(H23:L23,"SHALL")+0.5*COUNTIF(H23:L23,"MAY"))/5*$C$7)</f>
        <v/>
      </c>
      <c r="N23" s="239"/>
    </row>
    <row r="24" customFormat="false" ht="14.25" hidden="false" customHeight="true" outlineLevel="0" collapsed="false">
      <c r="A24" s="238" t="s">
        <v>497</v>
      </c>
      <c r="B24" s="239"/>
      <c r="C24" s="239"/>
      <c r="D24" s="239"/>
      <c r="E24" s="239"/>
      <c r="F24" s="239"/>
      <c r="G24" s="239"/>
      <c r="H24" s="240"/>
      <c r="I24" s="240"/>
      <c r="J24" s="240"/>
      <c r="K24" s="240"/>
      <c r="L24" s="240"/>
      <c r="M24" s="241" t="str">
        <f aca="false">IF(OR(H24="",I24="",J24="",K24="",L24=""),"",(COUNTIF(H24:L24,"SHALL")+0.5*COUNTIF(H24:L24,"MAY"))/5*$C$7)</f>
        <v/>
      </c>
      <c r="N24" s="239"/>
    </row>
    <row r="25" customFormat="false" ht="14.25" hidden="false" customHeight="true" outlineLevel="0" collapsed="false">
      <c r="A25" s="238" t="s">
        <v>498</v>
      </c>
      <c r="B25" s="239"/>
      <c r="C25" s="239"/>
      <c r="D25" s="239"/>
      <c r="E25" s="239"/>
      <c r="F25" s="239"/>
      <c r="G25" s="239"/>
      <c r="H25" s="240"/>
      <c r="I25" s="240"/>
      <c r="J25" s="240"/>
      <c r="K25" s="240"/>
      <c r="L25" s="240"/>
      <c r="M25" s="241" t="str">
        <f aca="false">IF(OR(H25="",I25="",J25="",K25="",L25=""),"",(COUNTIF(H25:L25,"SHALL")+0.5*COUNTIF(H25:L25,"MAY"))/5*$C$7)</f>
        <v/>
      </c>
      <c r="N25" s="239"/>
    </row>
    <row r="26" customFormat="false" ht="14.25" hidden="false" customHeight="true" outlineLevel="0" collapsed="false">
      <c r="A26" s="238" t="s">
        <v>499</v>
      </c>
      <c r="B26" s="239"/>
      <c r="C26" s="239"/>
      <c r="D26" s="239"/>
      <c r="E26" s="239"/>
      <c r="F26" s="239"/>
      <c r="G26" s="239"/>
      <c r="H26" s="240"/>
      <c r="I26" s="240"/>
      <c r="J26" s="240"/>
      <c r="K26" s="240"/>
      <c r="L26" s="240"/>
      <c r="M26" s="241" t="str">
        <f aca="false">IF(OR(H26="",I26="",J26="",K26="",L26=""),"",(COUNTIF(H26:L26,"SHALL")+0.5*COUNTIF(H26:L26,"MAY"))/5*$C$7)</f>
        <v/>
      </c>
      <c r="N26" s="239"/>
    </row>
    <row r="27" customFormat="false" ht="14.25" hidden="false" customHeight="true" outlineLevel="0" collapsed="false">
      <c r="A27" s="238" t="s">
        <v>500</v>
      </c>
      <c r="B27" s="239"/>
      <c r="C27" s="239"/>
      <c r="D27" s="239"/>
      <c r="E27" s="239"/>
      <c r="F27" s="239"/>
      <c r="G27" s="239"/>
      <c r="H27" s="240"/>
      <c r="I27" s="240"/>
      <c r="J27" s="240"/>
      <c r="K27" s="240"/>
      <c r="L27" s="240"/>
      <c r="M27" s="241" t="str">
        <f aca="false">IF(OR(H27="",I27="",J27="",K27="",L27=""),"",(COUNTIF(H27:L27,"SHALL")+0.5*COUNTIF(H27:L27,"MAY"))/5*$C$7)</f>
        <v/>
      </c>
      <c r="N27" s="239"/>
    </row>
    <row r="28" customFormat="false" ht="14.25" hidden="false" customHeight="true" outlineLevel="0" collapsed="false">
      <c r="A28" s="238" t="s">
        <v>501</v>
      </c>
      <c r="B28" s="239"/>
      <c r="C28" s="239"/>
      <c r="D28" s="239"/>
      <c r="E28" s="239"/>
      <c r="F28" s="239"/>
      <c r="G28" s="239"/>
      <c r="H28" s="240"/>
      <c r="I28" s="240"/>
      <c r="J28" s="240"/>
      <c r="K28" s="240"/>
      <c r="L28" s="240"/>
      <c r="M28" s="241" t="str">
        <f aca="false">IF(OR(H28="",I28="",J28="",K28="",L28=""),"",(COUNTIF(H28:L28,"SHALL")+0.5*COUNTIF(H28:L28,"MAY"))/5*$C$7)</f>
        <v/>
      </c>
      <c r="N28" s="239"/>
    </row>
    <row r="29" customFormat="false" ht="14.25" hidden="false" customHeight="true" outlineLevel="0" collapsed="false">
      <c r="A29" s="238" t="s">
        <v>502</v>
      </c>
      <c r="B29" s="239"/>
      <c r="C29" s="239"/>
      <c r="D29" s="239"/>
      <c r="E29" s="239"/>
      <c r="F29" s="239"/>
      <c r="G29" s="239"/>
      <c r="H29" s="240"/>
      <c r="I29" s="240"/>
      <c r="J29" s="240"/>
      <c r="K29" s="240"/>
      <c r="L29" s="240"/>
      <c r="M29" s="241" t="str">
        <f aca="false">IF(OR(H29="",I29="",J29="",K29="",L29=""),"",(COUNTIF(H29:L29,"SHALL")+0.5*COUNTIF(H29:L29,"MAY"))/5*$C$7)</f>
        <v/>
      </c>
      <c r="N29" s="239"/>
    </row>
    <row r="30" customFormat="false" ht="14.25" hidden="false" customHeight="true" outlineLevel="0" collapsed="false">
      <c r="A30" s="238" t="s">
        <v>503</v>
      </c>
      <c r="B30" s="239"/>
      <c r="C30" s="239"/>
      <c r="D30" s="239"/>
      <c r="E30" s="239"/>
      <c r="F30" s="239"/>
      <c r="G30" s="239"/>
      <c r="H30" s="240"/>
      <c r="I30" s="240"/>
      <c r="J30" s="240"/>
      <c r="K30" s="240"/>
      <c r="L30" s="240"/>
      <c r="M30" s="241" t="str">
        <f aca="false">IF(OR(H30="",I30="",J30="",K30="",L30=""),"",(COUNTIF(H30:L30,"SHALL")+0.5*COUNTIF(H30:L30,"MAY"))/5*$C$7)</f>
        <v/>
      </c>
      <c r="N30" s="239"/>
    </row>
    <row r="31" customFormat="false" ht="14.25" hidden="false" customHeight="true" outlineLevel="0" collapsed="false">
      <c r="A31" s="238" t="s">
        <v>504</v>
      </c>
      <c r="B31" s="239"/>
      <c r="C31" s="239"/>
      <c r="D31" s="239"/>
      <c r="E31" s="239"/>
      <c r="F31" s="239"/>
      <c r="G31" s="239"/>
      <c r="H31" s="240"/>
      <c r="I31" s="240"/>
      <c r="J31" s="240"/>
      <c r="K31" s="240"/>
      <c r="L31" s="240"/>
      <c r="M31" s="241" t="str">
        <f aca="false">IF(OR(H31="",I31="",J31="",K31="",L31=""),"",(COUNTIF(H31:L31,"SHALL")+0.5*COUNTIF(H31:L31,"MAY"))/5*$C$7)</f>
        <v/>
      </c>
      <c r="N31" s="239"/>
    </row>
    <row r="32" customFormat="false" ht="14.25" hidden="false" customHeight="true" outlineLevel="0" collapsed="false">
      <c r="A32" s="238" t="s">
        <v>505</v>
      </c>
      <c r="B32" s="239"/>
      <c r="C32" s="239"/>
      <c r="D32" s="239"/>
      <c r="E32" s="239"/>
      <c r="F32" s="239"/>
      <c r="G32" s="239"/>
      <c r="H32" s="240"/>
      <c r="I32" s="240"/>
      <c r="J32" s="240"/>
      <c r="K32" s="240"/>
      <c r="L32" s="240"/>
      <c r="M32" s="241" t="str">
        <f aca="false">IF(OR(H32="",I32="",J32="",K32="",L32=""),"",(COUNTIF(H32:L32,"SHALL")+0.5*COUNTIF(H32:L32,"MAY"))/5*$C$7)</f>
        <v/>
      </c>
      <c r="N32" s="239"/>
    </row>
    <row r="33" customFormat="false" ht="14.25" hidden="false" customHeight="true" outlineLevel="0" collapsed="false">
      <c r="A33" s="238" t="s">
        <v>506</v>
      </c>
      <c r="B33" s="239"/>
      <c r="C33" s="239"/>
      <c r="D33" s="239"/>
      <c r="E33" s="239"/>
      <c r="F33" s="239"/>
      <c r="G33" s="239"/>
      <c r="H33" s="240"/>
      <c r="I33" s="240"/>
      <c r="J33" s="240"/>
      <c r="K33" s="240"/>
      <c r="L33" s="240"/>
      <c r="M33" s="241" t="str">
        <f aca="false">IF(OR(H33="",I33="",J33="",K33="",L33=""),"",(COUNTIF(H33:L33,"SHALL")+0.5*COUNTIF(H33:L33,"MAY"))/5*$C$7)</f>
        <v/>
      </c>
      <c r="N33" s="239"/>
    </row>
    <row r="34" customFormat="false" ht="14.25" hidden="false" customHeight="true" outlineLevel="0" collapsed="false">
      <c r="A34" s="238" t="s">
        <v>507</v>
      </c>
      <c r="B34" s="239"/>
      <c r="C34" s="239"/>
      <c r="D34" s="239"/>
      <c r="E34" s="239"/>
      <c r="F34" s="239"/>
      <c r="G34" s="239"/>
      <c r="H34" s="240"/>
      <c r="I34" s="240"/>
      <c r="J34" s="240"/>
      <c r="K34" s="240"/>
      <c r="L34" s="240"/>
      <c r="M34" s="241" t="str">
        <f aca="false">IF(OR(H34="",I34="",J34="",K34="",L34=""),"",(COUNTIF(H34:L34,"SHALL")+0.5*COUNTIF(H34:L34,"MAY"))/5*$C$7)</f>
        <v/>
      </c>
      <c r="N34" s="239"/>
    </row>
    <row r="35" customFormat="false" ht="14.25" hidden="false" customHeight="true" outlineLevel="0" collapsed="false">
      <c r="A35" s="238" t="s">
        <v>508</v>
      </c>
      <c r="B35" s="239"/>
      <c r="C35" s="239"/>
      <c r="D35" s="239"/>
      <c r="E35" s="239"/>
      <c r="F35" s="239"/>
      <c r="G35" s="239"/>
      <c r="H35" s="240"/>
      <c r="I35" s="240"/>
      <c r="J35" s="240"/>
      <c r="K35" s="240"/>
      <c r="L35" s="240"/>
      <c r="M35" s="241" t="str">
        <f aca="false">IF(OR(H35="",I35="",J35="",K35="",L35=""),"",(COUNTIF(H35:L35,"SHALL")+0.5*COUNTIF(H35:L35,"MAY"))/5*$C$7)</f>
        <v/>
      </c>
      <c r="N35" s="239"/>
    </row>
    <row r="36" customFormat="false" ht="14.25" hidden="false" customHeight="true" outlineLevel="0" collapsed="false">
      <c r="A36" s="238" t="s">
        <v>509</v>
      </c>
      <c r="B36" s="239"/>
      <c r="C36" s="239"/>
      <c r="D36" s="239"/>
      <c r="E36" s="239"/>
      <c r="F36" s="239"/>
      <c r="G36" s="239"/>
      <c r="H36" s="240"/>
      <c r="I36" s="240"/>
      <c r="J36" s="240"/>
      <c r="K36" s="240"/>
      <c r="L36" s="240"/>
      <c r="M36" s="241" t="str">
        <f aca="false">IF(OR(H36="",I36="",J36="",K36="",L36=""),"",(COUNTIF(H36:L36,"SHALL")+0.5*COUNTIF(H36:L36,"MAY"))/5*$C$7)</f>
        <v/>
      </c>
      <c r="N36" s="239"/>
    </row>
    <row r="37" customFormat="false" ht="14.25" hidden="false" customHeight="true" outlineLevel="0" collapsed="false">
      <c r="A37" s="238" t="s">
        <v>510</v>
      </c>
      <c r="B37" s="239"/>
      <c r="C37" s="239"/>
      <c r="D37" s="239"/>
      <c r="E37" s="239"/>
      <c r="F37" s="239"/>
      <c r="G37" s="239"/>
      <c r="H37" s="240"/>
      <c r="I37" s="240"/>
      <c r="J37" s="240"/>
      <c r="K37" s="240"/>
      <c r="L37" s="240"/>
      <c r="M37" s="241" t="str">
        <f aca="false">IF(OR(H37="",I37="",J37="",K37="",L37=""),"",(COUNTIF(H37:L37,"SHALL")+0.5*COUNTIF(H37:L37,"MAY"))/5*$C$7)</f>
        <v/>
      </c>
      <c r="N37" s="239"/>
    </row>
    <row r="38" customFormat="false" ht="14.25" hidden="false" customHeight="true" outlineLevel="0" collapsed="false">
      <c r="A38" s="238" t="s">
        <v>511</v>
      </c>
      <c r="B38" s="239"/>
      <c r="C38" s="239"/>
      <c r="D38" s="239"/>
      <c r="E38" s="239"/>
      <c r="F38" s="239"/>
      <c r="G38" s="239"/>
      <c r="H38" s="240"/>
      <c r="I38" s="240"/>
      <c r="J38" s="240"/>
      <c r="K38" s="240"/>
      <c r="L38" s="240"/>
      <c r="M38" s="241" t="str">
        <f aca="false">IF(OR(H38="",I38="",J38="",K38="",L38=""),"",(COUNTIF(H38:L38,"SHALL")+0.5*COUNTIF(H38:L38,"MAY"))/5*$C$7)</f>
        <v/>
      </c>
      <c r="N38" s="239"/>
    </row>
    <row r="39" customFormat="false" ht="14.25" hidden="false" customHeight="true" outlineLevel="0" collapsed="false">
      <c r="A39" s="238" t="s">
        <v>512</v>
      </c>
      <c r="B39" s="239"/>
      <c r="C39" s="239"/>
      <c r="D39" s="239"/>
      <c r="E39" s="239"/>
      <c r="F39" s="239"/>
      <c r="G39" s="239"/>
      <c r="H39" s="240"/>
      <c r="I39" s="240"/>
      <c r="J39" s="240"/>
      <c r="K39" s="240"/>
      <c r="L39" s="240"/>
      <c r="M39" s="241" t="str">
        <f aca="false">IF(OR(H39="",I39="",J39="",K39="",L39=""),"",(COUNTIF(H39:L39,"SHALL")+0.5*COUNTIF(H39:L39,"MAY"))/5*$C$7)</f>
        <v/>
      </c>
      <c r="N39" s="239"/>
    </row>
    <row r="40" customFormat="false" ht="14.25" hidden="false" customHeight="true" outlineLevel="0" collapsed="false">
      <c r="A40" s="238" t="s">
        <v>513</v>
      </c>
      <c r="B40" s="239"/>
      <c r="C40" s="239"/>
      <c r="D40" s="239"/>
      <c r="E40" s="239"/>
      <c r="F40" s="239"/>
      <c r="G40" s="239"/>
      <c r="H40" s="240"/>
      <c r="I40" s="240"/>
      <c r="J40" s="240"/>
      <c r="K40" s="240"/>
      <c r="L40" s="240"/>
      <c r="M40" s="241" t="str">
        <f aca="false">IF(OR(H40="",I40="",J40="",K40="",L40=""),"",(COUNTIF(H40:L40,"SHALL")+0.5*COUNTIF(H40:L40,"MAY"))/5*$C$7)</f>
        <v/>
      </c>
      <c r="N40" s="239"/>
    </row>
    <row r="41" customFormat="false" ht="14.25" hidden="false" customHeight="true" outlineLevel="0" collapsed="false">
      <c r="A41" s="238" t="s">
        <v>514</v>
      </c>
      <c r="B41" s="239"/>
      <c r="C41" s="239"/>
      <c r="D41" s="239"/>
      <c r="E41" s="239"/>
      <c r="F41" s="239"/>
      <c r="G41" s="239"/>
      <c r="H41" s="240"/>
      <c r="I41" s="240"/>
      <c r="J41" s="240"/>
      <c r="K41" s="240"/>
      <c r="L41" s="240"/>
      <c r="M41" s="241" t="str">
        <f aca="false">IF(OR(H41="",I41="",J41="",K41="",L41=""),"",(COUNTIF(H41:L41,"SHALL")+0.5*COUNTIF(H41:L41,"MAY"))/5*$C$7)</f>
        <v/>
      </c>
      <c r="N41" s="239"/>
    </row>
  </sheetData>
  <dataValidations count="1">
    <dataValidation allowBlank="true" error="Please enter a valid value (see note above the column)." errorStyle="stop" errorTitle="Invalid entry" operator="between" showDropDown="false" showErrorMessage="true" showInputMessage="false" sqref="H13:L41" type="list">
      <formula1>"SHALL,MAY,NONE"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2" min="8" style="68" width="22"/>
    <col collapsed="false" customWidth="true" hidden="false" outlineLevel="0" max="13" min="13" style="68" width="14"/>
    <col collapsed="false" customWidth="true" hidden="false" outlineLevel="0" max="14" min="14" style="68" width="45"/>
  </cols>
  <sheetData>
    <row r="1" customFormat="false" ht="14.25" hidden="false" customHeight="true" outlineLevel="0" collapsed="false">
      <c r="A1" s="230" t="s">
        <v>777</v>
      </c>
      <c r="B1" s="230" t="s">
        <v>384</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Urban design standards and universal accessibility &gt;:&lt; Urban design standards and universal accessibility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prescribed urban design standards to guide the execution of urban projects, including standards for universal accessibility? &gt;:&lt; Does the city have urban design standards to guide the execution of urban projects?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city has adopted/notified urban design standards or guidelines for the planning, design or execution of urban development across the following five categories:1. Roads and streetscapes – including different categories/hierarchies of urban roads.2. Footpaths/pedestrian infrastructure.3. Underground public utilities – including water supply, sewerage, storm-water drainage, electricity, telecommunications/internet and gas.4. Buit form based codes - build to line, minimum frontage, floor heights, building material etc.5. Universal accessibilityCheck the ULG website, Development Authority website, Urban Development Department website, Department of Urban Land Transport / Unified Metropolitan Transport Authority or equivalent specialised agency website for evidence of such standards/guidelines. For categories (a)–(c), the standards may be contained in a standalone urban/street design guideline or other formally adopted/notified city-level document. Evidence on an official website that the city has formally adopted an identified set of standards/guidelines may also be considered. For residential and commercial buildings (categories (d) and (e)), standards contained in the applicable DCRs/building bye-laws or equivalent regulations may also be considered. These may include urban design requirements relating to building frontage/interface with the street, signage, façade treatment, building materials, or other design controls applicable to residential or commercial development. For each category, there must be evidence that the standards/guidelines are applicable to or adopted for the city. Mere reference to national/model guidelines or standards, without evidence of their adoption or application by the city, shall not qualify. Scoring: Award 1 point for each category for which applicable urban design standards/guidelines have been adopted/notified (5 categories × 1 = 5); score 0 for a category where no such standards/guidelines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806</v>
      </c>
    </row>
    <row r="11" customFormat="false" ht="28.5" hidden="false" customHeight="true" outlineLevel="0" collapsed="false">
      <c r="H11" s="234" t="s">
        <v>782</v>
      </c>
      <c r="I11" s="234" t="s">
        <v>782</v>
      </c>
      <c r="J11" s="234" t="s">
        <v>782</v>
      </c>
      <c r="K11" s="234" t="s">
        <v>782</v>
      </c>
      <c r="L11" s="234" t="s">
        <v>782</v>
      </c>
      <c r="M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"Roads &amp; streetscapes ("&amp;TEXT($C$7/5,"0.00")&amp;")"</f>
        <v>Roads &amp; streetscapes (1.00)</v>
      </c>
      <c r="I12" s="237" t="str">
        <f aca="false">"Footpaths / pedestrian infrastructure ("&amp;TEXT($C$7/5,"0.00")&amp;")"</f>
        <v>Footpaths / pedestrian infrastructure (1.00)</v>
      </c>
      <c r="J12" s="237" t="str">
        <f aca="false">"Underground public utilities ("&amp;TEXT($C$7/5,"0.00")&amp;")"</f>
        <v>Underground public utilities (1.00)</v>
      </c>
      <c r="K12" s="237" t="str">
        <f aca="false">"Built-form based codes ("&amp;TEXT($C$7/5,"0.00")&amp;")"</f>
        <v>Built-form based codes (1.00)</v>
      </c>
      <c r="L12" s="237" t="str">
        <f aca="false">"Universal accessibility ("&amp;TEXT($C$7/5,"0.00")&amp;")"</f>
        <v>Universal accessibility (1.00)</v>
      </c>
      <c r="M12" s="235" t="s">
        <v>791</v>
      </c>
      <c r="N12" s="237" t="s">
        <v>792</v>
      </c>
    </row>
    <row r="13" customFormat="false" ht="14.25" hidden="false" customHeight="true" outlineLevel="0" collapsed="false">
      <c r="A13" s="238" t="s">
        <v>486</v>
      </c>
      <c r="B13" s="239"/>
      <c r="C13" s="239"/>
      <c r="D13" s="239"/>
      <c r="E13" s="239"/>
      <c r="F13" s="239"/>
      <c r="G13" s="239"/>
      <c r="H13" s="240"/>
      <c r="I13" s="240"/>
      <c r="J13" s="240"/>
      <c r="K13" s="240"/>
      <c r="L13" s="240"/>
      <c r="M13" s="241" t="str">
        <f aca="false">IF(OR(H13="",I13="",J13="",K13="",L13=""),"",COUNTIF(H13:L13,"YES")/5*$C$7)</f>
        <v/>
      </c>
      <c r="N13" s="239"/>
    </row>
    <row r="14" customFormat="false" ht="14.25" hidden="false" customHeight="true" outlineLevel="0" collapsed="false">
      <c r="A14" s="238" t="s">
        <v>487</v>
      </c>
      <c r="B14" s="239"/>
      <c r="C14" s="239"/>
      <c r="D14" s="239"/>
      <c r="E14" s="239"/>
      <c r="F14" s="239"/>
      <c r="G14" s="239"/>
      <c r="H14" s="240"/>
      <c r="I14" s="240"/>
      <c r="J14" s="240"/>
      <c r="K14" s="240"/>
      <c r="L14" s="240"/>
      <c r="M14" s="241" t="str">
        <f aca="false">IF(OR(H14="",I14="",J14="",K14="",L14=""),"",COUNTIF(H14:L14,"YES")/5*$C$7)</f>
        <v/>
      </c>
      <c r="N14" s="239"/>
    </row>
    <row r="15" customFormat="false" ht="14.25" hidden="false" customHeight="true" outlineLevel="0" collapsed="false">
      <c r="A15" s="238" t="s">
        <v>488</v>
      </c>
      <c r="B15" s="239"/>
      <c r="C15" s="239"/>
      <c r="D15" s="239"/>
      <c r="E15" s="239"/>
      <c r="F15" s="239"/>
      <c r="G15" s="239"/>
      <c r="H15" s="240"/>
      <c r="I15" s="240"/>
      <c r="J15" s="240"/>
      <c r="K15" s="240"/>
      <c r="L15" s="240"/>
      <c r="M15" s="241" t="str">
        <f aca="false">IF(OR(H15="",I15="",J15="",K15="",L15=""),"",COUNTIF(H15:L15,"YES")/5*$C$7)</f>
        <v/>
      </c>
      <c r="N15" s="239"/>
    </row>
    <row r="16" customFormat="false" ht="14.25" hidden="false" customHeight="true" outlineLevel="0" collapsed="false">
      <c r="A16" s="238" t="s">
        <v>489</v>
      </c>
      <c r="B16" s="239"/>
      <c r="C16" s="239"/>
      <c r="D16" s="239"/>
      <c r="E16" s="239"/>
      <c r="F16" s="239"/>
      <c r="G16" s="239"/>
      <c r="H16" s="240"/>
      <c r="I16" s="240"/>
      <c r="J16" s="240"/>
      <c r="K16" s="240"/>
      <c r="L16" s="240"/>
      <c r="M16" s="241" t="str">
        <f aca="false">IF(OR(H16="",I16="",J16="",K16="",L16=""),"",COUNTIF(H16:L16,"YES")/5*$C$7)</f>
        <v/>
      </c>
      <c r="N16" s="239"/>
    </row>
    <row r="17" customFormat="false" ht="14.25" hidden="false" customHeight="true" outlineLevel="0" collapsed="false">
      <c r="A17" s="238" t="s">
        <v>490</v>
      </c>
      <c r="B17" s="239"/>
      <c r="C17" s="239"/>
      <c r="D17" s="239"/>
      <c r="E17" s="239"/>
      <c r="F17" s="239"/>
      <c r="G17" s="239"/>
      <c r="H17" s="240"/>
      <c r="I17" s="240"/>
      <c r="J17" s="240"/>
      <c r="K17" s="240"/>
      <c r="L17" s="240"/>
      <c r="M17" s="241" t="str">
        <f aca="false">IF(OR(H17="",I17="",J17="",K17="",L17=""),"",COUNTIF(H17:L17,"YES")/5*$C$7)</f>
        <v/>
      </c>
      <c r="N17" s="239"/>
    </row>
    <row r="18" customFormat="false" ht="14.25" hidden="false" customHeight="true" outlineLevel="0" collapsed="false">
      <c r="A18" s="238" t="s">
        <v>491</v>
      </c>
      <c r="B18" s="239"/>
      <c r="C18" s="239"/>
      <c r="D18" s="239"/>
      <c r="E18" s="239"/>
      <c r="F18" s="239"/>
      <c r="G18" s="239"/>
      <c r="H18" s="240"/>
      <c r="I18" s="240"/>
      <c r="J18" s="240"/>
      <c r="K18" s="240"/>
      <c r="L18" s="240"/>
      <c r="M18" s="241" t="str">
        <f aca="false">IF(OR(H18="",I18="",J18="",K18="",L18=""),"",COUNTIF(H18:L18,"YES")/5*$C$7)</f>
        <v/>
      </c>
      <c r="N18" s="239"/>
    </row>
    <row r="19" customFormat="false" ht="14.25" hidden="false" customHeight="true" outlineLevel="0" collapsed="false">
      <c r="A19" s="238" t="s">
        <v>492</v>
      </c>
      <c r="B19" s="239"/>
      <c r="C19" s="239"/>
      <c r="D19" s="239"/>
      <c r="E19" s="239"/>
      <c r="F19" s="239"/>
      <c r="G19" s="239"/>
      <c r="H19" s="240"/>
      <c r="I19" s="240"/>
      <c r="J19" s="240"/>
      <c r="K19" s="240"/>
      <c r="L19" s="240"/>
      <c r="M19" s="241" t="str">
        <f aca="false">IF(OR(H19="",I19="",J19="",K19="",L19=""),"",COUNTIF(H19:L19,"YES")/5*$C$7)</f>
        <v/>
      </c>
      <c r="N19" s="239"/>
    </row>
    <row r="20" customFormat="false" ht="14.25" hidden="false" customHeight="true" outlineLevel="0" collapsed="false">
      <c r="A20" s="238" t="s">
        <v>493</v>
      </c>
      <c r="B20" s="239"/>
      <c r="C20" s="239"/>
      <c r="D20" s="239"/>
      <c r="E20" s="239"/>
      <c r="F20" s="239"/>
      <c r="G20" s="239"/>
      <c r="H20" s="240"/>
      <c r="I20" s="240"/>
      <c r="J20" s="240"/>
      <c r="K20" s="240"/>
      <c r="L20" s="240"/>
      <c r="M20" s="241" t="str">
        <f aca="false">IF(OR(H20="",I20="",J20="",K20="",L20=""),"",COUNTIF(H20:L20,"YES")/5*$C$7)</f>
        <v/>
      </c>
      <c r="N20" s="239"/>
    </row>
    <row r="21" customFormat="false" ht="14.25" hidden="false" customHeight="true" outlineLevel="0" collapsed="false">
      <c r="A21" s="238" t="s">
        <v>494</v>
      </c>
      <c r="B21" s="239"/>
      <c r="C21" s="239"/>
      <c r="D21" s="239"/>
      <c r="E21" s="239"/>
      <c r="F21" s="239"/>
      <c r="G21" s="239"/>
      <c r="H21" s="240"/>
      <c r="I21" s="240"/>
      <c r="J21" s="240"/>
      <c r="K21" s="240"/>
      <c r="L21" s="240"/>
      <c r="M21" s="241" t="str">
        <f aca="false">IF(OR(H21="",I21="",J21="",K21="",L21=""),"",COUNTIF(H21:L21,"YES")/5*$C$7)</f>
        <v/>
      </c>
      <c r="N21" s="239"/>
    </row>
    <row r="22" customFormat="false" ht="14.25" hidden="false" customHeight="true" outlineLevel="0" collapsed="false">
      <c r="A22" s="238" t="s">
        <v>495</v>
      </c>
      <c r="B22" s="239"/>
      <c r="C22" s="239"/>
      <c r="D22" s="239"/>
      <c r="E22" s="239"/>
      <c r="F22" s="239"/>
      <c r="G22" s="239"/>
      <c r="H22" s="240"/>
      <c r="I22" s="240"/>
      <c r="J22" s="240"/>
      <c r="K22" s="240"/>
      <c r="L22" s="240"/>
      <c r="M22" s="241" t="str">
        <f aca="false">IF(OR(H22="",I22="",J22="",K22="",L22=""),"",COUNTIF(H22:L22,"YES")/5*$C$7)</f>
        <v/>
      </c>
      <c r="N22" s="239"/>
    </row>
    <row r="23" customFormat="false" ht="14.25" hidden="false" customHeight="true" outlineLevel="0" collapsed="false">
      <c r="A23" s="238" t="s">
        <v>496</v>
      </c>
      <c r="B23" s="239"/>
      <c r="C23" s="239"/>
      <c r="D23" s="239"/>
      <c r="E23" s="239"/>
      <c r="F23" s="239"/>
      <c r="G23" s="239"/>
      <c r="H23" s="240"/>
      <c r="I23" s="240"/>
      <c r="J23" s="240"/>
      <c r="K23" s="240"/>
      <c r="L23" s="240"/>
      <c r="M23" s="241" t="str">
        <f aca="false">IF(OR(H23="",I23="",J23="",K23="",L23=""),"",COUNTIF(H23:L23,"YES")/5*$C$7)</f>
        <v/>
      </c>
      <c r="N23" s="239"/>
    </row>
    <row r="24" customFormat="false" ht="14.25" hidden="false" customHeight="true" outlineLevel="0" collapsed="false">
      <c r="A24" s="238" t="s">
        <v>497</v>
      </c>
      <c r="B24" s="239"/>
      <c r="C24" s="239"/>
      <c r="D24" s="239"/>
      <c r="E24" s="239"/>
      <c r="F24" s="239"/>
      <c r="G24" s="239"/>
      <c r="H24" s="240"/>
      <c r="I24" s="240"/>
      <c r="J24" s="240"/>
      <c r="K24" s="240"/>
      <c r="L24" s="240"/>
      <c r="M24" s="241" t="str">
        <f aca="false">IF(OR(H24="",I24="",J24="",K24="",L24=""),"",COUNTIF(H24:L24,"YES")/5*$C$7)</f>
        <v/>
      </c>
      <c r="N24" s="239"/>
    </row>
    <row r="25" customFormat="false" ht="14.25" hidden="false" customHeight="true" outlineLevel="0" collapsed="false">
      <c r="A25" s="238" t="s">
        <v>498</v>
      </c>
      <c r="B25" s="239"/>
      <c r="C25" s="239"/>
      <c r="D25" s="239"/>
      <c r="E25" s="239"/>
      <c r="F25" s="239"/>
      <c r="G25" s="239"/>
      <c r="H25" s="240"/>
      <c r="I25" s="240"/>
      <c r="J25" s="240"/>
      <c r="K25" s="240"/>
      <c r="L25" s="240"/>
      <c r="M25" s="241" t="str">
        <f aca="false">IF(OR(H25="",I25="",J25="",K25="",L25=""),"",COUNTIF(H25:L25,"YES")/5*$C$7)</f>
        <v/>
      </c>
      <c r="N25" s="239"/>
    </row>
    <row r="26" customFormat="false" ht="14.25" hidden="false" customHeight="true" outlineLevel="0" collapsed="false">
      <c r="A26" s="238" t="s">
        <v>499</v>
      </c>
      <c r="B26" s="239"/>
      <c r="C26" s="239"/>
      <c r="D26" s="239"/>
      <c r="E26" s="239"/>
      <c r="F26" s="239"/>
      <c r="G26" s="239"/>
      <c r="H26" s="240"/>
      <c r="I26" s="240"/>
      <c r="J26" s="240"/>
      <c r="K26" s="240"/>
      <c r="L26" s="240"/>
      <c r="M26" s="241" t="str">
        <f aca="false">IF(OR(H26="",I26="",J26="",K26="",L26=""),"",COUNTIF(H26:L26,"YES")/5*$C$7)</f>
        <v/>
      </c>
      <c r="N26" s="239"/>
    </row>
    <row r="27" customFormat="false" ht="14.25" hidden="false" customHeight="true" outlineLevel="0" collapsed="false">
      <c r="A27" s="238" t="s">
        <v>500</v>
      </c>
      <c r="B27" s="239"/>
      <c r="C27" s="239"/>
      <c r="D27" s="239"/>
      <c r="E27" s="239"/>
      <c r="F27" s="239"/>
      <c r="G27" s="239"/>
      <c r="H27" s="240"/>
      <c r="I27" s="240"/>
      <c r="J27" s="240"/>
      <c r="K27" s="240"/>
      <c r="L27" s="240"/>
      <c r="M27" s="241" t="str">
        <f aca="false">IF(OR(H27="",I27="",J27="",K27="",L27=""),"",COUNTIF(H27:L27,"YES")/5*$C$7)</f>
        <v/>
      </c>
      <c r="N27" s="239"/>
    </row>
    <row r="28" customFormat="false" ht="14.25" hidden="false" customHeight="true" outlineLevel="0" collapsed="false">
      <c r="A28" s="238" t="s">
        <v>501</v>
      </c>
      <c r="B28" s="239"/>
      <c r="C28" s="239"/>
      <c r="D28" s="239"/>
      <c r="E28" s="239"/>
      <c r="F28" s="239"/>
      <c r="G28" s="239"/>
      <c r="H28" s="240"/>
      <c r="I28" s="240"/>
      <c r="J28" s="240"/>
      <c r="K28" s="240"/>
      <c r="L28" s="240"/>
      <c r="M28" s="241" t="str">
        <f aca="false">IF(OR(H28="",I28="",J28="",K28="",L28=""),"",COUNTIF(H28:L28,"YES")/5*$C$7)</f>
        <v/>
      </c>
      <c r="N28" s="239"/>
    </row>
    <row r="29" customFormat="false" ht="14.25" hidden="false" customHeight="true" outlineLevel="0" collapsed="false">
      <c r="A29" s="238" t="s">
        <v>502</v>
      </c>
      <c r="B29" s="239"/>
      <c r="C29" s="239"/>
      <c r="D29" s="239"/>
      <c r="E29" s="239"/>
      <c r="F29" s="239"/>
      <c r="G29" s="239"/>
      <c r="H29" s="240"/>
      <c r="I29" s="240"/>
      <c r="J29" s="240"/>
      <c r="K29" s="240"/>
      <c r="L29" s="240"/>
      <c r="M29" s="241" t="str">
        <f aca="false">IF(OR(H29="",I29="",J29="",K29="",L29=""),"",COUNTIF(H29:L29,"YES")/5*$C$7)</f>
        <v/>
      </c>
      <c r="N29" s="239"/>
    </row>
    <row r="30" customFormat="false" ht="14.25" hidden="false" customHeight="true" outlineLevel="0" collapsed="false">
      <c r="A30" s="238" t="s">
        <v>503</v>
      </c>
      <c r="B30" s="239"/>
      <c r="C30" s="239"/>
      <c r="D30" s="239"/>
      <c r="E30" s="239"/>
      <c r="F30" s="239"/>
      <c r="G30" s="239"/>
      <c r="H30" s="240"/>
      <c r="I30" s="240"/>
      <c r="J30" s="240"/>
      <c r="K30" s="240"/>
      <c r="L30" s="240"/>
      <c r="M30" s="241" t="str">
        <f aca="false">IF(OR(H30="",I30="",J30="",K30="",L30=""),"",COUNTIF(H30:L30,"YES")/5*$C$7)</f>
        <v/>
      </c>
      <c r="N30" s="239"/>
    </row>
    <row r="31" customFormat="false" ht="14.25" hidden="false" customHeight="true" outlineLevel="0" collapsed="false">
      <c r="A31" s="238" t="s">
        <v>504</v>
      </c>
      <c r="B31" s="239"/>
      <c r="C31" s="239"/>
      <c r="D31" s="239"/>
      <c r="E31" s="239"/>
      <c r="F31" s="239"/>
      <c r="G31" s="239"/>
      <c r="H31" s="240"/>
      <c r="I31" s="240"/>
      <c r="J31" s="240"/>
      <c r="K31" s="240"/>
      <c r="L31" s="240"/>
      <c r="M31" s="241" t="str">
        <f aca="false">IF(OR(H31="",I31="",J31="",K31="",L31=""),"",COUNTIF(H31:L31,"YES")/5*$C$7)</f>
        <v/>
      </c>
      <c r="N31" s="239"/>
    </row>
    <row r="32" customFormat="false" ht="14.25" hidden="false" customHeight="true" outlineLevel="0" collapsed="false">
      <c r="A32" s="238" t="s">
        <v>505</v>
      </c>
      <c r="B32" s="239"/>
      <c r="C32" s="239"/>
      <c r="D32" s="239"/>
      <c r="E32" s="239"/>
      <c r="F32" s="239"/>
      <c r="G32" s="239"/>
      <c r="H32" s="240"/>
      <c r="I32" s="240"/>
      <c r="J32" s="240"/>
      <c r="K32" s="240"/>
      <c r="L32" s="240"/>
      <c r="M32" s="241" t="str">
        <f aca="false">IF(OR(H32="",I32="",J32="",K32="",L32=""),"",COUNTIF(H32:L32,"YES")/5*$C$7)</f>
        <v/>
      </c>
      <c r="N32" s="239"/>
    </row>
    <row r="33" customFormat="false" ht="14.25" hidden="false" customHeight="true" outlineLevel="0" collapsed="false">
      <c r="A33" s="238" t="s">
        <v>506</v>
      </c>
      <c r="B33" s="239"/>
      <c r="C33" s="239"/>
      <c r="D33" s="239"/>
      <c r="E33" s="239"/>
      <c r="F33" s="239"/>
      <c r="G33" s="239"/>
      <c r="H33" s="240"/>
      <c r="I33" s="240"/>
      <c r="J33" s="240"/>
      <c r="K33" s="240"/>
      <c r="L33" s="240"/>
      <c r="M33" s="241" t="str">
        <f aca="false">IF(OR(H33="",I33="",J33="",K33="",L33=""),"",COUNTIF(H33:L33,"YES")/5*$C$7)</f>
        <v/>
      </c>
      <c r="N33" s="239"/>
    </row>
    <row r="34" customFormat="false" ht="14.25" hidden="false" customHeight="true" outlineLevel="0" collapsed="false">
      <c r="A34" s="238" t="s">
        <v>507</v>
      </c>
      <c r="B34" s="239"/>
      <c r="C34" s="239"/>
      <c r="D34" s="239"/>
      <c r="E34" s="239"/>
      <c r="F34" s="239"/>
      <c r="G34" s="239"/>
      <c r="H34" s="240"/>
      <c r="I34" s="240"/>
      <c r="J34" s="240"/>
      <c r="K34" s="240"/>
      <c r="L34" s="240"/>
      <c r="M34" s="241" t="str">
        <f aca="false">IF(OR(H34="",I34="",J34="",K34="",L34=""),"",COUNTIF(H34:L34,"YES")/5*$C$7)</f>
        <v/>
      </c>
      <c r="N34" s="239"/>
    </row>
    <row r="35" customFormat="false" ht="14.25" hidden="false" customHeight="true" outlineLevel="0" collapsed="false">
      <c r="A35" s="238" t="s">
        <v>508</v>
      </c>
      <c r="B35" s="239"/>
      <c r="C35" s="239"/>
      <c r="D35" s="239"/>
      <c r="E35" s="239"/>
      <c r="F35" s="239"/>
      <c r="G35" s="239"/>
      <c r="H35" s="240"/>
      <c r="I35" s="240"/>
      <c r="J35" s="240"/>
      <c r="K35" s="240"/>
      <c r="L35" s="240"/>
      <c r="M35" s="241" t="str">
        <f aca="false">IF(OR(H35="",I35="",J35="",K35="",L35=""),"",COUNTIF(H35:L35,"YES")/5*$C$7)</f>
        <v/>
      </c>
      <c r="N35" s="239"/>
    </row>
    <row r="36" customFormat="false" ht="14.25" hidden="false" customHeight="true" outlineLevel="0" collapsed="false">
      <c r="A36" s="238" t="s">
        <v>509</v>
      </c>
      <c r="B36" s="239"/>
      <c r="C36" s="239"/>
      <c r="D36" s="239"/>
      <c r="E36" s="239"/>
      <c r="F36" s="239"/>
      <c r="G36" s="239"/>
      <c r="H36" s="240"/>
      <c r="I36" s="240"/>
      <c r="J36" s="240"/>
      <c r="K36" s="240"/>
      <c r="L36" s="240"/>
      <c r="M36" s="241" t="str">
        <f aca="false">IF(OR(H36="",I36="",J36="",K36="",L36=""),"",COUNTIF(H36:L36,"YES")/5*$C$7)</f>
        <v/>
      </c>
      <c r="N36" s="239"/>
    </row>
    <row r="37" customFormat="false" ht="14.25" hidden="false" customHeight="true" outlineLevel="0" collapsed="false">
      <c r="A37" s="238" t="s">
        <v>510</v>
      </c>
      <c r="B37" s="239"/>
      <c r="C37" s="239"/>
      <c r="D37" s="239"/>
      <c r="E37" s="239"/>
      <c r="F37" s="239"/>
      <c r="G37" s="239"/>
      <c r="H37" s="240"/>
      <c r="I37" s="240"/>
      <c r="J37" s="240"/>
      <c r="K37" s="240"/>
      <c r="L37" s="240"/>
      <c r="M37" s="241" t="str">
        <f aca="false">IF(OR(H37="",I37="",J37="",K37="",L37=""),"",COUNTIF(H37:L37,"YES")/5*$C$7)</f>
        <v/>
      </c>
      <c r="N37" s="239"/>
    </row>
    <row r="38" customFormat="false" ht="14.25" hidden="false" customHeight="true" outlineLevel="0" collapsed="false">
      <c r="A38" s="238" t="s">
        <v>511</v>
      </c>
      <c r="B38" s="239"/>
      <c r="C38" s="239"/>
      <c r="D38" s="239"/>
      <c r="E38" s="239"/>
      <c r="F38" s="239"/>
      <c r="G38" s="239"/>
      <c r="H38" s="240"/>
      <c r="I38" s="240"/>
      <c r="J38" s="240"/>
      <c r="K38" s="240"/>
      <c r="L38" s="240"/>
      <c r="M38" s="241" t="str">
        <f aca="false">IF(OR(H38="",I38="",J38="",K38="",L38=""),"",COUNTIF(H38:L38,"YES")/5*$C$7)</f>
        <v/>
      </c>
      <c r="N38" s="239"/>
    </row>
    <row r="39" customFormat="false" ht="14.25" hidden="false" customHeight="true" outlineLevel="0" collapsed="false">
      <c r="A39" s="238" t="s">
        <v>512</v>
      </c>
      <c r="B39" s="239"/>
      <c r="C39" s="239"/>
      <c r="D39" s="239"/>
      <c r="E39" s="239"/>
      <c r="F39" s="239"/>
      <c r="G39" s="239"/>
      <c r="H39" s="240"/>
      <c r="I39" s="240"/>
      <c r="J39" s="240"/>
      <c r="K39" s="240"/>
      <c r="L39" s="240"/>
      <c r="M39" s="241" t="str">
        <f aca="false">IF(OR(H39="",I39="",J39="",K39="",L39=""),"",COUNTIF(H39:L39,"YES")/5*$C$7)</f>
        <v/>
      </c>
      <c r="N39" s="239"/>
    </row>
    <row r="40" customFormat="false" ht="14.25" hidden="false" customHeight="true" outlineLevel="0" collapsed="false">
      <c r="A40" s="238" t="s">
        <v>513</v>
      </c>
      <c r="B40" s="239"/>
      <c r="C40" s="239"/>
      <c r="D40" s="239"/>
      <c r="E40" s="239"/>
      <c r="F40" s="239"/>
      <c r="G40" s="239"/>
      <c r="H40" s="240"/>
      <c r="I40" s="240"/>
      <c r="J40" s="240"/>
      <c r="K40" s="240"/>
      <c r="L40" s="240"/>
      <c r="M40" s="241" t="str">
        <f aca="false">IF(OR(H40="",I40="",J40="",K40="",L40=""),"",COUNTIF(H40:L40,"YES")/5*$C$7)</f>
        <v/>
      </c>
      <c r="N40" s="239"/>
    </row>
    <row r="41" customFormat="false" ht="14.25" hidden="false" customHeight="true" outlineLevel="0" collapsed="false">
      <c r="A41" s="238" t="s">
        <v>514</v>
      </c>
      <c r="B41" s="239"/>
      <c r="C41" s="239"/>
      <c r="D41" s="239"/>
      <c r="E41" s="239"/>
      <c r="F41" s="239"/>
      <c r="G41" s="239"/>
      <c r="H41" s="240"/>
      <c r="I41" s="240"/>
      <c r="J41" s="240"/>
      <c r="K41" s="240"/>
      <c r="L41" s="240"/>
      <c r="M41" s="241" t="str">
        <f aca="false">IF(OR(H41="",I41="",J41="",K41="",L41=""),"",COUNTIF(H41:L41,"YES")/5*$C$7)</f>
        <v/>
      </c>
      <c r="N41" s="239"/>
    </row>
  </sheetData>
  <dataValidations count="1">
    <dataValidation allowBlank="true" error="Please enter a valid value (see note above the column)." errorStyle="stop" errorTitle="Invalid entry" operator="between" showDropDown="false" showErrorMessage="true" showInputMessage="false" sqref="H13:L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392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Is there a clear mandate in the law for a parking policy?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the applicable T&amp;CP Act or Municipal Act mandates the ULG to prepare and/or adopt a standalone parking policy or parking management policy.A general provision prescribing parking standards for individual buildings/developments, or empowering the ULG to regulate parking, shall not qualify. The law must specifically provide for the preparation/adoption of a city-level parking policy.Distinguish between mandatory and enabling provisions:Score 5 where the law uses mandatory language (e.g., “shall”) requiring the ULG/city to prepare or adopt a standalone Parking Policy/Parking Management Policy.Score 2.5 where the law uses enabling/discretionary language (e.g., “may”) permitting the ULG/city to prepare or adopt such a policy.Score 0 where there is no such statutory provision.</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856</v>
      </c>
    </row>
    <row r="11" customFormat="false" ht="28.5" hidden="false" customHeight="true" outlineLevel="0" collapsed="false">
      <c r="H11" s="234" t="s">
        <v>855</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857</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IF(H13="","",IF(H13="SHALL",$C$7,IF(H13="MAY",$C$7/2,0)))</f>
        <v/>
      </c>
      <c r="J13" s="239"/>
    </row>
    <row r="14" customFormat="false" ht="14.25" hidden="false" customHeight="true" outlineLevel="0" collapsed="false">
      <c r="A14" s="238" t="s">
        <v>487</v>
      </c>
      <c r="B14" s="239"/>
      <c r="C14" s="239"/>
      <c r="D14" s="239"/>
      <c r="E14" s="239"/>
      <c r="F14" s="239"/>
      <c r="G14" s="239"/>
      <c r="H14" s="240"/>
      <c r="I14" s="241" t="str">
        <f aca="false">IF(H14="","",IF(H14="SHALL",$C$7,IF(H14="MAY",$C$7/2,0)))</f>
        <v/>
      </c>
      <c r="J14" s="239"/>
    </row>
    <row r="15" customFormat="false" ht="14.25" hidden="false" customHeight="true" outlineLevel="0" collapsed="false">
      <c r="A15" s="238" t="s">
        <v>488</v>
      </c>
      <c r="B15" s="239"/>
      <c r="C15" s="239"/>
      <c r="D15" s="239"/>
      <c r="E15" s="239"/>
      <c r="F15" s="239"/>
      <c r="G15" s="239"/>
      <c r="H15" s="240"/>
      <c r="I15" s="241" t="str">
        <f aca="false">IF(H15="","",IF(H15="SHALL",$C$7,IF(H15="MAY",$C$7/2,0)))</f>
        <v/>
      </c>
      <c r="J15" s="239"/>
    </row>
    <row r="16" customFormat="false" ht="14.25" hidden="false" customHeight="true" outlineLevel="0" collapsed="false">
      <c r="A16" s="238" t="s">
        <v>489</v>
      </c>
      <c r="B16" s="239"/>
      <c r="C16" s="239"/>
      <c r="D16" s="239"/>
      <c r="E16" s="239"/>
      <c r="F16" s="239"/>
      <c r="G16" s="239"/>
      <c r="H16" s="240"/>
      <c r="I16" s="241" t="str">
        <f aca="false">IF(H16="","",IF(H16="SHALL",$C$7,IF(H16="MAY",$C$7/2,0)))</f>
        <v/>
      </c>
      <c r="J16" s="239"/>
    </row>
    <row r="17" customFormat="false" ht="14.25" hidden="false" customHeight="true" outlineLevel="0" collapsed="false">
      <c r="A17" s="238" t="s">
        <v>490</v>
      </c>
      <c r="B17" s="239"/>
      <c r="C17" s="239"/>
      <c r="D17" s="239"/>
      <c r="E17" s="239"/>
      <c r="F17" s="239"/>
      <c r="G17" s="239"/>
      <c r="H17" s="240"/>
      <c r="I17" s="241" t="str">
        <f aca="false">IF(H17="","",IF(H17="SHALL",$C$7,IF(H17="MAY",$C$7/2,0)))</f>
        <v/>
      </c>
      <c r="J17" s="239"/>
    </row>
    <row r="18" customFormat="false" ht="14.25" hidden="false" customHeight="true" outlineLevel="0" collapsed="false">
      <c r="A18" s="238" t="s">
        <v>491</v>
      </c>
      <c r="B18" s="239"/>
      <c r="C18" s="239"/>
      <c r="D18" s="239"/>
      <c r="E18" s="239"/>
      <c r="F18" s="239"/>
      <c r="G18" s="239"/>
      <c r="H18" s="240"/>
      <c r="I18" s="241" t="str">
        <f aca="false">IF(H18="","",IF(H18="SHALL",$C$7,IF(H18="MAY",$C$7/2,0)))</f>
        <v/>
      </c>
      <c r="J18" s="239"/>
    </row>
    <row r="19" customFormat="false" ht="14.25" hidden="false" customHeight="true" outlineLevel="0" collapsed="false">
      <c r="A19" s="238" t="s">
        <v>492</v>
      </c>
      <c r="B19" s="239"/>
      <c r="C19" s="239"/>
      <c r="D19" s="239"/>
      <c r="E19" s="239"/>
      <c r="F19" s="239"/>
      <c r="G19" s="239"/>
      <c r="H19" s="240"/>
      <c r="I19" s="241" t="str">
        <f aca="false">IF(H19="","",IF(H19="SHALL",$C$7,IF(H19="MAY",$C$7/2,0)))</f>
        <v/>
      </c>
      <c r="J19" s="239"/>
    </row>
    <row r="20" customFormat="false" ht="14.25" hidden="false" customHeight="true" outlineLevel="0" collapsed="false">
      <c r="A20" s="238" t="s">
        <v>493</v>
      </c>
      <c r="B20" s="239"/>
      <c r="C20" s="239"/>
      <c r="D20" s="239"/>
      <c r="E20" s="239"/>
      <c r="F20" s="239"/>
      <c r="G20" s="239"/>
      <c r="H20" s="240"/>
      <c r="I20" s="241" t="str">
        <f aca="false">IF(H20="","",IF(H20="SHALL",$C$7,IF(H20="MAY",$C$7/2,0)))</f>
        <v/>
      </c>
      <c r="J20" s="239"/>
    </row>
    <row r="21" customFormat="false" ht="14.25" hidden="false" customHeight="true" outlineLevel="0" collapsed="false">
      <c r="A21" s="238" t="s">
        <v>494</v>
      </c>
      <c r="B21" s="239"/>
      <c r="C21" s="239"/>
      <c r="D21" s="239"/>
      <c r="E21" s="239"/>
      <c r="F21" s="239"/>
      <c r="G21" s="239"/>
      <c r="H21" s="240"/>
      <c r="I21" s="241" t="str">
        <f aca="false">IF(H21="","",IF(H21="SHALL",$C$7,IF(H21="MAY",$C$7/2,0)))</f>
        <v/>
      </c>
      <c r="J21" s="239"/>
    </row>
    <row r="22" customFormat="false" ht="14.25" hidden="false" customHeight="true" outlineLevel="0" collapsed="false">
      <c r="A22" s="238" t="s">
        <v>495</v>
      </c>
      <c r="B22" s="239"/>
      <c r="C22" s="239"/>
      <c r="D22" s="239"/>
      <c r="E22" s="239"/>
      <c r="F22" s="239"/>
      <c r="G22" s="239"/>
      <c r="H22" s="240"/>
      <c r="I22" s="241" t="str">
        <f aca="false">IF(H22="","",IF(H22="SHALL",$C$7,IF(H22="MAY",$C$7/2,0)))</f>
        <v/>
      </c>
      <c r="J22" s="239"/>
    </row>
    <row r="23" customFormat="false" ht="14.25" hidden="false" customHeight="true" outlineLevel="0" collapsed="false">
      <c r="A23" s="238" t="s">
        <v>496</v>
      </c>
      <c r="B23" s="239"/>
      <c r="C23" s="239"/>
      <c r="D23" s="239"/>
      <c r="E23" s="239"/>
      <c r="F23" s="239"/>
      <c r="G23" s="239"/>
      <c r="H23" s="240"/>
      <c r="I23" s="241" t="str">
        <f aca="false">IF(H23="","",IF(H23="SHALL",$C$7,IF(H23="MAY",$C$7/2,0)))</f>
        <v/>
      </c>
      <c r="J23" s="239"/>
    </row>
    <row r="24" customFormat="false" ht="14.25" hidden="false" customHeight="true" outlineLevel="0" collapsed="false">
      <c r="A24" s="238" t="s">
        <v>497</v>
      </c>
      <c r="B24" s="239"/>
      <c r="C24" s="239"/>
      <c r="D24" s="239"/>
      <c r="E24" s="239"/>
      <c r="F24" s="239"/>
      <c r="G24" s="239"/>
      <c r="H24" s="240"/>
      <c r="I24" s="241" t="str">
        <f aca="false">IF(H24="","",IF(H24="SHALL",$C$7,IF(H24="MAY",$C$7/2,0)))</f>
        <v/>
      </c>
      <c r="J24" s="239"/>
    </row>
    <row r="25" customFormat="false" ht="14.25" hidden="false" customHeight="true" outlineLevel="0" collapsed="false">
      <c r="A25" s="238" t="s">
        <v>498</v>
      </c>
      <c r="B25" s="239"/>
      <c r="C25" s="239"/>
      <c r="D25" s="239"/>
      <c r="E25" s="239"/>
      <c r="F25" s="239"/>
      <c r="G25" s="239"/>
      <c r="H25" s="240"/>
      <c r="I25" s="241" t="str">
        <f aca="false">IF(H25="","",IF(H25="SHALL",$C$7,IF(H25="MAY",$C$7/2,0)))</f>
        <v/>
      </c>
      <c r="J25" s="239"/>
    </row>
    <row r="26" customFormat="false" ht="14.25" hidden="false" customHeight="true" outlineLevel="0" collapsed="false">
      <c r="A26" s="238" t="s">
        <v>499</v>
      </c>
      <c r="B26" s="239"/>
      <c r="C26" s="239"/>
      <c r="D26" s="239"/>
      <c r="E26" s="239"/>
      <c r="F26" s="239"/>
      <c r="G26" s="239"/>
      <c r="H26" s="240"/>
      <c r="I26" s="241" t="str">
        <f aca="false">IF(H26="","",IF(H26="SHALL",$C$7,IF(H26="MAY",$C$7/2,0)))</f>
        <v/>
      </c>
      <c r="J26" s="239"/>
    </row>
    <row r="27" customFormat="false" ht="14.25" hidden="false" customHeight="true" outlineLevel="0" collapsed="false">
      <c r="A27" s="238" t="s">
        <v>500</v>
      </c>
      <c r="B27" s="239"/>
      <c r="C27" s="239"/>
      <c r="D27" s="239"/>
      <c r="E27" s="239"/>
      <c r="F27" s="239"/>
      <c r="G27" s="239"/>
      <c r="H27" s="240"/>
      <c r="I27" s="241" t="str">
        <f aca="false">IF(H27="","",IF(H27="SHALL",$C$7,IF(H27="MAY",$C$7/2,0)))</f>
        <v/>
      </c>
      <c r="J27" s="239"/>
    </row>
    <row r="28" customFormat="false" ht="14.25" hidden="false" customHeight="true" outlineLevel="0" collapsed="false">
      <c r="A28" s="238" t="s">
        <v>501</v>
      </c>
      <c r="B28" s="239"/>
      <c r="C28" s="239"/>
      <c r="D28" s="239"/>
      <c r="E28" s="239"/>
      <c r="F28" s="239"/>
      <c r="G28" s="239"/>
      <c r="H28" s="240"/>
      <c r="I28" s="241" t="str">
        <f aca="false">IF(H28="","",IF(H28="SHALL",$C$7,IF(H28="MAY",$C$7/2,0)))</f>
        <v/>
      </c>
      <c r="J28" s="239"/>
    </row>
    <row r="29" customFormat="false" ht="14.25" hidden="false" customHeight="true" outlineLevel="0" collapsed="false">
      <c r="A29" s="238" t="s">
        <v>502</v>
      </c>
      <c r="B29" s="239"/>
      <c r="C29" s="239"/>
      <c r="D29" s="239"/>
      <c r="E29" s="239"/>
      <c r="F29" s="239"/>
      <c r="G29" s="239"/>
      <c r="H29" s="240"/>
      <c r="I29" s="241" t="str">
        <f aca="false">IF(H29="","",IF(H29="SHALL",$C$7,IF(H29="MAY",$C$7/2,0)))</f>
        <v/>
      </c>
      <c r="J29" s="239"/>
    </row>
    <row r="30" customFormat="false" ht="14.25" hidden="false" customHeight="true" outlineLevel="0" collapsed="false">
      <c r="A30" s="238" t="s">
        <v>503</v>
      </c>
      <c r="B30" s="239"/>
      <c r="C30" s="239"/>
      <c r="D30" s="239"/>
      <c r="E30" s="239"/>
      <c r="F30" s="239"/>
      <c r="G30" s="239"/>
      <c r="H30" s="240"/>
      <c r="I30" s="241" t="str">
        <f aca="false">IF(H30="","",IF(H30="SHALL",$C$7,IF(H30="MAY",$C$7/2,0)))</f>
        <v/>
      </c>
      <c r="J30" s="239"/>
    </row>
    <row r="31" customFormat="false" ht="14.25" hidden="false" customHeight="true" outlineLevel="0" collapsed="false">
      <c r="A31" s="238" t="s">
        <v>504</v>
      </c>
      <c r="B31" s="239"/>
      <c r="C31" s="239"/>
      <c r="D31" s="239"/>
      <c r="E31" s="239"/>
      <c r="F31" s="239"/>
      <c r="G31" s="239"/>
      <c r="H31" s="240"/>
      <c r="I31" s="241" t="str">
        <f aca="false">IF(H31="","",IF(H31="SHALL",$C$7,IF(H31="MAY",$C$7/2,0)))</f>
        <v/>
      </c>
      <c r="J31" s="239"/>
    </row>
    <row r="32" customFormat="false" ht="14.25" hidden="false" customHeight="true" outlineLevel="0" collapsed="false">
      <c r="A32" s="238" t="s">
        <v>505</v>
      </c>
      <c r="B32" s="239"/>
      <c r="C32" s="239"/>
      <c r="D32" s="239"/>
      <c r="E32" s="239"/>
      <c r="F32" s="239"/>
      <c r="G32" s="239"/>
      <c r="H32" s="240"/>
      <c r="I32" s="241" t="str">
        <f aca="false">IF(H32="","",IF(H32="SHALL",$C$7,IF(H32="MAY",$C$7/2,0)))</f>
        <v/>
      </c>
      <c r="J32" s="239"/>
    </row>
    <row r="33" customFormat="false" ht="14.25" hidden="false" customHeight="true" outlineLevel="0" collapsed="false">
      <c r="A33" s="238" t="s">
        <v>506</v>
      </c>
      <c r="B33" s="239"/>
      <c r="C33" s="239"/>
      <c r="D33" s="239"/>
      <c r="E33" s="239"/>
      <c r="F33" s="239"/>
      <c r="G33" s="239"/>
      <c r="H33" s="240"/>
      <c r="I33" s="241" t="str">
        <f aca="false">IF(H33="","",IF(H33="SHALL",$C$7,IF(H33="MAY",$C$7/2,0)))</f>
        <v/>
      </c>
      <c r="J33" s="239"/>
    </row>
    <row r="34" customFormat="false" ht="14.25" hidden="false" customHeight="true" outlineLevel="0" collapsed="false">
      <c r="A34" s="238" t="s">
        <v>507</v>
      </c>
      <c r="B34" s="239"/>
      <c r="C34" s="239"/>
      <c r="D34" s="239"/>
      <c r="E34" s="239"/>
      <c r="F34" s="239"/>
      <c r="G34" s="239"/>
      <c r="H34" s="240"/>
      <c r="I34" s="241" t="str">
        <f aca="false">IF(H34="","",IF(H34="SHALL",$C$7,IF(H34="MAY",$C$7/2,0)))</f>
        <v/>
      </c>
      <c r="J34" s="239"/>
    </row>
    <row r="35" customFormat="false" ht="14.25" hidden="false" customHeight="true" outlineLevel="0" collapsed="false">
      <c r="A35" s="238" t="s">
        <v>508</v>
      </c>
      <c r="B35" s="239"/>
      <c r="C35" s="239"/>
      <c r="D35" s="239"/>
      <c r="E35" s="239"/>
      <c r="F35" s="239"/>
      <c r="G35" s="239"/>
      <c r="H35" s="240"/>
      <c r="I35" s="241" t="str">
        <f aca="false">IF(H35="","",IF(H35="SHALL",$C$7,IF(H35="MAY",$C$7/2,0)))</f>
        <v/>
      </c>
      <c r="J35" s="239"/>
    </row>
    <row r="36" customFormat="false" ht="14.25" hidden="false" customHeight="true" outlineLevel="0" collapsed="false">
      <c r="A36" s="238" t="s">
        <v>509</v>
      </c>
      <c r="B36" s="239"/>
      <c r="C36" s="239"/>
      <c r="D36" s="239"/>
      <c r="E36" s="239"/>
      <c r="F36" s="239"/>
      <c r="G36" s="239"/>
      <c r="H36" s="240"/>
      <c r="I36" s="241" t="str">
        <f aca="false">IF(H36="","",IF(H36="SHALL",$C$7,IF(H36="MAY",$C$7/2,0)))</f>
        <v/>
      </c>
      <c r="J36" s="239"/>
    </row>
    <row r="37" customFormat="false" ht="14.25" hidden="false" customHeight="true" outlineLevel="0" collapsed="false">
      <c r="A37" s="238" t="s">
        <v>510</v>
      </c>
      <c r="B37" s="239"/>
      <c r="C37" s="239"/>
      <c r="D37" s="239"/>
      <c r="E37" s="239"/>
      <c r="F37" s="239"/>
      <c r="G37" s="239"/>
      <c r="H37" s="240"/>
      <c r="I37" s="241" t="str">
        <f aca="false">IF(H37="","",IF(H37="SHALL",$C$7,IF(H37="MAY",$C$7/2,0)))</f>
        <v/>
      </c>
      <c r="J37" s="239"/>
    </row>
    <row r="38" customFormat="false" ht="14.25" hidden="false" customHeight="true" outlineLevel="0" collapsed="false">
      <c r="A38" s="238" t="s">
        <v>511</v>
      </c>
      <c r="B38" s="239"/>
      <c r="C38" s="239"/>
      <c r="D38" s="239"/>
      <c r="E38" s="239"/>
      <c r="F38" s="239"/>
      <c r="G38" s="239"/>
      <c r="H38" s="240"/>
      <c r="I38" s="241" t="str">
        <f aca="false">IF(H38="","",IF(H38="SHALL",$C$7,IF(H38="MAY",$C$7/2,0)))</f>
        <v/>
      </c>
      <c r="J38" s="239"/>
    </row>
    <row r="39" customFormat="false" ht="14.25" hidden="false" customHeight="true" outlineLevel="0" collapsed="false">
      <c r="A39" s="238" t="s">
        <v>512</v>
      </c>
      <c r="B39" s="239"/>
      <c r="C39" s="239"/>
      <c r="D39" s="239"/>
      <c r="E39" s="239"/>
      <c r="F39" s="239"/>
      <c r="G39" s="239"/>
      <c r="H39" s="240"/>
      <c r="I39" s="241" t="str">
        <f aca="false">IF(H39="","",IF(H39="SHALL",$C$7,IF(H39="MAY",$C$7/2,0)))</f>
        <v/>
      </c>
      <c r="J39" s="239"/>
    </row>
    <row r="40" customFormat="false" ht="14.25" hidden="false" customHeight="true" outlineLevel="0" collapsed="false">
      <c r="A40" s="238" t="s">
        <v>513</v>
      </c>
      <c r="B40" s="239"/>
      <c r="C40" s="239"/>
      <c r="D40" s="239"/>
      <c r="E40" s="239"/>
      <c r="F40" s="239"/>
      <c r="G40" s="239"/>
      <c r="H40" s="240"/>
      <c r="I40" s="241" t="str">
        <f aca="false">IF(H40="","",IF(H40="SHALL",$C$7,IF(H40="MAY",$C$7/2,0)))</f>
        <v/>
      </c>
      <c r="J40" s="239"/>
    </row>
    <row r="41" customFormat="false" ht="14.25" hidden="false" customHeight="true" outlineLevel="0" collapsed="false">
      <c r="A41" s="238" t="s">
        <v>514</v>
      </c>
      <c r="B41" s="239"/>
      <c r="C41" s="239"/>
      <c r="D41" s="239"/>
      <c r="E41" s="239"/>
      <c r="F41" s="239"/>
      <c r="G41" s="239"/>
      <c r="H41" s="240"/>
      <c r="I41" s="241" t="str">
        <f aca="false">IF(H41="","",IF(H41="SHALL",$C$7,IF(H41="MAY",$C$7/2,0)))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"SHALL,MAY,NONE"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396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Urban design, accessibility and parking &gt;:&lt; Urban design, accessibility and parking</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Parking policy &gt;:&lt; Parking policy</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parking policy?  &gt;:&lt; Has the parking policy been implemented?</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whether a city-level parking policy exists, regardless of whether a legal mandate requires the city to prepare one. Check the websites of the ULG, state urban/transport department, UMTA/ DULT or equivalent competent authority for the policy document. Where the policy document is not available on an official website, check credible media reports to establish whether the city has formally adopted a parking policy.Score 5 if a city-level parking policy exists or its formal adoption can be established through reliable evidence.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Score this question independently of the legal mandate. A city may score 5 on this question even where there is no legal mandate for a parking policy.</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401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Applicability and currency of DCRs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city-specific Development Control Regulation (DCR)?</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the applicable DCR to determine whether a city-specific DCR applies. Evidence can be present on the websites of the ULG/Development Authority/T&amp;CP/UDD Department. Score 10 — A city-specific DCR is applicable to the city.Score 0 — The city relies on a generic/state-wide DCR and does not have a city-specific DCR.NA — City has a population below one million. Note to scorer: For cities with a population below one million, mark this question as NA. However, record in the scorer comments the DCR applicable to the city and its status, including whether the city is governed by a city-specific DCR or a generic/state-wide DCR.</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858</v>
      </c>
    </row>
    <row r="11" customFormat="false" ht="28.5" hidden="false" customHeight="true" outlineLevel="0" collapsed="false">
      <c r="H11" s="234" t="s">
        <v>808</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c r="K12" s="237" t="s">
        <v>859</v>
      </c>
    </row>
    <row r="13" customFormat="false" ht="14.25" hidden="false" customHeight="true" outlineLevel="0" collapsed="false">
      <c r="A13" s="238" t="s">
        <v>486</v>
      </c>
      <c r="B13" s="239"/>
      <c r="C13" s="239"/>
      <c r="D13" s="239"/>
      <c r="E13" s="239"/>
      <c r="F13" s="239"/>
      <c r="G13" s="239"/>
      <c r="H13" s="240"/>
      <c r="I13" s="241" t="str">
        <f aca="false">IF(H13="NA","NA",IF(H13="YES",$C$7,IF(H13="NO",0,"")))</f>
        <v/>
      </c>
      <c r="J13" s="239"/>
      <c r="K13" s="239"/>
    </row>
    <row r="14" customFormat="false" ht="14.25" hidden="false" customHeight="true" outlineLevel="0" collapsed="false">
      <c r="A14" s="238" t="s">
        <v>487</v>
      </c>
      <c r="B14" s="239"/>
      <c r="C14" s="239"/>
      <c r="D14" s="239"/>
      <c r="E14" s="239"/>
      <c r="F14" s="239"/>
      <c r="G14" s="239"/>
      <c r="H14" s="240"/>
      <c r="I14" s="241" t="str">
        <f aca="false">IF(H14="NA","NA",IF(H14="YES",$C$7,IF(H14="NO",0,"")))</f>
        <v/>
      </c>
      <c r="J14" s="239"/>
      <c r="K14" s="239"/>
    </row>
    <row r="15" customFormat="false" ht="14.25" hidden="false" customHeight="true" outlineLevel="0" collapsed="false">
      <c r="A15" s="238" t="s">
        <v>488</v>
      </c>
      <c r="B15" s="239"/>
      <c r="C15" s="239"/>
      <c r="D15" s="239"/>
      <c r="E15" s="239"/>
      <c r="F15" s="239"/>
      <c r="G15" s="239"/>
      <c r="H15" s="240"/>
      <c r="I15" s="241" t="str">
        <f aca="false">IF(H15="NA","NA",IF(H15="YES",$C$7,IF(H15="NO",0,"")))</f>
        <v/>
      </c>
      <c r="J15" s="239"/>
      <c r="K15" s="239"/>
    </row>
    <row r="16" customFormat="false" ht="14.25" hidden="false" customHeight="true" outlineLevel="0" collapsed="false">
      <c r="A16" s="238" t="s">
        <v>489</v>
      </c>
      <c r="B16" s="239"/>
      <c r="C16" s="239"/>
      <c r="D16" s="239"/>
      <c r="E16" s="239"/>
      <c r="F16" s="239"/>
      <c r="G16" s="239"/>
      <c r="H16" s="240"/>
      <c r="I16" s="241" t="str">
        <f aca="false">IF(H16="NA","NA",IF(H16="YES",$C$7,IF(H16="NO",0,"")))</f>
        <v/>
      </c>
      <c r="J16" s="239"/>
      <c r="K16" s="239"/>
    </row>
    <row r="17" customFormat="false" ht="14.25" hidden="false" customHeight="true" outlineLevel="0" collapsed="false">
      <c r="A17" s="238" t="s">
        <v>490</v>
      </c>
      <c r="B17" s="239"/>
      <c r="C17" s="239"/>
      <c r="D17" s="239"/>
      <c r="E17" s="239"/>
      <c r="F17" s="239"/>
      <c r="G17" s="239"/>
      <c r="H17" s="240"/>
      <c r="I17" s="241" t="str">
        <f aca="false">IF(H17="NA","NA",IF(H17="YES",$C$7,IF(H17="NO",0,"")))</f>
        <v/>
      </c>
      <c r="J17" s="239"/>
      <c r="K17" s="239"/>
    </row>
    <row r="18" customFormat="false" ht="14.25" hidden="false" customHeight="true" outlineLevel="0" collapsed="false">
      <c r="A18" s="238" t="s">
        <v>491</v>
      </c>
      <c r="B18" s="239"/>
      <c r="C18" s="239"/>
      <c r="D18" s="239"/>
      <c r="E18" s="239"/>
      <c r="F18" s="239"/>
      <c r="G18" s="239"/>
      <c r="H18" s="240"/>
      <c r="I18" s="241" t="str">
        <f aca="false">IF(H18="NA","NA",IF(H18="YES",$C$7,IF(H18="NO",0,"")))</f>
        <v/>
      </c>
      <c r="J18" s="239"/>
      <c r="K18" s="239"/>
    </row>
    <row r="19" customFormat="false" ht="14.25" hidden="false" customHeight="true" outlineLevel="0" collapsed="false">
      <c r="A19" s="238" t="s">
        <v>492</v>
      </c>
      <c r="B19" s="239"/>
      <c r="C19" s="239"/>
      <c r="D19" s="239"/>
      <c r="E19" s="239"/>
      <c r="F19" s="239"/>
      <c r="G19" s="239"/>
      <c r="H19" s="240"/>
      <c r="I19" s="241" t="str">
        <f aca="false">IF(H19="NA","NA",IF(H19="YES",$C$7,IF(H19="NO",0,"")))</f>
        <v/>
      </c>
      <c r="J19" s="239"/>
      <c r="K19" s="239"/>
    </row>
    <row r="20" customFormat="false" ht="14.25" hidden="false" customHeight="true" outlineLevel="0" collapsed="false">
      <c r="A20" s="238" t="s">
        <v>493</v>
      </c>
      <c r="B20" s="239"/>
      <c r="C20" s="239"/>
      <c r="D20" s="239"/>
      <c r="E20" s="239"/>
      <c r="F20" s="239"/>
      <c r="G20" s="239"/>
      <c r="H20" s="240"/>
      <c r="I20" s="241" t="str">
        <f aca="false">IF(H20="NA","NA",IF(H20="YES",$C$7,IF(H20="NO",0,"")))</f>
        <v/>
      </c>
      <c r="J20" s="239"/>
      <c r="K20" s="239"/>
    </row>
    <row r="21" customFormat="false" ht="14.25" hidden="false" customHeight="true" outlineLevel="0" collapsed="false">
      <c r="A21" s="238" t="s">
        <v>494</v>
      </c>
      <c r="B21" s="239"/>
      <c r="C21" s="239"/>
      <c r="D21" s="239"/>
      <c r="E21" s="239"/>
      <c r="F21" s="239"/>
      <c r="G21" s="239"/>
      <c r="H21" s="240"/>
      <c r="I21" s="241" t="str">
        <f aca="false">IF(H21="NA","NA",IF(H21="YES",$C$7,IF(H21="NO",0,"")))</f>
        <v/>
      </c>
      <c r="J21" s="239"/>
      <c r="K21" s="239"/>
    </row>
    <row r="22" customFormat="false" ht="14.25" hidden="false" customHeight="true" outlineLevel="0" collapsed="false">
      <c r="A22" s="238" t="s">
        <v>495</v>
      </c>
      <c r="B22" s="239"/>
      <c r="C22" s="239"/>
      <c r="D22" s="239"/>
      <c r="E22" s="239"/>
      <c r="F22" s="239"/>
      <c r="G22" s="239"/>
      <c r="H22" s="240"/>
      <c r="I22" s="241" t="str">
        <f aca="false">IF(H22="NA","NA",IF(H22="YES",$C$7,IF(H22="NO",0,"")))</f>
        <v/>
      </c>
      <c r="J22" s="239"/>
      <c r="K22" s="239"/>
    </row>
    <row r="23" customFormat="false" ht="14.25" hidden="false" customHeight="true" outlineLevel="0" collapsed="false">
      <c r="A23" s="238" t="s">
        <v>496</v>
      </c>
      <c r="B23" s="239"/>
      <c r="C23" s="239"/>
      <c r="D23" s="239"/>
      <c r="E23" s="239"/>
      <c r="F23" s="239"/>
      <c r="G23" s="239"/>
      <c r="H23" s="240"/>
      <c r="I23" s="241" t="str">
        <f aca="false">IF(H23="NA","NA",IF(H23="YES",$C$7,IF(H23="NO",0,"")))</f>
        <v/>
      </c>
      <c r="J23" s="239"/>
      <c r="K23" s="239"/>
    </row>
    <row r="24" customFormat="false" ht="14.25" hidden="false" customHeight="true" outlineLevel="0" collapsed="false">
      <c r="A24" s="238" t="s">
        <v>497</v>
      </c>
      <c r="B24" s="239"/>
      <c r="C24" s="239"/>
      <c r="D24" s="239"/>
      <c r="E24" s="239"/>
      <c r="F24" s="239"/>
      <c r="G24" s="239"/>
      <c r="H24" s="240"/>
      <c r="I24" s="241" t="str">
        <f aca="false">IF(H24="NA","NA",IF(H24="YES",$C$7,IF(H24="NO",0,"")))</f>
        <v/>
      </c>
      <c r="J24" s="239"/>
      <c r="K24" s="239"/>
    </row>
    <row r="25" customFormat="false" ht="14.25" hidden="false" customHeight="true" outlineLevel="0" collapsed="false">
      <c r="A25" s="238" t="s">
        <v>498</v>
      </c>
      <c r="B25" s="239"/>
      <c r="C25" s="239"/>
      <c r="D25" s="239"/>
      <c r="E25" s="239"/>
      <c r="F25" s="239"/>
      <c r="G25" s="239"/>
      <c r="H25" s="240"/>
      <c r="I25" s="241" t="str">
        <f aca="false">IF(H25="NA","NA",IF(H25="YES",$C$7,IF(H25="NO",0,"")))</f>
        <v/>
      </c>
      <c r="J25" s="239"/>
      <c r="K25" s="239"/>
    </row>
    <row r="26" customFormat="false" ht="14.25" hidden="false" customHeight="true" outlineLevel="0" collapsed="false">
      <c r="A26" s="238" t="s">
        <v>499</v>
      </c>
      <c r="B26" s="239"/>
      <c r="C26" s="239"/>
      <c r="D26" s="239"/>
      <c r="E26" s="239"/>
      <c r="F26" s="239"/>
      <c r="G26" s="239"/>
      <c r="H26" s="240"/>
      <c r="I26" s="241" t="str">
        <f aca="false">IF(H26="NA","NA",IF(H26="YES",$C$7,IF(H26="NO",0,"")))</f>
        <v/>
      </c>
      <c r="J26" s="239"/>
      <c r="K26" s="239"/>
    </row>
    <row r="27" customFormat="false" ht="14.25" hidden="false" customHeight="true" outlineLevel="0" collapsed="false">
      <c r="A27" s="238" t="s">
        <v>500</v>
      </c>
      <c r="B27" s="239"/>
      <c r="C27" s="239"/>
      <c r="D27" s="239"/>
      <c r="E27" s="239"/>
      <c r="F27" s="239"/>
      <c r="G27" s="239"/>
      <c r="H27" s="240"/>
      <c r="I27" s="241" t="str">
        <f aca="false">IF(H27="NA","NA",IF(H27="YES",$C$7,IF(H27="NO",0,"")))</f>
        <v/>
      </c>
      <c r="J27" s="239"/>
      <c r="K27" s="239"/>
    </row>
    <row r="28" customFormat="false" ht="14.25" hidden="false" customHeight="true" outlineLevel="0" collapsed="false">
      <c r="A28" s="238" t="s">
        <v>501</v>
      </c>
      <c r="B28" s="239"/>
      <c r="C28" s="239"/>
      <c r="D28" s="239"/>
      <c r="E28" s="239"/>
      <c r="F28" s="239"/>
      <c r="G28" s="239"/>
      <c r="H28" s="240"/>
      <c r="I28" s="241" t="str">
        <f aca="false">IF(H28="NA","NA",IF(H28="YES",$C$7,IF(H28="NO",0,"")))</f>
        <v/>
      </c>
      <c r="J28" s="239"/>
      <c r="K28" s="239"/>
    </row>
    <row r="29" customFormat="false" ht="14.25" hidden="false" customHeight="true" outlineLevel="0" collapsed="false">
      <c r="A29" s="238" t="s">
        <v>502</v>
      </c>
      <c r="B29" s="239"/>
      <c r="C29" s="239"/>
      <c r="D29" s="239"/>
      <c r="E29" s="239"/>
      <c r="F29" s="239"/>
      <c r="G29" s="239"/>
      <c r="H29" s="240"/>
      <c r="I29" s="241" t="str">
        <f aca="false">IF(H29="NA","NA",IF(H29="YES",$C$7,IF(H29="NO",0,"")))</f>
        <v/>
      </c>
      <c r="J29" s="239"/>
      <c r="K29" s="239"/>
    </row>
    <row r="30" customFormat="false" ht="14.25" hidden="false" customHeight="true" outlineLevel="0" collapsed="false">
      <c r="A30" s="238" t="s">
        <v>503</v>
      </c>
      <c r="B30" s="239"/>
      <c r="C30" s="239"/>
      <c r="D30" s="239"/>
      <c r="E30" s="239"/>
      <c r="F30" s="239"/>
      <c r="G30" s="239"/>
      <c r="H30" s="240"/>
      <c r="I30" s="241" t="str">
        <f aca="false">IF(H30="NA","NA",IF(H30="YES",$C$7,IF(H30="NO",0,"")))</f>
        <v/>
      </c>
      <c r="J30" s="239"/>
      <c r="K30" s="239"/>
    </row>
    <row r="31" customFormat="false" ht="14.25" hidden="false" customHeight="true" outlineLevel="0" collapsed="false">
      <c r="A31" s="238" t="s">
        <v>504</v>
      </c>
      <c r="B31" s="239"/>
      <c r="C31" s="239"/>
      <c r="D31" s="239"/>
      <c r="E31" s="239"/>
      <c r="F31" s="239"/>
      <c r="G31" s="239"/>
      <c r="H31" s="240"/>
      <c r="I31" s="241" t="str">
        <f aca="false">IF(H31="NA","NA",IF(H31="YES",$C$7,IF(H31="NO",0,"")))</f>
        <v/>
      </c>
      <c r="J31" s="239"/>
      <c r="K31" s="239"/>
    </row>
    <row r="32" customFormat="false" ht="14.25" hidden="false" customHeight="true" outlineLevel="0" collapsed="false">
      <c r="A32" s="238" t="s">
        <v>505</v>
      </c>
      <c r="B32" s="239"/>
      <c r="C32" s="239"/>
      <c r="D32" s="239"/>
      <c r="E32" s="239"/>
      <c r="F32" s="239"/>
      <c r="G32" s="239"/>
      <c r="H32" s="240"/>
      <c r="I32" s="241" t="str">
        <f aca="false">IF(H32="NA","NA",IF(H32="YES",$C$7,IF(H32="NO",0,"")))</f>
        <v/>
      </c>
      <c r="J32" s="239"/>
      <c r="K32" s="239"/>
    </row>
    <row r="33" customFormat="false" ht="14.25" hidden="false" customHeight="true" outlineLevel="0" collapsed="false">
      <c r="A33" s="238" t="s">
        <v>506</v>
      </c>
      <c r="B33" s="239"/>
      <c r="C33" s="239"/>
      <c r="D33" s="239"/>
      <c r="E33" s="239"/>
      <c r="F33" s="239"/>
      <c r="G33" s="239"/>
      <c r="H33" s="240"/>
      <c r="I33" s="241" t="str">
        <f aca="false">IF(H33="NA","NA",IF(H33="YES",$C$7,IF(H33="NO",0,"")))</f>
        <v/>
      </c>
      <c r="J33" s="239"/>
      <c r="K33" s="239"/>
    </row>
    <row r="34" customFormat="false" ht="14.25" hidden="false" customHeight="true" outlineLevel="0" collapsed="false">
      <c r="A34" s="238" t="s">
        <v>507</v>
      </c>
      <c r="B34" s="239"/>
      <c r="C34" s="239"/>
      <c r="D34" s="239"/>
      <c r="E34" s="239"/>
      <c r="F34" s="239"/>
      <c r="G34" s="239"/>
      <c r="H34" s="240"/>
      <c r="I34" s="241" t="str">
        <f aca="false">IF(H34="NA","NA",IF(H34="YES",$C$7,IF(H34="NO",0,"")))</f>
        <v/>
      </c>
      <c r="J34" s="239"/>
      <c r="K34" s="239"/>
    </row>
    <row r="35" customFormat="false" ht="14.25" hidden="false" customHeight="true" outlineLevel="0" collapsed="false">
      <c r="A35" s="238" t="s">
        <v>508</v>
      </c>
      <c r="B35" s="239"/>
      <c r="C35" s="239"/>
      <c r="D35" s="239"/>
      <c r="E35" s="239"/>
      <c r="F35" s="239"/>
      <c r="G35" s="239"/>
      <c r="H35" s="240"/>
      <c r="I35" s="241" t="str">
        <f aca="false">IF(H35="NA","NA",IF(H35="YES",$C$7,IF(H35="NO",0,"")))</f>
        <v/>
      </c>
      <c r="J35" s="239"/>
      <c r="K35" s="239"/>
    </row>
    <row r="36" customFormat="false" ht="14.25" hidden="false" customHeight="true" outlineLevel="0" collapsed="false">
      <c r="A36" s="238" t="s">
        <v>509</v>
      </c>
      <c r="B36" s="239"/>
      <c r="C36" s="239"/>
      <c r="D36" s="239"/>
      <c r="E36" s="239"/>
      <c r="F36" s="239"/>
      <c r="G36" s="239"/>
      <c r="H36" s="240"/>
      <c r="I36" s="241" t="str">
        <f aca="false">IF(H36="NA","NA",IF(H36="YES",$C$7,IF(H36="NO",0,"")))</f>
        <v/>
      </c>
      <c r="J36" s="239"/>
      <c r="K36" s="239"/>
    </row>
    <row r="37" customFormat="false" ht="14.25" hidden="false" customHeight="true" outlineLevel="0" collapsed="false">
      <c r="A37" s="238" t="s">
        <v>510</v>
      </c>
      <c r="B37" s="239"/>
      <c r="C37" s="239"/>
      <c r="D37" s="239"/>
      <c r="E37" s="239"/>
      <c r="F37" s="239"/>
      <c r="G37" s="239"/>
      <c r="H37" s="240"/>
      <c r="I37" s="241" t="str">
        <f aca="false">IF(H37="NA","NA",IF(H37="YES",$C$7,IF(H37="NO",0,"")))</f>
        <v/>
      </c>
      <c r="J37" s="239"/>
      <c r="K37" s="239"/>
    </row>
    <row r="38" customFormat="false" ht="14.25" hidden="false" customHeight="true" outlineLevel="0" collapsed="false">
      <c r="A38" s="238" t="s">
        <v>511</v>
      </c>
      <c r="B38" s="239"/>
      <c r="C38" s="239"/>
      <c r="D38" s="239"/>
      <c r="E38" s="239"/>
      <c r="F38" s="239"/>
      <c r="G38" s="239"/>
      <c r="H38" s="240"/>
      <c r="I38" s="241" t="str">
        <f aca="false">IF(H38="NA","NA",IF(H38="YES",$C$7,IF(H38="NO",0,"")))</f>
        <v/>
      </c>
      <c r="J38" s="239"/>
      <c r="K38" s="239"/>
    </row>
    <row r="39" customFormat="false" ht="14.25" hidden="false" customHeight="true" outlineLevel="0" collapsed="false">
      <c r="A39" s="238" t="s">
        <v>512</v>
      </c>
      <c r="B39" s="239"/>
      <c r="C39" s="239"/>
      <c r="D39" s="239"/>
      <c r="E39" s="239"/>
      <c r="F39" s="239"/>
      <c r="G39" s="239"/>
      <c r="H39" s="240"/>
      <c r="I39" s="241" t="str">
        <f aca="false">IF(H39="NA","NA",IF(H39="YES",$C$7,IF(H39="NO",0,"")))</f>
        <v/>
      </c>
      <c r="J39" s="239"/>
      <c r="K39" s="239"/>
    </row>
    <row r="40" customFormat="false" ht="14.25" hidden="false" customHeight="true" outlineLevel="0" collapsed="false">
      <c r="A40" s="238" t="s">
        <v>513</v>
      </c>
      <c r="B40" s="239"/>
      <c r="C40" s="239"/>
      <c r="D40" s="239"/>
      <c r="E40" s="239"/>
      <c r="F40" s="239"/>
      <c r="G40" s="239"/>
      <c r="H40" s="240"/>
      <c r="I40" s="241" t="str">
        <f aca="false">IF(H40="NA","NA",IF(H40="YES",$C$7,IF(H40="NO",0,"")))</f>
        <v/>
      </c>
      <c r="J40" s="239"/>
      <c r="K40" s="239"/>
    </row>
    <row r="41" customFormat="false" ht="14.25" hidden="false" customHeight="true" outlineLevel="0" collapsed="false">
      <c r="A41" s="238" t="s">
        <v>514</v>
      </c>
      <c r="B41" s="239"/>
      <c r="C41" s="239"/>
      <c r="D41" s="239"/>
      <c r="E41" s="239"/>
      <c r="F41" s="239"/>
      <c r="G41" s="239"/>
      <c r="H41" s="240"/>
      <c r="I41" s="241" t="str">
        <f aca="false">IF(H41="NA","NA",IF(H41="YES",$C$7,IF(H41="NO",0,"")))</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413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different types and scales of economic activity?</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2" t="n">
        <f aca="false">VLOOKUP($B$1,'UPD Questions_290926 '!$E$1:$N$300,MATCH($A$7,'UPD Questions_290926 '!$E$1:$N$1,0),0)</f>
        <v>2</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Review whether the DCR enables economic activities of different types and scales through the regulation of land use, mixed use, permissible activities, development intensity and development standards. Look particularly for provisions that enable MSMEs/small enterprises, home-based economic activities, commercial activity, mixed-use development, markets/street vending, industrial or productive uses, and specialised economic districts, including through relaxed or differentiated requirements relating to plot size, FAR/FSI, setbacks, parking, access or other development standards. Score 2: Specific provisions enable or incentivise two or more types/scales of economic activity, beyond merely designating land for commercial/industrial use.Score 1: Two or more Economic activities are provided for through conventional land-use zoning/permissible-use provisions, but no specific enabling or incentivising development provision is found.Score 0: No relevant provision addressing economic activity is found.(For example: Just mentioning zoning an area as commercial will get a score of 1, whereas enabling mixed use, home enterprises, MSMEs, flexible use categories, reduced parking/plot requirements, or other provisions specifically facilitating economic activity) Keywords for scorer: mixed use; mixed-use; commercial; commerce; shop; retail; market; vendor; street vending; hawker; home occupation; home-based; cottage industry; household industry; MSME; small enterprise; micro enterprise; industrial; productive use; work-live; special economic; business district; FAR; FSI; parking relaxation; permissible use.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860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861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IF(H13="","",MIN(--H13,$C$7))</f>
        <v/>
      </c>
      <c r="J13" s="239"/>
    </row>
    <row r="14" customFormat="false" ht="15" hidden="false" customHeight="true" outlineLevel="0" collapsed="false">
      <c r="A14" s="238" t="s">
        <v>487</v>
      </c>
      <c r="B14" s="239"/>
      <c r="C14" s="239"/>
      <c r="D14" s="239"/>
      <c r="E14" s="239"/>
      <c r="F14" s="239"/>
      <c r="G14" s="243" t="s">
        <v>813</v>
      </c>
      <c r="H14" s="240" t="n">
        <v>0</v>
      </c>
      <c r="I14" s="241" t="n">
        <f aca="false">IF(H14="","",MIN(--H14,$C$7))</f>
        <v>0</v>
      </c>
      <c r="J14" s="239" t="s">
        <v>862</v>
      </c>
    </row>
    <row r="15" customFormat="false" ht="14.25" hidden="false" customHeight="true" outlineLevel="0" collapsed="false">
      <c r="A15" s="238" t="s">
        <v>488</v>
      </c>
      <c r="B15" s="239"/>
      <c r="C15" s="239"/>
      <c r="D15" s="239"/>
      <c r="E15" s="239"/>
      <c r="F15" s="239"/>
      <c r="G15" s="239"/>
      <c r="H15" s="240"/>
      <c r="I15" s="241" t="str">
        <f aca="false">IF(H15="","",MIN(--H15,$C$7))</f>
        <v/>
      </c>
      <c r="J15" s="239"/>
    </row>
    <row r="16" customFormat="false" ht="14.25" hidden="false" customHeight="true" outlineLevel="0" collapsed="false">
      <c r="A16" s="238" t="s">
        <v>489</v>
      </c>
      <c r="B16" s="239"/>
      <c r="C16" s="239"/>
      <c r="D16" s="239"/>
      <c r="E16" s="239"/>
      <c r="F16" s="239"/>
      <c r="G16" s="239"/>
      <c r="H16" s="240"/>
      <c r="I16" s="241" t="str">
        <f aca="false">IF(H16="","",MIN(--H16,$C$7))</f>
        <v/>
      </c>
      <c r="J16" s="239"/>
    </row>
    <row r="17" customFormat="false" ht="14.25" hidden="false" customHeight="true" outlineLevel="0" collapsed="false">
      <c r="A17" s="238" t="s">
        <v>490</v>
      </c>
      <c r="B17" s="239"/>
      <c r="C17" s="239"/>
      <c r="D17" s="239"/>
      <c r="E17" s="239"/>
      <c r="F17" s="239"/>
      <c r="G17" s="239"/>
      <c r="H17" s="240"/>
      <c r="I17" s="241" t="str">
        <f aca="false">IF(H17="","",MIN(--H17,$C$7))</f>
        <v/>
      </c>
      <c r="J17" s="239"/>
    </row>
    <row r="18" customFormat="false" ht="14.25" hidden="false" customHeight="true" outlineLevel="0" collapsed="false">
      <c r="A18" s="238" t="s">
        <v>491</v>
      </c>
      <c r="B18" s="239"/>
      <c r="C18" s="239"/>
      <c r="D18" s="239"/>
      <c r="E18" s="239"/>
      <c r="F18" s="239"/>
      <c r="G18" s="239"/>
      <c r="H18" s="240"/>
      <c r="I18" s="241" t="str">
        <f aca="false">IF(H18="","",MIN(--H18,$C$7))</f>
        <v/>
      </c>
      <c r="J18" s="239"/>
    </row>
    <row r="19" customFormat="false" ht="14.25" hidden="false" customHeight="true" outlineLevel="0" collapsed="false">
      <c r="A19" s="238" t="s">
        <v>492</v>
      </c>
      <c r="B19" s="239"/>
      <c r="C19" s="239"/>
      <c r="D19" s="239"/>
      <c r="E19" s="239"/>
      <c r="F19" s="239"/>
      <c r="G19" s="239"/>
      <c r="H19" s="240"/>
      <c r="I19" s="241" t="str">
        <f aca="false">IF(H19="","",MIN(--H19,$C$7))</f>
        <v/>
      </c>
      <c r="J19" s="239"/>
    </row>
    <row r="20" customFormat="false" ht="14.25" hidden="false" customHeight="true" outlineLevel="0" collapsed="false">
      <c r="A20" s="238" t="s">
        <v>493</v>
      </c>
      <c r="B20" s="239"/>
      <c r="C20" s="239"/>
      <c r="D20" s="239"/>
      <c r="E20" s="239"/>
      <c r="F20" s="239"/>
      <c r="G20" s="239"/>
      <c r="H20" s="240"/>
      <c r="I20" s="241" t="str">
        <f aca="false">IF(H20="","",MIN(--H20,$C$7))</f>
        <v/>
      </c>
      <c r="J20" s="239"/>
    </row>
    <row r="21" customFormat="false" ht="14.25" hidden="false" customHeight="true" outlineLevel="0" collapsed="false">
      <c r="A21" s="238" t="s">
        <v>494</v>
      </c>
      <c r="B21" s="239"/>
      <c r="C21" s="239"/>
      <c r="D21" s="239"/>
      <c r="E21" s="239"/>
      <c r="F21" s="239"/>
      <c r="G21" s="239"/>
      <c r="H21" s="240"/>
      <c r="I21" s="241" t="str">
        <f aca="false">IF(H21="","",MIN(--H21,$C$7))</f>
        <v/>
      </c>
      <c r="J21" s="239"/>
    </row>
    <row r="22" customFormat="false" ht="14.25" hidden="false" customHeight="true" outlineLevel="0" collapsed="false">
      <c r="A22" s="238" t="s">
        <v>495</v>
      </c>
      <c r="B22" s="239"/>
      <c r="C22" s="239"/>
      <c r="D22" s="239"/>
      <c r="E22" s="239"/>
      <c r="F22" s="239"/>
      <c r="G22" s="239"/>
      <c r="H22" s="240"/>
      <c r="I22" s="241" t="str">
        <f aca="false">IF(H22="","",MIN(--H22,$C$7))</f>
        <v/>
      </c>
      <c r="J22" s="239"/>
    </row>
    <row r="23" customFormat="false" ht="14.25" hidden="false" customHeight="true" outlineLevel="0" collapsed="false">
      <c r="A23" s="238" t="s">
        <v>496</v>
      </c>
      <c r="B23" s="239"/>
      <c r="C23" s="239"/>
      <c r="D23" s="239"/>
      <c r="E23" s="239"/>
      <c r="F23" s="239"/>
      <c r="G23" s="239"/>
      <c r="H23" s="240"/>
      <c r="I23" s="241" t="str">
        <f aca="false">IF(H23="","",MIN(--H23,$C$7))</f>
        <v/>
      </c>
      <c r="J23" s="239"/>
    </row>
    <row r="24" customFormat="false" ht="14.25" hidden="false" customHeight="true" outlineLevel="0" collapsed="false">
      <c r="A24" s="238" t="s">
        <v>497</v>
      </c>
      <c r="B24" s="239"/>
      <c r="C24" s="239"/>
      <c r="D24" s="239"/>
      <c r="E24" s="239"/>
      <c r="F24" s="239"/>
      <c r="G24" s="239"/>
      <c r="H24" s="240"/>
      <c r="I24" s="241" t="str">
        <f aca="false">IF(H24="","",MIN(--H24,$C$7))</f>
        <v/>
      </c>
      <c r="J24" s="239"/>
    </row>
    <row r="25" customFormat="false" ht="14.25" hidden="false" customHeight="true" outlineLevel="0" collapsed="false">
      <c r="A25" s="238" t="s">
        <v>498</v>
      </c>
      <c r="B25" s="239"/>
      <c r="C25" s="239"/>
      <c r="D25" s="239"/>
      <c r="E25" s="239"/>
      <c r="F25" s="239"/>
      <c r="G25" s="239"/>
      <c r="H25" s="240"/>
      <c r="I25" s="241" t="str">
        <f aca="false">IF(H25="","",MIN(--H25,$C$7))</f>
        <v/>
      </c>
      <c r="J25" s="239"/>
    </row>
    <row r="26" customFormat="false" ht="14.25" hidden="false" customHeight="true" outlineLevel="0" collapsed="false">
      <c r="A26" s="238" t="s">
        <v>499</v>
      </c>
      <c r="B26" s="239"/>
      <c r="C26" s="239"/>
      <c r="D26" s="239"/>
      <c r="E26" s="239"/>
      <c r="F26" s="239"/>
      <c r="G26" s="239"/>
      <c r="H26" s="240"/>
      <c r="I26" s="241" t="str">
        <f aca="false">IF(H26="","",MIN(--H26,$C$7))</f>
        <v/>
      </c>
      <c r="J26" s="239"/>
    </row>
    <row r="27" customFormat="false" ht="14.25" hidden="false" customHeight="true" outlineLevel="0" collapsed="false">
      <c r="A27" s="238" t="s">
        <v>500</v>
      </c>
      <c r="B27" s="239"/>
      <c r="C27" s="239"/>
      <c r="D27" s="239"/>
      <c r="E27" s="239"/>
      <c r="F27" s="239"/>
      <c r="G27" s="239"/>
      <c r="H27" s="240"/>
      <c r="I27" s="241" t="str">
        <f aca="false">IF(H27="","",MIN(--H27,$C$7))</f>
        <v/>
      </c>
      <c r="J27" s="239"/>
    </row>
    <row r="28" customFormat="false" ht="14.25" hidden="false" customHeight="true" outlineLevel="0" collapsed="false">
      <c r="A28" s="238" t="s">
        <v>501</v>
      </c>
      <c r="B28" s="239"/>
      <c r="C28" s="239"/>
      <c r="D28" s="239"/>
      <c r="E28" s="239"/>
      <c r="F28" s="239"/>
      <c r="G28" s="239"/>
      <c r="H28" s="240"/>
      <c r="I28" s="241" t="str">
        <f aca="false">IF(H28="","",MIN(--H28,$C$7))</f>
        <v/>
      </c>
      <c r="J28" s="239"/>
    </row>
    <row r="29" customFormat="false" ht="14.25" hidden="false" customHeight="true" outlineLevel="0" collapsed="false">
      <c r="A29" s="238" t="s">
        <v>502</v>
      </c>
      <c r="B29" s="239"/>
      <c r="C29" s="239"/>
      <c r="D29" s="239"/>
      <c r="E29" s="239"/>
      <c r="F29" s="239"/>
      <c r="G29" s="239"/>
      <c r="H29" s="240"/>
      <c r="I29" s="241" t="str">
        <f aca="false">IF(H29="","",MIN(--H29,$C$7))</f>
        <v/>
      </c>
      <c r="J29" s="239"/>
    </row>
    <row r="30" customFormat="false" ht="14.25" hidden="false" customHeight="true" outlineLevel="0" collapsed="false">
      <c r="A30" s="238" t="s">
        <v>503</v>
      </c>
      <c r="B30" s="239"/>
      <c r="C30" s="239"/>
      <c r="D30" s="239"/>
      <c r="E30" s="239"/>
      <c r="F30" s="239"/>
      <c r="G30" s="239"/>
      <c r="H30" s="240"/>
      <c r="I30" s="241" t="str">
        <f aca="false">IF(H30="","",MIN(--H30,$C$7))</f>
        <v/>
      </c>
      <c r="J30" s="239"/>
    </row>
    <row r="31" customFormat="false" ht="14.25" hidden="false" customHeight="true" outlineLevel="0" collapsed="false">
      <c r="A31" s="238" t="s">
        <v>504</v>
      </c>
      <c r="B31" s="239"/>
      <c r="C31" s="239"/>
      <c r="D31" s="239"/>
      <c r="E31" s="239"/>
      <c r="F31" s="239"/>
      <c r="G31" s="239"/>
      <c r="H31" s="240"/>
      <c r="I31" s="241" t="str">
        <f aca="false">IF(H31="","",MIN(--H31,$C$7))</f>
        <v/>
      </c>
      <c r="J31" s="239"/>
    </row>
    <row r="32" customFormat="false" ht="14.25" hidden="false" customHeight="true" outlineLevel="0" collapsed="false">
      <c r="A32" s="238" t="s">
        <v>505</v>
      </c>
      <c r="B32" s="239"/>
      <c r="C32" s="239"/>
      <c r="D32" s="239"/>
      <c r="E32" s="239"/>
      <c r="F32" s="239"/>
      <c r="G32" s="239"/>
      <c r="H32" s="240"/>
      <c r="I32" s="241" t="str">
        <f aca="false">IF(H32="","",MIN(--H32,$C$7))</f>
        <v/>
      </c>
      <c r="J32" s="239"/>
    </row>
    <row r="33" customFormat="false" ht="14.25" hidden="false" customHeight="true" outlineLevel="0" collapsed="false">
      <c r="A33" s="238" t="s">
        <v>506</v>
      </c>
      <c r="B33" s="239"/>
      <c r="C33" s="239"/>
      <c r="D33" s="239"/>
      <c r="E33" s="239"/>
      <c r="F33" s="239"/>
      <c r="G33" s="239"/>
      <c r="H33" s="240"/>
      <c r="I33" s="241" t="str">
        <f aca="false">IF(H33="","",MIN(--H33,$C$7))</f>
        <v/>
      </c>
      <c r="J33" s="239"/>
    </row>
    <row r="34" customFormat="false" ht="14.25" hidden="false" customHeight="true" outlineLevel="0" collapsed="false">
      <c r="A34" s="238" t="s">
        <v>507</v>
      </c>
      <c r="B34" s="239"/>
      <c r="C34" s="239"/>
      <c r="D34" s="239"/>
      <c r="E34" s="239"/>
      <c r="F34" s="239"/>
      <c r="G34" s="239"/>
      <c r="H34" s="240"/>
      <c r="I34" s="241" t="str">
        <f aca="false">IF(H34="","",MIN(--H34,$C$7))</f>
        <v/>
      </c>
      <c r="J34" s="239"/>
    </row>
    <row r="35" customFormat="false" ht="14.25" hidden="false" customHeight="true" outlineLevel="0" collapsed="false">
      <c r="A35" s="238" t="s">
        <v>508</v>
      </c>
      <c r="B35" s="239"/>
      <c r="C35" s="239"/>
      <c r="D35" s="239"/>
      <c r="E35" s="239"/>
      <c r="F35" s="239"/>
      <c r="G35" s="239"/>
      <c r="H35" s="240"/>
      <c r="I35" s="241" t="str">
        <f aca="false">IF(H35="","",MIN(--H35,$C$7))</f>
        <v/>
      </c>
      <c r="J35" s="239"/>
    </row>
    <row r="36" customFormat="false" ht="14.25" hidden="false" customHeight="true" outlineLevel="0" collapsed="false">
      <c r="A36" s="238" t="s">
        <v>509</v>
      </c>
      <c r="B36" s="239"/>
      <c r="C36" s="239"/>
      <c r="D36" s="239"/>
      <c r="E36" s="239"/>
      <c r="F36" s="239"/>
      <c r="G36" s="239"/>
      <c r="H36" s="240"/>
      <c r="I36" s="241" t="str">
        <f aca="false">IF(H36="","",MIN(--H36,$C$7))</f>
        <v/>
      </c>
      <c r="J36" s="239"/>
    </row>
    <row r="37" customFormat="false" ht="14.25" hidden="false" customHeight="true" outlineLevel="0" collapsed="false">
      <c r="A37" s="238" t="s">
        <v>510</v>
      </c>
      <c r="B37" s="239"/>
      <c r="C37" s="239"/>
      <c r="D37" s="239"/>
      <c r="E37" s="239"/>
      <c r="F37" s="239"/>
      <c r="G37" s="239"/>
      <c r="H37" s="240"/>
      <c r="I37" s="241" t="str">
        <f aca="false">IF(H37="","",MIN(--H37,$C$7))</f>
        <v/>
      </c>
      <c r="J37" s="239"/>
    </row>
    <row r="38" customFormat="false" ht="14.25" hidden="false" customHeight="true" outlineLevel="0" collapsed="false">
      <c r="A38" s="238" t="s">
        <v>511</v>
      </c>
      <c r="B38" s="239"/>
      <c r="C38" s="239"/>
      <c r="D38" s="239"/>
      <c r="E38" s="239"/>
      <c r="F38" s="239"/>
      <c r="G38" s="239"/>
      <c r="H38" s="240"/>
      <c r="I38" s="241" t="str">
        <f aca="false">IF(H38="","",MIN(--H38,$C$7))</f>
        <v/>
      </c>
      <c r="J38" s="239"/>
    </row>
    <row r="39" customFormat="false" ht="14.25" hidden="false" customHeight="true" outlineLevel="0" collapsed="false">
      <c r="A39" s="238" t="s">
        <v>512</v>
      </c>
      <c r="B39" s="239"/>
      <c r="C39" s="239"/>
      <c r="D39" s="239"/>
      <c r="E39" s="239"/>
      <c r="F39" s="239"/>
      <c r="G39" s="239"/>
      <c r="H39" s="240"/>
      <c r="I39" s="241" t="str">
        <f aca="false">IF(H39="","",MIN(--H39,$C$7))</f>
        <v/>
      </c>
      <c r="J39" s="239"/>
    </row>
    <row r="40" customFormat="false" ht="14.25" hidden="false" customHeight="true" outlineLevel="0" collapsed="false">
      <c r="A40" s="238" t="s">
        <v>513</v>
      </c>
      <c r="B40" s="239"/>
      <c r="C40" s="239"/>
      <c r="D40" s="239"/>
      <c r="E40" s="239"/>
      <c r="F40" s="239"/>
      <c r="G40" s="239"/>
      <c r="H40" s="240"/>
      <c r="I40" s="241" t="str">
        <f aca="false">IF(H40="","",MIN(--H40,$C$7))</f>
        <v/>
      </c>
      <c r="J40" s="239"/>
    </row>
    <row r="41" customFormat="false" ht="14.25" hidden="false" customHeight="true" outlineLevel="0" collapsed="false">
      <c r="A41" s="238" t="s">
        <v>514</v>
      </c>
      <c r="B41" s="239"/>
      <c r="C41" s="239"/>
      <c r="D41" s="239"/>
      <c r="E41" s="239"/>
      <c r="F41" s="239"/>
      <c r="G41" s="239"/>
      <c r="H41" s="240"/>
      <c r="I41" s="241" t="str">
        <f aca="false">IF(H41="","",MIN(--H41,$C$7))</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417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improve access, safety, affordability and development outcomes for women and the urban poor?</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2" t="n">
        <f aca="false">VLOOKUP($B$1,'UPD Questions_290926 '!$E$1:$N$300,MATCH($A$7,'UPD Questions_290926 '!$E$1:$N$1,0),0)</f>
        <v>2</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contains specific controls, standards, relaxations or incentives addressing the needs of women and the urban poor. For the urban poor, check for provisions enabling or incentivising EWS/LIG or affordable housing, inclusionary housing, slum redevelopment/upgradation, in-situ redevelopment, incremental housing or other affordable housing options through measures such as additional FAR/FSI, density incentives, reduced plot-size/setback/parking requirements, reservation of dwelling units or built-up area, cross-subsidy, TDR or other regulatory flexibility. For women, check for development/design provisions specifically addressing women's safety, accessibility and use of buildings and public spaces, such as gender-responsive design standards, requirements relating to safe access, lighting/visibility, sanitation/facilities for women, childcare facilities, or other provisions explicitly addressing women's needs. Score 2: Atleast two or more specific development controls, standards, relaxations or incentives addressing both women and the urban poor are provided.Score 1: Specific development controls, standards, relaxations or incentives addressing either women or the urban poor, but not both, are mentioned in atleast two or more provisions. Score 0: No specific development provision addressing either women or the urban poor is found. Note: General provisions applicable to all developments or users should not be counted unless they specifically address the needs of women or the urban poor. Similarly, merely referring to EWS/LIG housing or women's safety without prescribing a corresponding development control, standard, requirement, relaxation or incentive should not qualify.For example: Additional FAR/FSI or relaxed development standards for EWS/affordable housing would qualify as a provision for the urban poor. Specific design requirements addressing women's safety or access would qualify as a provision for women. Keywords for scorer:Urban poor: EWS; LIG; economically weaker section; low income; affordable housing; inclusionary housing; inclusive housing; social housing; slum; slum rehabilitation; slum redevelopment; in-situ; incremental housing; small dwelling; small plot; density bonus; FAR; FSI; TDR; cross subsidy; development standards; relaxation.Women: women; woman; female; gender; gender responsive; gender sensitive; women safety; safety; safe access; lighting; visibility; toilet for women; female toilet; sanitary facility; childcare; crèche; public space; public realm.</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34" t="s">
        <v>860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861</v>
      </c>
      <c r="I12" s="235" t="s">
        <v>791</v>
      </c>
      <c r="J12" s="237" t="s">
        <v>792</v>
      </c>
      <c r="K12" s="237" t="s">
        <v>863</v>
      </c>
    </row>
    <row r="13" customFormat="false" ht="14.25" hidden="false" customHeight="true" outlineLevel="0" collapsed="false">
      <c r="A13" s="238" t="s">
        <v>486</v>
      </c>
      <c r="B13" s="239"/>
      <c r="C13" s="239"/>
      <c r="D13" s="239"/>
      <c r="E13" s="239"/>
      <c r="F13" s="239"/>
      <c r="G13" s="239"/>
      <c r="H13" s="240"/>
      <c r="I13" s="241" t="str">
        <f aca="false">IF(H13="","",MIN(--H13,$C$7))</f>
        <v/>
      </c>
      <c r="J13" s="239"/>
      <c r="K13" s="239"/>
    </row>
    <row r="14" customFormat="false" ht="15" hidden="false" customHeight="true" outlineLevel="0" collapsed="false">
      <c r="A14" s="238" t="s">
        <v>487</v>
      </c>
      <c r="B14" s="239"/>
      <c r="C14" s="239"/>
      <c r="D14" s="239"/>
      <c r="E14" s="239"/>
      <c r="F14" s="239"/>
      <c r="G14" s="243" t="s">
        <v>813</v>
      </c>
      <c r="H14" s="240" t="n">
        <v>0</v>
      </c>
      <c r="I14" s="241" t="n">
        <f aca="false">IF(H14="","",MIN(--H14,$C$7))</f>
        <v>0</v>
      </c>
      <c r="J14" s="239" t="s">
        <v>864</v>
      </c>
      <c r="K14" s="239"/>
    </row>
    <row r="15" customFormat="false" ht="14.25" hidden="false" customHeight="true" outlineLevel="0" collapsed="false">
      <c r="A15" s="238" t="s">
        <v>488</v>
      </c>
      <c r="B15" s="239"/>
      <c r="C15" s="239"/>
      <c r="D15" s="239"/>
      <c r="E15" s="239"/>
      <c r="F15" s="239"/>
      <c r="G15" s="239"/>
      <c r="H15" s="240"/>
      <c r="I15" s="241" t="str">
        <f aca="false">IF(H15="","",MIN(--H15,$C$7))</f>
        <v/>
      </c>
      <c r="J15" s="239"/>
      <c r="K15" s="239"/>
    </row>
    <row r="16" customFormat="false" ht="14.25" hidden="false" customHeight="true" outlineLevel="0" collapsed="false">
      <c r="A16" s="238" t="s">
        <v>489</v>
      </c>
      <c r="B16" s="239"/>
      <c r="C16" s="239"/>
      <c r="D16" s="239"/>
      <c r="E16" s="239"/>
      <c r="F16" s="239"/>
      <c r="G16" s="239"/>
      <c r="H16" s="240"/>
      <c r="I16" s="241" t="str">
        <f aca="false">IF(H16="","",MIN(--H16,$C$7))</f>
        <v/>
      </c>
      <c r="J16" s="239"/>
      <c r="K16" s="239"/>
    </row>
    <row r="17" customFormat="false" ht="14.25" hidden="false" customHeight="true" outlineLevel="0" collapsed="false">
      <c r="A17" s="238" t="s">
        <v>490</v>
      </c>
      <c r="B17" s="239"/>
      <c r="C17" s="239"/>
      <c r="D17" s="239"/>
      <c r="E17" s="239"/>
      <c r="F17" s="239"/>
      <c r="G17" s="239"/>
      <c r="H17" s="240"/>
      <c r="I17" s="241" t="str">
        <f aca="false">IF(H17="","",MIN(--H17,$C$7))</f>
        <v/>
      </c>
      <c r="J17" s="239"/>
      <c r="K17" s="239"/>
    </row>
    <row r="18" customFormat="false" ht="14.25" hidden="false" customHeight="true" outlineLevel="0" collapsed="false">
      <c r="A18" s="238" t="s">
        <v>491</v>
      </c>
      <c r="B18" s="239"/>
      <c r="C18" s="239"/>
      <c r="D18" s="239"/>
      <c r="E18" s="239"/>
      <c r="F18" s="239"/>
      <c r="G18" s="239"/>
      <c r="H18" s="240"/>
      <c r="I18" s="241" t="str">
        <f aca="false">IF(H18="","",MIN(--H18,$C$7))</f>
        <v/>
      </c>
      <c r="J18" s="239"/>
      <c r="K18" s="239"/>
    </row>
    <row r="19" customFormat="false" ht="14.25" hidden="false" customHeight="true" outlineLevel="0" collapsed="false">
      <c r="A19" s="238" t="s">
        <v>492</v>
      </c>
      <c r="B19" s="239"/>
      <c r="C19" s="239"/>
      <c r="D19" s="239"/>
      <c r="E19" s="239"/>
      <c r="F19" s="239"/>
      <c r="G19" s="239"/>
      <c r="H19" s="240"/>
      <c r="I19" s="241" t="str">
        <f aca="false">IF(H19="","",MIN(--H19,$C$7))</f>
        <v/>
      </c>
      <c r="J19" s="239"/>
      <c r="K19" s="239"/>
    </row>
    <row r="20" customFormat="false" ht="14.25" hidden="false" customHeight="true" outlineLevel="0" collapsed="false">
      <c r="A20" s="238" t="s">
        <v>493</v>
      </c>
      <c r="B20" s="239"/>
      <c r="C20" s="239"/>
      <c r="D20" s="239"/>
      <c r="E20" s="239"/>
      <c r="F20" s="239"/>
      <c r="G20" s="239"/>
      <c r="H20" s="240"/>
      <c r="I20" s="241" t="str">
        <f aca="false">IF(H20="","",MIN(--H20,$C$7))</f>
        <v/>
      </c>
      <c r="J20" s="239"/>
      <c r="K20" s="239"/>
    </row>
    <row r="21" customFormat="false" ht="14.25" hidden="false" customHeight="true" outlineLevel="0" collapsed="false">
      <c r="A21" s="238" t="s">
        <v>494</v>
      </c>
      <c r="B21" s="239"/>
      <c r="C21" s="239"/>
      <c r="D21" s="239"/>
      <c r="E21" s="239"/>
      <c r="F21" s="239"/>
      <c r="G21" s="239"/>
      <c r="H21" s="240"/>
      <c r="I21" s="241" t="str">
        <f aca="false">IF(H21="","",MIN(--H21,$C$7))</f>
        <v/>
      </c>
      <c r="J21" s="239"/>
      <c r="K21" s="239"/>
    </row>
    <row r="22" customFormat="false" ht="14.25" hidden="false" customHeight="true" outlineLevel="0" collapsed="false">
      <c r="A22" s="238" t="s">
        <v>495</v>
      </c>
      <c r="B22" s="239"/>
      <c r="C22" s="239"/>
      <c r="D22" s="239"/>
      <c r="E22" s="239"/>
      <c r="F22" s="239"/>
      <c r="G22" s="239"/>
      <c r="H22" s="240"/>
      <c r="I22" s="241" t="str">
        <f aca="false">IF(H22="","",MIN(--H22,$C$7))</f>
        <v/>
      </c>
      <c r="J22" s="239"/>
      <c r="K22" s="239"/>
    </row>
    <row r="23" customFormat="false" ht="14.25" hidden="false" customHeight="true" outlineLevel="0" collapsed="false">
      <c r="A23" s="238" t="s">
        <v>496</v>
      </c>
      <c r="B23" s="239"/>
      <c r="C23" s="239"/>
      <c r="D23" s="239"/>
      <c r="E23" s="239"/>
      <c r="F23" s="239"/>
      <c r="G23" s="239"/>
      <c r="H23" s="240"/>
      <c r="I23" s="241" t="str">
        <f aca="false">IF(H23="","",MIN(--H23,$C$7))</f>
        <v/>
      </c>
      <c r="J23" s="239"/>
      <c r="K23" s="239"/>
    </row>
    <row r="24" customFormat="false" ht="14.25" hidden="false" customHeight="true" outlineLevel="0" collapsed="false">
      <c r="A24" s="238" t="s">
        <v>497</v>
      </c>
      <c r="B24" s="239"/>
      <c r="C24" s="239"/>
      <c r="D24" s="239"/>
      <c r="E24" s="239"/>
      <c r="F24" s="239"/>
      <c r="G24" s="239"/>
      <c r="H24" s="240"/>
      <c r="I24" s="241" t="str">
        <f aca="false">IF(H24="","",MIN(--H24,$C$7))</f>
        <v/>
      </c>
      <c r="J24" s="239"/>
      <c r="K24" s="239"/>
    </row>
    <row r="25" customFormat="false" ht="14.25" hidden="false" customHeight="true" outlineLevel="0" collapsed="false">
      <c r="A25" s="238" t="s">
        <v>498</v>
      </c>
      <c r="B25" s="239"/>
      <c r="C25" s="239"/>
      <c r="D25" s="239"/>
      <c r="E25" s="239"/>
      <c r="F25" s="239"/>
      <c r="G25" s="239"/>
      <c r="H25" s="240"/>
      <c r="I25" s="241" t="str">
        <f aca="false">IF(H25="","",MIN(--H25,$C$7))</f>
        <v/>
      </c>
      <c r="J25" s="239"/>
      <c r="K25" s="239"/>
    </row>
    <row r="26" customFormat="false" ht="14.25" hidden="false" customHeight="true" outlineLevel="0" collapsed="false">
      <c r="A26" s="238" t="s">
        <v>499</v>
      </c>
      <c r="B26" s="239"/>
      <c r="C26" s="239"/>
      <c r="D26" s="239"/>
      <c r="E26" s="239"/>
      <c r="F26" s="239"/>
      <c r="G26" s="239"/>
      <c r="H26" s="240"/>
      <c r="I26" s="241" t="str">
        <f aca="false">IF(H26="","",MIN(--H26,$C$7))</f>
        <v/>
      </c>
      <c r="J26" s="239"/>
      <c r="K26" s="239"/>
    </row>
    <row r="27" customFormat="false" ht="14.25" hidden="false" customHeight="true" outlineLevel="0" collapsed="false">
      <c r="A27" s="238" t="s">
        <v>500</v>
      </c>
      <c r="B27" s="239"/>
      <c r="C27" s="239"/>
      <c r="D27" s="239"/>
      <c r="E27" s="239"/>
      <c r="F27" s="239"/>
      <c r="G27" s="239"/>
      <c r="H27" s="240"/>
      <c r="I27" s="241" t="str">
        <f aca="false">IF(H27="","",MIN(--H27,$C$7))</f>
        <v/>
      </c>
      <c r="J27" s="239"/>
      <c r="K27" s="239"/>
    </row>
    <row r="28" customFormat="false" ht="14.25" hidden="false" customHeight="true" outlineLevel="0" collapsed="false">
      <c r="A28" s="238" t="s">
        <v>501</v>
      </c>
      <c r="B28" s="239"/>
      <c r="C28" s="239"/>
      <c r="D28" s="239"/>
      <c r="E28" s="239"/>
      <c r="F28" s="239"/>
      <c r="G28" s="239"/>
      <c r="H28" s="240"/>
      <c r="I28" s="241" t="str">
        <f aca="false">IF(H28="","",MIN(--H28,$C$7))</f>
        <v/>
      </c>
      <c r="J28" s="239"/>
      <c r="K28" s="239"/>
    </row>
    <row r="29" customFormat="false" ht="14.25" hidden="false" customHeight="true" outlineLevel="0" collapsed="false">
      <c r="A29" s="238" t="s">
        <v>502</v>
      </c>
      <c r="B29" s="239"/>
      <c r="C29" s="239"/>
      <c r="D29" s="239"/>
      <c r="E29" s="239"/>
      <c r="F29" s="239"/>
      <c r="G29" s="239"/>
      <c r="H29" s="240"/>
      <c r="I29" s="241" t="str">
        <f aca="false">IF(H29="","",MIN(--H29,$C$7))</f>
        <v/>
      </c>
      <c r="J29" s="239"/>
      <c r="K29" s="239"/>
    </row>
    <row r="30" customFormat="false" ht="14.25" hidden="false" customHeight="true" outlineLevel="0" collapsed="false">
      <c r="A30" s="238" t="s">
        <v>503</v>
      </c>
      <c r="B30" s="239"/>
      <c r="C30" s="239"/>
      <c r="D30" s="239"/>
      <c r="E30" s="239"/>
      <c r="F30" s="239"/>
      <c r="G30" s="239"/>
      <c r="H30" s="240"/>
      <c r="I30" s="241" t="str">
        <f aca="false">IF(H30="","",MIN(--H30,$C$7))</f>
        <v/>
      </c>
      <c r="J30" s="239"/>
      <c r="K30" s="239"/>
    </row>
    <row r="31" customFormat="false" ht="14.25" hidden="false" customHeight="true" outlineLevel="0" collapsed="false">
      <c r="A31" s="238" t="s">
        <v>504</v>
      </c>
      <c r="B31" s="239"/>
      <c r="C31" s="239"/>
      <c r="D31" s="239"/>
      <c r="E31" s="239"/>
      <c r="F31" s="239"/>
      <c r="G31" s="239"/>
      <c r="H31" s="240"/>
      <c r="I31" s="241" t="str">
        <f aca="false">IF(H31="","",MIN(--H31,$C$7))</f>
        <v/>
      </c>
      <c r="J31" s="239"/>
      <c r="K31" s="239"/>
    </row>
    <row r="32" customFormat="false" ht="14.25" hidden="false" customHeight="true" outlineLevel="0" collapsed="false">
      <c r="A32" s="238" t="s">
        <v>505</v>
      </c>
      <c r="B32" s="239"/>
      <c r="C32" s="239"/>
      <c r="D32" s="239"/>
      <c r="E32" s="239"/>
      <c r="F32" s="239"/>
      <c r="G32" s="239"/>
      <c r="H32" s="240"/>
      <c r="I32" s="241" t="str">
        <f aca="false">IF(H32="","",MIN(--H32,$C$7))</f>
        <v/>
      </c>
      <c r="J32" s="239"/>
      <c r="K32" s="239"/>
    </row>
    <row r="33" customFormat="false" ht="14.25" hidden="false" customHeight="true" outlineLevel="0" collapsed="false">
      <c r="A33" s="238" t="s">
        <v>506</v>
      </c>
      <c r="B33" s="239"/>
      <c r="C33" s="239"/>
      <c r="D33" s="239"/>
      <c r="E33" s="239"/>
      <c r="F33" s="239"/>
      <c r="G33" s="239"/>
      <c r="H33" s="240"/>
      <c r="I33" s="241" t="str">
        <f aca="false">IF(H33="","",MIN(--H33,$C$7))</f>
        <v/>
      </c>
      <c r="J33" s="239"/>
      <c r="K33" s="239"/>
    </row>
    <row r="34" customFormat="false" ht="14.25" hidden="false" customHeight="true" outlineLevel="0" collapsed="false">
      <c r="A34" s="238" t="s">
        <v>507</v>
      </c>
      <c r="B34" s="239"/>
      <c r="C34" s="239"/>
      <c r="D34" s="239"/>
      <c r="E34" s="239"/>
      <c r="F34" s="239"/>
      <c r="G34" s="239"/>
      <c r="H34" s="240"/>
      <c r="I34" s="241" t="str">
        <f aca="false">IF(H34="","",MIN(--H34,$C$7))</f>
        <v/>
      </c>
      <c r="J34" s="239"/>
      <c r="K34" s="239"/>
    </row>
    <row r="35" customFormat="false" ht="14.25" hidden="false" customHeight="true" outlineLevel="0" collapsed="false">
      <c r="A35" s="238" t="s">
        <v>508</v>
      </c>
      <c r="B35" s="239"/>
      <c r="C35" s="239"/>
      <c r="D35" s="239"/>
      <c r="E35" s="239"/>
      <c r="F35" s="239"/>
      <c r="G35" s="239"/>
      <c r="H35" s="240"/>
      <c r="I35" s="241" t="str">
        <f aca="false">IF(H35="","",MIN(--H35,$C$7))</f>
        <v/>
      </c>
      <c r="J35" s="239"/>
      <c r="K35" s="239"/>
    </row>
    <row r="36" customFormat="false" ht="14.25" hidden="false" customHeight="true" outlineLevel="0" collapsed="false">
      <c r="A36" s="238" t="s">
        <v>509</v>
      </c>
      <c r="B36" s="239"/>
      <c r="C36" s="239"/>
      <c r="D36" s="239"/>
      <c r="E36" s="239"/>
      <c r="F36" s="239"/>
      <c r="G36" s="239"/>
      <c r="H36" s="240"/>
      <c r="I36" s="241" t="str">
        <f aca="false">IF(H36="","",MIN(--H36,$C$7))</f>
        <v/>
      </c>
      <c r="J36" s="239"/>
      <c r="K36" s="239"/>
    </row>
    <row r="37" customFormat="false" ht="14.25" hidden="false" customHeight="true" outlineLevel="0" collapsed="false">
      <c r="A37" s="238" t="s">
        <v>510</v>
      </c>
      <c r="B37" s="239"/>
      <c r="C37" s="239"/>
      <c r="D37" s="239"/>
      <c r="E37" s="239"/>
      <c r="F37" s="239"/>
      <c r="G37" s="239"/>
      <c r="H37" s="240"/>
      <c r="I37" s="241" t="str">
        <f aca="false">IF(H37="","",MIN(--H37,$C$7))</f>
        <v/>
      </c>
      <c r="J37" s="239"/>
      <c r="K37" s="239"/>
    </row>
    <row r="38" customFormat="false" ht="14.25" hidden="false" customHeight="true" outlineLevel="0" collapsed="false">
      <c r="A38" s="238" t="s">
        <v>511</v>
      </c>
      <c r="B38" s="239"/>
      <c r="C38" s="239"/>
      <c r="D38" s="239"/>
      <c r="E38" s="239"/>
      <c r="F38" s="239"/>
      <c r="G38" s="239"/>
      <c r="H38" s="240"/>
      <c r="I38" s="241" t="str">
        <f aca="false">IF(H38="","",MIN(--H38,$C$7))</f>
        <v/>
      </c>
      <c r="J38" s="239"/>
      <c r="K38" s="239"/>
    </row>
    <row r="39" customFormat="false" ht="14.25" hidden="false" customHeight="true" outlineLevel="0" collapsed="false">
      <c r="A39" s="238" t="s">
        <v>512</v>
      </c>
      <c r="B39" s="239"/>
      <c r="C39" s="239"/>
      <c r="D39" s="239"/>
      <c r="E39" s="239"/>
      <c r="F39" s="239"/>
      <c r="G39" s="239"/>
      <c r="H39" s="240"/>
      <c r="I39" s="241" t="str">
        <f aca="false">IF(H39="","",MIN(--H39,$C$7))</f>
        <v/>
      </c>
      <c r="J39" s="239"/>
      <c r="K39" s="239"/>
    </row>
    <row r="40" customFormat="false" ht="14.25" hidden="false" customHeight="true" outlineLevel="0" collapsed="false">
      <c r="A40" s="238" t="s">
        <v>513</v>
      </c>
      <c r="B40" s="239"/>
      <c r="C40" s="239"/>
      <c r="D40" s="239"/>
      <c r="E40" s="239"/>
      <c r="F40" s="239"/>
      <c r="G40" s="239"/>
      <c r="H40" s="240"/>
      <c r="I40" s="241" t="str">
        <f aca="false">IF(H40="","",MIN(--H40,$C$7))</f>
        <v/>
      </c>
      <c r="J40" s="239"/>
      <c r="K40" s="239"/>
    </row>
    <row r="41" customFormat="false" ht="14.25" hidden="false" customHeight="true" outlineLevel="0" collapsed="false">
      <c r="A41" s="238" t="s">
        <v>514</v>
      </c>
      <c r="B41" s="239"/>
      <c r="C41" s="239"/>
      <c r="D41" s="239"/>
      <c r="E41" s="239"/>
      <c r="F41" s="239"/>
      <c r="G41" s="239"/>
      <c r="H41" s="240"/>
      <c r="I41" s="241" t="str">
        <f aca="false">IF(H41="","",MIN(--H41,$C$7))</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11"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422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promote environmental sustainability and climate resilience?</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2" t="n">
        <f aca="false">VLOOKUP($B$1,'UPD Questions_290926 '!$E$1:$N$300,MATCH($A$7,'UPD Questions_290926 '!$E$1:$N$1,0),0)</f>
        <v>2</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promotes environmentally sustainable or climate-resilient development, including through standards, incentives, or enabling provisions relating to green buildings, energy efficiency, water conservation, permeability, green cover, rainwater management, heat mitigation, flood resilience, or development appropriate to environmentally sensitive areas. Score 2:  Specific controls, standards or incentives actively promote environmental sustainability or climate resilience.Score 1: The DCR protects environmentally sensitive/climate-vulnerable areas or imposes environmental restrictions, but does not contain a clear enabling/incentive provision.Score 0 — No relevant environmental or climate-related development provision is found. Note: A generic requirement to obtain environmental clearance based on project size does not, by itself, qualify as an enabling environmental/climate provision.For example: Prohibiting construction within a lake buffer will score 1, whereas permeability/green-cover standards, incentives for green buildings, resilience-oriented development standards, and additional benefits for achieving specified environmental outcomes will score 2 Keywords for scorer: environment; climate; resilience; green building; green rating; GRIHA; IGBC; LEED; energy efficiency; solar; renewable energy; rainwater harvesting; stormwater; flood; floodplain; wetland; water body; lake; buffer; coastal; CRZ; groundwater; recharge; permeability; pervious; green cover; tree cover; open space; heat; cool roof; sustainable; FAR incentive; FSI incentive.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Capture the text that mentions the broad provisions related to the theme and the incentives it offers</v>
      </c>
    </row>
    <row r="11" customFormat="false" ht="28.5" hidden="false" customHeight="true" outlineLevel="0" collapsed="false">
      <c r="H11" s="234" t="s">
        <v>860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861</v>
      </c>
      <c r="I12" s="235" t="s">
        <v>791</v>
      </c>
      <c r="J12" s="237" t="s">
        <v>792</v>
      </c>
      <c r="K12" s="237" t="s">
        <v>863</v>
      </c>
    </row>
    <row r="13" customFormat="false" ht="14.25" hidden="false" customHeight="true" outlineLevel="0" collapsed="false">
      <c r="A13" s="238" t="s">
        <v>486</v>
      </c>
      <c r="B13" s="239"/>
      <c r="C13" s="239"/>
      <c r="D13" s="239"/>
      <c r="E13" s="239"/>
      <c r="F13" s="239"/>
      <c r="G13" s="239"/>
      <c r="H13" s="240"/>
      <c r="I13" s="241" t="str">
        <f aca="false">IF(H13="","",MIN(--H13,$C$7))</f>
        <v/>
      </c>
      <c r="J13" s="239"/>
      <c r="K13" s="239"/>
    </row>
    <row r="14" customFormat="false" ht="15" hidden="false" customHeight="true" outlineLevel="0" collapsed="false">
      <c r="A14" s="238" t="s">
        <v>487</v>
      </c>
      <c r="B14" s="239"/>
      <c r="C14" s="239"/>
      <c r="D14" s="239"/>
      <c r="E14" s="239"/>
      <c r="F14" s="239"/>
      <c r="G14" s="243" t="s">
        <v>813</v>
      </c>
      <c r="H14" s="240" t="n">
        <v>0</v>
      </c>
      <c r="I14" s="241" t="n">
        <f aca="false">IF(H14="","",MIN(--H14,$C$7))</f>
        <v>0</v>
      </c>
      <c r="J14" s="239" t="s">
        <v>865</v>
      </c>
      <c r="K14" s="239"/>
    </row>
    <row r="15" customFormat="false" ht="14.25" hidden="false" customHeight="true" outlineLevel="0" collapsed="false">
      <c r="A15" s="238" t="s">
        <v>488</v>
      </c>
      <c r="B15" s="239"/>
      <c r="C15" s="239"/>
      <c r="D15" s="239"/>
      <c r="E15" s="239"/>
      <c r="F15" s="239"/>
      <c r="G15" s="239"/>
      <c r="H15" s="240"/>
      <c r="I15" s="241" t="str">
        <f aca="false">IF(H15="","",MIN(--H15,$C$7))</f>
        <v/>
      </c>
      <c r="J15" s="239"/>
      <c r="K15" s="239"/>
    </row>
    <row r="16" customFormat="false" ht="14.25" hidden="false" customHeight="true" outlineLevel="0" collapsed="false">
      <c r="A16" s="238" t="s">
        <v>489</v>
      </c>
      <c r="B16" s="239"/>
      <c r="C16" s="239"/>
      <c r="D16" s="239"/>
      <c r="E16" s="239"/>
      <c r="F16" s="239"/>
      <c r="G16" s="239"/>
      <c r="H16" s="240"/>
      <c r="I16" s="241" t="str">
        <f aca="false">IF(H16="","",MIN(--H16,$C$7))</f>
        <v/>
      </c>
      <c r="J16" s="239"/>
      <c r="K16" s="239"/>
    </row>
    <row r="17" customFormat="false" ht="14.25" hidden="false" customHeight="true" outlineLevel="0" collapsed="false">
      <c r="A17" s="238" t="s">
        <v>490</v>
      </c>
      <c r="B17" s="239"/>
      <c r="C17" s="239"/>
      <c r="D17" s="239"/>
      <c r="E17" s="239"/>
      <c r="F17" s="239"/>
      <c r="G17" s="239"/>
      <c r="H17" s="240"/>
      <c r="I17" s="241" t="str">
        <f aca="false">IF(H17="","",MIN(--H17,$C$7))</f>
        <v/>
      </c>
      <c r="J17" s="239"/>
      <c r="K17" s="239"/>
    </row>
    <row r="18" customFormat="false" ht="14.25" hidden="false" customHeight="true" outlineLevel="0" collapsed="false">
      <c r="A18" s="238" t="s">
        <v>491</v>
      </c>
      <c r="B18" s="239"/>
      <c r="C18" s="239"/>
      <c r="D18" s="239"/>
      <c r="E18" s="239"/>
      <c r="F18" s="239"/>
      <c r="G18" s="239"/>
      <c r="H18" s="240"/>
      <c r="I18" s="241" t="str">
        <f aca="false">IF(H18="","",MIN(--H18,$C$7))</f>
        <v/>
      </c>
      <c r="J18" s="239"/>
      <c r="K18" s="239"/>
    </row>
    <row r="19" customFormat="false" ht="14.25" hidden="false" customHeight="true" outlineLevel="0" collapsed="false">
      <c r="A19" s="238" t="s">
        <v>492</v>
      </c>
      <c r="B19" s="239"/>
      <c r="C19" s="239"/>
      <c r="D19" s="239"/>
      <c r="E19" s="239"/>
      <c r="F19" s="239"/>
      <c r="G19" s="239"/>
      <c r="H19" s="240"/>
      <c r="I19" s="241" t="str">
        <f aca="false">IF(H19="","",MIN(--H19,$C$7))</f>
        <v/>
      </c>
      <c r="J19" s="239"/>
      <c r="K19" s="239"/>
    </row>
    <row r="20" customFormat="false" ht="14.25" hidden="false" customHeight="true" outlineLevel="0" collapsed="false">
      <c r="A20" s="238" t="s">
        <v>493</v>
      </c>
      <c r="B20" s="239"/>
      <c r="C20" s="239"/>
      <c r="D20" s="239"/>
      <c r="E20" s="239"/>
      <c r="F20" s="239"/>
      <c r="G20" s="239"/>
      <c r="H20" s="240"/>
      <c r="I20" s="241" t="str">
        <f aca="false">IF(H20="","",MIN(--H20,$C$7))</f>
        <v/>
      </c>
      <c r="J20" s="239"/>
      <c r="K20" s="239"/>
    </row>
    <row r="21" customFormat="false" ht="14.25" hidden="false" customHeight="true" outlineLevel="0" collapsed="false">
      <c r="A21" s="238" t="s">
        <v>494</v>
      </c>
      <c r="B21" s="239"/>
      <c r="C21" s="239"/>
      <c r="D21" s="239"/>
      <c r="E21" s="239"/>
      <c r="F21" s="239"/>
      <c r="G21" s="239"/>
      <c r="H21" s="240"/>
      <c r="I21" s="241" t="str">
        <f aca="false">IF(H21="","",MIN(--H21,$C$7))</f>
        <v/>
      </c>
      <c r="J21" s="239"/>
      <c r="K21" s="239"/>
    </row>
    <row r="22" customFormat="false" ht="14.25" hidden="false" customHeight="true" outlineLevel="0" collapsed="false">
      <c r="A22" s="238" t="s">
        <v>495</v>
      </c>
      <c r="B22" s="239"/>
      <c r="C22" s="239"/>
      <c r="D22" s="239"/>
      <c r="E22" s="239"/>
      <c r="F22" s="239"/>
      <c r="G22" s="239"/>
      <c r="H22" s="240"/>
      <c r="I22" s="241" t="str">
        <f aca="false">IF(H22="","",MIN(--H22,$C$7))</f>
        <v/>
      </c>
      <c r="J22" s="239"/>
      <c r="K22" s="239"/>
    </row>
    <row r="23" customFormat="false" ht="14.25" hidden="false" customHeight="true" outlineLevel="0" collapsed="false">
      <c r="A23" s="238" t="s">
        <v>496</v>
      </c>
      <c r="B23" s="239"/>
      <c r="C23" s="239"/>
      <c r="D23" s="239"/>
      <c r="E23" s="239"/>
      <c r="F23" s="239"/>
      <c r="G23" s="239"/>
      <c r="H23" s="240"/>
      <c r="I23" s="241" t="str">
        <f aca="false">IF(H23="","",MIN(--H23,$C$7))</f>
        <v/>
      </c>
      <c r="J23" s="239"/>
      <c r="K23" s="239"/>
    </row>
    <row r="24" customFormat="false" ht="14.25" hidden="false" customHeight="true" outlineLevel="0" collapsed="false">
      <c r="A24" s="238" t="s">
        <v>497</v>
      </c>
      <c r="B24" s="239"/>
      <c r="C24" s="239"/>
      <c r="D24" s="239"/>
      <c r="E24" s="239"/>
      <c r="F24" s="239"/>
      <c r="G24" s="239"/>
      <c r="H24" s="240"/>
      <c r="I24" s="241" t="str">
        <f aca="false">IF(H24="","",MIN(--H24,$C$7))</f>
        <v/>
      </c>
      <c r="J24" s="239"/>
      <c r="K24" s="239"/>
    </row>
    <row r="25" customFormat="false" ht="14.25" hidden="false" customHeight="true" outlineLevel="0" collapsed="false">
      <c r="A25" s="238" t="s">
        <v>498</v>
      </c>
      <c r="B25" s="239"/>
      <c r="C25" s="239"/>
      <c r="D25" s="239"/>
      <c r="E25" s="239"/>
      <c r="F25" s="239"/>
      <c r="G25" s="239"/>
      <c r="H25" s="240"/>
      <c r="I25" s="241" t="str">
        <f aca="false">IF(H25="","",MIN(--H25,$C$7))</f>
        <v/>
      </c>
      <c r="J25" s="239"/>
      <c r="K25" s="239"/>
    </row>
    <row r="26" customFormat="false" ht="14.25" hidden="false" customHeight="true" outlineLevel="0" collapsed="false">
      <c r="A26" s="238" t="s">
        <v>499</v>
      </c>
      <c r="B26" s="239"/>
      <c r="C26" s="239"/>
      <c r="D26" s="239"/>
      <c r="E26" s="239"/>
      <c r="F26" s="239"/>
      <c r="G26" s="239"/>
      <c r="H26" s="240"/>
      <c r="I26" s="241" t="str">
        <f aca="false">IF(H26="","",MIN(--H26,$C$7))</f>
        <v/>
      </c>
      <c r="J26" s="239"/>
      <c r="K26" s="239"/>
    </row>
    <row r="27" customFormat="false" ht="14.25" hidden="false" customHeight="true" outlineLevel="0" collapsed="false">
      <c r="A27" s="238" t="s">
        <v>500</v>
      </c>
      <c r="B27" s="239"/>
      <c r="C27" s="239"/>
      <c r="D27" s="239"/>
      <c r="E27" s="239"/>
      <c r="F27" s="239"/>
      <c r="G27" s="239"/>
      <c r="H27" s="240"/>
      <c r="I27" s="241" t="str">
        <f aca="false">IF(H27="","",MIN(--H27,$C$7))</f>
        <v/>
      </c>
      <c r="J27" s="239"/>
      <c r="K27" s="239"/>
    </row>
    <row r="28" customFormat="false" ht="14.25" hidden="false" customHeight="true" outlineLevel="0" collapsed="false">
      <c r="A28" s="238" t="s">
        <v>501</v>
      </c>
      <c r="B28" s="239"/>
      <c r="C28" s="239"/>
      <c r="D28" s="239"/>
      <c r="E28" s="239"/>
      <c r="F28" s="239"/>
      <c r="G28" s="239"/>
      <c r="H28" s="240"/>
      <c r="I28" s="241" t="str">
        <f aca="false">IF(H28="","",MIN(--H28,$C$7))</f>
        <v/>
      </c>
      <c r="J28" s="239"/>
      <c r="K28" s="239"/>
    </row>
    <row r="29" customFormat="false" ht="14.25" hidden="false" customHeight="true" outlineLevel="0" collapsed="false">
      <c r="A29" s="238" t="s">
        <v>502</v>
      </c>
      <c r="B29" s="239"/>
      <c r="C29" s="239"/>
      <c r="D29" s="239"/>
      <c r="E29" s="239"/>
      <c r="F29" s="239"/>
      <c r="G29" s="239"/>
      <c r="H29" s="240"/>
      <c r="I29" s="241" t="str">
        <f aca="false">IF(H29="","",MIN(--H29,$C$7))</f>
        <v/>
      </c>
      <c r="J29" s="239"/>
      <c r="K29" s="239"/>
    </row>
    <row r="30" customFormat="false" ht="14.25" hidden="false" customHeight="true" outlineLevel="0" collapsed="false">
      <c r="A30" s="238" t="s">
        <v>503</v>
      </c>
      <c r="B30" s="239"/>
      <c r="C30" s="239"/>
      <c r="D30" s="239"/>
      <c r="E30" s="239"/>
      <c r="F30" s="239"/>
      <c r="G30" s="239"/>
      <c r="H30" s="240"/>
      <c r="I30" s="241" t="str">
        <f aca="false">IF(H30="","",MIN(--H30,$C$7))</f>
        <v/>
      </c>
      <c r="J30" s="239"/>
      <c r="K30" s="239"/>
    </row>
    <row r="31" customFormat="false" ht="14.25" hidden="false" customHeight="true" outlineLevel="0" collapsed="false">
      <c r="A31" s="238" t="s">
        <v>504</v>
      </c>
      <c r="B31" s="239"/>
      <c r="C31" s="239"/>
      <c r="D31" s="239"/>
      <c r="E31" s="239"/>
      <c r="F31" s="239"/>
      <c r="G31" s="239"/>
      <c r="H31" s="240"/>
      <c r="I31" s="241" t="str">
        <f aca="false">IF(H31="","",MIN(--H31,$C$7))</f>
        <v/>
      </c>
      <c r="J31" s="239"/>
      <c r="K31" s="239"/>
    </row>
    <row r="32" customFormat="false" ht="14.25" hidden="false" customHeight="true" outlineLevel="0" collapsed="false">
      <c r="A32" s="238" t="s">
        <v>505</v>
      </c>
      <c r="B32" s="239"/>
      <c r="C32" s="239"/>
      <c r="D32" s="239"/>
      <c r="E32" s="239"/>
      <c r="F32" s="239"/>
      <c r="G32" s="239"/>
      <c r="H32" s="240"/>
      <c r="I32" s="241" t="str">
        <f aca="false">IF(H32="","",MIN(--H32,$C$7))</f>
        <v/>
      </c>
      <c r="J32" s="239"/>
      <c r="K32" s="239"/>
    </row>
    <row r="33" customFormat="false" ht="14.25" hidden="false" customHeight="true" outlineLevel="0" collapsed="false">
      <c r="A33" s="238" t="s">
        <v>506</v>
      </c>
      <c r="B33" s="239"/>
      <c r="C33" s="239"/>
      <c r="D33" s="239"/>
      <c r="E33" s="239"/>
      <c r="F33" s="239"/>
      <c r="G33" s="239"/>
      <c r="H33" s="240"/>
      <c r="I33" s="241" t="str">
        <f aca="false">IF(H33="","",MIN(--H33,$C$7))</f>
        <v/>
      </c>
      <c r="J33" s="239"/>
      <c r="K33" s="239"/>
    </row>
    <row r="34" customFormat="false" ht="14.25" hidden="false" customHeight="true" outlineLevel="0" collapsed="false">
      <c r="A34" s="238" t="s">
        <v>507</v>
      </c>
      <c r="B34" s="239"/>
      <c r="C34" s="239"/>
      <c r="D34" s="239"/>
      <c r="E34" s="239"/>
      <c r="F34" s="239"/>
      <c r="G34" s="239"/>
      <c r="H34" s="240"/>
      <c r="I34" s="241" t="str">
        <f aca="false">IF(H34="","",MIN(--H34,$C$7))</f>
        <v/>
      </c>
      <c r="J34" s="239"/>
      <c r="K34" s="239"/>
    </row>
    <row r="35" customFormat="false" ht="14.25" hidden="false" customHeight="true" outlineLevel="0" collapsed="false">
      <c r="A35" s="238" t="s">
        <v>508</v>
      </c>
      <c r="B35" s="239"/>
      <c r="C35" s="239"/>
      <c r="D35" s="239"/>
      <c r="E35" s="239"/>
      <c r="F35" s="239"/>
      <c r="G35" s="239"/>
      <c r="H35" s="240"/>
      <c r="I35" s="241" t="str">
        <f aca="false">IF(H35="","",MIN(--H35,$C$7))</f>
        <v/>
      </c>
      <c r="J35" s="239"/>
      <c r="K35" s="239"/>
    </row>
    <row r="36" customFormat="false" ht="14.25" hidden="false" customHeight="true" outlineLevel="0" collapsed="false">
      <c r="A36" s="238" t="s">
        <v>509</v>
      </c>
      <c r="B36" s="239"/>
      <c r="C36" s="239"/>
      <c r="D36" s="239"/>
      <c r="E36" s="239"/>
      <c r="F36" s="239"/>
      <c r="G36" s="239"/>
      <c r="H36" s="240"/>
      <c r="I36" s="241" t="str">
        <f aca="false">IF(H36="","",MIN(--H36,$C$7))</f>
        <v/>
      </c>
      <c r="J36" s="239"/>
      <c r="K36" s="239"/>
    </row>
    <row r="37" customFormat="false" ht="14.25" hidden="false" customHeight="true" outlineLevel="0" collapsed="false">
      <c r="A37" s="238" t="s">
        <v>510</v>
      </c>
      <c r="B37" s="239"/>
      <c r="C37" s="239"/>
      <c r="D37" s="239"/>
      <c r="E37" s="239"/>
      <c r="F37" s="239"/>
      <c r="G37" s="239"/>
      <c r="H37" s="240"/>
      <c r="I37" s="241" t="str">
        <f aca="false">IF(H37="","",MIN(--H37,$C$7))</f>
        <v/>
      </c>
      <c r="J37" s="239"/>
      <c r="K37" s="239"/>
    </row>
    <row r="38" customFormat="false" ht="14.25" hidden="false" customHeight="true" outlineLevel="0" collapsed="false">
      <c r="A38" s="238" t="s">
        <v>511</v>
      </c>
      <c r="B38" s="239"/>
      <c r="C38" s="239"/>
      <c r="D38" s="239"/>
      <c r="E38" s="239"/>
      <c r="F38" s="239"/>
      <c r="G38" s="239"/>
      <c r="H38" s="240"/>
      <c r="I38" s="241" t="str">
        <f aca="false">IF(H38="","",MIN(--H38,$C$7))</f>
        <v/>
      </c>
      <c r="J38" s="239"/>
      <c r="K38" s="239"/>
    </row>
    <row r="39" customFormat="false" ht="14.25" hidden="false" customHeight="true" outlineLevel="0" collapsed="false">
      <c r="A39" s="238" t="s">
        <v>512</v>
      </c>
      <c r="B39" s="239"/>
      <c r="C39" s="239"/>
      <c r="D39" s="239"/>
      <c r="E39" s="239"/>
      <c r="F39" s="239"/>
      <c r="G39" s="239"/>
      <c r="H39" s="240"/>
      <c r="I39" s="241" t="str">
        <f aca="false">IF(H39="","",MIN(--H39,$C$7))</f>
        <v/>
      </c>
      <c r="J39" s="239"/>
      <c r="K39" s="239"/>
    </row>
    <row r="40" customFormat="false" ht="14.25" hidden="false" customHeight="true" outlineLevel="0" collapsed="false">
      <c r="A40" s="238" t="s">
        <v>513</v>
      </c>
      <c r="B40" s="239"/>
      <c r="C40" s="239"/>
      <c r="D40" s="239"/>
      <c r="E40" s="239"/>
      <c r="F40" s="239"/>
      <c r="G40" s="239"/>
      <c r="H40" s="240"/>
      <c r="I40" s="241" t="str">
        <f aca="false">IF(H40="","",MIN(--H40,$C$7))</f>
        <v/>
      </c>
      <c r="J40" s="239"/>
      <c r="K40" s="239"/>
    </row>
    <row r="41" customFormat="false" ht="14.25" hidden="false" customHeight="true" outlineLevel="0" collapsed="false">
      <c r="A41" s="238" t="s">
        <v>514</v>
      </c>
      <c r="B41" s="239"/>
      <c r="C41" s="239"/>
      <c r="D41" s="239"/>
      <c r="E41" s="239"/>
      <c r="F41" s="239"/>
      <c r="G41" s="239"/>
      <c r="H41" s="240"/>
      <c r="I41" s="241" t="str">
        <f aca="false">IF(H41="","",MIN(--H41,$C$7))</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B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427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or standards that promote positive public-health outcomes?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2" t="n">
        <f aca="false">VLOOKUP($B$1,'UPD Questions_290926 '!$E$1:$N$300,MATCH($A$7,'UPD Questions_290926 '!$E$1:$N$1,0),0)</f>
        <v>2</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promotes positive public-health outcomes through controls, standards or enabling provisions relating to ventilation and natural light, sanitation, overcrowding/density, separation of hazardous or incompatible uses, buffers from polluting activities, or other health-related spatial risks. Score 2: Specific development controls or standards actively promote positive public-health outcomes beyond routine minimum building requirements are mentioned in two or more places.Score 1: The DCR/building regulations prescribe basic or minimum requirements relating to ventilation/light, sanitation, density, hazardous uses or separation from polluting activities, but do not contain additional provisions aimed at improving public-health outcomes. Identify atleast two or more such provisions.Score 0: No relevant development control or standard addressing public-health-related spatial risks is found. Note: Routine building requirements that establish minimum standards for individual buildings should not, by themselves, receive Score 2. Award the full score where development regulation goes beyond these basic requirements to address a broader public-health outcome or spatial risk.For example: A general requirement prescribing minimum window area or provision of toilets for buildings will score 1, whereas specific controls addressing overcrowding, density in relation to health, buffers/separation distances from hazardous or polluting uses, enhanced ventilation/light standards for identified contexts, or other development standards explicitly addressing health-related spatial risks will score 2. Keywords for scorer: public health; health; sanitation; ventilation; natural ventilation; light; natural light; lighting; overcrowding; density; occupancy; hazardous use; hazardous industry; noxious; polluting; pollution; buffer; buffer zone; separation distance; setback; incompatible use; industrial use; industrial hazard; waste; solid waste; sewerage; toilet; latrine; open space; health hazard.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34" t="s">
        <v>860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861</v>
      </c>
      <c r="I12" s="235" t="s">
        <v>791</v>
      </c>
      <c r="J12" s="237" t="s">
        <v>792</v>
      </c>
      <c r="K12" s="237" t="s">
        <v>863</v>
      </c>
    </row>
    <row r="13" customFormat="false" ht="14.25" hidden="false" customHeight="true" outlineLevel="0" collapsed="false">
      <c r="A13" s="238" t="s">
        <v>486</v>
      </c>
      <c r="B13" s="239"/>
      <c r="C13" s="239"/>
      <c r="D13" s="239"/>
      <c r="E13" s="239"/>
      <c r="F13" s="239"/>
      <c r="G13" s="239"/>
      <c r="H13" s="240"/>
      <c r="I13" s="241" t="str">
        <f aca="false">IF(H13="","",MIN(--H13,$C$7))</f>
        <v/>
      </c>
      <c r="J13" s="239"/>
      <c r="K13" s="239"/>
    </row>
    <row r="14" customFormat="false" ht="15" hidden="false" customHeight="true" outlineLevel="0" collapsed="false">
      <c r="A14" s="238" t="s">
        <v>487</v>
      </c>
      <c r="B14" s="239"/>
      <c r="C14" s="239"/>
      <c r="D14" s="239"/>
      <c r="E14" s="239"/>
      <c r="F14" s="239"/>
      <c r="G14" s="243" t="s">
        <v>813</v>
      </c>
      <c r="H14" s="240" t="n">
        <v>0</v>
      </c>
      <c r="I14" s="241" t="n">
        <f aca="false">IF(H14="","",MIN(--H14,$C$7))</f>
        <v>0</v>
      </c>
      <c r="J14" s="239" t="s">
        <v>866</v>
      </c>
      <c r="K14" s="239"/>
    </row>
    <row r="15" customFormat="false" ht="14.25" hidden="false" customHeight="true" outlineLevel="0" collapsed="false">
      <c r="A15" s="238" t="s">
        <v>488</v>
      </c>
      <c r="B15" s="239"/>
      <c r="C15" s="239"/>
      <c r="D15" s="239"/>
      <c r="E15" s="239"/>
      <c r="F15" s="239"/>
      <c r="G15" s="239"/>
      <c r="H15" s="240"/>
      <c r="I15" s="241" t="str">
        <f aca="false">IF(H15="","",MIN(--H15,$C$7))</f>
        <v/>
      </c>
      <c r="J15" s="239"/>
      <c r="K15" s="239"/>
    </row>
    <row r="16" customFormat="false" ht="14.25" hidden="false" customHeight="true" outlineLevel="0" collapsed="false">
      <c r="A16" s="238" t="s">
        <v>489</v>
      </c>
      <c r="B16" s="239"/>
      <c r="C16" s="239"/>
      <c r="D16" s="239"/>
      <c r="E16" s="239"/>
      <c r="F16" s="239"/>
      <c r="G16" s="239"/>
      <c r="H16" s="240"/>
      <c r="I16" s="241" t="str">
        <f aca="false">IF(H16="","",MIN(--H16,$C$7))</f>
        <v/>
      </c>
      <c r="J16" s="239"/>
      <c r="K16" s="239"/>
    </row>
    <row r="17" customFormat="false" ht="14.25" hidden="false" customHeight="true" outlineLevel="0" collapsed="false">
      <c r="A17" s="238" t="s">
        <v>490</v>
      </c>
      <c r="B17" s="239"/>
      <c r="C17" s="239"/>
      <c r="D17" s="239"/>
      <c r="E17" s="239"/>
      <c r="F17" s="239"/>
      <c r="G17" s="239"/>
      <c r="H17" s="240"/>
      <c r="I17" s="241" t="str">
        <f aca="false">IF(H17="","",MIN(--H17,$C$7))</f>
        <v/>
      </c>
      <c r="J17" s="239"/>
      <c r="K17" s="239"/>
    </row>
    <row r="18" customFormat="false" ht="14.25" hidden="false" customHeight="true" outlineLevel="0" collapsed="false">
      <c r="A18" s="238" t="s">
        <v>491</v>
      </c>
      <c r="B18" s="239"/>
      <c r="C18" s="239"/>
      <c r="D18" s="239"/>
      <c r="E18" s="239"/>
      <c r="F18" s="239"/>
      <c r="G18" s="239"/>
      <c r="H18" s="240"/>
      <c r="I18" s="241" t="str">
        <f aca="false">IF(H18="","",MIN(--H18,$C$7))</f>
        <v/>
      </c>
      <c r="J18" s="239"/>
      <c r="K18" s="239"/>
    </row>
    <row r="19" customFormat="false" ht="14.25" hidden="false" customHeight="true" outlineLevel="0" collapsed="false">
      <c r="A19" s="238" t="s">
        <v>492</v>
      </c>
      <c r="B19" s="239"/>
      <c r="C19" s="239"/>
      <c r="D19" s="239"/>
      <c r="E19" s="239"/>
      <c r="F19" s="239"/>
      <c r="G19" s="239"/>
      <c r="H19" s="240"/>
      <c r="I19" s="241" t="str">
        <f aca="false">IF(H19="","",MIN(--H19,$C$7))</f>
        <v/>
      </c>
      <c r="J19" s="239"/>
      <c r="K19" s="239"/>
    </row>
    <row r="20" customFormat="false" ht="14.25" hidden="false" customHeight="true" outlineLevel="0" collapsed="false">
      <c r="A20" s="238" t="s">
        <v>493</v>
      </c>
      <c r="B20" s="239"/>
      <c r="C20" s="239"/>
      <c r="D20" s="239"/>
      <c r="E20" s="239"/>
      <c r="F20" s="239"/>
      <c r="G20" s="239"/>
      <c r="H20" s="240"/>
      <c r="I20" s="241" t="str">
        <f aca="false">IF(H20="","",MIN(--H20,$C$7))</f>
        <v/>
      </c>
      <c r="J20" s="239"/>
      <c r="K20" s="239"/>
    </row>
    <row r="21" customFormat="false" ht="14.25" hidden="false" customHeight="true" outlineLevel="0" collapsed="false">
      <c r="A21" s="238" t="s">
        <v>494</v>
      </c>
      <c r="B21" s="239"/>
      <c r="C21" s="239"/>
      <c r="D21" s="239"/>
      <c r="E21" s="239"/>
      <c r="F21" s="239"/>
      <c r="G21" s="239"/>
      <c r="H21" s="240"/>
      <c r="I21" s="241" t="str">
        <f aca="false">IF(H21="","",MIN(--H21,$C$7))</f>
        <v/>
      </c>
      <c r="J21" s="239"/>
      <c r="K21" s="239"/>
    </row>
    <row r="22" customFormat="false" ht="14.25" hidden="false" customHeight="true" outlineLevel="0" collapsed="false">
      <c r="A22" s="238" t="s">
        <v>495</v>
      </c>
      <c r="B22" s="239"/>
      <c r="C22" s="239"/>
      <c r="D22" s="239"/>
      <c r="E22" s="239"/>
      <c r="F22" s="239"/>
      <c r="G22" s="239"/>
      <c r="H22" s="240"/>
      <c r="I22" s="241" t="str">
        <f aca="false">IF(H22="","",MIN(--H22,$C$7))</f>
        <v/>
      </c>
      <c r="J22" s="239"/>
      <c r="K22" s="239"/>
    </row>
    <row r="23" customFormat="false" ht="14.25" hidden="false" customHeight="true" outlineLevel="0" collapsed="false">
      <c r="A23" s="238" t="s">
        <v>496</v>
      </c>
      <c r="B23" s="239"/>
      <c r="C23" s="239"/>
      <c r="D23" s="239"/>
      <c r="E23" s="239"/>
      <c r="F23" s="239"/>
      <c r="G23" s="239"/>
      <c r="H23" s="240"/>
      <c r="I23" s="241" t="str">
        <f aca="false">IF(H23="","",MIN(--H23,$C$7))</f>
        <v/>
      </c>
      <c r="J23" s="239"/>
      <c r="K23" s="239"/>
    </row>
    <row r="24" customFormat="false" ht="14.25" hidden="false" customHeight="true" outlineLevel="0" collapsed="false">
      <c r="A24" s="238" t="s">
        <v>497</v>
      </c>
      <c r="B24" s="239"/>
      <c r="C24" s="239"/>
      <c r="D24" s="239"/>
      <c r="E24" s="239"/>
      <c r="F24" s="239"/>
      <c r="G24" s="239"/>
      <c r="H24" s="240"/>
      <c r="I24" s="241" t="str">
        <f aca="false">IF(H24="","",MIN(--H24,$C$7))</f>
        <v/>
      </c>
      <c r="J24" s="239"/>
      <c r="K24" s="239"/>
    </row>
    <row r="25" customFormat="false" ht="14.25" hidden="false" customHeight="true" outlineLevel="0" collapsed="false">
      <c r="A25" s="238" t="s">
        <v>498</v>
      </c>
      <c r="B25" s="239"/>
      <c r="C25" s="239"/>
      <c r="D25" s="239"/>
      <c r="E25" s="239"/>
      <c r="F25" s="239"/>
      <c r="G25" s="239"/>
      <c r="H25" s="240"/>
      <c r="I25" s="241" t="str">
        <f aca="false">IF(H25="","",MIN(--H25,$C$7))</f>
        <v/>
      </c>
      <c r="J25" s="239"/>
      <c r="K25" s="239"/>
    </row>
    <row r="26" customFormat="false" ht="14.25" hidden="false" customHeight="true" outlineLevel="0" collapsed="false">
      <c r="A26" s="238" t="s">
        <v>499</v>
      </c>
      <c r="B26" s="239"/>
      <c r="C26" s="239"/>
      <c r="D26" s="239"/>
      <c r="E26" s="239"/>
      <c r="F26" s="239"/>
      <c r="G26" s="239"/>
      <c r="H26" s="240"/>
      <c r="I26" s="241" t="str">
        <f aca="false">IF(H26="","",MIN(--H26,$C$7))</f>
        <v/>
      </c>
      <c r="J26" s="239"/>
      <c r="K26" s="239"/>
    </row>
    <row r="27" customFormat="false" ht="14.25" hidden="false" customHeight="true" outlineLevel="0" collapsed="false">
      <c r="A27" s="238" t="s">
        <v>500</v>
      </c>
      <c r="B27" s="239"/>
      <c r="C27" s="239"/>
      <c r="D27" s="239"/>
      <c r="E27" s="239"/>
      <c r="F27" s="239"/>
      <c r="G27" s="239"/>
      <c r="H27" s="240"/>
      <c r="I27" s="241" t="str">
        <f aca="false">IF(H27="","",MIN(--H27,$C$7))</f>
        <v/>
      </c>
      <c r="J27" s="239"/>
      <c r="K27" s="239"/>
    </row>
    <row r="28" customFormat="false" ht="14.25" hidden="false" customHeight="true" outlineLevel="0" collapsed="false">
      <c r="A28" s="238" t="s">
        <v>501</v>
      </c>
      <c r="B28" s="239"/>
      <c r="C28" s="239"/>
      <c r="D28" s="239"/>
      <c r="E28" s="239"/>
      <c r="F28" s="239"/>
      <c r="G28" s="239"/>
      <c r="H28" s="240"/>
      <c r="I28" s="241" t="str">
        <f aca="false">IF(H28="","",MIN(--H28,$C$7))</f>
        <v/>
      </c>
      <c r="J28" s="239"/>
      <c r="K28" s="239"/>
    </row>
    <row r="29" customFormat="false" ht="14.25" hidden="false" customHeight="true" outlineLevel="0" collapsed="false">
      <c r="A29" s="238" t="s">
        <v>502</v>
      </c>
      <c r="B29" s="239"/>
      <c r="C29" s="239"/>
      <c r="D29" s="239"/>
      <c r="E29" s="239"/>
      <c r="F29" s="239"/>
      <c r="G29" s="239"/>
      <c r="H29" s="240"/>
      <c r="I29" s="241" t="str">
        <f aca="false">IF(H29="","",MIN(--H29,$C$7))</f>
        <v/>
      </c>
      <c r="J29" s="239"/>
      <c r="K29" s="239"/>
    </row>
    <row r="30" customFormat="false" ht="14.25" hidden="false" customHeight="true" outlineLevel="0" collapsed="false">
      <c r="A30" s="238" t="s">
        <v>503</v>
      </c>
      <c r="B30" s="239"/>
      <c r="C30" s="239"/>
      <c r="D30" s="239"/>
      <c r="E30" s="239"/>
      <c r="F30" s="239"/>
      <c r="G30" s="239"/>
      <c r="H30" s="240"/>
      <c r="I30" s="241" t="str">
        <f aca="false">IF(H30="","",MIN(--H30,$C$7))</f>
        <v/>
      </c>
      <c r="J30" s="239"/>
      <c r="K30" s="239"/>
    </row>
    <row r="31" customFormat="false" ht="14.25" hidden="false" customHeight="true" outlineLevel="0" collapsed="false">
      <c r="A31" s="238" t="s">
        <v>504</v>
      </c>
      <c r="B31" s="239"/>
      <c r="C31" s="239"/>
      <c r="D31" s="239"/>
      <c r="E31" s="239"/>
      <c r="F31" s="239"/>
      <c r="G31" s="239"/>
      <c r="H31" s="240"/>
      <c r="I31" s="241" t="str">
        <f aca="false">IF(H31="","",MIN(--H31,$C$7))</f>
        <v/>
      </c>
      <c r="J31" s="239"/>
      <c r="K31" s="239"/>
    </row>
    <row r="32" customFormat="false" ht="14.25" hidden="false" customHeight="true" outlineLevel="0" collapsed="false">
      <c r="A32" s="238" t="s">
        <v>505</v>
      </c>
      <c r="B32" s="239"/>
      <c r="C32" s="239"/>
      <c r="D32" s="239"/>
      <c r="E32" s="239"/>
      <c r="F32" s="239"/>
      <c r="G32" s="239"/>
      <c r="H32" s="240"/>
      <c r="I32" s="241" t="str">
        <f aca="false">IF(H32="","",MIN(--H32,$C$7))</f>
        <v/>
      </c>
      <c r="J32" s="239"/>
      <c r="K32" s="239"/>
    </row>
    <row r="33" customFormat="false" ht="14.25" hidden="false" customHeight="true" outlineLevel="0" collapsed="false">
      <c r="A33" s="238" t="s">
        <v>506</v>
      </c>
      <c r="B33" s="239"/>
      <c r="C33" s="239"/>
      <c r="D33" s="239"/>
      <c r="E33" s="239"/>
      <c r="F33" s="239"/>
      <c r="G33" s="239"/>
      <c r="H33" s="240"/>
      <c r="I33" s="241" t="str">
        <f aca="false">IF(H33="","",MIN(--H33,$C$7))</f>
        <v/>
      </c>
      <c r="J33" s="239"/>
      <c r="K33" s="239"/>
    </row>
    <row r="34" customFormat="false" ht="14.25" hidden="false" customHeight="true" outlineLevel="0" collapsed="false">
      <c r="A34" s="238" t="s">
        <v>507</v>
      </c>
      <c r="B34" s="239"/>
      <c r="C34" s="239"/>
      <c r="D34" s="239"/>
      <c r="E34" s="239"/>
      <c r="F34" s="239"/>
      <c r="G34" s="239"/>
      <c r="H34" s="240"/>
      <c r="I34" s="241" t="str">
        <f aca="false">IF(H34="","",MIN(--H34,$C$7))</f>
        <v/>
      </c>
      <c r="J34" s="239"/>
      <c r="K34" s="239"/>
    </row>
    <row r="35" customFormat="false" ht="14.25" hidden="false" customHeight="true" outlineLevel="0" collapsed="false">
      <c r="A35" s="238" t="s">
        <v>508</v>
      </c>
      <c r="B35" s="239"/>
      <c r="C35" s="239"/>
      <c r="D35" s="239"/>
      <c r="E35" s="239"/>
      <c r="F35" s="239"/>
      <c r="G35" s="239"/>
      <c r="H35" s="240"/>
      <c r="I35" s="241" t="str">
        <f aca="false">IF(H35="","",MIN(--H35,$C$7))</f>
        <v/>
      </c>
      <c r="J35" s="239"/>
      <c r="K35" s="239"/>
    </row>
    <row r="36" customFormat="false" ht="14.25" hidden="false" customHeight="true" outlineLevel="0" collapsed="false">
      <c r="A36" s="238" t="s">
        <v>509</v>
      </c>
      <c r="B36" s="239"/>
      <c r="C36" s="239"/>
      <c r="D36" s="239"/>
      <c r="E36" s="239"/>
      <c r="F36" s="239"/>
      <c r="G36" s="239"/>
      <c r="H36" s="240"/>
      <c r="I36" s="241" t="str">
        <f aca="false">IF(H36="","",MIN(--H36,$C$7))</f>
        <v/>
      </c>
      <c r="J36" s="239"/>
      <c r="K36" s="239"/>
    </row>
    <row r="37" customFormat="false" ht="14.25" hidden="false" customHeight="true" outlineLevel="0" collapsed="false">
      <c r="A37" s="238" t="s">
        <v>510</v>
      </c>
      <c r="B37" s="239"/>
      <c r="C37" s="239"/>
      <c r="D37" s="239"/>
      <c r="E37" s="239"/>
      <c r="F37" s="239"/>
      <c r="G37" s="239"/>
      <c r="H37" s="240"/>
      <c r="I37" s="241" t="str">
        <f aca="false">IF(H37="","",MIN(--H37,$C$7))</f>
        <v/>
      </c>
      <c r="J37" s="239"/>
      <c r="K37" s="239"/>
    </row>
    <row r="38" customFormat="false" ht="14.25" hidden="false" customHeight="true" outlineLevel="0" collapsed="false">
      <c r="A38" s="238" t="s">
        <v>511</v>
      </c>
      <c r="B38" s="239"/>
      <c r="C38" s="239"/>
      <c r="D38" s="239"/>
      <c r="E38" s="239"/>
      <c r="F38" s="239"/>
      <c r="G38" s="239"/>
      <c r="H38" s="240"/>
      <c r="I38" s="241" t="str">
        <f aca="false">IF(H38="","",MIN(--H38,$C$7))</f>
        <v/>
      </c>
      <c r="J38" s="239"/>
      <c r="K38" s="239"/>
    </row>
    <row r="39" customFormat="false" ht="14.25" hidden="false" customHeight="true" outlineLevel="0" collapsed="false">
      <c r="A39" s="238" t="s">
        <v>512</v>
      </c>
      <c r="B39" s="239"/>
      <c r="C39" s="239"/>
      <c r="D39" s="239"/>
      <c r="E39" s="239"/>
      <c r="F39" s="239"/>
      <c r="G39" s="239"/>
      <c r="H39" s="240"/>
      <c r="I39" s="241" t="str">
        <f aca="false">IF(H39="","",MIN(--H39,$C$7))</f>
        <v/>
      </c>
      <c r="J39" s="239"/>
      <c r="K39" s="239"/>
    </row>
    <row r="40" customFormat="false" ht="14.25" hidden="false" customHeight="true" outlineLevel="0" collapsed="false">
      <c r="A40" s="238" t="s">
        <v>513</v>
      </c>
      <c r="B40" s="239"/>
      <c r="C40" s="239"/>
      <c r="D40" s="239"/>
      <c r="E40" s="239"/>
      <c r="F40" s="239"/>
      <c r="G40" s="239"/>
      <c r="H40" s="240"/>
      <c r="I40" s="241" t="str">
        <f aca="false">IF(H40="","",MIN(--H40,$C$7))</f>
        <v/>
      </c>
      <c r="J40" s="239"/>
      <c r="K40" s="239"/>
    </row>
    <row r="41" customFormat="false" ht="14.25" hidden="false" customHeight="true" outlineLevel="0" collapsed="false">
      <c r="A41" s="238" t="s">
        <v>514</v>
      </c>
      <c r="B41" s="239"/>
      <c r="C41" s="239"/>
      <c r="D41" s="239"/>
      <c r="E41" s="239"/>
      <c r="F41" s="239"/>
      <c r="G41" s="239"/>
      <c r="H41" s="240"/>
      <c r="I41" s="241" t="str">
        <f aca="false">IF(H41="","",MIN(--H41,$C$7))</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G14" activeCellId="0" sqref="G14"/>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 collapsed="false" customWidth="true" hidden="false" outlineLevel="0" max="11" min="11" style="68" width="30"/>
  </cols>
  <sheetData>
    <row r="1" customFormat="false" ht="14.25" hidden="false" customHeight="true" outlineLevel="0" collapsed="false">
      <c r="A1" s="230" t="s">
        <v>777</v>
      </c>
      <c r="B1" s="230" t="s">
        <v>431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DCR revision and public consultation &gt;:&lt; DCR revision and public consultation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city’s DCR provide development controls, standards or incentives that enable positive economic, environmental, public health, heritage, and inclusion outcomes? &gt;:&lt; Do the DCRs provide development controls, standards or incentives that enable the conservation and adaptive reuse of heritage buildings, precincts or historic areas?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2</v>
      </c>
      <c r="C7" s="232" t="n">
        <f aca="false">VLOOKUP($B$1,'UPD Questions_290926 '!$E$1:$N$300,MATCH($A$7,'UPD Questions_290926 '!$E$1:$N$1,0),0)</f>
        <v>2</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For each dimension, assess whether the DCR contains specific development controls, standards, relaxations, permissions or incentives that enable or promote the identified outcome.A provision need not provide a financial incentive to qualify. Enabling provisions may include, for example, additional FAR/FSI, relaxation of setbacks/parking/plot-size requirements, flexible or mixed-use permissions, density incentives, transferable development rights, simplified development standards, adaptive reuse permissions, inclusionary requirements, or specific design/development standards that facilitate the intended outcome.Total score = sum of the five sub-question scores (2*5=10). &gt;:&lt; Check whether development regulation enables or incentivises the conservation, restoration, continued use or adaptive reuse of heritage buildings, precincts or historic areas, including through transferable development rights (TDR), additional/transferable FAR or FSI, relaxation of setbacks or parking requirements, permission for compatible alternative uses, adaptive reuse provisions, financial/development incentives, or other regulatory flexibility linked to heritage conservation. Score 2: Specific controls, standards, relaxations or incentives actively enable or incentivise conservation, restoration, continued use or adaptive reuse of heritage buildings/areas are mentioned in atleast two or more such provisions. Score 1: The DCR protects heritage buildings/areas through restrictions or approval requirements. For example, restrictions on demolition, alteration, height, façade or development within heritage precincts, but does not contain provisions that actively enable or incentivise conservation or adaptive reuse. Identify atleast two or more such provisions. Score 0: No heritage-specific development control, standard or incentive is found. Note: Merely identifying/listing heritage buildings or requiring permission from a heritage conservation committee or other authority does not qualify for score 2 unless the DCR also provides an enabling or incentivising development provision. For example: Requiring heritage committee approval before alteration/demolition will score 1, whereas permitting adaptive reuse, granting TDR/development rights, allowing compatible alternative uses, or relaxing parking/setback requirements to facilitate conservation will score 2. Keywords for scorer: heritage; heritage building; listed building; heritage precinct; historic; historic core; conservation; preservation; restoration; adaptive reuse; reuse; change of use; alternative use; special character; heritage committee; demolition; alteration; façade; TDR; transferable development rights; FAR; FSI; incentive; parking relaxation; setback relaxation.</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Note: Please capture the text that mentions the broad provisions related to the theme and the incentives it offers clearly </v>
      </c>
    </row>
    <row r="11" customFormat="false" ht="28.5" hidden="false" customHeight="true" outlineLevel="0" collapsed="false">
      <c r="H11" s="234" t="s">
        <v>860</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861</v>
      </c>
      <c r="I12" s="235" t="s">
        <v>791</v>
      </c>
      <c r="J12" s="237" t="s">
        <v>792</v>
      </c>
      <c r="K12" s="237" t="s">
        <v>863</v>
      </c>
    </row>
    <row r="13" customFormat="false" ht="14.25" hidden="false" customHeight="true" outlineLevel="0" collapsed="false">
      <c r="A13" s="238" t="s">
        <v>486</v>
      </c>
      <c r="B13" s="239"/>
      <c r="C13" s="239"/>
      <c r="D13" s="239"/>
      <c r="E13" s="239"/>
      <c r="F13" s="239"/>
      <c r="G13" s="239"/>
      <c r="H13" s="240"/>
      <c r="I13" s="241" t="str">
        <f aca="false">IF(H13="","",MIN(--H13,$C$7))</f>
        <v/>
      </c>
      <c r="J13" s="239"/>
      <c r="K13" s="239"/>
    </row>
    <row r="14" customFormat="false" ht="15" hidden="false" customHeight="true" outlineLevel="0" collapsed="false">
      <c r="A14" s="238" t="s">
        <v>487</v>
      </c>
      <c r="B14" s="239"/>
      <c r="C14" s="239"/>
      <c r="D14" s="239"/>
      <c r="E14" s="239"/>
      <c r="F14" s="239"/>
      <c r="G14" s="243" t="s">
        <v>813</v>
      </c>
      <c r="H14" s="240" t="n">
        <v>0</v>
      </c>
      <c r="I14" s="241" t="n">
        <f aca="false">IF(H14="","",MIN(--H14,$C$7))</f>
        <v>0</v>
      </c>
      <c r="J14" s="239" t="s">
        <v>867</v>
      </c>
      <c r="K14" s="239"/>
    </row>
    <row r="15" customFormat="false" ht="14.25" hidden="false" customHeight="true" outlineLevel="0" collapsed="false">
      <c r="A15" s="238" t="s">
        <v>488</v>
      </c>
      <c r="B15" s="239"/>
      <c r="C15" s="239"/>
      <c r="D15" s="239"/>
      <c r="E15" s="239"/>
      <c r="F15" s="239"/>
      <c r="G15" s="239"/>
      <c r="H15" s="240"/>
      <c r="I15" s="241" t="str">
        <f aca="false">IF(H15="","",MIN(--H15,$C$7))</f>
        <v/>
      </c>
      <c r="J15" s="239"/>
      <c r="K15" s="239"/>
    </row>
    <row r="16" customFormat="false" ht="14.25" hidden="false" customHeight="true" outlineLevel="0" collapsed="false">
      <c r="A16" s="238" t="s">
        <v>489</v>
      </c>
      <c r="B16" s="239"/>
      <c r="C16" s="239"/>
      <c r="D16" s="239"/>
      <c r="E16" s="239"/>
      <c r="F16" s="239"/>
      <c r="G16" s="239"/>
      <c r="H16" s="240"/>
      <c r="I16" s="241" t="str">
        <f aca="false">IF(H16="","",MIN(--H16,$C$7))</f>
        <v/>
      </c>
      <c r="J16" s="239"/>
      <c r="K16" s="239"/>
    </row>
    <row r="17" customFormat="false" ht="14.25" hidden="false" customHeight="true" outlineLevel="0" collapsed="false">
      <c r="A17" s="238" t="s">
        <v>490</v>
      </c>
      <c r="B17" s="239"/>
      <c r="C17" s="239"/>
      <c r="D17" s="239"/>
      <c r="E17" s="239"/>
      <c r="F17" s="239"/>
      <c r="G17" s="239"/>
      <c r="H17" s="240"/>
      <c r="I17" s="241" t="str">
        <f aca="false">IF(H17="","",MIN(--H17,$C$7))</f>
        <v/>
      </c>
      <c r="J17" s="239"/>
      <c r="K17" s="239"/>
    </row>
    <row r="18" customFormat="false" ht="14.25" hidden="false" customHeight="true" outlineLevel="0" collapsed="false">
      <c r="A18" s="238" t="s">
        <v>491</v>
      </c>
      <c r="B18" s="239"/>
      <c r="C18" s="239"/>
      <c r="D18" s="239"/>
      <c r="E18" s="239"/>
      <c r="F18" s="239"/>
      <c r="G18" s="239"/>
      <c r="H18" s="240"/>
      <c r="I18" s="241" t="str">
        <f aca="false">IF(H18="","",MIN(--H18,$C$7))</f>
        <v/>
      </c>
      <c r="J18" s="239"/>
      <c r="K18" s="239"/>
    </row>
    <row r="19" customFormat="false" ht="14.25" hidden="false" customHeight="true" outlineLevel="0" collapsed="false">
      <c r="A19" s="238" t="s">
        <v>492</v>
      </c>
      <c r="B19" s="239"/>
      <c r="C19" s="239"/>
      <c r="D19" s="239"/>
      <c r="E19" s="239"/>
      <c r="F19" s="239"/>
      <c r="G19" s="239"/>
      <c r="H19" s="240"/>
      <c r="I19" s="241" t="str">
        <f aca="false">IF(H19="","",MIN(--H19,$C$7))</f>
        <v/>
      </c>
      <c r="J19" s="239"/>
      <c r="K19" s="239"/>
    </row>
    <row r="20" customFormat="false" ht="14.25" hidden="false" customHeight="true" outlineLevel="0" collapsed="false">
      <c r="A20" s="238" t="s">
        <v>493</v>
      </c>
      <c r="B20" s="239"/>
      <c r="C20" s="239"/>
      <c r="D20" s="239"/>
      <c r="E20" s="239"/>
      <c r="F20" s="239"/>
      <c r="G20" s="239"/>
      <c r="H20" s="240"/>
      <c r="I20" s="241" t="str">
        <f aca="false">IF(H20="","",MIN(--H20,$C$7))</f>
        <v/>
      </c>
      <c r="J20" s="239"/>
      <c r="K20" s="239"/>
    </row>
    <row r="21" customFormat="false" ht="14.25" hidden="false" customHeight="true" outlineLevel="0" collapsed="false">
      <c r="A21" s="238" t="s">
        <v>494</v>
      </c>
      <c r="B21" s="239"/>
      <c r="C21" s="239"/>
      <c r="D21" s="239"/>
      <c r="E21" s="239"/>
      <c r="F21" s="239"/>
      <c r="G21" s="239"/>
      <c r="H21" s="240"/>
      <c r="I21" s="241" t="str">
        <f aca="false">IF(H21="","",MIN(--H21,$C$7))</f>
        <v/>
      </c>
      <c r="J21" s="239"/>
      <c r="K21" s="239"/>
    </row>
    <row r="22" customFormat="false" ht="14.25" hidden="false" customHeight="true" outlineLevel="0" collapsed="false">
      <c r="A22" s="238" t="s">
        <v>495</v>
      </c>
      <c r="B22" s="239"/>
      <c r="C22" s="239"/>
      <c r="D22" s="239"/>
      <c r="E22" s="239"/>
      <c r="F22" s="239"/>
      <c r="G22" s="239"/>
      <c r="H22" s="240"/>
      <c r="I22" s="241" t="str">
        <f aca="false">IF(H22="","",MIN(--H22,$C$7))</f>
        <v/>
      </c>
      <c r="J22" s="239"/>
      <c r="K22" s="239"/>
    </row>
    <row r="23" customFormat="false" ht="14.25" hidden="false" customHeight="true" outlineLevel="0" collapsed="false">
      <c r="A23" s="238" t="s">
        <v>496</v>
      </c>
      <c r="B23" s="239"/>
      <c r="C23" s="239"/>
      <c r="D23" s="239"/>
      <c r="E23" s="239"/>
      <c r="F23" s="239"/>
      <c r="G23" s="239"/>
      <c r="H23" s="240"/>
      <c r="I23" s="241" t="str">
        <f aca="false">IF(H23="","",MIN(--H23,$C$7))</f>
        <v/>
      </c>
      <c r="J23" s="239"/>
      <c r="K23" s="239"/>
    </row>
    <row r="24" customFormat="false" ht="14.25" hidden="false" customHeight="true" outlineLevel="0" collapsed="false">
      <c r="A24" s="238" t="s">
        <v>497</v>
      </c>
      <c r="B24" s="239"/>
      <c r="C24" s="239"/>
      <c r="D24" s="239"/>
      <c r="E24" s="239"/>
      <c r="F24" s="239"/>
      <c r="G24" s="239"/>
      <c r="H24" s="240"/>
      <c r="I24" s="241" t="str">
        <f aca="false">IF(H24="","",MIN(--H24,$C$7))</f>
        <v/>
      </c>
      <c r="J24" s="239"/>
      <c r="K24" s="239"/>
    </row>
    <row r="25" customFormat="false" ht="14.25" hidden="false" customHeight="true" outlineLevel="0" collapsed="false">
      <c r="A25" s="238" t="s">
        <v>498</v>
      </c>
      <c r="B25" s="239"/>
      <c r="C25" s="239"/>
      <c r="D25" s="239"/>
      <c r="E25" s="239"/>
      <c r="F25" s="239"/>
      <c r="G25" s="239"/>
      <c r="H25" s="240"/>
      <c r="I25" s="241" t="str">
        <f aca="false">IF(H25="","",MIN(--H25,$C$7))</f>
        <v/>
      </c>
      <c r="J25" s="239"/>
      <c r="K25" s="239"/>
    </row>
    <row r="26" customFormat="false" ht="14.25" hidden="false" customHeight="true" outlineLevel="0" collapsed="false">
      <c r="A26" s="238" t="s">
        <v>499</v>
      </c>
      <c r="B26" s="239"/>
      <c r="C26" s="239"/>
      <c r="D26" s="239"/>
      <c r="E26" s="239"/>
      <c r="F26" s="239"/>
      <c r="G26" s="239"/>
      <c r="H26" s="240"/>
      <c r="I26" s="241" t="str">
        <f aca="false">IF(H26="","",MIN(--H26,$C$7))</f>
        <v/>
      </c>
      <c r="J26" s="239"/>
      <c r="K26" s="239"/>
    </row>
    <row r="27" customFormat="false" ht="14.25" hidden="false" customHeight="true" outlineLevel="0" collapsed="false">
      <c r="A27" s="238" t="s">
        <v>500</v>
      </c>
      <c r="B27" s="239"/>
      <c r="C27" s="239"/>
      <c r="D27" s="239"/>
      <c r="E27" s="239"/>
      <c r="F27" s="239"/>
      <c r="G27" s="239"/>
      <c r="H27" s="240"/>
      <c r="I27" s="241" t="str">
        <f aca="false">IF(H27="","",MIN(--H27,$C$7))</f>
        <v/>
      </c>
      <c r="J27" s="239"/>
      <c r="K27" s="239"/>
    </row>
    <row r="28" customFormat="false" ht="14.25" hidden="false" customHeight="true" outlineLevel="0" collapsed="false">
      <c r="A28" s="238" t="s">
        <v>501</v>
      </c>
      <c r="B28" s="239"/>
      <c r="C28" s="239"/>
      <c r="D28" s="239"/>
      <c r="E28" s="239"/>
      <c r="F28" s="239"/>
      <c r="G28" s="239"/>
      <c r="H28" s="240"/>
      <c r="I28" s="241" t="str">
        <f aca="false">IF(H28="","",MIN(--H28,$C$7))</f>
        <v/>
      </c>
      <c r="J28" s="239"/>
      <c r="K28" s="239"/>
    </row>
    <row r="29" customFormat="false" ht="14.25" hidden="false" customHeight="true" outlineLevel="0" collapsed="false">
      <c r="A29" s="238" t="s">
        <v>502</v>
      </c>
      <c r="B29" s="239"/>
      <c r="C29" s="239"/>
      <c r="D29" s="239"/>
      <c r="E29" s="239"/>
      <c r="F29" s="239"/>
      <c r="G29" s="239"/>
      <c r="H29" s="240"/>
      <c r="I29" s="241" t="str">
        <f aca="false">IF(H29="","",MIN(--H29,$C$7))</f>
        <v/>
      </c>
      <c r="J29" s="239"/>
      <c r="K29" s="239"/>
    </row>
    <row r="30" customFormat="false" ht="14.25" hidden="false" customHeight="true" outlineLevel="0" collapsed="false">
      <c r="A30" s="238" t="s">
        <v>503</v>
      </c>
      <c r="B30" s="239"/>
      <c r="C30" s="239"/>
      <c r="D30" s="239"/>
      <c r="E30" s="239"/>
      <c r="F30" s="239"/>
      <c r="G30" s="239"/>
      <c r="H30" s="240"/>
      <c r="I30" s="241" t="str">
        <f aca="false">IF(H30="","",MIN(--H30,$C$7))</f>
        <v/>
      </c>
      <c r="J30" s="239"/>
      <c r="K30" s="239"/>
    </row>
    <row r="31" customFormat="false" ht="14.25" hidden="false" customHeight="true" outlineLevel="0" collapsed="false">
      <c r="A31" s="238" t="s">
        <v>504</v>
      </c>
      <c r="B31" s="239"/>
      <c r="C31" s="239"/>
      <c r="D31" s="239"/>
      <c r="E31" s="239"/>
      <c r="F31" s="239"/>
      <c r="G31" s="239"/>
      <c r="H31" s="240"/>
      <c r="I31" s="241" t="str">
        <f aca="false">IF(H31="","",MIN(--H31,$C$7))</f>
        <v/>
      </c>
      <c r="J31" s="239"/>
      <c r="K31" s="239"/>
    </row>
    <row r="32" customFormat="false" ht="14.25" hidden="false" customHeight="true" outlineLevel="0" collapsed="false">
      <c r="A32" s="238" t="s">
        <v>505</v>
      </c>
      <c r="B32" s="239"/>
      <c r="C32" s="239"/>
      <c r="D32" s="239"/>
      <c r="E32" s="239"/>
      <c r="F32" s="239"/>
      <c r="G32" s="239"/>
      <c r="H32" s="240"/>
      <c r="I32" s="241" t="str">
        <f aca="false">IF(H32="","",MIN(--H32,$C$7))</f>
        <v/>
      </c>
      <c r="J32" s="239"/>
      <c r="K32" s="239"/>
    </row>
    <row r="33" customFormat="false" ht="14.25" hidden="false" customHeight="true" outlineLevel="0" collapsed="false">
      <c r="A33" s="238" t="s">
        <v>506</v>
      </c>
      <c r="B33" s="239"/>
      <c r="C33" s="239"/>
      <c r="D33" s="239"/>
      <c r="E33" s="239"/>
      <c r="F33" s="239"/>
      <c r="G33" s="239"/>
      <c r="H33" s="240"/>
      <c r="I33" s="241" t="str">
        <f aca="false">IF(H33="","",MIN(--H33,$C$7))</f>
        <v/>
      </c>
      <c r="J33" s="239"/>
      <c r="K33" s="239"/>
    </row>
    <row r="34" customFormat="false" ht="14.25" hidden="false" customHeight="true" outlineLevel="0" collapsed="false">
      <c r="A34" s="238" t="s">
        <v>507</v>
      </c>
      <c r="B34" s="239"/>
      <c r="C34" s="239"/>
      <c r="D34" s="239"/>
      <c r="E34" s="239"/>
      <c r="F34" s="239"/>
      <c r="G34" s="239"/>
      <c r="H34" s="240"/>
      <c r="I34" s="241" t="str">
        <f aca="false">IF(H34="","",MIN(--H34,$C$7))</f>
        <v/>
      </c>
      <c r="J34" s="239"/>
      <c r="K34" s="239"/>
    </row>
    <row r="35" customFormat="false" ht="14.25" hidden="false" customHeight="true" outlineLevel="0" collapsed="false">
      <c r="A35" s="238" t="s">
        <v>508</v>
      </c>
      <c r="B35" s="239"/>
      <c r="C35" s="239"/>
      <c r="D35" s="239"/>
      <c r="E35" s="239"/>
      <c r="F35" s="239"/>
      <c r="G35" s="239"/>
      <c r="H35" s="240"/>
      <c r="I35" s="241" t="str">
        <f aca="false">IF(H35="","",MIN(--H35,$C$7))</f>
        <v/>
      </c>
      <c r="J35" s="239"/>
      <c r="K35" s="239"/>
    </row>
    <row r="36" customFormat="false" ht="14.25" hidden="false" customHeight="true" outlineLevel="0" collapsed="false">
      <c r="A36" s="238" t="s">
        <v>509</v>
      </c>
      <c r="B36" s="239"/>
      <c r="C36" s="239"/>
      <c r="D36" s="239"/>
      <c r="E36" s="239"/>
      <c r="F36" s="239"/>
      <c r="G36" s="239"/>
      <c r="H36" s="240"/>
      <c r="I36" s="241" t="str">
        <f aca="false">IF(H36="","",MIN(--H36,$C$7))</f>
        <v/>
      </c>
      <c r="J36" s="239"/>
      <c r="K36" s="239"/>
    </row>
    <row r="37" customFormat="false" ht="14.25" hidden="false" customHeight="true" outlineLevel="0" collapsed="false">
      <c r="A37" s="238" t="s">
        <v>510</v>
      </c>
      <c r="B37" s="239"/>
      <c r="C37" s="239"/>
      <c r="D37" s="239"/>
      <c r="E37" s="239"/>
      <c r="F37" s="239"/>
      <c r="G37" s="239"/>
      <c r="H37" s="240"/>
      <c r="I37" s="241" t="str">
        <f aca="false">IF(H37="","",MIN(--H37,$C$7))</f>
        <v/>
      </c>
      <c r="J37" s="239"/>
      <c r="K37" s="239"/>
    </row>
    <row r="38" customFormat="false" ht="14.25" hidden="false" customHeight="true" outlineLevel="0" collapsed="false">
      <c r="A38" s="238" t="s">
        <v>511</v>
      </c>
      <c r="B38" s="239"/>
      <c r="C38" s="239"/>
      <c r="D38" s="239"/>
      <c r="E38" s="239"/>
      <c r="F38" s="239"/>
      <c r="G38" s="239"/>
      <c r="H38" s="240"/>
      <c r="I38" s="241" t="str">
        <f aca="false">IF(H38="","",MIN(--H38,$C$7))</f>
        <v/>
      </c>
      <c r="J38" s="239"/>
      <c r="K38" s="239"/>
    </row>
    <row r="39" customFormat="false" ht="14.25" hidden="false" customHeight="true" outlineLevel="0" collapsed="false">
      <c r="A39" s="238" t="s">
        <v>512</v>
      </c>
      <c r="B39" s="239"/>
      <c r="C39" s="239"/>
      <c r="D39" s="239"/>
      <c r="E39" s="239"/>
      <c r="F39" s="239"/>
      <c r="G39" s="239"/>
      <c r="H39" s="240"/>
      <c r="I39" s="241" t="str">
        <f aca="false">IF(H39="","",MIN(--H39,$C$7))</f>
        <v/>
      </c>
      <c r="J39" s="239"/>
      <c r="K39" s="239"/>
    </row>
    <row r="40" customFormat="false" ht="14.25" hidden="false" customHeight="true" outlineLevel="0" collapsed="false">
      <c r="A40" s="238" t="s">
        <v>513</v>
      </c>
      <c r="B40" s="239"/>
      <c r="C40" s="239"/>
      <c r="D40" s="239"/>
      <c r="E40" s="239"/>
      <c r="F40" s="239"/>
      <c r="G40" s="239"/>
      <c r="H40" s="240"/>
      <c r="I40" s="241" t="str">
        <f aca="false">IF(H40="","",MIN(--H40,$C$7))</f>
        <v/>
      </c>
      <c r="J40" s="239"/>
      <c r="K40" s="239"/>
    </row>
    <row r="41" customFormat="false" ht="14.25" hidden="false" customHeight="true" outlineLevel="0" collapsed="false">
      <c r="A41" s="238" t="s">
        <v>514</v>
      </c>
      <c r="B41" s="239"/>
      <c r="C41" s="239"/>
      <c r="D41" s="239"/>
      <c r="E41" s="239"/>
      <c r="F41" s="239"/>
      <c r="G41" s="239"/>
      <c r="H41" s="240"/>
      <c r="I41" s="241" t="str">
        <f aca="false">IF(H41="","",MIN(--H41,$C$7))</f>
        <v/>
      </c>
      <c r="J41" s="239"/>
      <c r="K41" s="239"/>
    </row>
  </sheetData>
  <dataValidations count="1">
    <dataValidation allowBlank="true" error="Please enter a valid value (see note above the column)." errorStyle="stop" errorTitle="Invalid entry" operator="between" showDropDown="false" showErrorMessage="true" showInputMessage="false" sqref="H13:H41" type="list">
      <formula1>"2,1,0"</formula1>
      <formula2>0</formula2>
    </dataValidation>
  </dataValidations>
  <hyperlinks>
    <hyperlink ref="G14" r:id="rId1" display="https://data.opencity.in/dataset/bda-revised-master-plan-2015/resource/dc23b4ae-e020-4499-b18d-8e4ed2f86a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439</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the law mandate incentives for green buildings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and Municipal Act for a provision mandating or enabling the provision of incentives for green buildings. The Act need not specify the nature or quantum of the incentive; a clear statutory provision requiring or enabling green-building incentives is sufficient. Where specified, incentives may include additional FAR/FSI, property-tax rebates, fee/development-charge concessions, or other fiscal or development-control incentives.Score 5 if the Act provides a clear mandate or enabling provision for green-building incentives, even if the specific incentives are to be prescribed subsequently through rules, regulations or other instruments.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443</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 &gt;:&lt; 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 &gt;:&lt; 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Green-building incentives &gt;:&lt; Green-building incentives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city have a mandate to provide incentives for green buildings, and are these incentives operationalised? &gt;:&lt; Does your city give incentives for green buildings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 &amp; 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municipal/city plan, DCR, ULG or state government (UDD/Energy) website for evidence of any incentives provided for green buildings in the city. Also check the Indian Green Building Council (IGBC), Green Rating for Integrated Habitat Assessment (GRIHA), and Leadership in Energy and Environmental Design (LEED) websites as secondary sources for state government/ULG incentives linked to green-building ratings. Reliable media reports may also be considered.  Incentives may include additional FAR/FSI, rebates in property tax, building-permission fees or development charges, or other fiscal or development-control incentives.Score 5 if at least one green-building incentive is operational in the city, based on an official source or reliable secondary evidence.Score 0 if no such incentive can be established.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s>
  <sheetData>
    <row r="1" customFormat="false" ht="14.25" hidden="false" customHeight="true" outlineLevel="0" collapsed="false">
      <c r="A1" s="230" t="s">
        <v>777</v>
      </c>
      <c r="B1" s="230" t="s">
        <v>117</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titling system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ProvisionCheck whether the State has enacted a land titling law providing for certification/guarantee of land titles; or issued a Government Order/circular/notification establishing a framework for certification of land titles. A general land-record digitisation, mutation or property-registration framework shall not qualify unless it specifically provides for certification/guarantee of title. Part B – OperationalisationWhere the framework is provided through an Act, check whether the rules/regulations necessary to operationalise the land titling framework have been notified. Scoring:Score 10: Land titling is provided through an Act and the necessary rules/regulations have been notified; OR an applicable Government Order/circular/notification establishes an operational framework that does not require separate rules.Score 5: A land titling Act has been enacted, but the necessary rules/regulations have not been notified.Score 0: No land titling law or applicable Government Order/circular/notification exists.</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781</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Land titling Act / Government Order exists ("&amp;TEXT($C$7/2,"0.00")&amp;")"</f>
        <v>Part A: Land titling Act / Government Order exists (5.00)</v>
      </c>
      <c r="I12" s="237" t="str">
        <f aca="false">"Part B: Rules notified / framework operational (counts only if Part A = YES) ("&amp;TEXT($C$7/2,"0.00")&amp;")"</f>
        <v>Part B: Rules notified / framework operational (counts only if Part A = YES) (5.00)</v>
      </c>
      <c r="J12" s="235" t="s">
        <v>791</v>
      </c>
      <c r="K12" s="237" t="s">
        <v>792</v>
      </c>
    </row>
    <row r="13" customFormat="false" ht="14.25" hidden="false" customHeight="true" outlineLevel="0" collapsed="false">
      <c r="A13" s="238" t="s">
        <v>486</v>
      </c>
      <c r="B13" s="239"/>
      <c r="C13" s="239"/>
      <c r="D13" s="239"/>
      <c r="E13" s="239"/>
      <c r="F13" s="239"/>
      <c r="G13" s="239"/>
      <c r="H13" s="240"/>
      <c r="I13" s="240"/>
      <c r="J13" s="241" t="str">
        <f aca="false">IF(H13="","",IF(H13="NO",0,IF(I13="","",IF(I13="YES",$C$7,$C$7/2))))</f>
        <v/>
      </c>
      <c r="K13" s="239"/>
    </row>
    <row r="14" customFormat="false" ht="14.25" hidden="false" customHeight="true" outlineLevel="0" collapsed="false">
      <c r="A14" s="238" t="s">
        <v>487</v>
      </c>
      <c r="B14" s="239"/>
      <c r="C14" s="239"/>
      <c r="D14" s="239"/>
      <c r="E14" s="239"/>
      <c r="F14" s="239"/>
      <c r="G14" s="239"/>
      <c r="H14" s="240"/>
      <c r="I14" s="240"/>
      <c r="J14" s="241" t="str">
        <f aca="false">IF(H14="","",IF(H14="NO",0,IF(I14="","",IF(I14="YES",$C$7,$C$7/2))))</f>
        <v/>
      </c>
      <c r="K14" s="239"/>
    </row>
    <row r="15" customFormat="false" ht="14.25" hidden="false" customHeight="true" outlineLevel="0" collapsed="false">
      <c r="A15" s="238" t="s">
        <v>488</v>
      </c>
      <c r="B15" s="239"/>
      <c r="C15" s="239"/>
      <c r="D15" s="239"/>
      <c r="E15" s="239"/>
      <c r="F15" s="239"/>
      <c r="G15" s="239"/>
      <c r="H15" s="240"/>
      <c r="I15" s="240"/>
      <c r="J15" s="241" t="str">
        <f aca="false">IF(H15="","",IF(H15="NO",0,IF(I15="","",IF(I15="YES",$C$7,$C$7/2))))</f>
        <v/>
      </c>
      <c r="K15" s="239"/>
    </row>
    <row r="16" customFormat="false" ht="14.25" hidden="false" customHeight="true" outlineLevel="0" collapsed="false">
      <c r="A16" s="238" t="s">
        <v>489</v>
      </c>
      <c r="B16" s="239"/>
      <c r="C16" s="239"/>
      <c r="D16" s="239"/>
      <c r="E16" s="239"/>
      <c r="F16" s="239"/>
      <c r="G16" s="239"/>
      <c r="H16" s="240"/>
      <c r="I16" s="240"/>
      <c r="J16" s="241" t="str">
        <f aca="false">IF(H16="","",IF(H16="NO",0,IF(I16="","",IF(I16="YES",$C$7,$C$7/2))))</f>
        <v/>
      </c>
      <c r="K16" s="239"/>
    </row>
    <row r="17" customFormat="false" ht="14.25" hidden="false" customHeight="true" outlineLevel="0" collapsed="false">
      <c r="A17" s="238" t="s">
        <v>490</v>
      </c>
      <c r="B17" s="239"/>
      <c r="C17" s="239"/>
      <c r="D17" s="239"/>
      <c r="E17" s="239"/>
      <c r="F17" s="239"/>
      <c r="G17" s="239"/>
      <c r="H17" s="240"/>
      <c r="I17" s="240"/>
      <c r="J17" s="241" t="str">
        <f aca="false">IF(H17="","",IF(H17="NO",0,IF(I17="","",IF(I17="YES",$C$7,$C$7/2))))</f>
        <v/>
      </c>
      <c r="K17" s="239"/>
    </row>
    <row r="18" customFormat="false" ht="14.25" hidden="false" customHeight="true" outlineLevel="0" collapsed="false">
      <c r="A18" s="238" t="s">
        <v>491</v>
      </c>
      <c r="B18" s="239"/>
      <c r="C18" s="239"/>
      <c r="D18" s="239"/>
      <c r="E18" s="239"/>
      <c r="F18" s="239"/>
      <c r="G18" s="239"/>
      <c r="H18" s="240"/>
      <c r="I18" s="240"/>
      <c r="J18" s="241" t="str">
        <f aca="false">IF(H18="","",IF(H18="NO",0,IF(I18="","",IF(I18="YES",$C$7,$C$7/2))))</f>
        <v/>
      </c>
      <c r="K18" s="239"/>
    </row>
    <row r="19" customFormat="false" ht="14.25" hidden="false" customHeight="true" outlineLevel="0" collapsed="false">
      <c r="A19" s="238" t="s">
        <v>492</v>
      </c>
      <c r="B19" s="239"/>
      <c r="C19" s="239"/>
      <c r="D19" s="239"/>
      <c r="E19" s="239"/>
      <c r="F19" s="239"/>
      <c r="G19" s="239"/>
      <c r="H19" s="240"/>
      <c r="I19" s="240"/>
      <c r="J19" s="241" t="str">
        <f aca="false">IF(H19="","",IF(H19="NO",0,IF(I19="","",IF(I19="YES",$C$7,$C$7/2))))</f>
        <v/>
      </c>
      <c r="K19" s="239"/>
    </row>
    <row r="20" customFormat="false" ht="14.25" hidden="false" customHeight="true" outlineLevel="0" collapsed="false">
      <c r="A20" s="238" t="s">
        <v>493</v>
      </c>
      <c r="B20" s="239"/>
      <c r="C20" s="239"/>
      <c r="D20" s="239"/>
      <c r="E20" s="239"/>
      <c r="F20" s="239"/>
      <c r="G20" s="239"/>
      <c r="H20" s="240"/>
      <c r="I20" s="240"/>
      <c r="J20" s="241" t="str">
        <f aca="false">IF(H20="","",IF(H20="NO",0,IF(I20="","",IF(I20="YES",$C$7,$C$7/2))))</f>
        <v/>
      </c>
      <c r="K20" s="239"/>
    </row>
    <row r="21" customFormat="false" ht="14.25" hidden="false" customHeight="true" outlineLevel="0" collapsed="false">
      <c r="A21" s="238" t="s">
        <v>494</v>
      </c>
      <c r="B21" s="239"/>
      <c r="C21" s="239"/>
      <c r="D21" s="239"/>
      <c r="E21" s="239"/>
      <c r="F21" s="239"/>
      <c r="G21" s="239"/>
      <c r="H21" s="240"/>
      <c r="I21" s="240"/>
      <c r="J21" s="241" t="str">
        <f aca="false">IF(H21="","",IF(H21="NO",0,IF(I21="","",IF(I21="YES",$C$7,$C$7/2))))</f>
        <v/>
      </c>
      <c r="K21" s="239"/>
    </row>
    <row r="22" customFormat="false" ht="14.25" hidden="false" customHeight="true" outlineLevel="0" collapsed="false">
      <c r="A22" s="238" t="s">
        <v>495</v>
      </c>
      <c r="B22" s="239"/>
      <c r="C22" s="239"/>
      <c r="D22" s="239"/>
      <c r="E22" s="239"/>
      <c r="F22" s="239"/>
      <c r="G22" s="239"/>
      <c r="H22" s="240"/>
      <c r="I22" s="240"/>
      <c r="J22" s="241" t="str">
        <f aca="false">IF(H22="","",IF(H22="NO",0,IF(I22="","",IF(I22="YES",$C$7,$C$7/2))))</f>
        <v/>
      </c>
      <c r="K22" s="239"/>
    </row>
    <row r="23" customFormat="false" ht="14.25" hidden="false" customHeight="true" outlineLevel="0" collapsed="false">
      <c r="A23" s="238" t="s">
        <v>496</v>
      </c>
      <c r="B23" s="239"/>
      <c r="C23" s="239"/>
      <c r="D23" s="239"/>
      <c r="E23" s="239"/>
      <c r="F23" s="239"/>
      <c r="G23" s="239"/>
      <c r="H23" s="240"/>
      <c r="I23" s="240"/>
      <c r="J23" s="241" t="str">
        <f aca="false">IF(H23="","",IF(H23="NO",0,IF(I23="","",IF(I23="YES",$C$7,$C$7/2))))</f>
        <v/>
      </c>
      <c r="K23" s="239"/>
    </row>
    <row r="24" customFormat="false" ht="14.25" hidden="false" customHeight="true" outlineLevel="0" collapsed="false">
      <c r="A24" s="238" t="s">
        <v>497</v>
      </c>
      <c r="B24" s="239"/>
      <c r="C24" s="239"/>
      <c r="D24" s="239"/>
      <c r="E24" s="239"/>
      <c r="F24" s="239"/>
      <c r="G24" s="239"/>
      <c r="H24" s="240"/>
      <c r="I24" s="240"/>
      <c r="J24" s="241" t="str">
        <f aca="false">IF(H24="","",IF(H24="NO",0,IF(I24="","",IF(I24="YES",$C$7,$C$7/2))))</f>
        <v/>
      </c>
      <c r="K24" s="239"/>
    </row>
    <row r="25" customFormat="false" ht="14.25" hidden="false" customHeight="true" outlineLevel="0" collapsed="false">
      <c r="A25" s="238" t="s">
        <v>498</v>
      </c>
      <c r="B25" s="239"/>
      <c r="C25" s="239"/>
      <c r="D25" s="239"/>
      <c r="E25" s="239"/>
      <c r="F25" s="239"/>
      <c r="G25" s="239"/>
      <c r="H25" s="240"/>
      <c r="I25" s="240"/>
      <c r="J25" s="241" t="str">
        <f aca="false">IF(H25="","",IF(H25="NO",0,IF(I25="","",IF(I25="YES",$C$7,$C$7/2))))</f>
        <v/>
      </c>
      <c r="K25" s="239"/>
    </row>
    <row r="26" customFormat="false" ht="14.25" hidden="false" customHeight="true" outlineLevel="0" collapsed="false">
      <c r="A26" s="238" t="s">
        <v>499</v>
      </c>
      <c r="B26" s="239"/>
      <c r="C26" s="239"/>
      <c r="D26" s="239"/>
      <c r="E26" s="239"/>
      <c r="F26" s="239"/>
      <c r="G26" s="239"/>
      <c r="H26" s="240"/>
      <c r="I26" s="240"/>
      <c r="J26" s="241" t="str">
        <f aca="false">IF(H26="","",IF(H26="NO",0,IF(I26="","",IF(I26="YES",$C$7,$C$7/2))))</f>
        <v/>
      </c>
      <c r="K26" s="239"/>
    </row>
    <row r="27" customFormat="false" ht="14.25" hidden="false" customHeight="true" outlineLevel="0" collapsed="false">
      <c r="A27" s="238" t="s">
        <v>500</v>
      </c>
      <c r="B27" s="239"/>
      <c r="C27" s="239"/>
      <c r="D27" s="239"/>
      <c r="E27" s="239"/>
      <c r="F27" s="239"/>
      <c r="G27" s="239"/>
      <c r="H27" s="240"/>
      <c r="I27" s="240"/>
      <c r="J27" s="241" t="str">
        <f aca="false">IF(H27="","",IF(H27="NO",0,IF(I27="","",IF(I27="YES",$C$7,$C$7/2))))</f>
        <v/>
      </c>
      <c r="K27" s="239"/>
    </row>
    <row r="28" customFormat="false" ht="14.25" hidden="false" customHeight="true" outlineLevel="0" collapsed="false">
      <c r="A28" s="238" t="s">
        <v>501</v>
      </c>
      <c r="B28" s="239"/>
      <c r="C28" s="239"/>
      <c r="D28" s="239"/>
      <c r="E28" s="239"/>
      <c r="F28" s="239"/>
      <c r="G28" s="239"/>
      <c r="H28" s="240"/>
      <c r="I28" s="240"/>
      <c r="J28" s="241" t="str">
        <f aca="false">IF(H28="","",IF(H28="NO",0,IF(I28="","",IF(I28="YES",$C$7,$C$7/2))))</f>
        <v/>
      </c>
      <c r="K28" s="239"/>
    </row>
    <row r="29" customFormat="false" ht="14.25" hidden="false" customHeight="true" outlineLevel="0" collapsed="false">
      <c r="A29" s="238" t="s">
        <v>502</v>
      </c>
      <c r="B29" s="239"/>
      <c r="C29" s="239"/>
      <c r="D29" s="239"/>
      <c r="E29" s="239"/>
      <c r="F29" s="239"/>
      <c r="G29" s="239"/>
      <c r="H29" s="240"/>
      <c r="I29" s="240"/>
      <c r="J29" s="241" t="str">
        <f aca="false">IF(H29="","",IF(H29="NO",0,IF(I29="","",IF(I29="YES",$C$7,$C$7/2))))</f>
        <v/>
      </c>
      <c r="K29" s="239"/>
    </row>
    <row r="30" customFormat="false" ht="14.25" hidden="false" customHeight="true" outlineLevel="0" collapsed="false">
      <c r="A30" s="238" t="s">
        <v>503</v>
      </c>
      <c r="B30" s="239"/>
      <c r="C30" s="239"/>
      <c r="D30" s="239"/>
      <c r="E30" s="239"/>
      <c r="F30" s="239"/>
      <c r="G30" s="239"/>
      <c r="H30" s="240"/>
      <c r="I30" s="240"/>
      <c r="J30" s="241" t="str">
        <f aca="false">IF(H30="","",IF(H30="NO",0,IF(I30="","",IF(I30="YES",$C$7,$C$7/2))))</f>
        <v/>
      </c>
      <c r="K30" s="239"/>
    </row>
    <row r="31" customFormat="false" ht="14.25" hidden="false" customHeight="true" outlineLevel="0" collapsed="false">
      <c r="A31" s="238" t="s">
        <v>504</v>
      </c>
      <c r="B31" s="239"/>
      <c r="C31" s="239"/>
      <c r="D31" s="239"/>
      <c r="E31" s="239"/>
      <c r="F31" s="239"/>
      <c r="G31" s="239"/>
      <c r="H31" s="240"/>
      <c r="I31" s="240"/>
      <c r="J31" s="241" t="str">
        <f aca="false">IF(H31="","",IF(H31="NO",0,IF(I31="","",IF(I31="YES",$C$7,$C$7/2))))</f>
        <v/>
      </c>
      <c r="K31" s="239"/>
    </row>
    <row r="32" customFormat="false" ht="14.25" hidden="false" customHeight="true" outlineLevel="0" collapsed="false">
      <c r="A32" s="238" t="s">
        <v>505</v>
      </c>
      <c r="B32" s="239"/>
      <c r="C32" s="239"/>
      <c r="D32" s="239"/>
      <c r="E32" s="239"/>
      <c r="F32" s="239"/>
      <c r="G32" s="239"/>
      <c r="H32" s="240"/>
      <c r="I32" s="240"/>
      <c r="J32" s="241" t="str">
        <f aca="false">IF(H32="","",IF(H32="NO",0,IF(I32="","",IF(I32="YES",$C$7,$C$7/2))))</f>
        <v/>
      </c>
      <c r="K32" s="239"/>
    </row>
    <row r="33" customFormat="false" ht="14.25" hidden="false" customHeight="true" outlineLevel="0" collapsed="false">
      <c r="A33" s="238" t="s">
        <v>506</v>
      </c>
      <c r="B33" s="239"/>
      <c r="C33" s="239"/>
      <c r="D33" s="239"/>
      <c r="E33" s="239"/>
      <c r="F33" s="239"/>
      <c r="G33" s="239"/>
      <c r="H33" s="240"/>
      <c r="I33" s="240"/>
      <c r="J33" s="241" t="str">
        <f aca="false">IF(H33="","",IF(H33="NO",0,IF(I33="","",IF(I33="YES",$C$7,$C$7/2))))</f>
        <v/>
      </c>
      <c r="K33" s="239"/>
    </row>
    <row r="34" customFormat="false" ht="14.25" hidden="false" customHeight="true" outlineLevel="0" collapsed="false">
      <c r="A34" s="238" t="s">
        <v>507</v>
      </c>
      <c r="B34" s="239"/>
      <c r="C34" s="239"/>
      <c r="D34" s="239"/>
      <c r="E34" s="239"/>
      <c r="F34" s="239"/>
      <c r="G34" s="239"/>
      <c r="H34" s="240"/>
      <c r="I34" s="240"/>
      <c r="J34" s="241" t="str">
        <f aca="false">IF(H34="","",IF(H34="NO",0,IF(I34="","",IF(I34="YES",$C$7,$C$7/2))))</f>
        <v/>
      </c>
      <c r="K34" s="239"/>
    </row>
    <row r="35" customFormat="false" ht="14.25" hidden="false" customHeight="true" outlineLevel="0" collapsed="false">
      <c r="A35" s="238" t="s">
        <v>508</v>
      </c>
      <c r="B35" s="239"/>
      <c r="C35" s="239"/>
      <c r="D35" s="239"/>
      <c r="E35" s="239"/>
      <c r="F35" s="239"/>
      <c r="G35" s="239"/>
      <c r="H35" s="240"/>
      <c r="I35" s="240"/>
      <c r="J35" s="241" t="str">
        <f aca="false">IF(H35="","",IF(H35="NO",0,IF(I35="","",IF(I35="YES",$C$7,$C$7/2))))</f>
        <v/>
      </c>
      <c r="K35" s="239"/>
    </row>
    <row r="36" customFormat="false" ht="14.25" hidden="false" customHeight="true" outlineLevel="0" collapsed="false">
      <c r="A36" s="238" t="s">
        <v>509</v>
      </c>
      <c r="B36" s="239"/>
      <c r="C36" s="239"/>
      <c r="D36" s="239"/>
      <c r="E36" s="239"/>
      <c r="F36" s="239"/>
      <c r="G36" s="239"/>
      <c r="H36" s="240"/>
      <c r="I36" s="240"/>
      <c r="J36" s="241" t="str">
        <f aca="false">IF(H36="","",IF(H36="NO",0,IF(I36="","",IF(I36="YES",$C$7,$C$7/2))))</f>
        <v/>
      </c>
      <c r="K36" s="239"/>
    </row>
    <row r="37" customFormat="false" ht="14.25" hidden="false" customHeight="true" outlineLevel="0" collapsed="false">
      <c r="A37" s="238" t="s">
        <v>510</v>
      </c>
      <c r="B37" s="239"/>
      <c r="C37" s="239"/>
      <c r="D37" s="239"/>
      <c r="E37" s="239"/>
      <c r="F37" s="239"/>
      <c r="G37" s="239"/>
      <c r="H37" s="240"/>
      <c r="I37" s="240"/>
      <c r="J37" s="241" t="str">
        <f aca="false">IF(H37="","",IF(H37="NO",0,IF(I37="","",IF(I37="YES",$C$7,$C$7/2))))</f>
        <v/>
      </c>
      <c r="K37" s="239"/>
    </row>
    <row r="38" customFormat="false" ht="14.25" hidden="false" customHeight="true" outlineLevel="0" collapsed="false">
      <c r="A38" s="238" t="s">
        <v>511</v>
      </c>
      <c r="B38" s="239"/>
      <c r="C38" s="239"/>
      <c r="D38" s="239"/>
      <c r="E38" s="239"/>
      <c r="F38" s="239"/>
      <c r="G38" s="239"/>
      <c r="H38" s="240"/>
      <c r="I38" s="240"/>
      <c r="J38" s="241" t="str">
        <f aca="false">IF(H38="","",IF(H38="NO",0,IF(I38="","",IF(I38="YES",$C$7,$C$7/2))))</f>
        <v/>
      </c>
      <c r="K38" s="239"/>
    </row>
    <row r="39" customFormat="false" ht="14.25" hidden="false" customHeight="true" outlineLevel="0" collapsed="false">
      <c r="A39" s="238" t="s">
        <v>512</v>
      </c>
      <c r="B39" s="239"/>
      <c r="C39" s="239"/>
      <c r="D39" s="239"/>
      <c r="E39" s="239"/>
      <c r="F39" s="239"/>
      <c r="G39" s="239"/>
      <c r="H39" s="240"/>
      <c r="I39" s="240"/>
      <c r="J39" s="241" t="str">
        <f aca="false">IF(H39="","",IF(H39="NO",0,IF(I39="","",IF(I39="YES",$C$7,$C$7/2))))</f>
        <v/>
      </c>
      <c r="K39" s="239"/>
    </row>
    <row r="40" customFormat="false" ht="14.25" hidden="false" customHeight="true" outlineLevel="0" collapsed="false">
      <c r="A40" s="238" t="s">
        <v>513</v>
      </c>
      <c r="B40" s="239"/>
      <c r="C40" s="239"/>
      <c r="D40" s="239"/>
      <c r="E40" s="239"/>
      <c r="F40" s="239"/>
      <c r="G40" s="239"/>
      <c r="H40" s="240"/>
      <c r="I40" s="240"/>
      <c r="J40" s="241" t="str">
        <f aca="false">IF(H40="","",IF(H40="NO",0,IF(I40="","",IF(I40="YES",$C$7,$C$7/2))))</f>
        <v/>
      </c>
      <c r="K40" s="239"/>
    </row>
    <row r="41" customFormat="false" ht="14.25" hidden="false" customHeight="true" outlineLevel="0" collapsed="false">
      <c r="A41" s="238" t="s">
        <v>514</v>
      </c>
      <c r="B41" s="239"/>
      <c r="C41" s="239"/>
      <c r="D41" s="239"/>
      <c r="E41" s="239"/>
      <c r="F41" s="239"/>
      <c r="G41" s="239"/>
      <c r="H41" s="240"/>
      <c r="I41" s="240"/>
      <c r="J41" s="241" t="str">
        <f aca="false">IF(H41="","",IF(H41="NO",0,IF(I41="","",IF(I41="YES",$C$7,$C$7/2))))</f>
        <v/>
      </c>
      <c r="K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9" min="8" style="68" width="22"/>
    <col collapsed="false" customWidth="true" hidden="false" outlineLevel="0" max="10" min="10" style="68" width="14"/>
    <col collapsed="false" customWidth="true" hidden="false" outlineLevel="0" max="11" min="11" style="68" width="45"/>
    <col collapsed="false" customWidth="true" hidden="false" outlineLevel="0" max="12" min="12" style="68" width="30"/>
  </cols>
  <sheetData>
    <row r="1" customFormat="false" ht="14.25" hidden="false" customHeight="true" outlineLevel="0" collapsed="false">
      <c r="A1" s="230" t="s">
        <v>777</v>
      </c>
      <c r="B1" s="230" t="s">
        <v>451</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Control Regulations and land-management instruments</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Land-management instruments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enable a guaranteed land pooling system ?</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Part A – Legal/Policy ProvisionCheck whether the State has enacted legislation or issued a Government Order/circular/notification providing for a land assembly/reconstitution mechanism such as:a. Town Planning Scheme (TPS)/land reconstitution; orb. Land pooling. Score 5 if at least one such mechanism is formally provided for through legislation or an applicable Government Order/circular/notification. Score 0 otherwise. Part B – OperationalisationWhere the mechanism is provided for through an Act, check whether the rules/regulations necessary to operationalise the mechanism have been notified. Score 5 if the rules/regulations necessary for implementation of the mechanism have been notified and are currently in force. Score 0 if the enabling provision exists but the necessary rules/regulations have not been notified.</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Note: Record separately whether the applicable mechanism is TPS/land reconstitution, land pooling, or both. </v>
      </c>
      <c r="H10" s="233" t="s">
        <v>806</v>
      </c>
    </row>
    <row r="11" customFormat="false" ht="28.5" hidden="false" customHeight="true" outlineLevel="0" collapsed="false">
      <c r="H11" s="234" t="s">
        <v>782</v>
      </c>
      <c r="I11" s="234" t="s">
        <v>782</v>
      </c>
      <c r="J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tr">
        <f aca="false">"Part A: Mechanism provided (law / GO) ("&amp;TEXT($C$7/2,"0.00")&amp;")"</f>
        <v>Part A: Mechanism provided (law / GO) (5.00)</v>
      </c>
      <c r="I12" s="237" t="str">
        <f aca="false">"Part B: Rules notified &amp; in force ("&amp;TEXT($C$7/2,"0.00")&amp;")"</f>
        <v>Part B: Rules notified &amp; in force (5.00)</v>
      </c>
      <c r="J12" s="235" t="s">
        <v>791</v>
      </c>
      <c r="K12" s="237" t="s">
        <v>792</v>
      </c>
      <c r="L12" s="237" t="s">
        <v>868</v>
      </c>
    </row>
    <row r="13" customFormat="false" ht="14.25" hidden="false" customHeight="true" outlineLevel="0" collapsed="false">
      <c r="A13" s="238" t="s">
        <v>486</v>
      </c>
      <c r="B13" s="239"/>
      <c r="C13" s="239"/>
      <c r="D13" s="239"/>
      <c r="E13" s="239"/>
      <c r="F13" s="239"/>
      <c r="G13" s="239"/>
      <c r="H13" s="240"/>
      <c r="I13" s="240"/>
      <c r="J13" s="241" t="str">
        <f aca="false">IF(OR(H13="",I13=""),"",COUNTIF(H13:I13,"YES")/2*$C$7)</f>
        <v/>
      </c>
      <c r="K13" s="239"/>
      <c r="L13" s="239"/>
    </row>
    <row r="14" customFormat="false" ht="14.25" hidden="false" customHeight="true" outlineLevel="0" collapsed="false">
      <c r="A14" s="238" t="s">
        <v>487</v>
      </c>
      <c r="B14" s="239"/>
      <c r="C14" s="239"/>
      <c r="D14" s="239"/>
      <c r="E14" s="239"/>
      <c r="F14" s="239"/>
      <c r="G14" s="239"/>
      <c r="H14" s="240"/>
      <c r="I14" s="240"/>
      <c r="J14" s="241" t="str">
        <f aca="false">IF(OR(H14="",I14=""),"",COUNTIF(H14:I14,"YES")/2*$C$7)</f>
        <v/>
      </c>
      <c r="K14" s="239"/>
      <c r="L14" s="239"/>
    </row>
    <row r="15" customFormat="false" ht="14.25" hidden="false" customHeight="true" outlineLevel="0" collapsed="false">
      <c r="A15" s="238" t="s">
        <v>488</v>
      </c>
      <c r="B15" s="239"/>
      <c r="C15" s="239"/>
      <c r="D15" s="239"/>
      <c r="E15" s="239"/>
      <c r="F15" s="239"/>
      <c r="G15" s="239"/>
      <c r="H15" s="240"/>
      <c r="I15" s="240"/>
      <c r="J15" s="241" t="str">
        <f aca="false">IF(OR(H15="",I15=""),"",COUNTIF(H15:I15,"YES")/2*$C$7)</f>
        <v/>
      </c>
      <c r="K15" s="239"/>
      <c r="L15" s="239"/>
    </row>
    <row r="16" customFormat="false" ht="14.25" hidden="false" customHeight="true" outlineLevel="0" collapsed="false">
      <c r="A16" s="238" t="s">
        <v>489</v>
      </c>
      <c r="B16" s="239"/>
      <c r="C16" s="239"/>
      <c r="D16" s="239"/>
      <c r="E16" s="239"/>
      <c r="F16" s="239"/>
      <c r="G16" s="239"/>
      <c r="H16" s="240"/>
      <c r="I16" s="240"/>
      <c r="J16" s="241" t="str">
        <f aca="false">IF(OR(H16="",I16=""),"",COUNTIF(H16:I16,"YES")/2*$C$7)</f>
        <v/>
      </c>
      <c r="K16" s="239"/>
      <c r="L16" s="239"/>
    </row>
    <row r="17" customFormat="false" ht="14.25" hidden="false" customHeight="true" outlineLevel="0" collapsed="false">
      <c r="A17" s="238" t="s">
        <v>490</v>
      </c>
      <c r="B17" s="239"/>
      <c r="C17" s="239"/>
      <c r="D17" s="239"/>
      <c r="E17" s="239"/>
      <c r="F17" s="239"/>
      <c r="G17" s="239"/>
      <c r="H17" s="240"/>
      <c r="I17" s="240"/>
      <c r="J17" s="241" t="str">
        <f aca="false">IF(OR(H17="",I17=""),"",COUNTIF(H17:I17,"YES")/2*$C$7)</f>
        <v/>
      </c>
      <c r="K17" s="239"/>
      <c r="L17" s="239"/>
    </row>
    <row r="18" customFormat="false" ht="14.25" hidden="false" customHeight="true" outlineLevel="0" collapsed="false">
      <c r="A18" s="238" t="s">
        <v>491</v>
      </c>
      <c r="B18" s="239"/>
      <c r="C18" s="239"/>
      <c r="D18" s="239"/>
      <c r="E18" s="239"/>
      <c r="F18" s="239"/>
      <c r="G18" s="239"/>
      <c r="H18" s="240"/>
      <c r="I18" s="240"/>
      <c r="J18" s="241" t="str">
        <f aca="false">IF(OR(H18="",I18=""),"",COUNTIF(H18:I18,"YES")/2*$C$7)</f>
        <v/>
      </c>
      <c r="K18" s="239"/>
      <c r="L18" s="239"/>
    </row>
    <row r="19" customFormat="false" ht="14.25" hidden="false" customHeight="true" outlineLevel="0" collapsed="false">
      <c r="A19" s="238" t="s">
        <v>492</v>
      </c>
      <c r="B19" s="239"/>
      <c r="C19" s="239"/>
      <c r="D19" s="239"/>
      <c r="E19" s="239"/>
      <c r="F19" s="239"/>
      <c r="G19" s="239"/>
      <c r="H19" s="240"/>
      <c r="I19" s="240"/>
      <c r="J19" s="241" t="str">
        <f aca="false">IF(OR(H19="",I19=""),"",COUNTIF(H19:I19,"YES")/2*$C$7)</f>
        <v/>
      </c>
      <c r="K19" s="239"/>
      <c r="L19" s="239"/>
    </row>
    <row r="20" customFormat="false" ht="14.25" hidden="false" customHeight="true" outlineLevel="0" collapsed="false">
      <c r="A20" s="238" t="s">
        <v>493</v>
      </c>
      <c r="B20" s="239"/>
      <c r="C20" s="239"/>
      <c r="D20" s="239"/>
      <c r="E20" s="239"/>
      <c r="F20" s="239"/>
      <c r="G20" s="239"/>
      <c r="H20" s="240"/>
      <c r="I20" s="240"/>
      <c r="J20" s="241" t="str">
        <f aca="false">IF(OR(H20="",I20=""),"",COUNTIF(H20:I20,"YES")/2*$C$7)</f>
        <v/>
      </c>
      <c r="K20" s="239"/>
      <c r="L20" s="239"/>
    </row>
    <row r="21" customFormat="false" ht="14.25" hidden="false" customHeight="true" outlineLevel="0" collapsed="false">
      <c r="A21" s="238" t="s">
        <v>494</v>
      </c>
      <c r="B21" s="239"/>
      <c r="C21" s="239"/>
      <c r="D21" s="239"/>
      <c r="E21" s="239"/>
      <c r="F21" s="239"/>
      <c r="G21" s="239"/>
      <c r="H21" s="240"/>
      <c r="I21" s="240"/>
      <c r="J21" s="241" t="str">
        <f aca="false">IF(OR(H21="",I21=""),"",COUNTIF(H21:I21,"YES")/2*$C$7)</f>
        <v/>
      </c>
      <c r="K21" s="239"/>
      <c r="L21" s="239"/>
    </row>
    <row r="22" customFormat="false" ht="14.25" hidden="false" customHeight="true" outlineLevel="0" collapsed="false">
      <c r="A22" s="238" t="s">
        <v>495</v>
      </c>
      <c r="B22" s="239"/>
      <c r="C22" s="239"/>
      <c r="D22" s="239"/>
      <c r="E22" s="239"/>
      <c r="F22" s="239"/>
      <c r="G22" s="239"/>
      <c r="H22" s="240"/>
      <c r="I22" s="240"/>
      <c r="J22" s="241" t="str">
        <f aca="false">IF(OR(H22="",I22=""),"",COUNTIF(H22:I22,"YES")/2*$C$7)</f>
        <v/>
      </c>
      <c r="K22" s="239"/>
      <c r="L22" s="239"/>
    </row>
    <row r="23" customFormat="false" ht="14.25" hidden="false" customHeight="true" outlineLevel="0" collapsed="false">
      <c r="A23" s="238" t="s">
        <v>496</v>
      </c>
      <c r="B23" s="239"/>
      <c r="C23" s="239"/>
      <c r="D23" s="239"/>
      <c r="E23" s="239"/>
      <c r="F23" s="239"/>
      <c r="G23" s="239"/>
      <c r="H23" s="240"/>
      <c r="I23" s="240"/>
      <c r="J23" s="241" t="str">
        <f aca="false">IF(OR(H23="",I23=""),"",COUNTIF(H23:I23,"YES")/2*$C$7)</f>
        <v/>
      </c>
      <c r="K23" s="239"/>
      <c r="L23" s="239"/>
    </row>
    <row r="24" customFormat="false" ht="14.25" hidden="false" customHeight="true" outlineLevel="0" collapsed="false">
      <c r="A24" s="238" t="s">
        <v>497</v>
      </c>
      <c r="B24" s="239"/>
      <c r="C24" s="239"/>
      <c r="D24" s="239"/>
      <c r="E24" s="239"/>
      <c r="F24" s="239"/>
      <c r="G24" s="239"/>
      <c r="H24" s="240"/>
      <c r="I24" s="240"/>
      <c r="J24" s="241" t="str">
        <f aca="false">IF(OR(H24="",I24=""),"",COUNTIF(H24:I24,"YES")/2*$C$7)</f>
        <v/>
      </c>
      <c r="K24" s="239"/>
      <c r="L24" s="239"/>
    </row>
    <row r="25" customFormat="false" ht="14.25" hidden="false" customHeight="true" outlineLevel="0" collapsed="false">
      <c r="A25" s="238" t="s">
        <v>498</v>
      </c>
      <c r="B25" s="239"/>
      <c r="C25" s="239"/>
      <c r="D25" s="239"/>
      <c r="E25" s="239"/>
      <c r="F25" s="239"/>
      <c r="G25" s="239"/>
      <c r="H25" s="240"/>
      <c r="I25" s="240"/>
      <c r="J25" s="241" t="str">
        <f aca="false">IF(OR(H25="",I25=""),"",COUNTIF(H25:I25,"YES")/2*$C$7)</f>
        <v/>
      </c>
      <c r="K25" s="239"/>
      <c r="L25" s="239"/>
    </row>
    <row r="26" customFormat="false" ht="14.25" hidden="false" customHeight="true" outlineLevel="0" collapsed="false">
      <c r="A26" s="238" t="s">
        <v>499</v>
      </c>
      <c r="B26" s="239"/>
      <c r="C26" s="239"/>
      <c r="D26" s="239"/>
      <c r="E26" s="239"/>
      <c r="F26" s="239"/>
      <c r="G26" s="239"/>
      <c r="H26" s="240"/>
      <c r="I26" s="240"/>
      <c r="J26" s="241" t="str">
        <f aca="false">IF(OR(H26="",I26=""),"",COUNTIF(H26:I26,"YES")/2*$C$7)</f>
        <v/>
      </c>
      <c r="K26" s="239"/>
      <c r="L26" s="239"/>
    </row>
    <row r="27" customFormat="false" ht="14.25" hidden="false" customHeight="true" outlineLevel="0" collapsed="false">
      <c r="A27" s="238" t="s">
        <v>500</v>
      </c>
      <c r="B27" s="239"/>
      <c r="C27" s="239"/>
      <c r="D27" s="239"/>
      <c r="E27" s="239"/>
      <c r="F27" s="239"/>
      <c r="G27" s="239"/>
      <c r="H27" s="240"/>
      <c r="I27" s="240"/>
      <c r="J27" s="241" t="str">
        <f aca="false">IF(OR(H27="",I27=""),"",COUNTIF(H27:I27,"YES")/2*$C$7)</f>
        <v/>
      </c>
      <c r="K27" s="239"/>
      <c r="L27" s="239"/>
    </row>
    <row r="28" customFormat="false" ht="14.25" hidden="false" customHeight="true" outlineLevel="0" collapsed="false">
      <c r="A28" s="238" t="s">
        <v>501</v>
      </c>
      <c r="B28" s="239"/>
      <c r="C28" s="239"/>
      <c r="D28" s="239"/>
      <c r="E28" s="239"/>
      <c r="F28" s="239"/>
      <c r="G28" s="239"/>
      <c r="H28" s="240"/>
      <c r="I28" s="240"/>
      <c r="J28" s="241" t="str">
        <f aca="false">IF(OR(H28="",I28=""),"",COUNTIF(H28:I28,"YES")/2*$C$7)</f>
        <v/>
      </c>
      <c r="K28" s="239"/>
      <c r="L28" s="239"/>
    </row>
    <row r="29" customFormat="false" ht="14.25" hidden="false" customHeight="true" outlineLevel="0" collapsed="false">
      <c r="A29" s="238" t="s">
        <v>502</v>
      </c>
      <c r="B29" s="239"/>
      <c r="C29" s="239"/>
      <c r="D29" s="239"/>
      <c r="E29" s="239"/>
      <c r="F29" s="239"/>
      <c r="G29" s="239"/>
      <c r="H29" s="240"/>
      <c r="I29" s="240"/>
      <c r="J29" s="241" t="str">
        <f aca="false">IF(OR(H29="",I29=""),"",COUNTIF(H29:I29,"YES")/2*$C$7)</f>
        <v/>
      </c>
      <c r="K29" s="239"/>
      <c r="L29" s="239"/>
    </row>
    <row r="30" customFormat="false" ht="14.25" hidden="false" customHeight="true" outlineLevel="0" collapsed="false">
      <c r="A30" s="238" t="s">
        <v>503</v>
      </c>
      <c r="B30" s="239"/>
      <c r="C30" s="239"/>
      <c r="D30" s="239"/>
      <c r="E30" s="239"/>
      <c r="F30" s="239"/>
      <c r="G30" s="239"/>
      <c r="H30" s="240"/>
      <c r="I30" s="240"/>
      <c r="J30" s="241" t="str">
        <f aca="false">IF(OR(H30="",I30=""),"",COUNTIF(H30:I30,"YES")/2*$C$7)</f>
        <v/>
      </c>
      <c r="K30" s="239"/>
      <c r="L30" s="239"/>
    </row>
    <row r="31" customFormat="false" ht="14.25" hidden="false" customHeight="true" outlineLevel="0" collapsed="false">
      <c r="A31" s="238" t="s">
        <v>504</v>
      </c>
      <c r="B31" s="239"/>
      <c r="C31" s="239"/>
      <c r="D31" s="239"/>
      <c r="E31" s="239"/>
      <c r="F31" s="239"/>
      <c r="G31" s="239"/>
      <c r="H31" s="240"/>
      <c r="I31" s="240"/>
      <c r="J31" s="241" t="str">
        <f aca="false">IF(OR(H31="",I31=""),"",COUNTIF(H31:I31,"YES")/2*$C$7)</f>
        <v/>
      </c>
      <c r="K31" s="239"/>
      <c r="L31" s="239"/>
    </row>
    <row r="32" customFormat="false" ht="14.25" hidden="false" customHeight="true" outlineLevel="0" collapsed="false">
      <c r="A32" s="238" t="s">
        <v>505</v>
      </c>
      <c r="B32" s="239"/>
      <c r="C32" s="239"/>
      <c r="D32" s="239"/>
      <c r="E32" s="239"/>
      <c r="F32" s="239"/>
      <c r="G32" s="239"/>
      <c r="H32" s="240"/>
      <c r="I32" s="240"/>
      <c r="J32" s="241" t="str">
        <f aca="false">IF(OR(H32="",I32=""),"",COUNTIF(H32:I32,"YES")/2*$C$7)</f>
        <v/>
      </c>
      <c r="K32" s="239"/>
      <c r="L32" s="239"/>
    </row>
    <row r="33" customFormat="false" ht="14.25" hidden="false" customHeight="true" outlineLevel="0" collapsed="false">
      <c r="A33" s="238" t="s">
        <v>506</v>
      </c>
      <c r="B33" s="239"/>
      <c r="C33" s="239"/>
      <c r="D33" s="239"/>
      <c r="E33" s="239"/>
      <c r="F33" s="239"/>
      <c r="G33" s="239"/>
      <c r="H33" s="240"/>
      <c r="I33" s="240"/>
      <c r="J33" s="241" t="str">
        <f aca="false">IF(OR(H33="",I33=""),"",COUNTIF(H33:I33,"YES")/2*$C$7)</f>
        <v/>
      </c>
      <c r="K33" s="239"/>
      <c r="L33" s="239"/>
    </row>
    <row r="34" customFormat="false" ht="14.25" hidden="false" customHeight="true" outlineLevel="0" collapsed="false">
      <c r="A34" s="238" t="s">
        <v>507</v>
      </c>
      <c r="B34" s="239"/>
      <c r="C34" s="239"/>
      <c r="D34" s="239"/>
      <c r="E34" s="239"/>
      <c r="F34" s="239"/>
      <c r="G34" s="239"/>
      <c r="H34" s="240"/>
      <c r="I34" s="240"/>
      <c r="J34" s="241" t="str">
        <f aca="false">IF(OR(H34="",I34=""),"",COUNTIF(H34:I34,"YES")/2*$C$7)</f>
        <v/>
      </c>
      <c r="K34" s="239"/>
      <c r="L34" s="239"/>
    </row>
    <row r="35" customFormat="false" ht="14.25" hidden="false" customHeight="true" outlineLevel="0" collapsed="false">
      <c r="A35" s="238" t="s">
        <v>508</v>
      </c>
      <c r="B35" s="239"/>
      <c r="C35" s="239"/>
      <c r="D35" s="239"/>
      <c r="E35" s="239"/>
      <c r="F35" s="239"/>
      <c r="G35" s="239"/>
      <c r="H35" s="240"/>
      <c r="I35" s="240"/>
      <c r="J35" s="241" t="str">
        <f aca="false">IF(OR(H35="",I35=""),"",COUNTIF(H35:I35,"YES")/2*$C$7)</f>
        <v/>
      </c>
      <c r="K35" s="239"/>
      <c r="L35" s="239"/>
    </row>
    <row r="36" customFormat="false" ht="14.25" hidden="false" customHeight="true" outlineLevel="0" collapsed="false">
      <c r="A36" s="238" t="s">
        <v>509</v>
      </c>
      <c r="B36" s="239"/>
      <c r="C36" s="239"/>
      <c r="D36" s="239"/>
      <c r="E36" s="239"/>
      <c r="F36" s="239"/>
      <c r="G36" s="239"/>
      <c r="H36" s="240"/>
      <c r="I36" s="240"/>
      <c r="J36" s="241" t="str">
        <f aca="false">IF(OR(H36="",I36=""),"",COUNTIF(H36:I36,"YES")/2*$C$7)</f>
        <v/>
      </c>
      <c r="K36" s="239"/>
      <c r="L36" s="239"/>
    </row>
    <row r="37" customFormat="false" ht="14.25" hidden="false" customHeight="true" outlineLevel="0" collapsed="false">
      <c r="A37" s="238" t="s">
        <v>510</v>
      </c>
      <c r="B37" s="239"/>
      <c r="C37" s="239"/>
      <c r="D37" s="239"/>
      <c r="E37" s="239"/>
      <c r="F37" s="239"/>
      <c r="G37" s="239"/>
      <c r="H37" s="240"/>
      <c r="I37" s="240"/>
      <c r="J37" s="241" t="str">
        <f aca="false">IF(OR(H37="",I37=""),"",COUNTIF(H37:I37,"YES")/2*$C$7)</f>
        <v/>
      </c>
      <c r="K37" s="239"/>
      <c r="L37" s="239"/>
    </row>
    <row r="38" customFormat="false" ht="14.25" hidden="false" customHeight="true" outlineLevel="0" collapsed="false">
      <c r="A38" s="238" t="s">
        <v>511</v>
      </c>
      <c r="B38" s="239"/>
      <c r="C38" s="239"/>
      <c r="D38" s="239"/>
      <c r="E38" s="239"/>
      <c r="F38" s="239"/>
      <c r="G38" s="239"/>
      <c r="H38" s="240"/>
      <c r="I38" s="240"/>
      <c r="J38" s="241" t="str">
        <f aca="false">IF(OR(H38="",I38=""),"",COUNTIF(H38:I38,"YES")/2*$C$7)</f>
        <v/>
      </c>
      <c r="K38" s="239"/>
      <c r="L38" s="239"/>
    </row>
    <row r="39" customFormat="false" ht="14.25" hidden="false" customHeight="true" outlineLevel="0" collapsed="false">
      <c r="A39" s="238" t="s">
        <v>512</v>
      </c>
      <c r="B39" s="239"/>
      <c r="C39" s="239"/>
      <c r="D39" s="239"/>
      <c r="E39" s="239"/>
      <c r="F39" s="239"/>
      <c r="G39" s="239"/>
      <c r="H39" s="240"/>
      <c r="I39" s="240"/>
      <c r="J39" s="241" t="str">
        <f aca="false">IF(OR(H39="",I39=""),"",COUNTIF(H39:I39,"YES")/2*$C$7)</f>
        <v/>
      </c>
      <c r="K39" s="239"/>
      <c r="L39" s="239"/>
    </row>
    <row r="40" customFormat="false" ht="14.25" hidden="false" customHeight="true" outlineLevel="0" collapsed="false">
      <c r="A40" s="238" t="s">
        <v>513</v>
      </c>
      <c r="B40" s="239"/>
      <c r="C40" s="239"/>
      <c r="D40" s="239"/>
      <c r="E40" s="239"/>
      <c r="F40" s="239"/>
      <c r="G40" s="239"/>
      <c r="H40" s="240"/>
      <c r="I40" s="240"/>
      <c r="J40" s="241" t="str">
        <f aca="false">IF(OR(H40="",I40=""),"",COUNTIF(H40:I40,"YES")/2*$C$7)</f>
        <v/>
      </c>
      <c r="K40" s="239"/>
      <c r="L40" s="239"/>
    </row>
    <row r="41" customFormat="false" ht="14.25" hidden="false" customHeight="true" outlineLevel="0" collapsed="false">
      <c r="A41" s="238" t="s">
        <v>514</v>
      </c>
      <c r="B41" s="239"/>
      <c r="C41" s="239"/>
      <c r="D41" s="239"/>
      <c r="E41" s="239"/>
      <c r="F41" s="239"/>
      <c r="G41" s="239"/>
      <c r="H41" s="240"/>
      <c r="I41" s="240"/>
      <c r="J41" s="241" t="str">
        <f aca="false">IF(OR(H41="",I41=""),"",COUNTIF(H41:I41,"YES")/2*$C$7)</f>
        <v/>
      </c>
      <c r="K41" s="239"/>
      <c r="L41" s="239"/>
    </row>
  </sheetData>
  <dataValidations count="1">
    <dataValidation allowBlank="true" error="Please enter a valid value (see note above the column)." errorStyle="stop" errorTitle="Invalid entry" operator="between" showDropDown="false" showErrorMessage="true" showInputMessage="false" sqref="H13:I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456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Implementation</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your city have a single window clearance process in place for  development projects that are in conformity with municipal/city plans?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for the existence of an online portal / platform that acts as a one-stop solution for filing complete application for development projects (education, health, affordable housing) and provides option for tracking status of application. Score 10 if  any 2 out of the 3 project types are available on the portal/platform/DA Website </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row>
    <row r="11" customFormat="false" ht="28.5" hidden="false" customHeight="true" outlineLevel="0" collapsed="false">
      <c r="H11" s="234" t="s">
        <v>782</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801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IF(H13="YES",$C$7,IF(H13="NO",0,""))</f>
        <v/>
      </c>
      <c r="J13" s="239"/>
    </row>
    <row r="14" customFormat="false" ht="14.25" hidden="false" customHeight="true" outlineLevel="0" collapsed="false">
      <c r="A14" s="238" t="s">
        <v>487</v>
      </c>
      <c r="B14" s="239"/>
      <c r="C14" s="239"/>
      <c r="D14" s="239"/>
      <c r="E14" s="239"/>
      <c r="F14" s="239"/>
      <c r="G14" s="239"/>
      <c r="H14" s="240"/>
      <c r="I14" s="241" t="str">
        <f aca="false">IF(H14="YES",$C$7,IF(H14="NO",0,""))</f>
        <v/>
      </c>
      <c r="J14" s="239"/>
    </row>
    <row r="15" customFormat="false" ht="14.25" hidden="false" customHeight="true" outlineLevel="0" collapsed="false">
      <c r="A15" s="238" t="s">
        <v>488</v>
      </c>
      <c r="B15" s="239"/>
      <c r="C15" s="239"/>
      <c r="D15" s="239"/>
      <c r="E15" s="239"/>
      <c r="F15" s="239"/>
      <c r="G15" s="239"/>
      <c r="H15" s="240"/>
      <c r="I15" s="241" t="str">
        <f aca="false">IF(H15="YES",$C$7,IF(H15="NO",0,""))</f>
        <v/>
      </c>
      <c r="J15" s="239"/>
    </row>
    <row r="16" customFormat="false" ht="14.25" hidden="false" customHeight="true" outlineLevel="0" collapsed="false">
      <c r="A16" s="238" t="s">
        <v>489</v>
      </c>
      <c r="B16" s="239"/>
      <c r="C16" s="239"/>
      <c r="D16" s="239"/>
      <c r="E16" s="239"/>
      <c r="F16" s="239"/>
      <c r="G16" s="239"/>
      <c r="H16" s="240"/>
      <c r="I16" s="241" t="str">
        <f aca="false">IF(H16="YES",$C$7,IF(H16="NO",0,""))</f>
        <v/>
      </c>
      <c r="J16" s="239"/>
    </row>
    <row r="17" customFormat="false" ht="14.25" hidden="false" customHeight="true" outlineLevel="0" collapsed="false">
      <c r="A17" s="238" t="s">
        <v>490</v>
      </c>
      <c r="B17" s="239"/>
      <c r="C17" s="239"/>
      <c r="D17" s="239"/>
      <c r="E17" s="239"/>
      <c r="F17" s="239"/>
      <c r="G17" s="239"/>
      <c r="H17" s="240"/>
      <c r="I17" s="241" t="str">
        <f aca="false">IF(H17="YES",$C$7,IF(H17="NO",0,""))</f>
        <v/>
      </c>
      <c r="J17" s="239"/>
    </row>
    <row r="18" customFormat="false" ht="14.25" hidden="false" customHeight="true" outlineLevel="0" collapsed="false">
      <c r="A18" s="238" t="s">
        <v>491</v>
      </c>
      <c r="B18" s="239"/>
      <c r="C18" s="239"/>
      <c r="D18" s="239"/>
      <c r="E18" s="239"/>
      <c r="F18" s="239"/>
      <c r="G18" s="239"/>
      <c r="H18" s="240"/>
      <c r="I18" s="241" t="str">
        <f aca="false">IF(H18="YES",$C$7,IF(H18="NO",0,""))</f>
        <v/>
      </c>
      <c r="J18" s="239"/>
    </row>
    <row r="19" customFormat="false" ht="14.25" hidden="false" customHeight="true" outlineLevel="0" collapsed="false">
      <c r="A19" s="238" t="s">
        <v>492</v>
      </c>
      <c r="B19" s="239"/>
      <c r="C19" s="239"/>
      <c r="D19" s="239"/>
      <c r="E19" s="239"/>
      <c r="F19" s="239"/>
      <c r="G19" s="239"/>
      <c r="H19" s="240"/>
      <c r="I19" s="241" t="str">
        <f aca="false">IF(H19="YES",$C$7,IF(H19="NO",0,""))</f>
        <v/>
      </c>
      <c r="J19" s="239"/>
    </row>
    <row r="20" customFormat="false" ht="14.25" hidden="false" customHeight="true" outlineLevel="0" collapsed="false">
      <c r="A20" s="238" t="s">
        <v>493</v>
      </c>
      <c r="B20" s="239"/>
      <c r="C20" s="239"/>
      <c r="D20" s="239"/>
      <c r="E20" s="239"/>
      <c r="F20" s="239"/>
      <c r="G20" s="239"/>
      <c r="H20" s="240"/>
      <c r="I20" s="241" t="str">
        <f aca="false">IF(H20="YES",$C$7,IF(H20="NO",0,""))</f>
        <v/>
      </c>
      <c r="J20" s="239"/>
    </row>
    <row r="21" customFormat="false" ht="14.25" hidden="false" customHeight="true" outlineLevel="0" collapsed="false">
      <c r="A21" s="238" t="s">
        <v>494</v>
      </c>
      <c r="B21" s="239"/>
      <c r="C21" s="239"/>
      <c r="D21" s="239"/>
      <c r="E21" s="239"/>
      <c r="F21" s="239"/>
      <c r="G21" s="239"/>
      <c r="H21" s="240"/>
      <c r="I21" s="241" t="str">
        <f aca="false">IF(H21="YES",$C$7,IF(H21="NO",0,""))</f>
        <v/>
      </c>
      <c r="J21" s="239"/>
    </row>
    <row r="22" customFormat="false" ht="14.25" hidden="false" customHeight="true" outlineLevel="0" collapsed="false">
      <c r="A22" s="238" t="s">
        <v>495</v>
      </c>
      <c r="B22" s="239"/>
      <c r="C22" s="239"/>
      <c r="D22" s="239"/>
      <c r="E22" s="239"/>
      <c r="F22" s="239"/>
      <c r="G22" s="239"/>
      <c r="H22" s="240"/>
      <c r="I22" s="241" t="str">
        <f aca="false">IF(H22="YES",$C$7,IF(H22="NO",0,""))</f>
        <v/>
      </c>
      <c r="J22" s="239"/>
    </row>
    <row r="23" customFormat="false" ht="14.25" hidden="false" customHeight="true" outlineLevel="0" collapsed="false">
      <c r="A23" s="238" t="s">
        <v>496</v>
      </c>
      <c r="B23" s="239"/>
      <c r="C23" s="239"/>
      <c r="D23" s="239"/>
      <c r="E23" s="239"/>
      <c r="F23" s="239"/>
      <c r="G23" s="239"/>
      <c r="H23" s="240"/>
      <c r="I23" s="241" t="str">
        <f aca="false">IF(H23="YES",$C$7,IF(H23="NO",0,""))</f>
        <v/>
      </c>
      <c r="J23" s="239"/>
    </row>
    <row r="24" customFormat="false" ht="14.25" hidden="false" customHeight="true" outlineLevel="0" collapsed="false">
      <c r="A24" s="238" t="s">
        <v>497</v>
      </c>
      <c r="B24" s="239"/>
      <c r="C24" s="239"/>
      <c r="D24" s="239"/>
      <c r="E24" s="239"/>
      <c r="F24" s="239"/>
      <c r="G24" s="239"/>
      <c r="H24" s="240"/>
      <c r="I24" s="241" t="str">
        <f aca="false">IF(H24="YES",$C$7,IF(H24="NO",0,""))</f>
        <v/>
      </c>
      <c r="J24" s="239"/>
    </row>
    <row r="25" customFormat="false" ht="14.25" hidden="false" customHeight="true" outlineLevel="0" collapsed="false">
      <c r="A25" s="238" t="s">
        <v>498</v>
      </c>
      <c r="B25" s="239"/>
      <c r="C25" s="239"/>
      <c r="D25" s="239"/>
      <c r="E25" s="239"/>
      <c r="F25" s="239"/>
      <c r="G25" s="239"/>
      <c r="H25" s="240"/>
      <c r="I25" s="241" t="str">
        <f aca="false">IF(H25="YES",$C$7,IF(H25="NO",0,""))</f>
        <v/>
      </c>
      <c r="J25" s="239"/>
    </row>
    <row r="26" customFormat="false" ht="14.25" hidden="false" customHeight="true" outlineLevel="0" collapsed="false">
      <c r="A26" s="238" t="s">
        <v>499</v>
      </c>
      <c r="B26" s="239"/>
      <c r="C26" s="239"/>
      <c r="D26" s="239"/>
      <c r="E26" s="239"/>
      <c r="F26" s="239"/>
      <c r="G26" s="239"/>
      <c r="H26" s="240"/>
      <c r="I26" s="241" t="str">
        <f aca="false">IF(H26="YES",$C$7,IF(H26="NO",0,""))</f>
        <v/>
      </c>
      <c r="J26" s="239"/>
    </row>
    <row r="27" customFormat="false" ht="14.25" hidden="false" customHeight="true" outlineLevel="0" collapsed="false">
      <c r="A27" s="238" t="s">
        <v>500</v>
      </c>
      <c r="B27" s="239"/>
      <c r="C27" s="239"/>
      <c r="D27" s="239"/>
      <c r="E27" s="239"/>
      <c r="F27" s="239"/>
      <c r="G27" s="239"/>
      <c r="H27" s="240"/>
      <c r="I27" s="241" t="str">
        <f aca="false">IF(H27="YES",$C$7,IF(H27="NO",0,""))</f>
        <v/>
      </c>
      <c r="J27" s="239"/>
    </row>
    <row r="28" customFormat="false" ht="14.25" hidden="false" customHeight="true" outlineLevel="0" collapsed="false">
      <c r="A28" s="238" t="s">
        <v>501</v>
      </c>
      <c r="B28" s="239"/>
      <c r="C28" s="239"/>
      <c r="D28" s="239"/>
      <c r="E28" s="239"/>
      <c r="F28" s="239"/>
      <c r="G28" s="239"/>
      <c r="H28" s="240"/>
      <c r="I28" s="241" t="str">
        <f aca="false">IF(H28="YES",$C$7,IF(H28="NO",0,""))</f>
        <v/>
      </c>
      <c r="J28" s="239"/>
    </row>
    <row r="29" customFormat="false" ht="14.25" hidden="false" customHeight="true" outlineLevel="0" collapsed="false">
      <c r="A29" s="238" t="s">
        <v>502</v>
      </c>
      <c r="B29" s="239"/>
      <c r="C29" s="239"/>
      <c r="D29" s="239"/>
      <c r="E29" s="239"/>
      <c r="F29" s="239"/>
      <c r="G29" s="239"/>
      <c r="H29" s="240"/>
      <c r="I29" s="241" t="str">
        <f aca="false">IF(H29="YES",$C$7,IF(H29="NO",0,""))</f>
        <v/>
      </c>
      <c r="J29" s="239"/>
    </row>
    <row r="30" customFormat="false" ht="14.25" hidden="false" customHeight="true" outlineLevel="0" collapsed="false">
      <c r="A30" s="238" t="s">
        <v>503</v>
      </c>
      <c r="B30" s="239"/>
      <c r="C30" s="239"/>
      <c r="D30" s="239"/>
      <c r="E30" s="239"/>
      <c r="F30" s="239"/>
      <c r="G30" s="239"/>
      <c r="H30" s="240"/>
      <c r="I30" s="241" t="str">
        <f aca="false">IF(H30="YES",$C$7,IF(H30="NO",0,""))</f>
        <v/>
      </c>
      <c r="J30" s="239"/>
    </row>
    <row r="31" customFormat="false" ht="14.25" hidden="false" customHeight="true" outlineLevel="0" collapsed="false">
      <c r="A31" s="238" t="s">
        <v>504</v>
      </c>
      <c r="B31" s="239"/>
      <c r="C31" s="239"/>
      <c r="D31" s="239"/>
      <c r="E31" s="239"/>
      <c r="F31" s="239"/>
      <c r="G31" s="239"/>
      <c r="H31" s="240"/>
      <c r="I31" s="241" t="str">
        <f aca="false">IF(H31="YES",$C$7,IF(H31="NO",0,""))</f>
        <v/>
      </c>
      <c r="J31" s="239"/>
    </row>
    <row r="32" customFormat="false" ht="14.25" hidden="false" customHeight="true" outlineLevel="0" collapsed="false">
      <c r="A32" s="238" t="s">
        <v>505</v>
      </c>
      <c r="B32" s="239"/>
      <c r="C32" s="239"/>
      <c r="D32" s="239"/>
      <c r="E32" s="239"/>
      <c r="F32" s="239"/>
      <c r="G32" s="239"/>
      <c r="H32" s="240"/>
      <c r="I32" s="241" t="str">
        <f aca="false">IF(H32="YES",$C$7,IF(H32="NO",0,""))</f>
        <v/>
      </c>
      <c r="J32" s="239"/>
    </row>
    <row r="33" customFormat="false" ht="14.25" hidden="false" customHeight="true" outlineLevel="0" collapsed="false">
      <c r="A33" s="238" t="s">
        <v>506</v>
      </c>
      <c r="B33" s="239"/>
      <c r="C33" s="239"/>
      <c r="D33" s="239"/>
      <c r="E33" s="239"/>
      <c r="F33" s="239"/>
      <c r="G33" s="239"/>
      <c r="H33" s="240"/>
      <c r="I33" s="241" t="str">
        <f aca="false">IF(H33="YES",$C$7,IF(H33="NO",0,""))</f>
        <v/>
      </c>
      <c r="J33" s="239"/>
    </row>
    <row r="34" customFormat="false" ht="14.25" hidden="false" customHeight="true" outlineLevel="0" collapsed="false">
      <c r="A34" s="238" t="s">
        <v>507</v>
      </c>
      <c r="B34" s="239"/>
      <c r="C34" s="239"/>
      <c r="D34" s="239"/>
      <c r="E34" s="239"/>
      <c r="F34" s="239"/>
      <c r="G34" s="239"/>
      <c r="H34" s="240"/>
      <c r="I34" s="241" t="str">
        <f aca="false">IF(H34="YES",$C$7,IF(H34="NO",0,""))</f>
        <v/>
      </c>
      <c r="J34" s="239"/>
    </row>
    <row r="35" customFormat="false" ht="14.25" hidden="false" customHeight="true" outlineLevel="0" collapsed="false">
      <c r="A35" s="238" t="s">
        <v>508</v>
      </c>
      <c r="B35" s="239"/>
      <c r="C35" s="239"/>
      <c r="D35" s="239"/>
      <c r="E35" s="239"/>
      <c r="F35" s="239"/>
      <c r="G35" s="239"/>
      <c r="H35" s="240"/>
      <c r="I35" s="241" t="str">
        <f aca="false">IF(H35="YES",$C$7,IF(H35="NO",0,""))</f>
        <v/>
      </c>
      <c r="J35" s="239"/>
    </row>
    <row r="36" customFormat="false" ht="14.25" hidden="false" customHeight="true" outlineLevel="0" collapsed="false">
      <c r="A36" s="238" t="s">
        <v>509</v>
      </c>
      <c r="B36" s="239"/>
      <c r="C36" s="239"/>
      <c r="D36" s="239"/>
      <c r="E36" s="239"/>
      <c r="F36" s="239"/>
      <c r="G36" s="239"/>
      <c r="H36" s="240"/>
      <c r="I36" s="241" t="str">
        <f aca="false">IF(H36="YES",$C$7,IF(H36="NO",0,""))</f>
        <v/>
      </c>
      <c r="J36" s="239"/>
    </row>
    <row r="37" customFormat="false" ht="14.25" hidden="false" customHeight="true" outlineLevel="0" collapsed="false">
      <c r="A37" s="238" t="s">
        <v>510</v>
      </c>
      <c r="B37" s="239"/>
      <c r="C37" s="239"/>
      <c r="D37" s="239"/>
      <c r="E37" s="239"/>
      <c r="F37" s="239"/>
      <c r="G37" s="239"/>
      <c r="H37" s="240"/>
      <c r="I37" s="241" t="str">
        <f aca="false">IF(H37="YES",$C$7,IF(H37="NO",0,""))</f>
        <v/>
      </c>
      <c r="J37" s="239"/>
    </row>
    <row r="38" customFormat="false" ht="14.25" hidden="false" customHeight="true" outlineLevel="0" collapsed="false">
      <c r="A38" s="238" t="s">
        <v>511</v>
      </c>
      <c r="B38" s="239"/>
      <c r="C38" s="239"/>
      <c r="D38" s="239"/>
      <c r="E38" s="239"/>
      <c r="F38" s="239"/>
      <c r="G38" s="239"/>
      <c r="H38" s="240"/>
      <c r="I38" s="241" t="str">
        <f aca="false">IF(H38="YES",$C$7,IF(H38="NO",0,""))</f>
        <v/>
      </c>
      <c r="J38" s="239"/>
    </row>
    <row r="39" customFormat="false" ht="14.25" hidden="false" customHeight="true" outlineLevel="0" collapsed="false">
      <c r="A39" s="238" t="s">
        <v>512</v>
      </c>
      <c r="B39" s="239"/>
      <c r="C39" s="239"/>
      <c r="D39" s="239"/>
      <c r="E39" s="239"/>
      <c r="F39" s="239"/>
      <c r="G39" s="239"/>
      <c r="H39" s="240"/>
      <c r="I39" s="241" t="str">
        <f aca="false">IF(H39="YES",$C$7,IF(H39="NO",0,""))</f>
        <v/>
      </c>
      <c r="J39" s="239"/>
    </row>
    <row r="40" customFormat="false" ht="14.25" hidden="false" customHeight="true" outlineLevel="0" collapsed="false">
      <c r="A40" s="238" t="s">
        <v>513</v>
      </c>
      <c r="B40" s="239"/>
      <c r="C40" s="239"/>
      <c r="D40" s="239"/>
      <c r="E40" s="239"/>
      <c r="F40" s="239"/>
      <c r="G40" s="239"/>
      <c r="H40" s="240"/>
      <c r="I40" s="241" t="str">
        <f aca="false">IF(H40="YES",$C$7,IF(H40="NO",0,""))</f>
        <v/>
      </c>
      <c r="J40" s="239"/>
    </row>
    <row r="41" customFormat="false" ht="14.25" hidden="false" customHeight="true" outlineLevel="0" collapsed="false">
      <c r="A41" s="238" t="s">
        <v>514</v>
      </c>
      <c r="B41" s="239"/>
      <c r="C41" s="239"/>
      <c r="D41" s="239"/>
      <c r="E41" s="239"/>
      <c r="F41" s="239"/>
      <c r="G41" s="239"/>
      <c r="H41" s="240"/>
      <c r="I41" s="241" t="str">
        <f aca="false">IF(H41="YES",$C$7,IF(H41="NO",0,""))</f>
        <v/>
      </c>
      <c r="J41" s="239"/>
    </row>
  </sheetData>
  <dataValidations count="1">
    <dataValidation allowBlank="true" error="Please enter a valid value (see note above the column)." errorStyle="stop" errorTitle="Invalid entry" operator="between" showDropDown="false" showErrorMessage="true" showInputMessage="false" sqref="H13:H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1" min="8" style="68" width="22"/>
    <col collapsed="false" customWidth="true" hidden="false" outlineLevel="0" max="12" min="12" style="68" width="14"/>
    <col collapsed="false" customWidth="true" hidden="false" outlineLevel="0" max="13" min="13" style="68" width="45"/>
  </cols>
  <sheetData>
    <row r="1" customFormat="false" ht="14.25" hidden="false" customHeight="true" outlineLevel="0" collapsed="false">
      <c r="A1" s="230" t="s">
        <v>777</v>
      </c>
      <c r="B1" s="230" t="s">
        <v>462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Development approvals</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Is there an effective system to prevent approval of plans that are not in conformity with municipal/city plan?</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whether there is a system with all of the following aspects:1. An approval authority for projects at each level, as defined under the T&amp;CP Act or allied Act and/or the MPC Act2. A defined process for rejection and/or variance approvals for plans that are not in conformity with the SDP, as provided under the T&amp;CP Act or allied Act and/or the MPC Act3. A registry of public projects (bus terminals, metro stations, railway stations, protected heritage buildings) and private projects. Evidence can be present on ULG/Development Authority websites4. Disclosure of all approvals, denials and variance approvals in the public domain. Evidence can be present on ULG/Development Authority websites Score 10 only if all four of the above aspects are metScore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c>
      <c r="H10" s="233" t="s">
        <v>869</v>
      </c>
    </row>
    <row r="11" customFormat="false" ht="28.5" hidden="false" customHeight="true" outlineLevel="0" collapsed="false">
      <c r="H11" s="234" t="s">
        <v>782</v>
      </c>
      <c r="I11" s="234" t="s">
        <v>782</v>
      </c>
      <c r="J11" s="234" t="s">
        <v>782</v>
      </c>
      <c r="K11" s="234" t="s">
        <v>782</v>
      </c>
      <c r="L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870</v>
      </c>
      <c r="I12" s="237" t="s">
        <v>871</v>
      </c>
      <c r="J12" s="237" t="s">
        <v>872</v>
      </c>
      <c r="K12" s="237" t="s">
        <v>873</v>
      </c>
      <c r="L12" s="235" t="s">
        <v>791</v>
      </c>
      <c r="M12" s="237" t="s">
        <v>792</v>
      </c>
    </row>
    <row r="13" customFormat="false" ht="14.25" hidden="false" customHeight="true" outlineLevel="0" collapsed="false">
      <c r="A13" s="238" t="s">
        <v>486</v>
      </c>
      <c r="B13" s="239"/>
      <c r="C13" s="239"/>
      <c r="D13" s="239"/>
      <c r="E13" s="239"/>
      <c r="F13" s="239"/>
      <c r="G13" s="239"/>
      <c r="H13" s="240"/>
      <c r="I13" s="240"/>
      <c r="J13" s="240"/>
      <c r="K13" s="240"/>
      <c r="L13" s="241" t="str">
        <f aca="false">IF(OR(H13="",I13="",J13="",K13=""),"",IF(COUNTIF(H13:K13,"YES")=4,$C$7,0))</f>
        <v/>
      </c>
      <c r="M13" s="239"/>
    </row>
    <row r="14" customFormat="false" ht="14.25" hidden="false" customHeight="true" outlineLevel="0" collapsed="false">
      <c r="A14" s="238" t="s">
        <v>487</v>
      </c>
      <c r="B14" s="239"/>
      <c r="C14" s="239"/>
      <c r="D14" s="239"/>
      <c r="E14" s="239"/>
      <c r="F14" s="239"/>
      <c r="G14" s="239"/>
      <c r="H14" s="240"/>
      <c r="I14" s="240"/>
      <c r="J14" s="240"/>
      <c r="K14" s="240"/>
      <c r="L14" s="241" t="str">
        <f aca="false">IF(OR(H14="",I14="",J14="",K14=""),"",IF(COUNTIF(H14:K14,"YES")=4,$C$7,0))</f>
        <v/>
      </c>
      <c r="M14" s="239"/>
    </row>
    <row r="15" customFormat="false" ht="14.25" hidden="false" customHeight="true" outlineLevel="0" collapsed="false">
      <c r="A15" s="238" t="s">
        <v>488</v>
      </c>
      <c r="B15" s="239"/>
      <c r="C15" s="239"/>
      <c r="D15" s="239"/>
      <c r="E15" s="239"/>
      <c r="F15" s="239"/>
      <c r="G15" s="239"/>
      <c r="H15" s="240"/>
      <c r="I15" s="240"/>
      <c r="J15" s="240"/>
      <c r="K15" s="240"/>
      <c r="L15" s="241" t="str">
        <f aca="false">IF(OR(H15="",I15="",J15="",K15=""),"",IF(COUNTIF(H15:K15,"YES")=4,$C$7,0))</f>
        <v/>
      </c>
      <c r="M15" s="239"/>
    </row>
    <row r="16" customFormat="false" ht="14.25" hidden="false" customHeight="true" outlineLevel="0" collapsed="false">
      <c r="A16" s="238" t="s">
        <v>489</v>
      </c>
      <c r="B16" s="239"/>
      <c r="C16" s="239"/>
      <c r="D16" s="239"/>
      <c r="E16" s="239"/>
      <c r="F16" s="239"/>
      <c r="G16" s="239"/>
      <c r="H16" s="240"/>
      <c r="I16" s="240"/>
      <c r="J16" s="240"/>
      <c r="K16" s="240"/>
      <c r="L16" s="241" t="str">
        <f aca="false">IF(OR(H16="",I16="",J16="",K16=""),"",IF(COUNTIF(H16:K16,"YES")=4,$C$7,0))</f>
        <v/>
      </c>
      <c r="M16" s="239"/>
    </row>
    <row r="17" customFormat="false" ht="14.25" hidden="false" customHeight="true" outlineLevel="0" collapsed="false">
      <c r="A17" s="238" t="s">
        <v>490</v>
      </c>
      <c r="B17" s="239"/>
      <c r="C17" s="239"/>
      <c r="D17" s="239"/>
      <c r="E17" s="239"/>
      <c r="F17" s="239"/>
      <c r="G17" s="239"/>
      <c r="H17" s="240"/>
      <c r="I17" s="240"/>
      <c r="J17" s="240"/>
      <c r="K17" s="240"/>
      <c r="L17" s="241" t="str">
        <f aca="false">IF(OR(H17="",I17="",J17="",K17=""),"",IF(COUNTIF(H17:K17,"YES")=4,$C$7,0))</f>
        <v/>
      </c>
      <c r="M17" s="239"/>
    </row>
    <row r="18" customFormat="false" ht="14.25" hidden="false" customHeight="true" outlineLevel="0" collapsed="false">
      <c r="A18" s="238" t="s">
        <v>491</v>
      </c>
      <c r="B18" s="239"/>
      <c r="C18" s="239"/>
      <c r="D18" s="239"/>
      <c r="E18" s="239"/>
      <c r="F18" s="239"/>
      <c r="G18" s="239"/>
      <c r="H18" s="240"/>
      <c r="I18" s="240"/>
      <c r="J18" s="240"/>
      <c r="K18" s="240"/>
      <c r="L18" s="241" t="str">
        <f aca="false">IF(OR(H18="",I18="",J18="",K18=""),"",IF(COUNTIF(H18:K18,"YES")=4,$C$7,0))</f>
        <v/>
      </c>
      <c r="M18" s="239"/>
    </row>
    <row r="19" customFormat="false" ht="14.25" hidden="false" customHeight="true" outlineLevel="0" collapsed="false">
      <c r="A19" s="238" t="s">
        <v>492</v>
      </c>
      <c r="B19" s="239"/>
      <c r="C19" s="239"/>
      <c r="D19" s="239"/>
      <c r="E19" s="239"/>
      <c r="F19" s="239"/>
      <c r="G19" s="239"/>
      <c r="H19" s="240"/>
      <c r="I19" s="240"/>
      <c r="J19" s="240"/>
      <c r="K19" s="240"/>
      <c r="L19" s="241" t="str">
        <f aca="false">IF(OR(H19="",I19="",J19="",K19=""),"",IF(COUNTIF(H19:K19,"YES")=4,$C$7,0))</f>
        <v/>
      </c>
      <c r="M19" s="239"/>
    </row>
    <row r="20" customFormat="false" ht="14.25" hidden="false" customHeight="true" outlineLevel="0" collapsed="false">
      <c r="A20" s="238" t="s">
        <v>493</v>
      </c>
      <c r="B20" s="239"/>
      <c r="C20" s="239"/>
      <c r="D20" s="239"/>
      <c r="E20" s="239"/>
      <c r="F20" s="239"/>
      <c r="G20" s="239"/>
      <c r="H20" s="240"/>
      <c r="I20" s="240"/>
      <c r="J20" s="240"/>
      <c r="K20" s="240"/>
      <c r="L20" s="241" t="str">
        <f aca="false">IF(OR(H20="",I20="",J20="",K20=""),"",IF(COUNTIF(H20:K20,"YES")=4,$C$7,0))</f>
        <v/>
      </c>
      <c r="M20" s="239"/>
    </row>
    <row r="21" customFormat="false" ht="14.25" hidden="false" customHeight="true" outlineLevel="0" collapsed="false">
      <c r="A21" s="238" t="s">
        <v>494</v>
      </c>
      <c r="B21" s="239"/>
      <c r="C21" s="239"/>
      <c r="D21" s="239"/>
      <c r="E21" s="239"/>
      <c r="F21" s="239"/>
      <c r="G21" s="239"/>
      <c r="H21" s="240"/>
      <c r="I21" s="240"/>
      <c r="J21" s="240"/>
      <c r="K21" s="240"/>
      <c r="L21" s="241" t="str">
        <f aca="false">IF(OR(H21="",I21="",J21="",K21=""),"",IF(COUNTIF(H21:K21,"YES")=4,$C$7,0))</f>
        <v/>
      </c>
      <c r="M21" s="239"/>
    </row>
    <row r="22" customFormat="false" ht="14.25" hidden="false" customHeight="true" outlineLevel="0" collapsed="false">
      <c r="A22" s="238" t="s">
        <v>495</v>
      </c>
      <c r="B22" s="239"/>
      <c r="C22" s="239"/>
      <c r="D22" s="239"/>
      <c r="E22" s="239"/>
      <c r="F22" s="239"/>
      <c r="G22" s="239"/>
      <c r="H22" s="240"/>
      <c r="I22" s="240"/>
      <c r="J22" s="240"/>
      <c r="K22" s="240"/>
      <c r="L22" s="241" t="str">
        <f aca="false">IF(OR(H22="",I22="",J22="",K22=""),"",IF(COUNTIF(H22:K22,"YES")=4,$C$7,0))</f>
        <v/>
      </c>
      <c r="M22" s="239"/>
    </row>
    <row r="23" customFormat="false" ht="14.25" hidden="false" customHeight="true" outlineLevel="0" collapsed="false">
      <c r="A23" s="238" t="s">
        <v>496</v>
      </c>
      <c r="B23" s="239"/>
      <c r="C23" s="239"/>
      <c r="D23" s="239"/>
      <c r="E23" s="239"/>
      <c r="F23" s="239"/>
      <c r="G23" s="239"/>
      <c r="H23" s="240"/>
      <c r="I23" s="240"/>
      <c r="J23" s="240"/>
      <c r="K23" s="240"/>
      <c r="L23" s="241" t="str">
        <f aca="false">IF(OR(H23="",I23="",J23="",K23=""),"",IF(COUNTIF(H23:K23,"YES")=4,$C$7,0))</f>
        <v/>
      </c>
      <c r="M23" s="239"/>
    </row>
    <row r="24" customFormat="false" ht="14.25" hidden="false" customHeight="true" outlineLevel="0" collapsed="false">
      <c r="A24" s="238" t="s">
        <v>497</v>
      </c>
      <c r="B24" s="239"/>
      <c r="C24" s="239"/>
      <c r="D24" s="239"/>
      <c r="E24" s="239"/>
      <c r="F24" s="239"/>
      <c r="G24" s="239"/>
      <c r="H24" s="240"/>
      <c r="I24" s="240"/>
      <c r="J24" s="240"/>
      <c r="K24" s="240"/>
      <c r="L24" s="241" t="str">
        <f aca="false">IF(OR(H24="",I24="",J24="",K24=""),"",IF(COUNTIF(H24:K24,"YES")=4,$C$7,0))</f>
        <v/>
      </c>
      <c r="M24" s="239"/>
    </row>
    <row r="25" customFormat="false" ht="14.25" hidden="false" customHeight="true" outlineLevel="0" collapsed="false">
      <c r="A25" s="238" t="s">
        <v>498</v>
      </c>
      <c r="B25" s="239"/>
      <c r="C25" s="239"/>
      <c r="D25" s="239"/>
      <c r="E25" s="239"/>
      <c r="F25" s="239"/>
      <c r="G25" s="239"/>
      <c r="H25" s="240"/>
      <c r="I25" s="240"/>
      <c r="J25" s="240"/>
      <c r="K25" s="240"/>
      <c r="L25" s="241" t="str">
        <f aca="false">IF(OR(H25="",I25="",J25="",K25=""),"",IF(COUNTIF(H25:K25,"YES")=4,$C$7,0))</f>
        <v/>
      </c>
      <c r="M25" s="239"/>
    </row>
    <row r="26" customFormat="false" ht="14.25" hidden="false" customHeight="true" outlineLevel="0" collapsed="false">
      <c r="A26" s="238" t="s">
        <v>499</v>
      </c>
      <c r="B26" s="239"/>
      <c r="C26" s="239"/>
      <c r="D26" s="239"/>
      <c r="E26" s="239"/>
      <c r="F26" s="239"/>
      <c r="G26" s="239"/>
      <c r="H26" s="240"/>
      <c r="I26" s="240"/>
      <c r="J26" s="240"/>
      <c r="K26" s="240"/>
      <c r="L26" s="241" t="str">
        <f aca="false">IF(OR(H26="",I26="",J26="",K26=""),"",IF(COUNTIF(H26:K26,"YES")=4,$C$7,0))</f>
        <v/>
      </c>
      <c r="M26" s="239"/>
    </row>
    <row r="27" customFormat="false" ht="14.25" hidden="false" customHeight="true" outlineLevel="0" collapsed="false">
      <c r="A27" s="238" t="s">
        <v>500</v>
      </c>
      <c r="B27" s="239"/>
      <c r="C27" s="239"/>
      <c r="D27" s="239"/>
      <c r="E27" s="239"/>
      <c r="F27" s="239"/>
      <c r="G27" s="239"/>
      <c r="H27" s="240"/>
      <c r="I27" s="240"/>
      <c r="J27" s="240"/>
      <c r="K27" s="240"/>
      <c r="L27" s="241" t="str">
        <f aca="false">IF(OR(H27="",I27="",J27="",K27=""),"",IF(COUNTIF(H27:K27,"YES")=4,$C$7,0))</f>
        <v/>
      </c>
      <c r="M27" s="239"/>
    </row>
    <row r="28" customFormat="false" ht="14.25" hidden="false" customHeight="true" outlineLevel="0" collapsed="false">
      <c r="A28" s="238" t="s">
        <v>501</v>
      </c>
      <c r="B28" s="239"/>
      <c r="C28" s="239"/>
      <c r="D28" s="239"/>
      <c r="E28" s="239"/>
      <c r="F28" s="239"/>
      <c r="G28" s="239"/>
      <c r="H28" s="240"/>
      <c r="I28" s="240"/>
      <c r="J28" s="240"/>
      <c r="K28" s="240"/>
      <c r="L28" s="241" t="str">
        <f aca="false">IF(OR(H28="",I28="",J28="",K28=""),"",IF(COUNTIF(H28:K28,"YES")=4,$C$7,0))</f>
        <v/>
      </c>
      <c r="M28" s="239"/>
    </row>
    <row r="29" customFormat="false" ht="14.25" hidden="false" customHeight="true" outlineLevel="0" collapsed="false">
      <c r="A29" s="238" t="s">
        <v>502</v>
      </c>
      <c r="B29" s="239"/>
      <c r="C29" s="239"/>
      <c r="D29" s="239"/>
      <c r="E29" s="239"/>
      <c r="F29" s="239"/>
      <c r="G29" s="239"/>
      <c r="H29" s="240"/>
      <c r="I29" s="240"/>
      <c r="J29" s="240"/>
      <c r="K29" s="240"/>
      <c r="L29" s="241" t="str">
        <f aca="false">IF(OR(H29="",I29="",J29="",K29=""),"",IF(COUNTIF(H29:K29,"YES")=4,$C$7,0))</f>
        <v/>
      </c>
      <c r="M29" s="239"/>
    </row>
    <row r="30" customFormat="false" ht="14.25" hidden="false" customHeight="true" outlineLevel="0" collapsed="false">
      <c r="A30" s="238" t="s">
        <v>503</v>
      </c>
      <c r="B30" s="239"/>
      <c r="C30" s="239"/>
      <c r="D30" s="239"/>
      <c r="E30" s="239"/>
      <c r="F30" s="239"/>
      <c r="G30" s="239"/>
      <c r="H30" s="240"/>
      <c r="I30" s="240"/>
      <c r="J30" s="240"/>
      <c r="K30" s="240"/>
      <c r="L30" s="241" t="str">
        <f aca="false">IF(OR(H30="",I30="",J30="",K30=""),"",IF(COUNTIF(H30:K30,"YES")=4,$C$7,0))</f>
        <v/>
      </c>
      <c r="M30" s="239"/>
    </row>
    <row r="31" customFormat="false" ht="14.25" hidden="false" customHeight="true" outlineLevel="0" collapsed="false">
      <c r="A31" s="238" t="s">
        <v>504</v>
      </c>
      <c r="B31" s="239"/>
      <c r="C31" s="239"/>
      <c r="D31" s="239"/>
      <c r="E31" s="239"/>
      <c r="F31" s="239"/>
      <c r="G31" s="239"/>
      <c r="H31" s="240"/>
      <c r="I31" s="240"/>
      <c r="J31" s="240"/>
      <c r="K31" s="240"/>
      <c r="L31" s="241" t="str">
        <f aca="false">IF(OR(H31="",I31="",J31="",K31=""),"",IF(COUNTIF(H31:K31,"YES")=4,$C$7,0))</f>
        <v/>
      </c>
      <c r="M31" s="239"/>
    </row>
    <row r="32" customFormat="false" ht="14.25" hidden="false" customHeight="true" outlineLevel="0" collapsed="false">
      <c r="A32" s="238" t="s">
        <v>505</v>
      </c>
      <c r="B32" s="239"/>
      <c r="C32" s="239"/>
      <c r="D32" s="239"/>
      <c r="E32" s="239"/>
      <c r="F32" s="239"/>
      <c r="G32" s="239"/>
      <c r="H32" s="240"/>
      <c r="I32" s="240"/>
      <c r="J32" s="240"/>
      <c r="K32" s="240"/>
      <c r="L32" s="241" t="str">
        <f aca="false">IF(OR(H32="",I32="",J32="",K32=""),"",IF(COUNTIF(H32:K32,"YES")=4,$C$7,0))</f>
        <v/>
      </c>
      <c r="M32" s="239"/>
    </row>
    <row r="33" customFormat="false" ht="14.25" hidden="false" customHeight="true" outlineLevel="0" collapsed="false">
      <c r="A33" s="238" t="s">
        <v>506</v>
      </c>
      <c r="B33" s="239"/>
      <c r="C33" s="239"/>
      <c r="D33" s="239"/>
      <c r="E33" s="239"/>
      <c r="F33" s="239"/>
      <c r="G33" s="239"/>
      <c r="H33" s="240"/>
      <c r="I33" s="240"/>
      <c r="J33" s="240"/>
      <c r="K33" s="240"/>
      <c r="L33" s="241" t="str">
        <f aca="false">IF(OR(H33="",I33="",J33="",K33=""),"",IF(COUNTIF(H33:K33,"YES")=4,$C$7,0))</f>
        <v/>
      </c>
      <c r="M33" s="239"/>
    </row>
    <row r="34" customFormat="false" ht="14.25" hidden="false" customHeight="true" outlineLevel="0" collapsed="false">
      <c r="A34" s="238" t="s">
        <v>507</v>
      </c>
      <c r="B34" s="239"/>
      <c r="C34" s="239"/>
      <c r="D34" s="239"/>
      <c r="E34" s="239"/>
      <c r="F34" s="239"/>
      <c r="G34" s="239"/>
      <c r="H34" s="240"/>
      <c r="I34" s="240"/>
      <c r="J34" s="240"/>
      <c r="K34" s="240"/>
      <c r="L34" s="241" t="str">
        <f aca="false">IF(OR(H34="",I34="",J34="",K34=""),"",IF(COUNTIF(H34:K34,"YES")=4,$C$7,0))</f>
        <v/>
      </c>
      <c r="M34" s="239"/>
    </row>
    <row r="35" customFormat="false" ht="14.25" hidden="false" customHeight="true" outlineLevel="0" collapsed="false">
      <c r="A35" s="238" t="s">
        <v>508</v>
      </c>
      <c r="B35" s="239"/>
      <c r="C35" s="239"/>
      <c r="D35" s="239"/>
      <c r="E35" s="239"/>
      <c r="F35" s="239"/>
      <c r="G35" s="239"/>
      <c r="H35" s="240"/>
      <c r="I35" s="240"/>
      <c r="J35" s="240"/>
      <c r="K35" s="240"/>
      <c r="L35" s="241" t="str">
        <f aca="false">IF(OR(H35="",I35="",J35="",K35=""),"",IF(COUNTIF(H35:K35,"YES")=4,$C$7,0))</f>
        <v/>
      </c>
      <c r="M35" s="239"/>
    </row>
    <row r="36" customFormat="false" ht="14.25" hidden="false" customHeight="true" outlineLevel="0" collapsed="false">
      <c r="A36" s="238" t="s">
        <v>509</v>
      </c>
      <c r="B36" s="239"/>
      <c r="C36" s="239"/>
      <c r="D36" s="239"/>
      <c r="E36" s="239"/>
      <c r="F36" s="239"/>
      <c r="G36" s="239"/>
      <c r="H36" s="240"/>
      <c r="I36" s="240"/>
      <c r="J36" s="240"/>
      <c r="K36" s="240"/>
      <c r="L36" s="241" t="str">
        <f aca="false">IF(OR(H36="",I36="",J36="",K36=""),"",IF(COUNTIF(H36:K36,"YES")=4,$C$7,0))</f>
        <v/>
      </c>
      <c r="M36" s="239"/>
    </row>
    <row r="37" customFormat="false" ht="14.25" hidden="false" customHeight="true" outlineLevel="0" collapsed="false">
      <c r="A37" s="238" t="s">
        <v>510</v>
      </c>
      <c r="B37" s="239"/>
      <c r="C37" s="239"/>
      <c r="D37" s="239"/>
      <c r="E37" s="239"/>
      <c r="F37" s="239"/>
      <c r="G37" s="239"/>
      <c r="H37" s="240"/>
      <c r="I37" s="240"/>
      <c r="J37" s="240"/>
      <c r="K37" s="240"/>
      <c r="L37" s="241" t="str">
        <f aca="false">IF(OR(H37="",I37="",J37="",K37=""),"",IF(COUNTIF(H37:K37,"YES")=4,$C$7,0))</f>
        <v/>
      </c>
      <c r="M37" s="239"/>
    </row>
    <row r="38" customFormat="false" ht="14.25" hidden="false" customHeight="true" outlineLevel="0" collapsed="false">
      <c r="A38" s="238" t="s">
        <v>511</v>
      </c>
      <c r="B38" s="239"/>
      <c r="C38" s="239"/>
      <c r="D38" s="239"/>
      <c r="E38" s="239"/>
      <c r="F38" s="239"/>
      <c r="G38" s="239"/>
      <c r="H38" s="240"/>
      <c r="I38" s="240"/>
      <c r="J38" s="240"/>
      <c r="K38" s="240"/>
      <c r="L38" s="241" t="str">
        <f aca="false">IF(OR(H38="",I38="",J38="",K38=""),"",IF(COUNTIF(H38:K38,"YES")=4,$C$7,0))</f>
        <v/>
      </c>
      <c r="M38" s="239"/>
    </row>
    <row r="39" customFormat="false" ht="14.25" hidden="false" customHeight="true" outlineLevel="0" collapsed="false">
      <c r="A39" s="238" t="s">
        <v>512</v>
      </c>
      <c r="B39" s="239"/>
      <c r="C39" s="239"/>
      <c r="D39" s="239"/>
      <c r="E39" s="239"/>
      <c r="F39" s="239"/>
      <c r="G39" s="239"/>
      <c r="H39" s="240"/>
      <c r="I39" s="240"/>
      <c r="J39" s="240"/>
      <c r="K39" s="240"/>
      <c r="L39" s="241" t="str">
        <f aca="false">IF(OR(H39="",I39="",J39="",K39=""),"",IF(COUNTIF(H39:K39,"YES")=4,$C$7,0))</f>
        <v/>
      </c>
      <c r="M39" s="239"/>
    </row>
    <row r="40" customFormat="false" ht="14.25" hidden="false" customHeight="true" outlineLevel="0" collapsed="false">
      <c r="A40" s="238" t="s">
        <v>513</v>
      </c>
      <c r="B40" s="239"/>
      <c r="C40" s="239"/>
      <c r="D40" s="239"/>
      <c r="E40" s="239"/>
      <c r="F40" s="239"/>
      <c r="G40" s="239"/>
      <c r="H40" s="240"/>
      <c r="I40" s="240"/>
      <c r="J40" s="240"/>
      <c r="K40" s="240"/>
      <c r="L40" s="241" t="str">
        <f aca="false">IF(OR(H40="",I40="",J40="",K40=""),"",IF(COUNTIF(H40:K40,"YES")=4,$C$7,0))</f>
        <v/>
      </c>
      <c r="M40" s="239"/>
    </row>
    <row r="41" customFormat="false" ht="14.25" hidden="false" customHeight="true" outlineLevel="0" collapsed="false">
      <c r="A41" s="238" t="s">
        <v>514</v>
      </c>
      <c r="B41" s="239"/>
      <c r="C41" s="239"/>
      <c r="D41" s="239"/>
      <c r="E41" s="239"/>
      <c r="F41" s="239"/>
      <c r="G41" s="239"/>
      <c r="H41" s="240"/>
      <c r="I41" s="240"/>
      <c r="J41" s="240"/>
      <c r="K41" s="240"/>
      <c r="L41" s="241" t="str">
        <f aca="false">IF(OR(H41="",I41="",J41="",K41=""),"",IF(COUNTIF(H41:K41,"YES")=4,$C$7,0))</f>
        <v/>
      </c>
      <c r="M41" s="239"/>
    </row>
  </sheetData>
  <dataValidations count="1">
    <dataValidation allowBlank="true" error="Please enter a valid value (see note above the column)." errorStyle="stop" errorTitle="Invalid entry" operator="between" showDropDown="false" showErrorMessage="true" showInputMessage="false" sqref="H13:K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472</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Does the law mandate a system for monitoring ongoing construction/projects for possible violations?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applicable T&amp;CP Act or the allied Act, and Municipal Act for provisions for the following:1. Authority to inspect ongoing construction/projects.2. Stage-wise inspections or monitoring during construction, including, where applicable, commencement, plinth, intermediate stages and/or completion.3. Power to issue notices or stop-work directions where unauthorised or non-conforming construction is identified. Score 5 if all three of the aspects are met. 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869</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874</v>
      </c>
      <c r="I12" s="237" t="s">
        <v>875</v>
      </c>
      <c r="J12" s="237" t="s">
        <v>876</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IF(OR(H13="",I13="",J13=""),"",IF(COUNTIF(H13:J13,"YES")=3,$C$7,0))</f>
        <v/>
      </c>
      <c r="L13" s="239"/>
    </row>
    <row r="14" customFormat="false" ht="14.25" hidden="false" customHeight="true" outlineLevel="0" collapsed="false">
      <c r="A14" s="238" t="s">
        <v>487</v>
      </c>
      <c r="B14" s="239"/>
      <c r="C14" s="239"/>
      <c r="D14" s="239"/>
      <c r="E14" s="239"/>
      <c r="F14" s="239"/>
      <c r="G14" s="239"/>
      <c r="H14" s="240"/>
      <c r="I14" s="240"/>
      <c r="J14" s="240"/>
      <c r="K14" s="241" t="str">
        <f aca="false">IF(OR(H14="",I14="",J14=""),"",IF(COUNTIF(H14:J14,"YES")=3,$C$7,0))</f>
        <v/>
      </c>
      <c r="L14" s="239"/>
    </row>
    <row r="15" customFormat="false" ht="14.25" hidden="false" customHeight="true" outlineLevel="0" collapsed="false">
      <c r="A15" s="238" t="s">
        <v>488</v>
      </c>
      <c r="B15" s="239"/>
      <c r="C15" s="239"/>
      <c r="D15" s="239"/>
      <c r="E15" s="239"/>
      <c r="F15" s="239"/>
      <c r="G15" s="239"/>
      <c r="H15" s="240"/>
      <c r="I15" s="240"/>
      <c r="J15" s="240"/>
      <c r="K15" s="241" t="str">
        <f aca="false">IF(OR(H15="",I15="",J15=""),"",IF(COUNTIF(H15:J15,"YES")=3,$C$7,0))</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IF(OR(H16="",I16="",J16=""),"",IF(COUNTIF(H16:J16,"YES")=3,$C$7,0))</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IF(OR(H17="",I17="",J17=""),"",IF(COUNTIF(H17:J17,"YES")=3,$C$7,0))</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IF(OR(H18="",I18="",J18=""),"",IF(COUNTIF(H18:J18,"YES")=3,$C$7,0))</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IF(OR(H19="",I19="",J19=""),"",IF(COUNTIF(H19:J19,"YES")=3,$C$7,0))</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IF(OR(H20="",I20="",J20=""),"",IF(COUNTIF(H20:J20,"YES")=3,$C$7,0))</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IF(OR(H21="",I21="",J21=""),"",IF(COUNTIF(H21:J21,"YES")=3,$C$7,0))</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IF(OR(H22="",I22="",J22=""),"",IF(COUNTIF(H22:J22,"YES")=3,$C$7,0))</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IF(OR(H23="",I23="",J23=""),"",IF(COUNTIF(H23:J23,"YES")=3,$C$7,0))</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IF(OR(H24="",I24="",J24=""),"",IF(COUNTIF(H24:J24,"YES")=3,$C$7,0))</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IF(OR(H25="",I25="",J25=""),"",IF(COUNTIF(H25:J25,"YES")=3,$C$7,0))</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IF(OR(H26="",I26="",J26=""),"",IF(COUNTIF(H26:J26,"YES")=3,$C$7,0))</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IF(OR(H27="",I27="",J27=""),"",IF(COUNTIF(H27:J27,"YES")=3,$C$7,0))</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IF(OR(H28="",I28="",J28=""),"",IF(COUNTIF(H28:J28,"YES")=3,$C$7,0))</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IF(OR(H29="",I29="",J29=""),"",IF(COUNTIF(H29:J29,"YES")=3,$C$7,0))</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IF(OR(H30="",I30="",J30=""),"",IF(COUNTIF(H30:J30,"YES")=3,$C$7,0))</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IF(OR(H31="",I31="",J31=""),"",IF(COUNTIF(H31:J31,"YES")=3,$C$7,0))</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IF(OR(H32="",I32="",J32=""),"",IF(COUNTIF(H32:J32,"YES")=3,$C$7,0))</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IF(OR(H33="",I33="",J33=""),"",IF(COUNTIF(H33:J33,"YES")=3,$C$7,0))</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IF(OR(H34="",I34="",J34=""),"",IF(COUNTIF(H34:J34,"YES")=3,$C$7,0))</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IF(OR(H35="",I35="",J35=""),"",IF(COUNTIF(H35:J35,"YES")=3,$C$7,0))</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IF(OR(H36="",I36="",J36=""),"",IF(COUNTIF(H36:J36,"YES")=3,$C$7,0))</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IF(OR(H37="",I37="",J37=""),"",IF(COUNTIF(H37:J37,"YES")=3,$C$7,0))</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IF(OR(H38="",I38="",J38=""),"",IF(COUNTIF(H38:J38,"YES")=3,$C$7,0))</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IF(OR(H39="",I39="",J39=""),"",IF(COUNTIF(H39:J39,"YES")=3,$C$7,0))</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IF(OR(H40="",I40="",J40=""),"",IF(COUNTIF(H40:J40,"YES")=3,$C$7,0))</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IF(OR(H41="",I41="",J41=""),"",IF(COUNTIF(H41:J41,"YES")=3,$C$7,0))</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2" activeCellId="0" sqref="A12"/>
    </sheetView>
  </sheetViews>
  <sheetFormatPr defaultColWidth="8.5703125" defaultRowHeight="14.25" customHeight="false" zeroHeight="false" outlineLevelRow="0" outlineLevelCol="0"/>
  <cols>
    <col collapsed="false" customWidth="true" hidden="false" outlineLevel="0" max="1" min="1" style="68" width="18"/>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10" min="8" style="68" width="22"/>
    <col collapsed="false" customWidth="true" hidden="false" outlineLevel="0" max="11" min="11" style="68" width="14"/>
    <col collapsed="false" customWidth="true" hidden="false" outlineLevel="0" max="12" min="12" style="68" width="45"/>
  </cols>
  <sheetData>
    <row r="1" customFormat="false" ht="14.25" hidden="false" customHeight="true" outlineLevel="0" collapsed="false">
      <c r="A1" s="230" t="s">
        <v>777</v>
      </c>
      <c r="B1" s="230" t="s">
        <v>476</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 &gt;:&lt; Enforcement</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 &gt;:&lt; Development Compliance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Construction monitoring &gt;:&lt; Construction monitoring</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 &gt;:&lt; SQ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Does the law mandate mechanisms for monitoring ongoing construction/development projects for compliance with approved plans and permissions?   &gt;:&lt; Has a system for monitoring ongoing construction/projects for possible violations been implemented?</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 &gt;:&lt; 5</v>
      </c>
      <c r="C7" s="232" t="n">
        <f aca="false">VLOOKUP($B$1,'UPD Questions_290926 '!$E$1:$N$300,MATCH($A$7,'UPD Questions_290926 '!$E$1:$N$1,0),0)</f>
        <v>5</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Implementation &gt;:&lt; Implementation</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Sum of the sub-questions below  &gt;:&lt; Check the ULG/Development Authority websites whether the monitoring process includes all of the following:1.Online self-assessment/reporting of construction progress, including uploading photographs and requisite compliance documents2. Periodic ground surveys/inspections of approved projects, covering either all projects or a defined sample3. Public disclosure of monitoring information, including compliance numbers/status, violations registered and action taken. Score 5 if all three elements are operational.Score 0 otherwise.</v>
      </c>
    </row>
    <row r="10" customFormat="false" ht="30"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 &gt;:&lt; </v>
      </c>
      <c r="H10" s="233" t="s">
        <v>869</v>
      </c>
    </row>
    <row r="11" customFormat="false" ht="28.5" hidden="false" customHeight="true" outlineLevel="0" collapsed="false">
      <c r="H11" s="234" t="s">
        <v>782</v>
      </c>
      <c r="I11" s="234" t="s">
        <v>782</v>
      </c>
      <c r="J11" s="234" t="s">
        <v>782</v>
      </c>
      <c r="K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877</v>
      </c>
      <c r="I12" s="237" t="s">
        <v>878</v>
      </c>
      <c r="J12" s="237" t="s">
        <v>879</v>
      </c>
      <c r="K12" s="235" t="s">
        <v>791</v>
      </c>
      <c r="L12" s="237" t="s">
        <v>792</v>
      </c>
    </row>
    <row r="13" customFormat="false" ht="14.25" hidden="false" customHeight="true" outlineLevel="0" collapsed="false">
      <c r="A13" s="238" t="s">
        <v>486</v>
      </c>
      <c r="B13" s="239"/>
      <c r="C13" s="239"/>
      <c r="D13" s="239"/>
      <c r="E13" s="239"/>
      <c r="F13" s="239"/>
      <c r="G13" s="239"/>
      <c r="H13" s="240"/>
      <c r="I13" s="240"/>
      <c r="J13" s="240"/>
      <c r="K13" s="241" t="str">
        <f aca="false">IF(OR(H13="",I13="",J13=""),"",IF(COUNTIF(H13:J13,"YES")=3,$C$7,0))</f>
        <v/>
      </c>
      <c r="L13" s="239"/>
    </row>
    <row r="14" customFormat="false" ht="14.25" hidden="false" customHeight="true" outlineLevel="0" collapsed="false">
      <c r="A14" s="238" t="s">
        <v>487</v>
      </c>
      <c r="B14" s="239"/>
      <c r="C14" s="239"/>
      <c r="D14" s="239"/>
      <c r="E14" s="239"/>
      <c r="F14" s="239"/>
      <c r="G14" s="239"/>
      <c r="H14" s="240"/>
      <c r="I14" s="240"/>
      <c r="J14" s="240"/>
      <c r="K14" s="241" t="str">
        <f aca="false">IF(OR(H14="",I14="",J14=""),"",IF(COUNTIF(H14:J14,"YES")=3,$C$7,0))</f>
        <v/>
      </c>
      <c r="L14" s="239"/>
    </row>
    <row r="15" customFormat="false" ht="14.25" hidden="false" customHeight="true" outlineLevel="0" collapsed="false">
      <c r="A15" s="238" t="s">
        <v>488</v>
      </c>
      <c r="B15" s="239"/>
      <c r="C15" s="239"/>
      <c r="D15" s="239"/>
      <c r="E15" s="239"/>
      <c r="F15" s="239"/>
      <c r="G15" s="239"/>
      <c r="H15" s="240"/>
      <c r="I15" s="240"/>
      <c r="J15" s="240"/>
      <c r="K15" s="241" t="str">
        <f aca="false">IF(OR(H15="",I15="",J15=""),"",IF(COUNTIF(H15:J15,"YES")=3,$C$7,0))</f>
        <v/>
      </c>
      <c r="L15" s="239"/>
    </row>
    <row r="16" customFormat="false" ht="14.25" hidden="false" customHeight="true" outlineLevel="0" collapsed="false">
      <c r="A16" s="238" t="s">
        <v>489</v>
      </c>
      <c r="B16" s="239"/>
      <c r="C16" s="239"/>
      <c r="D16" s="239"/>
      <c r="E16" s="239"/>
      <c r="F16" s="239"/>
      <c r="G16" s="239"/>
      <c r="H16" s="240"/>
      <c r="I16" s="240"/>
      <c r="J16" s="240"/>
      <c r="K16" s="241" t="str">
        <f aca="false">IF(OR(H16="",I16="",J16=""),"",IF(COUNTIF(H16:J16,"YES")=3,$C$7,0))</f>
        <v/>
      </c>
      <c r="L16" s="239"/>
    </row>
    <row r="17" customFormat="false" ht="14.25" hidden="false" customHeight="true" outlineLevel="0" collapsed="false">
      <c r="A17" s="238" t="s">
        <v>490</v>
      </c>
      <c r="B17" s="239"/>
      <c r="C17" s="239"/>
      <c r="D17" s="239"/>
      <c r="E17" s="239"/>
      <c r="F17" s="239"/>
      <c r="G17" s="239"/>
      <c r="H17" s="240"/>
      <c r="I17" s="240"/>
      <c r="J17" s="240"/>
      <c r="K17" s="241" t="str">
        <f aca="false">IF(OR(H17="",I17="",J17=""),"",IF(COUNTIF(H17:J17,"YES")=3,$C$7,0))</f>
        <v/>
      </c>
      <c r="L17" s="239"/>
    </row>
    <row r="18" customFormat="false" ht="14.25" hidden="false" customHeight="true" outlineLevel="0" collapsed="false">
      <c r="A18" s="238" t="s">
        <v>491</v>
      </c>
      <c r="B18" s="239"/>
      <c r="C18" s="239"/>
      <c r="D18" s="239"/>
      <c r="E18" s="239"/>
      <c r="F18" s="239"/>
      <c r="G18" s="239"/>
      <c r="H18" s="240"/>
      <c r="I18" s="240"/>
      <c r="J18" s="240"/>
      <c r="K18" s="241" t="str">
        <f aca="false">IF(OR(H18="",I18="",J18=""),"",IF(COUNTIF(H18:J18,"YES")=3,$C$7,0))</f>
        <v/>
      </c>
      <c r="L18" s="239"/>
    </row>
    <row r="19" customFormat="false" ht="14.25" hidden="false" customHeight="true" outlineLevel="0" collapsed="false">
      <c r="A19" s="238" t="s">
        <v>492</v>
      </c>
      <c r="B19" s="239"/>
      <c r="C19" s="239"/>
      <c r="D19" s="239"/>
      <c r="E19" s="239"/>
      <c r="F19" s="239"/>
      <c r="G19" s="239"/>
      <c r="H19" s="240"/>
      <c r="I19" s="240"/>
      <c r="J19" s="240"/>
      <c r="K19" s="241" t="str">
        <f aca="false">IF(OR(H19="",I19="",J19=""),"",IF(COUNTIF(H19:J19,"YES")=3,$C$7,0))</f>
        <v/>
      </c>
      <c r="L19" s="239"/>
    </row>
    <row r="20" customFormat="false" ht="14.25" hidden="false" customHeight="true" outlineLevel="0" collapsed="false">
      <c r="A20" s="238" t="s">
        <v>493</v>
      </c>
      <c r="B20" s="239"/>
      <c r="C20" s="239"/>
      <c r="D20" s="239"/>
      <c r="E20" s="239"/>
      <c r="F20" s="239"/>
      <c r="G20" s="239"/>
      <c r="H20" s="240"/>
      <c r="I20" s="240"/>
      <c r="J20" s="240"/>
      <c r="K20" s="241" t="str">
        <f aca="false">IF(OR(H20="",I20="",J20=""),"",IF(COUNTIF(H20:J20,"YES")=3,$C$7,0))</f>
        <v/>
      </c>
      <c r="L20" s="239"/>
    </row>
    <row r="21" customFormat="false" ht="14.25" hidden="false" customHeight="true" outlineLevel="0" collapsed="false">
      <c r="A21" s="238" t="s">
        <v>494</v>
      </c>
      <c r="B21" s="239"/>
      <c r="C21" s="239"/>
      <c r="D21" s="239"/>
      <c r="E21" s="239"/>
      <c r="F21" s="239"/>
      <c r="G21" s="239"/>
      <c r="H21" s="240"/>
      <c r="I21" s="240"/>
      <c r="J21" s="240"/>
      <c r="K21" s="241" t="str">
        <f aca="false">IF(OR(H21="",I21="",J21=""),"",IF(COUNTIF(H21:J21,"YES")=3,$C$7,0))</f>
        <v/>
      </c>
      <c r="L21" s="239"/>
    </row>
    <row r="22" customFormat="false" ht="14.25" hidden="false" customHeight="true" outlineLevel="0" collapsed="false">
      <c r="A22" s="238" t="s">
        <v>495</v>
      </c>
      <c r="B22" s="239"/>
      <c r="C22" s="239"/>
      <c r="D22" s="239"/>
      <c r="E22" s="239"/>
      <c r="F22" s="239"/>
      <c r="G22" s="239"/>
      <c r="H22" s="240"/>
      <c r="I22" s="240"/>
      <c r="J22" s="240"/>
      <c r="K22" s="241" t="str">
        <f aca="false">IF(OR(H22="",I22="",J22=""),"",IF(COUNTIF(H22:J22,"YES")=3,$C$7,0))</f>
        <v/>
      </c>
      <c r="L22" s="239"/>
    </row>
    <row r="23" customFormat="false" ht="14.25" hidden="false" customHeight="true" outlineLevel="0" collapsed="false">
      <c r="A23" s="238" t="s">
        <v>496</v>
      </c>
      <c r="B23" s="239"/>
      <c r="C23" s="239"/>
      <c r="D23" s="239"/>
      <c r="E23" s="239"/>
      <c r="F23" s="239"/>
      <c r="G23" s="239"/>
      <c r="H23" s="240"/>
      <c r="I23" s="240"/>
      <c r="J23" s="240"/>
      <c r="K23" s="241" t="str">
        <f aca="false">IF(OR(H23="",I23="",J23=""),"",IF(COUNTIF(H23:J23,"YES")=3,$C$7,0))</f>
        <v/>
      </c>
      <c r="L23" s="239"/>
    </row>
    <row r="24" customFormat="false" ht="14.25" hidden="false" customHeight="true" outlineLevel="0" collapsed="false">
      <c r="A24" s="238" t="s">
        <v>497</v>
      </c>
      <c r="B24" s="239"/>
      <c r="C24" s="239"/>
      <c r="D24" s="239"/>
      <c r="E24" s="239"/>
      <c r="F24" s="239"/>
      <c r="G24" s="239"/>
      <c r="H24" s="240"/>
      <c r="I24" s="240"/>
      <c r="J24" s="240"/>
      <c r="K24" s="241" t="str">
        <f aca="false">IF(OR(H24="",I24="",J24=""),"",IF(COUNTIF(H24:J24,"YES")=3,$C$7,0))</f>
        <v/>
      </c>
      <c r="L24" s="239"/>
    </row>
    <row r="25" customFormat="false" ht="14.25" hidden="false" customHeight="true" outlineLevel="0" collapsed="false">
      <c r="A25" s="238" t="s">
        <v>498</v>
      </c>
      <c r="B25" s="239"/>
      <c r="C25" s="239"/>
      <c r="D25" s="239"/>
      <c r="E25" s="239"/>
      <c r="F25" s="239"/>
      <c r="G25" s="239"/>
      <c r="H25" s="240"/>
      <c r="I25" s="240"/>
      <c r="J25" s="240"/>
      <c r="K25" s="241" t="str">
        <f aca="false">IF(OR(H25="",I25="",J25=""),"",IF(COUNTIF(H25:J25,"YES")=3,$C$7,0))</f>
        <v/>
      </c>
      <c r="L25" s="239"/>
    </row>
    <row r="26" customFormat="false" ht="14.25" hidden="false" customHeight="true" outlineLevel="0" collapsed="false">
      <c r="A26" s="238" t="s">
        <v>499</v>
      </c>
      <c r="B26" s="239"/>
      <c r="C26" s="239"/>
      <c r="D26" s="239"/>
      <c r="E26" s="239"/>
      <c r="F26" s="239"/>
      <c r="G26" s="239"/>
      <c r="H26" s="240"/>
      <c r="I26" s="240"/>
      <c r="J26" s="240"/>
      <c r="K26" s="241" t="str">
        <f aca="false">IF(OR(H26="",I26="",J26=""),"",IF(COUNTIF(H26:J26,"YES")=3,$C$7,0))</f>
        <v/>
      </c>
      <c r="L26" s="239"/>
    </row>
    <row r="27" customFormat="false" ht="14.25" hidden="false" customHeight="true" outlineLevel="0" collapsed="false">
      <c r="A27" s="238" t="s">
        <v>500</v>
      </c>
      <c r="B27" s="239"/>
      <c r="C27" s="239"/>
      <c r="D27" s="239"/>
      <c r="E27" s="239"/>
      <c r="F27" s="239"/>
      <c r="G27" s="239"/>
      <c r="H27" s="240"/>
      <c r="I27" s="240"/>
      <c r="J27" s="240"/>
      <c r="K27" s="241" t="str">
        <f aca="false">IF(OR(H27="",I27="",J27=""),"",IF(COUNTIF(H27:J27,"YES")=3,$C$7,0))</f>
        <v/>
      </c>
      <c r="L27" s="239"/>
    </row>
    <row r="28" customFormat="false" ht="14.25" hidden="false" customHeight="true" outlineLevel="0" collapsed="false">
      <c r="A28" s="238" t="s">
        <v>501</v>
      </c>
      <c r="B28" s="239"/>
      <c r="C28" s="239"/>
      <c r="D28" s="239"/>
      <c r="E28" s="239"/>
      <c r="F28" s="239"/>
      <c r="G28" s="239"/>
      <c r="H28" s="240"/>
      <c r="I28" s="240"/>
      <c r="J28" s="240"/>
      <c r="K28" s="241" t="str">
        <f aca="false">IF(OR(H28="",I28="",J28=""),"",IF(COUNTIF(H28:J28,"YES")=3,$C$7,0))</f>
        <v/>
      </c>
      <c r="L28" s="239"/>
    </row>
    <row r="29" customFormat="false" ht="14.25" hidden="false" customHeight="true" outlineLevel="0" collapsed="false">
      <c r="A29" s="238" t="s">
        <v>502</v>
      </c>
      <c r="B29" s="239"/>
      <c r="C29" s="239"/>
      <c r="D29" s="239"/>
      <c r="E29" s="239"/>
      <c r="F29" s="239"/>
      <c r="G29" s="239"/>
      <c r="H29" s="240"/>
      <c r="I29" s="240"/>
      <c r="J29" s="240"/>
      <c r="K29" s="241" t="str">
        <f aca="false">IF(OR(H29="",I29="",J29=""),"",IF(COUNTIF(H29:J29,"YES")=3,$C$7,0))</f>
        <v/>
      </c>
      <c r="L29" s="239"/>
    </row>
    <row r="30" customFormat="false" ht="14.25" hidden="false" customHeight="true" outlineLevel="0" collapsed="false">
      <c r="A30" s="238" t="s">
        <v>503</v>
      </c>
      <c r="B30" s="239"/>
      <c r="C30" s="239"/>
      <c r="D30" s="239"/>
      <c r="E30" s="239"/>
      <c r="F30" s="239"/>
      <c r="G30" s="239"/>
      <c r="H30" s="240"/>
      <c r="I30" s="240"/>
      <c r="J30" s="240"/>
      <c r="K30" s="241" t="str">
        <f aca="false">IF(OR(H30="",I30="",J30=""),"",IF(COUNTIF(H30:J30,"YES")=3,$C$7,0))</f>
        <v/>
      </c>
      <c r="L30" s="239"/>
    </row>
    <row r="31" customFormat="false" ht="14.25" hidden="false" customHeight="true" outlineLevel="0" collapsed="false">
      <c r="A31" s="238" t="s">
        <v>504</v>
      </c>
      <c r="B31" s="239"/>
      <c r="C31" s="239"/>
      <c r="D31" s="239"/>
      <c r="E31" s="239"/>
      <c r="F31" s="239"/>
      <c r="G31" s="239"/>
      <c r="H31" s="240"/>
      <c r="I31" s="240"/>
      <c r="J31" s="240"/>
      <c r="K31" s="241" t="str">
        <f aca="false">IF(OR(H31="",I31="",J31=""),"",IF(COUNTIF(H31:J31,"YES")=3,$C$7,0))</f>
        <v/>
      </c>
      <c r="L31" s="239"/>
    </row>
    <row r="32" customFormat="false" ht="14.25" hidden="false" customHeight="true" outlineLevel="0" collapsed="false">
      <c r="A32" s="238" t="s">
        <v>505</v>
      </c>
      <c r="B32" s="239"/>
      <c r="C32" s="239"/>
      <c r="D32" s="239"/>
      <c r="E32" s="239"/>
      <c r="F32" s="239"/>
      <c r="G32" s="239"/>
      <c r="H32" s="240"/>
      <c r="I32" s="240"/>
      <c r="J32" s="240"/>
      <c r="K32" s="241" t="str">
        <f aca="false">IF(OR(H32="",I32="",J32=""),"",IF(COUNTIF(H32:J32,"YES")=3,$C$7,0))</f>
        <v/>
      </c>
      <c r="L32" s="239"/>
    </row>
    <row r="33" customFormat="false" ht="14.25" hidden="false" customHeight="true" outlineLevel="0" collapsed="false">
      <c r="A33" s="238" t="s">
        <v>506</v>
      </c>
      <c r="B33" s="239"/>
      <c r="C33" s="239"/>
      <c r="D33" s="239"/>
      <c r="E33" s="239"/>
      <c r="F33" s="239"/>
      <c r="G33" s="239"/>
      <c r="H33" s="240"/>
      <c r="I33" s="240"/>
      <c r="J33" s="240"/>
      <c r="K33" s="241" t="str">
        <f aca="false">IF(OR(H33="",I33="",J33=""),"",IF(COUNTIF(H33:J33,"YES")=3,$C$7,0))</f>
        <v/>
      </c>
      <c r="L33" s="239"/>
    </row>
    <row r="34" customFormat="false" ht="14.25" hidden="false" customHeight="true" outlineLevel="0" collapsed="false">
      <c r="A34" s="238" t="s">
        <v>507</v>
      </c>
      <c r="B34" s="239"/>
      <c r="C34" s="239"/>
      <c r="D34" s="239"/>
      <c r="E34" s="239"/>
      <c r="F34" s="239"/>
      <c r="G34" s="239"/>
      <c r="H34" s="240"/>
      <c r="I34" s="240"/>
      <c r="J34" s="240"/>
      <c r="K34" s="241" t="str">
        <f aca="false">IF(OR(H34="",I34="",J34=""),"",IF(COUNTIF(H34:J34,"YES")=3,$C$7,0))</f>
        <v/>
      </c>
      <c r="L34" s="239"/>
    </row>
    <row r="35" customFormat="false" ht="14.25" hidden="false" customHeight="true" outlineLevel="0" collapsed="false">
      <c r="A35" s="238" t="s">
        <v>508</v>
      </c>
      <c r="B35" s="239"/>
      <c r="C35" s="239"/>
      <c r="D35" s="239"/>
      <c r="E35" s="239"/>
      <c r="F35" s="239"/>
      <c r="G35" s="239"/>
      <c r="H35" s="240"/>
      <c r="I35" s="240"/>
      <c r="J35" s="240"/>
      <c r="K35" s="241" t="str">
        <f aca="false">IF(OR(H35="",I35="",J35=""),"",IF(COUNTIF(H35:J35,"YES")=3,$C$7,0))</f>
        <v/>
      </c>
      <c r="L35" s="239"/>
    </row>
    <row r="36" customFormat="false" ht="14.25" hidden="false" customHeight="true" outlineLevel="0" collapsed="false">
      <c r="A36" s="238" t="s">
        <v>509</v>
      </c>
      <c r="B36" s="239"/>
      <c r="C36" s="239"/>
      <c r="D36" s="239"/>
      <c r="E36" s="239"/>
      <c r="F36" s="239"/>
      <c r="G36" s="239"/>
      <c r="H36" s="240"/>
      <c r="I36" s="240"/>
      <c r="J36" s="240"/>
      <c r="K36" s="241" t="str">
        <f aca="false">IF(OR(H36="",I36="",J36=""),"",IF(COUNTIF(H36:J36,"YES")=3,$C$7,0))</f>
        <v/>
      </c>
      <c r="L36" s="239"/>
    </row>
    <row r="37" customFormat="false" ht="14.25" hidden="false" customHeight="true" outlineLevel="0" collapsed="false">
      <c r="A37" s="238" t="s">
        <v>510</v>
      </c>
      <c r="B37" s="239"/>
      <c r="C37" s="239"/>
      <c r="D37" s="239"/>
      <c r="E37" s="239"/>
      <c r="F37" s="239"/>
      <c r="G37" s="239"/>
      <c r="H37" s="240"/>
      <c r="I37" s="240"/>
      <c r="J37" s="240"/>
      <c r="K37" s="241" t="str">
        <f aca="false">IF(OR(H37="",I37="",J37=""),"",IF(COUNTIF(H37:J37,"YES")=3,$C$7,0))</f>
        <v/>
      </c>
      <c r="L37" s="239"/>
    </row>
    <row r="38" customFormat="false" ht="14.25" hidden="false" customHeight="true" outlineLevel="0" collapsed="false">
      <c r="A38" s="238" t="s">
        <v>511</v>
      </c>
      <c r="B38" s="239"/>
      <c r="C38" s="239"/>
      <c r="D38" s="239"/>
      <c r="E38" s="239"/>
      <c r="F38" s="239"/>
      <c r="G38" s="239"/>
      <c r="H38" s="240"/>
      <c r="I38" s="240"/>
      <c r="J38" s="240"/>
      <c r="K38" s="241" t="str">
        <f aca="false">IF(OR(H38="",I38="",J38=""),"",IF(COUNTIF(H38:J38,"YES")=3,$C$7,0))</f>
        <v/>
      </c>
      <c r="L38" s="239"/>
    </row>
    <row r="39" customFormat="false" ht="14.25" hidden="false" customHeight="true" outlineLevel="0" collapsed="false">
      <c r="A39" s="238" t="s">
        <v>512</v>
      </c>
      <c r="B39" s="239"/>
      <c r="C39" s="239"/>
      <c r="D39" s="239"/>
      <c r="E39" s="239"/>
      <c r="F39" s="239"/>
      <c r="G39" s="239"/>
      <c r="H39" s="240"/>
      <c r="I39" s="240"/>
      <c r="J39" s="240"/>
      <c r="K39" s="241" t="str">
        <f aca="false">IF(OR(H39="",I39="",J39=""),"",IF(COUNTIF(H39:J39,"YES")=3,$C$7,0))</f>
        <v/>
      </c>
      <c r="L39" s="239"/>
    </row>
    <row r="40" customFormat="false" ht="14.25" hidden="false" customHeight="true" outlineLevel="0" collapsed="false">
      <c r="A40" s="238" t="s">
        <v>513</v>
      </c>
      <c r="B40" s="239"/>
      <c r="C40" s="239"/>
      <c r="D40" s="239"/>
      <c r="E40" s="239"/>
      <c r="F40" s="239"/>
      <c r="G40" s="239"/>
      <c r="H40" s="240"/>
      <c r="I40" s="240"/>
      <c r="J40" s="240"/>
      <c r="K40" s="241" t="str">
        <f aca="false">IF(OR(H40="",I40="",J40=""),"",IF(COUNTIF(H40:J40,"YES")=3,$C$7,0))</f>
        <v/>
      </c>
      <c r="L40" s="239"/>
    </row>
    <row r="41" customFormat="false" ht="14.25" hidden="false" customHeight="true" outlineLevel="0" collapsed="false">
      <c r="A41" s="238" t="s">
        <v>514</v>
      </c>
      <c r="B41" s="239"/>
      <c r="C41" s="239"/>
      <c r="D41" s="239"/>
      <c r="E41" s="239"/>
      <c r="F41" s="239"/>
      <c r="G41" s="239"/>
      <c r="H41" s="240"/>
      <c r="I41" s="240"/>
      <c r="J41" s="240"/>
      <c r="K41" s="241" t="str">
        <f aca="false">IF(OR(H41="",I41="",J41=""),"",IF(COUNTIF(H41:J41,"YES")=3,$C$7,0))</f>
        <v/>
      </c>
      <c r="L41" s="239"/>
    </row>
  </sheetData>
  <dataValidations count="1">
    <dataValidation allowBlank="true" error="Please enter a valid value (see note above the column)." errorStyle="stop" errorTitle="Invalid entry" operator="between" showDropDown="false" showErrorMessage="true" showInputMessage="false" sqref="H13:J4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B15" activeCellId="0" sqref="B15"/>
    </sheetView>
  </sheetViews>
  <sheetFormatPr defaultColWidth="8.5703125" defaultRowHeight="14.25" customHeight="false" zeroHeight="false" outlineLevelRow="0" outlineLevelCol="0"/>
  <cols>
    <col collapsed="false" customWidth="true" hidden="false" outlineLevel="0" max="1" min="1" style="68" width="21"/>
    <col collapsed="false" customWidth="true" hidden="false" outlineLevel="0" max="2" min="2" style="68" width="40"/>
    <col collapsed="false" customWidth="true" hidden="false" outlineLevel="0" max="4" min="3" style="68" width="11"/>
    <col collapsed="false" customWidth="true" hidden="false" outlineLevel="0" max="5" min="5" style="68" width="9"/>
    <col collapsed="false" customWidth="true" hidden="false" outlineLevel="0" max="6" min="6" style="68" width="11"/>
    <col collapsed="false" customWidth="true" hidden="false" outlineLevel="0" max="7" min="7" style="68" width="24"/>
    <col collapsed="false" customWidth="true" hidden="false" outlineLevel="0" max="8" min="8" style="68" width="16"/>
    <col collapsed="false" customWidth="true" hidden="false" outlineLevel="0" max="9" min="9" style="68" width="14"/>
    <col collapsed="false" customWidth="true" hidden="false" outlineLevel="0" max="10" min="10" style="68" width="45"/>
  </cols>
  <sheetData>
    <row r="1" customFormat="false" ht="14.25" hidden="false" customHeight="true" outlineLevel="0" collapsed="false">
      <c r="A1" s="230" t="s">
        <v>777</v>
      </c>
      <c r="B1" s="230" t="s">
        <v>480</v>
      </c>
      <c r="C1" s="231" t="s">
        <v>778</v>
      </c>
    </row>
    <row r="2" customFormat="false" ht="14.25" hidden="false" customHeight="true" outlineLevel="0" collapsed="false">
      <c r="A2" s="230" t="s">
        <v>5</v>
      </c>
      <c r="B2" s="230" t="str">
        <f aca="false">IF(ISNUMBER(VALUE(RIGHT($B$1,1))),VLOOKUP($B$1,'UPD Questions_290926 '!$E$1:$N$300,MATCH($A2,'UPD Questions_290926 '!$E$1:$N$1,0),0)&amp;"",CONCATENATE(VLOOKUP(LEFT($B$1,(LEN($B$1)-1)),'UPD Questions_290926 '!$E$1:$N$300,MATCH($A2,'UPD Questions_290926 '!$E$1:$N$1,0),0)&amp;""," &gt;:&lt; ",VLOOKUP($B$1,'UPD Questions_290926 '!$E$1:$N$300,MATCH($A2,'UPD Questions_290926 '!$E$1:$N$1,0),0)&amp;""))</f>
        <v>Enforcement</v>
      </c>
      <c r="C2" s="231" t="s">
        <v>779</v>
      </c>
    </row>
    <row r="3" customFormat="false" ht="14.25" hidden="false" customHeight="true" outlineLevel="0" collapsed="false">
      <c r="A3" s="230" t="s">
        <v>6</v>
      </c>
      <c r="B3" s="230" t="str">
        <f aca="false">IF(ISNUMBER(VALUE(RIGHT($B$1,1))),VLOOKUP($B$1,'UPD Questions_290926 '!$E$1:$N$300,MATCH($A3,'UPD Questions_290926 '!$E$1:$N$1,0),0)&amp;"",CONCATENATE(VLOOKUP(LEFT($B$1,(LEN($B$1)-1)),'UPD Questions_290926 '!$E$1:$N$300,MATCH($A3,'UPD Questions_290926 '!$E$1:$N$1,0),0)&amp;""," &gt;:&lt; ",VLOOKUP($B$1,'UPD Questions_290926 '!$E$1:$N$300,MATCH($A3,'UPD Questions_290926 '!$E$1:$N$1,0),0)&amp;""))</f>
        <v>Development Compliance</v>
      </c>
    </row>
    <row r="4" customFormat="false" ht="14.25" hidden="false" customHeight="true" outlineLevel="0" collapsed="false">
      <c r="A4" s="230" t="s">
        <v>7</v>
      </c>
      <c r="B4" s="230" t="str">
        <f aca="false">IF(ISNUMBER(VALUE(RIGHT($B$1,1))),VLOOKUP($B$1,'UPD Questions_290926 '!$E$1:$N$300,MATCH($A4,'UPD Questions_290926 '!$E$1:$N$1,0),0)&amp;"",CONCATENATE(VLOOKUP(LEFT($B$1,(LEN($B$1)-1)),'UPD Questions_290926 '!$E$1:$N$300,MATCH($A4,'UPD Questions_290926 '!$E$1:$N$1,0),0)&amp;""," &gt;:&lt; ",VLOOKUP($B$1,'UPD Questions_290926 '!$E$1:$N$300,MATCH($A4,'UPD Questions_290926 '!$E$1:$N$1,0),0)&amp;""))</f>
        <v>Corrective action</v>
      </c>
    </row>
    <row r="5" customFormat="false" ht="14.25" hidden="false" customHeight="true" outlineLevel="0" collapsed="false">
      <c r="A5" s="230" t="s">
        <v>9</v>
      </c>
      <c r="B5" s="230" t="str">
        <f aca="false">IF(ISNUMBER(VALUE(RIGHT($B$1,1))),VLOOKUP($B$1,'UPD Questions_290926 '!$E$1:$N$300,MATCH($A5,'UPD Questions_290926 '!$E$1:$N$1,0),0)&amp;"",CONCATENATE(VLOOKUP(LEFT($B$1,(LEN($B$1)-1)),'UPD Questions_290926 '!$E$1:$N$300,MATCH($A5,'UPD Questions_290926 '!$E$1:$N$1,0),0)&amp;""," &gt;:&lt; ",VLOOKUP($B$1,'UPD Questions_290926 '!$E$1:$N$300,MATCH($A5,'UPD Questions_290926 '!$E$1:$N$1,0),0)&amp;""))</f>
        <v>MQ</v>
      </c>
    </row>
    <row r="6" customFormat="false" ht="14.25" hidden="false" customHeight="true" outlineLevel="0" collapsed="false">
      <c r="A6" s="230" t="s">
        <v>8</v>
      </c>
      <c r="B6" s="230" t="str">
        <f aca="false">IF(ISNUMBER(VALUE(RIGHT($B$1,1))),VLOOKUP($B$1,'UPD Questions_290926 '!$E$1:$N$300,MATCH($A6,'UPD Questions_290926 '!$E$1:$N$1,0),0)&amp;"",CONCATENATE(VLOOKUP(LEFT($B$1,(LEN($B$1)-1)),'UPD Questions_290926 '!$E$1:$N$300,MATCH($A6,'UPD Questions_290926 '!$E$1:$N$1,0),0)&amp;""," &gt;:&lt; ",VLOOKUP($B$1,'UPD Questions_290926 '!$E$1:$N$300,MATCH($A6,'UPD Questions_290926 '!$E$1:$N$1,0),0)&amp;""))</f>
        <v>Are there provisions to penalise violating plans?</v>
      </c>
      <c r="C6" s="231" t="s">
        <v>780</v>
      </c>
    </row>
    <row r="7" customFormat="false" ht="14.25" hidden="false" customHeight="true" outlineLevel="0" collapsed="false">
      <c r="A7" s="230" t="s">
        <v>10</v>
      </c>
      <c r="B7" s="230" t="str">
        <f aca="false">IF(ISNUMBER(VALUE(RIGHT($B$1,1))),VLOOKUP($B$1,'UPD Questions_290926 '!$E$1:$N$300,MATCH($A7,'UPD Questions_290926 '!$E$1:$N$1,0),0)&amp;"",CONCATENATE(VLOOKUP(LEFT($B$1,(LEN($B$1)-1)),'UPD Questions_290926 '!$E$1:$N$300,MATCH($A7,'UPD Questions_290926 '!$E$1:$N$1,0),0)&amp;""," &gt;:&lt; ",VLOOKUP($B$1,'UPD Questions_290926 '!$E$1:$N$300,MATCH($A7,'UPD Questions_290926 '!$E$1:$N$1,0),0)&amp;""))</f>
        <v>10</v>
      </c>
      <c r="C7" s="232" t="n">
        <f aca="false">VLOOKUP($B$1,'UPD Questions_290926 '!$E$1:$N$300,MATCH($A$7,'UPD Questions_290926 '!$E$1:$N$1,0),0)</f>
        <v>10</v>
      </c>
    </row>
    <row r="8" customFormat="false" ht="14.25" hidden="false" customHeight="true" outlineLevel="0" collapsed="false">
      <c r="A8" s="230" t="s">
        <v>11</v>
      </c>
      <c r="B8" s="230" t="str">
        <f aca="false">IF(ISNUMBER(VALUE(RIGHT($B$1,1))),VLOOKUP($B$1,'UPD Questions_290926 '!$E$1:$N$300,MATCH($A8,'UPD Questions_290926 '!$E$1:$N$1,0),0)&amp;"",CONCATENATE(VLOOKUP(LEFT($B$1,(LEN($B$1)-1)),'UPD Questions_290926 '!$E$1:$N$300,MATCH($A8,'UPD Questions_290926 '!$E$1:$N$1,0),0)&amp;""," &gt;:&lt; ",VLOOKUP($B$1,'UPD Questions_290926 '!$E$1:$N$300,MATCH($A8,'UPD Questions_290926 '!$E$1:$N$1,0),0)&amp;""))</f>
        <v>Law or Policy</v>
      </c>
    </row>
    <row r="9" customFormat="false" ht="90.75" hidden="false" customHeight="true" outlineLevel="0" collapsed="false">
      <c r="A9" s="230" t="s">
        <v>12</v>
      </c>
      <c r="B9" s="82" t="str">
        <f aca="false">IF(ISNUMBER(VALUE(RIGHT($B$1,1))),VLOOKUP($B$1,'UPD Questions_290926 '!$E$1:$N$300,MATCH($A9,'UPD Questions_290926 '!$E$1:$N$1,0),0)&amp;"",CONCATENATE(VLOOKUP(LEFT($B$1,(LEN($B$1)-1)),'UPD Questions_290926 '!$E$1:$N$300,MATCH($A9,'UPD Questions_290926 '!$E$1:$N$1,0),0)&amp;""," &gt;:&lt; ",VLOOKUP($B$1,'UPD Questions_290926 '!$E$1:$N$300,MATCH($A9,'UPD Questions_290926 '!$E$1:$N$1,0),0)&amp;""))</f>
        <v>Check if the T&amp;CP Act mentions the penal provisions under the following heads (at least five of the below to mark as 'Yes'):1. DCR (Development Control Regulations) violations:                                  a. Zoning/ land useb. Permitted uses (including change in building use eg; dwelling to commercial use; warehouse to office space etc.)c. Setbacks (setbacks are the minimum space required between the plot boundary and building), d. Building height (maximum permissible height according to the location)e. Floor Area Ratio (FAR)/ Floor Space Index (FSI)f. Parking g. Heritage conservation (violations occur if such areas/structures are recognised to be of historical importance)i. Environmental conservationetc2. Building code violations: (at plan approval stage, these codes dictate the following details)a. Fire norms (primarily important at both plan approval level and again at Occupancy Certificate (OC) level)b. Provision of lifts and staircasesc. Corridor lengthd. Earthquake/flood/tsunami/flood resistance (in disaster prone areas)e. Plot access (the points of entry/exit to your building/plot in accordance with the road)f. Loading/ unloading bays (for commercial and industrial buildings, service access, safety etc. as detailed out by building code)etc3. NOC violationsa. Fire safetyb. Water supply and sewerage (absence of rainwater harvesting systems, discharge of waste into any public land, alley, waterbody, sidewalk etc.)c. Electricity (particularly for large-scale/commercial buildings)d. Pollutione. Solid waste managementf. Height (near airports)4. Encroachment of land5. Building refurbishment without permit/ approvals (addition/demolition/remodeling etc.)6. Urban design regulations vioations (includes signages, dispaly boards, streetscapes, pedestrian circulation, open areas, plazas, arcades etc.)</v>
      </c>
    </row>
    <row r="10" customFormat="false" ht="89.25" hidden="false" customHeight="true" outlineLevel="0" collapsed="false">
      <c r="A10" s="230" t="s">
        <v>13</v>
      </c>
      <c r="B10" s="82" t="str">
        <f aca="false">IF(ISNUMBER(VALUE(RIGHT($B$1,1))),VLOOKUP($B$1,'UPD Questions_290926 '!$E$1:$N$300,MATCH($A10,'UPD Questions_290926 '!$E$1:$N$1,0),0)&amp;"",CONCATENATE(VLOOKUP(LEFT($B$1,(LEN($B$1)-1)),'UPD Questions_290926 '!$E$1:$N$300,MATCH($A10,'UPD Questions_290926 '!$E$1:$N$1,0),0)&amp;""," &gt;:&lt; ",VLOOKUP($B$1,'UPD Questions_290926 '!$E$1:$N$300,MATCH($A10,'UPD Questions_290926 '!$E$1:$N$1,0),0)&amp;""))</f>
        <v>Please give the text of the provisions in the scorer comment's column in the scoresheet</v>
      </c>
      <c r="H10" s="233" t="s">
        <v>880</v>
      </c>
    </row>
    <row r="11" customFormat="false" ht="64.5" hidden="false" customHeight="true" outlineLevel="0" collapsed="false">
      <c r="H11" s="234" t="s">
        <v>837</v>
      </c>
      <c r="I11" s="235" t="s">
        <v>783</v>
      </c>
    </row>
    <row r="12" customFormat="false" ht="60" hidden="false" customHeight="true" outlineLevel="0" collapsed="false">
      <c r="A12" s="236" t="s">
        <v>784</v>
      </c>
      <c r="B12" s="236" t="s">
        <v>785</v>
      </c>
      <c r="C12" s="236" t="s">
        <v>786</v>
      </c>
      <c r="D12" s="236" t="s">
        <v>787</v>
      </c>
      <c r="E12" s="236" t="s">
        <v>788</v>
      </c>
      <c r="F12" s="236" t="s">
        <v>789</v>
      </c>
      <c r="G12" s="236" t="s">
        <v>790</v>
      </c>
      <c r="H12" s="237" t="s">
        <v>881</v>
      </c>
      <c r="I12" s="235" t="s">
        <v>791</v>
      </c>
      <c r="J12" s="237" t="s">
        <v>792</v>
      </c>
    </row>
    <row r="13" customFormat="false" ht="14.25" hidden="false" customHeight="true" outlineLevel="0" collapsed="false">
      <c r="A13" s="238" t="s">
        <v>486</v>
      </c>
      <c r="B13" s="239"/>
      <c r="C13" s="239"/>
      <c r="D13" s="239"/>
      <c r="E13" s="239"/>
      <c r="F13" s="239"/>
      <c r="G13" s="239"/>
      <c r="H13" s="240"/>
      <c r="I13" s="241" t="str">
        <f aca="false">IF(H13="","",MIN(H13*$C$7/5,$C$7))</f>
        <v/>
      </c>
      <c r="J13" s="239"/>
    </row>
    <row r="14" customFormat="false" ht="14.25" hidden="false" customHeight="true" outlineLevel="0" collapsed="false">
      <c r="A14" s="238" t="s">
        <v>487</v>
      </c>
      <c r="B14" s="239"/>
      <c r="C14" s="239"/>
      <c r="D14" s="239"/>
      <c r="E14" s="239"/>
      <c r="F14" s="239"/>
      <c r="G14" s="239"/>
      <c r="H14" s="240"/>
      <c r="I14" s="241" t="str">
        <f aca="false">IF(H14="","",MIN(H14*$C$7/5,$C$7))</f>
        <v/>
      </c>
      <c r="J14" s="239"/>
    </row>
    <row r="15" customFormat="false" ht="14.25" hidden="false" customHeight="true" outlineLevel="0" collapsed="false">
      <c r="A15" s="238" t="s">
        <v>488</v>
      </c>
      <c r="B15" s="239"/>
      <c r="C15" s="239"/>
      <c r="D15" s="239"/>
      <c r="E15" s="239"/>
      <c r="F15" s="239"/>
      <c r="G15" s="239"/>
      <c r="H15" s="240"/>
      <c r="I15" s="241" t="str">
        <f aca="false">IF(H15="","",MIN(H15*$C$7/5,$C$7))</f>
        <v/>
      </c>
      <c r="J15" s="239"/>
    </row>
    <row r="16" customFormat="false" ht="14.25" hidden="false" customHeight="true" outlineLevel="0" collapsed="false">
      <c r="A16" s="238" t="s">
        <v>489</v>
      </c>
      <c r="B16" s="239"/>
      <c r="C16" s="239"/>
      <c r="D16" s="239"/>
      <c r="E16" s="239"/>
      <c r="F16" s="239"/>
      <c r="G16" s="239"/>
      <c r="H16" s="240"/>
      <c r="I16" s="241" t="str">
        <f aca="false">IF(H16="","",MIN(H16*$C$7/5,$C$7))</f>
        <v/>
      </c>
      <c r="J16" s="239"/>
    </row>
    <row r="17" customFormat="false" ht="14.25" hidden="false" customHeight="true" outlineLevel="0" collapsed="false">
      <c r="A17" s="238" t="s">
        <v>490</v>
      </c>
      <c r="B17" s="239"/>
      <c r="C17" s="239"/>
      <c r="D17" s="239"/>
      <c r="E17" s="239"/>
      <c r="F17" s="239"/>
      <c r="G17" s="239"/>
      <c r="H17" s="240"/>
      <c r="I17" s="241" t="str">
        <f aca="false">IF(H17="","",MIN(H17*$C$7/5,$C$7))</f>
        <v/>
      </c>
      <c r="J17" s="239"/>
    </row>
    <row r="18" customFormat="false" ht="14.25" hidden="false" customHeight="true" outlineLevel="0" collapsed="false">
      <c r="A18" s="238" t="s">
        <v>491</v>
      </c>
      <c r="B18" s="239"/>
      <c r="C18" s="239"/>
      <c r="D18" s="239"/>
      <c r="E18" s="239"/>
      <c r="F18" s="239"/>
      <c r="G18" s="239"/>
      <c r="H18" s="240"/>
      <c r="I18" s="241" t="str">
        <f aca="false">IF(H18="","",MIN(H18*$C$7/5,$C$7))</f>
        <v/>
      </c>
      <c r="J18" s="239"/>
    </row>
    <row r="19" customFormat="false" ht="14.25" hidden="false" customHeight="true" outlineLevel="0" collapsed="false">
      <c r="A19" s="238" t="s">
        <v>492</v>
      </c>
      <c r="B19" s="239"/>
      <c r="C19" s="239"/>
      <c r="D19" s="239"/>
      <c r="E19" s="239"/>
      <c r="F19" s="239"/>
      <c r="G19" s="239"/>
      <c r="H19" s="240"/>
      <c r="I19" s="241" t="str">
        <f aca="false">IF(H19="","",MIN(H19*$C$7/5,$C$7))</f>
        <v/>
      </c>
      <c r="J19" s="239"/>
    </row>
    <row r="20" customFormat="false" ht="14.25" hidden="false" customHeight="true" outlineLevel="0" collapsed="false">
      <c r="A20" s="238" t="s">
        <v>493</v>
      </c>
      <c r="B20" s="239"/>
      <c r="C20" s="239"/>
      <c r="D20" s="239"/>
      <c r="E20" s="239"/>
      <c r="F20" s="239"/>
      <c r="G20" s="239"/>
      <c r="H20" s="240"/>
      <c r="I20" s="241" t="str">
        <f aca="false">IF(H20="","",MIN(H20*$C$7/5,$C$7))</f>
        <v/>
      </c>
      <c r="J20" s="239"/>
    </row>
    <row r="21" customFormat="false" ht="14.25" hidden="false" customHeight="true" outlineLevel="0" collapsed="false">
      <c r="A21" s="238" t="s">
        <v>494</v>
      </c>
      <c r="B21" s="239"/>
      <c r="C21" s="239"/>
      <c r="D21" s="239"/>
      <c r="E21" s="239"/>
      <c r="F21" s="239"/>
      <c r="G21" s="239"/>
      <c r="H21" s="240"/>
      <c r="I21" s="241" t="str">
        <f aca="false">IF(H21="","",MIN(H21*$C$7/5,$C$7))</f>
        <v/>
      </c>
      <c r="J21" s="239"/>
    </row>
    <row r="22" customFormat="false" ht="14.25" hidden="false" customHeight="true" outlineLevel="0" collapsed="false">
      <c r="A22" s="238" t="s">
        <v>495</v>
      </c>
      <c r="B22" s="239"/>
      <c r="C22" s="239"/>
      <c r="D22" s="239"/>
      <c r="E22" s="239"/>
      <c r="F22" s="239"/>
      <c r="G22" s="239"/>
      <c r="H22" s="240"/>
      <c r="I22" s="241" t="str">
        <f aca="false">IF(H22="","",MIN(H22*$C$7/5,$C$7))</f>
        <v/>
      </c>
      <c r="J22" s="239"/>
    </row>
    <row r="23" customFormat="false" ht="14.25" hidden="false" customHeight="true" outlineLevel="0" collapsed="false">
      <c r="A23" s="238" t="s">
        <v>496</v>
      </c>
      <c r="B23" s="239"/>
      <c r="C23" s="239"/>
      <c r="D23" s="239"/>
      <c r="E23" s="239"/>
      <c r="F23" s="239"/>
      <c r="G23" s="239"/>
      <c r="H23" s="240"/>
      <c r="I23" s="241" t="str">
        <f aca="false">IF(H23="","",MIN(H23*$C$7/5,$C$7))</f>
        <v/>
      </c>
      <c r="J23" s="239"/>
    </row>
    <row r="24" customFormat="false" ht="14.25" hidden="false" customHeight="true" outlineLevel="0" collapsed="false">
      <c r="A24" s="238" t="s">
        <v>497</v>
      </c>
      <c r="B24" s="239"/>
      <c r="C24" s="239"/>
      <c r="D24" s="239"/>
      <c r="E24" s="239"/>
      <c r="F24" s="239"/>
      <c r="G24" s="239"/>
      <c r="H24" s="240"/>
      <c r="I24" s="241" t="str">
        <f aca="false">IF(H24="","",MIN(H24*$C$7/5,$C$7))</f>
        <v/>
      </c>
      <c r="J24" s="239"/>
    </row>
    <row r="25" customFormat="false" ht="14.25" hidden="false" customHeight="true" outlineLevel="0" collapsed="false">
      <c r="A25" s="238" t="s">
        <v>498</v>
      </c>
      <c r="B25" s="239"/>
      <c r="C25" s="239"/>
      <c r="D25" s="239"/>
      <c r="E25" s="239"/>
      <c r="F25" s="239"/>
      <c r="G25" s="239"/>
      <c r="H25" s="240"/>
      <c r="I25" s="241" t="str">
        <f aca="false">IF(H25="","",MIN(H25*$C$7/5,$C$7))</f>
        <v/>
      </c>
      <c r="J25" s="239"/>
    </row>
    <row r="26" customFormat="false" ht="14.25" hidden="false" customHeight="true" outlineLevel="0" collapsed="false">
      <c r="A26" s="238" t="s">
        <v>499</v>
      </c>
      <c r="B26" s="239"/>
      <c r="C26" s="239"/>
      <c r="D26" s="239"/>
      <c r="E26" s="239"/>
      <c r="F26" s="239"/>
      <c r="G26" s="239"/>
      <c r="H26" s="240"/>
      <c r="I26" s="241" t="str">
        <f aca="false">IF(H26="","",MIN(H26*$C$7/5,$C$7))</f>
        <v/>
      </c>
      <c r="J26" s="239"/>
    </row>
    <row r="27" customFormat="false" ht="14.25" hidden="false" customHeight="true" outlineLevel="0" collapsed="false">
      <c r="A27" s="238" t="s">
        <v>500</v>
      </c>
      <c r="B27" s="239"/>
      <c r="C27" s="239"/>
      <c r="D27" s="239"/>
      <c r="E27" s="239"/>
      <c r="F27" s="239"/>
      <c r="G27" s="239"/>
      <c r="H27" s="240"/>
      <c r="I27" s="241" t="str">
        <f aca="false">IF(H27="","",MIN(H27*$C$7/5,$C$7))</f>
        <v/>
      </c>
      <c r="J27" s="239"/>
    </row>
    <row r="28" customFormat="false" ht="14.25" hidden="false" customHeight="true" outlineLevel="0" collapsed="false">
      <c r="A28" s="238" t="s">
        <v>501</v>
      </c>
      <c r="B28" s="239"/>
      <c r="C28" s="239"/>
      <c r="D28" s="239"/>
      <c r="E28" s="239"/>
      <c r="F28" s="239"/>
      <c r="G28" s="239"/>
      <c r="H28" s="240"/>
      <c r="I28" s="241" t="str">
        <f aca="false">IF(H28="","",MIN(H28*$C$7/5,$C$7))</f>
        <v/>
      </c>
      <c r="J28" s="239"/>
    </row>
    <row r="29" customFormat="false" ht="14.25" hidden="false" customHeight="true" outlineLevel="0" collapsed="false">
      <c r="A29" s="238" t="s">
        <v>502</v>
      </c>
      <c r="B29" s="239"/>
      <c r="C29" s="239"/>
      <c r="D29" s="239"/>
      <c r="E29" s="239"/>
      <c r="F29" s="239"/>
      <c r="G29" s="239"/>
      <c r="H29" s="240"/>
      <c r="I29" s="241" t="str">
        <f aca="false">IF(H29="","",MIN(H29*$C$7/5,$C$7))</f>
        <v/>
      </c>
      <c r="J29" s="239"/>
    </row>
    <row r="30" customFormat="false" ht="14.25" hidden="false" customHeight="true" outlineLevel="0" collapsed="false">
      <c r="A30" s="238" t="s">
        <v>503</v>
      </c>
      <c r="B30" s="239"/>
      <c r="C30" s="239"/>
      <c r="D30" s="239"/>
      <c r="E30" s="239"/>
      <c r="F30" s="239"/>
      <c r="G30" s="239"/>
      <c r="H30" s="240"/>
      <c r="I30" s="241" t="str">
        <f aca="false">IF(H30="","",MIN(H30*$C$7/5,$C$7))</f>
        <v/>
      </c>
      <c r="J30" s="239"/>
    </row>
    <row r="31" customFormat="false" ht="14.25" hidden="false" customHeight="true" outlineLevel="0" collapsed="false">
      <c r="A31" s="238" t="s">
        <v>504</v>
      </c>
      <c r="B31" s="239"/>
      <c r="C31" s="239"/>
      <c r="D31" s="239"/>
      <c r="E31" s="239"/>
      <c r="F31" s="239"/>
      <c r="G31" s="239"/>
      <c r="H31" s="240"/>
      <c r="I31" s="241" t="str">
        <f aca="false">IF(H31="","",MIN(H31*$C$7/5,$C$7))</f>
        <v/>
      </c>
      <c r="J31" s="239"/>
    </row>
    <row r="32" customFormat="false" ht="14.25" hidden="false" customHeight="true" outlineLevel="0" collapsed="false">
      <c r="A32" s="238" t="s">
        <v>505</v>
      </c>
      <c r="B32" s="239"/>
      <c r="C32" s="239"/>
      <c r="D32" s="239"/>
      <c r="E32" s="239"/>
      <c r="F32" s="239"/>
      <c r="G32" s="239"/>
      <c r="H32" s="240"/>
      <c r="I32" s="241" t="str">
        <f aca="false">IF(H32="","",MIN(H32*$C$7/5,$C$7))</f>
        <v/>
      </c>
      <c r="J32" s="239"/>
    </row>
    <row r="33" customFormat="false" ht="14.25" hidden="false" customHeight="true" outlineLevel="0" collapsed="false">
      <c r="A33" s="238" t="s">
        <v>506</v>
      </c>
      <c r="B33" s="239"/>
      <c r="C33" s="239"/>
      <c r="D33" s="239"/>
      <c r="E33" s="239"/>
      <c r="F33" s="239"/>
      <c r="G33" s="239"/>
      <c r="H33" s="240"/>
      <c r="I33" s="241" t="str">
        <f aca="false">IF(H33="","",MIN(H33*$C$7/5,$C$7))</f>
        <v/>
      </c>
      <c r="J33" s="239"/>
    </row>
    <row r="34" customFormat="false" ht="14.25" hidden="false" customHeight="true" outlineLevel="0" collapsed="false">
      <c r="A34" s="238" t="s">
        <v>507</v>
      </c>
      <c r="B34" s="239"/>
      <c r="C34" s="239"/>
      <c r="D34" s="239"/>
      <c r="E34" s="239"/>
      <c r="F34" s="239"/>
      <c r="G34" s="239"/>
      <c r="H34" s="240"/>
      <c r="I34" s="241" t="str">
        <f aca="false">IF(H34="","",MIN(H34*$C$7/5,$C$7))</f>
        <v/>
      </c>
      <c r="J34" s="239"/>
    </row>
    <row r="35" customFormat="false" ht="14.25" hidden="false" customHeight="true" outlineLevel="0" collapsed="false">
      <c r="A35" s="238" t="s">
        <v>508</v>
      </c>
      <c r="B35" s="239"/>
      <c r="C35" s="239"/>
      <c r="D35" s="239"/>
      <c r="E35" s="239"/>
      <c r="F35" s="239"/>
      <c r="G35" s="239"/>
      <c r="H35" s="240"/>
      <c r="I35" s="241" t="str">
        <f aca="false">IF(H35="","",MIN(H35*$C$7/5,$C$7))</f>
        <v/>
      </c>
      <c r="J35" s="239"/>
    </row>
    <row r="36" customFormat="false" ht="14.25" hidden="false" customHeight="true" outlineLevel="0" collapsed="false">
      <c r="A36" s="238" t="s">
        <v>509</v>
      </c>
      <c r="B36" s="239"/>
      <c r="C36" s="239"/>
      <c r="D36" s="239"/>
      <c r="E36" s="239"/>
      <c r="F36" s="239"/>
      <c r="G36" s="239"/>
      <c r="H36" s="240"/>
      <c r="I36" s="241" t="str">
        <f aca="false">IF(H36="","",MIN(H36*$C$7/5,$C$7))</f>
        <v/>
      </c>
      <c r="J36" s="239"/>
    </row>
    <row r="37" customFormat="false" ht="14.25" hidden="false" customHeight="true" outlineLevel="0" collapsed="false">
      <c r="A37" s="238" t="s">
        <v>510</v>
      </c>
      <c r="B37" s="239"/>
      <c r="C37" s="239"/>
      <c r="D37" s="239"/>
      <c r="E37" s="239"/>
      <c r="F37" s="239"/>
      <c r="G37" s="239"/>
      <c r="H37" s="240"/>
      <c r="I37" s="241" t="str">
        <f aca="false">IF(H37="","",MIN(H37*$C$7/5,$C$7))</f>
        <v/>
      </c>
      <c r="J37" s="239"/>
    </row>
    <row r="38" customFormat="false" ht="14.25" hidden="false" customHeight="true" outlineLevel="0" collapsed="false">
      <c r="A38" s="238" t="s">
        <v>511</v>
      </c>
      <c r="B38" s="239"/>
      <c r="C38" s="239"/>
      <c r="D38" s="239"/>
      <c r="E38" s="239"/>
      <c r="F38" s="239"/>
      <c r="G38" s="239"/>
      <c r="H38" s="240"/>
      <c r="I38" s="241" t="str">
        <f aca="false">IF(H38="","",MIN(H38*$C$7/5,$C$7))</f>
        <v/>
      </c>
      <c r="J38" s="239"/>
    </row>
    <row r="39" customFormat="false" ht="14.25" hidden="false" customHeight="true" outlineLevel="0" collapsed="false">
      <c r="A39" s="238" t="s">
        <v>512</v>
      </c>
      <c r="B39" s="239"/>
      <c r="C39" s="239"/>
      <c r="D39" s="239"/>
      <c r="E39" s="239"/>
      <c r="F39" s="239"/>
      <c r="G39" s="239"/>
      <c r="H39" s="240"/>
      <c r="I39" s="241" t="str">
        <f aca="false">IF(H39="","",MIN(H39*$C$7/5,$C$7))</f>
        <v/>
      </c>
      <c r="J39" s="239"/>
    </row>
    <row r="40" customFormat="false" ht="14.25" hidden="false" customHeight="true" outlineLevel="0" collapsed="false">
      <c r="A40" s="238" t="s">
        <v>513</v>
      </c>
      <c r="B40" s="239"/>
      <c r="C40" s="239"/>
      <c r="D40" s="239"/>
      <c r="E40" s="239"/>
      <c r="F40" s="239"/>
      <c r="G40" s="239"/>
      <c r="H40" s="240"/>
      <c r="I40" s="241" t="str">
        <f aca="false">IF(H40="","",MIN(H40*$C$7/5,$C$7))</f>
        <v/>
      </c>
      <c r="J40" s="239"/>
    </row>
    <row r="41" customFormat="false" ht="14.25" hidden="false" customHeight="true" outlineLevel="0" collapsed="false">
      <c r="A41" s="238" t="s">
        <v>514</v>
      </c>
      <c r="B41" s="239"/>
      <c r="C41" s="239"/>
      <c r="D41" s="239"/>
      <c r="E41" s="239"/>
      <c r="F41" s="239"/>
      <c r="G41" s="239"/>
      <c r="H41" s="240"/>
      <c r="I41" s="241" t="str">
        <f aca="false">IF(H41="","",MIN(H41*$C$7/5,$C$7))</f>
        <v/>
      </c>
      <c r="J41" s="239"/>
    </row>
  </sheetData>
  <dataValidations count="1">
    <dataValidation allowBlank="true" error="Please enter a valid value (see note above the column)." errorStyle="stop" errorTitle="Invalid entry" operator="greaterThanOrEqual" showDropDown="false" showErrorMessage="true" showInputMessage="false" sqref="H13:H41"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2026-09-22T20:15:05Z</dcterms:created>
  <dc:creator>openpyxl</dc:creator>
  <dc:description/>
  <dc:language>en-IN</dc:language>
  <cp:lastModifiedBy/>
  <dcterms:modified xsi:type="dcterms:W3CDTF">2026-10-08T10:13:10Z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0x010100D65FC0E5BB0F4546AE12BE9A8815662A</vt:lpwstr>
  </property>
  <property fmtid="{D5CDD505-2E9C-101B-9397-08002B2CF9AE}" pid="3" name="Department">
    <vt:lpwstr>167;#Advocacy_Research|085511b0-7144-4788-869f-9a4533588176</vt:lpwstr>
  </property>
  <property fmtid="{D5CDD505-2E9C-101B-9397-08002B2CF9AE}" pid="4" name="Document Type">
    <vt:lpwstr/>
  </property>
  <property fmtid="{D5CDD505-2E9C-101B-9397-08002B2CF9AE}" pid="5" name="Document_x0020_Type">
    <vt:lpwstr/>
  </property>
  <property fmtid="{D5CDD505-2E9C-101B-9397-08002B2CF9AE}" pid="6" name="MediaServiceImageTags">
    <vt:lpwstr/>
  </property>
  <property fmtid="{D5CDD505-2E9C-101B-9397-08002B2CF9AE}" pid="7" name="Program">
    <vt:lpwstr/>
  </property>
</Properties>
</file>