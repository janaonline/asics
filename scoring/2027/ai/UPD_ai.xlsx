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25.xml" ContentType="application/vnd.openxmlformats-officedocument.spreadsheetml.worksheet+xml"/>
  <Override PartName="/xl/worksheets/sheet16.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17.xml" ContentType="application/vnd.openxmlformats-officedocument.spreadsheetml.worksheet+xml"/>
  <Override PartName="/xl/worksheets/sheet5.xml" ContentType="application/vnd.openxmlformats-officedocument.spreadsheetml.worksheet+xml"/>
  <Override PartName="/xl/worksheets/sheet28.xml" ContentType="application/vnd.openxmlformats-officedocument.spreadsheetml.worksheet+xml"/>
  <Override PartName="/xl/worksheets/sheet14.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69.xml" ContentType="application/vnd.openxmlformats-officedocument.spreadsheetml.worksheet+xml"/>
  <Override PartName="/xl/worksheets/sheet8.xml" ContentType="application/vnd.openxmlformats-officedocument.spreadsheetml.worksheet+xml"/>
  <Override PartName="/xl/worksheets/sheet60.xml" ContentType="application/vnd.openxmlformats-officedocument.spreadsheetml.worksheet+xml"/>
  <Override PartName="/xl/worksheets/sheet13.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79.xml" ContentType="application/vnd.openxmlformats-officedocument.spreadsheetml.worksheet+xml"/>
  <Override PartName="/xl/worksheets/sheet2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21.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35.xml" ContentType="application/vnd.openxmlformats-officedocument.spreadsheetml.worksheet+xml"/>
  <Override PartName="/xl/worksheets/sheet29.xml" ContentType="application/vnd.openxmlformats-officedocument.spreadsheetml.worksheet+xml"/>
  <Override PartName="/xl/worksheets/sheet37.xml" ContentType="application/vnd.openxmlformats-officedocument.spreadsheetml.worksheet+xml"/>
  <Override PartName="/xl/worksheets/sheet24.xml" ContentType="application/vnd.openxmlformats-officedocument.spreadsheetml.worksheet+xml"/>
  <Override PartName="/xl/worksheets/sheet22.xml" ContentType="application/vnd.openxmlformats-officedocument.spreadsheetml.worksheet+xml"/>
  <Override PartName="/xl/worksheets/sheet2.xml" ContentType="application/vnd.openxmlformats-officedocument.spreadsheetml.worksheet+xml"/>
  <Override PartName="/xl/worksheets/sheet38.xml" ContentType="application/vnd.openxmlformats-officedocument.spreadsheetml.worksheet+xml"/>
  <Override PartName="/xl/worksheets/sheet36.xml" ContentType="application/vnd.openxmlformats-officedocument.spreadsheetml.worksheet+xml"/>
  <Override PartName="/xl/worksheets/sheet3.xml" ContentType="application/vnd.openxmlformats-officedocument.spreadsheetml.worksheet+xml"/>
  <Override PartName="/xl/worksheets/sheet77.xml" ContentType="application/vnd.openxmlformats-officedocument.spreadsheetml.worksheet+xml"/>
  <Override PartName="/xl/worksheets/sheet40.xml" ContentType="application/vnd.openxmlformats-officedocument.spreadsheetml.worksheet+xml"/>
  <Override PartName="/xl/worksheets/sheet42.xml" ContentType="application/vnd.openxmlformats-officedocument.spreadsheetml.worksheet+xml"/>
  <Override PartName="/xl/worksheets/sheet32.xml" ContentType="application/vnd.openxmlformats-officedocument.spreadsheetml.worksheet+xml"/>
  <Override PartName="/xl/worksheets/sheet46.xml" ContentType="application/vnd.openxmlformats-officedocument.spreadsheetml.worksheet+xml"/>
  <Override PartName="/xl/worksheets/sheet43.xml" ContentType="application/vnd.openxmlformats-officedocument.spreadsheetml.worksheet+xml"/>
  <Override PartName="/xl/worksheets/sheet63.xml" ContentType="application/vnd.openxmlformats-officedocument.spreadsheetml.worksheet+xml"/>
  <Override PartName="/xl/worksheets/sheet48.xml" ContentType="application/vnd.openxmlformats-officedocument.spreadsheetml.worksheet+xml"/>
  <Override PartName="/xl/worksheets/sheet50.xml" ContentType="application/vnd.openxmlformats-officedocument.spreadsheetml.worksheet+xml"/>
  <Override PartName="/xl/worksheets/sheet72.xml" ContentType="application/vnd.openxmlformats-officedocument.spreadsheetml.worksheet+xml"/>
  <Override PartName="/xl/worksheets/sheet65.xml" ContentType="application/vnd.openxmlformats-officedocument.spreadsheetml.worksheet+xml"/>
  <Override PartName="/xl/worksheets/sheet51.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19.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62.xml" ContentType="application/vnd.openxmlformats-officedocument.spreadsheetml.worksheet+xml"/>
  <Override PartName="/xl/worksheets/sheet52.xml" ContentType="application/vnd.openxmlformats-officedocument.spreadsheetml.worksheet+xml"/>
  <Override PartName="/xl/worksheets/sheet1.xml" ContentType="application/vnd.openxmlformats-officedocument.spreadsheetml.worksheet+xml"/>
  <Override PartName="/xl/worksheets/sheet4.xml" ContentType="application/vnd.openxmlformats-officedocument.spreadsheetml.worksheet+xml"/>
  <Override PartName="/xl/worksheets/sheet78.xml" ContentType="application/vnd.openxmlformats-officedocument.spreadsheetml.worksheet+xml"/>
  <Override PartName="/xl/worksheets/sheet61.xml" ContentType="application/vnd.openxmlformats-officedocument.spreadsheetml.worksheet+xml"/>
  <Override PartName="/xl/worksheets/sheet71.xml" ContentType="application/vnd.openxmlformats-officedocument.spreadsheetml.worksheet+xml"/>
  <Override PartName="/xl/worksheets/sheet66.xml" ContentType="application/vnd.openxmlformats-officedocument.spreadsheetml.worksheet+xml"/>
  <Override PartName="/xl/worksheets/sheet53.xml" ContentType="application/vnd.openxmlformats-officedocument.spreadsheetml.worksheet+xml"/>
  <Override PartName="/xl/worksheets/sheet59.xml" ContentType="application/vnd.openxmlformats-officedocument.spreadsheetml.worksheet+xml"/>
  <Override PartName="/xl/worksheets/sheet9.xml" ContentType="application/vnd.openxmlformats-officedocument.spreadsheetml.worksheet+xml"/>
  <Override PartName="/xl/worksheets/sheet67.xml" ContentType="application/vnd.openxmlformats-officedocument.spreadsheetml.worksheet+xml"/>
  <Override PartName="/xl/worksheets/sheet70.xml" ContentType="application/vnd.openxmlformats-officedocument.spreadsheetml.worksheet+xml"/>
  <Override PartName="/xl/worksheets/sheet15.xml" ContentType="application/vnd.openxmlformats-officedocument.spreadsheetml.worksheet+xml"/>
  <Override PartName="/xl/worksheets/sheet39.xml" ContentType="application/vnd.openxmlformats-officedocument.spreadsheetml.worksheet+xml"/>
  <Override PartName="/xl/worksheets/sheet6.xml" ContentType="application/vnd.openxmlformats-officedocument.spreadsheetml.worksheet+xml"/>
  <Override PartName="/xl/worksheets/sheet41.xml" ContentType="application/vnd.openxmlformats-officedocument.spreadsheetml.worksheet+xml"/>
  <Override PartName="/xl/worksheets/sheet76.xml" ContentType="application/vnd.openxmlformats-officedocument.spreadsheetml.worksheet+xml"/>
  <Override PartName="/xl/worksheets/sheet12.xml" ContentType="application/vnd.openxmlformats-officedocument.spreadsheetml.worksheet+xml"/>
  <Override PartName="/xl/worksheets/sheet73.xml" ContentType="application/vnd.openxmlformats-officedocument.spreadsheetml.worksheet+xml"/>
  <Override PartName="/xl/worksheets/sheet68.xml" ContentType="application/vnd.openxmlformats-officedocument.spreadsheetml.worksheet+xml"/>
  <Override PartName="/xl/worksheets/sheet44.xml" ContentType="application/vnd.openxmlformats-officedocument.spreadsheetml.worksheet+xml"/>
  <Override PartName="/xl/worksheets/sheet74.xml" ContentType="application/vnd.openxmlformats-officedocument.spreadsheetml.worksheet+xml"/>
  <Override PartName="/xl/worksheets/sheet82.xml" ContentType="application/vnd.openxmlformats-officedocument.spreadsheetml.worksheet+xml"/>
  <Override PartName="/xl/worksheets/sheet75.xml" ContentType="application/vnd.openxmlformats-officedocument.spreadsheetml.worksheet+xml"/>
  <Override PartName="/xl/worksheets/sheet54.xml" ContentType="application/vnd.openxmlformats-officedocument.spreadsheetml.worksheet+xml"/>
  <Override PartName="/xl/worksheets/sheet64.xml" ContentType="application/vnd.openxmlformats-officedocument.spreadsheetml.worksheet+xml"/>
  <Override PartName="/xl/worksheets/sheet45.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47.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ores (start here)" sheetId="1" state="visible" r:id="rId3"/>
    <sheet name="UPD Questions_290926 " sheetId="2" state="visible" r:id="rId4"/>
    <sheet name="UPD_SUMMARY_RAW" sheetId="3" state="visible" r:id="rId5"/>
    <sheet name="UPD Questions_240926  (2)" sheetId="4" state="hidden" r:id="rId6"/>
    <sheet name="Sheet1" sheetId="5" state="hidden" r:id="rId7"/>
    <sheet name="UPD Questions_230926 " sheetId="6" state="hidden" r:id="rId8"/>
    <sheet name="UPD1" sheetId="7" state="visible" r:id="rId9"/>
    <sheet name="UPD2" sheetId="8" state="visible" r:id="rId10"/>
    <sheet name="UPD3a" sheetId="9" state="visible" r:id="rId11"/>
    <sheet name="UPD3b" sheetId="10" state="visible" r:id="rId12"/>
    <sheet name="UPD3c" sheetId="11" state="visible" r:id="rId13"/>
    <sheet name="UPD4" sheetId="12" state="visible" r:id="rId14"/>
    <sheet name="UPD5a" sheetId="13" state="visible" r:id="rId15"/>
    <sheet name="UPD5b" sheetId="14" state="visible" r:id="rId16"/>
    <sheet name="UPD5c" sheetId="15" state="visible" r:id="rId17"/>
    <sheet name="UPD6" sheetId="16" state="visible" r:id="rId18"/>
    <sheet name="UPD7a" sheetId="17" state="visible" r:id="rId19"/>
    <sheet name="UPD7b" sheetId="18" state="visible" r:id="rId20"/>
    <sheet name="UPD8" sheetId="19" state="visible" r:id="rId21"/>
    <sheet name="UPD9" sheetId="20" state="visible" r:id="rId22"/>
    <sheet name="UPD10" sheetId="21" state="visible" r:id="rId23"/>
    <sheet name="UPD11a" sheetId="22" state="visible" r:id="rId24"/>
    <sheet name="UPD11b" sheetId="23" state="visible" r:id="rId25"/>
    <sheet name="UPD12" sheetId="24" state="visible" r:id="rId26"/>
    <sheet name="UPD13a" sheetId="25" state="visible" r:id="rId27"/>
    <sheet name="UPD13b" sheetId="26" state="visible" r:id="rId28"/>
    <sheet name="UPD13c" sheetId="27" state="visible" r:id="rId29"/>
    <sheet name="UPD13d" sheetId="28" state="visible" r:id="rId30"/>
    <sheet name="UPD13e" sheetId="29" state="visible" r:id="rId31"/>
    <sheet name="UPD13f" sheetId="30" state="visible" r:id="rId32"/>
    <sheet name="UPD14a" sheetId="31" state="visible" r:id="rId33"/>
    <sheet name="UPD14b" sheetId="32" state="visible" r:id="rId34"/>
    <sheet name="UPD14c" sheetId="33" state="visible" r:id="rId35"/>
    <sheet name="UPD15" sheetId="34" state="visible" r:id="rId36"/>
    <sheet name="UPD16a" sheetId="35" state="visible" r:id="rId37"/>
    <sheet name="UPD16b" sheetId="36" state="visible" r:id="rId38"/>
    <sheet name="UPD17" sheetId="37" state="visible" r:id="rId39"/>
    <sheet name="UPD18" sheetId="38" state="visible" r:id="rId40"/>
    <sheet name="UPD19a" sheetId="39" state="visible" r:id="rId41"/>
    <sheet name="UPD19b" sheetId="40" state="visible" r:id="rId42"/>
    <sheet name="UPD20a" sheetId="41" state="visible" r:id="rId43"/>
    <sheet name="UPD20b" sheetId="42" state="visible" r:id="rId44"/>
    <sheet name="UPD20c" sheetId="43" state="visible" r:id="rId45"/>
    <sheet name="UPD21" sheetId="44" state="visible" r:id="rId46"/>
    <sheet name="UPD22" sheetId="45" state="visible" r:id="rId47"/>
    <sheet name="UPD23a" sheetId="46" state="visible" r:id="rId48"/>
    <sheet name="UPD23b" sheetId="47" state="visible" r:id="rId49"/>
    <sheet name="UPD23c" sheetId="48" state="visible" r:id="rId50"/>
    <sheet name="UPD24a" sheetId="49" state="visible" r:id="rId51"/>
    <sheet name="UPD24b" sheetId="50" state="visible" r:id="rId52"/>
    <sheet name="UPD24c" sheetId="51" state="visible" r:id="rId53"/>
    <sheet name="UPD25a" sheetId="52" state="visible" r:id="rId54"/>
    <sheet name="UPD25b" sheetId="53" state="visible" r:id="rId55"/>
    <sheet name="UPD25c" sheetId="54" state="visible" r:id="rId56"/>
    <sheet name="UPD26a" sheetId="55" state="visible" r:id="rId57"/>
    <sheet name="UPD26b" sheetId="56" state="visible" r:id="rId58"/>
    <sheet name="UPD26c" sheetId="57" state="visible" r:id="rId59"/>
    <sheet name="UPD27a" sheetId="58" state="visible" r:id="rId60"/>
    <sheet name="UPD27b" sheetId="59" state="visible" r:id="rId61"/>
    <sheet name="UPD28a" sheetId="60" state="visible" r:id="rId62"/>
    <sheet name="UPD28b" sheetId="61" state="visible" r:id="rId63"/>
    <sheet name="UPD28c" sheetId="62" state="visible" r:id="rId64"/>
    <sheet name="UPD28d" sheetId="63" state="visible" r:id="rId65"/>
    <sheet name="UPD29a" sheetId="64" state="visible" r:id="rId66"/>
    <sheet name="UPD29b" sheetId="65" state="visible" r:id="rId67"/>
    <sheet name="UPD30a" sheetId="66" state="visible" r:id="rId68"/>
    <sheet name="UPD30b" sheetId="67" state="visible" r:id="rId69"/>
    <sheet name="UPD31" sheetId="68" state="visible" r:id="rId70"/>
    <sheet name="UPD32a" sheetId="69" state="visible" r:id="rId71"/>
    <sheet name="UPD32b" sheetId="70" state="visible" r:id="rId72"/>
    <sheet name="UPD32c" sheetId="71" state="visible" r:id="rId73"/>
    <sheet name="UPD32d" sheetId="72" state="visible" r:id="rId74"/>
    <sheet name="UPD32e" sheetId="73" state="visible" r:id="rId75"/>
    <sheet name="UPD33a" sheetId="74" state="visible" r:id="rId76"/>
    <sheet name="UPD33b" sheetId="75" state="visible" r:id="rId77"/>
    <sheet name="UPD34" sheetId="76" state="visible" r:id="rId78"/>
    <sheet name="UPD35" sheetId="77" state="visible" r:id="rId79"/>
    <sheet name="UPD36" sheetId="78" state="visible" r:id="rId80"/>
    <sheet name="UPD37" sheetId="79" state="visible" r:id="rId81"/>
    <sheet name="UPD38a" sheetId="80" state="visible" r:id="rId82"/>
    <sheet name="UPD38b" sheetId="81" state="visible" r:id="rId83"/>
    <sheet name="UPD39" sheetId="82" state="visible" r:id="rId84"/>
  </sheets>
  <definedNames>
    <definedName function="false" hidden="true" localSheetId="0" name="_xlnm._FilterDatabase" vbProcedure="false">'Scores (start here)'!$A$1:$R$77</definedName>
    <definedName function="false" hidden="true" localSheetId="3" name="_xlnm._FilterDatabase" vbProcedure="false">'UPD Questions_240926  (2)'!$A$1:$N$109</definedName>
    <definedName function="false" hidden="true" localSheetId="1" name="_xlnm._FilterDatabase" vbProcedure="false">'UPD Questions_290926 '!$A$1:$N$106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<sst xmlns="http://schemas.openxmlformats.org/spreadsheetml/2006/main" count="9040" uniqueCount="1265">
  <si>
    <t xml:space="preserve">Question</t>
  </si>
  <si>
    <t xml:space="preserve">Row</t>
  </si>
  <si>
    <t xml:space="preserve">Question text</t>
  </si>
  <si>
    <t xml:space="preserve">AI score</t>
  </si>
  <si>
    <t xml:space="preserve">Max score</t>
  </si>
  <si>
    <t xml:space="preserve">★ Your score</t>
  </si>
  <si>
    <t xml:space="preserve">★ Your comments</t>
  </si>
  <si>
    <t xml:space="preserve">Agrees with AI?</t>
  </si>
  <si>
    <t xml:space="preserve">Final score</t>
  </si>
  <si>
    <t xml:space="preserve">Score used</t>
  </si>
  <si>
    <t xml:space="preserve">Status</t>
  </si>
  <si>
    <t xml:space="preserve">Step 2 status</t>
  </si>
  <si>
    <t xml:space="preserve">Step 2 answer</t>
  </si>
  <si>
    <t xml:space="preserve">Citation</t>
  </si>
  <si>
    <t xml:space="preserve">Link</t>
  </si>
  <si>
    <t xml:space="preserve">Quote</t>
  </si>
  <si>
    <t xml:space="preserve">AI's reasoning</t>
  </si>
  <si>
    <t xml:space="preserve">Why left for a person</t>
  </si>
  <si>
    <t xml:space="preserve">UPD1</t>
  </si>
  <si>
    <t xml:space="preserve">Bangalore</t>
  </si>
  <si>
    <t xml:space="preserve">Is there a provision for a State Spatial Planning Board which is mandated with planning policies and reforms for the state?</t>
  </si>
  <si>
    <t xml:space="preserve">10</t>
  </si>
  <si>
    <t xml:space="preserve">Left for a person</t>
  </si>
  <si>
    <t xml:space="preserve">Partially Answered</t>
  </si>
  <si>
    <t xml:space="preserve">ANSWER: Karnataka's town planning law allows the State Government to set up a state-level planning board but does not require it to. Section 4 of the Karnataka Town and Country Planning (KTCP) Act, 1961 says the State Government 'may, by notification, constitute a State Town-Planning Board'. Because the Act says 'may', Part A only scores if a notification or official website shows the Board has actually been set up. No such evidence is in the Citation Sheet, so Part A cannot be decided. The Board's mandate in section 4 would meet Part B: it advises on planning and development and sets principles and policies for the State's balanced development. But Part B only counts if Part A is 'Yes', so no score can be proposed. | EVIDENCE: (1) KTCP Act s.4: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 (2) KTCP Act s.2(1a): ''Board' means the State Town Planning Board constituted under this Act'. (3) The Act refers to the Board elsewhere. The State Government must consult it before amalgamating or sub-dividing local planning areas (s.4A(3)) and before framing fund schemes (s.4A(5), s.4B(2)(ii)). It also acts 'in consultation with the Board' when setting up Planning Authorities (s.4C(1)). Board staff are pu</t>
  </si>
  <si>
    <t xml:space="preserve">The Karnataka Town and Country Planning Act, 1961 (Karnataka Act 11 of 1963) – PRS republication with amendments appended up to Act 38 of 2015 [ULG-02]</t>
  </si>
  <si>
    <t xml:space="preserve">https://prsindia.org/files/bills_acts/acts_states/karnataka/1963/1963KR11.pdf</t>
  </si>
  <si>
    <t xml:space="preserve">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t>
  </si>
  <si>
    <t xml:space="preserve">PART A is left blank: we could not find proof either way, which is different from finding that the Board does not exist. Section 4 of the Karnataka Town and Country Planning (KTCP) Act, 1961 says the State Government 'may, by notification, constitute' the Board. Because it says 'may' and not 'shall', the method requires proof that the Board was actually set up, through a government notification or order or an official department or Board website. No such evidence is in the Citation Sheet.
What I checked:
- ULG-02, the KTCP Act (PRS text, amendments up to Act 38 of 2015).
- Section 2(1a) defines 'Board' as the State Town Planning Board 'constituted under this Act'.
- Sections 4A(3), 4A(5), 4B(2)(ii), 4C(1) and 4H(1)(d) require the Board to be consulted or sent reports. These assume a Board exists but do not prove it was set up.
- ULG-03, the KTCP Amendment Bill 2025 (LA Bill 55 of 2025, as passed by the Legislative Assembly). It adds a Commissionerate and makes the Greater Bengaluru Authority (GBA) the planning authority. It does not change s.4 and does not mention a constituted Board.
- A search across the whole Citation Sheet for a notification setting up the Board found nothing.
- ULG-01 (Greater Bengaluru Governance Act), ULG-04 (Bangalore Development Authority Act) and ULG-05/06 (Bengaluru Metropolitan Region Development Authority pages) deal with city and metropolitan bodies, not a state-level board.
- The Citation Sheet has no KTCP Rules, no gazette notification or government order, and no Urban Development Department or Commissionerate web page.
Because of these gaps, Part A cannot be answered NO. Some caution is still needed. The Act's repeated duties to consult the Board suggest it may well exist, but that is a guess and not evidence.
PART B = YES. Section 4 gives the Board an explicit job: 'advising the State Government regarding planning and development and for determining principles and policies for achieving the balanced development of the State as a whole'. That is a state-level spatial planning policy mandate, which is what the question asks for. Under the workbook's own rule, Part B only counts if Part A = YES. So it scores nothing until Part A is confirmed.
WHAT A REVIEWER SHOULD CHECK: Look for the gazette notification or government order setting up the Karnataka State Town-Planning Board under s.4, and whether the Board is currently active. Sources to try are the Urban Development Department and the Commissionerate of Urban Development Authorities and Town and Country Planning (the renamed Directorate, under GO UDD 212 NAYOSE 2023). If a notification is found, Part A = YES and the total is 10. Also confirm that s.4 was not changed after 2015.</t>
  </si>
  <si>
    <t xml:space="preserve">The citation didn't settle every input. "Part A: State planning board provided / constituted" left blank: the Citation Sheet doesn't decide it.</t>
  </si>
  <si>
    <t xml:space="preserve">UPD2</t>
  </si>
  <si>
    <t xml:space="preserve">Is there a provision for the establishment of Planning Authorities for notified new towns or special developments?</t>
  </si>
  <si>
    <t xml:space="preserve">Scored by AI</t>
  </si>
  <si>
    <t xml:space="preserve">Answered — Verified Source</t>
  </si>
  <si>
    <t xml:space="preserve">ANSWER: Yes. Karnataka's Town and Country Planning Act, 1961 (KTCP Act) lets the state set up a Planning Authority for any area it declares by notification. First the State Government declares a Local Planning Area under s.4A(1), or adds an adjacent area to an existing one. It can then constitute a separate body corporate, the 'Planning Authority', for that area under s.4C(1). This power is discretionary ('may'), not a duty. Once an area is declared, s.9(1) says every Planning Authority 'shall' prepare a master plan for it within two years, so the alternative test in the methodology (the existing authority must plan the newly notified area) is also met. For special developments, the Act also makes special-purpose bodies the planning authority for their areas: s.81E (Hampi World Heritage Area Management Authority), s.81D (Urban Development Authorities) and s.81B (Bangalore Development Authority). | EVIDENCE: KTCP Act (PRS republication, amendments to Act 38 of 2015): s.4A(1) 'The State Government may by notification declare any area in the State to be a Local Planning Area for the purposes of this Act, or include within such local planning area, any area adjacent thereto'. s.4A(2): the notification 'shall define the limits'. s.4A(3): areas can be merged or split after consulting the State Town-Planning Board. s.4C(1): the state 'may' constitute a Planning Authority for that area. s.4C(2)-(3): it is a body corporate with a chairman, a Town Planning Officer as Member-Secretary, </t>
  </si>
  <si>
    <t xml:space="preserve">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</si>
  <si>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The answer is YES. I checked the Step 2 answer against the text of ULG-02 and the source supports it.
(1) Notifying an area: under s.4A(1) the State Government 'may by notification declare any area in the State to be a Local Planning Area… or include within such local planning area, any area adjacent thereto', and the Act then applies to that area. Under s.4A(2) the notification 'shall define the limits'.
(2) Setting up an authority: under s.4C(1) the State 'may' constitute a 'Planning Authority' for that area by notification in the Gazette. Under s.4C(2)-(3) it is a body corporate, with a chairman, a Town Planning Officer as Member-Secretary, and representatives of local bodies. This is the provision the methodology asks for: a planning authority for a newly notified area.
(3) The alternative test is also met. Under s.9(1), every planning authority 'shall… not later than two years from the date of declaration of the local planning area, prepare and publish… a master plan for such area'.
The Statement of Objects of Amending Act 14 of 1964 says it is 'necessary to establish separate planning authorities' for 'rapidly developing areas'. Sections 81B, 81D and 81E also make specific bodies the planning authority for special areas: the Bangalore Development Authority, Urban Development Authorities and the Hampi World Heritage Area Management Authority.
Caveats:
- Setting up an authority under s.4C is discretionary ('may'). The question asks only whether a provision exists, so the discretion does not change the YES.
- The Act has no section that uses the words 'new towns'. The provision is the general mechanism of notifying a local planning area and constituting an authority for it.
- The text is a secondary PRS republication, with amendments shown only up to Act 38 of 2015. The current official consolidated text should be confirmed.
- ULG-03 (LA Bill 55 of 2025, as passed by the Assembly) is not shown to be in force, so I did not rely on it.
- The methodology gives no explicit score bands. I treated this as a YES/NO input and leave the points to the workbook formula.</t>
  </si>
  <si>
    <t xml:space="preserve">UPD3a</t>
  </si>
  <si>
    <t xml:space="preserve">Does the Act require three levels of spatial plans for cities: Metropolitan/Regional, Municipal and Ward(s) /Local &gt;:&lt; Metropolitan/ Regional Plan</t>
  </si>
  <si>
    <t xml:space="preserve">10 &gt;:&lt; 3.33</t>
  </si>
  <si>
    <t xml:space="preserve">ANSWER: Yes. Karnataka law requires a metropolitan plan for Bengaluru. Section 14(2)(c) of the Greater Bengaluru Governance Act, 2024 says the State Government 'shall constitute' the Bengaluru Metropolitan Planning Committee (BMPC). The BMPC is set up under Article 243ZE of the Constitution, chaired by the Chief Minister, with the Chief Commissioner of the Greater Bengaluru Authority (GBA) as Member Secretary. The same clause says a 'draft development plan for the Greater Bengaluru Area as a whole' 'shall' be prepared. That is the Article 243ZE metropolitan development plan. Separately, the Bengaluru Metropolitan Region Development Authority (BMRDA) website lists 'To prepare a structure plan' for the Bangalore Metropolitan Region as one of its statutory functions. | EVIDENCE: (1) Greater Bengaluru Governance Act, 2024 (Karnataka Act 36 of 2025), s.14(2) 'Planning Functions' ('Notwithstanding anything contained in any other law'): (a) the GBA 'shall be the Planning Authority' under the Karnataka Town and Country Planning (KTCP) Act, 1961 for the Greater Bengaluru Area. (c) 'The State Government shall constitute the Bengaluru Metropolitan Planning Committee (BMPC) for area including but not limited to the Greater Bengaluru Area and with composition as per Article 243 ZE... The Bengaluru Metropolitan Planning Authority shall prepare a draft development plan for the Greater Bengaluru Area as a whole and [disc]harge responsibilities as enshrined in Article 243ZE'. s.15(1): the GBA</t>
  </si>
  <si>
    <t xml:space="preserve">The Greater Bengaluru Governance Act, 2024 (Karnataka Act No. 36 of 2025) – PRS Legislative Research republication of gazette text [ULG-01]</t>
  </si>
  <si>
    <t xml:space="preserve">https://prsindia.org/files/bills_acts/acts_states/karnataka/2025/Act36of2025KA.pdf</t>
  </si>
  <si>
    <t xml:space="preserve">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t>
  </si>
  <si>
    <t xml:space="preserve">Scored YES on the sub-question (Metropolitan/Regional Plan, max 3.33). The workbook has one 'Answer' column for UPD3a, and the method asks whether the law requires a metropolitan or regional plan. The three-level main-question test is not decided here; a person should check this mapping.
What the law says:
1. GBA Act s.14(2) opens with 'Notwithstanding anything contained in any other law'. Under clause (c), the State Government 'shall constitute' the BMPC under Article 243ZE, and the body 'shall prepare a draft development plan for the Greater Bengaluru Area as a whole and discharge responsibilities as enshrined in Article 243ZE'. 'Shall' makes this a duty, not an option.
2. s.103(1)(b) requires Ward Development Plans to be drawn up 'in accordance with the plans prepared by the Bengaluru Metropolitan Planning Committee'. This confirms the Act expects the BMPC to produce plans.
3. Supporting evidence: the BMRDA Functions page on its official site (ULG-05) says 'the functions of the Authority shall be: ... To prepare a structure plan' for the Bangalore Metropolitan Region. That is a regional-level plan, but this page only summarises the BMRDA Act 1985. The Act text is not in the Citation Sheet, so the exact verb is not confirmed from the Act.
What a person should check:
(a) Drafting slip: clause (c) names the 'Bengaluru Metropolitan Planning Authority' as the plan-maker, but the body it creates is the 'Committee'. Check whether a later amendment or the rules fix this.
(b) Coverage: the BMPC's area is 'including but not limited to' the Greater Bengaluru Area, but the plan it must make covers only the Greater Bengaluru Area 'as a whole'. So the plan may be narrower than the BMRDA region. The tie to Article 243ZE still makes it the metropolitan development plan.
(c) Source quality: the Act text is a PRS republication (a secondary copy) and includes Amendment Act 60 of 2025. This is the GBA era.
(d) KTCP Act (ULG-02): a keyword search found no regional-plan provision. The Act was not read in full, so that is 'not found', not proof of absence.</t>
  </si>
  <si>
    <t xml:space="preserve">UPD3b</t>
  </si>
  <si>
    <t xml:space="preserve">Does the Act require three levels of spatial plans for cities: Metropolitan/Regional, Municipal and Ward(s) /Local &gt;:&lt; Municipal/city plan</t>
  </si>
  <si>
    <t xml:space="preserve">ANSWER: Yes. Karnataka law requires a master plan (the city plan) to be made for Bengaluru. Section 9(1) of the Karnataka Town and Country Planning Act, 1961 (KTCP Act) says every Planning Authority 'shall' survey its area and prepare and publish a master plan within two years of the local planning area being declared. It then 'shall' send the plan to the State Government, through the Director, for provisional approval. The Greater Bengaluru Governance Act, 2024 (GBG Act) makes the Greater Bengaluru Authority (GBA) the Planning Authority under the KTCP Act for the Greater Bengaluru Area, 'notwithstanding anything contained in any other law'. So the duty to prepare the master plan falls on GBA. The State Government gives the approval. The city corporations do not prepare the plan, but their land-use and building-permission decisions must follow it. | EVIDENCE: (1) KTCP Act s.9(1), as substituted by Act 1 of 2005 with effect from 14.2.2005: 'Every planning authority shall, as soon as may be, carry out a survey ... and shall, not later than two years from the date of declaration of the local planning area, prepare and publish in the prescribed manner a master plan for such area and submit it to the State Government, through the Director, for provisional approval.' Section 9(2) is a fallback: if the plan is not submitted in time, the State 'may' authorise the Director to prepare it and recover the cost from the Planning Authority. Section 2(3-b) defines 'Master Plan' as 'a plan f</t>
  </si>
  <si>
    <t xml:space="preserve">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</si>
  <si>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The answer is YES. I checked this against the source, not just the Step 2 answer. This sub-question asks whether the Town and Country Planning Act requires a municipal/city plan. Section 9(1) of the Karnataka Town and Country Planning Act (KTCP Act) uses binding wording: every Planning Authority 'shall' survey its area and 'shall', within two years of the local planning area being declared, prepare and publish a master plan. Section 2(3-b) defines the Master Plan as a plan for developing or redeveloping the area under a planning authority. Section 12(1) also uses 'shall' for what the plan must contain (land-use zoning, street pattern, parks and so on), so this is the city-level spatial plan. Section 13-B requires a master plan for any area later added to a planning authority. Section 9(2) is only a fallback: if the plan is late, the State 'may' let the Director prepare it. That does not weaken the duty in s.9(1).
Who the duty falls on in Bengaluru: the Planning Authority is not the municipal corporation itself. It was the Bangalore Development Authority (BDA), under KTCP s.81-B as inserted by the BDA Act. Under the Greater Bengaluru Governance Act (ULG-01, Planning Functions clause (2)(a)) it is now the Greater Bengaluru Authority (GBA). The methodology lets a development authority Act count as evidence, and this question is only about whether a city plan is mandated. So who prepares it does not change the YES.
Caveats:
- The KTCP text is a PRS republication (a secondary source), amended up to Act 38 of 2015. KTCP amendments after 2015 and the Rules setting the 'prescribed manner' are not in the Citation Sheet. Neither is likely to remove the s.9 mandate, but a person should check against the gazette text.
- The 2025 KTCP Amendment Bill (ULG-03) is not shown to be in force, and I did not rely on it.
- Revising the plan every ten years (s.13-D) is optional ('may') unless the State directs it. That is outside this sub-question.
I scored this as a binary YES/NO, in line with the input column (YES = 3.33 out of 3.33).</t>
  </si>
  <si>
    <t xml:space="preserve">UPD3c</t>
  </si>
  <si>
    <t xml:space="preserve">Does the Act require three levels of spatial plans for cities: Metropolitan/Regional, Municipal and Ward(s) /Local &gt;:&lt; Ward(s)/local plan</t>
  </si>
  <si>
    <t xml:space="preserve">ANSWER: I could not confirm that Karnataka law requires a third tier of plan at zone or ward level. The version of the Karnataka Town and Country Planning (KTCP) Act, 1961 in the Citation Sheet (amended up to Act 38 of 2015) has only two tiers. The planning authority must make a Master Plan for the whole local planning area. It may then make town planning schemes to carry that plan out, and the methodology says those schemes do not count. I found no provision for a zonal, ward or local area plan. Later amendments and the Rules were not in the Citation Sheet, so this is 'not found', not a confirmed absence. | EVIDENCE: (1) KTCP Act s.9(1) (substituted by Act 1 of 2005): 'Every planning authority shall ... prepare and publish ... a master plan for such area and submit it to the State Government ... for provisional approval.' s.2(3-b) defines the Master Plan as 'a plan for the development or re-development of the area within the jurisdiction of a planning authority'. s.12(1) says the Master Plan covers 'the entire planning area', including zoning of land use with Zoning Regulations (s.12(1)(a)). s.12(2)(iii) requires 'regulations in respect of each land use zone'. These are land-use zones inside the Master Plan, not a separate zone-level plan. s.13-A (Interim Master Plan), s.13-B (Master Plan for an added area) and s.13-D (revision every 10 years) are all versions of the same Master Plan tier. s.26(1): the Planning Authority 'may make one or more town planning schemes' to carry </t>
  </si>
  <si>
    <t xml:space="preserve">Answer left blank because a zonal, ward or local plan is not found, but its absence is not confirmed. Version read: the Karnataka Town and Country Planning (KTCP) Act, 1961, in the PRS republication amended up to Act 38 of 2015 (ULG-02). It has one mandatory plan tier. s.9(1) says every planning authority 'shall' prepare a Master Plan for its area. s.12(1) says the Master Plan covers 'the entire planning area', with land-use zoning and Zoning Regulations. That zoning sits inside the Master Plan and is not a separate zone-level plan. s.13-A (Interim Master Plan, 'for the entire area ... or for any part thereof', which is optional unless the State directs it), s.13-B (Master Plan for an added area) and s.13-D (revision) are all versions of the same Master Plan tier. s.26(1) says the Planning Authority 'may make one or more town planning schemes' to carry out the Master Plan. The methodology excludes these schemes, and they are optional anyway. I searched the Citation Sheet for zonal, local area, ward and detailed development plans and found no zonal, ward or local area plan provision in ULG-02. Other sources checked: (1) ULG-01, Greater Bengaluru Governance Act 2024 (Act 36 of 2025). s.2(79) and s.103(1)(b) require a yearly Ward Development Plan from the Ward Committee. It is a budget and project priority list, not a spatial plan, and it is not in the T&amp;CP Act. I do not count it, but a reviewer may wish to confirm that. If it were counted, its type would be 'ward development plan' (financial/project). (2) ULG-03, the 2025 KTCP Amendment Bill: it adds no third tier and is not shown to be in force. (3) ULG-04 (BDA Act), ULG-05 and ULG-06 (BMRDA pages): no zone or ward plan. Why not 'NO': the Citation Sheet does not have KTCP amendments made after 2015, the KTCP Rules (the 'prescribed manner'), or an official consolidated state text. The only KTCP text is a secondary PRS copy. So I cannot show affirmative absence, and a 0 is not allowed. A positive answer is not supported either. Reviewer: please check the current consolidated KTCP Act and Rules from the Karnataka e-gazette or the Urban Development Department (UDD) for any zonal, local area or ward plan provision. If none exists, the answer should be NO.</t>
  </si>
  <si>
    <t xml:space="preserve">The citation didn't settle every input. "Answer" left blank: the Citation Sheet doesn't decide it.</t>
  </si>
  <si>
    <t xml:space="preserve">UPD4</t>
  </si>
  <si>
    <t xml:space="preserve">Is the planning boundary of the municipal/city plan aligned with political and administrative boundaries?</t>
  </si>
  <si>
    <t xml:space="preserve">ANSWER: The Citation Sheet cannot settle this, so no score is given. The law points to a planning area that matches the city government's boundary: the Greater Bengaluru Governance Act makes the Greater Bengaluru Authority (GBA) the Planning Authority under the Karnataka Town and Country Planning Act (KTCP Act) for 'the areas comprising of the Greater Bengaluru Area', and that is the GBA's own jurisdiction. But the methodology asks for the plan or notification that actually defines the planning area, and none is in the sheet. Missing are (i) the notification declaring the Greater Bengaluru Area under s.3, (ii) the notification creating the City Corporations and their boundaries, and (iii) the master plan now in force and its planning-area notification or map. I cannot confirm whether the plan in force follows the GBA boundary or uses whole administrative units beyond it. | EVIDENCE: (1) GBA Act, 2024 (Karnataka Act 36 of 2025), PRS copy. s.3: the Government 'shall, by notification, declare the larger urban area of the City of Bengaluru and such other areas the Government may specify, as the Greater Bengaluru Area' and 'may, from time to time, modify the territorial limits'. s.4: the GBA, City Corporations and Ward Committees are the civic authorities 'in the Greater Bengaluru Area'. s.5: City Corporations (at most seven) are set up 'for the effective municipal governance of the Greater Bengaluru Area'. Planning Functions, sub-s.(2)(a) (p.14; the section number is not visible,</t>
  </si>
  <si>
    <t xml:space="preserve">the Greater Bengaluru Authority shall be the “Planning Authority” as defined under the Karnataka Town and Country Planning Act, 1961, for the areas comprising of the Greater Bengaluru Area;</t>
  </si>
  <si>
    <t xml:space="preserve">I have left 'Answer' blank. The Citation Sheet does not contain the instrument this methodology treats as the main source.
**What the sheet shows (law only):**
- GBA Act s.15(2)(a) (probable section number): the GBA is the Planning Authority under the KTCP Act 'for the areas comprising of the Greater Bengaluru Area'.
- ULG-03 (the 2025 KTCP amendment Bill) would make the Local Planning Area for the GBA the same as the Greater Bengaluru Area. It would do this in new s.2(7)(a)(i) and s.81-G(1). It would also cut the Greater Bengaluru Area out of the BDA's area in s.81-B(i).
- Taken together, the intended design is a planning area that matches the GBA's own boundary. That points towards YES.
**Why I did not score YES:**
1. The methodology says to use the notification or text that defines the planning area, and the plan map. Neither is in the sheet. Missing are the s.3 notification declaring the Greater Bengaluru Area, the s.5/s.7 City Corporation boundary notifications, and the master plan now in force with its planning-area notification or map.
2. ULG-03 is a Bill as passed by the Assembly. Under its s.1(2) it comes into force only on a date the government notifies, and the sheet does not show enactment or commencement.
3. Under the Bill's s.81-G(2), a master plan made by the Bangalore Development Authority (BDA) is treated as made by the GBA. So the plan in force may be a BDA-era master plan drawn for the old BDA planning area. Nothing in the sheet lets me check whether its boundary matches the Greater Bengaluru Area or the City Corporations, or whether it splits villages.
4. GBA Act s.7(1) lets the new City Corporations be made from 'part or complete areas' of local bodies. Its proviso to s.7(4) also contemplates only part of a local body falling inside the Greater Bengaluru Area. Splitting of units is therefore possible, and only the notifications could settle it.
**Why I did not score NO:** a NO would need affirmative absence, and there is no evidence of misalignment.
**What I checked:**
- ULG-01: GBA Act s.3, 4, 5, 6, 7, 26(3) and the Planning Functions sub-section (2).
- ULG-02: KTCP Act, amended to 2015. This version still names the BDA for the City of Bangalore in s.2(7)(a)(i), and s.12 says the master plan covers the entire planning area.
- ULG-03: the 2025 amendment Bill.
- The Step 2 review covered ULG-04 to ULG-06. That review found that ULG-04 (BDA Act) refers to the Bangalore Metropolitan Area, and that ULG-06 (BMRDA Local Planning Areas page) gives no boundary for the GBA planning area.
**For a human reviewer:** obtain the Greater Bengaluru Area notification under s.3, the City Corporation notifications, the commencement notification for the KTCP amendment, and the master plan now in force with its planning-area notification and map. Then compare the plan boundary with the Greater Bengaluru Area and the City Corporations, checking for split villages or local bodies.</t>
  </si>
  <si>
    <t xml:space="preserve">UPD5a</t>
  </si>
  <si>
    <t xml:space="preserve">Is there a clear decentralised procedure for approvals of each level of plans? &gt;:&lt; Does the law mandate that the metropolitan/regional plan be approved by the state government?</t>
  </si>
  <si>
    <t xml:space="preserve">Insufficient Evidence</t>
  </si>
  <si>
    <t xml:space="preserve">Step 2 found no evidence: a source needs to be found and added. Step 2 found no evidence (Insufficient Evidence). Source needed: Needed: (1) the full text of the Bengaluru Metropolitan Region Development Authority Act, 1985 (Karnataka), as amended, especially the sections on preparing and approving the Structure Plan for the Bengaluru Metropolitan Region; (2) the complete, readable text of the GBA Act, 2024 BMPC clause, plus any BMPC or Metropolitan Planning Committee Rules notified in the Karnataka Gazette; (3) the KTCP Rules, if they cover regional plans.</t>
  </si>
  <si>
    <t xml:space="preserve">UPD5b</t>
  </si>
  <si>
    <t xml:space="preserve">Is there a clear decentralised procedure for approvals of each level of plans? &gt;:&lt; Does the law mandate that the municipal/city plan be approved by the MPC (Metropolitan Planning Committee)  for metropolitan cities or by DPC (District Planning Committee) for non-metropolitan cities?</t>
  </si>
  <si>
    <t xml:space="preserve">ANSWER: No such mandate was found in the sources. The state planning law (the KTCP Act) gives final approval of the city Master Plan to the State Government, not to a Metropolitan Planning Committee (MPC). The Greater Bengaluru Governance (GBG) Act makes the Greater Bengaluru Authority (GBA) the Planning Authority. It also creates the Bengaluru Metropolitan Planning Committee (BMPC), which prepares a draft development plan. In the text read, no provision requires the BMPC to approve the city or GBA master plan. Bengaluru is a metropolitan city, so the DPC route does not apply. I have left the score blank because not every layer of law is in the Citation Sheet (see LIMITS). | EVIDENCE: (1) KTCP Act, 1961 (PRS text with the Act 1 of 2005 amendment appended), s.13: the Planning Authority sends the Master Plan to the State Government. The State Government returns it for public comments (s.13(1)-(2)). Then under s.13(3) the State Government 'shall, in consultation with the Director, give its final approval to the plan'. Under s.13(4) the Planning Authority publishes the Master Plan 'as finally approved by the State Government'. A plan for an added area goes 'to the State Government for sanction' (s.13-B). The MPC has no role in any of these provisions. (2) GBG Act, 2024 (Karnataka Act 36 of 2025), s.14(2)(a): the GBA 'shall be the "Planning Authority" as defined under the Karnataka Town and Country Planning Act, 1961'. s.14(2)(c): the State Government 'shall constitute' the BMPC u</t>
  </si>
  <si>
    <t xml:space="preserve">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t>
  </si>
  <si>
    <t xml:space="preserve">I answered NO because the planning Act (the KTCP Act) gives approval of the city plan to the State Government, not to a Metropolitan Planning Committee (MPC). This is a positive finding, not just the absence of a clause. Bengaluru is a metropolitan city, so the District Planning Committee route does not apply.
KTCP Act, 1961 (ULG-02, PRS text with amendments up to Act 38 of 2015):
- s.9(1): the Planning Authority sends the Master Plan 'to the State Government, through the Director, for provisional approval'.
- s.13(1)-(2): the State Government returns the plan for public comments.
- s.13(3): the State Government 'shall ... give its final approval to the plan'.
- s.13(4): the plan is published 'as finally approved by the State Government'.
- s.13-B: a plan for an added area goes to the State Government 'for sanction'.
- s.81-C: Planning Authorities in the Bangalore Metropolitan Region send their plans 'to the State Government through the Bangalore Metropolitan Region Development Authority for approval'.
- The MPC has no approval role anywhere in this route.
GBG Act, 2024 (ULG-01, Karnataka Act 36 of 2025):
- s.14(2)(a): the GBA is the 'Planning Authority' as defined under the KTCP Act, so the s.13 State-approval route applies to it.
- s.14(2)(c): the State Government shall set up the Bengaluru Metropolitan Planning Committee (BMPC). Its job is to 'prepare a draft development plan for the Greater Bengaluru Area as a whole' and 'discharge responsibilities as enshrined in Article 243ZE'. I re-read this clause. The excerpt break falls inside the word 'disc|harge', so it appears nothing is cut off there.
- s.15(1): the GBA 'shall be responsible to make master plan'.
- s.103(1)(b): ward plans follow the BMPC's plans.
- No clause makes the BMPC the body that approves the master plan.
KTCP amendment Bill 2025 (ULG-03, LA Bill 55 of 2025, as passed by the Assembly; start date not yet notified):
- It makes the GBA the local planning authority (s.2(7)(a)(i) and new s.81-G) and creates a Commissionerate.
- It does not amend s.13 and gives no approval role to an MPC.
Other sources checked: the BDA Act (ULG-04, referred to in the earlier draft answer), and the BMRDA Functions and Local Planning Areas pages (ULG-05, ULG-06). The latter say plans are prepared under the KTCP Act 'and obtaining approval of the Government'; that website text is supporting only. I also searched the whole Citation Sheet for MPC/BMPC approval of the master plan and found nothing.
Where I differ from the earlier draft answer: it left this blank because some layers are missing. I score NO because the Act itself makes a mandatory ('shall') provision giving approval to the State. Rules made under the Act cannot move that statutory approval power to an MPC. The missing BMPC rules ('as prescribed') cover only its membership. The latest laws (the GBG Act 2025 and the 2025 Bill) keep the KTCP approval route.
REVIEWER CHECK:
(1) The KTCP text in the Citation Sheet is current only to Act 38 of 2015. Please confirm that no amendment between 2015 and 2025 changed s.13 to give an MPC an approval role.
(2) The KTCP Rules, the BMPC rules and any notification setting up the BMPC are not in the Citation Sheet.
(3) s.14(2)(c) says 'Bengaluru Metropolitan Planning Authority', which looks like a drafting slip for the BMPC.
If you require these layers to be read before scoring a 0, change Answer to blank.</t>
  </si>
  <si>
    <t xml:space="preserve">UPD5c</t>
  </si>
  <si>
    <t xml:space="preserve">Is there a clear decentralised procedure for approvals of each level of plans? &gt;:&lt; Does the law mandate that the ward(s)/local plan be approved by the ULG?</t>
  </si>
  <si>
    <t xml:space="preserve">ANSWER: Probably not, but this is not confirmed. The Karnataka Town and Country Planning Act text we have does not create a zonal, ward or local plan level. Its plans below city level are Town Planning Schemes. The Planning Authority prepares them, but the State Government approves them (s.34(3)), not the city government. The city-wide Master Plan also gets final approval from the State Government (s.13(3)). The Greater Bengaluru Authority (GBA) is the Planning Authority for the Greater Bengaluru Area, so it prepares plans but does not approve them. The only ward-level plan in the Citation Sheet is the GBA Act's 'Ward Development Plan'. That is a yearly funding priority list that the Ward Committee submits to the City Corporation 'for allotment of funds'. No provision found says the City Corporation 'shall approve' it, and it is not a spatial plan under the Town and Country Planning Act. | EVIDENCE: (1) Town and Country Planning Act s.34(2)-(3) (PRS text, amendments to 2015): the Planning Authority 'shall... submit the draft scheme... to the State Government through the Director and shall at the same time apply for its sanction'. The State Government 'may by notification... either sanction such scheme... or refuse to give sanction'. The final scheme also goes to the Director 'for obtaining the sanction of the State Government' (s.41(2)). (2) Same Act s.9(1), s.13(1)-(3): the Planning Authority prepares the Master Plan and submits it 'to the State Government, through the Direc</t>
  </si>
  <si>
    <t xml:space="preserve">(3) 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t>
  </si>
  <si>
    <t xml:space="preserve">I left the answer blank. The evidence points to NO, but I can't record NO without affirmative absence. (1) What the sources say: I checked Step 2 against the sources and it holds up. The Karnataka Town and Country Planning Act (ULG-02, PRS text with amendments up to Act 38 of 2015) has no zonal, ward or local plan level. Below the city level there are Town Planning Schemes and Interim Master Plans for 'any part' of the area. The State Government approves both. For schemes, s.34(3) says the State Government 'may by notification... either sanction such scheme... or refuse to give sanction', and s.45(1) gives it the final scheme. For the Master Plan, s.13(3) says the State Government 'shall... give its final approval'. s.13-A applies the s.13 approval process to Interim Master Plans. The Planning Authority only prepares and submits these plans. Under the GBA Act 2024 (ULG-01), the planning-functions clause makes the Greater Bengaluru Authority the 'Planning Authority' under the Town and Country Planning Act. That makes it the body that prepares plans, not the one that approves them. The Act gives the Bengaluru Metropolitan Planning Committee the city-wide draft development plan. s.2(79) and s.103 cover the 'Ward development plan', which is a budget priority list the Ward Committee submits to the City Corporation 'for allotment of funds'. It is not a spatial plan under the Town and Country Planning Act, and no clause says the City Corporation 'shall approve' it. The 2025 Amendment Bill (ULG-03) adds s.81-G, making the GBA the local planning authority. It adds no plan level approved by the city government. Its commencement depends on a notification, and none is shown. (2) Why the answer is blank: a NO would score 0, so it needs affirmative absence. Several layers are not in the Citation Sheet: the Karnataka Town and Country Planning Rules, the zoning regulations, the Act's amendments after 2015, and any GBA Act rules on ward plans. Because of these gaps, 'not found' cannot yet be treated as 'absent'. What I checked: ULG-02 (s.9, s.12, s.13, s.13-A to s.13-E, s.34, s.41, s.45, and the local planning area definitions); ULG-01 (s.2(79), the planning-functions clause, s.103, s.111 and s.112); ULG-03 in full; and a search of the whole sheet for zonal, local area and ward plan approval. ULG-04 (BDA Act), ULG-05 and ULG-06 (BMRDA pages) cover other bodies. ULG-06 says Master Plans need 'approval of the Government'. (3) What someone should check: (a) the research team should add the current consolidated Town and Country Planning Act (after 2015) and the Rules, and confirm whether the 2025 Amendment Act is in force. If neither adds a ward or local plan approved by the city government, record NO (0). (b) The methodology team should confirm whether a GBA Act Ward Development Plan counts as a 'ward plan'. Even if it does, no 'shall approve' duty was found, which also points to NO.</t>
  </si>
  <si>
    <t xml:space="preserve">UPD6</t>
  </si>
  <si>
    <t xml:space="preserve">Does the Act clearly define the objectives/contents of each level of spatial plan?</t>
  </si>
  <si>
    <t xml:space="preserve">ANSWER: Only partly established. The Karnataka Town and Country Planning (KTCP) Act, 1961 clearly sets out the purpose and contents of the city-level plan (the Master Plan, s.12). It gives no purpose or contents for a metropolitan or regional plan. For the local level, the only candidate is the Town Planning Scheme (s.26), which has a listed set of matters it may cover. Whether a Town Planning Scheme counts as a 'ward/local plan' under this question needs confirmation. The metropolitan-level law that would decide the first component, the BMRDA Act, 1985 (structure plan), is not in the Citation Sheet. So no score is proposed. | EVIDENCE: (1) City plan: KTCP Act s.12(1), as substituted by Act 1 of 2005 (in force from 14.2.2005): 'Master Plan shall consist of a series of maps and documents indicating the manner in which the development and improvement of the entire planning area ... are to be carried out and regulated, such plan shall include proposals for' (a) land-use zoning with Zoning Regulations, (b) street pattern and traffic circulation, (c) parks, open spaces and civic uses, (d) areas for future expansion, (e) land reserved for government and acquisition, (f) areas of special control (building line, height, floor area ratio), (g) stages of implementation. s.12(2) lists the reports that must accompany the plan and s.12(3) requires heritage buildings and precincts to be shown. Purpose and contents are both stated, so this component is met. (2) Metropolitan/regional plan: n</t>
  </si>
  <si>
    <t xml:space="preserve">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t>
  </si>
  <si>
    <t xml:space="preserve">Two of three inputs are filled; the metropolitan one is left blank, so no total is proposed. A person must confirm the ward/local input and decide the metropolitan one. Source: the KTCP Act, 1961 as republished by PRS with amendments up to Act 38 of 2015. PRS is a secondary source, and no official consolidated text after 2015 is in the Citation Sheet.
(1) Municipal/city plan = YES. Section 12(1) states the Master Plan's purpose: it shows how the development and improvement of the entire planning area 'are to be carried out and regulated'. It then says the plan 'shall include proposals for' seven items: (a) land-use zoning with Zoning Regulations, (b) street pattern and traffic circulation, (c) parks, open spaces and civic uses, (d) areas for future expansion, (e) reservations and acquisition, (f) areas of special control (building line, height, FAR), and (g) stages of implementation. Section 12(2) lists the reports that must go with the plan. Section 12(3) requires heritage buildings and precincts to be shown. Both purpose and contents are clearly in the Act.
(2) Ward/local plan = YES. Please confirm this one. Section 26(1) says a Planning Authority, 'for the purpose of implementing the proposals in the Master Plan', may make town planning schemes 'for the area within its jurisdiction or any part thereof'. So the purpose and the sub-city scale are both stated. Section 26(2), under the heading 'its contents', lists the matters a scheme may cover, (a) to (k): layout and re-layout, roads, buildings, land reserved for open spaces and schools, drainage, water supply, building restrictions, and so on. I read the Town Planning Scheme as the KTCP Act's local-level spatial plan, with both purpose and contents set out in the Act.
Caveats for the person checking:
- The wording is discretionary ('may make'; 'may make provisions for').
- A scheme is not a plan for each ward.
- The GBA Act, 2024 s.103(1)(b) 'Ward Development Plan' does not count here. It is a priority list of projects and schemes for allotting funds (budget plan), not a spatial plan; s.2(79) defines it as prepared 'for the allotment of budget'.
- If the reviewers decide that a Town Planning Scheme is not a 'ward/local plan', change this input to blank. It should not become NO until the sheet has been checked for any other local-plan provision.
(3) Metropolitan/regional plan = blank (not found; this is not a finding of absence). I read these parts of the KTCP Act text and found no regional or metropolitan plan with stated purpose or contents: Chapters I and IA, the provisions on surveys and the Master Plan (ss.9-13E), Chapter IV, Chapter V, and ss.81-81E. Section 81-C only says that Planning Authorities in the Bangalore Metropolitan Region submit their plans for approval through BMRDA, which acts as Director. A NO is still not supported, for three reasons:
- The metropolitan-level law, the BMRDA Act, 1985 (structure plan), is not in the Citation Sheet.
- KTCP amendments after 2015 are not consolidated in the sheet. The 2025 amendment bill (ULG-03) is shown only as passed by the Assembly, though it adds nothing on regional plans.
- GBA Act s.14(2)(c) has the BMPC, set up under Article 243ZE, prepare a 'draft development plan for the Greater Bengaluru Area as a whole' but gives no contents. That clause names the preparer as the 'Bengaluru Metropolitan Planning Authority', which should be checked against the gazette text.
- The BMRDA functions page (ULG-05) only says 'To prepare a structure plan'.
If reviewers rule that only the KTCP Act counts, as the methodology's 'Check the T&amp;CP Act' suggests, this input could become NO on the KTCP text read here. That should be confirmed first, and the KTCP amendments made after 2015 should be checked.</t>
  </si>
  <si>
    <t xml:space="preserve">The citation didn't settle every input. "Objectives/contents: Metropolitan/regional plan" left blank: the Citation Sheet doesn't decide it.</t>
  </si>
  <si>
    <t xml:space="preserve">UPD7a</t>
  </si>
  <si>
    <t xml:space="preserve">Does the city have a functional MPC/DPC? &gt;:&lt; Does the law provide for the constitution of an MPC/DPC?</t>
  </si>
  <si>
    <t xml:space="preserve">10 &gt;:&lt; 5</t>
  </si>
  <si>
    <t xml:space="preserve">ANSWER: Part A: met. The Greater Bengaluru Governance Act, 2024, which is the city government's own law, requires the State to set up a Metropolitan Planning Committee (MPC) for Bengaluru. Section 14(2)(c) says the State Government "shall constitute" the Bengaluru Metropolitan Planning Committee (BMPC). Its composition must follow Article 243ZE of the Constitution, the Chief Minister chairs it and the GBA Chief Commissioner is Member Secretary. Bengaluru is a metropolitan city, so MPC, not DPC, is the right test. Part B: not found. No state rules for the BMPC are in the Citation Sheet, so there is no evidence either way on whether they have been notified. | EVIDENCE: (1) Greater Bengaluru Governance Act, 2024 (Karnataka Act 36 of 2025), s.14(2)(c): "The State Government shall constitute the Bengaluru Metropolitan Planning Committee (BMPC) ... with composition as per Article 243 ZE of the Constitution of India. The BMPC shall be chaired by the Chief Minister and comprise of other members as prescribed." The words "as prescribed" mean the other members are to be set by rules made under the Act. Those rules were not in the sheet. Also s.103(1)(b): Ward Development Plans are to be drawn up "in accordance with the plans prepared by the Bengaluru Metropolitan Planning Committee". (2) Karnataka Town and Country Planning Act, 1961 (ULG-02, PRS text with amendments up to Act 38 of 2015): searched, and the passages returned contain no MPC/DPC provision. Its role here is making planning</t>
  </si>
  <si>
    <t xml:space="preserve">(c) 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t>
  </si>
  <si>
    <t xml:space="preserve">Part A is YES. The Greater Bengaluru Governance Act, 2024 (Karnataka Act 36 of 2025) is the municipal law for the GBA-era city government. Section 14(2)(c) says the State Government 'shall constitute' the Bengaluru Metropolitan Planning Committee. Its composition follows Article 243ZE, the Chief Minister chairs it and the GBA Chief Commissioner is Member Secretary. 'Shall' makes this a mandatory duty. Bengaluru is a metropolitan city, so the MPC test applies, not the DPC test. Section 103(1)(b) of the same Act backs this up: Ward Development Plans must be drawn up in line with the plans of the Bengaluru Metropolitan Planning Committee. I checked the Step 2 answer against the source text and it holds.
Part B is left blank because I could not find the rules, which is different from finding they do not exist. Section 14(2)(c) leaves the other members to be 'as prescribed', which means rules made under the Act. No Karnataka MPC/BMPC rules and no gazette notification are in the Citation Sheet. My searches for 'Metropolitan Planning Committee rules notified' and '243ZE District Planning Committee' found only provisions of the Act, not rules. I also checked the Karnataka Town and Country Planning Act (ULG-02, PRS text amended up to 2015), the 2025 Bill amending it (LA Bill 55 of 2025, ULG-03), the BDA Act (ULG-04) and the BMRDA pages (ULG-05/06). None of them contains MPC rules. A 'NO' needs affirmative absence, meaning the rules layer itself was searched, and it was not in the sheet. A person should check the Karnataka Gazette for BMPC rules under the GBG Act. They should also check whether any earlier MPC rules made under the Karnataka Municipal Corporations Act regime still apply to the Greater Bengaluru Area.
Other caveats:
(i) The same clause next says 'Bengaluru Metropolitan Planning Authority shall prepare a draft development plan'. This looks like a drafting slip for 'Committee'; please confirm.
(ii) The text I relied on is the PRS republication, not the gazette copy.
(iii) The Act 60 of 2025 amendment reproduced in ULG-01 does not change s.14(2)(c).
Era: GBA-era.</t>
  </si>
  <si>
    <t xml:space="preserve">The citation didn't settle every input. "Part B: MPC/DPC rules notified" left blank: the Citation Sheet doesn't decide it.</t>
  </si>
  <si>
    <t xml:space="preserve">UPD7b</t>
  </si>
  <si>
    <t xml:space="preserve">Does the city have a functional MPC/DPC? &gt;:&lt; Have they met at least once in the past two years?</t>
  </si>
  <si>
    <t xml:space="preserve">Step 2 found no evidence: a source needs to be found and added. Step 2 found no evidence (Insufficient Evidence). Source needed: Dated records of the BMPC actually meeting: (a) a Karnataka Urban Development Department notification or government order setting up the BMPC under GBG Act s.14(2)(c) / Article 243ZE; (b) BMPC meeting minutes, agendas, notices or resolutions dated within the last two years, from the GBA (whose Chief Commissioner is Member Secretary), the UDD or BMRDA; or (c) an RTI reply giving BMPC meeting dates.</t>
  </si>
  <si>
    <t xml:space="preserve">UPD8</t>
  </si>
  <si>
    <t xml:space="preserve">Does the city (million-plus) have a Metropolitan Authority?</t>
  </si>
  <si>
    <t xml:space="preserve">ANSWER: Yes. Bengaluru has a metropolitan-level authority set up by law. The Greater Bengaluru Governance Act, 2024 (Karnataka Act 36 of 2025) s.9(1) requires the State Government to create the Greater Bengaluru Authority (GBA) for the Greater Bengaluru Area by notification ('shall'). The GBA is to be chaired by the Chief Minister, with the Mayors of the City Corporations and the heads of BDA, BWSSB, BMTC and other agencies as members. The same Act makes it the coordinator among the City Corporations and other agencies (s.8(3)) and the Planning Authority under the KTCP Act for the Greater Bengaluru Area. A second statutory body, the Bengaluru Metropolitan Region Development Authority (BMRDA), was set up under the BMRDA Act, 1985 for the wider Metropolitan Region, which includes Bengaluru Urban District. The official BMRDA site shows it was constituted on 01-02-1986. So a metropolitan authority set up by law and constituted for the city is shown. | EVIDENCE: (1) GBA Act 2024 (PRS copy of the gazette text, with amending Acts appended): s.9(1) 'the Government shall, by notification, constitute an Authority for the Greater Bengaluru Area called the Greater Bengaluru Authority'. s.9(2): it is a body corporate. s.9(3): members (CM as ex-officio Chairperson, Mayors, Commissioner BDA, Chairman BWSSB, MD BMTC, etc.). Second Amendment Act (Karnataka Act 01 of 2026, 07.01.2026) adds the Chief Secretary, ACS UDD and ACS/PS Finance to s.9(3) and replaces s.9(5) with a list of MPs/MLAs/MLC</t>
  </si>
  <si>
    <t xml:space="preserve">As soon as may be after the date of commencement of this Act not later than one hundred twenty days  from the said date, the Government shall, by notification, constitute an Authority for the Greater Bengaluru Area called the Greater Bengaluru Authority.</t>
  </si>
  <si>
    <t xml:space="preserve">The answer is YES. Bengaluru is a million-plus city, so the question applies (it is not NA).
**What the law says:** The Greater Bengaluru Governance Act, 2024 (Karnataka Act 36 of 2025) creates a metropolitan-level authority. This is the example given in the methodology itself.
- s.9(1) says the Government 'shall, by notification, constitute' the Greater Bengaluru Authority (GBA). 'Shall' makes this a duty, not an option.
- s.9(2) makes the GBA a body corporate.
- s.9(3) sets its members: the Chief Minister as Chairperson, the Mayors of the City Corporations, and the heads of BDA, BWSSB and BMTC, among others.
- s.8(3) says the GBA 'shall discharge the role of coordinator among all the City Corporations and other agencies'.
**Whether it has been constituted:** No gazette notification under s.9(1) is in the Citation Sheet. So the GBA's actual constitution and its date are not shown directly. The Second Amendment Act (Karnataka Act 01 of 2026, 07.01.2026, appended in ULG-01) changes the GBA's membership in s.9(3) and s.9(5). That suggests the GBA exists, but only indirectly.
The 'constituted' part of the test is also met by a second body. The official BMRDA site (ULG-06) says the Bengaluru Metropolitan Region Development Authority is 'a statutory authority constituted on date 01-02-1986 under the provisions of the Bengaluru Metropolitan Region Development Authority Act 1985'. Its region includes Bengaluru Urban District. The KTCP Act s.81-C (ULG-02) also gives BMRDA a statutory role across the Metropolitan Region. So a metropolitan authority both established by law and constituted for the city is shown.
**Checks I made against the Step 2 answer:**
- I re-read ULG-01 s.9, s.8 and the Second Amendment, and ULG-06. They support the Step 2 answer.
- One point Step 2 missed: s.13(1)(e) lists the BMRDA Metropolitan Commissioner as a member of the GBA Executive Committee. This links the two bodies.
**Limits:**
- The GBA Act text is a PRS republication of the gazette text (secondary source).
- The full BMRDA Act, 1985 is not in the Citation Sheet.
- The commencement notification and the s.9 constitution notification for the GBA are not in the sheet. A reviewer should attach the s.9(1) notification and its date if the GBA itself must be shown as constituted.
- BMRDA's region (about 8,005 sq km) is wider than the GBA's Greater Bengaluru Area.</t>
  </si>
  <si>
    <t xml:space="preserve">UPD9</t>
  </si>
  <si>
    <t xml:space="preserve">Does the law mandate participation of all parastatals/ agencies /ULGs in creation of Spatial plans (metro/municipal/ward)?</t>
  </si>
  <si>
    <t xml:space="preserve">ANSWER: Partly. Not enough evidence to score. Each layer of the law I read requires at most some involvement of local bodies, and the Board in KTCP s.4 is optional ('may'). I found no provision that requires all parastatals, agencies and ULGs to take part in making spatial plans at the metro, municipal and ward levels. I also found no required advisory council with civic-agency members that advises planning authorities on drawing up the plan. Some layers are missing from the Citation Sheet (Rules, BDA Act s.3, BMRDA Act, KTCP s.4F), so this is 'not found', not a confirmed 0. | EVIDENCE: (1) KTCP Act 1961 (ULG-02, PRS text with amendments up to Act 38 of 2015). s.4 State Town-Planning Board: the State Government 'may, by notification, constitute' it, 'with such members ... as may be prescribed', 'for advising the State Government regarding planning and development'. This is optional, it advises the State and not the planning authority on a particular plan, and its members are left to Rules that are not in the sheet. s.4C(3): every Planning Authority 'shall consist of' a Chairman, a Town Planning Officer, '(iii) representatives of local bodies' (at most five where two or more local authorities have jurisdiction, chosen as the State 'may consider necessary') and three State appointees. ULGs must be represented, but parastatals and line agencies (water, power, transport, KIADB) are not named. ss.9-13 (Master Plan): survey, declaration of intention and invitation of suggestions 'f</t>
  </si>
  <si>
    <t xml:space="preserve">(f) The Mayors of the City Corporations within the Greater Bengaluru Area  - Ex-officio Members; (g) The Commissioner, Bangalore Development Authority –   Ex-officio Member; (h) The Chairman, Bangalore Water Supply and Sewerage Board– Ex-officio Member;</t>
  </si>
  <si>
    <t xml:space="preserve">I am answering YES, which is a change from Step 2. Step 2 left this blank, but it missed the decisive provision in ULG-01, the Greater Bengaluru Governance Act 2024 (Karnataka Act 36 of 2025, GBA era). (1) Under s.14(2)(a) the Greater Bengaluru Authority is the 'Planning Authority' as defined under the KTCP Act 1961 for the Greater Bengaluru Area, 'notwithstanding anything contained in any other law'. Under s.15(1) it 'shall be responsible to make master plan and mobility plans'. So GBA is the body that prepares the statutory spatial plan (KTCP s.9 master plan). (2) Section 9(3) says GBA 'shall consist of' these members: the Mayors of the City Corporations (the ULGs); the Commissioner of BDA; the Chairman of BWSSB; the MDs of BMTC, BMRCL, BESCOM and BSWML; the CEO of BMLTA; the Commissioner of DULT; the Metropolitan Commissioner of BMRDA; the Police Commissioner; the Fire Services Director; and the Deputy Commissioners. Section 9(4) makes the City Corporation Commissioners ex-officio members. Section 9(7) gives all of them a vote. Section 9(6) makes KRIDE, the Tank Conservation Authority, KSDMA, the Slum Board and others special invitees. Section 13(1) sets up an Executive Committee of the same agency heads, which exercises the Authority's powers. Together these are binding ('shall') provisions that require ULGs and parastatals to take part in the body that creates the metro/city spatial plan. This goes well beyond KTCP s.4C(3)(iii), which only covers 'representatives of local bodies'. (3) Section 14(2)(c) adds a mandatory BMPC ('shall constitute') with composition as per Article 243ZE to prepare the draft development plan. (4) Older layer: BDA Act s.3(3)(f),(i)-(l) (ULG-04) required the Corporation Commissioner, representatives of BWSSB, KEB and KSRTC, and councillors to sit on BDA, the earlier planning authority under KTCP s.81-B. GBA Act s.14(2)(a) now overrides that. CAVEATS FOR THE REVIEWER: (a) Ward level: GBA Act s.103(1)(b) Ward Development Plans are priority lists of projects for allotting funds, not spatial plans. No ward-level spatial-plan participation provision was found, so the 'all three levels' part is only partly met. (b) Advisory council: no mandatory advisory council made up of civic agencies was found. KTCP s.4 State Town-Planning Board is 'may' and advises the State Government; GBA Act s.18 Sectoral Expert Committees are made up of domain experts. I read the methodology's advisory-council check as a further indicator, not a separate condition. If the reviewer reads it as a condition that must also be met, the answer should be reconsidered. (c) KTCP text is the PRS compilation up to Act 38 of 2015; the KTCP Rules, the BMPC prescribed composition and the BMRDA Act are not in the Citation Sheet. (d) ULG-03, the 2025 KTCP Amendment Bill, has no confirmed commencement and does not affect this answer.</t>
  </si>
  <si>
    <t xml:space="preserve">UPD10</t>
  </si>
  <si>
    <t xml:space="preserve">Does the law mandate public participation in preparation of the municipal plan through Area Sabhas / Ward Sabhas and other means?</t>
  </si>
  <si>
    <t xml:space="preserve">ANSWER: Part B is met; Part A is not found. Part B: the Karnataka Town and Country Planning Act, 1961 (KTCP Act) requires the public to be consulted on the master plan in two places. The Planning Authority must publicly invite suggestions when it declares it will prepare a master plan, and must invite public comments on the draft plan. In both cases it must consider what it receives. Under GBA Act s.7(2)(a), the Greater Bengaluru Authority (GBA) is that Planning Authority for the Greater Bengaluru Area. Part A: none of the sources read gives Ward Committees or Ward/Area Sabhas any role in preparing the master plan. Under the GBA Act, the Ward Sabha gives input only to the annual Ward Development Plan, a list of funding priorities. This cannot be scored 0, because the Rules and later amendments were not available. | EVIDENCE: (1) KTCP Act s.10(1), as substituted by Act 1 of 2005: the Planning Authority 'shall publish a notice of such declaration in the Official Gazette and also in one or more local newspaper in the prescribed manner calling suggestions from the public within a period of sixty days'. s.10(2): the Planning Authority 'shall consider such suggestion' (but 'may' modify the plan). s.10(3): the boundary plan is open to the public at the Planning Authority or Local Authority office. (2) s.13(1)-(2), as substituted in 2005: after provisional approval, the Planning Authority 'shall thereupon publish, by notification, the plan and the reports inviting public comments wit</t>
  </si>
  <si>
    <t xml:space="preserve">The planning authority shall publish a notice of such declaration in the Official Gazette and also in one or more local newspaper in the prescribed manner calling suggestions from the public within a period of sixty days:</t>
  </si>
  <si>
    <t xml:space="preserve">Part B = YES. The Karnataka Town and Country Planning Act, 1961 (KTCP Act) sets two mandatory public consultation steps for the master plan. First, s.10(1): the Planning Authority 'shall publish' its declaration of intention, calling suggestions from the public, and under s.10(2) it 'shall consider' them (it only 'may' modify the plan). Second, s.13(1)-(2): after the State's provisional approval, the Planning Authority 'shall' publish the plan inviting public comments within sixty days. It 'shall consider such comments' and resubmit the plan with recommended changes. The methodology credits any provision for public consultation or suggestions and objections, so this meets Part B. Caveat: under the s.10(1) proviso, no declaration is needed when the Director prepares the plan under s.9(2). The s.13 public comment step applies in every case. Under GBA Act s.7(2)(a) (ULG-01), the Greater Bengaluru Authority (GBA) is the Planning Authority under the KTCP Act for the Greater Bengaluru Area. That is how these provisions apply here. I checked the source and it supports the Step 2 answer.
Part A = blank (not found, not affirmatively absent). Sources read: the KTCP Act s.6-13-E with amendments to 2015 and the appended Act 47 of 2020 (ULG-02). The 2020 amendment requires display at ward offices and sends the plan to local authorities for observations. That is display and consultation with the local government, not participation through Ward Committees or Sabhas. I also read GBA Act s.7(2) and s.103 (ULG-01). Under s.103(1)(b)-(c), the Ward Sabha gives input only to the annual Ward Development Plan. That plan is a priority list of projects for funding, not the master plan. s.103(1)(d) covers general meetings on any issue, with no link to the master plan. The search found no Ward Committee or Area Sabha role in master plan preparation. Even so, I cannot score 0, for three reasons. (1) The KTCP Rules, which set the 'prescribed manner' of publication and consultation, are not in the Citation Sheet. (2) GBA Act s.7(2)(c) is cut off in the source just after 'prepare a draft development plan for the Greater Bengaluru Area as a whole and disc...'. The rest of that clause, possibly discussion with City Corporations or Ward Committees, could not be read. (3) A consolidated KTCP text after 2020 is not available. Rule 5 therefore applies: not found is not absent.
For the reviewer: obtain the full text of GBA Act s.7(2)(c) and the KTCP Rules, then decide Part A. If Part A is confirmed absent, the total is 5/10 (Part B only). The legal text comes from PRS republications (secondary sources).</t>
  </si>
  <si>
    <t xml:space="preserve">The citation didn't settle every input. "Part A: Formal platforms (ward committees / area sabhas)" left blank: the Citation Sheet doesn't decide it.</t>
  </si>
  <si>
    <t xml:space="preserve">UPD11a</t>
  </si>
  <si>
    <t xml:space="preserve">Is there public scrutiny for (including objections and responses) municipal/city plan? &gt;:&lt; Does the law mandate public scrutiny for (including objections and responses) municipal/city plan through Area Sabhas / Ward Sabhas and other means?</t>
  </si>
  <si>
    <t xml:space="preserve">ANSWER: Part B (other means) is met. The Karnataka Town and Country Planning (KTCP) Act requires the Planning Authority to publish the Master Plan by notification and invite public comments for 60 days. The Authority must then consider those comments and send the plan back to the State Government with recommended changes made in the light of them. The Greater Bengaluru Governance (GBG) Act makes the Greater Bengaluru Authority (GBA) the Planning Authority for the Greater Bengaluru Area, so this duty falls on GBA. The State Government gives final approval. Part A (ward committees / area sabhas) is not found. In the KTCP text I read, no provision sends the Master Plan to ward committees, ward sabhas or area sabhas for scrutiny. The only ward-level route in the GBG Act is an annual Ward Sabha meeting that gives inputs for the Annual Ward Development Plan. That is a ward priority list for budget allocation, not public scrutiny of the city plan with objections and responses. I cannot record Part A as 0 because the KTCP Rules and the post-2015 amendments are not in the Citation Sheet. | EVIDENCE: (1) KTCP Act 1961, s.9(1) (inserted by Act 1 of 2005): the planning authority 'shall... prepare and publish in the prescribed manner a master plan... and submit it to the State Government, through the Director, for provisional approval'. (2) KTCP s.13(1) (substituted by Act 1 of 2005): after the State's modifications, the plan is returned to the Planning Authority, 'which shall thereupon p</t>
  </si>
  <si>
    <t xml:space="preserve">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t>
  </si>
  <si>
    <t xml:space="preserve">Part B = YES. KTCP Act s.13(1) says the Planning Authority 'shall thereupon publish, by notification, the plan and the reports inviting public comments within sixty days'. s.13(2) says it 'shall consider such comments and resubmit' the plan with changes 'in the light of the public comments'. That is a mandatory public process with comments and responses. s.10(1)-(2) adds a second mandatory step: the notice of intention to prepare the plan 'calling suggestions from the public within a period of sixty days', which the Planning Authority 'shall consider'. s.13-A(1) applies the s.13 procedure to Interim Master Plans. The Greater Bengaluru Governance (GBG) Act 2024 (ULG-01), Planning Functions clause (2)(a), makes the Greater Bengaluru Authority (GBA) the KTCP Planning Authority for the Greater Bengaluru Area 'notwithstanding anything contained in any other law', so this duty applies to Bengaluru's city plan. Version: PRS republication of the KTCP Act with amendments up to Act 38 of 2015.
Part A is left blank (not found, but not shown to be absent). Neither KTCP s.10 nor s.13 routes plan scrutiny through ward committees, ward sabhas or area sabhas. In the GBG Act, s.103(1)(c) provides only an annual Ward Sabha meeting 'for providing inputs for the formulation of the Annual Ward Development Plan'. That plan is a ward-level priority list for allotting funds (s.2(79), s.103(1)(b)), not public scrutiny of the city plan with objections and responses. s.103(1)(d) (a general meeting on 'any issue which requires decision making by popular participation') is discretionary and does not mention the plan. I cannot record NO, because affirmative absence is not established: (1) the KTCP Rules, which set the 'prescribed manner' of publication, are not in the Citation Sheet; (2) KTCP amendments after 2015 are not in the Sheet, apart from the 2025 Amendment Bill (ULG-03), whose commencement is unconfirmed; (3) the GBG Act's BMPC clause (draft development plan 'for the Greater Bengaluru Area as a whole and disc…') is cut off in the Citation Sheet text, so any consultation step it sets out could not be read.
Someone should check the full BMPC clause in the GBG Act, the KTCP Rules and any post-2015 KTCP amendments before recording Part A. Score if Part A is later found to be absent: 2.50. Score if a ward-level provision is found: 5.00.</t>
  </si>
  <si>
    <t xml:space="preserve">UPD11b</t>
  </si>
  <si>
    <t xml:space="preserve">Is there public scrutiny for (including objections and responses) municipal/city plan? &gt;:&lt; Was the public scrutiny undertaken for (including objections and responses) municipal/city plan?</t>
  </si>
  <si>
    <t xml:space="preserve">Step 2 found no evidence: a source needs to be found and added. Step 2 found no evidence (Insufficient Evidence). Source needed: Records that the consultation actually happened for Bengaluru's current master plan (for example the Revised Master Plan in force, or any draft revision by BDA or GBA): (a) the gazette notification under KTCP s.13(1) publishing the draft plan and inviting public comments, with dates; (b) the planning authority's notices or newspaper advertisements inviting objections or suggestions; (c) a report or minutes listing the objections received and how each was considered, and the resubmission to Government under s.13(2); (d) the final approved plan document, if it records the public-scrutiny process; (e) official BDA or GBA web pages with consultation details.</t>
  </si>
  <si>
    <t xml:space="preserve">UPD12</t>
  </si>
  <si>
    <t xml:space="preserve">Does the law mandate periodic review and revision of the notified municipal/city plan, including corresponding revisions to the Development Control Regulations (DCRs)?</t>
  </si>
  <si>
    <t xml:space="preserve">ANSWER: Partly, and the score is left blank. In the KTCP Act text in the Citation Sheet, s.13-D sets a timeline of "at least once in every ten years". It names the Planning Authority as the body that revises the plan. For Bengaluru that body is the Greater Bengaluru Authority (GBA), under the Greater Bengaluru Governance Act. Because s.13-D applies ss.9-12 to a revision, the revised plan must again come with its zoning regulations. However, revision itself is not mandatory. The Planning Authority "may" revise, and "shall" only if the State Government directs it. The methodology also says a bare reference to revising the plan after ten years does not count as a periodic-review mandate. So component 1 is probably not met, while components 2, 3 and 4 appear to be met (a provisional 7.5/10). | EVIDENCE: (1) KTCP Act s.13-D, inserted by Amendment Act 2004 (ULG-02 consolidated p.34-35; amending Act p.119): "At least once in every ten years ... the Planning Authority may and if directed so by the State Government shall, carryout a fresh survey ... with a view to revising the existing Master Plan and the provisions of section 9 to section 12 (both inclusive) shall mutatis mutandis apply". (2) KTCP s.12(1)(a): the Master Plan includes "zoning of land use ... together with Zoning Regulations". s.12(2)(iii): "regulations in respect of each land use zone to enforce the provisions of such plan" "shall be published and sent to the State Government ... along with the masterplan". Since ss.9</t>
  </si>
  <si>
    <t xml:space="preserve">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t>
  </si>
  <si>
    <t xml:space="preserve">Source: the Karnataka Town and Country Planning (KTCP) Act 1961, PRS republication with amendments up to Act 38 of 2015 (ULG-02). This is a secondary copy, not the official gazette text. I checked the Step 2 answer against the text and agree with it.
(1) Periodic review and revision mandated: LEFT BLANK.
- Under s.13-D, the Planning Authority 'may' revise the plan. It 'shall' do so only 'if directed so by the State Government'.
- The methodology says that merely alluding to revision after ten years does not count as a mandate.
- So the text points to NO. But a NO needs affirmative absence, and two layers are missing from the Citation Sheet: the KTCP Rules 1965 and any KTCP amendments after 2015. Any Bengaluru zoning regulations or DCR instrument is also missing.
- I checked the 2025 KTCP Amendment Bill (ULG-03). It does not touch s.13-D. It adds s.81-G (GBA becomes the local planning authority) and s.2-A/2-B (Commissionerate).
- I checked the BDA Act (ULG-04). It has no master plan revision duty; its regulations under s.70 and bye-laws under s.71 are administrative or building matters.
- I checked the GBA Act (ULG-01). It has no plan revision provision.
- A reviewer should confirm that the Rules and later amendments are silent. If they are, enter NO.
(2) Timeline specified: YES. s.13-D says 'At least once in every ten years from the date on which the Master Plan has come into force'.
(3) Responsible authority specified: YES. s.13-D names 'the Planning Authority', with the State Government able to direct revision. For Bengaluru, GBA Act s.15(2)(a) (ULG-01 p.14) says 'the Greater Bengaluru Authority shall be the "Planning Authority" as defined under the Karnataka Town and Country Planning Act, 1961, for the areas comprising of the Greater Bengaluru Area'.
(4) Corresponding DCR revision required: YES. s.13-D applies ss.9-12 mutatis mutandis to any revision.
- s.12(1)(a) requires zoning of land use 'together with Zoning Regulations'.
- s.12(2)(iii) says that 'regulations in respect of each land use zone to enforce the provisions of such plan' 'shall be published and sent to the State Government ... along with the masterplan' (amending Act text, ULG-02 p.117).
- So a revised plan must carry revised zoning regulations, which are the DCR equivalent.
- s.13-E, under which the State 'may' amend regulations, is a separate, discretionary power.
- A reviewer should confirm that this reading of 'corresponding DCR revision' through the mutatis mutandis clause is acceptable.
If component 1 is confirmed NO, the score would be 7.5/10. Other open points: the commencement dates of the GBA Act and of the 2025 Amendment Bill are not confirmed.</t>
  </si>
  <si>
    <t xml:space="preserve">The citation didn't settle every input. "Periodic review &amp; revision mandated" left blank: the Citation Sheet doesn't decide it.</t>
  </si>
  <si>
    <t xml:space="preserve">UPD13a</t>
  </si>
  <si>
    <t xml:space="preserve">Does the T&amp;CP Act mandate the planning for:   &gt;:&lt; a) Water Supply/ Sewerage, Sanitation and Solid Waste Management</t>
  </si>
  <si>
    <t xml:space="preserve">10 &gt;:&lt; 1.67</t>
  </si>
  <si>
    <t xml:space="preserve">ANSWER: Of the three plan types, the Citation Sheet shows a mandatory ('shall') plan only for solid waste, and only at block/ward level. Under the Greater Bengaluru Governance Act, 2024 (GBA Act) s.279(1), the City Corporation must make a solid waste management plan for every block in a ward. That duty falls on the City Corporations, not on the Greater Bengaluru Authority (GBA), which is the statutory Planning Authority. Whether this meets the methodology's test of a plan the planning authority must prepare needs confirmation. I found no mandatory water supply/sewerage plan, no mandatory sanitation plan, and no mandatory water supply, sanitation or solid waste component in the master plan in the sources read. I cannot confirm they are absent, because some layers were not read or are not in the Sheet. | EVIDENCE: (1) Karnataka Town and Country Planning Act 1961 (KTCP Act), s.12(1) as substituted by Act 1 of 2005 (ULG-02, pp.30-31): the master plan 'shall include proposals for' (a) land-use zoning, (b) street pattern, (c) parks, public buildings and civic areas, (d) future development areas, (e) land reserved for government or public utility bodies, (f) special control areas, (g) stages. Water supply, sewerage, sanitation and solid waste are not listed. (2) KTCP Act s.26(1)-(2) (ULG-02, p.47): a town planning scheme 'may make provisions for' (f) 'drainage inclusive of sewerage... and sewage disposal' and (h) 'water supply'. This is 'may', so it is excluded under the methodology</t>
  </si>
  <si>
    <t xml:space="preserve">279. Ward Micro Plan.- (1) The City Corporation shall create a solid waste management plan for every block in a Ward and  ensure  its  implementation  along with the Ward  Committee.</t>
  </si>
  <si>
    <t xml:space="preserve">Sources: KTCP Act 1961 as amended up to Act 38 of 2015 (ULG-02) and GBA Act 2024 (Karnataka Act 36 of 2025, GBA era) (ULG-01). Both are PRS republications, so they are secondary sources.
(1) Water supply / sewerage, left blank (not found, but absence not confirmed):
- KTCP s.12(1) (master plan 'shall include proposals for') lists (a) to (g): land-use zoning, street pattern, parks and civic areas, future development areas, land reservation for public utility undertakings and others, special control areas, and stages. No water supply or sewerage component is listed. Clause (e) only reserves land; it does not require a plan.
- KTCP s.26(2)(f) (drainage inclusive of sewerage) and s.26(2)(h) (water supply) say a town planning scheme 'may make provisions for' these. That is 'may', so the methodology excludes it.
- GBA Act s.14(2)(a) makes the GBA the Planning Authority. s.15(1) says the GBA 'shall be responsible to make master plan and mobility plans for the infrastructure development' but names no water or sewerage component.
- GBA Act s.315(l): master plan chapters 'may' be set by regulations. This is discretionary, and no such regulations are in the Sheet.
- Schedule I lists water supply as a core function. That is a function, not a plan mandate.
- I cannot confirm absence because the KTCP Rules, the BWSSB Act, any s.315(l) regulations, the BMRDA Act text and the full GBA Act service chapters are not in the Sheet or were only partly read.
(2) City sanitation, left blank for the same reasons. KTCP s.12 has no sanitation component. GBA Act s.103(1)(j) and s.278(1) give Ward Committees duties to 'ensure' sanitation work. These are functions, not a sanitation plan. s.278(2) Ward action plans focus on solid waste. BDA Act s.28A(b) is a duty to provide services on streets the BDA forms, not a plan, and the BDA is no longer the Planning Authority for the Greater Bengaluru Area.
(3) Solid waste management, YES (judgement call):
- GBA Act s.279(1) uses 'shall': the City Corporation must create a solid waste management plan for every block in every ward. Taken together, these plans cover the whole city.
- s.278(2),(6) also require ward action plans in line with the Solid Waste Management Rules, 2016.
- I treat the GBA Act as an 'allied act': it makes the GBA the KTCP Planning Authority and sets up the City Corporations that form the city government.
- A PERSON SHOULD CONFIRM two points. First, the duty falls on the City Corporations, not on the GBA as Planning Authority. Second, the plan is block/ward-level, not a single city-wide plan. If the reviewer reads the methodology strictly as 'the planning authority must prepare', change this to blank or NO.
- Neither the KTCP Act nor the KTCP amendment bill LA Bill 55 of 2025 (ULG-03; it only makes the GBA the planning authority) contains a solid waste plan mandate.</t>
  </si>
  <si>
    <t xml:space="preserve">The citation didn't settle every input. "Water supply / sewerage" left blank: the Citation Sheet doesn't decide it. "City sanitation" left blank: the Citation Sheet doesn't decide it.</t>
  </si>
  <si>
    <t xml:space="preserve">UPD13b</t>
  </si>
  <si>
    <t xml:space="preserve">Does the T&amp;CP Act mandate the planning for:   &gt;:&lt; b) Disaster Resilience</t>
  </si>
  <si>
    <t xml:space="preserve">ANSWER: Yes. The city government's own law requires a disaster plan and a resilience plan. Under the Greater Bengaluru Governance Act, 2024 (Karnataka Act 36 of 2025), each City Corporation 'shall' prepare a Disaster Management Plan, or a Fire Hazard Response and Mitigation Plan, every year and publish it in the Official Gazette (s.270(3)). The Greater Bengaluru Authority (GBA), which the same Act makes the KTCP 'Planning Authority' for the Greater Bengaluru Area, 'shall' set up a Climate Action Cell to formulate and implement the Bengaluru Climate Action and Resilience Plan (s.17(1)). The Karnataka Town and Country Planning (KTCP) Act's list of what a master plan must contain does not mention disaster resilience. | EVIDENCE: (1) GBA Act, Chapter XIX 'Disaster Management', s.270: (1) the City Corporation 'shall' assist central and state disaster authorities; (2) it 'shall undertake all measures necessary ... to mitigate any risk of natural or technological calamity'; (3) 'The City Corporation shall prepare a Disaster Management Plan or Fire Hazard Response and Mitigation Plan every year as prescribed by the State Government after previous publication and publish the Plan in the Official Gazette.' (2) GBA Act s.17(1): 'The Greater Bengaluru Authority shall, within one year of its constitution, establish a Climate Action Cell ... tasked with the responsibility to formulate and implement Bengaluru Climate Action and Resilience Plan'. Under s.17(2) the Cell drives stakeholder coo</t>
  </si>
  <si>
    <t xml:space="preserve">The City Corporation shall prepare a Disaster Management Plan or Fire Hazard Response and Mitigation Plan every year as prescribed by the State Government after previous publication and publish the Plan in the Official Gazette.</t>
  </si>
  <si>
    <t xml:space="preserve">I scored YES. Two 'shall' provisions in the city's governing law (ULG-01, GBA Act) support it, read together with the KTCP Act. (1) s.270(3): the City Corporation 'shall prepare a Disaster Management Plan or Fire Hazard Response and Mitigation Plan every year' and publish it in the Official Gazette. The City Corporations are the ULG being assessed. (2) s.17(1): the Greater Bengaluru Authority 'shall, within one year of its constitution, establish a Climate Action Cell ... tasked with the responsibility to formulate and implement Bengaluru Climate Action and Resilience Plan'. GBA is the KTCP 'Planning Authority' for the Greater Bengaluru Area under the planning-functions provision, sub-s.(2)(a) ('Notwithstanding anything contained in any other law'). That makes the GBA Act an 'allied act' to the KTCP Act, and it places a mandatory resilience-plan duty on the planning authority itself. Neither provision uses 'may'.
The KTCP Act itself does not mandate disaster planning. The master-plan contents in KTCP s.12(1) (ULG-02, as substituted by Act 1 of 2005) cover zoning, street pattern, parks and open spaces, and similar items, with no disaster or resilience item. If a reviewer reads the question strictly as 'the T&amp;CP Act alone', the answer would change. The methodology, however, expressly allows 'T&amp;CP/UDA/allied acts' and a standalone disaster management or resilience plan.
Points a person should check:
(a) Whether a 'Climate Action and Resilience Plan' counts as a 'resilience plan'.
(b) The s.270(3) duty falls on the City Corporations, not on GBA as Planning Authority, so check that it counts under 'allied acts'.
(c) The GBA Act and KTCP Act copies are PRS republications (secondary). The KTCP copy has amendments only up to 2015. No official gazette copy is in the Citation Sheet.
(d) The State rules referred to in s.270(3) ('as prescribed') are not in the sheet.
(e) The plan contents for the BMPC (Bengaluru Metropolitan Planning Committee) development plan were only partly read.
I did not rely on ULG-03 to ULG-06 (the 2025 KTCP Amendment Bill, the BDA Act and the BMRDA pages). Step 2 reports no disaster mandate in them.</t>
  </si>
  <si>
    <t xml:space="preserve">UPD13c</t>
  </si>
  <si>
    <t xml:space="preserve">Does the T&amp;CP Act mandate the planning for:   &gt;:&lt; c) Comprehensive mobility</t>
  </si>
  <si>
    <t xml:space="preserve">ANSWER: Yes. Karnataka law requires the planning authority for Bengaluru to make mobility plans, and it requires the master plan to contain a traffic and transport component. Two layers say so with a mandatory verb. (1) Greater Bengaluru Governance Act, 2024, s.15(1): GBA 'shall be responsible to make master plan and mobility plans' for the Greater Bengaluru Area. GBA is the KTCP 'Planning Authority' for that area under the GBG Act s.14(2)(a). (2) KTCP Act s.12(1)(b): the Master Plan 'shall include' a complete street pattern and traffic circulation pattern. | EVIDENCE: (a) GBG Act, 2024 (Karnataka Act 36 of 2025), PRS republication of the gazette text (ULG-01). s.14(2)(a): 'Notwithstanding anything contained in any other law ... the Greater Bengaluru Authority shall be the "Planning Authority" as defined under the Karnataka Town and Country Planning Act, 1961, for the areas comprising of the Greater Bengaluru Area'. s.15(1): 'The Greater Bengaluru Authority shall be responsible to make master plan and mobility plans for the infrastructure development of the Greater Bengaluru Area'. The City Corporations 'shall incorporate the infrastructure development plan prepared by the Greater Bengaluru Authority in their respective action plans and execute them'. s.14(3)(d) also gives GBA the job of setting up and running Intelligent Transport Systems. s.14(4) lets it supervise BMTC and BMRCL and give them binding directions. Amendment Act 60 of 2025, also in ULG-01, changes only s.8(2) </t>
  </si>
  <si>
    <t xml:space="preserve">The Greater Bengaluru Authority shall be responsible to make master plan and mobility plans for the infrastructure development of the Greater Bengaluru Area.</t>
  </si>
  <si>
    <t xml:space="preserve">The answer is YES. Karnataka law uses a mandatory 'shall' in two places. Both are in the Citation Sheet and I checked both against the source text. (1) Section 15(1) of the Greater Bengaluru Governance (GBG) Act says the Greater Bengaluru Authority (GBA) 'shall be responsible to make master plan and mobility plans' for the Greater Bengaluru Area. Section 14(2)(a) of the same Act makes GBA the 'Planning Authority' as defined under the KTCP Act for that area. So the GBG Act, which counts as an allied Act, gives the planning authority a mandatory duty to make mobility plans. (2) KTCP Act s.12(1), as substituted by Act 1 of 2005 (ULG-02), says the Master Plan 'shall include proposals for ... (b) a complete street pattern ... and traffic circulation pattern, for meeting immediate and future requirements with proposals for improvements'. That is a mandatory mobility component of the city plan. Either route meets the methodology, and neither is a 'may' provision. Step 2 reached the same answer and I agree with it. Amendments: ULG-01 also contains Amendment Act 60 of 2025, which changes only s.8(2) and s.14(1). It also contains the Second Amendment Act, Karnataka Act 01 of 2026, which changes s.9, 13, 29, 30, 33 and 241. Step 2 did not mention this second Act, but neither amendment touches s.14(2) or s.15, so the finding stands. Caveats for the reviewer: (a) The GBG Act says 'mobility plans' but does not define the term or use 'comprehensive mobility plan', and it frames them as being 'for infrastructure development'. (b) KTCP s.12(1)(b) is about streets and traffic circulation, not a full multimodal comprehensive mobility plan. (c) All Act texts are PRS republications, not official gazette copies. (d) The KTCP consolidation in ULG-02 runs only to Act 38 of 2015, so any later change to s.12 is unverified. ULG-03 is a 2025 amendment Bill, not confirmed as enacted. (e) The Citation Sheet has no KTCP or GBG Rules and no metropolitan land transport authority law. Because the mandate already exists at Act level, these gaps do not change the answer. Confidence is medium because the answer reads two instruments together (GBA's planning-authority status plus its s.15 duty, and the KTCP master-plan contents) and relies only on PRS text. Period: the GBG Act as amended up to Act 01 of 2026; era is the GBA era.</t>
  </si>
  <si>
    <t xml:space="preserve">UPD13d</t>
  </si>
  <si>
    <t xml:space="preserve">Does the T&amp;CP Act mandate the planning for:   &gt;:&lt; d) Sustainability/Climate/Environmental conservation</t>
  </si>
  <si>
    <t xml:space="preserve">ANSWER: Yes. The city's planning authority is legally required to have a climate plan prepared. Under the Greater Bengaluru Governance Act, 2024, s.14(2)(a), the Greater Bengaluru Authority (GBA) is the 'Planning Authority' under the Karnataka Town and Country Planning (KTCP) Act, 1961 for the Greater Bengaluru Area. Under s.17(1) of the same Act, GBA 'shall' set up a Climate Action Cell whose job is to 'formulate and implement Bengaluru Climate Action and Resilience Plan'. This duty uses 'shall', not 'may'. The KTCP Act itself does not require an environmental or climate component in the master plan. | EVIDENCE: (1) GBA Act 2024 (Karnataka Act 36 of 2025), s.14(2)(a): 'Notwithstanding anything contained in any other law ... the Greater Bengaluru Authority shall be the "Planning Authority" as defined under the Karnataka Town and Country Planning Act, 1961, for the areas comprising of the Greater Bengaluru Area'. (2) GBA Act s.17(1): GBA 'shall, within one year of its constitution, establish a Climate Action Cell ... tasked with the responsibility to formulate and implement Bengaluru Climate Action and Resilience Plan and such other plans and strategies for mitigating Greenhouse Gas emissions'. s.17(2): the Cell 'shall spearhead initiatives' to implement actions 'as laid out in the Bengaluru Climate Action and Resilience Plan'. s.17(3): the Cell is headed by the Special Commissioner (Forest, Environment and Climate Change). (3) KTCP Act 1961, s.12(1) as substituted by Act 1 of</t>
  </si>
  <si>
    <t xml:space="preserve">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</si>
  <si>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Answer is YES. The source supports the Step 2 answer. The methodology lets us count T&amp;CP, UDA and allied Acts. The Greater Bengaluru Governance Act, 2024 (Karnataka Act 36 of 2025) is an allied Act. Its s.14(2)(a) says the Greater Bengaluru Authority (GBA) 'shall be the "Planning Authority" as defined under the Karnataka Town and Country Planning Act, 1961' for the Greater Bengaluru Area. Its s.17(1) says GBA 'shall' set up, within one year, a Climate Action Cell 'tasked with the responsibility to formulate and implement Bengaluru Climate Action and Resilience Plan'. Under s.17(2), the Cell 'shall' spearhead implementation of that plan. This is a binding 'shall' duty on the planning authority to have a climate plan prepared. It is not a 'may' provision. 
Other instruments checked:
(a) KTCP Act s.12(1), as substituted by Act 1 of 2005 (ULG-02, PRS text with amendments up to Act 38 of 2015). The master plan 'shall include proposals for' zoning, street pattern, areas reserved for parks, playgrounds and open spaces, and similar items. There is no sustainability, climate or environmental-conservation component, so the KTCP Act alone would not give a YES.
(b) KTCP Act s.26(2), town planning schemes. Green belts and 'natural beauty' appear only in a 'may' list, so they do not count.
(c) BDA Act s.51 (ULG-04), per the Step 2 notes. The Government 'may' set up an Art Commission, which is optional and advisory, so it does not count.
(d) ULG-03, the KTCP Amendment Bill 2025. It is a Bill, and its enactment is not verified.
Points for a reviewer to check:
(1) The duty is worded as GBA establishing a Cell 'tasked with' formulating the plan, not 'GBA shall prepare'. I read this as a mandate on the planning authority. A reviewer should confirm this counts under UPD13d.
(2) The Climate Action and Resilience Plan is a separate plan, not a statutory part of the KTCP master plan. The methodology accepts either a separate plan or a master-plan component.
(3) All Act texts are PRS republications, which are secondary sources.
(4) No Rules under the GBA Act or KTCP Act are in the Citation Sheet.
Era: GBA era.</t>
  </si>
  <si>
    <t xml:space="preserve">UPD13e</t>
  </si>
  <si>
    <t xml:space="preserve">Does the T&amp;CP Act mandate the planning for:   &gt;:&lt; e) Heritage conservation</t>
  </si>
  <si>
    <t xml:space="preserve">ANSWER: Yes. Karnataka's Town and Country Planning Act (KTCP Act) requires every Master Plan to include a heritage conservation component. Section 12(3) says the Master Plan 'shall' indicate Heritage Buildings and Heritage Precincts and 'shall' include the regulations for conserving them. This is a 'shall' duty, not an optional 'may'. It binds the planning authority that prepares the Master Plan. The Greater Bengaluru Governance Act makes the Greater Bengaluru Authority (GBA) that planning authority for the Greater Bengaluru Area. The Greater Bengaluru Governance Act also adds mandatory heritage duties for the city government. | EVIDENCE: (1) KTCP Act, 1961, s.12 as substituted by Act 1 of 2005 (in force 14.02.2005), s.12(3): 'Master Plan shall indicate "Heritage Buildings" and "Heritage Precincts" and shall include the regulations made therein for conservation of the same.' Section 2(1ea) and 2(1eb) define Heritage Building and Heritage Precinct as those declared by the Planning Authority or another competent authority. Section 9(1): 'Every planning authority shall ... prepare and publish ... a master plan.' Section 13-D: the Master Plan is revised at least every ten years. (2) Greater Bengaluru Governance Act, 2024 (Karnataka Act 36 of 2025), sub-section (2)(a) 'Planning Functions' of the section just before s.16: 'the Greater Bengaluru Authority shall be the "Planning Authority" as defined under the Karnataka Town and Country Planning Act, 1961, for the areas comprising of</t>
  </si>
  <si>
    <t xml:space="preserve">(3) Master Plan shall indicate “Heritage Buildings” and “Heritage Precincts” and shall include the regulations made therein for conservation of the same.</t>
  </si>
  <si>
    <t xml:space="preserve">I scored YES. Section 12(3) of the Karnataka Town and Country Planning Act (KTCP Act) is binding: it says the Master Plan 'shall indicate' Heritage Buildings and Heritage Precincts and 'shall include' the regulations for conserving them. The methodology accepts this kind of heritage conservation component inside the city plan. I checked the wording in the text of ULG-02 myself, not just in the Step 2 answer. It appears twice, in the consolidated s.12 and in s.6 of the appended Amendment Act 2004 (Karnataka Act 1 of 2005, Gazette dated 14.02.2005).
Why the duty is mandatory: s.9(1) says 'Every planning authority shall ... prepare and publish ... a master plan', so the heritage content is required, not optional. The 'may' wording in s.13-D covers only when the plan is revised, not what it must contain, so it does not weaken s.12(3).
Who the planning authority is: before the change it was the Bangalore Development Authority (BDA), under KTCP s.81-B. Under the Greater Bengaluru Governance Act 2024 (ULG-01), the Greater Bengaluru Authority (GBA) is now the KTCP Planning Authority for the Greater Bengaluru Area. Either way, s.12(3) binds that body.
Supporting evidence: Chapter XXII of the Greater Bengaluru Governance Act (ss.296–297, 'shall') adds further binding heritage duties. This backs up the answer but is not needed for it.
Please check:
(a) ULG-02 is a PRS republication with amendments only up to Act 38 of 2015. The Karnataka Gazette text should be checked to confirm that no later amendment has changed s.12(3).
(b) Whether the 2025 KTCP Amendment Bill (ULG-03) has become law. Its status does not change the answer.</t>
  </si>
  <si>
    <t xml:space="preserve">UPD13f</t>
  </si>
  <si>
    <t xml:space="preserve">Does the T&amp;CP Act mandate the planning for:   &gt;:&lt; f) Social Development</t>
  </si>
  <si>
    <t xml:space="preserve">ANSWER: None of the sources in the Citation Sheet requires the planning authority for Greater Bengaluru to prepare a separate social development plan. None requires a defined social development component in the Master Plan either. The only binding ('shall') provision close to this is in the Karnataka Town and Country Planning Act (KTCP Act). Section 12(1)(a) says the Master Plan must zone land for 'educational' and other uses. Section 12(1)(c) says it must reserve areas for 'public buildings and institutions'. These are land-use zoning duties, not a social development plan. I found no Master Plan duty on public health or affordable housing. Whether education zoning alone earns the Education component needs a methodology decision. A score of 0 is also not possible, because the Rules and zoning regulations are not in the Citation Sheet. | EVIDENCE: (1) GBA Act, 2024 (Karnataka Act 36 of 2025), s.14(2)(a): 'the Greater Bengaluru Authority shall be the "Planning Authority" as defined under the Karnataka Town and Country Planning Act, 1961, for the areas comprising of the Greater Bengaluru Area'. So the KTCP Act's Master Plan provisions apply to GBA. Under s.15(1) GBA 'shall be responsible to make master plan and mobility plans for the infrastructure development' of the area; no social component is listed. Under s.14(2)(c) the metropolitan planning body prepares a draft development plan, discharging 'responsibilities as enshrined in Article 243ZE'; the Act lists no contents for it</t>
  </si>
  <si>
    <t xml:space="preserve">such plan shall include proposals for the following, namely:- (a) zoning of land use for residential, commercial, industrial, agricultural, recreational, educational and other purposes together with Zoning Regulations;</t>
  </si>
  <si>
    <t xml:space="preserve">All three inputs are blank. None can be scored YES, and a NO is not allowed because the full set of instruments has not been checked.
**What I checked:**
- **KTCP Act s.12(1)** (ULG-02, PRS text as amended to Act 38 of 2015). It says the Master Plan 'shall include proposals for' the following:
  - (a) zoning of land use, including 'educational' purposes
  - (c) areas reserved for 'public buildings and institutions'
  - clauses (b) and (d) to (g): streets, expansion areas, reservations, special control areas and stages
  - s.12(3) adds heritage.
  These are land-use and zoning duties. They do not require a social development plan or a social development component. Public health and affordable or low-income housing are not mentioned. s.26(2)(e) (schools in town planning schemes) uses 'may', so it does not count.
- **GBA Act 2024** (ULG-01):
  - s.14(2)(a) makes GBA the Planning Authority under the KTCP Act.
  - s.15(1) is limited to a 'master plan and mobility plans for the infrastructure development'.
  - s.18(1)(d) sets up the Social Inclusion/Education/Health committee, which only advises.
  - Schedule I core function (iii) is 'Planning for economic and social development', alongside service functions for housing, education and public health. These are City Corporation functions. They do not set what a plan must contain, and they are not a T&amp;CP/UDA plan mandate with health, education and housing components.
- **2025 KTCP amendment Bill** (ULG-03): does not change what the Master Plan must contain.
- **BDA Act** (ULG-04): no social development plan provision in the parts read.
- **BMRDA pages** (ULG-05, ULG-06): list functions only.
**Why each input is blank:**
- **Education:** s.12(1)(a) makes educational land-use zoning mandatory ('shall'), but the methodology asks for a social development plan or component. Zoning land for educational use is arguably not that. A methodology decision is needed. CONFIRM whether this zoning duty earns the Education component.
- **Public health and Affordable housing:** I found no provision. A 0 needs affirmative absence, which is not possible because these are not in the Citation Sheet:
  - the KTCP Rules
  - the Zoning Regulations / Revised Master Plan regulations
  - any GBA rules setting the contents of the metropolitan development plan
  - any state inclusionary-housing instrument
  Not found is not the same as absent.
**Other notes:**
- The Max Score is 1.67, while the components add up to 0.55 × 3 = 1.65. This small gap has no effect, because nothing is scored.
- All the Act texts are PRS secondary republications.</t>
  </si>
  <si>
    <t xml:space="preserve">The citation didn't settle every input. "Public health" left blank: the Citation Sheet doesn't decide it. "Education" left blank: the Citation Sheet doesn't decide it. "Affordable housing" left blank: the Citation Sheet doesn't decide it.</t>
  </si>
  <si>
    <t xml:space="preserve">UPD14a</t>
  </si>
  <si>
    <t xml:space="preserve">Are the spatial plans at the Metropolitan/Regional, Municipal and Ward(s) /Local level notified? &gt;:&lt; Is there a Metropolitan/Regional Plan?</t>
  </si>
  <si>
    <t xml:space="preserve">Step 2 found no evidence: a source needs to be found and added. Step 2 found no evidence (Insufficient Evidence). Source needed: Any one of these would answer it: the BMRDA Structure Plan / Regional Plan document for the Bengaluru Metropolitan Region (e.g. the plan report on BMRDA's 'Structure Plan' or 'Reports' pages), together with the Government of Karnataka order or gazette notification approving it, with its date and plan horizon; or a BMPC metropolitan draft development plan, if one has been published and notified.</t>
  </si>
  <si>
    <t xml:space="preserve">UPD14b</t>
  </si>
  <si>
    <t xml:space="preserve">Are the spatial plans at the Metropolitan/Regional, Municipal and Ward(s) /Local level notified? &gt;:&lt; Is there Municipal/City Plan?</t>
  </si>
  <si>
    <t xml:space="preserve">Step 2 found no evidence: a source needs to be found and added. Step 2 found no evidence (Insufficient Evidence). Source needed: The notified master plan, development plan or city plan for the Greater Bengaluru / BDA local planning area (for example the current Revised Master Plan document). It should come with the Karnataka Gazette notification of the government's approval under KTCP Act s.13, taken from the GBA, BDA or Town and Country Planning Department website or the eGazette. Maps alone do not count.</t>
  </si>
  <si>
    <t xml:space="preserve">UPD14c</t>
  </si>
  <si>
    <t xml:space="preserve">Are the spatial plans at the Metropolitan/Regional, Municipal and Ward(s) /Local level notified? &gt;:&lt; Is there a Ward(s) /Local area/ neighbourhood Plan?</t>
  </si>
  <si>
    <t xml:space="preserve">Step 2 found no evidence: a source needs to be found and added. Step 2 found no evidence (Insufficient Evidence). Source needed: An actual published plan for the Greater Bengaluru Area that uses the words ward development plan, zonal plan or local area plan. Examples: annual Ward Development Plans from the City Corporations or Ward Committees (or BBMP-era ward plans, as context only); the zonal or planning-district plans and maps of the Revised Master Plan 2015, or any newer GBA Master Plan; or a gazette notification approving a local area plan. These should come from the GBA, City Corporation, BDA or Urban Development Department websites.</t>
  </si>
  <si>
    <t xml:space="preserve">UPD15</t>
  </si>
  <si>
    <t xml:space="preserve">Does the city have a municipal/city plan that is currently in force and within its prescribed validity period?</t>
  </si>
  <si>
    <t xml:space="preserve">Step 2 found no evidence: a source needs to be found and added. Step 2 found no evidence (Insufficient Evidence). Source needed: Needed: (1) the Karnataka Gazette notification approving the master plan now in force for the Greater Bengaluru Area under KTCP section 13 (or the plan inherited from the Bangalore Development Authority), with its notification date, horizon year and stated validity; (2) the gazette notification of the previous master plan; (3) proof of any revised or draft master plan, or of a final approval after the earlier plan's horizon; (4) the notification bringing the 2025 KTCP Amendment Act into force (section 81-G), to confirm the plan now counts as the Greater Bengaluru Authority's.</t>
  </si>
  <si>
    <t xml:space="preserve">UPD16a</t>
  </si>
  <si>
    <t xml:space="preserve">Are the spatial plans at the Metropolitan/Regional, Municipal and Ward(s) /Local level in a concurrent or nested timeline of validity? &gt;:&lt; Is the Metropolitan/Regional plan in a concurrent or nested timeline of validity with municipal plan?</t>
  </si>
  <si>
    <t xml:space="preserve">Step 2 found no evidence: a source needs to be found and added. Step 2 found no evidence (Insufficient Evidence). Source needed: (a) The approved BMRDA Structure Plan for the Bengaluru Metropolitan Region, with its approval notification and stated plan period or horizon year. (b) The final notified Master Plan in force for the Greater Bengaluru / Bengaluru local planning area (approved under KTCP Act s.13), with its gazette notification and plan period. (c) Any later draft or approved development plan from the BMPC or the Greater Bengaluru Authority, with its period. The two sets of dates then need to be compared.</t>
  </si>
  <si>
    <t xml:space="preserve">UPD16b</t>
  </si>
  <si>
    <t xml:space="preserve">Are the spatial plans at the Metropolitan/Regional, Municipal and Ward(s) /Local level in a concurrent or nested timeline of validity? &gt;:&lt; Is the Municipal municipal/city plan in a concurrent or nested timeline of validity with Ward municipal/city plan?</t>
  </si>
  <si>
    <t xml:space="preserve">Step 2 found no evidence: a source needs to be found and added. Step 2 found no evidence (Insufficient Evidence). Source needed: Two things would answer this. (a) The currently operative master plan for the Greater Bengaluru Area (or BDA's Revised Master Plan deemed to be GBA's), with its State Government approval notification in the Karnataka Gazette and its plan horizon or validity period. (b) Any notified ward, zonal or local area plans, or adopted Ward Development Plans, for the GBA City Corporations, with their stated periods. Documents showing whether the 2025 KTCP Amendment Bill has commenced would also settle which master plan applies.</t>
  </si>
  <si>
    <t xml:space="preserve">UPD17</t>
  </si>
  <si>
    <t xml:space="preserve">Do the municipal/city plans at each level, integrate the plans and priorities of various sectoral public departments and agencies?</t>
  </si>
  <si>
    <t xml:space="preserve">Step 2 found no evidence: a source needs to be found and added. Step 2 found no evidence (Insufficient Evidence). Source needed: The notified master plan for the Greater Bengaluru Area (the current Revised Master Plan, and any GBA-prepared plan) with its report describing how it was prepared. Minutes or notes of any plan-preparation committee or stakeholder meetings held by BDA or GBA (showing invitations to BWSSB, traffic police, BESCOM, BMTC/BMRCL/DULT, health and education departments). GBA and Executive Committee minutes published under s.12(6). City Corporation action plans showing that sectoral plans were integrated. Any KTCP Rules or GBA regulations on how plans are prepared.</t>
  </si>
  <si>
    <t xml:space="preserve">UPD18</t>
  </si>
  <si>
    <t xml:space="preserve">Does the municipal/city plan include objectives on jobs and economy?</t>
  </si>
  <si>
    <t xml:space="preserve">Step 2 found no evidence: a source needs to be found and added. Step 2 found no evidence (Insufficient Evidence). Source needed: The full text of Bengaluru's current notified master plan, with its gazette notification and planning report. This means the master plan approved by the state under KTCP s.13 for the area now under the GBA, plus any draft successor plan or development plan from the GBA or the Bengaluru Metropolitan Planning Committee. The plan's chapters on economy, employment, workforce, land use for industry and commerce, and street vending or informal livelihoods are needed to check for priorities and measurable targets.</t>
  </si>
  <si>
    <t xml:space="preserve">UPD19a</t>
  </si>
  <si>
    <t xml:space="preserve">Does the municipal/city plan include objectives on environment and heritage conservation? &gt;:&lt; a) Environmental Conservation</t>
  </si>
  <si>
    <t xml:space="preserve">Step 2 found no evidence: a source needs to be found and added. Step 2 found no evidence (Insufficient Evidence). Source needed: Needed to answer: (1) the current notified Master Plan for Bengaluru (the Bangalore Development Authority's Revised Master Plan, now deemed the Greater Bengaluru Authority's) with its plan report, gazette notification and Zoning Regulations, including any environmental sections (lakes and buffers, green cover, sensitive areas); or any draft or approved new Master Plan for the Greater Bengaluru Area; (2) the Bengaluru Climate Action and Resilience Plan, with its priorities, actions, targets and indicators, and its adoption or approval date.</t>
  </si>
  <si>
    <t xml:space="preserve">UPD19b</t>
  </si>
  <si>
    <t xml:space="preserve">Does the municipal/city plan include objectives on environment and heritage conservation? &gt;:&lt; b) Heritage Conservation</t>
  </si>
  <si>
    <t xml:space="preserve">Step 2 found no evidence: a source needs to be found and added. Step 2 found no evidence (Insufficient Evidence). Source needed: The current notified master plan for the Bengaluru / Greater Bengaluru local planning area, with its heritage chapter, its heritage building and precinct list, and its zoning regulations for heritage areas. A newer draft or notified master plan prepared by GBA or BDA, and any GBA or city corporation heritage plan or heritage list made under GBA Act s.297, together with the gazette notifications that bring them into force.</t>
  </si>
  <si>
    <t xml:space="preserve">UPD20a</t>
  </si>
  <si>
    <t xml:space="preserve">Does the municipal/city plan include objectives on social development (health care, education)? &gt;:&lt; a) Education</t>
  </si>
  <si>
    <t xml:space="preserve">Step 2 found no evidence: a source needs to be found and added. Step 2 found no evidence (Insufficient Evidence). Source needed: The current notified master or development plan for the Greater Bengaluru Area: the Revised Master Plan with its gazette notification and its social-infrastructure or education chapter, or a draft or final GBA/BMPC development plan. Also any City Corporation development or ward plan with education priorities, actions and measurable targets (anganwadi or pre-primary coverage, schools per population norm, accessibility for persons with disabilities). The BMRDA structure plan report would help as supporting context.</t>
  </si>
  <si>
    <t xml:space="preserve">UPD20b</t>
  </si>
  <si>
    <t xml:space="preserve">Does the municipal/city plan include objectives on social development (health care, education)? &gt;:&lt; b) Healthcare</t>
  </si>
  <si>
    <t xml:space="preserve">Step 2 found no evidence: a source needs to be found and added. Step 2 found no evidence (Insufficient Evidence). Source needed: The current notified master plan or development plan for the Greater Bengaluru Area: either the BDA Revised Master Plan, deemed under s.81-G as amended, or a GBA-era plan. Its gazette notification is also needed, along with the plan report's chapter on health or social infrastructure, showing healthcare priorities, interventions such as PHC, hospital or maternity facility norms and reservations, and any measurable targets or outcome indicators. Alternatively, a GBA or city corporation city development plan or health sector plan that is formally part of the municipal/city plan.</t>
  </si>
  <si>
    <t xml:space="preserve">UPD20c</t>
  </si>
  <si>
    <t xml:space="preserve">Does the municipal/city plan include objectives on social development (health care, education)? &gt;:&lt; c) Affordable housing</t>
  </si>
  <si>
    <t xml:space="preserve">Step 2 found no evidence: a source needs to be found and added. Step 2 found no evidence (Insufficient Evidence). Source needed: The current master plan for the Greater Bengaluru Area (or the BDA local planning area) as notified in the gazette: its report or vision document and its housing / affordable-housing / slum chapter. A draft master plan published for objections, or a GBA / City Corporation housing action plan or slum rehabilitation plan, would also do. Whichever is used, it must show any assessment of housing need, slum upgrade targets, land parcels set aside for affordable housing, or the plan year and target figures.</t>
  </si>
  <si>
    <t xml:space="preserve">UPD21</t>
  </si>
  <si>
    <t xml:space="preserve">Does the municipal/city plan include objectives for women?</t>
  </si>
  <si>
    <t xml:space="preserve">Step 2 found no evidence: a source needs to be found and added. Step 2 found no evidence (Insufficient Evidence). Source needed: The full text of the current notified master plan or development plan for the Greater Bengaluru Area (e.g. the BDA Revised Master Plan, or any GBA or BMPC draft development plan), with its gazette notification and plan period. Ideally also the city's mobility plan or city development plan. Any of these would show whether the plan sets women-specific priorities, interventions and measurable targets or outcome indicators.</t>
  </si>
  <si>
    <t xml:space="preserve">UPD22</t>
  </si>
  <si>
    <t xml:space="preserve">Is there a common digital base municipal/city plan Map shared among Planning Authorities, and data updated through GIS with fixed periodicity by the relevent sectoral agencies (transport, network infrastructure, land use changes)</t>
  </si>
  <si>
    <t xml:space="preserve">Step 2 found no evidence: a source needs to be found and added. Step 2 found no evidence (Insufficient Evidence). Source needed: Needed: the official website or geoportal of Karnataka's state spatial data centre (e.g. KSRSAC or a Karnataka geospatial data / GIS portal). It must show (1) a state base map open to all agencies and parastatals, and (2) downloadable spatial data files (shapefile/KML) for at least two of: land use; transport (roads, rail, metro); administrative boundaries (ward/corporation/metropolitan). The page should be dated, with a screenshot.</t>
  </si>
  <si>
    <t xml:space="preserve">UPD23a</t>
  </si>
  <si>
    <t xml:space="preserve">Does the city have a Water Supply and Sewerage Plan, City Sanitation Plan, and Solid Waste Management Plan  that clearly articulates development priorities, measurable objectives, and the roles and responsibilities of the ULG? &gt;:&lt; Does the city have a notified and active Plan?</t>
  </si>
  <si>
    <t xml:space="preserve">Step 2 found no evidence: a source needs to be found and added. Step 2 found no evidence (Insufficient Evidence). Source needed: Each city-level sector plan, with dated proof it is approved and currently in force: (a) BWSSB's water supply and sewerage master plan or plans covering the Greater Bengaluru Area, with the approval order; (b) the City Sanitation Plan, with the council or government approval; (c) the city-level Solid Waste Management Plan under the Solid Waste Management Rules, 2016, from the Greater Bengaluru Authority or a City Corporation (or BBMP, if from the BBMP era), with its approval or notification. Each should come from the official website of the agency concerned or from the state gazette.</t>
  </si>
  <si>
    <t xml:space="preserve">UPD23b</t>
  </si>
  <si>
    <t xml:space="preserve">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t>
  </si>
  <si>
    <t xml:space="preserve">Step 2 found no evidence: a source needs to be found and added. Step 2 found no evidence (Insufficient Evidence). Source needed: The plan that is currently notified and in force for the Greater Bengaluru Area, with its gazette notification. This means the Master Plan / Revised Master Plan in force (with any order deeming it to the Greater Bengaluru Authority), and/or the relevant city-level sector plan (city sanitation plan, water supply and sewerage plan, solid waste management plan). It must show the sector priorities or interventions and the targets or indicators set for them (e.g. service coverage, treatment capacity, network expansion, waste processing).</t>
  </si>
  <si>
    <t xml:space="preserve">UPD23c</t>
  </si>
  <si>
    <t xml:space="preserve">Does the city have a Water Supply and Sewerage Plan, City Sanitation Plan, and Solid Waste Management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</si>
  <si>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current notified master plan for the Greater Bengaluru Area: the plan report, its implementation/phasing chapter, and the zoning regulations, whether the BDA Revised Master Plan in force or a GBA-prepared plan. Also the State Government's approval notification under KTCP s.13 in the Karnataka Gazette, and any draft plan published for objections. The plan's implementation section would show whether the GBA or the City Corporations are given specific duties such as infrastructure, financing, O&amp;M, monitoring or coordination.</t>
  </si>
  <si>
    <t xml:space="preserve">UPD24a</t>
  </si>
  <si>
    <t xml:space="preserve">Does your city have a Sustainability/ Resilience Strategy/Climate Action Plan that clearly articulates development priorities, measurable objectives, and the roles and responsibilities of the ULG? &gt;:&lt; Does the city have a notified and active Sustainability/Resilience Strategy?</t>
  </si>
  <si>
    <t xml:space="preserve">Step 2 found no evidence: a source needs to be found and added. Step 2 found no evidence (Insufficient Evidence). Source needed: Any one of the following, from an official source: the Bengaluru Climate Action and Resilience Plan (or another climate, resilience or sustainability strategy) on the GBA/Corporation or legacy BBMP website, with proof of formal adoption (a council or GBA resolution, a Karnataka Government Order, or inclusion in the notified master plan); or a notified Bengaluru Urban district or city Disaster Management Plan; plus evidence that it is still in force (e.g. the Climate Action Cell's constitution order and any implementation reports).</t>
  </si>
  <si>
    <t xml:space="preserve">UPD24b</t>
  </si>
  <si>
    <t xml:space="preserve">Does your city have a Sustainability/ Resilience Strategy/Climate Action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</si>
  <si>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The adopted Bengaluru Climate Action and Resilience Plan, or another adopted city resilience strategy, sustainability strategy or district/city disaster management plan for the Greater Bengaluru area, published by GBA, the city corporations or a state department. It must show its priorities or sectors with measurable targets (e.g. GHG reduction or net-zero year, green-cover percentage, flood-risk or heat-exposure targets), along with its adoption date and the period it covers.</t>
  </si>
  <si>
    <t xml:space="preserve">UPD24c</t>
  </si>
  <si>
    <t xml:space="preserve">Does your city have a Sustainability/ Resilience Strategy/Climate Action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</si>
  <si>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full text of the current Bengaluru Climate Action and Resilience Plan, or another adopted sustainability or resilience strategy for Bengaluru, from the official GBA/BBMP or state government site. It should show the plan's chapters on institutional set-up, implementation and monitoring that give the city government's role and responsibilities, plus its adoption or approval date.</t>
  </si>
  <si>
    <t xml:space="preserve">UPD25a</t>
  </si>
  <si>
    <t xml:space="preserve">Does your city have a Comprehensive Mobility Plan that clearly articulates development priorities, measurable objectives, and the roles and responsibilities of the ULG? &gt;:&lt; Does the city have a notified and active Comprehensive Mobility Plan?</t>
  </si>
  <si>
    <t xml:space="preserve">Step 2 found no evidence: a source needs to be found and added. Step 2 found no evidence (Insufficient Evidence). Source needed: Any one of these would answer it: the Comprehensive Mobility Plan for Bengaluru together with the order or notification approving it, whether from BMLTA, the Urban Development Department or DULT, the Transport Department or the State Government; or a GBA or city corporation council resolution adopting it. It should come from an official site (BMLTA, DULT, GBA or UDD) or the Karnataka eGazette, and show the approval date and the period the plan covers so we can tell whether it is still active.</t>
  </si>
  <si>
    <t xml:space="preserve">UPD25b</t>
  </si>
  <si>
    <t xml:space="preserve">Does your city have a Comprehensive Mobility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</si>
  <si>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Bengaluru's current Comprehensive Mobility Plan, as adopted or approved, showing its priorities, targets and indicators (for example a target share of trips by public transport, walking and cycling, road-safety or emissions targets, or a project list with timelines, cost estimates and phasing), plus the order or resolution adopting it, from the state Urban Development Department, the urban transport department or authority, or the Greater Bengaluru Authority.</t>
  </si>
  <si>
    <t xml:space="preserve">UPD25c</t>
  </si>
  <si>
    <t xml:space="preserve">Does your city have a Comprehensive Mobility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</si>
  <si>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The current Comprehensive Mobility Plan for Bengaluru, formally adopted (for example by the state's Directorate of Urban Land Transport, the Bengaluru Metropolitan Land Transport Authority or the state government, or by council resolution), in full text. We need its sections on governance, institutional arrangements and implementation: steering or technical committee membership, the agencies responsible for each project, funding and operation-and-maintenance responsibilities, and monitoring arrangements. We also need the adoption order or notification, to confirm it is the current plan.</t>
  </si>
  <si>
    <t xml:space="preserve">UPD26a</t>
  </si>
  <si>
    <t xml:space="preserve">Does your city have an Economic Vision Plan that clearly articulates development priorities, measurable objectives, and the roles and responsibilities of the ULG? &gt;:&lt; Does the city have a notified and active Economic Vision Plan?</t>
  </si>
  <si>
    <t xml:space="preserve">Step 2 found no evidence: a source needs to be found and added. Step 2 found no evidence (Insufficient Evidence). Source needed: One of the following would answer it: (a) a final Economic Vision or Economic Development Plan for Bengaluru / the Greater Bengaluru Area, plus proof of formal adoption: a GBA or city-corporation council resolution, a Karnataka Government Order, or approval by the competent authority; or (b) the currently notified Master Plan or Development Plan for the Greater Bengaluru Area with its gazette notification, showing an economic strategy built into it, with its validity period. GBA or Economic Development Agency publications or orders would also help, as would any state UDD order adopting a Bengaluru economic strategy.</t>
  </si>
  <si>
    <t xml:space="preserve">UPD26b</t>
  </si>
  <si>
    <t xml:space="preserve">Does your city have an Economic Vision Plan that clearly articulates development priorities, measurable objectives, and the roles and responsibilities of the ULG? &gt;:&lt; Does the plan have development priorities and measurable objectives?</t>
  </si>
  <si>
    <t xml:space="preserve">Step 2 found no evidence: a source needs to be found and added. Step 2 found no evidence (Insufficient Evidence). Source needed: The final, adopted Economic Vision or Economic Development Plan for Greater Bengaluru, or the currently notified master plan for the Greater Bengaluru Area, with its economic chapter. This would show sector priorities, targets for jobs or workforce, land set aside for economic use, and investment targets. Also needed: the GO, gazette notification or GBA resolution that adopted it, and if relevant the BMRDA Structure Plan report.</t>
  </si>
  <si>
    <t xml:space="preserve">UPD26c</t>
  </si>
  <si>
    <t xml:space="preserve">Does your city have an Economic Vision Plan that clearly articulates development priorities, measurable objectives, and the roles and responsibilities of the ULG? &gt;:&lt; Does the plan clearly articulate the role of the ULG?</t>
  </si>
  <si>
    <t xml:space="preserve">Step 2 found no evidence: a source needs to be found and added. Step 2 found no evidence (Insufficient Evidence). Source needed: A final, formally adopted and currently active Economic Vision, Economic Development Plan or equivalent city-level economic strategy for Bengaluru (or the notified Revised Master Plan, if the strategy is built into it), with its approval GO, resolution or gazette notification. Its implementation or institutional chapter would need to show whether the GBA or City Corporations are given specific responsibilities such as projects, infrastructure, financing, monitoring or coordination.</t>
  </si>
  <si>
    <t xml:space="preserve">UPD27a</t>
  </si>
  <si>
    <t xml:space="preserve">Does the city have adequate and representative professional town-planning capacity? &gt;:&lt; Does the city have adequate professional town-planning capacity?</t>
  </si>
  <si>
    <t xml:space="preserve">Step 2 found no evidence: a source needs to be found and added. Step 2 found no evidence (Insufficient Evidence). Source needed: A current, dated official record of town-planner posts for (a) GBA and each City Corporation and (b) BDA for its period as planning authority. It should give sanctioned posts, filled posts, vacancies, qualifications (master's in Town and Country Planning) and women/men among filled posts. Possible sources: the GBA's sanctioned schedule of officers under s.11(9), the Common Cadre and Recruitment Rules, deputation orders from the Department of Town and Country Planning / Commissionerate, RTI s.4(1)(b) disclosures, or annual reports tabled in the legislature. The Census 2011 population for the Greater Bengaluru Area/city is also needed, plus the cross-city benchmark used for proportional scoring.</t>
  </si>
  <si>
    <t xml:space="preserve">UPD27b</t>
  </si>
  <si>
    <t xml:space="preserve">Does the city have adequate and representative professional town-planning capacity? &gt;:&lt; What proportion of the city's professional town-planning workforce is women?</t>
  </si>
  <si>
    <t xml:space="preserve">Step 2 found no evidence: a source needs to be found and added. Step 2 found no evidence (Insufficient Evidence). Source needed: Current, dated staffing data giving filled qualified town-planner posts by gender (and by seniority). This could be a GBA or City Corporation establishment list or staff directory, an RTI s.4(1)(b) disclosure of officers and employees, deputation or posting orders from the Urban Development Department or the Commissionerate of Urban Development Authorities and Town and Country Planning, or the equivalent records for BDA staff attributable to the Greater Bengaluru Area.</t>
  </si>
  <si>
    <t xml:space="preserve">UPD28a</t>
  </si>
  <si>
    <t xml:space="preserve">Does the city have dedicated institutional cells/units for specialised functions? &gt;:&lt; Does the city have an Urban Design Cell?</t>
  </si>
  <si>
    <t xml:space="preserve">10 &gt;:&lt; 2.5</t>
  </si>
  <si>
    <t xml:space="preserve">Step 2 found no evidence: a source needs to be found and added. Step 2 found no evidence (Insufficient Evidence). Source needed: Any of these would answer it: the GBA's or City Corporations' official department or organisation-structure web pages showing an Urban Design Cell/Unit/Vertical (or equivalent, such as an architecture or urban design wing within Town Planning); a GBA office order or Karnataka UDD government order setting up such a cell, with its staffing; a notification setting up the Bangalore Urban Art Commission under BDA Act s.51 plus evidence that it currently operates (noting it is a State advisory body); or an RTI or official email reply from the GBA.</t>
  </si>
  <si>
    <t xml:space="preserve">UPD28b</t>
  </si>
  <si>
    <t xml:space="preserve">Does the city have dedicated institutional cells/units for specialised functions? &gt;:&lt; Does the city have a Climate Action/Sustainability/Disaster Management Cell?</t>
  </si>
  <si>
    <t xml:space="preserve">Step 2 found no evidence: a source needs to be found and added. Step 2 found no evidence (Insufficient Evidence). Source needed: Dated official evidence that the cell exists and is working, such as: a GBA order, circular or gazette notification setting up the Climate Action Cell (or a disaster management or sustainability cell); a GBA or City Corporation web page naming the cell, its head and its staff; minutes, reports or activity records from the cell (for example, work on the Bengaluru Climate Action and Resilience Plan); or an RTI reply from the GBA confirming the cell is in place.</t>
  </si>
  <si>
    <t xml:space="preserve">UPD28c</t>
  </si>
  <si>
    <t xml:space="preserve">Does the city have dedicated institutional cells/units for specialised functions? &gt;:&lt; Does the city have an Economic Develepment Cell ?</t>
  </si>
  <si>
    <t xml:space="preserve">Step 2 found no evidence: a source needs to be found and added. Step 2 found no evidence (Insufficient Evidence). Source needed: Dated evidence that the agency exists and works: (1) a GBA (or Government of Karnataka) order or gazette notification constituting the Economic Development Agency under s.16, with its members; (2) the GBA Regulations specifying its members and functions; (3) the GBA or City Corporation website page for the agency or cell, or an equivalent investment-promotion unit; (4) records of its work, e.g. meeting minutes, PPP projects started, or a GBA annual report or budget line for the agency. If none is published, an RTI reply from GBA would settle it.</t>
  </si>
  <si>
    <t xml:space="preserve">UPD28d</t>
  </si>
  <si>
    <t xml:space="preserve">Does the city have dedicated institutional cells/units for specialised functions? &gt;:&lt; Does the city have a dedicated Women's Welfare/Development Cell?</t>
  </si>
  <si>
    <t xml:space="preserve">Step 2 found no evidence: a source needs to be found and added. Step 2 found no evidence (Insufficient Evidence). Source needed: Any of these would answer it: (a) a GBA or City Corporation website page (organisation chart, departments, welfare section) showing a women's welfare or gender cell, unit or vertical; (b) a government order or GBA/Corporation circular setting one up; (c) dated evidence that it works (staff, activities, budget, reports for 2025-26); (d) an RTI or email reply from the GBA. Also an official source for Bengaluru's million-plus population, to confirm the question applies.</t>
  </si>
  <si>
    <t xml:space="preserve">UPD29a</t>
  </si>
  <si>
    <t xml:space="preserve">Are there prescribed urban design standards to guide the execution of urban projects, including standards for universal accessibility? &gt;:&lt; Does the law mandate comprehensive urban design standards and universal accessibility?</t>
  </si>
  <si>
    <t xml:space="preserve">ANSWER: Partly answered. Three of the five categories are settled by mandatory ('shall') wording in the Greater Bengaluru Governance Act, 2024. (1) Roads and road hierarchy: the Commissioner shall specify minimum widths of public streets so as to maintain the hierarchy of roads (s.201). (4) Built-form codes: City Corporations shall make building bye-laws, and those bye-laws shall cover height relative to street width and the materials of external walls, roofs and floors (s.224(1)(d),(h),(p)); a private street application must show the building line (s.204(1)(b)). (5) Universal accessibility: the building bye-laws shall provide for ramps and amenities for the differently challenged and for the specially abled (s.224(1)(l),(q)). Categories 2 (footpaths) and 3 (underground public utilities) are open: the sections I read give powers and plan or scheme contents, not design standards, and I could not finish reading the bye-law-making sections. That is a 'not found', not a 0. | EVIDENCE: Greater Bengaluru Governance Act 2024 (ULG-01, the city government's law): s.201 'The Commissioner shall, from time to time, specify the minimum width of different public streets according to the proposal of the Master Plan or based on the nature and quantum of the traffic ... to maintain hierarchy of roads'. s.224(1): the City Corporation 'shall make building bye-laws ... in accordance with model building bye-laws prepared by the Greater Bengaluru Authority' and 'the bye-laws shall provide for' (d)</t>
  </si>
  <si>
    <t xml:space="preserve">Provision of lifts with in the building and provision for common amenities, ramps and amenities for differently challenged;</t>
  </si>
  <si>
    <t xml:space="preserve">Text used: Greater Bengaluru Governance Act 2024 (Karnataka Act 36 of 2025, GBA era), PRS republication of the gazette text (ULG-01). This is a secondary copy, so a person should check it against the official gazette.
Three categories are decided by the Act and two are left blank. Score so far: 3 of 5.
1. Roads &amp; streetscapes = SHALL. s.201 says the Commissioner 'shall, from time to time, specify the minimum width of different public streets according to the proposal of the Master Plan or based on the nature and quantum of the traffic ... to maintain hierarchy of roads'. This is a required standard that sorts roads into categories. Please confirm that a minimum width set by road hierarchy counts as a roads/streetscape design standard. The BDA Act s.71(1)(c) (ULG-04) also says the Authority 'may' make bye-laws 'regulating the level and width of streets'. That is weaker than s.201, which decides the input.
2. Built-form codes = SHALL. s.224(1) says the City Corporation 'shall make building bye-laws ... and the bye-laws shall provide for' (d) building height relative to street width, (h) materials and methods of building walls, roofs and floors, and (p) minimum quality of materials. Supporting text:
- s.204(1)(b): a new private street application must show the building line.
- BDA Act s.71(1)(b) ('may'): line of frontage and materials.
- Town and Country Planning Act s.26(2)(j) ('may'): height and character of buildings.
3. Universal accessibility = SHALL. s.224(1)(l) 'ramps and amenities for differently challenged' and s.224(1)(q) 'Provision for specially abled'. These apply to buildings and sites only, not to streets or public spaces. Please confirm full credit is right.
4. Footpaths = blank (not found). Nothing I found sets a footpath or pedestrian design standard:
- s.198(1) is a general power to 'widen, extend or otherwise improve any such street for the safety of pedestrians'.
- s.204(1)(c) lists what a private street application must show ('paving ... flagging'). That is application content, not a standard.
- s.216(2) deals with removing encroachments from footpaths.
- Schedule I lists 'footpath road crossing facility' as a function. A function is not a standard.
- Town and Country Planning Act Table A (s.17(2-C)) lists 'pavements' only as a condition for releasing layout sites.
5. Underground public utilities = blank (not found). What I found:
- Town and Country Planning Act s.26(2)(f),(h) ('may'): drainage and water supply as contents of a town planning scheme.
- Table A: pipelines and drainage lines as conditions for releasing sites; underground cables only 'if developer intends'.
- BDA Act s.32(2)(d): drainage and water supply as contents of a layout application.
- s.224(1)(q) 'Telecom services and other utilities': covers building utilities only, not utility networks.
- s.318(1)(xxv): a bye-law head for 'regulating ... the construction, maintenance and control of drains, sewers ... and drainage or sewage works of every description'. This could support MAY for sewerage and drainage only. I could not read the opening words of s.318 to see whether it says 'may' or 'shall', because the tool-call limit was reached, so I did not score it. A person should read the opening words of s.318 and decide.
Why no 0 is given for footpaths or utilities: absence is not proven. The sheet has no Rules, notified building bye-laws, Zoning Regulations (RMP), or street-design or accessibility guidelines. I also did not read the amendment bill ULG-03 (it only takes effect when notified), and the long Acts were read only in their most relevant passages.
I checked the Step 2 answer against the source and agree with it. The extra items I found are s.318(xxv), s.26(2) and BDA s.71(b); none of them changes the three scored categories.</t>
  </si>
  <si>
    <t xml:space="preserve">The citation didn't settle every input. "Footpaths / pedestrian infrastructure" left blank: the Citation Sheet doesn't decide it. "Underground public utilities" left blank: the Citation Sheet doesn't decide it.</t>
  </si>
  <si>
    <t xml:space="preserve">UPD29b</t>
  </si>
  <si>
    <t xml:space="preserve">Are there prescribed urban design standards to guide the execution of urban projects, including standards for universal accessibility? &gt;:&lt; Does the city have urban design standards to guide the execution of urban projects?</t>
  </si>
  <si>
    <t xml:space="preserve">Step 2 found no evidence: a source needs to be found and added. Step 2 found no evidence (Insufficient Evidence). Source needed: Documents adopted or notified for Bengaluru, dated and still in force: (a) a street or urban design guideline covering road hierarchy and streetscape design, adopted by GBA/City Corporations, BDA, UDD or DULT; (b) footpath and pedestrian infrastructure standards; (c) standards for placing underground utilities and utility ducts (water, sewerage, storm-water drains, electricity, telecom, gas); (d) the notified building bye-laws or Revised Master Plan zoning regulations applicable to Bengaluru, with built-form controls such as build-to line, frontage, floor heights and materials, and evidence that they apply in the GBA era; (e) the accessibility provisions in those bye-laws, or a universal accessibility standard adopted by the city. Also the GBA model building bye-laws under GBG Act s.224 and the City Corporation bye-laws notified under them.</t>
  </si>
  <si>
    <t xml:space="preserve">UPD30a</t>
  </si>
  <si>
    <t xml:space="preserve">Does the city have a parking policy?  &gt;:&lt; Is there a clear mandate in the law for a parking policy?</t>
  </si>
  <si>
    <t xml:space="preserve">ANSWER: No. None of the Acts in the Citation Sheet requires or allows the Greater Bengaluru Authority (GBA) or its city corporations to prepare or adopt a city-level standalone Parking Policy or Parking Management Policy. Each Act deals with parking only through powers to regulate it, levy charges, provide spaces or set parking space for buildings. The methodology says these do not count. I have not assigned the 0 band because some layers of the law could not be checked (see LIMITS). | EVIDENCE: (1) Greater Bengaluru Governance Act, 2024 (Karnataka Act 36 of 2025; this is the city government's municipal law). s.165(b): the City Corporation 'may levy user charges for ... parking of different types of vehicles in different areas and for different periods'. This is a charging power, not a policy. s.202(1): 'The Commissioner may prohibit vehicular traffic or on street parking in any public street'. This is a power to regulate. s.206: closed streets 'may' be used for public facilities 'including vehicle parking'. Schedule I(1)(xvii), core functions: 'Provision and maintenance of public amenities including street lighting, parking spaces for vehicles'. This is a duty to provide parking spaces, not a policy. s.15(1): GBA 'shall be responsible to make master plan and mobility plans'. A mobility plan is not a standalone parking policy and does not mention parking. s.315 (regulations) and s.18 (Sectoral Expert Committees, including Infrastructure and Transportation, which 'may prepare </t>
  </si>
  <si>
    <t xml:space="preserve">The Commissioner may prohibit vehicular traffic or on street parking in any public street or any portion thereof so as to prevent danger, obstruction or inconvenience to the public or to ensure quietness in any locality.</t>
  </si>
  <si>
    <t xml:space="preserve">Input left blank. I found no provision that requires or allows a city-level parking policy, but I cannot prove that none exists, so I am not entering NONE. The Step 2 answer matches the sources.
What I checked in the Citation Sheet:
(1) ULG-01, the Greater Bengaluru Governance Act, 2024 (Karnataka Act 36 of 2025), GBA-era text. Its parking provisions do not count under the methodology:
- s.165(b): the City Corporation 'may levy user charges for ... parking'. This is a power to charge.
- s.202(1): the Commissioner 'may prohibit ... on street parking'. This is a power to regulate.
- s.206: closed streets may be used for 'vehicle parking'. This is about providing spaces.
- Schedule I(1)(xvii): 'parking spaces for vehicles' is listed as a function. This is also about providing spaces.
The only policy this Act requires is the Comprehensive Debt Limitation Policy (s.188). The s.15 mobility plans do not mention a parking policy.
(2) ULG-02, the KTCP Act, 1961, as amended up to Act 38 of 2015:
- s.12(1)(b): traffic circulation in the Master Plan.
- s.26(2)(j): parking space 'for any building' in town planning schemes. This is a building standard, which the methodology excludes.
- s.28(2): parking spaces count as land for building purposes.
No parking-policy provision.
(3) ULG-03, the 2025 KTCP Amendment Bill (s.81-G makes GBA the Planning Authority): no parking provision. It is shown only as passed by the Assembly.
(4) ULG-04, the BDA Act: no parking-policy provision in the passages checked.
(5) ULG-05 and ULG-06, BMRDA web pages: these are not law.
Why NONE (which scores 0) is not entered: a 0 needs proof that the provision is absent, and the Sheet does not allow that.
- It has no consolidated KTCP text covering amendments from 2016 to 2025.
- It has no amendments to the GBA Act made after enactment.
- It has no GBA or KTCP Rules or regulations.
- It has no urban-transport statute that might give the city a parking-policy role.
- read_citation and search returned only the most relevant passages, not full page-by-page readings.
Action for the reviewer: if the current consolidated KTCP Act and any GBA Act amendments contain no parking-policy provision, enter NONE (score 0).</t>
  </si>
  <si>
    <t xml:space="preserve">The citation didn't settle every input. "Mandate for city parking policy in law" left blank: the Citation Sheet doesn't decide it.</t>
  </si>
  <si>
    <t xml:space="preserve">UPD30b</t>
  </si>
  <si>
    <t xml:space="preserve">Does the city have a parking policy?  &gt;:&lt; Has the parking policy been implemented?</t>
  </si>
  <si>
    <t xml:space="preserve">Step 2 found no evidence: a source needs to be found and added. Step 2 found no evidence (Insufficient Evidence). Source needed: Any of these would answer it: a parking policy document for Bengaluru notified or adopted by the Government of Karnataka, the Urban Development Department, DULT or the GBA/city corporations, with its government order or gazette notification and date; or official GBA or DULT web pages that host or refer to the adopted policy; or, failing those, credible media reports that the policy was formally adopted, as the methodology allows.</t>
  </si>
  <si>
    <t xml:space="preserve">UPD31</t>
  </si>
  <si>
    <t xml:space="preserve">Does the city have a city-specific Development Control Regulation (DCR)?</t>
  </si>
  <si>
    <t xml:space="preserve">ANSWER: Not determinable from the Citation Sheet. The law requires Bengaluru-specific development control instruments: zoning regulations in the master plan for the local planning area, and building bye-laws made by each City Corporation for its own area. But the sheet holds no actual DCR, zoning regulations or building bye-laws for Bengaluru. So I cannot confirm that a city-specific DCR is notified and in force, or say which one applies now. | EVIDENCE: (1) Karnataka Town and Country Planning Act (KTCP) 1961, s.12(1)(a), as substituted by Act 1 of 2005 (ULG-02): every Master Plan for a planning area 'shall include proposals for... (a) zoning of land use... together with Zoning Regulations'. s.12(2)(iii): 'regulations in respect of each land use zone to enforce the provisions of such plan' must be published with the plan. s.13-E: the State Government 'may'... make amendments to regulations. This makes the regulations specific to each planning area, not one state-wide set. (2) Greater Bengaluru Governance Act 2024 (ULG-01), building-regulation chapter (the section just before s.225, read as s.224 by its position; PRS p.86-87): with GBA approval, 'the City Corporation in its jurisdiction shall make building bye-laws... in accordance with model building bye-laws prepared by the Greater Bengaluru Authority'. These cover setbacks, height relative to street width, open space and fire safety. s.228: no construction 'save and except in accordance with this Act and building bye-laws'.</t>
  </si>
  <si>
    <t xml:space="preserve">the City Corporation in its jurisdiction shall make building bye-laws for the regulation and restriction of the use of sites or buildings in accordance with model building bye-laws prepared by the Greater Bengaluru Authority with suitable</t>
  </si>
  <si>
    <t xml:space="preserve">I left the answer blank because the Citation Sheet has no actual city-specific DCR for Bengaluru: no Revised Master Plan Zoning Regulations, no BBMP-era or new City Corporation building bye-laws, and no GBA model bye-laws. The Step 2 answer holds up against the sources. What the sheet does show is that the law requires instruments specific to the area. (1) KTCP Act s.12(1)(a) and s.12(2)(iii) (ULG-02, PRS text amended up to Act 38 of 2015): every Master Plan for a planning area 'shall include' zoning of land use together with Zoning Regulations. (2) GBA Act 2024 (ULG-01, Karnataka Act 36 of 2025, GBA era), building bye-law section: each City Corporation 'shall make building bye-laws' based on GBA model bye-laws. s.228 and s.230 require construction to conform with the Act, the master plan and the building bye-laws. (3) GBA Act s.360 and s.361 (third proviso): rules, notifications, regulations and bye-laws made under the BBMP Act 2020 or the KMC Act 1976 stay in force until superseded. So earlier Bengaluru bye-laws would carry over, but the sheet does not include or name them. (4) ULG-03 (2025 KTCP Amendment Bill) would deem BDA's Master Plan and Regulations to be GBA's. It is a Bill passed only by the Assembly, and nothing in the sheet shows it was enacted or brought into force. (5) The BMRDA pages (ULG-05, ULG-06) and the BDA Act (ULG-04) contain no DCR text. A duty to make bye-laws, or a savings clause, does not show that a city-specific DCR is actually notified and in force, and this question also assesses implementation. So YES (score 10) is not supported. NO would need affirmative absence, and the mandates actually point the other way, so NO is also not supported. NA does not apply: Bengaluru's population is well above one million, though the sheet does not state the figure. A reviewer should add these to the sheet and then score: the notified Bengaluru RMP-2015 Zoning Regulations (or a successor master plan's regulations), the building bye-laws now in force for the Greater Bengaluru Area, and a dated screenshot from a GBA/BDA/UDD website showing the DCR is applicable.</t>
  </si>
  <si>
    <t xml:space="preserve">UPD32a</t>
  </si>
  <si>
    <t xml:space="preserve">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t>
  </si>
  <si>
    <t xml:space="preserve">10 &gt;:&lt; 2</t>
  </si>
  <si>
    <t xml:space="preserve">Step 2 found no evidence: a source needs to be found and added. Step 2 found no evidence (Insufficient Evidence). Source needed: The Zoning Regulations / Development Control Regulations notified with the current Bengaluru Revised Master Plan, including amendments. These would show land-use zones, the permissible-use tables (including mixed use and ancillary or home-based uses), FAR, setback and parking standards by zone and plot size, and any provisions for small industry, markets or vending. Also needed: any GBA-era building bye-laws or regulations notified in the Karnataka Gazette, and the notification bringing LA Bill 55 of 2025 into force.</t>
  </si>
  <si>
    <t xml:space="preserve">UPD32b</t>
  </si>
  <si>
    <t xml:space="preserve">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t>
  </si>
  <si>
    <t xml:space="preserve">Step 2 found no evidence: a source needs to be found and added. Step 2 found no evidence (Insufficient Evidence). Source needed: The notified Zoning Regulations of the Revised Master Plan for Bengaluru, the building bye-laws in force for the GBA and its city corporations, and the related Karnataka notifications or rules (Premium FAR/TDR rules, affordable-housing or EWS incentive notifications, slum redevelopment regulations). These are needed to check for (a) EWS/LIG or slum incentives and relaxations and (b) provisions for women such as toilets for women, crèches, or safety and lighting standards.</t>
  </si>
  <si>
    <t xml:space="preserve">UPD32c</t>
  </si>
  <si>
    <t xml:space="preserve">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t>
  </si>
  <si>
    <t xml:space="preserve">ANSWER: Not determined. The Development Control Regulations themselves (the Zoning Regulations of the Master Plan in force, and the building bye-laws made under the Greater Bengaluru Governance Act) are not in the Citation Sheet, so I could not check whether they contain specific environmental or climate standards or incentives. The Act above them points that way. The Greater Bengaluru Governance Act, 2024 says the city corporations' building bye-laws 'shall provide for' minimum plantation on a building site, rainwater harvesting and renewable energy. Section 225 of the same Act directly requires every khatadar (property owner) who builds to provide a rainwater harvesting structure. These are duties set in the Act. They are not DCR text, and no incentive (for example extra FAR for green buildings) appears anywhere in the sources. | EVIDENCE: (1) ULG-01, Greater Bengaluru Governance Act 2024 (Karnataka Act 36 of 2025), the bye-law section just before s.225 (apparently s.224(1); the heading is not visible in the extract), p.87: the city corporation, with GBA approval, 'shall make building bye-laws ... in accordance with model building bye-laws prepared by the Greater Bengaluru Authority' and 'the bye-laws shall provide for' (f) sufficient open space and ventilation, (n) 'Minimum plantation required with in a building site', and (o) 'Installation of rain water harvesting systems with in the building and provisions of renewable energy applications'. The same section, sub-section </t>
  </si>
  <si>
    <t xml:space="preserve">(n) Minimum plantation required with in a building site;</t>
  </si>
  <si>
    <t xml:space="preserve">I left the score blank. The question asks about the DCR itself: the Zoning Regulations of the Master Plan in force, and the city-corporation or Greater Bengaluru Authority (GBA) model building bye-laws. None of these are in the Citation Sheet. I searched the Citation Sheet for zoning regulations, building bye-laws, green building, FAR (floor area ratio) incentives, rainwater harvesting, lake buffers and storm water drain buffers. The only results were the parent Acts: ULG-01 (GBG Act 2024), ULG-02 (KTCP Act 1961), ULG-04 (BDA Act 1976) and ULG-03 (KTCP Amendment Bill 2025). There were no DCR documents.
What the Acts do contain:
(a) ULG-01, apparently s.224(1). The city corporations 'shall make building bye-laws' in line with GBA model bye-laws, and these 'shall provide for' (n) minimum plantation on a building site and (o) rainwater harvesting and renewable energy applications.
(b) ULG-01, s.225. Every khatadar (property owner) who builds 'shall provide rain water harvesting structure for storage, use or for ground water recharge'. The manner and conditions are left to the BWSSB Act 1964 and the regulations under it.
(c) ULG-01, s.17. This sets up a Climate Action Cell. That is an institution, not a development control.
(d) ULG-02. The regularisation provisions bar regularising buildings next to storm water drains, tank beds and river courses. This is a restriction in the Act, limited to regularisation.
(e) ULG-04, s.16(1)(d). Development schemes must reserve 15% of a layout for parks. This is a scheme-level reservation.
These Act-level mandates suggest the DCR would score 2: they require plantation, rainwater harvesting and renewable energy standards in the bye-laws. But they are not DCR text. They do not show the actual standards (permeable area, tree counts, solar, cool roofs, flood-plain controls) or any incentive (for example a green-building FAR bonus).
A score of 0 is barred because I could not confirm the provisions are absent: the DCR instruments were never available to read. A reviewer should:
- add the Revised Master Plan 2015 Zoning Regulations (or the current GBA DCR) and the BBMP or GBA Building Bye-laws, for example the 2003 bye-laws or any 2025/26 model bye-laws;
- add the BWSSB rainwater harvesting regulations;
- check whether the KTCP Amendment Bill 2025 (s.81-G) has been enacted, which decides which DCR applies;
- decide whether binding rainwater harvesting and plantation duties in the city's own Act can count as DCR controls.
If the notified bye-laws contain the mandated plantation, rainwater harvesting and solar standards, a score of 2 is likely.</t>
  </si>
  <si>
    <t xml:space="preserve">The citation didn't settle every input. "Score (select 2 / 1 / 0)" left blank: the Citation Sheet doesn't decide it.</t>
  </si>
  <si>
    <t xml:space="preserve">UPD32d</t>
  </si>
  <si>
    <t xml:space="preserve">Does the city’s DCR provide development controls, standards or incentives that enable positive economic, environmental, public health, heritage, and inclusion outcomes? &gt;:&lt; Do the DCRs provide development controls or standards that promote positive public-health outcomes?</t>
  </si>
  <si>
    <t xml:space="preserve">Step 2 found no evidence: a source needs to be found and added. Step 2 found no evidence (Insufficient Evidence). Source needed: We need the DCRs actually in force for the Greater Bengaluru Area. That means the zoning regulations of the notified Bengaluru master plan (e.g. Revised Master Plan 2015 Zoning Regulations, with their gazette notification and any amendments), and the building bye-laws in force: the BBMP building bye-laws carried over, or the GBA model building bye-laws and City Corporation bye-laws once notified. Each should be read for provisions on ventilation/light, sanitation, density/overcrowding, buffers from hazardous or polluting uses, and incompatible uses.</t>
  </si>
  <si>
    <t xml:space="preserve">UPD32e</t>
  </si>
  <si>
    <t xml:space="preserve">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t>
  </si>
  <si>
    <t xml:space="preserve">ANSWER: Not determinable from the Citation Sheet. The question asks about the DCRs themselves: the zoning regulations of the Master Plan in force for the Greater Bengaluru Area and the building bye-laws. None of these is in the Citation Sheet. What the sheet does show is the statutory layer above the DCRs. The Greater Bengaluru Governance Act, 2024 has a heritage chapter (Ch. XXII). Its Schedule II includes enabling controls: adaptive reuse and internal changes may be allowed for Grade II and Grade III buildings; extensions or additional buildings may be allowed on the same plot; and reconstruction of structurally unsafe buildings in heritage precincts need not follow the prevailing bye-laws. The Act also has a discretionary incentive provision (s.298) and restrictive controls (s.300(2), s.301(b)). If the Act's own Schedule counted as a DCR, this would point towards the Score-2 band. But the Act is not a DCR, and it says the heritage regulations or bye-laws are still to be issued or framed. No adopted DCR text was available to confirm what they actually contain. | EVIDENCE: (1) ULG-01, GBG Act 2024. s.296(1)(c): the Corporation shall 'provide the guidelines with regard to demolition, protection, conservation or re-building of and alterations or additions'. s.296(2): the Corporation, in consultation with GBA, 'shall issue regulations or bye-laws for the implementation of this chapter'. s.298 (incentives): 'The Corporation may provide incentives to the owners or occupiers of he</t>
  </si>
  <si>
    <t xml:space="preserve">Grade-II(A): Internal changes and adaptive re-use may be allowed, subject to strict scrutiny.</t>
  </si>
  <si>
    <t xml:space="preserve">I left the score blank because the DCR itself is not in the Citation Sheet. The question asks what the DCR contains. For Bengaluru that means the zoning regulations of the Master Plan in force and the building bye-laws. Neither is in the Citation Sheet, so I could not check them.
What the sheet does show is the law above the DCR.
1. ULG-01, the Greater Bengaluru Governance Act, 2024 (Karnataka Act 36 of 2025), as republished by PRS.
   - Restrictions:
     - s.300(2): changes to a heritage building may be made only 'to the extent permitted in Schedule II'.
     - s.301(b): the Heritage Conservation Committee recommends whether development permission is granted.
     - s.301(d): it approves designs and controls height and façade.
     - s.302(1): use must be 'in harmony' with the building's Grade.
   - Enabling provisions in Schedule II:
     - Grade II(A): adaptive reuse 'may be allowed'.
     - Grade II(B): extensions or additional buildings 'may' be allowed on the same plot.
     - Grade III: adaptive reuse and extensions 'may by and large be allowed'.
     - Heritage precincts: sensitive additions are permissible, and reconstruction of totally unsafe buildings 'should not follow the prevailing bye laws'.
   - Incentives: s.298 says the Corporation 'may' provide incentives such as financial support or a property-tax exemption, 'in such manner as may be prescribed'. This is discretionary, depends on rules not yet made, and is not a development-control incentive.
   - The Act also says the actual regulations or bye-laws are still to be issued or framed: s.296(2) and s.299(2) ('shall'), and s.301(e) (the Committee frames special regulations). The sheet does not show that any of these have been adopted.
2. ULG-02, the KTCP Act 1961. s.12(3) as amended requires the Master Plan to include heritage conservation regulations. Its TDR provision, s.14B, applies only when land is surrendered for a public purpose. It is not linked to heritage.
3. ULG-03, the KTCP Amendment Bill 2025. s.81-G carries the earlier BDA Master Plan regulations over to GBA, but their text is not in the sheet. The Bill's enactment is not confirmed.
4. ULG-04 (BDA Act), ULG-05 and ULG-06 (BMRDA pages) have no heritage DCR content.
I also searched the whole sheet for 'heritage zoning regulations TDR relaxation'. It found no heritage-linked TDR, FAR or FSI, or any parking or setback relaxation.
How this maps to the bands:
- If the Act's Schedule II counts as a DCR, its adaptive-reuse, extension and precinct-reconstruction permissions would arguably fit Score 2 (two or more enabling provisions).
- If only the Master Plan zoning regulations and bye-laws count, the evidence is missing.
- Score 0 is not available, because absence of heritage provisions has not been shown: the DCR layer was never in the sheet.
To confirm:
(a) Does the GBG Act's statutory Schedule II count as a 'DCR' for UPD32e?
(b) Add to the Citation Sheet the Master Plan zoning regulations currently in force for the Greater Bengaluru Area (e.g. the RMP-2015 Zoning Regulations, if still in force) and any GBA or City Corporation building or heritage bye-laws, then check them for heritage TDR, FAR, relaxations or adaptive-reuse provisions.
I checked the Step 2 answer against the source, and it is consistent with ULG-01.</t>
  </si>
  <si>
    <t xml:space="preserve">UPD33a</t>
  </si>
  <si>
    <t xml:space="preserve">Does the city have a mandate to provide incentives for green buildings, and are these incentives operationalised? &gt;:&lt; Does the law mandate incentives for green buildings ?</t>
  </si>
  <si>
    <t xml:space="preserve">ANSWER: I found no provision in the Acts on the Citation Sheet that requires or allows incentives for green buildings in Bengaluru. That means the score would probably be 0, but I can't record 0 yet. To do that I need to show that nothing exists in any of the relevant law, and two gaps prevent it: there is no up-to-date consolidated text of the Karnataka Town and Country Planning (KTCP) Act, and the property-tax exemption section of the Greater Bengaluru Governance (GBA) Act could not be read in full. | EVIDENCE: (1) GBA Act, 2024 (the city government's law, which acts as the Municipal Act). s.224(1): City Corporations must make building bye-laws, approved by the Greater Bengaluru Authority, and these 'shall provide for' items including '(n) Minimum plantation required with in a building site; (o) Installation of rain water harvesting systems with in the building and provisions of renewable energy applications'. This is a requirement on builders, not an incentive. s.225: every khatadar (property owner) who builds must provide rainwater harvesting, under the BWSSB Act. Again a requirement, not an incentive. s.298 'Incentives for Heritage Buildings': 'The Corporation may provide incentives to the owners or occupiers of heritage buildings ... exemption from property tax'. This covers only heritage buildings, not green buildings. s.148(1): a rebate of up to 5% for paying property tax early, which has nothing to do with green performance. s.164: a corporation may levy an environme</t>
  </si>
  <si>
    <t xml:space="preserve">(n) Minimum plantation required with in a building site; (o) Installation of rain water harvesting systems with in the building and provisions of renewable energy applications;</t>
  </si>
  <si>
    <t xml:space="preserve">I left 'Answer' blank. No provision on the Citation Sheet requires or allows incentives for green buildings, but the sheet doesn't cover every Act layer, so I can't show the affirmative absence that a 0 needs. That makes this 'not found', not 'NO'.
I checked the Step 2 answer against the sources. It holds up, with one gap now closed.
(1) GBA Act, 2024 (ULG-01, the PRS copy, a secondary source):
- s.224(1)(n) and (o) say the building bye-laws 'shall provide for' minimum plantation, rainwater harvesting and renewable energy. These are requirements on builders, not incentives.
- s.225 makes rainwater harvesting compulsory for owners who build. This is also a requirement, not an incentive.
- s.298 'Incentives for Heritage Buildings' covers heritage buildings only.
- s.148: the rebate of up to 5% is for paying property tax early, not for green performance.
- s.153 is a general power to suspend, modify or abolish a tax. It doesn't mention green buildings.
- s.154 'General exemptions': Step 2 couldn't read this in full, but I have now read sub-sections (1)(a)-(k), (2) and (3). They cover worship, charitable, monument, government, authority, agricultural and ex-serviceman cases. None is a green-building exemption.
- s.164 is an environment cess, and s.168 covers development charges. Both are charges, not incentives.
(2) KTCP Act, 1961 (ULG-02, PRS copy with amendments up to Act 38 of 2015, plus the 2020 Fourth Amendment). The passages I read do not create a green incentive:
- s.12: what the master plan contains.
- s.14B: transferable development rights for surrendering land.
- s.18(1) and (3): change-of-use fees, with exemptions for government bodies and infrastructure projects.
- s.18-B: premium floor area ratio in return for paying premium charges. This is bought, not an incentive.
(3) KTCP Amendment Bill, 2025 (ULG-03): it makes the GBA the planning authority (s.81-G) and creates the Commissionerate. It says nothing on green buildings.
(4) BDA Act (ULG-04): the passages I read have nothing on green incentives.
Why this isn't affirmative absence:
(a) There is no consolidated KTCP Act text covering the 2021-2025 amendments, and the Bill's start date isn't confirmed.
(b) The tools return passages, not whole documents, so I haven't read every section of ULG-02 or ULG-04.
(c) Both Acts are PRS copies, which are secondary sources.
Rules, bye-laws and zoning regulations aren't on the sheet either, although the methodology tests the Acts. A person should check the current consolidated KTCP Act on an official Karnataka site. If no enabling provision appears there, the answer is NO (score 0).</t>
  </si>
  <si>
    <t xml:space="preserve">UPD33b</t>
  </si>
  <si>
    <t xml:space="preserve">Does the city have a mandate to provide incentives for green buildings, and are these incentives operationalised? &gt;:&lt; Does your city give incentives for green buildings ?</t>
  </si>
  <si>
    <t xml:space="preserve">Step 2 found no evidence: a source needs to be found and added. Step 2 found no evidence (Insufficient Evidence). Source needed: Any of these would settle the question: (a) the current Bengaluru building bye-laws or zoning regulations (BBMP Building Bye-laws, the RMP 2015 Zoning Regulations or any GBA successor), looking for extra FAR or fee concessions for IGBC/GRIHA/LEED-rated or energy- and water-efficient buildings; (b) a GBA or City Corporation property-tax notification or circular giving a rebate for green-rated buildings, solar or rainwater harvesting; (c) a Karnataka UDD or Energy Department GO, or a KREDL/BESCOM scheme, offering green-building incentives that apply in Bengaluru; (d) IGBC or GRIHA pages listing Karnataka or Bengaluru government incentives; (e) dated evidence that any such incentive is actually being granted, such as sanction records or an official portal page.</t>
  </si>
  <si>
    <t xml:space="preserve">UPD34</t>
  </si>
  <si>
    <t xml:space="preserve">Does the law enable a guaranteed land titling system ?</t>
  </si>
  <si>
    <t xml:space="preserve">Step 2 found no evidence: a source needs to be found and added. Step 2 found no evidence (Insufficient Evidence). Source needed: Any Karnataka state instrument that provides for certification or guarantee of land titles: a land titling Act, Bill or law (state legislation portal / eGazette), the Rules notified under it, or a Revenue Department Government Order/circular/notification setting up a title-certification framework. Also the Karnataka Land Revenue Act and Rules (current consolidated text), so the team can confirm no such provision exists before scoring 0.</t>
  </si>
  <si>
    <t xml:space="preserve">UPD35</t>
  </si>
  <si>
    <t xml:space="preserve">Does the law enable a guaranteed land pooling system ?</t>
  </si>
  <si>
    <t xml:space="preserve">ANSWER: Part A is met for a Town Planning Scheme (TPS) / land reconstitution mechanism. Karnataka's Town and Country Planning Act, 1961 (KTCP Act) provides for town planning schemes with reconstituted plots in Chapters V-VII (ss.26-68). Land pooling as a separate mechanism was not found in the sources. Part B cannot be decided because no Rules made under the KTCP Act are in the Citation Sheet, so the total score cannot be set. Mechanism type: TPS/land reconstitution only. Land pooling: not found. | EVIDENCE: (1) KTCP Act s.26(1): a Planning Authority, 'for the purpose of implementing the proposals in the Master Plan... may make one or more town planning schemes for the area within its jurisdiction'. s.26(2)(a) covers 'the laying out or re-laying out of land'. s.29: the Planning Authority declares its intention to make a scheme by resolution. s.30: the draft scheme is made 'in consultation with the Director'. s.32: the draft scheme contains the area, ownership and tenure of each original plot and how plot boundaries change. s.33(1)-(2): reconstituted plots, including (b) transfer of adjoining lands, (c) original plots held in common, (d) a plot allotted to a dispossessed owner, (e) transfer of ownership. s.34(3): the State Government may sanction the draft scheme by notification. Chapters VI-VII: a Town Planning Officer prepares the final scheme (ss.37-38, 45). The effect of the final scheme (as shown in the source): 'all rights in the original plots which have been reconstitu</t>
  </si>
  <si>
    <t xml:space="preserve">PART A = YES. Karnataka law formally provides a Town Planning Scheme (TPS) / land reconstitution mechanism. I read this in ULG-02, the KTCP Act 1961 (PRS consolidated text, amendments up to Act 38 of 2015). Under s.26(1) a Planning Authority 'may make one or more town planning schemes', and s.26(2)(a) covers 'the laying out or re-laying out of land'. s.29 provides for a declaration of intention. s.30 covers the draft scheme, made in consultation with the Director. s.32 lists the contents: original plots and changes to their boundaries. s.33 covers reconstituted plots: forming a plot by altering boundaries, transferring adjoining lands, common ownership, allotting a plot to a dispossessed owner, and transferring ownership. Under s.34(3) the State sanctions the draft scheme by notification. Under s.37 the State 'shall appoint' a Town Planning Officer for the final scheme. ss.57–59 cover contributions limited by the increment, value adjustments, and the transfer of rights from original to reconstituted plots. The mechanism applies to the city: GBG Act 2024 (ULG-01), Planning Functions (2)(a), says 'the Greater Bengaluru Authority shall be the "Planning Authority" as defined under the Karnataka Town and Country Planning Act, 1961, for the areas comprising of the Greater Bengaluru Area' (GBA era). The KTCP Amendment Bill 2025 (ULG-03), s.81-G, would say the same, but it commences only on a date to be notified and is not relied on. Mechanism type, recorded separately as the scorer notes ask: TPS/land reconstitution = YES. Land pooling = NOT FOUND, not an affirmed absence. I searched the Citation Sheet for 'land pooling' and found nothing. ULG-04 (the BDA Act) describes acquisition-based schemes. ULG-03 contains no pooling provision. The TPS power is discretionary ('may make'), but Part A tests only formal provision, and the methodology sets no separate test for 'guaranteed'.
PART B left blank (not found, not absent). The TPS procedure depends heavily on Rules: publication 'in the prescribed manner' (ss.29(2), 30(1)), 'any other prescribed particulars' (s.32(g)), the TPO's 'prescribed qualifications' (s.37(1)), and the TPO's duties 'in accordance with ... the rules made thereunder' (s.38(1)). The rule-making power is s.74. No KTCP Rules, TPS rules, or Karnataka notification bringing such rules into force is in the Citation Sheet (sources checked: ULG-01 to ULG-06; searched 'land pooling scheme rules notified'). Without affirmative absence I cannot enter NO, and without evidence of notified rules I cannot enter YES. A person should check whether the Karnataka Town and Country Planning Rules (or TPS rules) under s.74 are notified and in force, and whether any Karnataka land pooling Act or GO exists. Total score: Part A = 5 points; Part B is undetermined.</t>
  </si>
  <si>
    <t xml:space="preserve">The AI's citation or quote failed the check. The AI's quote couldn't be found word for word in ULG-02, so its answer was discarded. AI comments: PART A = YES. Karnataka law formally provides a Town Planning Scheme (TPS) / land reconstitution mechanism. I read this in ULG-02, the KTCP Act 1961 (PRS consolidated text, amendments up to Act 38 of 2015). Under s.26(1) a Planning Authority 'may make one or more town planning schemes', and s.26(2)(a) covers 'the laying out or re-laying out of land'. s.29 provides for a declaration of intention. s.30 covers the draft scheme, made in consultation with the Director. s.32 lists the contents: original plots and changes to their boundaries. s.33 covers reconstituted plots: forming a plot by altering boundaries, transferring adjoining lands, common ownership, allotting a plot to a dispossessed owner, and transferring ownership. Under s.34(3) the State sanctions the draft scheme by notification. Under s.37 the State 'shall appoint' a Town Planning Officer for the final scheme. ss.57–59 cover contributions limited by the increment, value adjustments, and the transfer of rights from original to reconstituted plots. The mechanism applies to the city: GBG Act 2024 (ULG-01), Planning Functions (2)(a), says 'the Greater Bengaluru Authority shall be the "Planning Authority" as defined under the Karnataka Town and Country Planning Act, 1961, for the areas comprising of the Greater Bengaluru Area' (GBA era). The KTCP Amendment Bill 2025 (ULG-03), s.81-G, would say the same, but it commences only on a date to be notified and is not relied on. Mechanism type, recorded separately as the scorer notes ask: TPS/land reconstitution = YES. Land pooling = NOT FOUND, not an affirmed absence. I searched the Citation Sheet for 'land pooling' and found nothing. ULG-04 (the BDA Act) describes acquisition-based schemes. ULG-03 contains no pooling provision. The TPS power is discretionary ('may make'), but Part A tests only formal provision, and the methodology sets no separate test for 'guaranteed'.
PART B left blank (not found, not absent). The TPS procedure depends heavily on Rules: publication 'in the prescribed manner' (ss.29(2), 30(1)), 'any other prescribed particulars' (s.32(g)), the TPO's 'prescribed qualifications' (s.37(1)), and the TPO's duties 'in accordance with ... the rules made thereunder' (s.38(1)). The rule-making power is s.74. No KTCP Rules, TPS rules, or Karnataka notification bringing such rules into force is in the Citation Sheet (sources checked: ULG-01 to ULG-06; searched 'land pooling scheme rules notified'). Without affirmative absence I cannot enter NO, and without evidence of notified rules I cannot enter YES. A person should check whether the Karnataka Town and Country Planning Rules (or TPS rules) under s.74 are notified and in force, and whether any Karnataka land pooling Act or GO exists. Total score: Part A = 5 points; Part B is undetermined.</t>
  </si>
  <si>
    <t xml:space="preserve">UPD36</t>
  </si>
  <si>
    <t xml:space="preserve">Does your city have a single window clearance process in place for  development projects that are in conformity with municipal/city plans?</t>
  </si>
  <si>
    <t xml:space="preserve">Step 2 found no evidence: a source needs to be found and added. Step 2 found no evidence (Insufficient Evidence). Source needed: Dated pages from the official online building-plan or single window clearance portal used by GBA and the City Corporations (or a state single window portal covering Bengaluru). They would need to show: (a) that a complete application for a development project can be filed online; (b) which project types it covers (education, health, affordable housing); (c) that application status can be tracked. A GBA or Urban Development Department order or notification setting up the portal, with its user manual or list of services, would also help.</t>
  </si>
  <si>
    <t xml:space="preserve">UPD37</t>
  </si>
  <si>
    <t xml:space="preserve">Is there an effective system to prevent approval of plans that are not in conformity with municipal/city plan?</t>
  </si>
  <si>
    <t xml:space="preserve">ANSWER: Only part of this can be answered. In law, aspect 1 (an approval authority) and aspect 2 (a process to reject plans or approve variances) exist for Bengaluru. The Citation Sheet has no evidence on aspect 3 (a register of public and private projects) or on whether aspect 4 (public disclosure of all approvals, denials and variances) happens in practice. The score of 10 needs all four aspects, so it cannot be given. A 0 cannot be given either: the GBA, city corporation and BDA websites were never in the Citation Sheet, so nothing shows these items are missing. | EVIDENCE: (1) Approval authority. GBGA 2024 (ULG-01), Planning Functions sub-section (2), probably s.15(2): the GBA 'shall be the "Planning Authority" as defined under the Karnataka Town and Country Planning Act, 1961' for the Greater Bengaluru Area. Under (2)(b) the GBA 'may' approve layouts 'in conformity with the master plan', and the City Corporation sanctions industrial building plans. The KIADB proviso lets KIADB sanction layouts and building plans 'only in conformity with the master plan with prior apporval of the concerned Local Planning Authority'. Under s.230(1)-(2), applicants apply to the city corporation Commissioner. Under s.230(5), the Commissioner may refer cases to the GBA Chief Commissioner. Under s.223(a)-(b), corporation powers on land use must follow the Master Plan, and no permission may be granted without proof of compliance with the KTCP Act. KTCP Act (ULG-02): under s.15(1), the Planning </t>
  </si>
  <si>
    <t xml:space="preserve">may grant permission to undertake construction or if the application does not confirm to the Act, master plan and building bye-laws, reject such applications.</t>
  </si>
  <si>
    <t xml:space="preserve">I can't give a score of 10 or 0 because two of the four aspects have no evidence in the Citation Sheet.
ASPECT 1, approval authority (YES, in law). The Greater Bengaluru Governance Act (GBGA), Planning Functions sub-section (2)(a), page 14 of ULG-01, says the Greater Bengaluru Authority (GBA) 'shall be the "Planning Authority" as defined under the Karnataka Town and Country Planning Act, 1961' for the Greater Bengaluru Area. Under s.230(1)-(2), the City Corporation Commissioner sanctions building plans on the Additional Chief Town Planner's advice. Under s.230(5), the Commissioner may refer an application to the GBA Chief Commissioner, who decides it with the Chief Town Planner. Under s.223(a)-(b), the Corporation's land-use powers must follow the Master Plan. The KTCP Act (ULG-02), s.15, makes the Planning Authority grant or refuse permission.
- Caveat: no approval route for public projects (metro, railways, heritage) was found in the sheet. A reviewer may decide that 'each level' is only partly covered.
ASPECT 2, rejection and variance process (YES, in law).
- GBGA s.230(2): a plan that does not conform to the master plan is rejected.
- s.230(3): the Commissioner 'shall publish the conditions for the approval or rejection'.
- s.231: written grant or refusal within set time limits. A deemed approval cannot break the Act, rules or bye-laws.
- s.236: refusal where the plan breaks the master plan, with reasons given. s.237: modified licence.
- KTCP s.14A: a change of land use needs prior State Government approval and public notice inviting objections. KTCP s.15: deemed grant only for plans that conform, plus appeal rights. KTCP s.17: a layout inconsistent with the plan can be refused.
ASPECT 3, registry of public and private projects (left blank). Nothing in the sheet covers it. I searched all citations: ULG-01 has only a property register (around page 55), which is not a project registry. A NO needs proof that the registry is absent, but the GBA, City Corporation and BDA websites and the online building-plan portal were never in the Citation Sheet. This is not found, not absent: VERIFICATION-LIMIT.
ASPECT 4, public disclosure (left blank). GBGA s.230(11) says a sanctioned plan 'shall be published in the website of the City Corporation', and s.230(3) requires the conditions for approval or rejection to be published. In law this covers approvals only, not denials or variances. The sheet has no website evidence that publication actually happens. VERIFICATION-LIMIT.
Overall: 10 needs all four aspects, and 0 would need affirmative absence. A person should check the GBA, corporation and BDA websites and the online plan-approval portal for a project registry and for published approvals, rejections and variances.
Other things to check:
- The GBA's effective date and the GBGA commencement notification are not in the sheet.
- The KTCP Amendment Bill 2025 (ULG-03) is not shown to be in force. Its proposed s.81-G would make the GBA the local planning authority.
- The KTCP text (ULG-02) is a PRS republication with amendments only up to 2015.
- ULG-01 is also a PRS republication.</t>
  </si>
  <si>
    <t xml:space="preserve">The citation didn't settle every input. "Registry of public &amp; private projects" left blank: the Citation Sheet doesn't decide it. "Public disclosure of approvals / denials / variances" left blank: the Citation Sheet doesn't decide it.</t>
  </si>
  <si>
    <t xml:space="preserve">UPD38a</t>
  </si>
  <si>
    <t xml:space="preserve">Does the law mandate mechanisms for monitoring ongoing construction/development projects for compliance with approved plans and permissions?   &gt;:&lt; Does the law mandate a system for monitoring ongoing construction/projects for possible violations?</t>
  </si>
  <si>
    <t xml:space="preserve">ANSWER: Yes. The Greater Bengaluru Governance Act, 2024 (Karnataka Act 36 of 2025), which is the municipal law for the City Corporations under the Greater Bengaluru Authority, covers all three parts of the methodology. (1) It gives authority to inspect ongoing construction. (2) It requires inspections at set stages: a physical check at plinth level and a physical inspection at completion. (3) It gives powers to issue notices and stop-work directions. | EVIDENCE: GBA Act (PRS republication of the gazette text). (1) Authority to inspect: s.230(9) says the Commissioner 'may undertake such periodical physical verification of buildings as necessary for the purposes of enforcing the provisions of this Act'. s.243(2) says the Commissioner 'may authorise an officer subordinate to him to conduct site inspection for verification of the construction being under taken as per sanction plan'. If the work is prima facie not as sanctioned, 'notice shall be served' calling the owner (khatadar) to a joint inspection. (2) Stage-wise inspection: s.239(1) says construction 'shall not be proceeded without obtaining plinth certificate'. On an application, 'the Commissioner or officer authorized by him, shall carryout physical verification of the building under construction'. The certificate is issued within 15 days if the work follows the sanctioned plan. s.241(3) covers completion: on an application for an occupancy certificate, the Additional Chief Town Planner 'shall undertake such physical insp</t>
  </si>
  <si>
    <t xml:space="preserve">Construction shall not be proceeded without obtaining plinth certificate. On the application made for issue of plinth certificate.– (a) the Commissioner or officer authorized by him, shall carryout physical verification of the building under construction.</t>
  </si>
  <si>
    <t xml:space="preserve">I checked the Step 2 answer against the ULG-01 text, which is the PRS republication of the GBA Act gazette text (GBA era). All three inputs are YES, so the band is 5/5.
(1) Authority to inspect is met. s.230(9) says the Commissioner 'may undertake such periodical physical verification of buildings as necessary for the purposes of enforcing the provisions of this Act'. s.243(2) lets the Commissioner authorise a subordinate officer 'to conduct site inspection for verification of the construction being under taken as per sanction plan'. If the work is prima facie not as sanctioned, 'notice shall be served' calling the khatadar to a joint inspection. Both of these are 'may' powers, but the question asks for authority to inspect, and these provisions give it.
(2) Stage-wise inspection is met. At plinth stage, s.239(1) says 'Construction shall not be proceeded without obtaining plinth certificate', and under s.239(1)(a) the Commissioner or authorised officer 'shall carryout physical verification of the building under construction'. At completion, s.241(3) says the Additional Chief Town Planner 'shall undertake such physical inspection of the building' on an application for an occupancy certificate. Both are mandatory. I found no separate inspection at commencement, but the methodology says 'where applicable … and/or', so plinth plus completion is enough.
(3) Notices and stop-work directions are met. s.240(1) allows a notice directing alteration or asking the owner to show cause. s.243(3) allows a provisional demolition or alteration order and lets the Commissioner direct that 'the khatadar or builder shall refrain from proceeding with the building'. s.243(4) allows sealing 'before or after making an order of demolition or of the stoppage of the erection of any building'. s.230(10) gives the power 'to order for the stoppage of any construction' that endangers public safety.
Caveats:
- The question is labelled Implementation, but its text ('Does the law mandate…') and the methodology test only provisions in the Acts. I scored it as a law test; please confirm this is a question-bank anomaly. No evidence of the inspections actually happening is in the Citation Sheet.
- The text is a PRS secondary copy. The official gazette copy and the date the Act and City Corporations took effect should be confirmed.
- The Government may exempt categories of buildings from the plinth certificate (s.239(2)) and the occupancy certificate (s.241(7)).
- Under s.239(1)(c), if no plinth certificate is issued within 15 days, construction may proceed (deemed clearance).
- The Rules and building bye-laws under the GBA Act are not in the Citation Sheet.
The KTCP Act s.76FFF (ULG-02) only supports this: it penalises officers who fail to prevent unauthorised construction.</t>
  </si>
  <si>
    <t xml:space="preserve">UPD38b</t>
  </si>
  <si>
    <t xml:space="preserve">Does the law mandate mechanisms for monitoring ongoing construction/development projects for compliance with approved plans and permissions?   &gt;:&lt; Has a system for monitoring ongoing construction/projects for possible violations been implemented?</t>
  </si>
  <si>
    <t xml:space="preserve">Step 2 found no evidence: a source needs to be found and added. Step 2 found no evidence (Insufficient Evidence). Source needed: Pages from the GBA and City Corporation websites, or their online building-plan approval portal, showing: (1) a working online module where owners report construction progress with photographs and compliance documents; (2) records or a policy of regular inspections of approved projects, all or a defined sample; (3) published monitoring data on compliance status, violations registered and action taken. The pages should be current and dated, with screenshots.</t>
  </si>
  <si>
    <t xml:space="preserve">UPD39</t>
  </si>
  <si>
    <t xml:space="preserve">Are there provisions to penalise violating plans?</t>
  </si>
  <si>
    <t xml:space="preserve">ANSWER: Partly established. The Karnataka Town and Country Planning (KTCP) Act, 1961 does have penal provisions for violating plans, but from the text read they clearly cover only two of the six heads in the methodology. The rule needs at least five heads for 'Yes', so the result cannot be set yet. Covered: Head 1 (development control regulation violations, such as land use and zoning, use, and the zoning regulations) and Head 5 (building or development work without a permit, and breach of its conditions). Not found in the KTCP text read: Head 2 (building code), Head 3 (violations of no-objection certificates, or NOCs) and Head 6 (urban design). Head 4 (encroachment) is not decided. The city government's own Act (the Greater Bengaluru Governance Act, or GBA Act) appears to fill some gaps, but its penalty section was not fully read. | EVIDENCE: (1) KTCP Act (ULG-02), s.14(1): 'every land use, every change in land use and every development in the area covered by the plan ... shall conform to the provisions of this Act, the Master Plan and the Report'. s.14(2): no change in land use or development 'except with the written permission of the Planning Authority which shall be contained in a commencement certificate'. Development means 'the carrying out of building or other operation ... or the making of any material change in the use of any building or other land'. Works affecting only the interior, or not materially changing the outside, are excluded. (2) KTCP s.73 'Offences and p</t>
  </si>
  <si>
    <t xml:space="preserve">does any work in spite of refusal to grant a commencement certificate under sub-section (1) of section 15</t>
  </si>
  <si>
    <t xml:space="preserve">I left the count blank. The Citation Sheet shows only 2 of the 6 heads in the Karnataka Town and Country Planning (KTCP) Act. Entering 2 would score 0, and a 0 needs proof that nothing else exists, which this sheet cannot give. There is also an open question about which laws count.
WHAT THE KTCP ACT (ULG-02) CONFIRMS (PRS republication, amendments up to Act 38 of 2015):
(1) Head 1, development control regulation (DCR) violations. s.73(a) punishes whoever 'does any work in contravention of the provisions of section 14'. s.14(1) requires every land use, change in land use and development to 'conform to the provisions of this Act, the Master Plan and the Report'. Under s.12(2)(iii) the Master Plan includes zoning regulations for each land-use zone, and under s.12(3) it includes heritage conservation regulations. Building line, height and floor area ratio regulations apply only to areas of special control declared under s.12(1)(f).
(2) Head 5, work without permit. Four clauses of s.73 cover it:
- s.73(c): breach of the conditions of a commencement certificate (s.15) or a layout sanction (s.17).
- s.73(d): work 'in spite of refusal to grant a commencement certificate'.
- s.73(a) with s.14(2): development without a commencement certificate.
- s.73(e) with s.35(1)(a): in a town planning scheme area, no one may 'erect ... alter, make additions to, or make any substantial repair to any building ... or change the user of any land or building' without a commencement certificate.
The penalty is: 'imprisonment for a term which may extend to three months or with fine which may extend to five thousand rupees or with both', plus up to Rs 250 per day if the breach continues.
NOT FOUND IN THE KTCP TEXT: Head 2 (building code), Head 3 (no-objection certificate violations), Head 4 (encroachment) and Head 6 (urban design).
- s.76FF(3)-(4) refuses regularisation without Pollution Control Board clearance or fire protection, and s.76FF(7) and (9) set limits for setback and floor area ratio violations. These are conditions for regularisation, not penalty provisions.
- s.74 and s.75 only allow rules and bye-laws to set fines ('may'). s.76D penalises obstruction.
WHY THE COUNT IS BLANK, NOT 2:
(a) Scope. The method says 'T&amp;CP Act', but the Step 2 notes say the urban planning (UPD) section guidance also points to the municipal law. The Greater Bengaluru Governance Act (GBA Act, ULG-01, Karnataka Act 36 of 2025) appears to cover most heads:
- General penalties: s.319 (contravening the Act: up to 1 year and Rs 2 lakh), s.320 (rules), s.321 (regulations), s.322 (bye-laws: up to Rs 2 lakh).
- s.224 building bye-laws cover inflammable materials, lifts, staircases, rainwater harvesting and similar matters (Heads 2 and 3).
- s.228 bans building, addition or alteration without sanction (Head 5).
- s.215 bans structures that obstruct streets without permission (likely Head 4).
- The bye-law power on posting bills and advertisements and on the size, shape and style of sign-posts, with fines for breaking bye-laws, likely covers Head 6.
- s.244(3) sets a fine up to 20% of guidance value for not complying with notices. s.245(3) allows a penalty for unauthorised development.
If the team counts the GBA Act, the total would probably be 5 or more ('Yes'). A person must decide the scope and then check each GBA provision.
(b) Missing layers. The sheet does not include KTCP amendments after 2015, the KTCP Rules, the Revised Master Plan zoning regulations or the building bye-laws. So the KTCP count of 2 cannot be shown to be complete.
(c) Planning authority. The KTCP text still names the Bangalore Development Authority (BDA). ULG-03 (s.81-G, which would make the Greater Bengaluru Authority the planning authority) is only a Bill passed by the Assembly, and no commencement notification is in the sheet.
The Step 2 answer is consistent with the source. Its 's.35 not read' gap is now closed: s.35(1)(a) covers building without permission, not encroachment.
TO SCORE: set the scope. KTCP only gives 2 confirmed heads, but you would still need to check the post-2015 amendments and the Rules before entering 2. KTCP plus the GBA Act should give 5 or more once the cited sections are checked.</t>
  </si>
  <si>
    <t xml:space="preserve">The citation didn't settle every input. "No. of penalty provisions found" left blank: the Citation Sheet doesn't decide it.</t>
  </si>
  <si>
    <t xml:space="preserve">S_No</t>
  </si>
  <si>
    <t xml:space="preserve">ASICS_2017_Report_Q_No</t>
  </si>
  <si>
    <t xml:space="preserve">ASICS 2023 Question number</t>
  </si>
  <si>
    <t xml:space="preserve">New City-Systems</t>
  </si>
  <si>
    <t xml:space="preserve">ASICS 2027_Report_Q No</t>
  </si>
  <si>
    <t xml:space="preserve">Group</t>
  </si>
  <si>
    <t xml:space="preserve">Thematic questions</t>
  </si>
  <si>
    <t xml:space="preserve">Sub-themes</t>
  </si>
  <si>
    <t xml:space="preserve">MQ_SQ</t>
  </si>
  <si>
    <t xml:space="preserve">Max Score</t>
  </si>
  <si>
    <t xml:space="preserve">Assessment level</t>
  </si>
  <si>
    <t xml:space="preserve">Detailed Methodology</t>
  </si>
  <si>
    <t xml:space="preserve">Notes for scorers</t>
  </si>
  <si>
    <t xml:space="preserve">1</t>
  </si>
  <si>
    <t xml:space="preserve">UPD</t>
  </si>
  <si>
    <t xml:space="preserve">Planning </t>
  </si>
  <si>
    <t xml:space="preserve">Legal and institutional planning architecture
</t>
  </si>
  <si>
    <t xml:space="preserve">State-level planning framework</t>
  </si>
  <si>
    <t xml:space="preserve">MQ</t>
  </si>
  <si>
    <t xml:space="preserve">Law or Policy</t>
  </si>
  <si>
    <t xml:space="preserve">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
Part B - If Part A is scored as 'Yes', check whether the body has an explicit mandate to advise on or formulate state-level spatial planning policies and reforms. if yes, score 5. 
</t>
  </si>
  <si>
    <t xml:space="preserve">Please note that the name of the body need not be identical, provided its statutory functions correspond to the intent of the question.</t>
  </si>
  <si>
    <t xml:space="preserve">2</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</si>
  <si>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</si>
  <si>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3</t>
  </si>
  <si>
    <t xml:space="preserve">UPD3</t>
  </si>
  <si>
    <t xml:space="preserve">Spatial planning hierarchy</t>
  </si>
  <si>
    <t xml:space="preserve">Does the Act require three levels of spatial plans for cities: Metropolitan/Regional, Municipal and Ward(s) /Local</t>
  </si>
  <si>
    <t xml:space="preserve">The T&amp;CP Act should mandate three levels of spatial plans. </t>
  </si>
  <si>
    <t xml:space="preserve">3a</t>
  </si>
  <si>
    <t xml:space="preserve">UPD2a</t>
  </si>
  <si>
    <t xml:space="preserve">Metropolitan/ Regional Plan</t>
  </si>
  <si>
    <t xml:space="preserve">SQ</t>
  </si>
  <si>
    <t xml:space="preserve">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t>
  </si>
  <si>
    <t xml:space="preserve">3b</t>
  </si>
  <si>
    <t xml:space="preserve">UPD2b</t>
  </si>
  <si>
    <t xml:space="preserve">Municipal/city plan</t>
  </si>
  <si>
    <t xml:space="preserve">Check the T&amp;CP Act for provisions that mandate the creation of a municipal/city plan. Relevant urban areas development authority act can also be considered for evidence. </t>
  </si>
  <si>
    <t xml:space="preserve">3c</t>
  </si>
  <si>
    <t xml:space="preserve">UPD2c</t>
  </si>
  <si>
    <t xml:space="preserve">Ward(s)/local plan</t>
  </si>
  <si>
    <t xml:space="preserve">Check the T&amp;CP Act for provisions that mandate the creation of a third tier of plan at the zone/ward level. Town planning schemes that are developed within the framework of the municipal/city plan shall not be considered. </t>
  </si>
  <si>
    <t xml:space="preserve">Note: Please capture in the comments if the mandate is for a zonal/ward/local area plan, mention the type.</t>
  </si>
  <si>
    <t xml:space="preserve">4</t>
  </si>
  <si>
    <t xml:space="preserve">NA</t>
  </si>
  <si>
    <t xml:space="preserve">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</si>
  <si>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5</t>
  </si>
  <si>
    <t xml:space="preserve">UPD5</t>
  </si>
  <si>
    <t xml:space="preserve">Is there a clear decentralised procedure for approvals of each level of plans?</t>
  </si>
  <si>
    <t xml:space="preserve">Check the state T&amp;CP Act for provisions that delineate a decentralised plan approval process. </t>
  </si>
  <si>
    <t xml:space="preserve">5a</t>
  </si>
  <si>
    <t xml:space="preserve">Does the law mandate that the metropolitan/regional plan be approved by the state government?</t>
  </si>
  <si>
    <t xml:space="preserve">Check if the T&amp;CP Act/metropolitan planning act mandates the metropolitan/regional plan to be approved by the state government.</t>
  </si>
  <si>
    <t xml:space="preserve">5b</t>
  </si>
  <si>
    <t xml:space="preserve">Does the law mandate that the municipal/city plan be approved by the MPC (Metropolitan Planning Committee)  for metropolitan cities or by DPC (District Planning Committee) for non-metropolitan cities?</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</si>
  <si>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t>
  </si>
  <si>
    <t xml:space="preserve">5c</t>
  </si>
  <si>
    <t xml:space="preserve">Does the law mandate that the ward(s)/local plan be approved by the ULG?</t>
  </si>
  <si>
    <t xml:space="preserve">Check if the T&amp;CP Act mandates the zonal/ward plans to be approved by the ULG. </t>
  </si>
  <si>
    <t xml:space="preserve">6</t>
  </si>
  <si>
    <t xml:space="preserve">Objectives of each level of Municipal/City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</si>
  <si>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</si>
  <si>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7</t>
  </si>
  <si>
    <t xml:space="preserve">UPD16</t>
  </si>
  <si>
    <t xml:space="preserve">UPD7</t>
  </si>
  <si>
    <t xml:space="preserve">Metropolitan and district planning institutions</t>
  </si>
  <si>
    <t xml:space="preserve">Does the city have a functional MPC/DPC?</t>
  </si>
  <si>
    <t xml:space="preserve">Law/Policy &amp; Implementation</t>
  </si>
  <si>
    <t xml:space="preserve">Sum of the sub-questions</t>
  </si>
  <si>
    <t xml:space="preserve">7a</t>
  </si>
  <si>
    <t xml:space="preserve">UPD9a</t>
  </si>
  <si>
    <t xml:space="preserve">Does the law provide for the constitution of an MPC/DPC?</t>
  </si>
  <si>
    <t xml:space="preserve">Law/Policy</t>
  </si>
  <si>
    <t xml:space="preserve">Part A:  Check whether there is a mandate in the Municipal or T&amp;CP Act for the constitution of MPC/DPC. If yes, score 2.5                                                                                                                                                                   Part B: Check whether the State has notified the rules for the MPC/DPC applicable to the city. If yes, score 2.5.
MPC applies to metropolitan cities (46 cities); DPC applies for non-metropolitan cities</t>
  </si>
  <si>
    <t xml:space="preserve">7b</t>
  </si>
  <si>
    <t xml:space="preserve">UPD9b</t>
  </si>
  <si>
    <t xml:space="preserve">Have they met at least once in the past two years?</t>
  </si>
  <si>
    <t xml:space="preserve">Implementation</t>
  </si>
  <si>
    <t xml:space="preserve">Check whether the MPC/DPC has met at least once in the past two years. Score 5 where there is evidence of meeting in the last two years.
Evidence: State UD/Municipal Administration department notifications/constitution orders/website; MPC/DPC meeting minutes, agendas or resolutions; MPC/DPC and metropolitan planning authority/development authority websites and RTIs.
</t>
  </si>
  <si>
    <t xml:space="preserve">8</t>
  </si>
  <si>
    <t xml:space="preserve">Law or Policy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</si>
  <si>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</si>
  <si>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9</t>
  </si>
  <si>
    <t xml:space="preserve">Municipal/City Plan preparation, participation and review</t>
  </si>
  <si>
    <t xml:space="preserve">Inter-agency participation</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</si>
  <si>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</si>
  <si>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UPD33</t>
  </si>
  <si>
    <t xml:space="preserve">Public participation and scrutiny</t>
  </si>
  <si>
    <t xml:space="preserve">Check if the T&amp;CP Act mandates public participation in preparation of municipal/city plan through:
Part A: Formal platforms such as ward committees and area sabhas. If yes, score 5.
Part B: Other means* for municipal/city plan. If yes, score 5.
*Even if the provision alludes to 'public participation/consultation or consolidation of suggestions and objections without specifying the mode for the same
</t>
  </si>
  <si>
    <t xml:space="preserve">11</t>
  </si>
  <si>
    <t xml:space="preserve">UPD19</t>
  </si>
  <si>
    <t xml:space="preserve">UPD11</t>
  </si>
  <si>
    <t xml:space="preserve">Is there public scrutiny for (including objections and responses) municipal/city plan?</t>
  </si>
  <si>
    <t xml:space="preserve">11a</t>
  </si>
  <si>
    <t xml:space="preserve">UPD34a</t>
  </si>
  <si>
    <t xml:space="preserve">Does the law mandate public scrutiny for (including objections and responses) municipal/city plan through Area Sabhas / Ward Sabhas and other means?</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</si>
  <si>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</si>
  <si>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11b</t>
  </si>
  <si>
    <t xml:space="preserve">UPD34b</t>
  </si>
  <si>
    <t xml:space="preserve">Was the public scrutiny undertaken for (including objections and responses) municipal/city plan?</t>
  </si>
  <si>
    <t xml:space="preserve">Check Development Authority/ULG websites (as applicable) for consultation minutes/details/notifcations for inviting suggestions; newspaper reports; and the municipal/city plan for evidence of public scrutiny. If such evidence is found, score 5.</t>
  </si>
  <si>
    <t xml:space="preserve">12</t>
  </si>
  <si>
    <t xml:space="preserve">Plan modification and implementation review</t>
  </si>
  <si>
    <t xml:space="preserve">Review the applicable State Town Planning Act.
Score 10: The law mandates periodic review and revision of the municipal/city plan, specifies a review/revision timeline and responsible authority, and requires corresponding review and revision of the DCRs, where necessary, following municipal/city plan revision.
Score 2.5 for each component and enter the sum if there are multiple components - 
1. The law mandates periodic review and revision of the municipal/city plan ((alluding to the revision or creation of a new plan say after ten years) to the municipal/city plans shall not be considered).
2. Specifies a review/revision timeline 
3. Specifies for responsible authority
4. Requires corresponding review and revision of the DCRs following municipal/city plan revision</t>
  </si>
  <si>
    <t xml:space="preserve">13</t>
  </si>
  <si>
    <t xml:space="preserve">UPD13</t>
  </si>
  <si>
    <t xml:space="preserve">Municipal/City Plan objectives and contents</t>
  </si>
  <si>
    <t xml:space="preserve">Statutory requirements for plan content</t>
  </si>
  <si>
    <t xml:space="preserve">Does the T&amp;CP Act mandate the planning for:  </t>
  </si>
  <si>
    <t xml:space="preserve">NA- question already covered in ASICS 2017</t>
  </si>
  <si>
    <t xml:space="preserve">Check the T&amp;CP and other relevant acts as prescribed below:</t>
  </si>
  <si>
    <t xml:space="preserve">13a</t>
  </si>
  <si>
    <t xml:space="preserve">a) Water Supply/ Sewerage, Sanitation and Solid Waste Management </t>
  </si>
  <si>
    <t xml:space="preserve">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
Provisions that make such a plan optional with 'may' provision shall not be considered. </t>
  </si>
  <si>
    <t xml:space="preserve">13b</t>
  </si>
  <si>
    <t xml:space="preserve">b) Disaster Resilience</t>
  </si>
  <si>
    <t xml:space="preserve">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t>
  </si>
  <si>
    <t xml:space="preserve">13c</t>
  </si>
  <si>
    <t xml:space="preserve">c) Comprehensive mobility</t>
  </si>
  <si>
    <t xml:space="preserve">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t>
  </si>
  <si>
    <t xml:space="preserve">13d</t>
  </si>
  <si>
    <t xml:space="preserve">d) Sustainability/Climate/Environmental conservation</t>
  </si>
  <si>
    <t xml:space="preserve">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t>
  </si>
  <si>
    <t xml:space="preserve">13e</t>
  </si>
  <si>
    <t xml:space="preserve">e) Heritage conservation</t>
  </si>
  <si>
    <t xml:space="preserve">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t>
  </si>
  <si>
    <t xml:space="preserve">13f</t>
  </si>
  <si>
    <t xml:space="preserve">f) Social Development        </t>
  </si>
  <si>
    <t xml:space="preserve">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</si>
  <si>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14</t>
  </si>
  <si>
    <t xml:space="preserve">UPD14</t>
  </si>
  <si>
    <t xml:space="preserve">Municipal/City Plan status, hierarchy and coordination</t>
  </si>
  <si>
    <t xml:space="preserve">Existence of Municipal/City Plans at each level</t>
  </si>
  <si>
    <t xml:space="preserve">Are the spatial plans at the Metropolitan/Regional, Municipal and Ward(s) /Local level notified?</t>
  </si>
  <si>
    <t xml:space="preserve">The existence of such a document or map should be notified in respective state gazettes</t>
  </si>
  <si>
    <t xml:space="preserve">14a</t>
  </si>
  <si>
    <t xml:space="preserve">Is there a Metropolitan/Regional Plan?</t>
  </si>
  <si>
    <t xml:space="preserve">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t>
  </si>
  <si>
    <t xml:space="preserve">Note: Please ensure an existence of a notified document of the plan. Maps alone will not make the cut</t>
  </si>
  <si>
    <t xml:space="preserve">14b</t>
  </si>
  <si>
    <t xml:space="preserve">Is there Municipal/City Plan?</t>
  </si>
  <si>
    <t xml:space="preserve">Document should mention the word municipal/development/city plan or municipal/city plan. Check the website of the urban development authority or ULG website or T&amp;CP Dept. Score 3.33 if any of these apply, else, 0. </t>
  </si>
  <si>
    <t xml:space="preserve">14c</t>
  </si>
  <si>
    <t xml:space="preserve">Is there a Ward(s) /Local area/ neighbourhood Plan?</t>
  </si>
  <si>
    <t xml:space="preserve"> Document should mention the word ward development plan/zonal plan/local area plan. This can exist as a standalone document or spatial plans or map.  Score 3.33 if any of these apply, else, 0. </t>
  </si>
  <si>
    <t xml:space="preserve">15</t>
  </si>
  <si>
    <t xml:space="preserve">Validity of Municipal/City Plans</t>
  </si>
  <si>
    <t xml:space="preserve">Review the applicable municipal/ city plan to identify the valid period, and the gazette notification date of the current and immediately preceding municipal/city plan 
Score 10 — notified within the statutory period
Score 0 — municipal/city plans that have lapsed and have not been replaced by a new municipal/city plan should be  treated as ‘no municipal/city plans/inactive municipal/city plans.
The scorer to capture in the scoring sheet the amount of time (in months) that has been passed since the end of the validity period
</t>
  </si>
  <si>
    <t xml:space="preserve">16</t>
  </si>
  <si>
    <t xml:space="preserve">Alignment across planning levels</t>
  </si>
  <si>
    <t xml:space="preserve"> Are the spatial plans at the Metropolitan/Regional, Municipal and Ward(s) /Local level in a concurrent or nested timeline of validity?</t>
  </si>
  <si>
    <t xml:space="preserve">Check whether the validity periods of the metropolitan/regional, municipal/city, and ward/zonal/local area/neighbourhood-level spatial plans align, ensuring that lower-level plans do not extend beyond the metropolitan/regional plan's validity.</t>
  </si>
  <si>
    <t xml:space="preserve">16a</t>
  </si>
  <si>
    <t xml:space="preserve">Is the Metropolitan/Regional plan in a concurrent or nested timeline of validity with municipal plan?</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</si>
  <si>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t>
  </si>
  <si>
    <t xml:space="preserve">16b</t>
  </si>
  <si>
    <t xml:space="preserve">Is the Municipal municipal/city plan in a concurrent or nested timeline of validity with Ward municipal/city plan?</t>
  </si>
  <si>
    <t xml:space="preserve">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t>
  </si>
  <si>
    <t xml:space="preserve">17</t>
  </si>
  <si>
    <t xml:space="preserve">Inter-agency coordination and integration</t>
  </si>
  <si>
    <t xml:space="preserve">Do the municipal/city plans at each level, integrate the plans and priorities of various sectoral public departments and agencies? </t>
  </si>
  <si>
    <t xml:space="preserve">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t>
  </si>
  <si>
    <t xml:space="preserve">18</t>
  </si>
  <si>
    <t xml:space="preserve">UPD27</t>
  </si>
  <si>
    <t xml:space="preserve">Objectives of the Municipal/City Plan</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</si>
  <si>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</si>
  <si>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19</t>
  </si>
  <si>
    <t xml:space="preserve">UPD28</t>
  </si>
  <si>
    <t xml:space="preserve">Does the municipal/city plan include objectives on environment and heritage conservation?</t>
  </si>
  <si>
    <t xml:space="preserve">Sum of the sub-questions below - </t>
  </si>
  <si>
    <t xml:space="preserve">19a</t>
  </si>
  <si>
    <t xml:space="preserve">a) Environmental Conservation </t>
  </si>
  <si>
    <t xml:space="preserve">Check whether the municipal/city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</si>
  <si>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19b</t>
  </si>
  <si>
    <t xml:space="preserve">b) Heritage Conservation </t>
  </si>
  <si>
    <t xml:space="preserve">Check whether the municipal/city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t>
  </si>
  <si>
    <t xml:space="preserve">20</t>
  </si>
  <si>
    <t xml:space="preserve">UPD29</t>
  </si>
  <si>
    <t xml:space="preserve">UPD 11f</t>
  </si>
  <si>
    <t xml:space="preserve">UPD20</t>
  </si>
  <si>
    <t xml:space="preserve">Does the municipal/city plan include objectives on social development (health care, education)?</t>
  </si>
  <si>
    <t xml:space="preserve">Check whether the municipal/city plan identifies clear priorities, interventions and measurable targets/outcomes across the following three components:</t>
  </si>
  <si>
    <t xml:space="preserve">20a</t>
  </si>
  <si>
    <t xml:space="preserve">a) Education </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</si>
  <si>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</si>
  <si>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20b</t>
  </si>
  <si>
    <t xml:space="preserve">b) Healthcare</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</si>
  <si>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</si>
  <si>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20c</t>
  </si>
  <si>
    <t xml:space="preserve">c) Affordable housing </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</si>
  <si>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</si>
  <si>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21</t>
  </si>
  <si>
    <t xml:space="preserve"> NA</t>
  </si>
  <si>
    <t xml:space="preserve">Check whether the municipal/city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
Score 5: The municipal/city identifies  atleast two or more clear priorities relating to women’s inclusion and associated interventions/actions, but does not provide measurable targets/outcome indicators.
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</si>
  <si>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22</t>
  </si>
  <si>
    <t xml:space="preserve">Shared spatial information and data coordination</t>
  </si>
  <si>
    <t xml:space="preserve">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t>
  </si>
  <si>
    <t xml:space="preserve">23</t>
  </si>
  <si>
    <t xml:space="preserve">UPD23</t>
  </si>
  <si>
    <t xml:space="preserve">Sectoral planning</t>
  </si>
  <si>
    <t xml:space="preserve">Water supply and sewerage, sanitation, solid waste management </t>
  </si>
  <si>
    <t xml:space="preserve">Does the city have a Water Supply and Sewerage Plan, City Sanitation Plan, and Solid Waste Management Plan  that clearly articulates development priorities, measurable objectives, and the roles and responsibilities of the ULG?</t>
  </si>
  <si>
    <t xml:space="preserve">Sum of the sub-questions below </t>
  </si>
  <si>
    <t xml:space="preserve">23a</t>
  </si>
  <si>
    <t xml:space="preserve">Does the city have a notified and active Plan?</t>
  </si>
  <si>
    <t xml:space="preserve">Check the ULG website, relevant parastatal/sectoral agency website, master plan and other official government sources for the existence of the relevant plan.
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t>
  </si>
  <si>
    <t xml:space="preserve">23a1</t>
  </si>
  <si>
    <t xml:space="preserve">UPD23a1</t>
  </si>
  <si>
    <t xml:space="preserve">a) Water Supply and Sewerage Plan</t>
  </si>
  <si>
    <t xml:space="preserve">SQ1</t>
  </si>
  <si>
    <t xml:space="preserve">Use the methodology provided above</t>
  </si>
  <si>
    <t xml:space="preserve">23a2</t>
  </si>
  <si>
    <t xml:space="preserve">UPD23a2</t>
  </si>
  <si>
    <t xml:space="preserve">b) Solid Waste Management Plan </t>
  </si>
  <si>
    <t xml:space="preserve">SQ2</t>
  </si>
  <si>
    <t xml:space="preserve">23a3</t>
  </si>
  <si>
    <t xml:space="preserve">UPD23a3</t>
  </si>
  <si>
    <t xml:space="preserve">c)  City Sanitation Plan</t>
  </si>
  <si>
    <t xml:space="preserve">SQ3</t>
  </si>
  <si>
    <t xml:space="preserve">23b</t>
  </si>
  <si>
    <t xml:space="preserve">Does the plan have development priorities and measureable objectives?</t>
  </si>
  <si>
    <t xml:space="preserve">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t>
  </si>
  <si>
    <t xml:space="preserve">23b1</t>
  </si>
  <si>
    <t xml:space="preserve">UPD23b1</t>
  </si>
  <si>
    <t xml:space="preserve">23b2</t>
  </si>
  <si>
    <t xml:space="preserve">UPD23b2</t>
  </si>
  <si>
    <t xml:space="preserve">23b3</t>
  </si>
  <si>
    <t xml:space="preserve">UPD23b3</t>
  </si>
  <si>
    <t xml:space="preserve">23c</t>
  </si>
  <si>
    <t xml:space="preserve">Does the plan clearly articulate the role of the ULG?</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</si>
  <si>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</si>
  <si>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23c1</t>
  </si>
  <si>
    <t xml:space="preserve">UPD23c1</t>
  </si>
  <si>
    <t xml:space="preserve">23c2</t>
  </si>
  <si>
    <t xml:space="preserve">UPD23c2</t>
  </si>
  <si>
    <t xml:space="preserve">23c3</t>
  </si>
  <si>
    <t xml:space="preserve">UPD23c3</t>
  </si>
  <si>
    <t xml:space="preserve">24</t>
  </si>
  <si>
    <t xml:space="preserve">UPD24</t>
  </si>
  <si>
    <t xml:space="preserve">Sustainability, resilience and climate action</t>
  </si>
  <si>
    <t xml:space="preserve">Does your city have a Sustainability/ Resilience Strategy/Climate Action Plan that clearly articulates development priorities, measurable objectives, and the roles and responsibilities of the ULG?</t>
  </si>
  <si>
    <t xml:space="preserve">24a</t>
  </si>
  <si>
    <t xml:space="preserve">Does the city have a notified and active Sustainability/Resilience Strategy?</t>
  </si>
  <si>
    <t xml:space="preserve">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t>
  </si>
  <si>
    <t xml:space="preserve">Note: Independent consultant's report/academic reports will not be considered.</t>
  </si>
  <si>
    <t xml:space="preserve">24b</t>
  </si>
  <si>
    <t xml:space="preserve">Does the plan have development priorities and measurable objectives?</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</si>
  <si>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3.33 if the plan identifies atleast two or more clear priorities and includes measurable objectives or targets against those priorities; score 0 otherwise.</t>
  </si>
  <si>
    <t xml:space="preserve">24c</t>
  </si>
  <si>
    <t xml:space="preserve">Score 3.33 where the plan clearly articulates the role/responsibilities of the ULG in its preparation/implementation; score 0 otherwise.</t>
  </si>
  <si>
    <t xml:space="preserve">25</t>
  </si>
  <si>
    <t xml:space="preserve">UPD25</t>
  </si>
  <si>
    <t xml:space="preserve">Comprehensive mobility planning</t>
  </si>
  <si>
    <t xml:space="preserve">Does your city have a Comprehensive Mobility Plan that clearly articulates development priorities, measurable objectives, and the roles and responsibilities of the ULG?</t>
  </si>
  <si>
    <t xml:space="preserve">25a</t>
  </si>
  <si>
    <t xml:space="preserve">Does the city have a notified and active Comprehensive Mobility Plan?</t>
  </si>
  <si>
    <t xml:space="preserve">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</si>
  <si>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25b</t>
  </si>
  <si>
    <t xml:space="preserve">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
A general statement of intent, such as improving mobility, promoting public transport or reducing congestion, without identifiable priorities and measurable objectives or targets, shall not qualify.
Score 3.33 if the CMP identifies atleast two or more clear priorities and includes measurable objectives or targets against those priorities; score 0 otherwise.</t>
  </si>
  <si>
    <t xml:space="preserve">25c</t>
  </si>
  <si>
    <t xml:space="preserve">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
A passing mention of the ULG as a stakeholder, or a general reference to coordination among agencies, without specifying the ULG's role or responsibilities, shall not qualify.
Score 3.3 if the CMP clearly articulates the roles and responsibilities of the ULG in its preparation and/or implementation; score 0 otherwise.</t>
  </si>
  <si>
    <t xml:space="preserve">26</t>
  </si>
  <si>
    <t xml:space="preserve">UPD26</t>
  </si>
  <si>
    <t xml:space="preserve">Economic development planning</t>
  </si>
  <si>
    <t xml:space="preserve">Does your city have an Economic Vision Plan that clearly articulates development priorities, measurable objectives, and the roles and responsibilities of the ULG?</t>
  </si>
  <si>
    <t xml:space="preserve">26a</t>
  </si>
  <si>
    <t xml:space="preserve">Does the city have a notified and active Economic Vision Plan?</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</si>
  <si>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municipal/city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</si>
  <si>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26b</t>
  </si>
  <si>
    <t xml:space="preserve">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t>
  </si>
  <si>
    <t xml:space="preserve">26c</t>
  </si>
  <si>
    <t xml:space="preserve">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t>
  </si>
  <si>
    <t xml:space="preserve">27</t>
  </si>
  <si>
    <t xml:space="preserve">Specialised institutional capacity</t>
  </si>
  <si>
    <t xml:space="preserve">Does the city have adequate and representative professional town-planning capacity?</t>
  </si>
  <si>
    <t xml:space="preserve">27a</t>
  </si>
  <si>
    <t xml:space="preserve">Does the city have adequate professional town-planning capacity?</t>
  </si>
  <si>
    <t xml:space="preserve">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
Score = (Town planners per lakh population in the city ÷ Highest town planners per lakh population among cities assessed) × 5
For example, if the highest-performing city has 2 planners/lakh, a city with 1.5 planners/lakh scores 3.75, and one with 1 planner/lakh scores 2.5.</t>
  </si>
  <si>
    <t xml:space="preserve">Scorer comment - 
Record in the score sheet, separately for the ULG and Development/Planning Authority: total sanctioned town-planner positions; total filled positions; vacancies and vacancy rate; women and men among filled positions; and town planners per lakh population.</t>
  </si>
  <si>
    <t xml:space="preserve">27b</t>
  </si>
  <si>
    <t xml:space="preserve">What proportion of the city's professional town-planning workforce is women?</t>
  </si>
  <si>
    <t xml:space="preserve">Compute women town planners as a proportion of the total filled qualified town-planner positions across the ULG and, where applicable, the Development/Planning Authority staff attributable to the city, using the latest available staffing data.
% women town planners = (Number of women town planners ÷ Total filled qualified town-planner positions) × 100
Scoring bands:
Score 5 — women constitute ≥33% of the professional town-planning workforce
Score 2.5 — women constitute 15–32%
Score 0 — women constitute &lt;15%</t>
  </si>
  <si>
    <t xml:space="preserve">Note: Record, wherever available, the proportion of women among senior/decision-making town-planning positions.</t>
  </si>
  <si>
    <t xml:space="preserve">28</t>
  </si>
  <si>
    <t xml:space="preserve">Does the city have dedicated institutional cells/units for specialised functions?</t>
  </si>
  <si>
    <t xml:space="preserve">Score 10, assessed through 4 sub-questions of 2.5 each: an Urban Design Cell; a Climate Action/Sustainability/Disaster Management Cell; an Economic Development Cell; and a dedicated Women's Welfare/Development Cell</t>
  </si>
  <si>
    <t xml:space="preserve">28a</t>
  </si>
  <si>
    <t xml:space="preserve">Urban design</t>
  </si>
  <si>
    <t xml:space="preserve">Does the city have an Urban Design Cell?</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</si>
  <si>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t>
  </si>
  <si>
    <t xml:space="preserve">28b</t>
  </si>
  <si>
    <t xml:space="preserve">Does the city have dedicated institutional capacity to undertake specialised planning and development functions?</t>
  </si>
  <si>
    <t xml:space="preserve">Climate</t>
  </si>
  <si>
    <t xml:space="preserve">Does the city have a Climate Action/Sustainability/Disaster Management Cell?</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</si>
  <si>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t>
  </si>
  <si>
    <t xml:space="preserve">28c</t>
  </si>
  <si>
    <t xml:space="preserve">Economic development</t>
  </si>
  <si>
    <t xml:space="preserve">Does the city have an Economic Develepment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</si>
  <si>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</si>
  <si>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28d</t>
  </si>
  <si>
    <t xml:space="preserve">Women's welfare or development</t>
  </si>
  <si>
    <t xml:space="preserve">Does the city have a dedicated Women's Welfare/Development Cell?</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</si>
  <si>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t>
  </si>
  <si>
    <t xml:space="preserve">29</t>
  </si>
  <si>
    <t xml:space="preserve">Urban design, accessibility and parking</t>
  </si>
  <si>
    <t xml:space="preserve">Urban design standards and universal accessibility</t>
  </si>
  <si>
    <t xml:space="preserve">Are there prescribed urban design standards to guide the execution of urban projects, including standards for universal accessibility?</t>
  </si>
  <si>
    <t xml:space="preserve">29a</t>
  </si>
  <si>
    <t xml:space="preserve">Does the law mandate comprehensive urban design standards and universal accessibility?</t>
  </si>
  <si>
    <t xml:space="preserve">Check whether the applicable T&amp;CP Act or Municipal Act provides for urban design standards/guidelines for the planning, design or execution of urban development across the following four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For each of the five categories, check whether the applicable law mandates or enables urban design standards/guidelines for the planning, design or execution of urban development.
For each category, score as follows:
Score 1: Where the law uses mandatory language (e.g., “shall”) requiring the preparation, prescription, adoption or application of urban design standards/guidelines.
Score 0.5: Where the law uses enabling/discretionary language (e.g., “may”) permitting the preparation, prescription, adoption or application of such standards/guidelines.
Score 0: Where there is no such provision.
Maximum score: 5 points (5 categories × 1 point).
A general power to regulate development, without a specific provision for relevant design standards/guidelines, shall not qualify.</t>
  </si>
  <si>
    <t xml:space="preserve">29b</t>
  </si>
  <si>
    <t xml:space="preserve">Does the city have urban design standards to guide the execution of urban projects?</t>
  </si>
  <si>
    <t xml:space="preserve">Check whether the city has adopted/notified urban design standards or guidelines for the planning, design or execution of urban development across the following five categories:
1. Roads and streetscapes – including different categories/hierarchies of urban roads.
2. Footpaths/pedestrian infrastructure.
3. Underground public utilities – including water supply, sewerage, storm-water drainage, electricity, telecommunications/internet and gas.
4. Buit form based codes - build to line, minimum frontage, floor heights, building material etc.
5. Universal accessibility
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t>
  </si>
  <si>
    <t xml:space="preserve">30</t>
  </si>
  <si>
    <t xml:space="preserve">UPD30</t>
  </si>
  <si>
    <t xml:space="preserve">Parking policy</t>
  </si>
  <si>
    <t xml:space="preserve">Does the city have a parking policy? </t>
  </si>
  <si>
    <t xml:space="preserve">30a</t>
  </si>
  <si>
    <t xml:space="preserve">Is there a clear mandate in the law for a parking policy?</t>
  </si>
  <si>
    <t xml:space="preserve">Check whether the applicable T&amp;CP Act or Municipal Act mandates the ULG to prepare and/or adopt a standalone parking policy or parking management policy.
A general provision prescribing parking standards for individual buildings/developments, or empowering the ULG to regulate parking, shall not qualify. The law must specifically provide for the preparation/adoption of a city-level parking policy.
Distinguish between mandatory and enabling provisions:
Score 5 where the law uses mandatory language (e.g., “shall”) requiring the ULG/city to prepare or adopt a standalone Parking Policy/Parking Management Policy.
Score 2.5 where the law uses enabling/discretionary language (e.g., “may”) permitting the ULG/city to prepare or adopt such a policy.
Score 0 where there is no such statutory provision.</t>
  </si>
  <si>
    <t xml:space="preserve">30b</t>
  </si>
  <si>
    <t xml:space="preserve">Has the parking policy been implemented?</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</si>
  <si>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t>
  </si>
  <si>
    <t xml:space="preserve">Note: Score this question independently of the legal mandate. A city may score 5 on this question even where there is no legal mandate for a parking policy.</t>
  </si>
  <si>
    <t xml:space="preserve">31</t>
  </si>
  <si>
    <t xml:space="preserve">Development Control Regulations and land-management instruments</t>
  </si>
  <si>
    <t xml:space="preserve">Applicability and currency of DCRs</t>
  </si>
  <si>
    <t xml:space="preserve">Law or Policy &amp; Implementation</t>
  </si>
  <si>
    <t xml:space="preserve">Check the applicable DCR to determine whether a city-specific DCR applies. Evidence can be present on the websites of the ULG/Development Authority/T&amp;CP/UDD Department.
Score 10 — A city-specific DCR is applicable to the city.
Score 0 — The city relies on a generic/state-wide DCR and does not have a city-specific DCR.
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t>
  </si>
  <si>
    <t xml:space="preserve">32</t>
  </si>
  <si>
    <t xml:space="preserve">UPD32</t>
  </si>
  <si>
    <t xml:space="preserve">DCR revision and public consultation</t>
  </si>
  <si>
    <t xml:space="preserve">Does the city’s DCR provide development controls, standards or incentives that enable positive economic, environmental, public health, heritage, and inclusion outcomes?</t>
  </si>
  <si>
    <t xml:space="preserve">For each dimension, assess whether the DCR contains specific development controls, standards, relaxations, permissions or incentives that enable or promote the identified outcome.
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
Total score = sum of the five sub-question scores (2*5=10).
</t>
  </si>
  <si>
    <t xml:space="preserve">32a</t>
  </si>
  <si>
    <t xml:space="preserve">Do the DCRs provide development controls, standards or incentives that enable different types and scales of economic activity?</t>
  </si>
  <si>
    <t xml:space="preserve">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
Score 1: Two or more Economic activities are provided for through conventional land-use zoning/permissible-use provisions, but no specific enabling or incentivising development provision is found.
Score 0: No relevant provision addressing economic activity is found.
(For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t>
  </si>
  <si>
    <t xml:space="preserve">32b</t>
  </si>
  <si>
    <t xml:space="preserve">Do the DCRs provide development controls, standards or incentives that improve access, safety, affordability and development outcomes for women and the urban poor?</t>
  </si>
  <si>
    <t xml:space="preserve">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
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
For example: Additional FAR/FSI or relaxed development standards for EWS/affordable housing would qualify as a provision for the urban poor. Specific design requirements addressing women's safety or access would qualify as a provision for women.
Keywords for scorer:
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
Women: women; woman; female; gender; gender responsive; gender sensitive; women safety; safety; safe access; lighting; visibility; toilet for women; female toilet; sanitary facility; childcare; crèche; public space; public realm.</t>
  </si>
  <si>
    <t xml:space="preserve">Note: Please capture the text that mentions the broad provisions related to the theme and the incentives it offers clearly </t>
  </si>
  <si>
    <t xml:space="preserve">32c</t>
  </si>
  <si>
    <t xml:space="preserve">Do the DCRs provide development controls, standards or incentives that promote environmental sustainability and climate resilience?</t>
  </si>
  <si>
    <t xml:space="preserve">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
Score 1: The DCR protects environmentally sensitive/climate-vulnerable areas or imposes environmental restrictions, but does not contain a clear enabling/incentive provision.
Score 0 — No relevant environmental or climate-related development provision is found.
Note: A generic requirement to obtain environmental clearance based on project size does not, by itself, qualify as an enabling environmental/climate provision.
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t>
  </si>
  <si>
    <t xml:space="preserve">Note: Capture the text that mentions the broad provisions related to the theme and the incentives it offers</t>
  </si>
  <si>
    <t xml:space="preserve">32d</t>
  </si>
  <si>
    <t xml:space="preserve">Do the DCRs provide development controls or standards that promote positive public-health outcomes?</t>
  </si>
  <si>
    <t xml:space="preserve">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
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
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
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t>
  </si>
  <si>
    <t xml:space="preserve">32e</t>
  </si>
  <si>
    <t xml:space="preserve">Do the DCRs provide development controls, standards or incentives that enable the conservation and adaptive reuse of heritage buildings, precincts or historic areas?</t>
  </si>
  <si>
    <t xml:space="preserve">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t>
  </si>
  <si>
    <t xml:space="preserve">33</t>
  </si>
  <si>
    <t xml:space="preserve">Green-building incentives</t>
  </si>
  <si>
    <t xml:space="preserve">Does the city have a mandate to provide incentives for green buildings, and are these incentives operationalised?</t>
  </si>
  <si>
    <t xml:space="preserve">Sum of the sub-questions below</t>
  </si>
  <si>
    <t xml:space="preserve">33a</t>
  </si>
  <si>
    <t xml:space="preserve">Does the law mandate incentives for green buildings ?</t>
  </si>
  <si>
    <t xml:space="preserve">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
Score 5 if the Act provides a clear mandate or enabling provision for green-building incentives, even if the specific incentives are to be prescribed subsequently through rules, regulations or other instruments. Score 0 otherwise.</t>
  </si>
  <si>
    <t xml:space="preserve">33b</t>
  </si>
  <si>
    <t xml:space="preserve">Does your city give incentives for green buildings ?</t>
  </si>
  <si>
    <t xml:space="preserve">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</si>
  <si>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34</t>
  </si>
  <si>
    <t xml:space="preserve">Land-management instruments</t>
  </si>
  <si>
    <t xml:space="preserve">Part A – Legal/Policy Provision
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
Where the framework is provided through an Act, check whether the rules/regulations necessary to operationalise the land titling framework have been notified.
Scoring:
Score 10: Land titling is provided through an Act and the necessary rules/regulations have been notified; OR an applicable Government Order/circular/notification establishes an operational framework that does not require separate rules.
Score 5: A land titling Act has been enacted, but the necessary rules/regulations have not been notified.
Score 0: No land titling law or applicable Government Order/circular/notification exists.</t>
  </si>
  <si>
    <t xml:space="preserve">35</t>
  </si>
  <si>
    <t xml:space="preserve">Part A – Legal/Policy Provision
Check whether the State has enacted legislation or issued a Government Order/circular/notification providing for a land assembly/reconstitution mechanism such as:
a. Town Planning Scheme (TPS)/land reconstitution; or
b. Land pooling.
Score 5 if at least one such mechanism is formally provided for through legislation or an applicable Government Order/circular/notification. Score 0 otherwise.
Part B – Operationalisation
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t>
  </si>
  <si>
    <t xml:space="preserve">Note: Record separately whether the applicable mechanism is TPS/land reconstitution, land pooling, or both. </t>
  </si>
  <si>
    <t xml:space="preserve">36</t>
  </si>
  <si>
    <t xml:space="preserve">Development Compliance</t>
  </si>
  <si>
    <t xml:space="preserve">Development approvals</t>
  </si>
  <si>
    <t xml:space="preserve">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t>
  </si>
  <si>
    <t xml:space="preserve">37</t>
  </si>
  <si>
    <t xml:space="preserve">Enforcement</t>
  </si>
  <si>
    <t xml:space="preserve">Law or Policy/Implementation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</si>
  <si>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10 only if all four of the above aspects are met
Score 0 otherwise.</t>
  </si>
  <si>
    <t xml:space="preserve">38</t>
  </si>
  <si>
    <t xml:space="preserve">UPD38</t>
  </si>
  <si>
    <t xml:space="preserve">Construction monitoring</t>
  </si>
  <si>
    <t xml:space="preserve">Does the law mandate mechanisms for monitoring ongoing construction/development projects for compliance with approved plans and permissions?  </t>
  </si>
  <si>
    <t xml:space="preserve">38a</t>
  </si>
  <si>
    <t xml:space="preserve">Does the law mandate a system for monitoring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</si>
  <si>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</si>
  <si>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38b</t>
  </si>
  <si>
    <t xml:space="preserve">Has a system for monitoring ongoing construction/projects for possible violations been implemented?</t>
  </si>
  <si>
    <t xml:space="preserve">Check the ULG/Development Authority websites whether the monitoring process includes all of the following:
1.Online self-assessment/reporting of construction progress, including uploading photographs and requisite compliance documents
2. Periodic ground surveys/inspections of approved projects, covering either all projects or a defined sample
3. Public disclosure of monitoring information, including compliance numbers/status, violations registered and action taken.
Score 5 if all three elements are operational.
Score 0 otherwise.</t>
  </si>
  <si>
    <t xml:space="preserve">39</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</si>
  <si>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</si>
  <si>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</si>
  <si>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Please give the text of the provisions in the scorer comment's column in the scoresheet</t>
  </si>
  <si>
    <t xml:space="preserve"> </t>
  </si>
  <si>
    <t xml:space="preserve">Ahmedabad</t>
  </si>
  <si>
    <t xml:space="preserve">Bhopal</t>
  </si>
  <si>
    <t xml:space="preserve">Bhubaneswar</t>
  </si>
  <si>
    <t xml:space="preserve">Chandigarh</t>
  </si>
  <si>
    <t xml:space="preserve">Chennai</t>
  </si>
  <si>
    <t xml:space="preserve">Dehradun</t>
  </si>
  <si>
    <t xml:space="preserve">Delhi</t>
  </si>
  <si>
    <t xml:space="preserve">Guwahati</t>
  </si>
  <si>
    <t xml:space="preserve">Hyderabad</t>
  </si>
  <si>
    <t xml:space="preserve">Jaipur</t>
  </si>
  <si>
    <t xml:space="preserve">Kanpur</t>
  </si>
  <si>
    <t xml:space="preserve">Kolkata</t>
  </si>
  <si>
    <t xml:space="preserve">Lucknow</t>
  </si>
  <si>
    <t xml:space="preserve">Ludhiana</t>
  </si>
  <si>
    <t xml:space="preserve">Mumbai</t>
  </si>
  <si>
    <t xml:space="preserve">Patna</t>
  </si>
  <si>
    <t xml:space="preserve">Pune</t>
  </si>
  <si>
    <t xml:space="preserve">Raipur</t>
  </si>
  <si>
    <t xml:space="preserve">Ranchi</t>
  </si>
  <si>
    <t xml:space="preserve">Surat</t>
  </si>
  <si>
    <t xml:space="preserve">Thiruvananthapuram</t>
  </si>
  <si>
    <t xml:space="preserve">Visakhapatnam</t>
  </si>
  <si>
    <t xml:space="preserve">Solan</t>
  </si>
  <si>
    <t xml:space="preserve">Panaji</t>
  </si>
  <si>
    <t xml:space="preserve">Agartala</t>
  </si>
  <si>
    <t xml:space="preserve">New York</t>
  </si>
  <si>
    <t xml:space="preserve">London</t>
  </si>
  <si>
    <t xml:space="preserve">Johannesburg</t>
  </si>
  <si>
    <t xml:space="preserve">ENTER</t>
  </si>
  <si>
    <t xml:space="preserve">Derived</t>
  </si>
  <si>
    <t xml:space="preserve">UPD_Scores</t>
  </si>
  <si>
    <t xml:space="preserve">UPD_OVERALL_SCORE</t>
  </si>
  <si>
    <t xml:space="preserve">No. of MQs not yet scored ("?") - overall score is provisional while &gt; 0</t>
  </si>
  <si>
    <t xml:space="preserve">No. of MQs marked NA (excluded from overall score)</t>
  </si>
  <si>
    <t xml:space="preserve">Is there a provision for the establishment of Planning Authorties for notified new towns or special developments?</t>
  </si>
  <si>
    <t xml:space="preserve">Check if the T&amp;CP act has provisions for establishing a planning authority for new areas/towns notified. The state can also be considered, if the provision mandates the existing planning authority to develop a plan for the notified new area. </t>
  </si>
  <si>
    <t xml:space="preserve">The T&amp;CP act should mandate three levels of master plans. </t>
  </si>
  <si>
    <t xml:space="preserve">4a</t>
  </si>
  <si>
    <t xml:space="preserve">UPD4a</t>
  </si>
  <si>
    <t xml:space="preserve">4b</t>
  </si>
  <si>
    <t xml:space="preserve">UPD4b</t>
  </si>
  <si>
    <t xml:space="preserve">Check the T&amp;CP act for provisions that mandate the creation of a municipal/city master plan. Relevant urban areas development authority act can also be considered for evidence. </t>
  </si>
  <si>
    <t xml:space="preserve">4c</t>
  </si>
  <si>
    <t xml:space="preserve">UPD4c</t>
  </si>
  <si>
    <t xml:space="preserve">Check the T&amp;CP act for provisions that mandate the creation of a third tier of plan at the zone/ward level. Town planning schemes that are developed within the framework of the master plan shall not be considered. </t>
  </si>
  <si>
    <t xml:space="preserve">
 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
For example:
Entire ULG only = Score 10
Entire ULG + 10 complete Gram Panchayats = Score 10
Entire ULG + 15 complete revenue villages = Score 10
Entire ULG + 2 complete taluks = Score 10
ULG + only part of a Gram Panchayat/revenue village = Score 0
Planning boundary itself divides the ULG, leaving part of the ULG outside the plan = Score 0
Use the notification/text defining the planning area as the primary source.
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t>
  </si>
  <si>
    <t xml:space="preserve">Check with Shreya on the methodology and relevancy of the question </t>
  </si>
  <si>
    <t xml:space="preserve">Check the state T&amp;CP act for provisions that delineate a decentralised plan approval process. </t>
  </si>
  <si>
    <t xml:space="preserve">8a</t>
  </si>
  <si>
    <t xml:space="preserve">Check if the T&amp;CP act/metropolitan planning act mandates the metropolitan/regional plan to be approved by the state government.</t>
  </si>
  <si>
    <t xml:space="preserve">8b</t>
  </si>
  <si>
    <t xml:space="preserve">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master plan is to be approved by the state. </t>
  </si>
  <si>
    <t xml:space="preserve">8c</t>
  </si>
  <si>
    <t xml:space="preserve">Check if the T&amp;CP act mandates the zonal/ward plans to be approved by the ULG. </t>
  </si>
  <si>
    <t xml:space="preserve">Objectives of each level of master plans</t>
  </si>
  <si>
    <t xml:space="preserve">Check the T&amp;CP act for provisions that detail the objectives and contents of each level of spatial plan. The Act should broadly mention what each level of spatial plan should cover. 
Score 3.33 each for the objectives and contents of - 
1. Metropolitan/regional plan
2. Municipal/city plan
3. Ward(s)/local plan 
If the T&amp;CP act provides for all three, score 10. </t>
  </si>
  <si>
    <t xml:space="preserve">Check whether the State has notified the rules for the MPC/DPC applicable to the city. If yes, score 5.
MPC applies to metropolitan cities (~46 cities); DPC applies for non-metropolitan cities</t>
  </si>
  <si>
    <t xml:space="preserve">Split methodology into Part A - mandate (municipal act or T&amp;CP act) Part B  - Constitution of MPC, rules </t>
  </si>
  <si>
    <t xml:space="preserve">Have they met at least once a year?</t>
  </si>
  <si>
    <t xml:space="preserve">Check whether the MPC/DPC has met at least once in the past two years. Score 5 where there is evidence of meeting in the last two year.
Evidence: State UD/Municipal Administration department notifications/constitution orders/website; MPC/DPC meeting minutes, agendas or resolutions; MPC/DPC and metropolitan planning authority/development authority websites and RTIs.
</t>
  </si>
  <si>
    <t xml:space="preserve">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t>
  </si>
  <si>
    <t xml:space="preserve">Master plan preparation, participation and review</t>
  </si>
  <si>
    <t xml:space="preserve">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t>
  </si>
  <si>
    <t xml:space="preserve">Check if the T&amp;CP act mandates public participation in preparation of municipal/city plan through:
Part A: Formal platforms such as ward committees and area sabhas. If yes, score 2.50.
Part B: Other means* for municipal/city plan. If yes, score 2.50
*Even if the provision alludes to 'public participation/consultation or consolidation of suggestions and objections without specifying the mode for the same
</t>
  </si>
  <si>
    <t xml:space="preserve">Check if the T&amp;CP act mandates public scrutiny (including objections and responses) through:
Part A: Formal platforms such as ward committees and area sabhas. If yes, score 2.50.
Part B: Other means* for municipal/city plan. If yes, score 2.50
*Even if the provision alludes to 'public scrutiny/consultation or consolidation of suggestions and objections without specifying the mode for the same</t>
  </si>
  <si>
    <t xml:space="preserve">Check Development Authority/ULG websites (as applicable) for consultation minutes/details/notifcations for inviting suggestions; newspaper reports; and the municipal/city master plan for evidence of public scrutiny. If such evidence is found, score 5.</t>
  </si>
  <si>
    <t xml:space="preserve">Does the law mandate periodic review and revision of the notified Master Plan, including corresponding revisions to the Development Control Regulations (DCRs)?</t>
  </si>
  <si>
    <t xml:space="preserve">Review the applicable State Town Planning Act.
Score 10: The law mandates periodic review and revision of the Master Plan, specifies a review/revision timeline and responsible authority, and requires corresponding review and revision of the DCRs, where necessary, following Master Plan revision.
Score 2.5 for each component and enter the sum if there are multiple components - 
1. The law mandates periodic review and revision of the Master Plan ((alluding to the revision or creation of a new master plan say after ten years) to the master plans shall not be considered).
2. Specifies a review/revision timeline 
3. Specifies for responsible authority
4. Requires corresponding review and revision of the DCRs following master plan revision</t>
  </si>
  <si>
    <t xml:space="preserve">Master plan objectives and contents</t>
  </si>
  <si>
    <t xml:space="preserve">Does the TCP act mandate the planning for:  </t>
  </si>
  <si>
    <t xml:space="preserve">Check the T&amp;CP/Urban Development Authority (UDA)/allied acts for provisions that mandate the planning authority to prepare:                                                                                                                   1.Water Supply/sewerage plan or mandate to have a water supply component as part of the municipal/city master plan. Score: 0.55                                                                                                             2. City sanitation plan or mandate to have a sanitation component as part of the municipal/city master plan. Score: 0.55                                                                                                                                                                                                                                                            3.Solid Waste Management Plan or mandate to have a solid waste management as part of the municipal/city master plan Score: 0.55
Provisions that make such a plan optional with 'may' provision shall not be considered. </t>
  </si>
  <si>
    <t xml:space="preserve">11c</t>
  </si>
  <si>
    <t xml:space="preserve">UPD11c</t>
  </si>
  <si>
    <t xml:space="preserve">11d</t>
  </si>
  <si>
    <t xml:space="preserve">UPD11d</t>
  </si>
  <si>
    <t xml:space="preserve">11e</t>
  </si>
  <si>
    <t xml:space="preserve">UPD11e</t>
  </si>
  <si>
    <t xml:space="preserve">11f</t>
  </si>
  <si>
    <t xml:space="preserve">UPD11f</t>
  </si>
  <si>
    <t xml:space="preserve">Check the T&amp;CP/Urban Development Authority (UDA)/allied acts for provisions that mandate the planning authority to prepare a social development plan or mandate to have a social development component as part of the master plan. Provisions that make such a plan optional with 'may' provision shall not be considered. Check if the social development plan includes components on planning for health, education and affordable housing. Score each component in the following manner:
1.Public health. Score: 0.55                                                                                                             
2. Education. Score: 0.55                                                                                                                                                                                                                                                            3. Affordable housing Score: 0.55</t>
  </si>
  <si>
    <t xml:space="preserve">Master plan status, hierarchy and coordination</t>
  </si>
  <si>
    <t xml:space="preserve">Existence of master plans at each level</t>
  </si>
  <si>
    <t xml:space="preserve">Document should mention the word municipal/development/city plan or master plan. Check the website of the urban development authority or ULG website or T&amp;CP Dept. Score 3.33 if any of these apply, else, 0. </t>
  </si>
  <si>
    <t xml:space="preserve">Validity of master plans</t>
  </si>
  <si>
    <t xml:space="preserve">Review the applicable municipal/ city plan to identify the valid period, and the gazette notification date of the current and immediately preceding master plan 
Score 10 — notified within the statutory period
Score 0 — Master plans that have lapsed and have not been replaced by a new master plan should be  treated as ‘no master plans/inactive master plans.
The scorer to capture in the scoring sheet the amount of time (in months) that has been passed since the end of the validity period
</t>
  </si>
  <si>
    <t xml:space="preserve">22a</t>
  </si>
  <si>
    <t xml:space="preserve">UPD22a</t>
  </si>
  <si>
    <t xml:space="preserve">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Master plan should not extend beyond 2021. </t>
  </si>
  <si>
    <t xml:space="preserve">22b</t>
  </si>
  <si>
    <t xml:space="preserve">UPD22b</t>
  </si>
  <si>
    <t xml:space="preserve">Is the Municipal master plan in a concurrent or nested timeline of validity with Ward master plan?</t>
  </si>
  <si>
    <t xml:space="preserve">Check whether the validity periods of the municipal/city master plan and ward/local-level plans overlap and are aligned, such that the validity of the ward/local-level plan does not extend beyond that of the municipal/city master plan. 
For example: if the municipal master plan is valid from 2021–2041, the applicable ward/zonal/local-level plan should fall within and not extend beyond 2041.</t>
  </si>
  <si>
    <t xml:space="preserve">Do the master plans at each level, integrate the plans and priorities of various sectoral public departments and agencies? </t>
  </si>
  <si>
    <t xml:space="preserve">Check if creation of the master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master plan, or as MoM / notes on the planning authority's website. </t>
  </si>
  <si>
    <t xml:space="preserve">Objectives of the master plan</t>
  </si>
  <si>
    <t xml:space="preserve">Does the Master Plan include objectives on jobs and economy?</t>
  </si>
  <si>
    <t xml:space="preserve">Check whether the municipal/city plan identifies key economic development priorities and provides measurable targets/outcomes for them. These may include:
Increase in workforce participation.
Number of jobs to be generated across economic sectors.
Land identified/allocated for economic activities.
Number/area of enterprises, industries or commercial activities to be facilitated.
Provision of designated spaces/facilities for street vendors and other informal livelihoods.
Score based on whether the municipal/city plan contains both:
1. A clearly stated objective or priority in the Master Plan relating to the city’s economy, employment or livelihoods. This could include job creation, workforce participation, industrial/commercial development, informal livelihoods, economic clusters, markets, tourism, or allocating land/infrastructure to support economic activity.
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master plan does not identify clear economic development priorities and associated interventions. General or aspirational references to economic development, employment, jobs or livelihoods without clearly identified priorities and interventions shall not be considered for scoring.</t>
  </si>
  <si>
    <t xml:space="preserve">Does the Master Plan include objectives on environment and heritage conservation?</t>
  </si>
  <si>
    <t xml:space="preserve">Check whether the municipal/city master plan identifies clear priorities, interventions and measurable targets/outcomes across the following two components:
Natural Environment and Climate Resilience
These may include:
Protection, enhancement or increase of recreational and non-recreational green spaces, urban forests and natural habitats.
Conservation, restoration or revival of lakes, wetlands and other water bodies.
Protection of environmentally sensitive areas and natural assets through appropriate zoning, buffers or other development controls.
Increase in green cover, afforestation or reforestation.
Protection/restoration of biodiversity and ecologically significant areas.
Reduction in air, water and soil pollution.
Climate-change mitigation and adaptation, including reduction in greenhouse gas emissions.
Promotion of renewable energy and clean technologies.
Disaster-risk reduction and resilience of natural systems.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</si>
  <si>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Check whether the municipal/city master plan identifies clear priorities, interventions and measurable targets/outcomes across the following two components:                                                                       Heritage Conservation
These may include:
Identification and protection of heritage buildings, precincts, sites and other heritage assets.
Identification and protection of natural heritage and culturally significant landscapes.
Conservation, restoration or adaptive reuse of heritage buildings/sites.
Designation of heritage zones/precincts and appropriate development controls or buffer areas.
Protection of the character and built form of heritage areas.
Integration of heritage conservation with redevelopment and other development proposals.
Measurable targets for conservation, restoration or protection of identified heritage assets/precincts. 
For each component, score as follows:
Score 5: The municipal/city master plan identifies clear priorities and associated interventions/actions and provides measurable/quantifiable targets or outcome indicators.
Score 2.5: The municipal/city master plan identifies clear priorities and associated interventions/actions, but does not provide measurable targets/outcome indicators.
Score 0: The component is absent, or is referred to only in general/aspirational terms without clearly identified priorities and associated interventions.</t>
  </si>
  <si>
    <t xml:space="preserve">Does the Master Plan include objectives on social development (health care, education)?</t>
  </si>
  <si>
    <t xml:space="preserve">Check whether the municipal/city master plan identifies clear priorities, interventions and measurable targets/outcomes across the following three components:</t>
  </si>
  <si>
    <t xml:space="preserve">Education
These may include:
Coverage/accessibility of anganwadis and pre-primary facilities.
Availability of schools relative to population/service standards.
Accessibility of educational facilities, including for persons with disabilities.
Other measurable education-related service or accessibility outcomes.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</si>
  <si>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Healthcare
These may include:
Coverage/accessibility of dispensaries and primary healthcare facilities.
Coverage/accessibility of hospitals, maternity/child welfare centres, rehabilitation or diagnostic facilities.
Improvements in access to healthcare.
Public-health outcomes, including reduction in vector-borne diseases or other locally relevant health risks.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</si>
  <si>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Affordable housing
These may include:
Assessment of existing and projected affordable housing requirements.
Number/percentage of slums or inadequate settlements proposed for rehabilitation/upgradation.
Provision of affordable housing - Identification of land parcels.
Increase in affordable housing as a proportion of housing stock.
Access to livelihood opportunities, public transport and basic services.
For each component, score as follows:
Score: 3.33 - The municipal/city master plan identifies clear priorities and associated interventions/actions and provides measurable/quantifiable targets or outcome indicators.
Score: 1.67 -  If the municipal/city master plan identifies clear priorities and associated interventions/actions, but does not provide measurable targets/outcome indicators.
Score 0 if the component is absent, or is referred to only in general/aspirational terms without clearly identified priorities and associated interventions.</t>
  </si>
  <si>
    <t xml:space="preserve">Does the master plan include objectives for women?</t>
  </si>
  <si>
    <t xml:space="preserve">Check whether the municipal/city master plan identifies clear priorities, interventions and measurable targets/outcomes relating to women’s inclusion and access to the city.
These may include:
Economic participation and livelihoods: Measures to support women’s participation in formal and informal employment, including access to employment centres, markets, vending spaces and other livelihood opportunities.
Access to infrastructure and basic services: Equitable access to housing, water and sanitation, healthcare, education, childcare and other public services.
Mobility and accessibility: Safe and accessible public transport, walking and cycling infrastructure, and improved connectivity to employment and essential services.
Safety and public spaces: Measures to improve women’s safety and access to streets, public spaces, parks and other public facilities.
Care infrastructure: Provision and accessibility of childcare, care facilities and other infrastructure that supports women’s participation in economic and public life.
Score 10: The municipal/city master plan identifies clear priorities relating to women’s inclusion and associated interventions/actions and provides measurable/quantifiable targets or outcome indicators.
Score 5: The municipal/city master plan identifies clear priorities relating to women’s inclusion and associated interventions/actions, but does not provide measurable targets/outcome indicators.
Score 0: The municipal/city master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t>
  </si>
  <si>
    <t xml:space="preserve">Is there a common digital base master plan Map shared among Planning Authorities, and data updated through GIS with fixed periodicity by the relevent sectoral agencies (transport, network infrastructure, land use changes)</t>
  </si>
  <si>
    <t xml:space="preserve">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If the plan identifies atleast two of the above points score 3.3, else score 0. 
General statements of intent, such as improving sanitation, achieving universal water supply or creating a clean city, without identifiable priorities/interventions and measurable objectives or targets, shall not qualify.   </t>
  </si>
  <si>
    <t xml:space="preserve">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
A general reference to the ULG as a stakeholder or participating institution, without identifiable responsibilities, shall not qualify</t>
  </si>
  <si>
    <t xml:space="preserve">Check the master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master plan/DP) to be scored.  A Disaster Management Plan may also be considered as evidence.  If the plan/ strategy does exist  score 3.3, or score 0 otherwise.                                                                                                                                Note: A draft document. Independent consultant's report/academic /NGO reports will not be considered.</t>
  </si>
  <si>
    <t xml:space="preserve">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
A general statement of intent, such as becoming climate-resilient, sustainable or reducing emissions, without identifiable priorities and measurable objectives or targets, shall not qualify.
Score 3.3 if the plan identifies atleast two or more clear priorities and includes measurable objectives or targets against those priorities; score 0 otherwise.</t>
  </si>
  <si>
    <t xml:space="preserve">29c</t>
  </si>
  <si>
    <t xml:space="preserve">UPD29c</t>
  </si>
  <si>
    <t xml:space="preserve">Score 3.3 where the plan clearly articulates the role/responsibilities of the ULG in its preparation/implementation; score 0 otherwise.</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</si>
  <si>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
Check whether the city has a Comprehensive Mobility Plan (CMP) that has been formally adopted or approved by the competent authority, such as the UMTA, the Urban Development Department, Transport Department or the ULG/Council through a resolution. Sources may include the master plan, the ULB website, parastatal websites, and the UMTA or State Transport Department website.
A draft CMP, a consultant's report, or an unadopted study, without evidence of formal adoption or approval, shall not qualify.
Score 3.33 if the city has a CMP formally adopted or approved by the competent authority; score 0 otherwise.</t>
  </si>
  <si>
    <t xml:space="preserve">30c</t>
  </si>
  <si>
    <t xml:space="preserve">UPD30c</t>
  </si>
  <si>
    <t xml:space="preserve">31a</t>
  </si>
  <si>
    <t xml:space="preserve">UPD31a</t>
  </si>
  <si>
    <t xml:space="preserve">Check the municipal/city plan, ULG website, relevant parastatal website, or city/district website for the existence of an Economic Vision, Economic Development Plan or equivalent city-level economic strategy. The document must:
Be a final document; draft documents shall not be considered.
Be formally adopted/approved by the competent authority, evidenced through a Municipal Corporation/Council resolution, Government Order, formal approval by the competent authority, or integration into the statutory Master Plan/Development Plan.
Be currently active/applicable. Where the document specifies a validity or implementation period, the city must be within that period at the time of assessment. An expired or superseded plan shall not be considered.
Independent consultant reports, academic studies/reports, background studies or other documents that have not been formally adopted/approved by the competent authority shall not be considered.
Score 3.3 if the city has a final, formally adopted/approved and currently active/applicable Economic Vision, Economic Development Plan or equivalent city-level economic strategy that meets all the above conditions; score 0 otherwise.</t>
  </si>
  <si>
    <t xml:space="preserve">31b</t>
  </si>
  <si>
    <t xml:space="preserve">UPD31b</t>
  </si>
  <si>
    <t xml:space="preserve">31c</t>
  </si>
  <si>
    <t xml:space="preserve">UPD31c</t>
  </si>
  <si>
    <t xml:space="preserve">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10 if there is evidence that an Urban Design Cell/Unit/Vertical exists, including a qualifying shared State/district-level resource for towns below five lakh; score 0 otherwise.
 </t>
  </si>
  <si>
    <t xml:space="preserve">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10 if there is evidence that such a cell/unit/vertical exists and is functional for the city, including a qualifying shared state/district-level resource for towns below five lakh; score 0 otherwise.</t>
  </si>
  <si>
    <t xml:space="preserve">Does the city have an Economic Develeopment Cell ?</t>
  </si>
  <si>
    <t xml:space="preserve">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an economic development cell/unit/vertical exists and is functional for the city; score 0 otherwise.
Applicability: this indicator is applicable only to million-plus cities (population of 10 lakh or more). For all other cities, score NA. </t>
  </si>
  <si>
    <t xml:space="preserve">25d</t>
  </si>
  <si>
    <t xml:space="preserve">UPD25d</t>
  </si>
  <si>
    <t xml:space="preserve">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10 if there is evidence that a dedicated women’s welfare/development cell/unit/vertical exists and is functional for the city; score 0 otherwise.
Applicability: This indicator is applicable only to million-plus cities. For all non-million-plus cities, score NA.</t>
  </si>
  <si>
    <t xml:space="preserve">37a</t>
  </si>
  <si>
    <t xml:space="preserve">UPD37a</t>
  </si>
  <si>
    <t xml:space="preserve">37b</t>
  </si>
  <si>
    <t xml:space="preserve">UPD37b</t>
  </si>
  <si>
    <t xml:space="preserve">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
Score 5 if a city-level parking policy exists or its formal adoption can be established through reliable evidence. Score 0 otherwise.
Note: Score this question independently of the legal mandate. A city may score 5 on this question even where there is no legal mandate for a parking policy.</t>
  </si>
  <si>
    <t xml:space="preserve">Is there an effective system to monitor ongoing construction/projects for possible violations?</t>
  </si>
  <si>
    <t xml:space="preserve">Check the applicable T&amp;CP Act or the allied Act, and municipal act for provisions for the following:
1. Authority to inspect ongoing construction/projects.
2. Stage-wise inspections or monitoring during construction, including, where applicable, commencement, plinth, intermediate stages and/or completion.
3. Power to issue notices or stop-work directions where unauthorised or non-conforming construction is identified. Score 5 if all three of the aspects are met. 
Score 0 otherwise.</t>
  </si>
  <si>
    <t xml:space="preserve">Check the ULG/Development Authority websites whether the monitoring process includes all of the following:
Online self-assessment/reporting of construction progress, including uploading photographs and requisite compliance documents
Periodic ground surveys/inspections of approved projects, covering either all projects or a defined sample
Public disclosure of monitoring information, including compliance numbers/status, violations registered and action taken.
Score 5 if all three elements are operational.
Score 0 otherwise.</t>
  </si>
  <si>
    <t xml:space="preserve">Check the applicable Master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
Score 5 if at least one green-building incentive is operational in the city, based on an official source or reliable secondary evidence.
Score 0 if no such incentive can be established.</t>
  </si>
  <si>
    <t xml:space="preserve">Does your city have a single window clearance process in place for  development projects that are in conformity with Master Plans?</t>
  </si>
  <si>
    <t xml:space="preserve">40</t>
  </si>
  <si>
    <t xml:space="preserve">UPD40</t>
  </si>
  <si>
    <t xml:space="preserve">Is there an effective system to prevent approval of plans that are not in conformity with Master Plan?</t>
  </si>
  <si>
    <t xml:space="preserve">Check whether there is a system with all of the following aspects:
1. An approval authority for projects at each level, as defined under the T&amp;CP Act or allied Act and/or the MPC Act
2. A defined process for rejection and/or variance approvals for plans that are not in conformity with the SDP, as provided under the T&amp;CP Act or allied Act and/or the MPC Act
3. A registry of public projects (bus terminals, metro stations, railway stations, protected heritage buildings) and private projects. Evidence can be present on ULG/Development Authority websites
4. Disclosure of all approvals, denials and variance approvals in the public domain. Evidence can be present on ULG/Development Authority websites
Score 5 only if all four of the above aspects are met
Score 0 otherwise.</t>
  </si>
  <si>
    <t xml:space="preserve">41</t>
  </si>
  <si>
    <t xml:space="preserve">UPD41</t>
  </si>
  <si>
    <t xml:space="preserve">42</t>
  </si>
  <si>
    <t xml:space="preserve">UPD42</t>
  </si>
  <si>
    <t xml:space="preserve">corrective action</t>
  </si>
  <si>
    <t xml:space="preserve">Check if the T&amp;CP act mentions the penal provisions under the following heads (at least five of the below to mark as 'Yes'):
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</si>
  <si>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1. DCR (Development Control Regulations) violations:                                  
a. Zoning/ land use
b. Permitted uses (including change in building use eg; dwelling to commercial use; warehouse to office space etc.)
c. Setbacks (setbacks are the minimum space required between the plot boundary and building), 
d. Building height (maximum permissible height according to the location)
e. Floor Area Ratio (FAR)/ Floor Space Index (FSI)
f. Parking 
g. Heritage conservation (violations occur if such areas/structures are recognised to be of historical importance)
i. Environmental conservation
etc
2. Building code violations: (at plan approval stage, these codes dictate the following details)
a. Fire norms (primarily important at both plan approval level and again at Occupancy Certificate (OC) level)
b. Provision of lifts and staircases
c. Corridor length
d. Earthquake/flood/tsunami/flood resistance (in disaster prone areas)
e. Plot access (the points of entry/exit to your building/plot in accordance with the road)
f. Loading/ unloading bays (for commercial and industrial buildings, service access, safety etc. as detailed out by building code)
etc
3. NOC violations
a. Fire safety
b. Water supply and sewerage (absence of rainwater harvesting systems, discharge of waste into any public land, alley, waterbody, sidewalk etc.)
c. Electricity (particularly for large-scale/commercial buildings)
d. Pollution
e. Solid waste management
f. Height (near airports)
4. Encroachment of land
5. Building refurbishment without permit/ approvals (addition/demolition/remodeling etc.)
6. Urban design regulations vioations (includes signages, dispaly boards, streetscapes, pedestrian circulation, open areas, plazas, arcades etc.)</t>
  </si>
  <si>
    <t xml:space="preserve">Defintions/notes/list </t>
  </si>
  <si>
    <t xml:space="preserve">Spatial plans</t>
  </si>
  <si>
    <t xml:space="preserve">Metropolitan plan </t>
  </si>
  <si>
    <t xml:space="preserve">City Plan/Municipal Plan</t>
  </si>
  <si>
    <t xml:space="preserve">Ward level/local area Plan </t>
  </si>
  <si>
    <t xml:space="preserve">Zonal development plans, planning district plans or equivalent sub-city plans may be considered in place of ward-level plans where applicable.</t>
  </si>
  <si>
    <t xml:space="preserve">Scorer comments</t>
  </si>
  <si>
    <t xml:space="preserve">Implementation needs to be checked for all questions  irrespective of the score on mandate</t>
  </si>
  <si>
    <t xml:space="preserve">Change score from 3.30 to 3.33</t>
  </si>
  <si>
    <t xml:space="preserve">DCR </t>
  </si>
  <si>
    <t xml:space="preserve">Different normenclature of DCR - check with Meghamala</t>
  </si>
  <si>
    <t xml:space="preserve">How 'NA' is marked/treated in ASICS 2027 </t>
  </si>
  <si>
    <t xml:space="preserve">Is there a provision for a State Spatial Planning Board which is mandated with planning policies and reforms for the state, and is the final approving authority for Regional and Municipal Master Plans ?</t>
  </si>
  <si>
    <t xml:space="preserve">Part A: Check for the existence of a town planning body with the mandate for state spatial planning and reform. Check if the state Town and Country Planning (T&amp;CP) act has a provision for the constitution of state town planning board/trust/commission/advisory council. If the act provides for such a body with a 'may' provision (for ex. - "State may constitute..."), also, check for the constitution of a state town planning body.  Part B: Check if such a body is the final approving authority for regional plan.</t>
  </si>
  <si>
    <t xml:space="preserve">Does the Act require 3 levels of Master Plans for Metropolitian cities: Regional, Municipal and Ward(s) /Local</t>
  </si>
  <si>
    <t xml:space="preserve">Metropolitan Master Plan</t>
  </si>
  <si>
    <t xml:space="preserve">Check the T&amp;CP/Metropolitan Planning Act for provisions that mandate the creation of a metropolitan plan for the metropolitan region. Relevant metropolitan authority act/urban areas development authority act can also be considered for evidence. In the case of states that do not have a metropolitan area, the act should mandate the creation of a regional plan.</t>
  </si>
  <si>
    <t xml:space="preserve">Municipal Master Plan</t>
  </si>
  <si>
    <t xml:space="preserve">Check the T&amp;CP act for provisions that mandate the creation of a municipal master plan. Relevant urban areas development authority act can also be considered for evidence. </t>
  </si>
  <si>
    <t xml:space="preserve">Ward Master Plan</t>
  </si>
  <si>
    <t xml:space="preserve">Check the T&amp;CP act for provisions that mandate the creation of a third tier of plan at the zone/ward level. Town planning schemes that are developed within the framework of the master plan shall not be considered.</t>
  </si>
  <si>
    <t xml:space="preserve">Are planning boundaries for Metropolitian master plan, Municipal master plan and Ward(s) master plan clearly defined in accordance with political, planning, and administrative structures ?</t>
  </si>
  <si>
    <t xml:space="preserve">Planning boundary for a metropolitan plan should include entire district boundaries with no part districts included/excluded. Consider administrative district boundaries. Metro cities not having a metro plan would be scored 0 and non-metro cities to be scored NA. </t>
  </si>
  <si>
    <t xml:space="preserve">Institutional responsibility for master plan preparation and approval</t>
  </si>
  <si>
    <t xml:space="preserve">Does the law clearly assign institutional responsibility for preparing and approving master plans at each level?</t>
  </si>
  <si>
    <t xml:space="preserve">Review the applicable T&amp;CP/Planning Act, Metropolitan/Regional Planning Act, Development Authority Act, and relevant rules/regulations.
Part A: Preparation – 1.67 marks 
Look for an express provision or allied provision that clearly assigns responsibility for preparing, making, drawing up, formulating, or causing the Metropolitan/Regional master plan to be prepared. Score 1.67 if responsibility for preparation is clearly assigned to a specified institution/authority.
Score 0 if responsibility is not clearly assigned or can only be inferred from a general planning function.
Part B: Approval – 1.67 marks
Look for an express provision or allied provision that clearly assigns final approval, sanction or adoption authority for the Metropolitan/Regional master plan. For a Metropolitan/Regional or District-level plan, the final approving authority should be the State Government or a State-level authority/body legally empowered to exercise this function.
Score 1.67 if the final approving authority is clearly specified as the State Government or an appropriately empowered State-level body.
Score 0 otherwise.
Note: Score 0 for the entire sub-question where the same institution is both the sole preparer and final approving authority, without an independent statutory approval/scrutiny layer. Record separately in the score sheet where such an arrangement exists and identify the institutions involved.
The score sheet should also record, without separate scoring, the respective roles of the MPC/DPC, Development Authority/Regional Planning Authority, ULG, and State Government, including any role in preparation, consultation, recommendation, adoption, scrutiny, or approval.</t>
  </si>
  <si>
    <t xml:space="preserve">6a</t>
  </si>
  <si>
    <t xml:space="preserve">UPD8a</t>
  </si>
  <si>
    <t xml:space="preserve">UPD6a</t>
  </si>
  <si>
    <t xml:space="preserve">Does the law clearly identify the authority responsible for preparation and approval of the Metropolitan/Regional master plan?</t>
  </si>
  <si>
    <t xml:space="preserve">Replicate as applicable from above</t>
  </si>
  <si>
    <t xml:space="preserve">6b</t>
  </si>
  <si>
    <t xml:space="preserve">UPD8b</t>
  </si>
  <si>
    <t xml:space="preserve">UPD6b</t>
  </si>
  <si>
    <t xml:space="preserve">Does the law clearly identify the authority responsible for preparation and approval of the Municipal master plan, including the role of the ULG?</t>
  </si>
  <si>
    <t xml:space="preserve">6c</t>
  </si>
  <si>
    <t xml:space="preserve">UPD8c</t>
  </si>
  <si>
    <t xml:space="preserve">UPD6c</t>
  </si>
  <si>
    <t xml:space="preserve">Does the law clearly identify the authority responsible for preparation and approval of the Ward/Local master plan, with an appropriate role for the ULG/Ward Committee?</t>
  </si>
  <si>
    <t xml:space="preserve">Check if the T&amp;CP act mandates the zonal/ward master plans to be approved by the ULG. </t>
  </si>
  <si>
    <t xml:space="preserve">Does the Act define clearly the Objectives and Contents of each level of master plan?</t>
  </si>
  <si>
    <t xml:space="preserve">Check the T&amp;CP act for provisions that detail the contents/objectives of each level of plan. Act should broadly mention what the master plan should cover at each or at any level; details of a master plan/comprehensive development plan prescribed by the law can also be considered. </t>
  </si>
  <si>
    <t xml:space="preserve">Is there a clear provision for a competent technical cell to enable preparation of the master plan for each level?</t>
  </si>
  <si>
    <t xml:space="preserve">Check if the T&amp;CP act/urban development authorities act provides for a body (like a development authority) at each level of master plan, which would function as the technical arm for planning the city.</t>
  </si>
  <si>
    <t xml:space="preserve">Does the city have an MPC/DPC?</t>
  </si>
  <si>
    <t xml:space="preserve"> Constitution (5): Check whether the State has notified the rules for, and has actually constituted, the MPC/DPC applicable to the city. Score 5 where the committee is duly constituted per the notified rules; score 0 otherwise. MPC applies to metropolitan areas (~46 cities); DPC applies at the district level - assess whichever is applicable to the city, and mark NA only where neither is legally applicable</t>
  </si>
  <si>
    <t xml:space="preserve">Functioning (5): Check whether the constituted MPC/DPC has met at least once in the past year. Score 5 where a meeting in the last year can be evidenced; score 0 otherwise.
Evidence: State UD/Municipal Administration department notifications and constitution orders; MPC/DPC meeting minutes, agendas or resolutions; city/committee websites. Note: MPC/DPC proceedings are frequently not published online, so the functioning sub-question may require primary/RTI-based verification.</t>
  </si>
  <si>
    <t xml:space="preserve">Check whether the city has a statutory metropolitan-level authority constituted under a dedicated law - for example the Greater Bengaluru Authority (GBA) under the Greater Bengaluru Governance Act, 2024. Score 10 where such a metropolitan authority has been established by law and constituted for the city; score 0 otherwise.                                             Note: The question is NA for non-metropolitan cities (cities not falling within a notified metropolitan area/region).                                                                     Evidence: the relevant metropolitan authority Act and constitution notification/Government Order, State Urban Development department notifications, and the authority's official website</t>
  </si>
  <si>
    <t xml:space="preserve">Does the law mandate participation of all parastatals/ agencies /ULGs  in creation of metropolitan master plans?</t>
  </si>
  <si>
    <t xml:space="preserve">Check the T&amp;CP act for provisions that mandate the participation of all parastatals/agencies/ULGs in creation of master plans at all three levels with respect to its jurisdiction. The clause may either state verbatim "all parastatals/agencies/ULBs"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t>
  </si>
  <si>
    <t xml:space="preserve">Does the law mandate public participation in preparation of the municipal plan  through Area Sabhas / Ward Sabhas and other means?</t>
  </si>
  <si>
    <t xml:space="preserve">"Part A: Check if the T&amp;CP act mandates public participation in preparation of each level of the plan.
Part B: Check if such participation is mandated through formal platforms such as ward committees and area sabhas."</t>
  </si>
  <si>
    <t xml:space="preserve">Questions split into implementation and policy </t>
  </si>
  <si>
    <t xml:space="preserve">Does the law mandate public scrutiny at (including objections and responses) municipal plan through Area Sabhas / Ward Sabhas and other means?</t>
  </si>
  <si>
    <t xml:space="preserve">"Part A: Check if the T&amp;CP act mandates public scrutiny (including objections and responses) at each level of the plan.
Part B: Check if such scrutiny is mandated through formal platforms such as ward committees and area sabhas."</t>
  </si>
  <si>
    <t xml:space="preserve">Are there provisions in the Act for modifications to notified master plans?</t>
  </si>
  <si>
    <t xml:space="preserve">Check if the T&amp;CP act/urban development act has provisions to make modifications for the master plans after it is notified. Provisions that enable the planning authority/state to make periodic changes (alluding to the revision or creation of a new master plan say after ten years) to the master plans shall not be considered. </t>
  </si>
  <si>
    <t xml:space="preserve">Does the law mandate a periodic implementation review of the master plan against its stated targets?</t>
  </si>
  <si>
    <t xml:space="preserve">Review the applicable State Town Planning Act/Rules.
Score 10 — the Act/Rules mandate a periodic (e.g., annual/bi-annual/5 years) review of master plan implementation against stated targets and a named responsible authority/reporting mechanism.
Score 5 — the Act refers generally to “monitoring” or “review” of the master plan and specify either one, periodicity or a responsible authority.
Score 2.5 — the Act refers generally to “monitoring” or “review” of the master plan without specifying periodicity or a responsible authority.
Score 0 — the Act/Rules are silent on implementation review.</t>
  </si>
  <si>
    <t xml:space="preserve">11. Check the T&amp;CP and other relevant acts as prescribed below:</t>
  </si>
  <si>
    <t xml:space="preserve">a) Sanitation</t>
  </si>
  <si>
    <t xml:space="preserve">11(a) Check the T&amp;CP/Urban Development Authority (UDA)/Municipal acts for provisions that mandate the planning authority to prepare a city sanitation plan or mandate to have a sanitation component as part of the master plan. Provisions that make such a plan optional with 'may' provision shall not be considered. In the absence of such mandates in T&amp;CP/relevant UDA act/municipal act, check if the state has adopted a state sanitation strategy/policy that mandates ULGs to draw up a city sanitation plan.</t>
  </si>
  <si>
    <t xml:space="preserve">b) Resilience</t>
  </si>
  <si>
    <t xml:space="preserve">11(b) Check the T&amp;CP/UDA/municipal act for provisions that mandate the planning authority to prepare a disaster management/resilience plan or mandate to have a disaster management component as a part of the master plan. Provisions that make such a plan optional with 'may' provision shall not be considered. In the absence of such mandates in T&amp;CP/relevant UDA act/municipal act, check if the state has adopted a state disaster management act/rules that mandate ULGs to draw up a disaster management/resilience plan.</t>
  </si>
  <si>
    <t xml:space="preserve">11(c) Check the T&amp;CP/UDA/municipal acts for provisions that mandate the planning authority to prepare a mobility plan or mandate to have a mobility component as part of the master plan. Provisions that make such a plan optional with 'may' provision shall not be considered. In the absence of such mandates in T&amp;CP/relevant UDA act/municipal act, check if the state has adopted a state urban transportation policy/strategy that mandates ULGs to draw up a comprehensive mobility plan.</t>
  </si>
  <si>
    <t xml:space="preserve">d) Sustainability</t>
  </si>
  <si>
    <t xml:space="preserve">11(d) Check the T&amp;CP/UDA/municipal acts for provisions that mandate the planning authority to prepare a sustainability plan or mandate to have a sustainability component as part of the master plan. Provisions that make such a plan optional with 'may' provision shall not be considered.</t>
  </si>
  <si>
    <t xml:space="preserve">11(e) Check the T&amp;CP/UDA/municipal acts for provisions that mandate the planning authority to prepare a heritage conservation plan or mandate to have a heritage conservation component as part of the master plan.  Provisions that make such a plan optional with 'may' provision shall not be considered.</t>
  </si>
  <si>
    <t xml:space="preserve">11(f) Check the T&amp;CP/UDA/municipal acts for provisions that mandate the planning authority to prepare a social development plan or mandate to have a social development component as part of the master plan. Provisions that make such a plan optional with 'may' provision shall not be considered. Social development plan should include planning for health, education and affordable housing. </t>
  </si>
  <si>
    <t xml:space="preserve">Are there three levels of currently notified master plans?</t>
  </si>
  <si>
    <t xml:space="preserve">Is there a Metropolitan Region Master Plan?</t>
  </si>
  <si>
    <t xml:space="preserve">Document should mention the words metropolitan regional plan or any word that can be safely assumed to be a synonym for a metropolitan region. Check the website of the metro region development authority or urban development authority or ULB website. </t>
  </si>
  <si>
    <t xml:space="preserve">Is there a Municipal Master Plan?</t>
  </si>
  <si>
    <t xml:space="preserve">Document should mention the word municipal plan or the metropolitan plan should have a section on the municipal plan . Check the website of the urban development authority or ULB website or T&amp;CP Dept. Municipal master plan can be a part of the Metro master plan as well.</t>
  </si>
  <si>
    <t xml:space="preserve">Is there a Ward(s) /Local area/ neighbourhood Master Plan?</t>
  </si>
  <si>
    <t xml:space="preserve">If the document has spatial planning districts, which are formed for planning purpose at local level with contiguity, can also be considered for scoring. Ward master plan / Planning Districts / zonal master plans will mostly be a part of the municipal master plan document. Merely zonal divisions in the map shouldn't be scored and detailed plans should be there.</t>
  </si>
  <si>
    <t xml:space="preserve">Does the city have a master plan that is currently in force and within its prescribed validity period?</t>
  </si>
  <si>
    <t xml:space="preserve">Review the applicable master plan to identify the valid period, and the gazette notification date of the current and immediately preceding master plan (or the date the Act came into force, if this is the city's first master plan).
Score 10 — notified within the statutory period
Score 0 — no master plan has ever been notified, or the master plan is overdue by more than one full statutory cycle with no evidence of a revision process underway.
The scorer to capture in the scoring sheet the amount of time (in months) that has been passed since the end of the validity period
</t>
  </si>
  <si>
    <t xml:space="preserve">Are all master plans in a concurrent or nested timeline of validity?</t>
  </si>
  <si>
    <t xml:space="preserve">Check that timelines of the metropolitan and municipal level master plans, including ward level plans overlap (not exceeding the timeline of metropolitan plan)</t>
  </si>
  <si>
    <t xml:space="preserve">Is the Metropolitan master plan in a concurrent or nested timeline of validity with Municipal master plan?</t>
  </si>
  <si>
    <t xml:space="preserve">Check that timelines of the metropolitan and municipal level master plans/Master Plans, including ward level plans overlap (not exceeding the timeline of metropolitan plan). For example, If Metro plan is for 2001 to 2021, then municipal plan timeline should not exceed 2021. In case the city is not a metro region, it should be scored NA. </t>
  </si>
  <si>
    <t xml:space="preserve">Check that timelines of the metropolitan and municipal level master plans/Master Plans, including ward level plans overlap (not exceeding the timeline of metropolitan plan). Zonal development plans / planning districts can also be considered in place of ward development plans</t>
  </si>
  <si>
    <t xml:space="preserve">The Master Plan must have mention of 1) key development drivers for the sector - at least Jobs generated (both formal and informal), factories/compnaies started, increase in revenue and 2) quantitative and qualitative impact/outcome metrics for each driver. Some of the below metrics can be used for scoring:
• Increase workforce participation rate from current rate
• Total area of subsidised land that is to be set aside for development/redevelopment for primary/ secondary/Tertiary sector over the plan periods
• Number of jobs to be generated over the plan period from primary sector/ secondary and tertiary sector
• Number of street vendors serviced with hawker areas</t>
  </si>
  <si>
    <t xml:space="preserve">The Master Plan must have mention of 1) key development drivers for the sector - at least recreational + non recreational green spaces, urban forests, lakes, wetlands and other water bodies, climate change and pollution and 2) quantitative and qualitative impact/outcome metrics for each driver. Some of the below metrics can be used for scoring:
b) Environment and Disaster Management:
• Number of lakes and water bodies revived
• % of deforestation/reforestation during plan period
• Number of water bodies targeted to be revived/filled up for urban development
• % land area to be allocated to natural habitation for diverse ecology
• Number of projects developed on revival of natural habitats/increase in ecological diversity
• % reduction of pollution of all air, water, soil
• Number of natural environment assets – forests, hills, water bodies, dunes – with protective zoning buffers
• number of natural environment assets where protective buffer zone is violated
• Increase in successful initiatives on increasing solar/biogas energy usage in public utilities
• Number of successful initiatives on clean-tech innovation for public services
• Reduce the city’s greenhouse gas emissions </t>
  </si>
  <si>
    <t xml:space="preserve">"The Master Plan must have mention of 1) key development drivers for the sector - at least hygiene systems, healthcare quality and coverage, education quality and coverage, safety and security and 2) quantitative and qualitative impact/outcome metrics for each driver. some of the metrics can be used for scoring:
a) Education
• Increase in the coverage of anganwadi
• All four-year-olds receive access to free, full-day, high quality pre-kindergarten
• Ratio of primary schools to population to be serviced
• % of students graduating with job offers
• Improve access to school for physically and mentally challenged
b) Health care:
• Increase the coverage of dispensaries to population serviced
• Increase the coverage of home/child welfare/maternity centres to population serviced
• Increase the coverage of  hospitals to population serviced
• Increase the coverage of rehabilitation centres
• Increase the coverage of diagnostic centres
• Increase the percentage of public high school students who report meeting recommended levels of aerobic physical activity
• Reduce the spread of vector borne disease
• Increase the percentage of adult city dwellers who feel that they received the medical care they needed
• Reduce the number of traffic fatalities to zero
c) Affordable Housing :
• Number of notified slums to be rehabilitated/upgraded with infrastructure and services
• Estimating present and future housing shortage for the urban poor,  Financing new construction of affordable units and its preservation
• Increase the ratio of affordable housing supply to total housing stock
• % of affordable housing with easy access to livelihood opportunities
• % of affordable housing with easy access to transport networks"</t>
  </si>
  <si>
    <t xml:space="preserve">Check if the master plan mentions the following:
1) Key development drivers, for example, women's participation in the economy (both formal and informal), access to infrastructure and services
2) Quantitative and qualitative impact/outcome metrics for each driver.</t>
  </si>
  <si>
    <t xml:space="preserve">The MAP must be 1) A State Spatial Data Centre with a map available for use by all agencies and parastatals in the state and 2) must possess 7 key  layers - topography, geological hazards and sensitivities, green and agri land, water drainage system, street networks and block footprints, peripheral rural parcels and political and admin boundaries  + layers for all parastatals operating in the city (roads and allied infra, traffic, water and sewerage, Storm Water Drains, electricity, other underground utilities, land use, planning zone)</t>
  </si>
  <si>
    <t xml:space="preserve">Do the applicable Development Control/Zoning Regulations provide differentiated development controls appropriate to different spatial contexts within the city?</t>
  </si>
  <si>
    <t xml:space="preserve">Do not award credit merely because permissible land uses differ by zone. Score only where development-intensity/form controls — FAR/FSI, density, height, setbacks, plot coverage, mixed use, parking, street interface, or other built-form controls — are differentiated by spatial context.
Million-plus cities — identify which of the following contexts are applicable to the city: (a) core/old city, (b) peripheral/growth areas, (c) heritage/special areas, (d) TOD/transit-influence zones. Score out of 10 in components of 2.5 per applicable context in which the DCR prescribes a differentiated development-intensity/form standard. Where fewer than four contexts are applicable to the city, re-base the score to the applicable contexts only (e.g., 3 applicable contexts → score out of 7.5, rescaled × 10/7.5) and record the calculation used.
Other cities — Score 10 if the State framework differentiates development-intensity/form controls by at least two distinct city/town categories or planning contexts; Score 5 if such differentiation exists but is limited to a single parameter (e.g., only FAR varies); Score 0 if a uniform DCR/byelaw applies statewide with no contextual variation.
Not Applicable only if the city has no DCR/zoning-regulation instrument in force at all.</t>
  </si>
  <si>
    <t xml:space="preserve">Does the legal framework provide a defined mechanism for revision/amendment of DCRs, including when the Master Plan is revised?</t>
  </si>
  <si>
    <t xml:space="preserve">Review the applicable State Town Planning Act/Rules.
Score 10 — the Act/Rules specify a period revision/amending DCRs, AND explicitly require DCRs to be reviewed/aligned/updated consequent to master plan revision.
Score 5 — a mechanism for DCR amendment exists, but the law is wholly silent on any linkage to master plan revision.
Score 0 — no defined statutory mechanism for DCR revision/amendment exists.</t>
  </si>
  <si>
    <t xml:space="preserve">City Sanitation Plan</t>
  </si>
  <si>
    <t xml:space="preserve">Does the city have a City Sanitation Plan that clearly articulates development priorities, measurable objectives, and the roles and responsibilities of the ULG?</t>
  </si>
  <si>
    <t xml:space="preserve">UPD18a</t>
  </si>
  <si>
    <t xml:space="preserve">Does the city have a notified and active City Sanitation Plan?</t>
  </si>
  <si>
    <t xml:space="preserve">Check the master plan/ULB website/Parastatl website / Master plan document for the existence of a detailed CSP document. A one-pager drafted by cities for Swachh Bharat mission will not be considered</t>
  </si>
  <si>
    <t xml:space="preserve">UPD18b</t>
  </si>
  <si>
    <t xml:space="preserve">Check if it specifies measurable objectives or targets against the identified priorities, including quantitative or qualitative indicators, as appropriate. In the case of CSP, Examples may include targets relating to sanitation coverage, wastewater treatment, safe disposal of faecal sludge, reduction in untreated sewage discharge or elimination of identified sanitation service gaps. A general statement of intent, such as improving sanitation or achieving a clean city, without identifiable priorities and measurable objectives or targets, should not qualify.</t>
  </si>
  <si>
    <t xml:space="preserve">Score 3.3 where the CSP clearly articulates the role/responsibilities of the ULG in its preparation/implementation; score 0 otherwise.</t>
  </si>
  <si>
    <t xml:space="preserve">Check the master plan/ULB website/parastatal website/city website (including networks such as 100 Resilient Cities or C40) for the existence of a Climate Action Plan, City Resilience Strategy or Sustainability Strategy. The document must be formally adopted or approved by the competent authority (a Municipal Corporation/Council resolution, a Government Order, or integration into the statutory master plan/DP) to be scored.  Note:  draft, a consultant's report or an unadopted study will not be considered. Assess on content, not title: any of the three document types qualifies. A Disaster Management Plan may be considered as partial supporting evidence only, not as a full substitute.</t>
  </si>
  <si>
    <t xml:space="preserve">Check if it specifies measurable objectives or targets against the identified priorities, including quantitative or qualitative indicators, as appropriate. Examples may include greenhouse-gas emission-reduction or net-zero targets, targets for reducing exposure to heat, flooding or other climate hazards, and adaptation/resilience targets such as green cover, flood mitigation or water security. A general statement of intent, such as becoming climate-resilient or sustainable, without identifiable priorities and measurable objectives or targets, should not qualify.</t>
  </si>
  <si>
    <t xml:space="preserve">Check the master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t>
  </si>
  <si>
    <t xml:space="preserve">Check if it specifies measurable objectives or targets against the identified priorities, including quantitative or qualitative indicators, as appropriate. Examples may include a target to shift to a sustainable mode-share (public transport, walking and cycling), and actionable projects with measurable timelines, budget estimates and a phasing plan; other examples include targets for road safety or transport-related emissions. A general statement of intent, without identifiable priorities and measurable objectives or targets, should not qualify.</t>
  </si>
  <si>
    <t xml:space="preserve">Score 3.3 where the CMP clearly articulates the role/responsibilities of the ULG in its preparation/implementation; score 0 otherwise.</t>
  </si>
  <si>
    <t xml:space="preserve">Check the master plan/ULB website/parastatal website/city or district website for the existence of an Economic Vision or Economic Development Plan for the city. The plan must be formally adopted or approved by the competent authority (a Municipal Corporation/Council resolution, a Government Order, or integration into the statutory master plan/DP) to be scored - a draft, a consultant's report or an unadopted study will not be considered. &lt;need to confirm&gt;</t>
  </si>
  <si>
    <t xml:space="preserve">Check if it specifies measurable objectives or targets against the identified priorities, including quantitative or qualitative indicators, as appropriate. Examples may include targets for employment or job creation, growth in output or Gross Value Added (GVA), sector-specific development targets, or investment to be mobilised. A general statement of intent, such as making the city an economic hub, without identifiable priorities and measurable objectives or targets, should not qualify. &lt;need to confirm&gt;</t>
  </si>
  <si>
    <t xml:space="preserve"> For each, score 2.5 where the city has a dedicated cell/unit that is (i) formally constituted through a Government Order/notification, (ii) staffed - drawn from State/city/district government - with relevant subject-matter experts, and (iii) dedicated to that function for the city; score 0 otherwise. The cell may be housed within the ULG or within a city-level parastatal/agency. For towns with a population under one lakh, a shared cell/resource made available for the city at the State or district level qualifies for the full 2.5 for that sub-question. Evidence: constitution/Government Orders and staffing details on the ULG/parastatal/State websites, supplemented where necessary by RTI or email requests</t>
  </si>
  <si>
    <t xml:space="preserve">Does the city have  a dedicated Women's Welfare/Development Cell?</t>
  </si>
  <si>
    <t xml:space="preserve">Check if the T&amp;CP/municipal act mandates/has created design guidelines for executing projects for: </t>
  </si>
  <si>
    <t xml:space="preserve">1. Roads (all types: arterial, sub-arterial, collector, access, alleys etc.) and streetscapes (including over ground traffic);</t>
  </si>
  <si>
    <t xml:space="preserve">2. Footpaths;</t>
  </si>
  <si>
    <t xml:space="preserve">3. Underground public utilities (water, sewerage, SWD, electricity, internet, gas);</t>
  </si>
  <si>
    <t xml:space="preserve">4. Residential units; and</t>
  </si>
  <si>
    <t xml:space="preserve">5. Commercial buildings.</t>
  </si>
  <si>
    <t xml:space="preserve">Check whether the T&amp;CP/municipal Act (or rules, regulations or notified guidelines made under it) mandates urban design standards/guidelines for the execution of urban projects across five categories: (1) roads (all types) and streetscapes; (2) footpaths; (3) underground public utilities (water, sewerage, storm-water drainage, electricity, internet, gas); (4) residential units; and (5) commercial buildings. Award 1 point for each category for which such standards are mandated (5 categories x 1 = 5); score 0 for a category where none are mandated.</t>
  </si>
  <si>
    <t xml:space="preserve">Check whether the city has actually adopted/created urban design standards or guidelines to guide the execution of urban projects across the same five categories: (1) roads and streetscapes; (2) footpaths; (3) underground public utilities; (4) residential units; and (5) commercial buildings. Award 1 point for each category for which the city has adopted such standards (5 x 1 = 5); score 0 for a category where none exist. Evidence: notified bye-laws/design guidelines, the master plan/DP, and ULB/Development Authority/parastatal websites.</t>
  </si>
  <si>
    <t xml:space="preserve">Assessed through 2 sub-questions of 5 each. To qualify, the city must have a separate, standalone parking policy - parking provisions contained within the master plan, or other documents will not be considered</t>
  </si>
  <si>
    <t xml:space="preserve">Is there a clear mandate for a parking policy?</t>
  </si>
  <si>
    <t xml:space="preserve">Score 5 where there is a clear statutory or policy mandate for the city to prepare/adopt a standalone parking policy (for example in the municipal/T&amp;CP Act, a State urban transport or parking policy, or notified rules); score 0 otherwise.</t>
  </si>
  <si>
    <t xml:space="preserve"> Score 5 where the city's standalone parking policy has been adopted and implemented - evidenced by measures such as designated/notified parking-management areas, priced or regulated on-street parking, active enforcement, or a parking-management authority/plan; score 0 where the policy exists only on paper or is absent. Evidence: the adopted parking policy, and ULB/traffic-police/parastatal notifications and websites.</t>
  </si>
  <si>
    <t xml:space="preserve">Does the ULG have a Development Control Regulation (DCR) that is current and appropriately tailored to the city?</t>
  </si>
  <si>
    <t xml:space="preserve">Sum of the sub-questions below.</t>
  </si>
  <si>
    <t xml:space="preserve">For million-plus cities, is the DCR specific to the ULG?</t>
  </si>
  <si>
    <t xml:space="preserve">Review the applicable State Town &amp; Country Planning Act/Rules and the DCR itself.
Score 5 — the ULG has its own DCR, distinct from the generic state DCR, tailored to its built environment/master plan.
Score 2.5 — a city-specific DCR exists but is largely a copy of the state DCR with minimal ULG-specific modification.
Score 0 — the ULG relies entirely on the generic state DCR, with no city-specific version.</t>
  </si>
  <si>
    <t xml:space="preserve">Has the DCR been revised within the last 5 years?</t>
  </si>
  <si>
    <t xml:space="preserve">Review the DCR's notification date and any gazette notifications of subsequent amendments.
Score 5 — the DCR (or a substantive amendment) was notified within the last 5 years.
Score 2.5 — last substantively revised 5–10 years ago.
Score 0 — not revised in over 10 years, or no revision date can be established.</t>
  </si>
  <si>
    <t xml:space="preserve">Are DCR preparation and amendments required to go through public consultation before notification?</t>
  </si>
  <si>
    <t xml:space="preserve">Review the applicable State Town Planning Act/Rules governing DCR amendment.
Score 10 — public consultation is mandatory for ALL amendments to DCRs/zoning regulations, with a specified minimum notice period (e.g., 30/60 days), AND a requirement that objections be considered/responded to before final notification.
Score 7.5 — mandatory consultation with a specified minimum notice period, but no requirement to consider or respond to objections received.
Score 5 — mandatory consultation, but no minimum notice period is specified.
Score 2.5 — consultation is discretionary (“may invite objections”), or mandated only for certain categories of amendment (e.g., only “substantial” modifications).
Score 0 — no statutory requirement for public consultation before notifying DCR amendments; amendments may be notified solely by executive/government order.
Where consultation is required for master plan amendments generally, but a separate provision empowers government to amend DCRs directly without consultation, score against the DCR-specific provision.</t>
  </si>
  <si>
    <t xml:space="preserve">Check the T&amp;CP act or any publicly available policy document (state govt/Urban Development Department (UDD)/T&amp;CP Dept. website)/newspaper reports/Green Rating for Integrated Habitat Assessments (GRIHA)/Leadership in Energy and Environmental Design (LEED)/Confederation of Indian Industry (CII) websites for incentives such as rebate in property tax or charges connected to building permission/development charges or other such incentives for construction of green buildings. </t>
  </si>
  <si>
    <t xml:space="preserve">Part A: Check if the state has passed a land titling law OR passed an order/circular to certify land titles.
Part B: If there is a mandate by act, check if the rules for the same are notified.</t>
  </si>
  <si>
    <t xml:space="preserve">Part A: Check if the state has passed a land pooling OR passed an order/circular to certify land titles.
Part B: If there is a mandate by act, check if the rules for the same are notified.  Scoresheet to also capture : What form of land assembly/reconstitution mechanism does the framework provide? (A full TPS model and a standalone land-pooling model are not necessarily the same.)</t>
  </si>
  <si>
    <t xml:space="preserve">Check for the existence of an online portal / platform that acts as a one-stop solution for filing complete application for development projects (education, health, affordable housing) and provides option for tracking status of application. Availability of any 2 out of the 3 project types can also be considered for scoring. </t>
  </si>
  <si>
    <t xml:space="preserve">"Check if the T&amp;CP act/relevant UDA act/rules corresponding to such relevant provisions of the act, mandates the following aspects.
1. Registry of public projects
2. An approval authority for projects at each level defined within the MPC Act or the T&amp;CP act
3. A defined process for rejections/variance approvals for plans not in conformity with Master Plan defined in the MPC Act or the T&amp;CP act; and
4. Disclosure of all approvals, denials and variance approvals in the public domain.
Mark 'Yes' only if all four conditions apply."</t>
  </si>
  <si>
    <t xml:space="preserve">Is there an effective system to monitor ongoing constructions/projects  for possible violations?</t>
  </si>
  <si>
    <t xml:space="preserve">"Check if the T&amp;CP act/relevant UDA act/rules corresponding to such relevant provisions of the act, mandates the following processes.
1. Online self-assessment of progress including uploading of photographs and requisite compliance documents
2. Periodic ground surveys of approved projects (all/sample); and
3. Disclosure of all information (compliance numbers, violations registered and action taken) collected in survey in the public domain
Mark 'Yes' only if all three conditions apply."</t>
  </si>
  <si>
    <t xml:space="preserve">"Check if the T&amp;CP act mentions the penal provisions under the following heads (at least five of the below to mark as 'Yes'):
1. Building code violations (at plan approval stage, these codes dictate details such as electric, water, door/window dimensions etc.)
2. Plumbing and sewage violations (discharge of waste into any public land, alley, stream, sidewalk etc.)
3. Setback violations (setbacks are the minimum space required between the plot boundary and building)
4. Building height violations (maximum permissible height according to the location)
5. Energy efficiency/consumption violations (particularly for large-scale/commercial buildings)
6. Absence of rainwater harvesting systems
7. Plot access violations (the points of entry/exit to your building/plot in accordance with the road)
8. Parking violations (with respect to your building and the road)
9. Fire code violations (primarily important at both plan approval level and again at Occupancy Certificate (OC) level)
10. Requirements for earthquake/flood/tsunami/flood resistance (in disaster prone areas)
11. Building refurbishment without permit (addition/demolition/remodeling etc.)
12. Change in building use/function/occupancy without permits (dwelling to commercial use; warehouse to office space etc.)
13. Violations in floor area ratio (far) or floor space index (fish) (in accordance with zoning codes of the area)
14. Business signage/outdoor display boards (zoning codes dictate permissible size/location of these on top of buildings etc.)
15. Non-permitted uses (some zones strictly dictate only residential/only commercial/uses)
16. Nuisance violations (these might be advertisements, banners, pamphlets on buildings, flyovers, etc.)
17. loading/unloading regulations (for commercial and industrial buildings, service access, safety etc. as detailed out by building code)
18. Urban design regulations (includes streetscapes, pedestrian circulation, open areas, plazas, arcades etc.)
19. Flight obstruction areas (around major airports)
20. Historical conservation/preservation of buildings/areas of the city. (violations occur if such areas/structures are recognised to be of historical importance)
21. Junk and thrash violations (designated areas as described in the zoning code)"</t>
  </si>
  <si>
    <t xml:space="preserve">Question Code</t>
  </si>
  <si>
    <t xml:space="preserve">&lt;Enter Question Code only&gt;</t>
  </si>
  <si>
    <t xml:space="preserve">← Back to Scores (start here)</t>
  </si>
  <si>
    <t xml:space="preserve">&lt;CHECK IF EXCEL TAB NAME IS SAME AS QUESTION CODE: IF NOT, ENTER TAB NAME AS QUESTION CODE&gt;</t>
  </si>
  <si>
    <t xml:space="preserve">DO NOT ALTER FORMULA BELOW</t>
  </si>
  <si>
    <t xml:space="preserve">Second column counts only if the first is YES: first YES = half marks, both YES = full marks.</t>
  </si>
  <si>
    <t xml:space="preserve">SELECT YES / NO</t>
  </si>
  <si>
    <t xml:space="preserve">DO NOT ALTER FORMULA</t>
  </si>
  <si>
    <t xml:space="preserve">AUTO - DO NOT ENTER</t>
  </si>
  <si>
    <t xml:space="preserve">City</t>
  </si>
  <si>
    <t xml:space="preserve">Act Name/Web name/Doc name</t>
  </si>
  <si>
    <t xml:space="preserve">Chapter</t>
  </si>
  <si>
    <t xml:space="preserve">Provision</t>
  </si>
  <si>
    <t xml:space="preserve">Clause</t>
  </si>
  <si>
    <t xml:space="preserve">Page Number</t>
  </si>
  <si>
    <t xml:space="preserve">Points (Auto-generate)</t>
  </si>
  <si>
    <t xml:space="preserve">SCORER COMMENTS</t>
  </si>
  <si>
    <t xml:space="preserve">AI points</t>
  </si>
  <si>
    <t xml:space="preserve">Chapter I (Preliminary)</t>
  </si>
  <si>
    <t xml:space="preserve">Section 4 (State Town-Planning Board); see also s.2(1a) definition of 'Board'</t>
  </si>
  <si>
    <t xml:space="preserve">s.4</t>
  </si>
  <si>
    <t xml:space="preserve">YES</t>
  </si>
  <si>
    <t xml:space="preserve">AI (low confidence), from Step 2 answer (Partially Answered) and ULG-02: PART A is left blank: we could not find proof either way, which is different from finding that the Board does not exist. Section 4 of the Karnataka Town and Country Planning (KTCP) Act, 1961 says the State Government 'may, by notification, constitute' the Board. Because it says 'may' and not 'shall', the method requires proof that the Board was actually set up, through a government notification or order or an official department or Board website. No such evidence is in the Citation Sheet.
What I checked:
- ULG-02, the KTCP Act (PRS text, amendments up to Act 38 of 2015).
- Section 2(1a) defines 'Board' as the State Town Planning Board 'constituted under this Act'.
- Sections 4A(3), 4A(5), 4B(2)(ii), 4C(1) and 4H(1)(d) require the Board to be consulted or sent reports. These assume a Board exists but do not prove it was set up.
- ULG-03, the KTCP Amendment Bill 2025 (LA Bill 55 of 2025, as passed by the Legislative Assembly). It adds a Commissionerate and makes the Greater Bengaluru Authority (GBA) the planning authority. It does not change s.4 and does not mention a constituted Board.
- A search across the whole Citation Sheet for a notification setting up the Board found nothing.
- ULG-01 (Greater Bengaluru Governance Act), ULG-04 (Bangalore Development Authority Act) and ULG-05/06 (Bengaluru Metropolitan Region Development Authority pages) deal with city and metropolitan bodies, not a state-level board.
- The Citation Sheet has no KTCP Rules, no gazette notification or government order, and no Urban Development Department or Commissionerate web page.
Because of these gaps, Part A cannot be answered NO. Some caution is still needed. The Act's repeated duties to consult the Board suggest it may well exist, but that is a guess and not evidence.
PART B = YES. Section 4 gives the Board an explicit job: 'advising the State Government regarding planning and development and for determining principles and policies for achieving the balanced development of the State as a whole'. That is a state-level spatial planning policy mandate, which is what the question asks for. Under the workbook's own rule, Part B only counts if Part A = YES. So it scores nothing until Part A is confirmed.
WHAT A REVIEWER SHOULD CHECK: Look for the gazette notification or government order setting up the Karnataka State Town-Planning Board under s.4, and whether the Board is currently active. Sources to try are the Urban Development Department and the Commissionerate of Urban Development Authorities and Town and Country Planning (the renamed Directorate, under GO UDD 212 NAYOSE 2023). If a notification is found, Part A = YES and the total is 10. Also confirm that s.4 was not changed after 2015.
Quote: "4. State Town-Planning Board. —The State Government may, by notification, constitute a State Town-Planning Board for the State with such members and in such manner as may be prescribed for advising the State Government regarding planning and development and for determining principles and policies for achieving the balanced development of the State as a whole."
"Part A: State planning board provided / constituted" left blank: the Citation Sheet doesn't decide it.</t>
  </si>
  <si>
    <t xml:space="preserve">Answer</t>
  </si>
  <si>
    <t xml:space="preserve">Chapter IA – Local Planning Areas and Planning Authorities (inserted by Act 14 of 1964)</t>
  </si>
  <si>
    <t xml:space="preserve">Section 4C(1), read with Section 4A(1)-(3) and Section 9(1) (as substituted by Act 2004, gazetted 14-2-2005)</t>
  </si>
  <si>
    <t xml:space="preserve">s.4C(1); s.4A(1); s.9(1)</t>
  </si>
  <si>
    <t xml:space="preserve">AI (medium confidence), from Step 2 answer (Answered — Verified Source) and ULG-02: The answer is YES. I checked the Step 2 answer against the text of ULG-02 and the source supports it.
(1) Notifying an area: under s.4A(1) the State Government 'may by notification declare any area in the State to be a Local Planning Area… or include within such local planning area, any area adjacent thereto', and the Act then applies to that area. Under s.4A(2) the notification 'shall define the limits'.
(2) Setting up an authority: under s.4C(1) the State 'may' constitute a 'Planning Authority' for that area by notification in the Gazette. Under s.4C(2)-(3) it is a body corporate, with a chairman, a Town Planning Officer as Member-Secretary, and representatives of local bodies. This is the provision the methodology asks for: a planning authority for a newly notified area.
(3) The alternative test is also met. Under s.9(1), every planning authority 'shall… not later than two years from the date of declaration of the local planning area, prepare and publish… a master plan for such area'.
The Statement of Objects of Amending Act 14 of 1964 says it is 'necessary to establish separate planning authorities' for 'rapidly developing areas'. Sections 81B, 81D and 81E also make specific bodies the planning authority for special areas: the Bangalore Development Authority, Urban Development Authorities and the Hampi World Heritage Area Management Authority.
Caveats:
- Setting up an authority under s.4C is discretionary ('may'). The question asks only whether a provision exists, so the discretion does not change the YES.
- The Act has no section that uses the words 'new towns'. The provision is the general mechanism of notifying a local planning area and constituting an authority for it.
- The text is a secondary PRS republication, with amendments shown only up to Act 38 of 2015. The current official consolidated text should be confirmed.
- ULG-03 (LA Bill 55 of 2025, as passed by the Assembly) is not shown to be in force, so I did not rely on it.
- The methodology gives no explicit score bands. I treated this as a YES/NO input and leave the points to the workbook formula.
Quote: "As soon as may be, after declaration of a local planning area, the State Government in consultation with the Board, may, by notification in the official Gazette, constitute for the purposes of the performance of the functions assigned to it, an authority to be called the “Planning Authority” of that area, having jurisdiction over that area."</t>
  </si>
  <si>
    <t xml:space="preserve">Chapter II/III – Functions of the Greater Bengaluru Authority</t>
  </si>
  <si>
    <t xml:space="preserve">Section 14(2) 'Planning Functions'</t>
  </si>
  <si>
    <t xml:space="preserve">Clause (c); see also s.103(1)(b)</t>
  </si>
  <si>
    <t xml:space="preserve">AI (medium confidence), from Step 2 answer (Answered — Verified Source) and ULG-01: Scored YES on the sub-question (Metropolitan/Regional Plan, max 3.33). The workbook has one 'Answer' column for UPD3a, and the method asks whether the law requires a metropolitan or regional plan. The three-level main-question test is not decided here; a person should check this mapping.
What the law says:
1. GBA Act s.14(2) opens with 'Notwithstanding anything contained in any other law'. Under clause (c), the State Government 'shall constitute' the BMPC under Article 243ZE, and the body 'shall prepare a draft development plan for the Greater Bengaluru Area as a whole and discharge responsibilities as enshrined in Article 243ZE'. 'Shall' makes this a duty, not an option.
2. s.103(1)(b) requires Ward Development Plans to be drawn up 'in accordance with the plans prepared by the Bengaluru Metropolitan Planning Committee'. This confirms the Act expects the BMPC to produce plans.
3. Supporting evidence: the BMRDA Functions page on its official site (ULG-05) says 'the functions of the Authority shall be: ... To prepare a structure plan' for the Bangalore Metropolitan Region. That is a regional-level plan, but this page only summarises the BMRDA Act 1985. The Act text is not in the Citation Sheet, so the exact verb is not confirmed from the Act.
What a person should check:
(a) Drafting slip: clause (c) names the 'Bengaluru Metropolitan Planning Authority' as the plan-maker, but the body it creates is the 'Committee'. Check whether a later amendment or the rules fix this.
(b) Coverage: the BMPC's area is 'including but not limited to' the Greater Bengaluru Area, but the plan it must make covers only the Greater Bengaluru Area 'as a whole'. So the plan may be narrower than the BMRDA region. The tie to Article 243ZE still makes it the metropolitan development plan.
(c) Source quality: the Act text is a PRS republication (a secondary copy) and includes Amendment Act 60 of 2025. This is the GBA era.
(d) KTCP Act (ULG-02): a keyword search found no regional-plan provision. The Act was not read in full, so that is 'not found', not proof of absence.
Quote: "The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t>
  </si>
  <si>
    <t xml:space="preserve">Chapter III (heading changed from 'Outline Development Plan' to 'Master Plan' by Act 1 of 2005)</t>
  </si>
  <si>
    <t xml:space="preserve">Section 9(1), Preparation of Master Plan (substituted by Act 1 of 2005, w.e.f. 14.2.2005)</t>
  </si>
  <si>
    <t xml:space="preserve">s.9(1); also s.2(3-b) definition of 'Master Plan'; s.10(1); s.12(1); s.13-B</t>
  </si>
  <si>
    <t xml:space="preserve">AI (medium confidence), from Step 2 answer (Answered — Verified Source) and ULG-02: The answer is YES. I checked this against the source, not just the Step 2 answer. This sub-question asks whether the Town and Country Planning Act requires a municipal/city plan. Section 9(1) of the Karnataka Town and Country Planning Act (KTCP Act) uses binding wording: every Planning Authority 'shall' survey its area and 'shall', within two years of the local planning area being declared, prepare and publish a master plan. Section 2(3-b) defines the Master Plan as a plan for developing or redeveloping the area under a planning authority. Section 12(1) also uses 'shall' for what the plan must contain (land-use zoning, street pattern, parks and so on), so this is the city-level spatial plan. Section 13-B requires a master plan for any area later added to a planning authority. Section 9(2) is only a fallback: if the plan is late, the State 'may' let the Director prepare it. That does not weaken the duty in s.9(1).
Who the duty falls on in Bengaluru: the Planning Authority is not the municipal corporation itself. It was the Bangalore Development Authority (BDA), under KTCP s.81-B as inserted by the BDA Act. Under the Greater Bengaluru Governance Act (ULG-01, Planning Functions clause (2)(a)) it is now the Greater Bengaluru Authority (GBA). The methodology lets a development authority Act count as evidence, and this question is only about whether a city plan is mandated. So who prepares it does not change the YES.
Caveats:
- The KTCP text is a PRS republication (a secondary source), amended up to Act 38 of 2015. KTCP amendments after 2015 and the Rules setting the 'prescribed manner' are not in the Citation Sheet. Neither is likely to remove the s.9 mandate, but a person should check against the gazette text.
- The 2025 KTCP Amendment Bill (ULG-03) is not shown to be in force, and I did not rely on it.
- Revising the plan every ten years (s.13-D) is optional ('may') unless the State directs it. That is outside this sub-question.
I scored this as a binary YES/NO, in line with the input column (YES = 3.33 out of 3.33).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t>
  </si>
  <si>
    <t xml:space="preserve">Type of plan mandated (zonal / ward / local area)</t>
  </si>
  <si>
    <t xml:space="preserve">Chapter III (Master Plan); Chapter V (Town Planning Schemes)</t>
  </si>
  <si>
    <t xml:space="preserve">s.9(1); also s.2(3-b), s.12(1), ss.13-A to 13-D, s.26(1)</t>
  </si>
  <si>
    <t xml:space="preserve">s.9(1), substituted by Act 1 of 2005 w.e.f. 14.2.2005</t>
  </si>
  <si>
    <t xml:space="preserve">AI (low confidence), from Step 2 answer (Partially Answered) and ULG-02: Answer left blank because a zonal, ward or local plan is not found, but its absence is not confirmed. Version read: the Karnataka Town and Country Planning (KTCP) Act, 1961, in the PRS republication amended up to Act 38 of 2015 (ULG-02). It has one mandatory plan tier. s.9(1) says every planning authority 'shall' prepare a Master Plan for its area. s.12(1) says the Master Plan covers 'the entire planning area', with land-use zoning and Zoning Regulations. That zoning sits inside the Master Plan and is not a separate zone-level plan. s.13-A (Interim Master Plan, 'for the entire area ... or for any part thereof', which is optional unless the State directs it), s.13-B (Master Plan for an added area) and s.13-D (revision) are all versions of the same Master Plan tier. s.26(1) says the Planning Authority 'may make one or more town planning schemes' to carry out the Master Plan. The methodology excludes these schemes, and they are optional anyway. I searched the Citation Sheet for zonal, local area, ward and detailed development plans and found no zonal, ward or local area plan provision in ULG-02. Other sources checked: (1) ULG-01, Greater Bengaluru Governance Act 2024 (Act 36 of 2025). s.2(79) and s.103(1)(b) require a yearly Ward Development Plan from the Ward Committee. It is a budget and project priority list, not a spatial plan, and it is not in the T&amp;CP Act. I do not count it, but a reviewer may wish to confirm that. If it were counted, its type would be 'ward development plan' (financial/project). (2) ULG-03, the 2025 KTCP Amendment Bill: it adds no third tier and is not shown to be in force. (3) ULG-04 (BDA Act), ULG-05 and ULG-06 (BMRDA pages): no zone or ward plan. Why not 'NO': the Citation Sheet does not have KTCP amendments made after 2015, the KTCP Rules (the 'prescribed manner'), or an official consolidated state text. The only KTCP text is a secondary PRS copy. So I cannot show affirmative absence, and a 0 is not allowed. A positive answer is not supported either. Reviewer: please check the current consolidated KTCP Act and Rules from the Karnataka e-gazette or the Urban Development Department (UDD) for any zonal, local area or ward plan provision. If none exists, the answer should be NO.
Quote: "Every planning authority shall, as soon as may be, carry out a survey of the area within its jurisdiction and shall, not later than two years from the date of declaration of the local planning area, prepare and publish in the prescribed manner a master plan for such area and submit it to the State Government, through the Director, for provisional approval."
"Answer" left blank: the Citation Sheet doesn't decide it.</t>
  </si>
  <si>
    <t xml:space="preserve">Chapter on functions of the Greater Bengaluru Authority (p.14-15 of PRS copy)</t>
  </si>
  <si>
    <t xml:space="preserve">Planning Functions sub-section (2); section number not visible in the excerpt, probably s.15</t>
  </si>
  <si>
    <t xml:space="preserve">(2)(a); see also s.3 (declaring the Greater Bengaluru Area) and s.5/s.7 (City Corporations)</t>
  </si>
  <si>
    <t xml:space="preserve">AI (low confidence), from Step 2 answer (Partially Answered) and ULG-01: I have left 'Answer' blank. The Citation Sheet does not contain the instrument this methodology treats as the main source.
**What the sheet shows (law only):**
- GBA Act s.15(2)(a) (probable section number): the GBA is the Planning Authority under the KTCP Act 'for the areas comprising of the Greater Bengaluru Area'.
- ULG-03 (the 2025 KTCP amendment Bill) would make the Local Planning Area for the GBA the same as the Greater Bengaluru Area. It would do this in new s.2(7)(a)(i) and s.81-G(1). It would also cut the Greater Bengaluru Area out of the BDA's area in s.81-B(i).
- Taken together, the intended design is a planning area that matches the GBA's own boundary. That points towards YES.
**Why I did not score YES:**
1. The methodology says to use the notification or text that defines the planning area, and the plan map. Neither is in the sheet. Missing are the s.3 notification declaring the Greater Bengaluru Area, the s.5/s.7 City Corporation boundary notifications, and the master plan now in force with its planning-area notification or map.
2. ULG-03 is a Bill as passed by the Assembly. Under its s.1(2) it comes into force only on a date the government notifies, and the sheet does not show enactment or commencement.
3. Under the Bill's s.81-G(2), a master plan made by the Bangalore Development Authority (BDA) is treated as made by the GBA. So the plan in force may be a BDA-era master plan drawn for the old BDA planning area. Nothing in the sheet lets me check whether its boundary matches the Greater Bengaluru Area or the City Corporations, or whether it splits villages.
4. GBA Act s.7(1) lets the new City Corporations be made from 'part or complete areas' of local bodies. Its proviso to s.7(4) also contemplates only part of a local body falling inside the Greater Bengaluru Area. Splitting of units is therefore possible, and only the notifications could settle it.
**Why I did not score NO:** a NO would need affirmative absence, and there is no evidence of misalignment.
**What I checked:**
- ULG-01: GBA Act s.3, 4, 5, 6, 7, 26(3) and the Planning Functions sub-section (2).
- ULG-02: KTCP Act, amended to 2015. This version still names the BDA for the City of Bangalore in s.2(7)(a)(i), and s.12 says the master plan covers the entire planning area.
- ULG-03: the 2025 amendment Bill.
- The Step 2 review covered ULG-04 to ULG-06. That review found that ULG-04 (BDA Act) refers to the Bangalore Metropolitan Area, and that ULG-06 (BMRDA Local Planning Areas page) gives no boundary for the GBA planning area.
**For a human reviewer:** obtain the Greater Bengaluru Area notification under s.3, the City Corporation notifications, the commencement notification for the KTCP amendment, and the master plan now in force with its planning-area notification and map. Then compare the plan boundary with the Greater Bengaluru Area and the City Corporations, checking for split villages or local bodies.
Quote: "the Greater Bengaluru Authority shall be the “Planning Authority” as defined under the Karnataka Town and Country Planning Act, 1961, for the areas comprising of the Greater Bengaluru Area;"
"Answer" left blank: the Citation Sheet doesn't decide it.</t>
  </si>
  <si>
    <t xml:space="preserve">AI: left for a person. Step 2 found no evidence (Insufficient Evidence). Source needed: Needed: (1) the full text of the Bengaluru Metropolitan Region Development Authority Act, 1985 (Karnataka), as amended, especially the sections on preparing and approving the Structure Plan for the Bengaluru Metropolitan Region; (2) the complete, readable text of the GBA Act, 2024 BMPC clause, plus any BMPC or Metropolitan Planning Committee Rules notified in the Karnataka Gazette; (3) the KTCP Rules, if they cover regional plans.</t>
  </si>
  <si>
    <t xml:space="preserve">Chapter III (Outline Development Plan / Master Plan)</t>
  </si>
  <si>
    <t xml:space="preserve">Section 13 (Approval of the Master Plan), substituted by Act 1 of 2005 w.e.f. 14.2.2005</t>
  </si>
  <si>
    <t xml:space="preserve">s.13(3), read with s.13(1), s.13(4), s.13-B and s.81-C</t>
  </si>
  <si>
    <t xml:space="preserve">NO</t>
  </si>
  <si>
    <t xml:space="preserve">AI (medium confidence), from Step 2 answer (Partially Answered) and ULG-02: I answered NO because the planning Act (the KTCP Act) gives approval of the city plan to the State Government, not to a Metropolitan Planning Committee (MPC). This is a positive finding, not just the absence of a clause. Bengaluru is a metropolitan city, so the District Planning Committee route does not apply.
KTCP Act, 1961 (ULG-02, PRS text with amendments up to Act 38 of 2015):
- s.9(1): the Planning Authority sends the Master Plan 'to the State Government, through the Director, for provisional approval'.
- s.13(1)-(2): the State Government returns the plan for public comments.
- s.13(3): the State Government 'shall ... give its final approval to the plan'.
- s.13(4): the plan is published 'as finally approved by the State Government'.
- s.13-B: a plan for an added area goes to the State Government 'for sanction'.
- s.81-C: Planning Authorities in the Bangalore Metropolitan Region send their plans 'to the State Government through the Bangalore Metropolitan Region Development Authority for approval'.
- The MPC has no approval role anywhere in this route.
GBG Act, 2024 (ULG-01, Karnataka Act 36 of 2025):
- s.14(2)(a): the GBA is the 'Planning Authority' as defined under the KTCP Act, so the s.13 State-approval route applies to it.
- s.14(2)(c): the State Government shall set up the Bengaluru Metropolitan Planning Committee (BMPC). Its job is to 'prepare a draft development plan for the Greater Bengaluru Area as a whole' and 'discharge responsibilities as enshrined in Article 243ZE'. I re-read this clause. The excerpt break falls inside the word 'disc|harge', so it appears nothing is cut off there.
- s.15(1): the GBA 'shall be responsible to make master plan'.
- s.103(1)(b): ward plans follow the BMPC's plans.
- No clause makes the BMPC the body that approves the master plan.
KTCP amendment Bill 2025 (ULG-03, LA Bill 55 of 2025, as passed by the Assembly; start date not yet notified):
- It makes the GBA the local planning authority (s.2(7)(a)(i) and new s.81-G) and creates a Commissionerate.
- It does not amend s.13 and gives no approval role to an MPC.
Other sources checked: the BDA Act (ULG-04, referred to in the earlier draft answer), and the BMRDA Functions and Local Planning Areas pages (ULG-05, ULG-06). The latter say plans are prepared under the KTCP Act 'and obtaining approval of the Government'; that website text is supporting only. I also searched the whole Citation Sheet for MPC/BMPC approval of the master plan and found nothing.
Where I differ from the earlier draft answer: it left this blank because some layers are missing. I score NO because the Act itself makes a mandatory ('shall') provision giving approval to the State. Rules made under the Act cannot move that statutory approval power to an MPC. The missing BMPC rules ('as prescribed') cover only its membership. The latest laws (the GBG Act 2025 and the 2025 Bill) keep the KTCP approval route.
REVIEWER CHECK:
(1) The KTCP text in the Citation Sheet is current only to Act 38 of 2015. Please confirm that no amendment between 2015 and 2025 changed s.13 to give an MPC an approval role.
(2) The KTCP Rules, the BMPC rules and any notification setting up the BMPC are not in the Citation Sheet.
(3) s.14(2)(c) says 'Bengaluru Metropolitan Planning Authority', which looks like a drafting slip for the BMPC.
If you require these layers to be read before scoring a 0, change Answer to blank.
Quote: "The State Government, after receiving the plan and the reports and the recommendations for modifications from the Planning Authority, shall, in consultation with the Director, give its final approval to the plan and the reports with such modifications as the Director may advice in the light of the comments and the recommendations of the Planning authority or otherwise."</t>
  </si>
  <si>
    <t xml:space="preserve">Chapter on Town Planning Schemes (Karnataka Town and Country Planning Act, 1961)</t>
  </si>
  <si>
    <t xml:space="preserve">Section 34 (Consideration of objections and sanction of draft scheme); see also s.13(3) (Master Plan final approval) and s.13-A (Interim Master Plan for 'any part' of the area)</t>
  </si>
  <si>
    <t xml:space="preserve">s.34(3); s.13(3); s.41(2)/s.45(1)</t>
  </si>
  <si>
    <t xml:space="preserve">51</t>
  </si>
  <si>
    <t xml:space="preserve">AI (low confidence), from Step 2 answer (Partially Answered) and ULG-02: I left the answer blank. The evidence points to NO, but I can't record NO without affirmative absence. (1) What the sources say: I checked Step 2 against the sources and it holds up. The Karnataka Town and Country Planning Act (ULG-02, PRS text with amendments up to Act 38 of 2015) has no zonal, ward or local plan level. Below the city level there are Town Planning Schemes and Interim Master Plans for 'any part' of the area. The State Government approves both. For schemes, s.34(3) says the State Government 'may by notification... either sanction such scheme... or refuse to give sanction', and s.45(1) gives it the final scheme. For the Master Plan, s.13(3) says the State Government 'shall... give its final approval'. s.13-A applies the s.13 approval process to Interim Master Plans. The Planning Authority only prepares and submits these plans. Under the GBA Act 2024 (ULG-01), the planning-functions clause makes the Greater Bengaluru Authority the 'Planning Authority' under the Town and Country Planning Act. That makes it the body that prepares plans, not the one that approves them. The Act gives the Bengaluru Metropolitan Planning Committee the city-wide draft development plan. s.2(79) and s.103 cover the 'Ward development plan', which is a budget priority list the Ward Committee submits to the City Corporation 'for allotment of funds'. It is not a spatial plan under the Town and Country Planning Act, and no clause says the City Corporation 'shall approve' it. The 2025 Amendment Bill (ULG-03) adds s.81-G, making the GBA the local planning authority. It adds no plan level approved by the city government. Its commencement depends on a notification, and none is shown. (2) Why the answer is blank: a NO would score 0, so it needs affirmative absence. Several layers are not in the Citation Sheet: the Karnataka Town and Country Planning Rules, the zoning regulations, the Act's amendments after 2015, and any GBA Act rules on ward plans. Because of these gaps, 'not found' cannot yet be treated as 'absent'. What I checked: ULG-02 (s.9, s.12, s.13, s.13-A to s.13-E, s.34, s.41, s.45, and the local planning area definitions); ULG-01 (s.2(79), the planning-functions clause, s.103, s.111 and s.112); ULG-03 in full; and a search of the whole sheet for zonal, local area and ward plan approval. ULG-04 (BDA Act), ULG-05 and ULG-06 (BMRDA pages) cover other bodies. ULG-06 says Master Plans need 'approval of the Government'. (3) What someone should check: (a) the research team should add the current consolidated Town and Country Planning Act (after 2015) and the Rules, and confirm whether the 2025 Amendment Act is in force. If neither adds a ward or local plan approved by the city government, record NO (0). (b) The methodology team should confirm whether a GBA Act Ward Development Plan counts as a 'ward plan'. Even if it does, no 'shall approve' duty was found, which also points to NO.
Quote: "(3) After receiving such application and after making such inquiry as it may think fit, the State Government, in consultation with the Director, may by notification, within six months from the date of its submission, either sanction such scheme with or without modifications and subject to such conditions as it may think fit to impose, or refuse to give sanction."
"Answer" left blank: the Citation Sheet doesn't decide it.</t>
  </si>
  <si>
    <t xml:space="preserve">Points = share of YES answers x Max Score (each part carries an equal share).</t>
  </si>
  <si>
    <t xml:space="preserve">Section 12 (Contents of Master Plan, substituted by Act 1 of 2005 w.e.f. 14.02.2005); Section 26 (Making of town planning scheme and its contents)</t>
  </si>
  <si>
    <t xml:space="preserve">s.12(1)(a)-(g), s.12(2)(i)-(iv), s.12(3); s.26(1), s.26(2)(a)-(k)</t>
  </si>
  <si>
    <t xml:space="preserve">AI (low confidence), from Step 2 answer (Partially Answered) and ULG-02: Two of three inputs are filled; the metropolitan one is left blank, so no total is proposed. A person must confirm the ward/local input and decide the metropolitan one. Source: the KTCP Act, 1961 as republished by PRS with amendments up to Act 38 of 2015. PRS is a secondary source, and no official consolidated text after 2015 is in the Citation Sheet.
(1) Municipal/city plan = YES. Section 12(1) states the Master Plan's purpose: it shows how the development and improvement of the entire planning area 'are to be carried out and regulated'. It then says the plan 'shall include proposals for' seven items: (a) land-use zoning with Zoning Regulations, (b) street pattern and traffic circulation, (c) parks, open spaces and civic uses, (d) areas for future expansion, (e) reservations and acquisition, (f) areas of special control (building line, height, FAR), and (g) stages of implementation. Section 12(2) lists the reports that must go with the plan. Section 12(3) requires heritage buildings and precincts to be shown. Both purpose and contents are clearly in the Act.
(2) Ward/local plan = YES. Please confirm this one. Section 26(1) says a Planning Authority, 'for the purpose of implementing the proposals in the Master Plan', may make town planning schemes 'for the area within its jurisdiction or any part thereof'. So the purpose and the sub-city scale are both stated. Section 26(2), under the heading 'its contents', lists the matters a scheme may cover, (a) to (k): layout and re-layout, roads, buildings, land reserved for open spaces and schools, drainage, water supply, building restrictions, and so on. I read the Town Planning Scheme as the KTCP Act's local-level spatial plan, with both purpose and contents set out in the Act.
Caveats for the person checking:
- The wording is discretionary ('may make'; 'may make provisions for').
- A scheme is not a plan for each ward.
- The GBA Act, 2024 s.103(1)(b) 'Ward Development Plan' does not count here. It is a priority list of projects and schemes for allotting funds (budget plan), not a spatial plan; s.2(79) defines it as prepared 'for the allotment of budget'.
- If the reviewers decide that a Town Planning Scheme is not a 'ward/local plan', change this input to blank. It should not become NO until the sheet has been checked for any other local-plan provision.
(3) Metropolitan/regional plan = blank (not found; this is not a finding of absence). I read these parts of the KTCP Act text and found no regional or metropolitan plan with stated purpose or contents: Chapters I and IA, the provisions on surveys and the Master Plan (ss.9-13E), Chapter IV, Chapter V, and ss.81-81E. Section 81-C only says that Planning Authorities in the Bangalore Metropolitan Region submit their plans for approval through BMRDA, which acts as Director. A NO is still not supported, for three reasons:
- The metropolitan-level law, the BMRDA Act, 1985 (structure plan), is not in the Citation Sheet.
- KTCP amendments after 2015 are not consolidated in the sheet. The 2025 amendment bill (ULG-03) is shown only as passed by the Assembly, though it adds nothing on regional plans.
- GBA Act s.14(2)(c) has the BMPC, set up under Article 243ZE, prepare a 'draft development plan for the Greater Bengaluru Area as a whole' but gives no contents. That clause names the preparer as the 'Bengaluru Metropolitan Planning Authority', which should be checked against the gazette text.
- The BMRDA functions page (ULG-05) only says 'To prepare a structure plan'.
If reviewers rule that only the KTCP Act counts, as the methodology's 'Check the T&amp;CP Act' suggests, this input could become NO on the KTCP text read here. That should be confirmed first, and the KTCP amendments made after 2015 should be checked.
Quote: "Master Plan shall consist of a series of maps and documents indicating the manner in which the development and improvement of the entire planning area within the jurisdiction of the Planning Authority are to be carried out and regulated, such plan shall include proposals for the following, namely:-"
"Objectives/contents: Metropolitan/regional plan" left blank: the Citation Sheet doesn't decide it.</t>
  </si>
  <si>
    <t xml:space="preserve">Chapter III – Greater Bengaluru Authority</t>
  </si>
  <si>
    <t xml:space="preserve">Section 14(2) – Planning Functions</t>
  </si>
  <si>
    <t xml:space="preserve">Clause (c)</t>
  </si>
  <si>
    <t xml:space="preserve">AI (low confidence), from Step 2 answer (Partially Answered) and ULG-01: Part A is YES. The Greater Bengaluru Governance Act, 2024 (Karnataka Act 36 of 2025) is the municipal law for the GBA-era city government. Section 14(2)(c) says the State Government 'shall constitute' the Bengaluru Metropolitan Planning Committee. Its composition follows Article 243ZE, the Chief Minister chairs it and the GBA Chief Commissioner is Member Secretary. 'Shall' makes this a mandatory duty. Bengaluru is a metropolitan city, so the MPC test applies, not the DPC test. Section 103(1)(b) of the same Act backs this up: Ward Development Plans must be drawn up in line with the plans of the Bengaluru Metropolitan Planning Committee. I checked the Step 2 answer against the source text and it holds.
Part B is left blank because I could not find the rules, which is different from finding they do not exist. Section 14(2)(c) leaves the other members to be 'as prescribed', which means rules made under the Act. No Karnataka MPC/BMPC rules and no gazette notification are in the Citation Sheet. My searches for 'Metropolitan Planning Committee rules notified' and '243ZE District Planning Committee' found only provisions of the Act, not rules. I also checked the Karnataka Town and Country Planning Act (ULG-02, PRS text amended up to 2015), the 2025 Bill amending it (LA Bill 55 of 2025, ULG-03), the BDA Act (ULG-04) and the BMRDA pages (ULG-05/06). None of them contains MPC rules. A 'NO' needs affirmative absence, meaning the rules layer itself was searched, and it was not in the sheet. A person should check the Karnataka Gazette for BMPC rules under the GBG Act. They should also check whether any earlier MPC rules made under the Karnataka Municipal Corporations Act regime still apply to the Greater Bengaluru Area.
Other caveats:
(i) The same clause next says 'Bengaluru Metropolitan Planning Authority shall prepare a draft development plan'. This looks like a drafting slip for 'Committee'; please confirm.
(ii) The text I relied on is the PRS republication, not the gazette copy.
(iii) The Act 60 of 2025 amendment reproduced in ULG-01 does not change s.14(2)(c).
Era: GBA-era.
Quote: "(c) The State Government shall constitute the Bengaluru Metropolitan Planning Committee (BMPC) for area including but not limited to the Greater Bengaluru Area and with composition as per Article 243 ZE of the Constitution of India. The BMPC shall be chaired by the Chief Minister and comprise of other members as prescribed."
"Part B: MPC/DPC rules notified" left blank: the Citation Sheet doesn't decide it.</t>
  </si>
  <si>
    <t xml:space="preserve">AI: left for a person. Step 2 found no evidence (Insufficient Evidence). Source needed: Dated records of the BMPC actually meeting: (a) a Karnataka Urban Development Department notification or government order setting up the BMPC under GBG Act s.14(2)(c) / Article 243ZE; (b) BMPC meeting minutes, agendas, notices or resolutions dated within the last two years, from the GBA (whose Chief Commissioner is Member Secretary), the UDD or BMRDA; or (c) an RTI reply giving BMPC meeting dates.</t>
  </si>
  <si>
    <t xml:space="preserve">NA ONLY FOR NON-METROPOLITAN CITIES</t>
  </si>
  <si>
    <t xml:space="preserve">SELECT YES / NO / NA</t>
  </si>
  <si>
    <t xml:space="preserve">Section 9 (Constitution of the Greater Bengaluru Authority)</t>
  </si>
  <si>
    <t xml:space="preserve">s.9(1) 'shall, by notification, constitute'; s.9(2) body corporate; s.9(3) membership (as amended by Karnataka Act 01 of 2026); s.8(3) coordinator role</t>
  </si>
  <si>
    <t xml:space="preserve">AI (medium confidence), from Step 2 answer (Answered — Verified Source) and ULG-01: The answer is YES. Bengaluru is a million-plus city, so the question applies (it is not NA).
**What the law says:** The Greater Bengaluru Governance Act, 2024 (Karnataka Act 36 of 2025) creates a metropolitan-level authority. This is the example given in the methodology itself.
- s.9(1) says the Government 'shall, by notification, constitute' the Greater Bengaluru Authority (GBA). 'Shall' makes this a duty, not an option.
- s.9(2) makes the GBA a body corporate.
- s.9(3) sets its members: the Chief Minister as Chairperson, the Mayors of the City Corporations, and the heads of BDA, BWSSB and BMTC, among others.
- s.8(3) says the GBA 'shall discharge the role of coordinator among all the City Corporations and other agencies'.
**Whether it has been constituted:** No gazette notification under s.9(1) is in the Citation Sheet. So the GBA's actual constitution and its date are not shown directly. The Second Amendment Act (Karnataka Act 01 of 2026, 07.01.2026, appended in ULG-01) changes the GBA's membership in s.9(3) and s.9(5). That suggests the GBA exists, but only indirectly.
The 'constituted' part of the test is also met by a second body. The official BMRDA site (ULG-06) says the Bengaluru Metropolitan Region Development Authority is 'a statutory authority constituted on date 01-02-1986 under the provisions of the Bengaluru Metropolitan Region Development Authority Act 1985'. Its region includes Bengaluru Urban District. The KTCP Act s.81-C (ULG-02) also gives BMRDA a statutory role across the Metropolitan Region. So a metropolitan authority both established by law and constituted for the city is shown.
**Checks I made against the Step 2 answer:**
- I re-read ULG-01 s.9, s.8 and the Second Amendment, and ULG-06. They support the Step 2 answer.
- One point Step 2 missed: s.13(1)(e) lists the BMRDA Metropolitan Commissioner as a member of the GBA Executive Committee. This links the two bodies.
**Limits:**
- The GBA Act text is a PRS republication of the gazette text (secondary source).
- The full BMRDA Act, 1985 is not in the Citation Sheet.
- The commencement notification and the s.9 constitution notification for the GBA are not in the sheet. A reviewer should attach the s.9(1) notification and its date if the GBA itself must be shown as constituted.
- BMRDA's region (about 8,005 sq km) is wider than the GBA's Greater Bengaluru Area.
Quote: "As soon as may be after the date of commencement of this Act not later than one hundred twenty days  from the said date, the Government shall, by notification, constitute an Authority for the Greater Bengaluru Area called the Greater Bengaluru Authority."</t>
  </si>
  <si>
    <t xml:space="preserve">Section 9(3)-(7) (constitution of GBA), read with s.14(2)(a) (GBA is the Planning Authority under KTCP) and s.15(1) (GBA makes the master plan)</t>
  </si>
  <si>
    <t xml:space="preserve">s.9(3)(f)-(u), s.9(4), s.9(7); s.13(1); s.14(2)(a),(c); s.15(1)</t>
  </si>
  <si>
    <t xml:space="preserve">AI (medium confidence), from Step 2 answer (Partially Answered) and ULG-01: I am answering YES, which is a change from Step 2. Step 2 left this blank, but it missed the decisive provision in ULG-01, the Greater Bengaluru Governance Act 2024 (Karnataka Act 36 of 2025, GBA era). (1) Under s.14(2)(a) the Greater Bengaluru Authority is the 'Planning Authority' as defined under the KTCP Act 1961 for the Greater Bengaluru Area, 'notwithstanding anything contained in any other law'. Under s.15(1) it 'shall be responsible to make master plan and mobility plans'. So GBA is the body that prepares the statutory spatial plan (KTCP s.9 master plan). (2) Section 9(3) says GBA 'shall consist of' these members: the Mayors of the City Corporations (the ULGs); the Commissioner of BDA; the Chairman of BWSSB; the MDs of BMTC, BMRCL, BESCOM and BSWML; the CEO of BMLTA; the Commissioner of DULT; the Metropolitan Commissioner of BMRDA; the Police Commissioner; the Fire Services Director; and the Deputy Commissioners. Section 9(4) makes the City Corporation Commissioners ex-officio members. Section 9(7) gives all of them a vote. Section 9(6) makes KRIDE, the Tank Conservation Authority, KSDMA, the Slum Board and others special invitees. Section 13(1) sets up an Executive Committee of the same agency heads, which exercises the Authority's powers. Together these are binding ('shall') provisions that require ULGs and parastatals to take part in the body that creates the metro/city spatial plan. This goes well beyond KTCP s.4C(3)(iii), which only covers 'representatives of local bodies'. (3) Section 14(2)(c) adds a mandatory BMPC ('shall constitute') with composition as per Article 243ZE to prepare the draft development plan. (4) Older layer: BDA Act s.3(3)(f),(i)-(l) (ULG-04) required the Corporation Commissioner, representatives of BWSSB, KEB and KSRTC, and councillors to sit on BDA, the earlier planning authority under KTCP s.81-B. GBA Act s.14(2)(a) now overrides that. CAVEATS FOR THE REVIEWER: (a) Ward level: GBA Act s.103(1)(b) Ward Development Plans are priority lists of projects for allotting funds, not spatial plans. No ward-level spatial-plan participation provision was found, so the 'all three levels' part is only partly met. (b) Advisory council: no mandatory advisory council made up of civic agencies was found. KTCP s.4 State Town-Planning Board is 'may' and advises the State Government; GBA Act s.18 Sectoral Expert Committees are made up of domain experts. I read the methodology's advisory-council check as a further indicator, not a separate condition. If the reviewer reads it as a condition that must also be met, the answer should be reconsidered. (c) KTCP text is the PRS compilation up to Act 38 of 2015; the KTCP Rules, the BMPC prescribed composition and the BMRDA Act are not in the Citation Sheet. (d) ULG-03, the 2025 KTCP Amendment Bill, has no confirmed commencement and does not affect this answer.
Quote: "(f) The Mayors of the City Corporations within the Greater Bengaluru Area  - Ex-officio Members; (g) The Commissioner, Bangalore Development Authority –   Ex-officio Member; (h) The Chairman, Bangalore Water Supply and Sewerage Board– Ex-officio Member;"</t>
  </si>
  <si>
    <t xml:space="preserve">Chapter III – Outline Development Plan</t>
  </si>
  <si>
    <t xml:space="preserve">Section 10(1)-(2) and Section 13(1)-(2), as substituted by Act 1 of 2005</t>
  </si>
  <si>
    <t xml:space="preserve">s.10(1) calls for suggestions from the public within sixty days and s.10(2) says the Planning Authority 'shall consider such suggestion'. s.13(1) says the Planning Authority 'shall thereupon publish, by notification, the plan and the reports inviting public comments within sixty days' and s.13(2) says it 'shall consider such comments'.</t>
  </si>
  <si>
    <t xml:space="preserve">AI (low confidence), from Step 2 answer (Partially Answered) and ULG-02: Part B = YES. The Karnataka Town and Country Planning Act, 1961 (KTCP Act) sets two mandatory public consultation steps for the master plan. First, s.10(1): the Planning Authority 'shall publish' its declaration of intention, calling suggestions from the public, and under s.10(2) it 'shall consider' them (it only 'may' modify the plan). Second, s.13(1)-(2): after the State's provisional approval, the Planning Authority 'shall' publish the plan inviting public comments within sixty days. It 'shall consider such comments' and resubmit the plan with recommended changes. The methodology credits any provision for public consultation or suggestions and objections, so this meets Part B. Caveat: under the s.10(1) proviso, no declaration is needed when the Director prepares the plan under s.9(2). The s.13 public comment step applies in every case. Under GBA Act s.7(2)(a) (ULG-01), the Greater Bengaluru Authority (GBA) is the Planning Authority under the KTCP Act for the Greater Bengaluru Area. That is how these provisions apply here. I checked the source and it supports the Step 2 answer.
Part A = blank (not found, not affirmatively absent). Sources read: the KTCP Act s.6-13-E with amendments to 2015 and the appended Act 47 of 2020 (ULG-02). The 2020 amendment requires display at ward offices and sends the plan to local authorities for observations. That is display and consultation with the local government, not participation through Ward Committees or Sabhas. I also read GBA Act s.7(2) and s.103 (ULG-01). Under s.103(1)(b)-(c), the Ward Sabha gives input only to the annual Ward Development Plan. That plan is a priority list of projects for funding, not the master plan. s.103(1)(d) covers general meetings on any issue, with no link to the master plan. The search found no Ward Committee or Area Sabha role in master plan preparation. Even so, I cannot score 0, for three reasons. (1) The KTCP Rules, which set the 'prescribed manner' of publication and consultation, are not in the Citation Sheet. (2) GBA Act s.7(2)(c) is cut off in the source just after 'prepare a draft development plan for the Greater Bengaluru Area as a whole and disc...'. The rest of that clause, possibly discussion with City Corporations or Ward Committees, could not be read. (3) A consolidated KTCP text after 2020 is not available. Rule 5 therefore applies: not found is not absent.
For the reviewer: obtain the full text of GBA Act s.7(2)(c) and the KTCP Rules, then decide Part A. If Part A is confirmed absent, the total is 5/10 (Part B only). The legal text comes from PRS republications (secondary sources).
Quote: "The planning authority shall publish a notice of such declaration in the Official Gazette and also in one or more local newspaper in the prescribed manner calling suggestions from the public within a period of sixty days:"
"Part A: Formal platforms (ward committees / area sabhas)" left blank: the Citation Sheet doesn't decide it.</t>
  </si>
  <si>
    <t xml:space="preserve">Karnataka Town and Country Planning Act, 1961 (KTCP Act): Master Plan provisions</t>
  </si>
  <si>
    <t xml:space="preserve">Section 13 (Approval of the Master Plan), as substituted by Act 1 of 2005 w.e.f. 14.2.2005; also s.10(1)-(2) and s.13-A(1)</t>
  </si>
  <si>
    <t xml:space="preserve">s.13(1)-(2)</t>
  </si>
  <si>
    <t xml:space="preserve">AI (low confidence), from Step 2 answer (Partially Answered) and ULG-02: Part B = YES. KTCP Act s.13(1) says the Planning Authority 'shall thereupon publish, by notification, the plan and the reports inviting public comments within sixty days'. s.13(2) says it 'shall consider such comments and resubmit' the plan with changes 'in the light of the public comments'. That is a mandatory public process with comments and responses. s.10(1)-(2) adds a second mandatory step: the notice of intention to prepare the plan 'calling suggestions from the public within a period of sixty days', which the Planning Authority 'shall consider'. s.13-A(1) applies the s.13 procedure to Interim Master Plans. The Greater Bengaluru Governance (GBG) Act 2024 (ULG-01), Planning Functions clause (2)(a), makes the Greater Bengaluru Authority (GBA) the KTCP Planning Authority for the Greater Bengaluru Area 'notwithstanding anything contained in any other law', so this duty applies to Bengaluru's city plan. Version: PRS republication of the KTCP Act with amendments up to Act 38 of 2015.
Part A is left blank (not found, but not shown to be absent). Neither KTCP s.10 nor s.13 routes plan scrutiny through ward committees, ward sabhas or area sabhas. In the GBG Act, s.103(1)(c) provides only an annual Ward Sabha meeting 'for providing inputs for the formulation of the Annual Ward Development Plan'. That plan is a ward-level priority list for allotting funds (s.2(79), s.103(1)(b)), not public scrutiny of the city plan with objections and responses. s.103(1)(d) (a general meeting on 'any issue which requires decision making by popular participation') is discretionary and does not mention the plan. I cannot record NO, because affirmative absence is not established: (1) the KTCP Rules, which set the 'prescribed manner' of publication, are not in the Citation Sheet; (2) KTCP amendments after 2015 are not in the Sheet, apart from the 2025 Amendment Bill (ULG-03), whose commencement is unconfirmed; (3) the GBG Act's BMPC clause (draft development plan 'for the Greater Bengaluru Area as a whole and disc…') is cut off in the Citation Sheet text, so any consultation step it sets out could not be read.
Someone should check the full BMPC clause in the GBG Act, the KTCP Rules and any post-2015 KTCP amendments before recording Part A. Score if Part A is later found to be absent: 2.50. Score if a ward-level provision is found: 5.00.
Quote: "If within sixty days of the publication under sub-section (1), any member of the public communicates in writing to the Planning Authority any comments on the plan and the reports, the Planning authority shall consider such comments and resubmit the plan and the reports to the State Government, through the Director with recommendations for such modifications in the plan and reports as it considers necessary in the light of the public comments made on the plan and reports."
"Part A: Formal platforms (ward committees / area sabhas)" left blank: the Citation Sheet doesn't decide it.</t>
  </si>
  <si>
    <t xml:space="preserve">AI: left for a person. Step 2 found no evidence (Insufficient Evidence). Source needed: Records that the consultation actually happened for Bengaluru's current master plan (for example the Revised Master Plan in force, or any draft revision by BDA or GBA): (a) the gazette notification under KTCP s.13(1) publishing the draft plan and inviting public comments, with dates; (b) the planning authority's notices or newspaper advertisements inviting objections or suggestions; (c) a report or minutes listing the objections received and how each was considered, and the resubmission to Government under s.13(2); (d) the final approved plan document, if it records the public-scrutiny process; (e) official BDA or GBA web pages with consultation details.</t>
  </si>
  <si>
    <t xml:space="preserve">Chapter III – Master Plan (inserted by KTCP (Amendment) Act 2004, Act 1 of 2005, in force from 14.2.2005)</t>
  </si>
  <si>
    <t xml:space="preserve">Section 13-D (Revision of Master Plan), read with s.12(1)(a) and s.12(2)(iii)</t>
  </si>
  <si>
    <t xml:space="preserve">s.13-D; s.12(2)(iii) 'regulations in respect of each land use zone'</t>
  </si>
  <si>
    <t xml:space="preserve">119</t>
  </si>
  <si>
    <t xml:space="preserve">AI (low confidence), from Step 2 answer (Partially Answered) and ULG-02: Source: the Karnataka Town and Country Planning (KTCP) Act 1961, PRS republication with amendments up to Act 38 of 2015 (ULG-02). This is a secondary copy, not the official gazette text. I checked the Step 2 answer against the text and agree with it.
(1) Periodic review and revision mandated: LEFT BLANK.
- Under s.13-D, the Planning Authority 'may' revise the plan. It 'shall' do so only 'if directed so by the State Government'.
- The methodology says that merely alluding to revision after ten years does not count as a mandate.
- So the text points to NO. But a NO needs affirmative absence, and two layers are missing from the Citation Sheet: the KTCP Rules 1965 and any KTCP amendments after 2015. Any Bengaluru zoning regulations or DCR instrument is also missing.
- I checked the 2025 KTCP Amendment Bill (ULG-03). It does not touch s.13-D. It adds s.81-G (GBA becomes the local planning authority) and s.2-A/2-B (Commissionerate).
- I checked the BDA Act (ULG-04). It has no master plan revision duty; its regulations under s.70 and bye-laws under s.71 are administrative or building matters.
- I checked the GBA Act (ULG-01). It has no plan revision provision.
- A reviewer should confirm that the Rules and later amendments are silent. If they are, enter NO.
(2) Timeline specified: YES. s.13-D says 'At least once in every ten years from the date on which the Master Plan has come into force'.
(3) Responsible authority specified: YES. s.13-D names 'the Planning Authority', with the State Government able to direct revision. For Bengaluru, GBA Act s.15(2)(a) (ULG-01 p.14) says 'the Greater Bengaluru Authority shall be the "Planning Authority" as defined under the Karnataka Town and Country Planning Act, 1961, for the areas comprising of the Greater Bengaluru Area'.
(4) Corresponding DCR revision required: YES. s.13-D applies ss.9-12 mutatis mutandis to any revision.
- s.12(1)(a) requires zoning of land use 'together with Zoning Regulations'.
- s.12(2)(iii) says that 'regulations in respect of each land use zone to enforce the provisions of such plan' 'shall be published and sent to the State Government ... along with the masterplan' (amending Act text, ULG-02 p.117).
- So a revised plan must carry revised zoning regulations, which are the DCR equivalent.
- s.13-E, under which the State 'may' amend regulations, is a separate, discretionary power.
- A reviewer should confirm that this reading of 'corresponding DCR revision' through the mutatis mutandis clause is acceptable.
If component 1 is confirmed NO, the score would be 7.5/10. Other open points: the commencement dates of the GBA Act and of the 2025 Amendment Bill are not confirmed.
Quote: "At least once in every ten years from the date on which the Master Plan has come into force, subject to the provisions of section 13-C, the Planning Authority may and if directed so by the State Government shall, carryout a fresh survey of the area within its jurisdiction, with a view to revising the existing Master Plan and the provisions of  section 9 to section 12 (both inclusive) shall mutatis mutandis apply in respect of such revision of the Master Plan."
"Periodic review &amp; revision mandated" left blank: the Citation Sheet doesn't decide it.</t>
  </si>
  <si>
    <t xml:space="preserve">Chapter XX (Waste Management), Greater Bengaluru Governance Act, 2024 (Karnataka Act 36 of 2025)</t>
  </si>
  <si>
    <t xml:space="preserve">Section 279 (Ward Micro Plan)</t>
  </si>
  <si>
    <t xml:space="preserve">s.279(1)</t>
  </si>
  <si>
    <t xml:space="preserve">108</t>
  </si>
  <si>
    <t xml:space="preserve">AI (low confidence), from Step 2 answer (Partially Answered) and ULG-01: Sources: KTCP Act 1961 as amended up to Act 38 of 2015 (ULG-02) and GBA Act 2024 (Karnataka Act 36 of 2025, GBA era) (ULG-01). Both are PRS republications, so they are secondary sources.
(1) Water supply / sewerage, left blank (not found, but absence not confirmed):
- KTCP s.12(1) (master plan 'shall include proposals for') lists (a) to (g): land-use zoning, street pattern, parks and civic areas, future development areas, land reservation for public utility undertakings and others, special control areas, and stages. No water supply or sewerage component is listed. Clause (e) only reserves land; it does not require a plan.
- KTCP s.26(2)(f) (drainage inclusive of sewerage) and s.26(2)(h) (water supply) say a town planning scheme 'may make provisions for' these. That is 'may', so the methodology excludes it.
- GBA Act s.14(2)(a) makes the GBA the Planning Authority. s.15(1) says the GBA 'shall be responsible to make master plan and mobility plans for the infrastructure development' but names no water or sewerage component.
- GBA Act s.315(l): master plan chapters 'may' be set by regulations. This is discretionary, and no such regulations are in the Sheet.
- Schedule I lists water supply as a core function. That is a function, not a plan mandate.
- I cannot confirm absence because the KTCP Rules, the BWSSB Act, any s.315(l) regulations, the BMRDA Act text and the full GBA Act service chapters are not in the Sheet or were only partly read.
(2) City sanitation, left blank for the same reasons. KTCP s.12 has no sanitation component. GBA Act s.103(1)(j) and s.278(1) give Ward Committees duties to 'ensure' sanitation work. These are functions, not a sanitation plan. s.278(2) Ward action plans focus on solid waste. BDA Act s.28A(b) is a duty to provide services on streets the BDA forms, not a plan, and the BDA is no longer the Planning Authority for the Greater Bengaluru Area.
(3) Solid waste management, YES (judgement call):
- GBA Act s.279(1) uses 'shall': the City Corporation must create a solid waste management plan for every block in every ward. Taken together, these plans cover the whole city.
- s.278(2),(6) also require ward action plans in line with the Solid Waste Management Rules, 2016.
- I treat the GBA Act as an 'allied act': it makes the GBA the KTCP Planning Authority and sets up the City Corporations that form the city government.
- A PERSON SHOULD CONFIRM two points. First, the duty falls on the City Corporations, not on the GBA as Planning Authority. Second, the plan is block/ward-level, not a single city-wide plan. If the reviewer reads the methodology strictly as 'the planning authority must prepare', change this to blank or NO.
- Neither the KTCP Act nor the KTCP amendment bill LA Bill 55 of 2025 (ULG-03; it only makes the GBA the planning authority) contains a solid waste plan mandate.
Quote: "279. Ward Micro Plan.- (1) The City Corporation shall create a solid waste management plan for every block in a Ward and  ensure  its  implementation  along with the Ward  Committee."
"Water supply / sewerage" left blank: the Citation Sheet doesn't decide it.
"City sanitation" left blank: the Citation Sheet doesn't decide it.</t>
  </si>
  <si>
    <t xml:space="preserve">Chapter XIX – Disaster Management (with Chapter on the Greater Bengaluru Authority, s.17 Climate Action Cell)</t>
  </si>
  <si>
    <t xml:space="preserve">Section 270(3), Greater Bengaluru Governance Act, 2024 (Karnataka Act 36 of 2025); also s.17(1) and the planning-functions provision, sub-s.(2)(a)</t>
  </si>
  <si>
    <t xml:space="preserve">s.270(3); s.17(1)</t>
  </si>
  <si>
    <t xml:space="preserve">105</t>
  </si>
  <si>
    <t xml:space="preserve">AI (medium confidence), from Step 2 answer (Answered — Verified Source) and ULG-01: I scored YES. Two 'shall' provisions in the city's governing law (ULG-01, GBA Act) support it, read together with the KTCP Act. (1) s.270(3): the City Corporation 'shall prepare a Disaster Management Plan or Fire Hazard Response and Mitigation Plan every year' and publish it in the Official Gazette. The City Corporations are the ULG being assessed. (2) s.17(1): the Greater Bengaluru Authority 'shall, within one year of its constitution, establish a Climate Action Cell ... tasked with the responsibility to formulate and implement Bengaluru Climate Action and Resilience Plan'. GBA is the KTCP 'Planning Authority' for the Greater Bengaluru Area under the planning-functions provision, sub-s.(2)(a) ('Notwithstanding anything contained in any other law'). That makes the GBA Act an 'allied act' to the KTCP Act, and it places a mandatory resilience-plan duty on the planning authority itself. Neither provision uses 'may'.
The KTCP Act itself does not mandate disaster planning. The master-plan contents in KTCP s.12(1) (ULG-02, as substituted by Act 1 of 2005) cover zoning, street pattern, parks and open spaces, and similar items, with no disaster or resilience item. If a reviewer reads the question strictly as 'the T&amp;CP Act alone', the answer would change. The methodology, however, expressly allows 'T&amp;CP/UDA/allied acts' and a standalone disaster management or resilience plan.
Points a person should check:
(a) Whether a 'Climate Action and Resilience Plan' counts as a 'resilience plan'.
(b) The s.270(3) duty falls on the City Corporations, not on GBA as Planning Authority, so check that it counts under 'allied acts'.
(c) The GBA Act and KTCP Act copies are PRS republications (secondary). The KTCP copy has amendments only up to 2015. No official gazette copy is in the Citation Sheet.
(d) The State rules referred to in s.270(3) ('as prescribed') are not in the sheet.
(e) The plan contents for the BMPC (Bengaluru Metropolitan Planning Committee) development plan were only partly read.
I did not rely on ULG-03 to ULG-06 (the 2025 KTCP Amendment Bill, the BDA Act and the BMRDA pages). Step 2 reports no disaster mandate in them.
Quote: "The City Corporation shall prepare a Disaster Management Plan or Fire Hazard Response and Mitigation Plan every year as prescribed by the State Government after previous publication and publish the Plan in the Official Gazette."</t>
  </si>
  <si>
    <t xml:space="preserve">Greater Bengaluru Governance Act, 2024 (Karnataka Act 36 of 2025): the chapter on the Greater Bengaluru Authority's functions</t>
  </si>
  <si>
    <t xml:space="preserve">Section 15(1), read with Section 14(2)(a)</t>
  </si>
  <si>
    <t xml:space="preserve">s.15(1), first sentence; s.14(2)(a) makes GBA the 'Planning Authority' under the Karnataka Town and Country Planning (KTCP) Act, 1961</t>
  </si>
  <si>
    <t xml:space="preserve">AI (medium confidence), from Step 2 answer (Answered — Verified Source) and ULG-01: The answer is YES. Karnataka law uses a mandatory 'shall' in two places. Both are in the Citation Sheet and I checked both against the source text. (1) Section 15(1) of the Greater Bengaluru Governance (GBG) Act says the Greater Bengaluru Authority (GBA) 'shall be responsible to make master plan and mobility plans' for the Greater Bengaluru Area. Section 14(2)(a) of the same Act makes GBA the 'Planning Authority' as defined under the KTCP Act for that area. So the GBG Act, which counts as an allied Act, gives the planning authority a mandatory duty to make mobility plans. (2) KTCP Act s.12(1), as substituted by Act 1 of 2005 (ULG-02), says the Master Plan 'shall include proposals for ... (b) a complete street pattern ... and traffic circulation pattern, for meeting immediate and future requirements with proposals for improvements'. That is a mandatory mobility component of the city plan. Either route meets the methodology, and neither is a 'may' provision. Step 2 reached the same answer and I agree with it. Amendments: ULG-01 also contains Amendment Act 60 of 2025, which changes only s.8(2) and s.14(1). It also contains the Second Amendment Act, Karnataka Act 01 of 2026, which changes s.9, 13, 29, 30, 33 and 241. Step 2 did not mention this second Act, but neither amendment touches s.14(2) or s.15, so the finding stands. Caveats for the reviewer: (a) The GBG Act says 'mobility plans' but does not define the term or use 'comprehensive mobility plan', and it frames them as being 'for infrastructure development'. (b) KTCP s.12(1)(b) is about streets and traffic circulation, not a full multimodal comprehensive mobility plan. (c) All Act texts are PRS republications, not official gazette copies. (d) The KTCP consolidation in ULG-02 runs only to Act 38 of 2015, so any later change to s.12 is unverified. ULG-03 is a 2025 amendment Bill, not confirmed as enacted. (e) The Citation Sheet has no KTCP or GBG Rules and no metropolitan land transport authority law. Because the mandate already exists at Act level, these gaps do not change the answer. Confidence is medium because the answer reads two instruments together (GBA's planning-authority status plus its s.15 duty, and the KTCP master-plan contents) and relies only on PRS text. Period: the GBG Act as amended up to Act 01 of 2026; era is the GBA era.
Quote: "The Greater Bengaluru Authority shall be responsible to make master plan and mobility plans for the infrastructure development of the Greater Bengaluru Area."</t>
  </si>
  <si>
    <t xml:space="preserve">Section 17 (Climate Action Cell), read with Section 14(2)(a) (Planning Functions)</t>
  </si>
  <si>
    <t xml:space="preserve">s.17(1); s.17(2); s.14(2)(a)</t>
  </si>
  <si>
    <t xml:space="preserve">AI (medium confidence), from Step 2 answer (Answered — Verified Source) and ULG-01: Answer is YES. The source supports the Step 2 answer. The methodology lets us count T&amp;CP, UDA and allied Acts. The Greater Bengaluru Governance Act, 2024 (Karnataka Act 36 of 2025) is an allied Act. Its s.14(2)(a) says the Greater Bengaluru Authority (GBA) 'shall be the "Planning Authority" as defined under the Karnataka Town and Country Planning Act, 1961' for the Greater Bengaluru Area. Its s.17(1) says GBA 'shall' set up, within one year, a Climate Action Cell 'tasked with the responsibility to formulate and implement Bengaluru Climate Action and Resilience Plan'. Under s.17(2), the Cell 'shall' spearhead implementation of that plan. This is a binding 'shall' duty on the planning authority to have a climate plan prepared. It is not a 'may' provision. 
Other instruments checked:
(a) KTCP Act s.12(1), as substituted by Act 1 of 2005 (ULG-02, PRS text with amendments up to Act 38 of 2015). The master plan 'shall include proposals for' zoning, street pattern, areas reserved for parks, playgrounds and open spaces, and similar items. There is no sustainability, climate or environmental-conservation component, so the KTCP Act alone would not give a YES.
(b) KTCP Act s.26(2), town planning schemes. Green belts and 'natural beauty' appear only in a 'may' list, so they do not count.
(c) BDA Act s.51 (ULG-04), per the Step 2 notes. The Government 'may' set up an Art Commission, which is optional and advisory, so it does not count.
(d) ULG-03, the KTCP Amendment Bill 2025. It is a Bill, and its enactment is not verified.
Points for a reviewer to check:
(1) The duty is worded as GBA establishing a Cell 'tasked with' formulating the plan, not 'GBA shall prepare'. I read this as a mandate on the planning authority. A reviewer should confirm this counts under UPD13d.
(2) The Climate Action and Resilience Plan is a separate plan, not a statutory part of the KTCP master plan. The methodology accepts either a separate plan or a master-plan component.
(3) All Act texts are PRS republications, which are secondary sources.
(4) No Rules under the GBA Act or KTCP Act are in the Citation Sheet.
Era: GBA era.
Quote: "The Greater Bengaluru Authority shall, within one year of its constitution, establish a Climate Action Cell, with the Chief Commissioner as the chairperson, tasked with the responsibility to formulate and implement Bengaluru Climate Action and Resilience Plan and such other plans and strategies for mitigating Greenhouse Gas emissions."</t>
  </si>
  <si>
    <t xml:space="preserve">Chapter III – Master Plan</t>
  </si>
  <si>
    <t xml:space="preserve">Section 12 – Contents of Master Plan (substituted by Karnataka Act 1 of 2005, w.e.f. 14.02.2005)</t>
  </si>
  <si>
    <t xml:space="preserve">Section 12(3); read with s.2(1ea), s.2(1eb) and s.9(1)</t>
  </si>
  <si>
    <t xml:space="preserve">AI (medium confidence), from Step 2 answer (Answered — Verified Source) and ULG-02: I scored YES. Section 12(3) of the Karnataka Town and Country Planning Act (KTCP Act) is binding: it says the Master Plan 'shall indicate' Heritage Buildings and Heritage Precincts and 'shall include' the regulations for conserving them. The methodology accepts this kind of heritage conservation component inside the city plan. I checked the wording in the text of ULG-02 myself, not just in the Step 2 answer. It appears twice, in the consolidated s.12 and in s.6 of the appended Amendment Act 2004 (Karnataka Act 1 of 2005, Gazette dated 14.02.2005).
Why the duty is mandatory: s.9(1) says 'Every planning authority shall ... prepare and publish ... a master plan', so the heritage content is required, not optional. The 'may' wording in s.13-D covers only when the plan is revised, not what it must contain, so it does not weaken s.12(3).
Who the planning authority is: before the change it was the Bangalore Development Authority (BDA), under KTCP s.81-B. Under the Greater Bengaluru Governance Act 2024 (ULG-01), the Greater Bengaluru Authority (GBA) is now the KTCP Planning Authority for the Greater Bengaluru Area. Either way, s.12(3) binds that body.
Supporting evidence: Chapter XXII of the Greater Bengaluru Governance Act (ss.296–297, 'shall') adds further binding heritage duties. This backs up the answer but is not needed for it.
Please check:
(a) ULG-02 is a PRS republication with amendments only up to Act 38 of 2015. The Karnataka Gazette text should be checked to confirm that no later amendment has changed s.12(3).
(b) Whether the 2025 KTCP Amendment Bill (ULG-03) has become law. Its status does not change the answer.
Quote: "(3) Master Plan shall indicate “Heritage Buildings” and “Heritage Precincts” and shall include the regulations made therein for conservation of the same."</t>
  </si>
  <si>
    <t xml:space="preserve">Chapter III (Master Plan), Karnataka Town and Country Planning Act, 1961</t>
  </si>
  <si>
    <t xml:space="preserve">Section 12(1) (Contents of Master Plan), as substituted by Act 1 of 2005 w.e.f. 14.2.2005</t>
  </si>
  <si>
    <t xml:space="preserve">s.12(1)(a) and (c)</t>
  </si>
  <si>
    <t xml:space="preserve">AI (low confidence), from Step 2 answer (Partially Answered) and ULG-02: All three inputs are blank. None can be scored YES, and a NO is not allowed because the full set of instruments has not been checked.
**What I checked:**
- **KTCP Act s.12(1)** (ULG-02, PRS text as amended to Act 38 of 2015). It says the Master Plan 'shall include proposals for' the following:
  - (a) zoning of land use, including 'educational' purposes
  - (c) areas reserved for 'public buildings and institutions'
  - clauses (b) and (d) to (g): streets, expansion areas, reservations, special control areas and stages
  - s.12(3) adds heritage.
  These are land-use and zoning duties. They do not require a social development plan or a social development component. Public health and affordable or low-income housing are not mentioned. s.26(2)(e) (schools in town planning schemes) uses 'may', so it does not count.
- **GBA Act 2024** (ULG-01):
  - s.14(2)(a) makes GBA the Planning Authority under the KTCP Act.
  - s.15(1) is limited to a 'master plan and mobility plans for the infrastructure development'.
  - s.18(1)(d) sets up the Social Inclusion/Education/Health committee, which only advises.
  - Schedule I core function (iii) is 'Planning for economic and social development', alongside service functions for housing, education and public health. These are City Corporation functions. They do not set what a plan must contain, and they are not a T&amp;CP/UDA plan mandate with health, education and housing components.
- **2025 KTCP amendment Bill** (ULG-03): does not change what the Master Plan must contain.
- **BDA Act** (ULG-04): no social development plan provision in the parts read.
- **BMRDA pages** (ULG-05, ULG-06): list functions only.
**Why each input is blank:**
- **Education:** s.12(1)(a) makes educational land-use zoning mandatory ('shall'), but the methodology asks for a social development plan or component. Zoning land for educational use is arguably not that. A methodology decision is needed. CONFIRM whether this zoning duty earns the Education component.
- **Public health and Affordable housing:** I found no provision. A 0 needs affirmative absence, which is not possible because these are not in the Citation Sheet:
  - the KTCP Rules
  - the Zoning Regulations / Revised Master Plan regulations
  - any GBA rules setting the contents of the metropolitan development plan
  - any state inclusionary-housing instrument
  Not found is not the same as absent.
**Other notes:**
- The Max Score is 1.67, while the components add up to 0.55 × 3 = 1.65. This small gap has no effect, because nothing is scored.
- All the Act texts are PRS secondary republications.
Quote: "such plan shall include proposals for the following, namely:- (a) zoning of land use for residential, commercial, industrial, agricultural, recreational, educational and other purposes together with Zoning Regulations;"
"Public health" left blank: the Citation Sheet doesn't decide it.
"Education" left blank: the Citation Sheet doesn't decide it.
"Affordable housing" left blank: the Citation Sheet doesn't decide it.</t>
  </si>
  <si>
    <t xml:space="preserve">AI: left for a person. Step 2 found no evidence (Insufficient Evidence). Source needed: Any one of these would answer it: the BMRDA Structure Plan / Regional Plan document for the Bengaluru Metropolitan Region (e.g. the plan report on BMRDA's 'Structure Plan' or 'Reports' pages), together with the Government of Karnataka order or gazette notification approving it, with its date and plan horizon; or a BMPC metropolitan draft development plan, if one has been published and notified.</t>
  </si>
  <si>
    <t xml:space="preserve">AI: left for a person. Step 2 found no evidence (Insufficient Evidence). Source needed: The notified master plan, development plan or city plan for the Greater Bengaluru / BDA local planning area (for example the current Revised Master Plan document). It should come with the Karnataka Gazette notification of the government's approval under KTCP Act s.13, taken from the GBA, BDA or Town and Country Planning Department website or the eGazette. Maps alone do not count.</t>
  </si>
  <si>
    <t xml:space="preserve">AI: left for a person. Step 2 found no evidence (Insufficient Evidence). Source needed: An actual published plan for the Greater Bengaluru Area that uses the words ward development plan, zonal plan or local area plan. Examples: annual Ward Development Plans from the City Corporations or Ward Committees (or BBMP-era ward plans, as context only); the zonal or planning-district plans and maps of the Revised Master Plan 2015, or any newer GBA Master Plan; or a gazette notification approving a local area plan. These should come from the GBA, City Corporation, BDA or Urban Development Department websites.</t>
  </si>
  <si>
    <t xml:space="preserve">Months elapsed since end of validity period</t>
  </si>
  <si>
    <t xml:space="preserve">AI: left for a person. Step 2 found no evidence (Insufficient Evidence). Source needed: Needed: (1) the Karnataka Gazette notification approving the master plan now in force for the Greater Bengaluru Area under KTCP section 13 (or the plan inherited from the Bangalore Development Authority), with its notification date, horizon year and stated validity; (2) the gazette notification of the previous master plan; (3) proof of any revised or draft master plan, or of a final approval after the earlier plan's horizon; (4) the notification bringing the 2025 KTCP Amendment Act into force (section 81-G), to confirm the plan now counts as the Greater Bengaluru Authority's.</t>
  </si>
  <si>
    <t xml:space="preserve">AI: left for a person. Step 2 found no evidence (Insufficient Evidence). Source needed: (a) The approved BMRDA Structure Plan for the Bengaluru Metropolitan Region, with its approval notification and stated plan period or horizon year. (b) The final notified Master Plan in force for the Greater Bengaluru / Bengaluru local planning area (approved under KTCP Act s.13), with its gazette notification and plan period. (c) Any later draft or approved development plan from the BMPC or the Greater Bengaluru Authority, with its period. The two sets of dates then need to be compared.</t>
  </si>
  <si>
    <t xml:space="preserve">NA ONLY WHERE THE CITY HAS NO WARD/LOCAL PLAN</t>
  </si>
  <si>
    <t xml:space="preserve">AI: left for a person. Step 2 found no evidence (Insufficient Evidence). Source needed: Two things would answer this. (a) The currently operative master plan for the Greater Bengaluru Area (or BDA's Revised Master Plan deemed to be GBA's), with its State Government approval notification in the Karnataka Gazette and its plan horizon or validity period. (b) Any notified ward, zonal or local area plans, or adopted Ward Development Plans, for the GBA City Corporations, with their stated periods. Documents showing whether the 2025 KTCP Amendment Bill has commenced would also settle which master plan applies.</t>
  </si>
  <si>
    <t xml:space="preserve">https://bdakarnataka.in/
https://data.opencity.in/dataset/bda-revised-master-plan-2015/resource/dc23b4ae-e020-4499-b18d-8e4ed2f86a24
</t>
  </si>
  <si>
    <t xml:space="preserve">AI: left for a person. Step 2 found no evidence (Insufficient Evidence). Source needed: The notified master plan for the Greater Bengaluru Area (the current Revised Master Plan, and any GBA-prepared plan) with its report describing how it was prepared. Minutes or notes of any plan-preparation committee or stakeholder meetings held by BDA or GBA (showing invitations to BWSSB, traffic police, BESCOM, BMTC/BMRCL/DULT, health and education departments). GBA and Executive Committee minutes published under s.12(6). City Corporation action plans showing that sectoral plans were integrated. Any KTCP Rules or GBA regulations on how plans are prepared.</t>
  </si>
  <si>
    <t xml:space="preserve">https://data.opencity.in/dataset/bda-revised-master-plan-2015/resource/dc23b4ae-e020-4499-b18d-8e4ed2f86a24</t>
  </si>
  <si>
    <t xml:space="preserve">AI: left for a person. Step 2 found no evidence (Insufficient Evidence). Source needed: The full text of Bengaluru's current notified master plan, with its gazette notification and planning report. This means the master plan approved by the state under KTCP s.13 for the area now under the GBA, plus any draft successor plan or development plan from the GBA or the Bengaluru Metropolitan Planning Committee. The plan's chapters on economy, employment, workforce, land use for industry and commerce, and street vending or informal livelihoods are needed to check for priorities and measurable targets.</t>
  </si>
  <si>
    <t xml:space="preserve">AI: left for a person. Step 2 found no evidence (Insufficient Evidence). Source needed: Needed to answer: (1) the current notified Master Plan for Bengaluru (the Bangalore Development Authority's Revised Master Plan, now deemed the Greater Bengaluru Authority's) with its plan report, gazette notification and Zoning Regulations, including any environmental sections (lakes and buffers, green cover, sensitive areas); or any draft or approved new Master Plan for the Greater Bengaluru Area; (2) the Bengaluru Climate Action and Resilience Plan, with its priorities, actions, targets and indicators, and its adoption or approval date.</t>
  </si>
  <si>
    <t xml:space="preserve">AI: left for a person. Step 2 found no evidence (Insufficient Evidence). Source needed: The current notified master plan for the Bengaluru / Greater Bengaluru local planning area, with its heritage chapter, its heritage building and precinct list, and its zoning regulations for heritage areas. A newer draft or notified master plan prepared by GBA or BDA, and any GBA or city corporation heritage plan or heritage list made under GBA Act s.297, together with the gazette notifications that bring them into force.</t>
  </si>
  <si>
    <t xml:space="preserve">AI: left for a person. Step 2 found no evidence (Insufficient Evidence). Source needed: The current notified master or development plan for the Greater Bengaluru Area: the Revised Master Plan with its gazette notification and its social-infrastructure or education chapter, or a draft or final GBA/BMPC development plan. Also any City Corporation development or ward plan with education priorities, actions and measurable targets (anganwadi or pre-primary coverage, schools per population norm, accessibility for persons with disabilities). The BMRDA structure plan report would help as supporting context.</t>
  </si>
  <si>
    <t xml:space="preserve">AI: left for a person. Step 2 found no evidence (Insufficient Evidence). Source needed: The current notified master plan or development plan for the Greater Bengaluru Area: either the BDA Revised Master Plan, deemed under s.81-G as amended, or a GBA-era plan. Its gazette notification is also needed, along with the plan report's chapter on health or social infrastructure, showing healthcare priorities, interventions such as PHC, hospital or maternity facility norms and reservations, and any measurable targets or outcome indicators. Alternatively, a GBA or city corporation city development plan or health sector plan that is formally part of the municipal/city plan.</t>
  </si>
  <si>
    <t xml:space="preserve">AI: left for a person. Step 2 found no evidence (Insufficient Evidence). Source needed: The current master plan for the Greater Bengaluru Area (or the BDA local planning area) as notified in the gazette: its report or vision document and its housing / affordable-housing / slum chapter. A draft master plan published for objections, or a GBA / City Corporation housing action plan or slum rehabilitation plan, would also do. Whichever is used, it must show any assessment of housing need, slum upgrade targets, land parcels set aside for affordable housing, or the plan year and target figures.</t>
  </si>
  <si>
    <t xml:space="preserve">AI: left for a person. Step 2 found no evidence (Insufficient Evidence). Source needed: The full text of the current notified master plan or development plan for the Greater Bengaluru Area (e.g. the BDA Revised Master Plan, or any GBA or BMPC draft development plan), with its gazette notification and plan period. Ideally also the city's mobility plan or city development plan. Any of these would show whether the plan sets women-specific priorities, interventions and measurable targets or outcome indicators.</t>
  </si>
  <si>
    <t xml:space="preserve">https://ksrsac.karnataka.gov.in/map.aspx</t>
  </si>
  <si>
    <t xml:space="preserve">AI: left for a person. Step 2 found no evidence (Insufficient Evidence). Source needed: Needed: the official website or geoportal of Karnataka's state spatial data centre (e.g. KSRSAC or a Karnataka geospatial data / GIS portal). It must show (1) a state base map open to all agencies and parastatals, and (2) downloadable spatial data files (shapefile/KML) for at least two of: land use; transport (roads, rail, metro); administrative boundaries (ward/corporation/metropolitan). The page should be dated, with a screenshot.</t>
  </si>
  <si>
    <t xml:space="preserve">https://bwssb.karnataka.gov.in/storage/pdf-files/documents/Vision%20Document%202050%20%20new.pdf</t>
  </si>
  <si>
    <t xml:space="preserve">AI: left for a person. Step 2 found no evidence (Insufficient Evidence). Source needed: Each city-level sector plan, with dated proof it is approved and currently in force: (a) BWSSB's water supply and sewerage master plan or plans covering the Greater Bengaluru Area, with the approval order; (b) the City Sanitation Plan, with the council or government approval; (c) the city-level Solid Waste Management Plan under the Solid Waste Management Rules, 2016, from the Greater Bengaluru Authority or a City Corporation (or BBMP, if from the BBMP era), with its approval or notification. Each should come from the official website of the agency concerned or from the state gazette.</t>
  </si>
  <si>
    <t xml:space="preserve">AI: left for a person. Step 2 found no evidence (Insufficient Evidence). Source needed: The plan that is currently notified and in force for the Greater Bengaluru Area, with its gazette notification. This means the Master Plan / Revised Master Plan in force (with any order deeming it to the Greater Bengaluru Authority), and/or the relevant city-level sector plan (city sanitation plan, water supply and sewerage plan, solid waste management plan). It must show the sector priorities or interventions and the targets or indicators set for them (e.g. service coverage, treatment capacity, network expansion, waste processing).</t>
  </si>
  <si>
    <t xml:space="preserve">AI: left for a person. Step 2 found no evidence (Insufficient Evidence). Source needed: The current notified master plan for the Greater Bengaluru Area: the plan report, its implementation/phasing chapter, and the zoning regulations, whether the BDA Revised Master Plan in force or a GBA-prepared plan. Also the State Government's approval notification under KTCP s.13 in the Karnataka Gazette, and any draft plan published for objections. The plan's implementation section would show whether the GBA or the City Corporations are given specific duties such as infrastructure, financing, O&amp;M, monitoring or coordination.</t>
  </si>
  <si>
    <t xml:space="preserve">https://apps.bbmpgov.in/bcap/
https://apps.bbmpgov.in/bcap/PDF/BCAP_FullReport_091224.pdf
https://apps.bbmpgov.in/bcap/images/Executive%20summary_English_cover%20page%20english%2017072025.jpg
https://apps.bbmpgov.in/bcap/PDF/BCAP_Sector%20Actions_01042024.pdf
</t>
  </si>
  <si>
    <t xml:space="preserve">AI: left for a person. Step 2 found no evidence (Insufficient Evidence). Source needed: Any one of the following, from an official source: the Bengaluru Climate Action and Resilience Plan (or another climate, resilience or sustainability strategy) on the GBA/Corporation or legacy BBMP website, with proof of formal adoption (a council or GBA resolution, a Karnataka Government Order, or inclusion in the notified master plan); or a notified Bengaluru Urban district or city Disaster Management Plan; plus evidence that it is still in force (e.g. the Climate Action Cell's constitution order and any implementation reports).</t>
  </si>
  <si>
    <t xml:space="preserve">https://apps.bbmpgov.in/bcap/PDF/BCAP_FullReport_091224.pdf
https://apps.bbmpgov.in/bcap/PDF/BCAP_Sector%20Actions_01042024.pdf</t>
  </si>
  <si>
    <t xml:space="preserve">AI: left for a person. Step 2 found no evidence (Insufficient Evidence). Source needed: The adopted Bengaluru Climate Action and Resilience Plan, or another adopted city resilience strategy, sustainability strategy or district/city disaster management plan for the Greater Bengaluru area, published by GBA, the city corporations or a state department. It must show its priorities or sectors with measurable targets (e.g. GHG reduction or net-zero year, green-cover percentage, flood-risk or heat-exposure targets), along with its adoption date and the period it covers.</t>
  </si>
  <si>
    <t xml:space="preserve">AI: left for a person. Step 2 found no evidence (Insufficient Evidence). Source needed: The full text of the current Bengaluru Climate Action and Resilience Plan, or another adopted sustainability or resilience strategy for Bengaluru, from the official GBA/BBMP or state government site. It should show the plan's chapters on institutional set-up, implementation and monitoring that give the city government's role and responsibilities, plus its adoption or approval date.</t>
  </si>
  <si>
    <t xml:space="preserve">https://dult.karnataka.gov.in/assets/front/pdf/Comprehensive_Mobility_Plan.pdf</t>
  </si>
  <si>
    <t xml:space="preserve">AI: left for a person. Step 2 found no evidence (Insufficient Evidence). Source needed: Any one of these would answer it: the Comprehensive Mobility Plan for Bengaluru together with the order or notification approving it, whether from BMLTA, the Urban Development Department or DULT, the Transport Department or the State Government; or a GBA or city corporation council resolution adopting it. It should come from an official site (BMLTA, DULT, GBA or UDD) or the Karnataka eGazette, and show the approval date and the period the plan covers so we can tell whether it is still active.</t>
  </si>
  <si>
    <t xml:space="preserve">AI: left for a person. Step 2 found no evidence (Insufficient Evidence). Source needed: Bengaluru's current Comprehensive Mobility Plan, as adopted or approved, showing its priorities, targets and indicators (for example a target share of trips by public transport, walking and cycling, road-safety or emissions targets, or a project list with timelines, cost estimates and phasing), plus the order or resolution adopting it, from the state Urban Development Department, the urban transport department or authority, or the Greater Bengaluru Authority.</t>
  </si>
  <si>
    <t xml:space="preserve">AI: left for a person. Step 2 found no evidence (Insufficient Evidence). Source needed: The current Comprehensive Mobility Plan for Bengaluru, formally adopted (for example by the state's Directorate of Urban Land Transport, the Bengaluru Metropolitan Land Transport Authority or the state government, or by council resolution), in full text. We need its sections on governance, institutional arrangements and implementation: steering or technical committee membership, the agencies responsible for each project, funding and operation-and-maintenance responsibilities, and monitoring arrangements. We also need the adoption order or notification, to confirm it is the current plan.</t>
  </si>
  <si>
    <t xml:space="preserve">https://www.thehindu.com/news/cities/bangalore/proposed-economic-masterplan-for-bengaluru-metropolitan-region-targets-75-public-transport/article71420718.ece</t>
  </si>
  <si>
    <t xml:space="preserve">AI: left for a person. Step 2 found no evidence (Insufficient Evidence). Source needed: One of the following would answer it: (a) a final Economic Vision or Economic Development Plan for Bengaluru / the Greater Bengaluru Area, plus proof of formal adoption: a GBA or city-corporation council resolution, a Karnataka Government Order, or approval by the competent authority; or (b) the currently notified Master Plan or Development Plan for the Greater Bengaluru Area with its gazette notification, showing an economic strategy built into it, with its validity period. GBA or Economic Development Agency publications or orders would also help, as would any state UDD order adopting a Bengaluru economic strategy.</t>
  </si>
  <si>
    <t xml:space="preserve">AI: left for a person. Step 2 found no evidence (Insufficient Evidence). Source needed: The final, adopted Economic Vision or Economic Development Plan for Greater Bengaluru, or the currently notified master plan for the Greater Bengaluru Area, with its economic chapter. This would show sector priorities, targets for jobs or workforce, land set aside for economic use, and investment targets. Also needed: the GO, gazette notification or GBA resolution that adopted it, and if relevant the BMRDA Structure Plan report.</t>
  </si>
  <si>
    <t xml:space="preserve">AI: left for a person. Step 2 found no evidence (Insufficient Evidence). Source needed: A final, formally adopted and currently active Economic Vision, Economic Development Plan or equivalent city-level economic strategy for Bengaluru (or the notified Revised Master Plan, if the strategy is built into it), with its approval GO, resolution or gazette notification. Its implementation or institutional chapter would need to show whether the GBA or City Corporations are given specific responsibilities such as projects, infrastructure, financing, monitoring or coordination.</t>
  </si>
  <si>
    <t xml:space="preserve">Points = (city planners per lakh / highest planners per lakh among cities assessed) x 5. Every city's score updates as other cities are entered.</t>
  </si>
  <si>
    <t xml:space="preserve">ENTER A WHOLE NUMBER</t>
  </si>
  <si>
    <t xml:space="preserve">ENTER POPULATION</t>
  </si>
  <si>
    <t xml:space="preserve">Filled town planners - ULG</t>
  </si>
  <si>
    <t xml:space="preserve">Filled town planners - Development/Planning Authority</t>
  </si>
  <si>
    <t xml:space="preserve">Census 2011 population</t>
  </si>
  <si>
    <t xml:space="preserve">Town planners per lakh (auto)</t>
  </si>
  <si>
    <t xml:space="preserve">Sanctioned positions - ULG</t>
  </si>
  <si>
    <t xml:space="preserve">Sanctioned positions - Development/Planning Authority</t>
  </si>
  <si>
    <t xml:space="preserve">Vacancies &amp; vacancy rate</t>
  </si>
  <si>
    <t xml:space="preserve">Women among filled positions</t>
  </si>
  <si>
    <t xml:space="preserve">Men among filled positions</t>
  </si>
  <si>
    <t xml:space="preserve">AI: left for a person. Step 2 found no evidence (Insufficient Evidence). Source needed: A current, dated official record of town-planner posts for (a) GBA and each City Corporation and (b) BDA for its period as planning authority. It should give sanctioned posts, filled posts, vacancies, qualifications (master's in Town and Country Planning) and women/men among filled posts. Possible sources: the GBA's sanctioned schedule of officers under s.11(9), the Common Cadre and Recruitment Rules, deputation orders from the Department of Town and Country Planning / Commissionerate, RTI s.4(1)(b) disclosures, or annual reports tabled in the legislature. The Census 2011 population for the Greater Bengaluru Area/city is also needed, plus the cross-city benchmark used for proportional scoring.</t>
  </si>
  <si>
    <t xml:space="preserve">Points: &gt;= 33% = 5; 15% to below 33% = 2.5; below 15% = 0.</t>
  </si>
  <si>
    <t xml:space="preserve">ENTER %, e.g. 25%</t>
  </si>
  <si>
    <t xml:space="preserve">% women in town-planning workforce (enter %)</t>
  </si>
  <si>
    <t xml:space="preserve">Share of women in senior / decision-making posts</t>
  </si>
  <si>
    <t xml:space="preserve">AI: left for a person. Step 2 found no evidence (Insufficient Evidence). Source needed: Current, dated staffing data giving filled qualified town-planner posts by gender (and by seniority). This could be a GBA or City Corporation establishment list or staff directory, an RTI s.4(1)(b) disclosure of officers and employees, deputation or posting orders from the Urban Development Department or the Commissionerate of Urban Development Authorities and Town and Country Planning, or the equivalent records for BDA staff attributable to the Greater Bengaluru Area.</t>
  </si>
  <si>
    <t xml:space="preserve">AI: left for a person. Step 2 found no evidence (Insufficient Evidence). Source needed: Any of these would answer it: the GBA's or City Corporations' official department or organisation-structure web pages showing an Urban Design Cell/Unit/Vertical (or equivalent, such as an architecture or urban design wing within Town Planning); a GBA office order or Karnataka UDD government order setting up such a cell, with its staffing; a notification setting up the Bangalore Urban Art Commission under BDA Act s.51 plus evidence that it currently operates (noting it is a State advisory body); or an RTI or official email reply from the GBA.</t>
  </si>
  <si>
    <t xml:space="preserve">AI: left for a person. Step 2 found no evidence (Insufficient Evidence). Source needed: Dated official evidence that the cell exists and is working, such as: a GBA order, circular or gazette notification setting up the Climate Action Cell (or a disaster management or sustainability cell); a GBA or City Corporation web page naming the cell, its head and its staff; minutes, reports or activity records from the cell (for example, work on the Bengaluru Climate Action and Resilience Plan); or an RTI reply from the GBA confirming the cell is in place.</t>
  </si>
  <si>
    <t xml:space="preserve">NA ONLY FOR NON-MILLION-PLUS CITIES</t>
  </si>
  <si>
    <t xml:space="preserve">AI: left for a person. Step 2 found no evidence (Insufficient Evidence). Source needed: Dated evidence that the agency exists and works: (1) a GBA (or Government of Karnataka) order or gazette notification constituting the Economic Development Agency under s.16, with its members; (2) the GBA Regulations specifying its members and functions; (3) the GBA or City Corporation website page for the agency or cell, or an equivalent investment-promotion unit; (4) records of its work, e.g. meeting minutes, PPP projects started, or a GBA annual report or budget line for the agency. If none is published, an RTI reply from GBA would settle it.</t>
  </si>
  <si>
    <t xml:space="preserve">AI: left for a person. Step 2 found no evidence (Insufficient Evidence). Source needed: Any of these would answer it: (a) a GBA or City Corporation website page (organisation chart, departments, welfare section) showing a women's welfare or gender cell, unit or vertical; (b) a government order or GBA/Corporation circular setting one up; (c) dated evidence that it works (staff, activities, budget, reports for 2025-26); (d) an RTI or email reply from the GBA. Also an official source for Bengaluru's million-plus population, to confirm the question applies.</t>
  </si>
  <si>
    <t xml:space="preserve">Per category: SHALL = full share, MAY = half share, NONE = 0.</t>
  </si>
  <si>
    <t xml:space="preserve">SHALL / MAY / NONE</t>
  </si>
  <si>
    <t xml:space="preserve">Chapter XVI (Streets), Chapter on building regulation and Chapter XXIV (Rules, Regulations and Bye-laws)</t>
  </si>
  <si>
    <t xml:space="preserve">Sections 201 and 224(1); also checked ss.197, 198, 204, 215–218, 314–318 and Schedule I</t>
  </si>
  <si>
    <t xml:space="preserve">s.201; s.224(1)(d),(h),(l),(p),(q)</t>
  </si>
  <si>
    <t xml:space="preserve">87</t>
  </si>
  <si>
    <t xml:space="preserve">SHALL</t>
  </si>
  <si>
    <t xml:space="preserve">AI (low confidence), from Step 2 answer (Partially Answered) and ULG-01: Text used: Greater Bengaluru Governance Act 2024 (Karnataka Act 36 of 2025, GBA era), PRS republication of the gazette text (ULG-01). This is a secondary copy, so a person should check it against the official gazette.
Three categories are decided by the Act and two are left blank. Score so far: 3 of 5.
1. Roads &amp; streetscapes = SHALL. s.201 says the Commissioner 'shall, from time to time, specify the minimum width of different public streets according to the proposal of the Master Plan or based on the nature and quantum of the traffic ... to maintain hierarchy of roads'. This is a required standard that sorts roads into categories. Please confirm that a minimum width set by road hierarchy counts as a roads/streetscape design standard. The BDA Act s.71(1)(c) (ULG-04) also says the Authority 'may' make bye-laws 'regulating the level and width of streets'. That is weaker than s.201, which decides the input.
2. Built-form codes = SHALL. s.224(1) says the City Corporation 'shall make building bye-laws ... and the bye-laws shall provide for' (d) building height relative to street width, (h) materials and methods of building walls, roofs and floors, and (p) minimum quality of materials. Supporting text:
- s.204(1)(b): a new private street application must show the building line.
- BDA Act s.71(1)(b) ('may'): line of frontage and materials.
- Town and Country Planning Act s.26(2)(j) ('may'): height and character of buildings.
3. Universal accessibility = SHALL. s.224(1)(l) 'ramps and amenities for differently challenged' and s.224(1)(q) 'Provision for specially abled'. These apply to buildings and sites only, not to streets or public spaces. Please confirm full credit is right.
4. Footpaths = blank (not found). Nothing I found sets a footpath or pedestrian design standard:
- s.198(1) is a general power to 'widen, extend or otherwise improve any such street for the safety of pedestrians'.
- s.204(1)(c) lists what a private street application must show ('paving ... flagging'). That is application content, not a standard.
- s.216(2) deals with removing encroachments from footpaths.
- Schedule I lists 'footpath road crossing facility' as a function. A function is not a standard.
- Town and Country Planning Act Table A (s.17(2-C)) lists 'pavements' only as a condition for releasing layout sites.
5. Underground public utilities = blank (not found). What I found:
- Town and Country Planning Act s.26(2)(f),(h) ('may'): drainage and water supply as contents of a town planning scheme.
- Table A: pipelines and drainage lines as conditions for releasing sites; underground cables only 'if developer intends'.
- BDA Act s.32(2)(d): drainage and water supply as contents of a layout application.
- s.224(1)(q) 'Telecom services and other utilities': covers building utilities only, not utility networks.
- s.318(1)(xxv): a bye-law head for 'regulating ... the construction, maintenance and control of drains, sewers ... and drainage or sewage works of every description'. This could support MAY for sewerage and drainage only. I could not read the opening words of s.318 to see whether it says 'may' or 'shall', because the tool-call limit was reached, so I did not score it. A person should read the opening words of s.318 and decide.
Why no 0 is given for footpaths or utilities: absence is not proven. The sheet has no Rules, notified building bye-laws, Zoning Regulations (RMP), or street-design or accessibility guidelines. I also did not read the amendment bill ULG-03 (it only takes effect when notified), and the long Acts were read only in their most relevant passages.
I checked the Step 2 answer against the source and agree with it. The extra items I found are s.318(xxv), s.26(2) and BDA s.71(b); none of them changes the three scored categories.
Quote: "Provision of lifts with in the building and provision for common amenities, ramps and amenities for differently challenged;"
"Footpaths / pedestrian infrastructure" left blank: the Citation Sheet doesn't decide it.
"Underground public utilities" left blank: the Citation Sheet doesn't decide it.</t>
  </si>
  <si>
    <t xml:space="preserve">AI: left for a person. Step 2 found no evidence (Insufficient Evidence). Source needed: Documents adopted or notified for Bengaluru, dated and still in force: (a) a street or urban design guideline covering road hierarchy and streetscape design, adopted by GBA/City Corporations, BDA, UDD or DULT; (b) footpath and pedestrian infrastructure standards; (c) standards for placing underground utilities and utility ducts (water, sewerage, storm-water drains, electricity, telecom, gas); (d) the notified building bye-laws or Revised Master Plan zoning regulations applicable to Bengaluru, with built-form controls such as build-to line, frontage, floor heights and materials, and evidence that they apply in the GBA era; (e) the accessibility provisions in those bye-laws, or a universal accessibility standard adopted by the city. Also the GBA model building bye-laws under GBG Act s.224 and the City Corporation bye-laws notified under them.</t>
  </si>
  <si>
    <t xml:space="preserve">SHALL = full marks, MAY = half marks, NONE = 0.</t>
  </si>
  <si>
    <t xml:space="preserve">Mandate for city parking policy in law</t>
  </si>
  <si>
    <t xml:space="preserve">Chapter on Public Streets</t>
  </si>
  <si>
    <t xml:space="preserve">Section 202(1); see also s.165(b), s.206 and Schedule I(1)(xvii)</t>
  </si>
  <si>
    <t xml:space="preserve">s.202(1)</t>
  </si>
  <si>
    <t xml:space="preserve">79</t>
  </si>
  <si>
    <t xml:space="preserve">AI (low confidence), from Step 2 answer (Partially Answered) and ULG-01: Input left blank. I found no provision that requires or allows a city-level parking policy, but I cannot prove that none exists, so I am not entering NONE. The Step 2 answer matches the sources.
What I checked in the Citation Sheet:
(1) ULG-01, the Greater Bengaluru Governance Act, 2024 (Karnataka Act 36 of 2025), GBA-era text. Its parking provisions do not count under the methodology:
- s.165(b): the City Corporation 'may levy user charges for ... parking'. This is a power to charge.
- s.202(1): the Commissioner 'may prohibit ... on street parking'. This is a power to regulate.
- s.206: closed streets may be used for 'vehicle parking'. This is about providing spaces.
- Schedule I(1)(xvii): 'parking spaces for vehicles' is listed as a function. This is also about providing spaces.
The only policy this Act requires is the Comprehensive Debt Limitation Policy (s.188). The s.15 mobility plans do not mention a parking policy.
(2) ULG-02, the KTCP Act, 1961, as amended up to Act 38 of 2015:
- s.12(1)(b): traffic circulation in the Master Plan.
- s.26(2)(j): parking space 'for any building' in town planning schemes. This is a building standard, which the methodology excludes.
- s.28(2): parking spaces count as land for building purposes.
No parking-policy provision.
(3) ULG-03, the 2025 KTCP Amendment Bill (s.81-G makes GBA the Planning Authority): no parking provision. It is shown only as passed by the Assembly.
(4) ULG-04, the BDA Act: no parking-policy provision in the passages checked.
(5) ULG-05 and ULG-06, BMRDA web pages: these are not law.
Why NONE (which scores 0) is not entered: a 0 needs proof that the provision is absent, and the Sheet does not allow that.
- It has no consolidated KTCP text covering amendments from 2016 to 2025.
- It has no amendments to the GBA Act made after enactment.
- It has no GBA or KTCP Rules or regulations.
- It has no urban-transport statute that might give the city a parking-policy role.
- read_citation and search returned only the most relevant passages, not full page-by-page readings.
Action for the reviewer: if the current consolidated KTCP Act and any GBA Act amendments contain no parking-policy provision, enter NONE (score 0).
Quote: "The Commissioner may prohibit vehicular traffic or on street parking in any public street or any portion thereof so as to prevent danger, obstruction or inconvenience to the public or to ensure quietness in any locality."
"Mandate for city parking policy in law" left blank: the Citation Sheet doesn't decide it.</t>
  </si>
  <si>
    <t xml:space="preserve">AI: left for a person. Step 2 found no evidence (Insufficient Evidence). Source needed: Any of these would answer it: a parking policy document for Bengaluru notified or adopted by the Government of Karnataka, the Urban Development Department, DULT or the GBA/city corporations, with its government order or gazette notification and date; or official GBA or DULT web pages that host or refer to the adopted policy; or, failing those, credible media reports that the policy was formally adopted, as the methodology allows.</t>
  </si>
  <si>
    <t xml:space="preserve">NA ONLY FOR CITIES BELOW ONE MILLION</t>
  </si>
  <si>
    <t xml:space="preserve">DCR applicable to the city &amp; its status</t>
  </si>
  <si>
    <t xml:space="preserve">Building regulation chapter (before s.225); Chapter XXIV; transitory and repeal provisions</t>
  </si>
  <si>
    <t xml:space="preserve">GBA Act 2024 building bye-law section (s.224 by position); s.360; s.361</t>
  </si>
  <si>
    <t xml:space="preserve">s.224(1)-(2); s.361(1), third proviso</t>
  </si>
  <si>
    <t xml:space="preserve">86</t>
  </si>
  <si>
    <t xml:space="preserve">AI (low confidence), from Step 2 answer (Partially Answered) and ULG-01: I left the answer blank because the Citation Sheet has no actual city-specific DCR for Bengaluru: no Revised Master Plan Zoning Regulations, no BBMP-era or new City Corporation building bye-laws, and no GBA model bye-laws. The Step 2 answer holds up against the sources. What the sheet does show is that the law requires instruments specific to the area. (1) KTCP Act s.12(1)(a) and s.12(2)(iii) (ULG-02, PRS text amended up to Act 38 of 2015): every Master Plan for a planning area 'shall include' zoning of land use together with Zoning Regulations. (2) GBA Act 2024 (ULG-01, Karnataka Act 36 of 2025, GBA era), building bye-law section: each City Corporation 'shall make building bye-laws' based on GBA model bye-laws. s.228 and s.230 require construction to conform with the Act, the master plan and the building bye-laws. (3) GBA Act s.360 and s.361 (third proviso): rules, notifications, regulations and bye-laws made under the BBMP Act 2020 or the KMC Act 1976 stay in force until superseded. So earlier Bengaluru bye-laws would carry over, but the sheet does not include or name them. (4) ULG-03 (2025 KTCP Amendment Bill) would deem BDA's Master Plan and Regulations to be GBA's. It is a Bill passed only by the Assembly, and nothing in the sheet shows it was enacted or brought into force. (5) The BMRDA pages (ULG-05, ULG-06) and the BDA Act (ULG-04) contain no DCR text. A duty to make bye-laws, or a savings clause, does not show that a city-specific DCR is actually notified and in force, and this question also assesses implementation. So YES (score 10) is not supported. NO would need affirmative absence, and the mandates actually point the other way, so NO is also not supported. NA does not apply: Bengaluru's population is well above one million, though the sheet does not state the figure. A reviewer should add these to the sheet and then score: the notified Bengaluru RMP-2015 Zoning Regulations (or a successor master plan's regulations), the building bye-laws now in force for the Greater Bengaluru Area, and a dated screenshot from a GBA/BDA/UDD website showing the DCR is applicable.
Quote: "the City Corporation in its jurisdiction shall make building bye-laws for the regulation and restriction of the use of sites or buildings in accordance with model building bye-laws prepared by the Greater Bengaluru Authority with suitable"
"Answer" left blank: the Citation Sheet doesn't decide it.</t>
  </si>
  <si>
    <t xml:space="preserve">SELECT 2 / 1 / 0</t>
  </si>
  <si>
    <t xml:space="preserve">Score (select 2 / 1 / 0)</t>
  </si>
  <si>
    <t xml:space="preserve">AI: left for a person. Step 2 found no evidence (Insufficient Evidence). Source needed: The Zoning Regulations / Development Control Regulations notified with the current Bengaluru Revised Master Plan, including amendments. These would show land-use zones, the permissible-use tables (including mixed use and ancillary or home-based uses), FAR, setback and parking standards by zone and plot size, and any provisions for small industry, markets or vending. Also needed: any GBA-era building bye-laws or regulations notified in the Karnataka Gazette, and the notification bringing LA Bill 55 of 2025 into force.</t>
  </si>
  <si>
    <t xml:space="preserve">Text of relevant provisions &amp; incentives</t>
  </si>
  <si>
    <t xml:space="preserve">AI: left for a person. Step 2 found no evidence (Insufficient Evidence). Source needed: The notified Zoning Regulations of the Revised Master Plan for Bengaluru, the building bye-laws in force for the GBA and its city corporations, and the related Karnataka notifications or rules (Premium FAR/TDR rules, affordable-housing or EWS incentive notifications, slum redevelopment regulations). These are needed to check for (a) EWS/LIG or slum incentives and relaxations and (b) provisions for women such as toilets for women, crèches, or safety and lighting standards.</t>
  </si>
  <si>
    <t xml:space="preserve">Chapter on building regulation (building bye-laws and rainwater harvesting)</t>
  </si>
  <si>
    <t xml:space="preserve">Section on building bye-laws (appears to be s.224(1)); s.225</t>
  </si>
  <si>
    <t xml:space="preserve">s.224(1)(n) and (o); s.225</t>
  </si>
  <si>
    <t xml:space="preserve">AI (low confidence), from Step 2 answer (Partially Answered) and ULG-01: I left the score blank. The question asks about the DCR itself: the Zoning Regulations of the Master Plan in force, and the city-corporation or Greater Bengaluru Authority (GBA) model building bye-laws. None of these are in the Citation Sheet. I searched the Citation Sheet for zoning regulations, building bye-laws, green building, FAR (floor area ratio) incentives, rainwater harvesting, lake buffers and storm water drain buffers. The only results were the parent Acts: ULG-01 (GBG Act 2024), ULG-02 (KTCP Act 1961), ULG-04 (BDA Act 1976) and ULG-03 (KTCP Amendment Bill 2025). There were no DCR documents.
What the Acts do contain:
(a) ULG-01, apparently s.224(1). The city corporations 'shall make building bye-laws' in line with GBA model bye-laws, and these 'shall provide for' (n) minimum plantation on a building site and (o) rainwater harvesting and renewable energy applications.
(b) ULG-01, s.225. Every khatadar (property owner) who builds 'shall provide rain water harvesting structure for storage, use or for ground water recharge'. The manner and conditions are left to the BWSSB Act 1964 and the regulations under it.
(c) ULG-01, s.17. This sets up a Climate Action Cell. That is an institution, not a development control.
(d) ULG-02. The regularisation provisions bar regularising buildings next to storm water drains, tank beds and river courses. This is a restriction in the Act, limited to regularisation.
(e) ULG-04, s.16(1)(d). Development schemes must reserve 15% of a layout for parks. This is a scheme-level reservation.
These Act-level mandates suggest the DCR would score 2: they require plantation, rainwater harvesting and renewable energy standards in the bye-laws. But they are not DCR text. They do not show the actual standards (permeable area, tree counts, solar, cool roofs, flood-plain controls) or any incentive (for example a green-building FAR bonus).
A score of 0 is barred because I could not confirm the provisions are absent: the DCR instruments were never available to read. A reviewer should:
- add the Revised Master Plan 2015 Zoning Regulations (or the current GBA DCR) and the BBMP or GBA Building Bye-laws, for example the 2003 bye-laws or any 2025/26 model bye-laws;
- add the BWSSB rainwater harvesting regulations;
- check whether the KTCP Amendment Bill 2025 (s.81-G) has been enacted, which decides which DCR applies;
- decide whether binding rainwater harvesting and plantation duties in the city's own Act can count as DCR controls.
If the notified bye-laws contain the mandated plantation, rainwater harvesting and solar standards, a score of 2 is likely.
Quote: "(n) Minimum plantation required with in a building site;"
"Score (select 2 / 1 / 0)" left blank: the Citation Sheet doesn't decide it.</t>
  </si>
  <si>
    <t xml:space="preserve">AI: left for a person. Step 2 found no evidence (Insufficient Evidence). Source needed: We need the DCRs actually in force for the Greater Bengaluru Area. That means the zoning regulations of the notified Bengaluru master plan (e.g. Revised Master Plan 2015 Zoning Regulations, with their gazette notification and any amendments), and the building bye-laws in force: the BBMP building bye-laws carried over, or the GBA model building bye-laws and City Corporation bye-laws once notified. Each should be read for provisions on ventilation/light, sanitation, density/overcrowding, buffers from hazardous or polluting uses, and incompatible uses.</t>
  </si>
  <si>
    <t xml:space="preserve">Chapter XXII (Urban Heritage), read with Schedule II</t>
  </si>
  <si>
    <t xml:space="preserve">Sections 296-302; Schedule II (see section 300)</t>
  </si>
  <si>
    <t xml:space="preserve">Schedule II, 'Scope for Change' row: Grade-II(A), Grade-II(B), Grade-III, Heritage Precincts</t>
  </si>
  <si>
    <t xml:space="preserve">138</t>
  </si>
  <si>
    <t xml:space="preserve">AI (low confidence), from Step 2 answer (Partially Answered) and ULG-01: I left the score blank because the DCR itself is not in the Citation Sheet. The question asks what the DCR contains. For Bengaluru that means the zoning regulations of the Master Plan in force and the building bye-laws. Neither is in the Citation Sheet, so I could not check them.
What the sheet does show is the law above the DCR.
1. ULG-01, the Greater Bengaluru Governance Act, 2024 (Karnataka Act 36 of 2025), as republished by PRS.
   - Restrictions:
     - s.300(2): changes to a heritage building may be made only 'to the extent permitted in Schedule II'.
     - s.301(b): the Heritage Conservation Committee recommends whether development permission is granted.
     - s.301(d): it approves designs and controls height and façade.
     - s.302(1): use must be 'in harmony' with the building's Grade.
   - Enabling provisions in Schedule II:
     - Grade II(A): adaptive reuse 'may be allowed'.
     - Grade II(B): extensions or additional buildings 'may' be allowed on the same plot.
     - Grade III: adaptive reuse and extensions 'may by and large be allowed'.
     - Heritage precincts: sensitive additions are permissible, and reconstruction of totally unsafe buildings 'should not follow the prevailing bye laws'.
   - Incentives: s.298 says the Corporation 'may' provide incentives such as financial support or a property-tax exemption, 'in such manner as may be prescribed'. This is discretionary, depends on rules not yet made, and is not a development-control incentive.
   - The Act also says the actual regulations or bye-laws are still to be issued or framed: s.296(2) and s.299(2) ('shall'), and s.301(e) (the Committee frames special regulations). The sheet does not show that any of these have been adopted.
2. ULG-02, the KTCP Act 1961. s.12(3) as amended requires the Master Plan to include heritage conservation regulations. Its TDR provision, s.14B, applies only when land is surrendered for a public purpose. It is not linked to heritage.
3. ULG-03, the KTCP Amendment Bill 2025. s.81-G carries the earlier BDA Master Plan regulations over to GBA, but their text is not in the sheet. The Bill's enactment is not confirmed.
4. ULG-04 (BDA Act), ULG-05 and ULG-06 (BMRDA pages) have no heritage DCR content.
I also searched the whole sheet for 'heritage zoning regulations TDR relaxation'. It found no heritage-linked TDR, FAR or FSI, or any parking or setback relaxation.
How this maps to the bands:
- If the Act's Schedule II counts as a DCR, its adaptive-reuse, extension and precinct-reconstruction permissions would arguably fit Score 2 (two or more enabling provisions).
- If only the Master Plan zoning regulations and bye-laws count, the evidence is missing.
- Score 0 is not available, because absence of heritage provisions has not been shown: the DCR layer was never in the sheet.
To confirm:
(a) Does the GBG Act's statutory Schedule II count as a 'DCR' for UPD32e?
(b) Add to the Citation Sheet the Master Plan zoning regulations currently in force for the Greater Bengaluru Area (e.g. the RMP-2015 Zoning Regulations, if still in force) and any GBA or City Corporation building or heritage bye-laws, then check them for heritage TDR, FAR, relaxations or adaptive-reuse provisions.
I checked the Step 2 answer against the source, and it is consistent with ULG-01.
Quote: "Grade-II(A): Internal changes and adaptive re-use may be allowed, subject to strict scrutiny."
"Score (select 2 / 1 / 0)" left blank: the Citation Sheet doesn't decide it.</t>
  </si>
  <si>
    <t xml:space="preserve">Building regulation chapter (building bye-laws)</t>
  </si>
  <si>
    <t xml:space="preserve">Section 224(1)</t>
  </si>
  <si>
    <t xml:space="preserve">(n) and (o)</t>
  </si>
  <si>
    <t xml:space="preserve">AI (low confidence), from Step 2 answer (Partially Answered) and ULG-01: I left 'Answer' blank. No provision on the Citation Sheet requires or allows incentives for green buildings, but the sheet doesn't cover every Act layer, so I can't show the affirmative absence that a 0 needs. That makes this 'not found', not 'NO'.
I checked the Step 2 answer against the sources. It holds up, with one gap now closed.
(1) GBA Act, 2024 (ULG-01, the PRS copy, a secondary source):
- s.224(1)(n) and (o) say the building bye-laws 'shall provide for' minimum plantation, rainwater harvesting and renewable energy. These are requirements on builders, not incentives.
- s.225 makes rainwater harvesting compulsory for owners who build. This is also a requirement, not an incentive.
- s.298 'Incentives for Heritage Buildings' covers heritage buildings only.
- s.148: the rebate of up to 5% is for paying property tax early, not for green performance.
- s.153 is a general power to suspend, modify or abolish a tax. It doesn't mention green buildings.
- s.154 'General exemptions': Step 2 couldn't read this in full, but I have now read sub-sections (1)(a)-(k), (2) and (3). They cover worship, charitable, monument, government, authority, agricultural and ex-serviceman cases. None is a green-building exemption.
- s.164 is an environment cess, and s.168 covers development charges. Both are charges, not incentives.
(2) KTCP Act, 1961 (ULG-02, PRS copy with amendments up to Act 38 of 2015, plus the 2020 Fourth Amendment). The passages I read do not create a green incentive:
- s.12: what the master plan contains.
- s.14B: transferable development rights for surrendering land.
- s.18(1) and (3): change-of-use fees, with exemptions for government bodies and infrastructure projects.
- s.18-B: premium floor area ratio in return for paying premium charges. This is bought, not an incentive.
(3) KTCP Amendment Bill, 2025 (ULG-03): it makes the GBA the planning authority (s.81-G) and creates the Commissionerate. It says nothing on green buildings.
(4) BDA Act (ULG-04): the passages I read have nothing on green incentives.
Why this isn't affirmative absence:
(a) There is no consolidated KTCP Act text covering the 2021-2025 amendments, and the Bill's start date isn't confirmed.
(b) The tools return passages, not whole documents, so I haven't read every section of ULG-02 or ULG-04.
(c) Both Acts are PRS copies, which are secondary sources.
Rules, bye-laws and zoning regulations aren't on the sheet either, although the methodology tests the Acts. A person should check the current consolidated KTCP Act on an official Karnataka site. If no enabling provision appears there, the answer is NO (score 0).
Quote: "(n) Minimum plantation required with in a building site; (o) Installation of rain water harvesting systems with in the building and provisions of renewable energy applications;"
"Answer" left blank: the Citation Sheet doesn't decide it.</t>
  </si>
  <si>
    <t xml:space="preserve">AI: left for a person. Step 2 found no evidence (Insufficient Evidence). Source needed: Any of these would settle the question: (a) the current Bengaluru building bye-laws or zoning regulations (BBMP Building Bye-laws, the RMP 2015 Zoning Regulations or any GBA successor), looking for extra FAR or fee concessions for IGBC/GRIHA/LEED-rated or energy- and water-efficient buildings; (b) a GBA or City Corporation property-tax notification or circular giving a rebate for green-rated buildings, solar or rainwater harvesting; (c) a Karnataka UDD or Energy Department GO, or a KREDL/BESCOM scheme, offering green-building incentives that apply in Bengaluru; (d) IGBC or GRIHA pages listing Karnataka or Bengaluru government incentives; (e) dated evidence that any such incentive is actually being granted, such as sanction records or an official portal page.</t>
  </si>
  <si>
    <t xml:space="preserve">AI: left for a person. Step 2 found no evidence (Insufficient Evidence). Source needed: Any Karnataka state instrument that provides for certification or guarantee of land titles: a land titling Act, Bill or law (state legislation portal / eGazette), the Rules notified under it, or a Revenue Department Government Order/circular/notification setting up a title-certification framework. Also the Karnataka Land Revenue Act and Rules (current consolidated text), so the team can confirm no such provision exists before scoring 0.</t>
  </si>
  <si>
    <t xml:space="preserve">Mechanism: TPS / land pooling / both</t>
  </si>
  <si>
    <t xml:space="preserve">AI: left for a person. The AI's quote couldn't be found word for word in ULG-02, so its answer was discarded. AI comments: PART A = YES. Karnataka law formally provides a Town Planning Scheme (TPS) / land reconstitution mechanism. I read this in ULG-02, the KTCP Act 1961 (PRS consolidated text, amendments up to Act 38 of 2015). Under s.26(1) a Planning Authority 'may make one or more town planning schemes', and s.26(2)(a) covers 'the laying out or re-laying out of land'. s.29 provides for a declaration of intention. s.30 covers the draft scheme, made in consultation with the Director. s.32 lists the contents: original plots and changes to their boundaries. s.33 covers reconstituted plots: forming a plot by altering boundaries, transferring adjoining lands, common ownership, allotting a plot to a dispossessed owner, and transferring ownership. Under s.34(3) the State sanctions the draft scheme by notification. Under s.37 the State 'shall appoint' a Town Planning Officer for the final scheme. ss.57–59 cover contributions limited by the increment, value adjustments, and the transfer of rights from original to reconstituted plots. The mechanism applies to the city: GBG Act 2024 (ULG-01), Planning Functions (2)(a), says 'the Greater Bengaluru Authority shall be the "Planning Authority" as defined under the Karnataka Town and Country Planning Act, 1961, for the areas comprising of the Greater Bengaluru Area' (GBA era). The KTCP Amendment Bill 2025 (ULG-03), s.81-G, would say the same, but it commences only on a date to be notified and is not relied on. Mechanism type, recorded separately as the scorer notes ask: TPS/land reconstitution = YES. Land pooling = NOT FOUND, not an affirmed absence. I searched the Citation Sheet for 'land pooling' and found nothing. ULG-04 (the BDA Act) describes acquisition-based schemes. ULG-03 contains no pooling provision. The TPS power is discretionary ('may make'), but Part A tests only formal provision, and the methodology sets no separate test for 'guaranteed'.
PART B left blank (not found, not absent). The TPS procedure depends heavily on Rules: publication 'in the prescribed manner' (ss.29(2), 30(1)), 'any other prescribed particulars' (s.32(g)), the TPO's 'prescribed qualifications' (s.37(1)), and the TPO's duties 'in accordance with ... the rules made thereunder' (s.38(1)). The rule-making power is s.74. No KTCP Rules, TPS rules, or Karnataka notification bringing such rules into force is in the Citation Sheet (sources checked: ULG-01 to ULG-06; searched 'land pooling scheme rules notified'). Without affirmative absence I cannot enter NO, and without evidence of notified rules I cannot enter YES. A person should check whether the Karnataka Town and Country Planning Rules (or TPS rules) under s.74 are notified and in force, and whether any Karnataka land pooling Act or GO exists. Total score: Part A = 5 points; Part B is undetermined.</t>
  </si>
  <si>
    <t xml:space="preserve">AI: left for a person. Step 2 found no evidence (Insufficient Evidence). Source needed: Dated pages from the official online building-plan or single window clearance portal used by GBA and the City Corporations (or a state single window portal covering Bengaluru). They would need to show: (a) that a complete application for a development project can be filed online; (b) which project types it covers (education, health, affordable housing); (c) that application status can be tracked. A GBA or Urban Development Department order or notification setting up the portal, with its user manual or list of services, would also help.</t>
  </si>
  <si>
    <t xml:space="preserve">Full marks only if ALL columns are YES; otherwise 0.</t>
  </si>
  <si>
    <t xml:space="preserve">Approval authority at each level</t>
  </si>
  <si>
    <t xml:space="preserve">Process for rejection / variance approvals</t>
  </si>
  <si>
    <t xml:space="preserve">Registry of public &amp; private projects</t>
  </si>
  <si>
    <t xml:space="preserve">Public disclosure of approvals / denials / variances</t>
  </si>
  <si>
    <t xml:space="preserve">Chapter XVII – Regulation of Buildings and Town Planning</t>
  </si>
  <si>
    <t xml:space="preserve">Section 230 (Procedure for grant of sanction to building plan)</t>
  </si>
  <si>
    <t xml:space="preserve">s.230(2); also s.230(3), s.230(5), s.230(11), s.231, s.223; Planning Functions sub-section (2)(a) (s.14(2), page 14)</t>
  </si>
  <si>
    <t xml:space="preserve">89</t>
  </si>
  <si>
    <t xml:space="preserve">AI (low confidence), from Step 2 answer (Partially Answered) and ULG-01: I can't give a score of 10 or 0 because two of the four aspects have no evidence in the Citation Sheet.
ASPECT 1, approval authority (YES, in law). The Greater Bengaluru Governance Act (GBGA), Planning Functions sub-section (2)(a), page 14 of ULG-01, says the Greater Bengaluru Authority (GBA) 'shall be the "Planning Authority" as defined under the Karnataka Town and Country Planning Act, 1961' for the Greater Bengaluru Area. Under s.230(1)-(2), the City Corporation Commissioner sanctions building plans on the Additional Chief Town Planner's advice. Under s.230(5), the Commissioner may refer an application to the GBA Chief Commissioner, who decides it with the Chief Town Planner. Under s.223(a)-(b), the Corporation's land-use powers must follow the Master Plan. The KTCP Act (ULG-02), s.15, makes the Planning Authority grant or refuse permission.
- Caveat: no approval route for public projects (metro, railways, heritage) was found in the sheet. A reviewer may decide that 'each level' is only partly covered.
ASPECT 2, rejection and variance process (YES, in law).
- GBGA s.230(2): a plan that does not conform to the master plan is rejected.
- s.230(3): the Commissioner 'shall publish the conditions for the approval or rejection'.
- s.231: written grant or refusal within set time limits. A deemed approval cannot break the Act, rules or bye-laws.
- s.236: refusal where the plan breaks the master plan, with reasons given. s.237: modified licence.
- KTCP s.14A: a change of land use needs prior State Government approval and public notice inviting objections. KTCP s.15: deemed grant only for plans that conform, plus appeal rights. KTCP s.17: a layout inconsistent with the plan can be refused.
ASPECT 3, registry of public and private projects (left blank). Nothing in the sheet covers it. I searched all citations: ULG-01 has only a property register (around page 55), which is not a project registry. A NO needs proof that the registry is absent, but the GBA, City Corporation and BDA websites and the online building-plan portal were never in the Citation Sheet. This is not found, not absent: VERIFICATION-LIMIT.
ASPECT 4, public disclosure (left blank). GBGA s.230(11) says a sanctioned plan 'shall be published in the website of the City Corporation', and s.230(3) requires the conditions for approval or rejection to be published. In law this covers approvals only, not denials or variances. The sheet has no website evidence that publication actually happens. VERIFICATION-LIMIT.
Overall: 10 needs all four aspects, and 0 would need affirmative absence. A person should check the GBA, corporation and BDA websites and the online plan-approval portal for a project registry and for published approvals, rejections and variances.
Other things to check:
- The GBA's effective date and the GBGA commencement notification are not in the sheet.
- The KTCP Amendment Bill 2025 (ULG-03) is not shown to be in force. Its proposed s.81-G would make the GBA the local planning authority.
- The KTCP text (ULG-02) is a PRS republication with amendments only up to 2015.
- ULG-01 is also a PRS republication.
Quote: "may grant permission to undertake construction or if the application does not confirm to the Act, master plan and building bye-laws, reject such applications."
"Registry of public &amp; private projects" left blank: the Citation Sheet doesn't decide it.
"Public disclosure of approvals / denials / variances" left blank: the Citation Sheet doesn't decide it.</t>
  </si>
  <si>
    <t xml:space="preserve">Authority to inspect ongoing construction</t>
  </si>
  <si>
    <t xml:space="preserve">Stage-wise inspections / monitoring</t>
  </si>
  <si>
    <t xml:space="preserve">Power to issue notices / stop-work directions</t>
  </si>
  <si>
    <t xml:space="preserve">Building regulation chapter (ss.230–247), Greater Bengaluru Governance Act, 2024 (Karnataka Act 36 of 2025)</t>
  </si>
  <si>
    <t xml:space="preserve">s.239(1) plinth certificate; also s.230(9)–(10), s.240(1), s.241(3), s.243(2)–(4)</t>
  </si>
  <si>
    <t xml:space="preserve">s.239(1)(a)</t>
  </si>
  <si>
    <t xml:space="preserve">93</t>
  </si>
  <si>
    <t xml:space="preserve">AI (medium confidence), from Step 2 answer (Answered — Verified Source) and ULG-01: I checked the Step 2 answer against the ULG-01 text, which is the PRS republication of the GBA Act gazette text (GBA era). All three inputs are YES, so the band is 5/5.
(1) Authority to inspect is met. s.230(9) says the Commissioner 'may undertake such periodical physical verification of buildings as necessary for the purposes of enforcing the provisions of this Act'. s.243(2) lets the Commissioner authorise a subordinate officer 'to conduct site inspection for verification of the construction being under taken as per sanction plan'. If the work is prima facie not as sanctioned, 'notice shall be served' calling the khatadar to a joint inspection. Both of these are 'may' powers, but the question asks for authority to inspect, and these provisions give it.
(2) Stage-wise inspection is met. At plinth stage, s.239(1) says 'Construction shall not be proceeded without obtaining plinth certificate', and under s.239(1)(a) the Commissioner or authorised officer 'shall carryout physical verification of the building under construction'. At completion, s.241(3) says the Additional Chief Town Planner 'shall undertake such physical inspection of the building' on an application for an occupancy certificate. Both are mandatory. I found no separate inspection at commencement, but the methodology says 'where applicable … and/or', so plinth plus completion is enough.
(3) Notices and stop-work directions are met. s.240(1) allows a notice directing alteration or asking the owner to show cause. s.243(3) allows a provisional demolition or alteration order and lets the Commissioner direct that 'the khatadar or builder shall refrain from proceeding with the building'. s.243(4) allows sealing 'before or after making an order of demolition or of the stoppage of the erection of any building'. s.230(10) gives the power 'to order for the stoppage of any construction' that endangers public safety.
Caveats:
- The question is labelled Implementation, but its text ('Does the law mandate…') and the methodology test only provisions in the Acts. I scored it as a law test; please confirm this is a question-bank anomaly. No evidence of the inspections actually happening is in the Citation Sheet.
- The text is a PRS secondary copy. The official gazette copy and the date the Act and City Corporations took effect should be confirmed.
- The Government may exempt categories of buildings from the plinth certificate (s.239(2)) and the occupancy certificate (s.241(7)).
- Under s.239(1)(c), if no plinth certificate is issued within 15 days, construction may proceed (deemed clearance).
- The Rules and building bye-laws under the GBA Act are not in the Citation Sheet.
The KTCP Act s.76FFF (ULG-02) only supports this: it penalises officers who fail to prevent unauthorised construction.
Quote: "Construction shall not be proceeded without obtaining plinth certificate. On the application made for issue of plinth certificate.– (a) the Commissioner or officer authorized by him, shall carryout physical verification of the building under construction."</t>
  </si>
  <si>
    <t xml:space="preserve">Online self-reporting with photos / documents</t>
  </si>
  <si>
    <t xml:space="preserve">Periodic ground surveys / inspections</t>
  </si>
  <si>
    <t xml:space="preserve">Public disclosure of monitoring information</t>
  </si>
  <si>
    <t xml:space="preserve">AI: left for a person. Step 2 found no evidence (Insufficient Evidence). Source needed: Pages from the GBA and City Corporation websites, or their online building-plan approval portal, showing: (1) a working online module where owners report construction progress with photographs and compliance documents; (2) records or a policy of regular inspections of approved projects, all or a defined sample; (3) published monitoring data on compliance status, violations registered and action taken. The pages should be current and dated, with screenshots.</t>
  </si>
  <si>
    <t xml:space="preserve">Points = 2 per provision, capped at 10 (5 or more provisions = 10)</t>
  </si>
  <si>
    <t xml:space="preserve">No. of penalty provisions found</t>
  </si>
  <si>
    <t xml:space="preserve">Chapter X – Offences and Penalties, Rules and Bye-laws (read with Chapter III s.14 and Chapter V s.35)</t>
  </si>
  <si>
    <t xml:space="preserve">Section 73 (Offences and penalties), clauses (a), (c), (d), (e); read with ss.14(1)-(2), 35(1)(a)</t>
  </si>
  <si>
    <t xml:space="preserve">s.73(a), (c), (d), (e)</t>
  </si>
  <si>
    <t xml:space="preserve">78</t>
  </si>
  <si>
    <t xml:space="preserve">AI (low confidence), from Step 2 answer (Partially Answered) and ULG-02: I left the count blank. The Citation Sheet shows only 2 of the 6 heads in the Karnataka Town and Country Planning (KTCP) Act. Entering 2 would score 0, and a 0 needs proof that nothing else exists, which this sheet cannot give. There is also an open question about which laws count.
WHAT THE KTCP ACT (ULG-02) CONFIRMS (PRS republication, amendments up to Act 38 of 2015):
(1) Head 1, development control regulation (DCR) violations. s.73(a) punishes whoever 'does any work in contravention of the provisions of section 14'. s.14(1) requires every land use, change in land use and development to 'conform to the provisions of this Act, the Master Plan and the Report'. Under s.12(2)(iii) the Master Plan includes zoning regulations for each land-use zone, and under s.12(3) it includes heritage conservation regulations. Building line, height and floor area ratio regulations apply only to areas of special control declared under s.12(1)(f).
(2) Head 5, work without permit. Four clauses of s.73 cover it:
- s.73(c): breach of the conditions of a commencement certificate (s.15) or a layout sanction (s.17).
- s.73(d): work 'in spite of refusal to grant a commencement certificate'.
- s.73(a) with s.14(2): development without a commencement certificate.
- s.73(e) with s.35(1)(a): in a town planning scheme area, no one may 'erect ... alter, make additions to, or make any substantial repair to any building ... or change the user of any land or building' without a commencement certificate.
The penalty is: 'imprisonment for a term which may extend to three months or with fine which may extend to five thousand rupees or with both', plus up to Rs 250 per day if the breach continues.
NOT FOUND IN THE KTCP TEXT: Head 2 (building code), Head 3 (no-objection certificate violations), Head 4 (encroachment) and Head 6 (urban design).
- s.76FF(3)-(4) refuses regularisation without Pollution Control Board clearance or fire protection, and s.76FF(7) and (9) set limits for setback and floor area ratio violations. These are conditions for regularisation, not penalty provisions.
- s.74 and s.75 only allow rules and bye-laws to set fines ('may'). s.76D penalises obstruction.
WHY THE COUNT IS BLANK, NOT 2:
(a) Scope. The method says 'T&amp;CP Act', but the Step 2 notes say the urban planning (UPD) section guidance also points to the municipal law. The Greater Bengaluru Governance Act (GBA Act, ULG-01, Karnataka Act 36 of 2025) appears to cover most heads:
- General penalties: s.319 (contravening the Act: up to 1 year and Rs 2 lakh), s.320 (rules), s.321 (regulations), s.322 (bye-laws: up to Rs 2 lakh).
- s.224 building bye-laws cover inflammable materials, lifts, staircases, rainwater harvesting and similar matters (Heads 2 and 3).
- s.228 bans building, addition or alteration without sanction (Head 5).
- s.215 bans structures that obstruct streets without permission (likely Head 4).
- The bye-law power on posting bills and advertisements and on the size, shape and style of sign-posts, with fines for breaking bye-laws, likely covers Head 6.
- s.244(3) sets a fine up to 20% of guidance value for not complying with notices. s.245(3) allows a penalty for unauthorised development.
If the team counts the GBA Act, the total would probably be 5 or more ('Yes'). A person must decide the scope and then check each GBA provision.
(b) Missing layers. The sheet does not include KTCP amendments after 2015, the KTCP Rules, the Revised Master Plan zoning regulations or the building bye-laws. So the KTCP count of 2 cannot be shown to be complete.
(c) Planning authority. The KTCP text still names the Bangalore Development Authority (BDA). ULG-03 (s.81-G, which would make the Greater Bengaluru Authority the planning authority) is only a Bill passed by the Assembly, and no commencement notification is in the sheet.
The Step 2 answer is consistent with the source. Its 's.35 not read' gap is now closed: s.35(1)(a) covers building without permission, not encroachment.
TO SCORE: set the scope. KTCP only gives 2 confirmed heads, but you would still need to check the post-2015 amendments and the Rules before entering 2. KTCP plus the GBA Act should give 5 or more once the cited sections are checked.
Quote: "does any work in spite of refusal to grant a commencement certificate under sub-section (1) of section 15"
"No. of penalty provisions found" left blank: the Citation Sheet doesn't decide it.</t>
  </si>
</sst>
</file>

<file path=xl/styles.xml><?xml version="1.0" encoding="utf-8"?>
<styleSheet xmlns="http://schemas.openxmlformats.org/spreadsheetml/2006/main">
  <numFmts count="4">
    <numFmt numFmtId="164" formatCode="General"/>
    <numFmt numFmtId="165" formatCode="0.00"/>
    <numFmt numFmtId="166" formatCode="0"/>
    <numFmt numFmtId="167" formatCode="0%"/>
  </numFmts>
  <fonts count="43">
    <font>
      <sz val="11"/>
      <color theme="1"/>
      <name val="Calibri"/>
      <family val="2"/>
      <charset val="1"/>
    </font>
    <font>
      <sz val="10"/>
      <name val="Arial"/>
      <family val="0"/>
    </font>
    <font>
      <sz val="10"/>
      <name val="Arial"/>
      <family val="0"/>
    </font>
    <font>
      <sz val="10"/>
      <name val="Arial"/>
      <family val="0"/>
    </font>
    <font>
      <b val="true"/>
      <sz val="11"/>
      <name val="Cambria"/>
      <family val="0"/>
      <charset val="1"/>
    </font>
    <font>
      <u val="single"/>
      <sz val="11"/>
      <color rgb="FF1F4E9C"/>
      <name val="Cambria"/>
      <family val="0"/>
      <charset val="1"/>
    </font>
    <font>
      <sz val="10"/>
      <color theme="1"/>
      <name val="Verdana"/>
      <family val="2"/>
      <charset val="1"/>
    </font>
    <font>
      <i val="true"/>
      <sz val="10"/>
      <color theme="1"/>
      <name val="Verdana"/>
      <family val="2"/>
      <charset val="1"/>
    </font>
    <font>
      <b val="true"/>
      <sz val="10"/>
      <color rgb="FF000000"/>
      <name val="Verdana"/>
      <family val="2"/>
      <charset val="1"/>
    </font>
    <font>
      <b val="true"/>
      <sz val="10"/>
      <color theme="1"/>
      <name val="Verdana"/>
      <family val="2"/>
      <charset val="1"/>
    </font>
    <font>
      <b val="true"/>
      <i val="true"/>
      <sz val="10"/>
      <color rgb="FF000000"/>
      <name val="Verdana"/>
      <family val="2"/>
      <charset val="1"/>
    </font>
    <font>
      <sz val="10"/>
      <color rgb="FF000000"/>
      <name val="Verdana"/>
      <family val="2"/>
      <charset val="1"/>
    </font>
    <font>
      <i val="true"/>
      <sz val="10"/>
      <color rgb="FF000000"/>
      <name val="Verdana"/>
      <family val="2"/>
      <charset val="1"/>
    </font>
    <font>
      <sz val="10"/>
      <name val="Verdana"/>
      <family val="2"/>
      <charset val="1"/>
    </font>
    <font>
      <b val="true"/>
      <sz val="10"/>
      <name val="Verdana"/>
      <family val="2"/>
      <charset val="1"/>
    </font>
    <font>
      <i val="true"/>
      <sz val="10"/>
      <name val="Verdana"/>
      <family val="2"/>
      <charset val="1"/>
    </font>
    <font>
      <b val="true"/>
      <sz val="10"/>
      <name val="Calibri"/>
      <family val="0"/>
      <charset val="1"/>
    </font>
    <font>
      <b val="true"/>
      <sz val="11"/>
      <color rgb="FF0070C0"/>
      <name val="Calibri"/>
      <family val="0"/>
      <charset val="1"/>
    </font>
    <font>
      <b val="true"/>
      <sz val="11"/>
      <color rgb="FFC00000"/>
      <name val="Calibri"/>
      <family val="0"/>
      <charset val="1"/>
    </font>
    <font>
      <sz val="10"/>
      <name val="Calibri"/>
      <family val="0"/>
      <charset val="1"/>
    </font>
    <font>
      <sz val="11"/>
      <name val="Calibri"/>
      <family val="0"/>
      <charset val="1"/>
    </font>
    <font>
      <b val="true"/>
      <sz val="11"/>
      <name val="Calibri"/>
      <family val="0"/>
      <charset val="1"/>
    </font>
    <font>
      <sz val="10"/>
      <color theme="1"/>
      <name val="Calibri"/>
      <family val="2"/>
      <charset val="1"/>
    </font>
    <font>
      <sz val="11"/>
      <color theme="1"/>
      <name val="Verdana"/>
      <family val="0"/>
      <charset val="1"/>
    </font>
    <font>
      <b val="true"/>
      <sz val="10"/>
      <color rgb="FF000000"/>
      <name val="Verdana"/>
      <family val="0"/>
      <charset val="1"/>
    </font>
    <font>
      <b val="true"/>
      <sz val="10"/>
      <color theme="1"/>
      <name val="Verdana"/>
      <family val="0"/>
      <charset val="1"/>
    </font>
    <font>
      <sz val="10"/>
      <color rgb="FF000000"/>
      <name val="Verdana"/>
      <family val="0"/>
      <charset val="1"/>
    </font>
    <font>
      <sz val="10"/>
      <color theme="1"/>
      <name val="Verdana"/>
      <family val="0"/>
      <charset val="1"/>
    </font>
    <font>
      <i val="true"/>
      <sz val="10"/>
      <color rgb="FF000000"/>
      <name val="Verdana"/>
      <family val="0"/>
      <charset val="1"/>
    </font>
    <font>
      <i val="true"/>
      <sz val="10"/>
      <color rgb="FFFF0000"/>
      <name val="Verdana"/>
      <family val="2"/>
      <charset val="1"/>
    </font>
    <font>
      <sz val="11"/>
      <color rgb="FF000000"/>
      <name val="Verdana"/>
      <family val="0"/>
      <charset val="1"/>
    </font>
    <font>
      <sz val="10"/>
      <name val="Verdana"/>
      <family val="0"/>
      <charset val="1"/>
    </font>
    <font>
      <b val="true"/>
      <sz val="11"/>
      <color theme="1"/>
      <name val="Calibri"/>
      <family val="2"/>
      <charset val="1"/>
    </font>
    <font>
      <sz val="10"/>
      <color rgb="FFFF0000"/>
      <name val="Verdana"/>
      <family val="2"/>
      <charset val="1"/>
    </font>
    <font>
      <i val="true"/>
      <sz val="9"/>
      <color rgb="FF000000"/>
      <name val="Verdana"/>
      <family val="0"/>
      <charset val="1"/>
    </font>
    <font>
      <i val="true"/>
      <sz val="12"/>
      <color rgb="FF000000"/>
      <name val="Verdana"/>
      <family val="0"/>
      <charset val="1"/>
    </font>
    <font>
      <sz val="11"/>
      <color rgb="FFFF0000"/>
      <name val="Calibri"/>
      <family val="2"/>
      <charset val="1"/>
    </font>
    <font>
      <b val="true"/>
      <sz val="10"/>
      <color rgb="FFFF0000"/>
      <name val="Verdana"/>
      <family val="2"/>
      <charset val="1"/>
    </font>
    <font>
      <i val="true"/>
      <sz val="10"/>
      <color theme="1"/>
      <name val="Verdana"/>
      <family val="0"/>
      <charset val="1"/>
    </font>
    <font>
      <i val="true"/>
      <sz val="11"/>
      <color rgb="FF000000"/>
      <name val="Verdana"/>
      <family val="0"/>
      <charset val="1"/>
    </font>
    <font>
      <b val="true"/>
      <u val="single"/>
      <sz val="11"/>
      <color rgb="FF1F4E9C"/>
      <name val="Cambria"/>
      <family val="0"/>
      <charset val="1"/>
    </font>
    <font>
      <b val="true"/>
      <sz val="9"/>
      <name val="Calibri"/>
      <family val="0"/>
      <charset val="1"/>
    </font>
    <font>
      <u val="single"/>
      <sz val="11"/>
      <color theme="10"/>
      <name val="Calibri"/>
      <family val="2"/>
      <charset val="1"/>
    </font>
  </fonts>
  <fills count="13">
    <fill>
      <patternFill patternType="none"/>
    </fill>
    <fill>
      <patternFill patternType="gray125"/>
    </fill>
    <fill>
      <patternFill patternType="solid">
        <fgColor rgb="FFDDE7F0"/>
        <bgColor rgb="FFE7E6E6"/>
      </patternFill>
    </fill>
    <fill>
      <patternFill patternType="solid">
        <fgColor rgb="FFF2C200"/>
        <bgColor rgb="FFFF9900"/>
      </patternFill>
    </fill>
    <fill>
      <patternFill patternType="solid">
        <fgColor rgb="FFFFF2B3"/>
        <bgColor rgb="FFFBD5B5"/>
      </patternFill>
    </fill>
    <fill>
      <patternFill patternType="solid">
        <fgColor rgb="FFFFFF00"/>
        <bgColor rgb="FFFFFF00"/>
      </patternFill>
    </fill>
    <fill>
      <patternFill patternType="solid">
        <fgColor theme="0"/>
        <bgColor rgb="FFE7E6E6"/>
      </patternFill>
    </fill>
    <fill>
      <patternFill patternType="solid">
        <fgColor rgb="FFBDD6EE"/>
        <bgColor rgb="FFB4C7E7"/>
      </patternFill>
    </fill>
    <fill>
      <patternFill patternType="solid">
        <fgColor rgb="FFA8D08D"/>
        <bgColor rgb="FFC5E0B3"/>
      </patternFill>
    </fill>
    <fill>
      <patternFill patternType="solid">
        <fgColor theme="4" tint="0.5998"/>
        <bgColor rgb="FFBDD6EE"/>
      </patternFill>
    </fill>
    <fill>
      <patternFill patternType="solid">
        <fgColor rgb="FFC00000"/>
        <bgColor rgb="FFFF0000"/>
      </patternFill>
    </fill>
    <fill>
      <patternFill patternType="solid">
        <fgColor rgb="FFC5E0B3"/>
        <bgColor rgb="FFC6E7C1"/>
      </patternFill>
    </fill>
    <fill>
      <patternFill patternType="solid">
        <fgColor rgb="FFE7E6E6"/>
        <bgColor rgb="FFDDE7F0"/>
      </patternFill>
    </fill>
  </fills>
  <borders count="11">
    <border diagonalUp="false" diagonalDown="false">
      <left/>
      <right/>
      <top/>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style="thin"/>
      <top style="thin"/>
      <bottom/>
      <diagonal/>
    </border>
    <border diagonalUp="false" diagonalDown="false">
      <left style="thin"/>
      <right/>
      <top style="thin"/>
      <bottom/>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top/>
      <bottom style="thin"/>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2" fillId="0" borderId="0" applyFont="true" applyBorder="true" applyAlignment="true" applyProtection="true">
      <alignment horizontal="general" vertical="bottom" textRotation="0" wrapText="false" indent="0" shrinkToFit="false"/>
      <protection locked="true" hidden="false"/>
    </xf>
  </cellStyleXfs>
  <cellXfs count="25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4" borderId="0" xfId="0" applyFont="fals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xf numFmtId="165"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center"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center" vertical="top"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10" fillId="5" borderId="2" xfId="0" applyFont="true" applyBorder="true" applyAlignment="true" applyProtection="false">
      <alignment horizontal="center" vertical="top" textRotation="0" wrapText="false" indent="0" shrinkToFit="false"/>
      <protection locked="true" hidden="false"/>
    </xf>
    <xf numFmtId="164" fontId="10" fillId="5" borderId="1" xfId="0" applyFont="true" applyBorder="true" applyAlignment="true" applyProtection="false">
      <alignment horizontal="center" vertical="top"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5" fontId="12" fillId="0" borderId="1" xfId="0" applyFont="true" applyBorder="true" applyAlignment="true" applyProtection="false">
      <alignment horizontal="center" vertical="top" textRotation="0" wrapText="true" indent="0" shrinkToFit="false"/>
      <protection locked="true" hidden="false"/>
    </xf>
    <xf numFmtId="164" fontId="12" fillId="0" borderId="2"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center" vertical="top" textRotation="0" wrapText="false" indent="0" shrinkToFit="false"/>
      <protection locked="true" hidden="false"/>
    </xf>
    <xf numFmtId="165" fontId="11" fillId="0" borderId="1" xfId="0" applyFont="true" applyBorder="true" applyAlignment="true" applyProtection="false">
      <alignment horizontal="center" vertical="top" textRotation="0" wrapText="false" indent="0" shrinkToFit="false"/>
      <protection locked="true" hidden="false"/>
    </xf>
    <xf numFmtId="164" fontId="12" fillId="0" borderId="1" xfId="0" applyFont="true" applyBorder="true" applyAlignment="true" applyProtection="false">
      <alignment horizontal="center" vertical="top"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5"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center"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2" fillId="6" borderId="1" xfId="0" applyFont="true" applyBorder="true" applyAlignment="true" applyProtection="false">
      <alignment horizontal="center" vertical="top" textRotation="0" wrapText="false" indent="0" shrinkToFit="false"/>
      <protection locked="true" hidden="false"/>
    </xf>
    <xf numFmtId="164" fontId="11" fillId="6"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center" vertical="top" textRotation="0" wrapText="true" indent="0" shrinkToFit="false"/>
      <protection locked="true" hidden="false"/>
    </xf>
    <xf numFmtId="165" fontId="14" fillId="0" borderId="1" xfId="0" applyFont="true" applyBorder="true" applyAlignment="true" applyProtection="false">
      <alignment horizontal="center" vertical="top" textRotation="0" wrapText="tru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top" textRotation="0" wrapText="false" indent="0" shrinkToFit="false"/>
      <protection locked="true" hidden="false"/>
    </xf>
    <xf numFmtId="164" fontId="13"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12" fillId="6"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center" vertical="top" textRotation="0" wrapText="true" indent="0" shrinkToFit="false"/>
      <protection locked="true" hidden="false"/>
    </xf>
    <xf numFmtId="165" fontId="15" fillId="0" borderId="1" xfId="0" applyFont="true" applyBorder="true" applyAlignment="true" applyProtection="false">
      <alignment horizontal="center"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false" indent="0" shrinkToFit="false"/>
      <protection locked="true" hidden="false"/>
    </xf>
    <xf numFmtId="164" fontId="12" fillId="6" borderId="2" xfId="0" applyFont="true" applyBorder="true" applyAlignment="true" applyProtection="false">
      <alignment horizontal="general" vertical="top" textRotation="0" wrapText="true" indent="0" shrinkToFit="false"/>
      <protection locked="true" hidden="false"/>
    </xf>
    <xf numFmtId="164" fontId="11" fillId="0" borderId="3" xfId="0" applyFont="true" applyBorder="true" applyAlignment="true" applyProtection="false">
      <alignment horizontal="center" vertical="top" textRotation="0" wrapText="false" indent="0" shrinkToFit="false"/>
      <protection locked="true" hidden="false"/>
    </xf>
    <xf numFmtId="164" fontId="11" fillId="0" borderId="3" xfId="0" applyFont="true" applyBorder="true" applyAlignment="true" applyProtection="false">
      <alignment horizontal="general" vertical="top" textRotation="0" wrapText="true" indent="0" shrinkToFit="false"/>
      <protection locked="true" hidden="false"/>
    </xf>
    <xf numFmtId="164" fontId="6" fillId="0" borderId="3" xfId="0" applyFont="true" applyBorder="true" applyAlignment="true" applyProtection="false">
      <alignment horizontal="general" vertical="top" textRotation="0" wrapText="false" indent="0" shrinkToFit="false"/>
      <protection locked="true" hidden="false"/>
    </xf>
    <xf numFmtId="164" fontId="6" fillId="0" borderId="3" xfId="0" applyFont="true" applyBorder="true" applyAlignment="true" applyProtection="false">
      <alignment horizontal="general" vertical="top" textRotation="0" wrapText="true" indent="0" shrinkToFit="false"/>
      <protection locked="true" hidden="false"/>
    </xf>
    <xf numFmtId="165" fontId="11" fillId="0" borderId="3" xfId="0" applyFont="true" applyBorder="true" applyAlignment="true" applyProtection="false">
      <alignment horizontal="center" vertical="top" textRotation="0" wrapText="false" indent="0" shrinkToFit="false"/>
      <protection locked="true" hidden="false"/>
    </xf>
    <xf numFmtId="164" fontId="12" fillId="0" borderId="3" xfId="0" applyFont="true" applyBorder="true" applyAlignment="true" applyProtection="false">
      <alignment horizontal="general"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center"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6" fillId="8" borderId="1" xfId="0" applyFont="true" applyBorder="true" applyAlignment="true" applyProtection="false">
      <alignment horizontal="center" vertical="center" textRotation="90" wrapText="false" indent="0" shrinkToFit="false"/>
      <protection locked="true" hidden="false"/>
    </xf>
    <xf numFmtId="164" fontId="17" fillId="5"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left" vertical="center" textRotation="0" wrapText="false" indent="0" shrinkToFit="false"/>
      <protection locked="true" hidden="false"/>
    </xf>
    <xf numFmtId="164" fontId="18" fillId="0" borderId="1" xfId="0" applyFont="true" applyBorder="true" applyAlignment="true" applyProtection="false">
      <alignment horizontal="center" vertical="center"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left" vertical="center" textRotation="0" wrapText="fals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65" fontId="19" fillId="0" borderId="1" xfId="0" applyFont="true" applyBorder="true" applyAlignment="true" applyProtection="false">
      <alignment horizontal="right" vertical="center" textRotation="0" wrapText="false" indent="0" shrinkToFit="false"/>
      <protection locked="true" hidden="false"/>
    </xf>
    <xf numFmtId="165" fontId="20" fillId="0" borderId="1" xfId="0" applyFont="true" applyBorder="true" applyAlignment="true" applyProtection="false">
      <alignment horizontal="right" vertical="center"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5" fontId="21"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true" indent="0" shrinkToFit="false"/>
      <protection locked="true" hidden="false"/>
    </xf>
    <xf numFmtId="166" fontId="20" fillId="0" borderId="1"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top" textRotation="0" wrapText="fals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top" textRotation="0" wrapText="false" indent="0" shrinkToFit="false"/>
      <protection locked="true" hidden="false"/>
    </xf>
    <xf numFmtId="164" fontId="22" fillId="0" borderId="1" xfId="0" applyFont="true" applyBorder="true" applyAlignment="true" applyProtection="false">
      <alignment horizontal="general" vertical="top" textRotation="0" wrapText="false" indent="0" shrinkToFit="false"/>
      <protection locked="true" hidden="false"/>
    </xf>
    <xf numFmtId="164" fontId="22" fillId="0" borderId="1" xfId="0" applyFont="true" applyBorder="true" applyAlignment="true" applyProtection="false">
      <alignment horizontal="general" vertical="top" textRotation="0" wrapText="true" indent="0" shrinkToFit="false"/>
      <protection locked="true" hidden="false"/>
    </xf>
    <xf numFmtId="164" fontId="23" fillId="0" borderId="0" xfId="0" applyFont="true" applyBorder="false" applyAlignment="true" applyProtection="false">
      <alignment horizontal="center" vertical="top" textRotation="0" wrapText="false" indent="0" shrinkToFit="false"/>
      <protection locked="true" hidden="false"/>
    </xf>
    <xf numFmtId="164" fontId="24" fillId="5" borderId="1" xfId="0" applyFont="true" applyBorder="true" applyAlignment="true" applyProtection="false">
      <alignment horizontal="center" vertical="top" textRotation="0" wrapText="true" indent="0" shrinkToFit="false"/>
      <protection locked="true" hidden="false"/>
    </xf>
    <xf numFmtId="164" fontId="25" fillId="5" borderId="1" xfId="0" applyFont="true" applyBorder="true" applyAlignment="true" applyProtection="false">
      <alignment horizontal="center" vertical="top" textRotation="0" wrapText="true" indent="0" shrinkToFit="false"/>
      <protection locked="true" hidden="false"/>
    </xf>
    <xf numFmtId="164" fontId="24" fillId="5" borderId="2" xfId="0" applyFont="true" applyBorder="true" applyAlignment="true" applyProtection="false">
      <alignment horizontal="center" vertical="top" textRotation="0" wrapText="true" indent="0" shrinkToFit="false"/>
      <protection locked="true" hidden="false"/>
    </xf>
    <xf numFmtId="164" fontId="24" fillId="5" borderId="1" xfId="0" applyFont="true" applyBorder="true" applyAlignment="true" applyProtection="false">
      <alignment horizontal="center" vertical="top" textRotation="0" wrapText="false" indent="0" shrinkToFit="false"/>
      <protection locked="true" hidden="false"/>
    </xf>
    <xf numFmtId="164" fontId="26" fillId="0" borderId="1" xfId="0" applyFont="true" applyBorder="true" applyAlignment="true" applyProtection="false">
      <alignment horizontal="center"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false" indent="0" shrinkToFit="false"/>
      <protection locked="true" hidden="false"/>
    </xf>
    <xf numFmtId="165" fontId="26" fillId="0" borderId="1" xfId="0" applyFont="true" applyBorder="true" applyAlignment="true" applyProtection="false">
      <alignment horizontal="center" vertical="top"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center" vertical="top" textRotation="0" wrapText="true" indent="0" shrinkToFit="false"/>
      <protection locked="true" hidden="false"/>
    </xf>
    <xf numFmtId="164" fontId="24" fillId="0" borderId="1" xfId="0" applyFont="true" applyBorder="true" applyAlignment="true" applyProtection="false">
      <alignment horizontal="general" vertical="top" textRotation="0" wrapText="true" indent="0" shrinkToFit="false"/>
      <protection locked="true" hidden="false"/>
    </xf>
    <xf numFmtId="165" fontId="24" fillId="0" borderId="1" xfId="0" applyFont="true" applyBorder="true" applyAlignment="true" applyProtection="false">
      <alignment horizontal="center" vertical="top" textRotation="0" wrapText="true" indent="0" shrinkToFit="false"/>
      <protection locked="true" hidden="false"/>
    </xf>
    <xf numFmtId="164" fontId="24" fillId="0" borderId="2"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center" vertical="top" textRotation="0" wrapText="true" indent="0" shrinkToFit="false"/>
      <protection locked="true" hidden="false"/>
    </xf>
    <xf numFmtId="164" fontId="28" fillId="0" borderId="1" xfId="0" applyFont="true" applyBorder="true" applyAlignment="true" applyProtection="false">
      <alignment horizontal="general" vertical="top" textRotation="0" wrapText="true" indent="0" shrinkToFit="false"/>
      <protection locked="true" hidden="false"/>
    </xf>
    <xf numFmtId="165" fontId="28" fillId="0" borderId="1" xfId="0" applyFont="true" applyBorder="true" applyAlignment="true" applyProtection="false">
      <alignment horizontal="center" vertical="top" textRotation="0" wrapText="true" indent="0" shrinkToFit="false"/>
      <protection locked="true" hidden="false"/>
    </xf>
    <xf numFmtId="164" fontId="28" fillId="0" borderId="2" xfId="0" applyFont="true" applyBorder="true" applyAlignment="true" applyProtection="false">
      <alignment horizontal="general" vertical="top" textRotation="0" wrapText="true" indent="0" shrinkToFit="false"/>
      <protection locked="true" hidden="false"/>
    </xf>
    <xf numFmtId="164" fontId="28" fillId="0" borderId="3" xfId="0" applyFont="true" applyBorder="true" applyAlignment="true" applyProtection="false">
      <alignment horizontal="general" vertical="top" textRotation="0" wrapText="true" indent="0" shrinkToFit="false"/>
      <protection locked="true" hidden="false"/>
    </xf>
    <xf numFmtId="164" fontId="28" fillId="0" borderId="3" xfId="0" applyFont="true" applyBorder="true" applyAlignment="true" applyProtection="false">
      <alignment horizontal="center" vertical="top" textRotation="0" wrapText="true" indent="0" shrinkToFit="false"/>
      <protection locked="true" hidden="false"/>
    </xf>
    <xf numFmtId="164" fontId="28" fillId="0" borderId="4" xfId="0" applyFont="true" applyBorder="true" applyAlignment="true" applyProtection="false">
      <alignment horizontal="general" vertical="top" textRotation="0" wrapText="true" indent="0" shrinkToFit="false"/>
      <protection locked="true" hidden="false"/>
    </xf>
    <xf numFmtId="164" fontId="26" fillId="0" borderId="3" xfId="0" applyFont="true" applyBorder="true" applyAlignment="true" applyProtection="false">
      <alignment horizontal="general" vertical="top" textRotation="0" wrapText="true" indent="0" shrinkToFit="false"/>
      <protection locked="true" hidden="false"/>
    </xf>
    <xf numFmtId="164" fontId="27" fillId="0" borderId="3" xfId="0" applyFont="true" applyBorder="true" applyAlignment="true" applyProtection="false">
      <alignment horizontal="general"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false" indent="0" shrinkToFit="false"/>
      <protection locked="true" hidden="false"/>
    </xf>
    <xf numFmtId="164" fontId="0" fillId="0" borderId="5" xfId="0" applyFont="false" applyBorder="true" applyAlignment="true" applyProtection="false">
      <alignment horizontal="general" vertical="top" textRotation="0" wrapText="true" indent="0" shrinkToFit="false"/>
      <protection locked="true" hidden="false"/>
    </xf>
    <xf numFmtId="164" fontId="13" fillId="0" borderId="6" xfId="0" applyFont="true" applyBorder="true" applyAlignment="true" applyProtection="false">
      <alignment horizontal="center" vertical="top" textRotation="0" wrapText="false" indent="0" shrinkToFit="false"/>
      <protection locked="true" hidden="false"/>
    </xf>
    <xf numFmtId="164" fontId="13" fillId="0" borderId="7" xfId="0" applyFont="tru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27" fillId="0" borderId="5"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13" fillId="0" borderId="8" xfId="0" applyFont="true" applyBorder="true" applyAlignment="true" applyProtection="false">
      <alignment horizontal="general" vertical="top" textRotation="0" wrapText="true" indent="0" shrinkToFit="false"/>
      <protection locked="true" hidden="false"/>
    </xf>
    <xf numFmtId="164" fontId="13" fillId="0" borderId="7" xfId="0" applyFont="true" applyBorder="true" applyAlignment="true" applyProtection="false">
      <alignment horizontal="left"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26" fillId="0" borderId="6" xfId="0" applyFont="true" applyBorder="true" applyAlignment="true" applyProtection="false">
      <alignment horizontal="general" vertical="top" textRotation="0" wrapText="true" indent="0" shrinkToFit="false"/>
      <protection locked="true" hidden="false"/>
    </xf>
    <xf numFmtId="164" fontId="27" fillId="0" borderId="6" xfId="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26" fillId="0" borderId="4"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5" fontId="26" fillId="0" borderId="2" xfId="0" applyFont="true" applyBorder="true" applyAlignment="true" applyProtection="false">
      <alignment horizontal="center" vertical="top" textRotation="0" wrapText="false" indent="0" shrinkToFit="false"/>
      <protection locked="true" hidden="false"/>
    </xf>
    <xf numFmtId="165" fontId="26" fillId="0" borderId="1" xfId="0" applyFont="true" applyBorder="true" applyAlignment="true" applyProtection="false">
      <alignment horizontal="center" vertical="top" textRotation="0" wrapText="false" indent="0" shrinkToFit="false"/>
      <protection locked="true" hidden="false"/>
    </xf>
    <xf numFmtId="164" fontId="26" fillId="0" borderId="9" xfId="0" applyFont="true" applyBorder="true" applyAlignment="true" applyProtection="false">
      <alignment horizontal="general" vertical="top" textRotation="0" wrapText="true" indent="0" shrinkToFit="false"/>
      <protection locked="true" hidden="false"/>
    </xf>
    <xf numFmtId="164" fontId="28" fillId="0" borderId="6" xfId="0" applyFont="true" applyBorder="true" applyAlignment="true" applyProtection="false">
      <alignment horizontal="general" vertical="top" textRotation="0" wrapText="true" indent="0" shrinkToFit="false"/>
      <protection locked="true" hidden="false"/>
    </xf>
    <xf numFmtId="164" fontId="28" fillId="0" borderId="1" xfId="0" applyFont="true" applyBorder="true" applyAlignment="true" applyProtection="false">
      <alignment horizontal="center" vertical="top" textRotation="0" wrapText="false" indent="0" shrinkToFit="false"/>
      <protection locked="true" hidden="false"/>
    </xf>
    <xf numFmtId="164" fontId="30" fillId="0" borderId="1" xfId="0" applyFont="true" applyBorder="true" applyAlignment="true" applyProtection="false">
      <alignment horizontal="general" vertical="top"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31" fillId="0" borderId="3" xfId="0" applyFont="true" applyBorder="true" applyAlignment="true" applyProtection="false">
      <alignment horizontal="general" vertical="top" textRotation="0" wrapText="true" indent="0" shrinkToFit="false"/>
      <protection locked="true" hidden="false"/>
    </xf>
    <xf numFmtId="165" fontId="24" fillId="0" borderId="2" xfId="0" applyFont="true" applyBorder="true" applyAlignment="true" applyProtection="false">
      <alignment horizontal="center" vertical="top" textRotation="0" wrapText="true" indent="0" shrinkToFit="false"/>
      <protection locked="true" hidden="false"/>
    </xf>
    <xf numFmtId="165" fontId="28" fillId="0" borderId="2" xfId="0" applyFont="true" applyBorder="true" applyAlignment="true" applyProtection="false">
      <alignment horizontal="center" vertical="top" textRotation="0" wrapText="true" indent="0" shrinkToFit="false"/>
      <protection locked="true" hidden="false"/>
    </xf>
    <xf numFmtId="164" fontId="27" fillId="0" borderId="1"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center" vertical="top" textRotation="0" wrapText="true" indent="0" shrinkToFit="false"/>
      <protection locked="true" hidden="false"/>
    </xf>
    <xf numFmtId="164" fontId="23" fillId="0" borderId="1" xfId="0" applyFont="true" applyBorder="true" applyAlignment="true" applyProtection="false">
      <alignment horizontal="general" vertical="top" textRotation="0" wrapText="false" indent="0" shrinkToFit="false"/>
      <protection locked="true" hidden="false"/>
    </xf>
    <xf numFmtId="164" fontId="0" fillId="0" borderId="10" xfId="0" applyFont="fals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top" textRotation="0" wrapText="true" indent="0" shrinkToFit="false"/>
      <protection locked="true" hidden="false"/>
    </xf>
    <xf numFmtId="164" fontId="24" fillId="0" borderId="9" xfId="0" applyFont="true" applyBorder="true" applyAlignment="true" applyProtection="false">
      <alignment horizontal="general" vertical="top" textRotation="0" wrapText="true" indent="0" shrinkToFit="false"/>
      <protection locked="true" hidden="false"/>
    </xf>
    <xf numFmtId="164" fontId="25" fillId="0" borderId="0" xfId="0" applyFont="true" applyBorder="false" applyAlignment="true" applyProtection="false">
      <alignment horizontal="general" vertical="top" textRotation="0" wrapText="false" indent="0" shrinkToFit="false"/>
      <protection locked="true" hidden="false"/>
    </xf>
    <xf numFmtId="164" fontId="27" fillId="0" borderId="0" xfId="0" applyFont="true" applyBorder="false" applyAlignment="true" applyProtection="false">
      <alignment horizontal="general" vertical="top" textRotation="0" wrapText="false" indent="0" shrinkToFit="false"/>
      <protection locked="true" hidden="false"/>
    </xf>
    <xf numFmtId="164" fontId="26" fillId="0" borderId="1" xfId="0" applyFont="true" applyBorder="true" applyAlignment="true" applyProtection="false">
      <alignment horizontal="general" vertical="top" textRotation="0" wrapText="false" indent="0" shrinkToFit="false"/>
      <protection locked="true" hidden="false"/>
    </xf>
    <xf numFmtId="164" fontId="26" fillId="0" borderId="2" xfId="0" applyFont="true" applyBorder="true" applyAlignment="true" applyProtection="false">
      <alignment horizontal="general" vertical="top" textRotation="0" wrapText="false" indent="0" shrinkToFit="false"/>
      <protection locked="true" hidden="false"/>
    </xf>
    <xf numFmtId="164" fontId="23" fillId="0" borderId="0" xfId="0" applyFont="true" applyBorder="false" applyAlignment="true" applyProtection="false">
      <alignment horizontal="general" vertical="top" textRotation="0" wrapText="false" indent="0" shrinkToFit="false"/>
      <protection locked="true" hidden="false"/>
    </xf>
    <xf numFmtId="164" fontId="24" fillId="0" borderId="1" xfId="0" applyFont="true" applyBorder="true" applyAlignment="true" applyProtection="false">
      <alignment horizontal="center" vertical="top" textRotation="0" wrapText="false" indent="0" shrinkToFit="false"/>
      <protection locked="true" hidden="false"/>
    </xf>
    <xf numFmtId="165" fontId="24" fillId="0" borderId="1" xfId="0" applyFont="true" applyBorder="true" applyAlignment="true" applyProtection="false">
      <alignment horizontal="center" vertical="top" textRotation="0" wrapText="false" indent="0" shrinkToFit="false"/>
      <protection locked="true" hidden="false"/>
    </xf>
    <xf numFmtId="164" fontId="28" fillId="5" borderId="1" xfId="0" applyFont="true" applyBorder="true" applyAlignment="true" applyProtection="false">
      <alignment horizontal="center" vertical="top" textRotation="0" wrapText="false" indent="0" shrinkToFit="false"/>
      <protection locked="true" hidden="false"/>
    </xf>
    <xf numFmtId="164" fontId="30" fillId="5" borderId="1" xfId="0" applyFont="true" applyBorder="true" applyAlignment="true" applyProtection="false">
      <alignment horizontal="general" vertical="top" textRotation="0" wrapText="false" indent="0" shrinkToFit="false"/>
      <protection locked="true" hidden="false"/>
    </xf>
    <xf numFmtId="164" fontId="22" fillId="5" borderId="1" xfId="0" applyFont="true" applyBorder="true" applyAlignment="true" applyProtection="false">
      <alignment horizontal="general" vertical="top" textRotation="0" wrapText="false" indent="0" shrinkToFit="false"/>
      <protection locked="true" hidden="false"/>
    </xf>
    <xf numFmtId="164" fontId="27"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32" fillId="5" borderId="0" xfId="0" applyFont="true" applyBorder="false" applyAlignment="true" applyProtection="false">
      <alignment horizontal="general" vertical="top" textRotation="0" wrapText="true" indent="0" shrinkToFit="false"/>
      <protection locked="true" hidden="false"/>
    </xf>
    <xf numFmtId="164" fontId="26" fillId="5" borderId="1" xfId="0" applyFont="true" applyBorder="true" applyAlignment="true" applyProtection="false">
      <alignment horizontal="center" vertical="top" textRotation="0" wrapText="false" indent="0" shrinkToFit="false"/>
      <protection locked="true" hidden="false"/>
    </xf>
    <xf numFmtId="165" fontId="26" fillId="5" borderId="1" xfId="0" applyFont="true" applyBorder="true" applyAlignment="true" applyProtection="false">
      <alignment horizontal="center" vertical="top" textRotation="0" wrapText="false" indent="0" shrinkToFit="false"/>
      <protection locked="true" hidden="false"/>
    </xf>
    <xf numFmtId="164" fontId="26" fillId="5" borderId="2" xfId="0" applyFont="true" applyBorder="true" applyAlignment="true" applyProtection="false">
      <alignment horizontal="general" vertical="top" textRotation="0" wrapText="true" indent="0" shrinkToFit="false"/>
      <protection locked="true" hidden="false"/>
    </xf>
    <xf numFmtId="164" fontId="31" fillId="5" borderId="1" xfId="0" applyFont="true" applyBorder="true" applyAlignment="true" applyProtection="false">
      <alignment horizontal="general" vertical="top" textRotation="0" wrapText="true" indent="0" shrinkToFit="false"/>
      <protection locked="true" hidden="false"/>
    </xf>
    <xf numFmtId="164" fontId="0" fillId="5" borderId="1" xfId="0" applyFont="false" applyBorder="true" applyAlignment="true" applyProtection="false">
      <alignment horizontal="general" vertical="top" textRotation="0" wrapText="true" indent="0" shrinkToFit="false"/>
      <protection locked="true" hidden="false"/>
    </xf>
    <xf numFmtId="164" fontId="0" fillId="5" borderId="0" xfId="0" applyFont="false" applyBorder="false" applyAlignment="true" applyProtection="false">
      <alignment horizontal="general" vertical="top" textRotation="0" wrapText="false" indent="0" shrinkToFit="false"/>
      <protection locked="true" hidden="false"/>
    </xf>
    <xf numFmtId="164" fontId="33" fillId="5" borderId="1" xfId="0" applyFont="true" applyBorder="true" applyAlignment="true" applyProtection="false">
      <alignment horizontal="general" vertical="top" textRotation="0" wrapText="fals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5" fontId="26" fillId="5" borderId="5" xfId="0" applyFont="true" applyBorder="true" applyAlignment="true" applyProtection="false">
      <alignment horizontal="center" vertical="top" textRotation="0" wrapText="false" indent="0" shrinkToFit="false"/>
      <protection locked="true" hidden="false"/>
    </xf>
    <xf numFmtId="164" fontId="28" fillId="6" borderId="1" xfId="0" applyFont="true" applyBorder="true" applyAlignment="true" applyProtection="false">
      <alignment horizontal="center" vertical="top" textRotation="0" wrapText="false" indent="0" shrinkToFit="false"/>
      <protection locked="true" hidden="false"/>
    </xf>
    <xf numFmtId="164" fontId="30" fillId="6" borderId="1" xfId="0" applyFont="true" applyBorder="true" applyAlignment="true" applyProtection="false">
      <alignment horizontal="general" vertical="top" textRotation="0" wrapText="false" indent="0" shrinkToFit="false"/>
      <protection locked="true" hidden="false"/>
    </xf>
    <xf numFmtId="164" fontId="22" fillId="6" borderId="1" xfId="0" applyFont="true" applyBorder="true" applyAlignment="true" applyProtection="false">
      <alignment horizontal="general" vertical="top" textRotation="0" wrapText="false" indent="0" shrinkToFit="false"/>
      <protection locked="true" hidden="false"/>
    </xf>
    <xf numFmtId="164" fontId="33" fillId="6" borderId="1" xfId="0" applyFont="true" applyBorder="true" applyAlignment="true" applyProtection="false">
      <alignment horizontal="general" vertical="top" textRotation="0" wrapText="false" indent="0" shrinkToFit="false"/>
      <protection locked="true" hidden="false"/>
    </xf>
    <xf numFmtId="164" fontId="14" fillId="0" borderId="5" xfId="0" applyFont="true" applyBorder="true" applyAlignment="true" applyProtection="false">
      <alignment horizontal="center"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6" borderId="0" xfId="0" applyFont="false" applyBorder="false" applyAlignment="true" applyProtection="false">
      <alignment horizontal="general" vertical="top" textRotation="0" wrapText="false" indent="0" shrinkToFit="false"/>
      <protection locked="true" hidden="false"/>
    </xf>
    <xf numFmtId="164" fontId="27" fillId="0" borderId="6" xfId="0" applyFont="true" applyBorder="true" applyAlignment="true" applyProtection="false">
      <alignment horizontal="general" vertical="top" textRotation="0" wrapText="true" indent="0" shrinkToFit="false"/>
      <protection locked="true" hidden="false"/>
    </xf>
    <xf numFmtId="164" fontId="14" fillId="0" borderId="8" xfId="0" applyFont="true" applyBorder="true" applyAlignment="true" applyProtection="false">
      <alignment horizontal="center" vertical="top" textRotation="0" wrapText="true" indent="0" shrinkToFit="false"/>
      <protection locked="true" hidden="false"/>
    </xf>
    <xf numFmtId="164" fontId="13" fillId="0" borderId="6" xfId="0" applyFont="true" applyBorder="true" applyAlignment="true" applyProtection="false">
      <alignment horizontal="general" vertical="top" textRotation="0" wrapText="true" indent="0" shrinkToFit="false"/>
      <protection locked="true" hidden="false"/>
    </xf>
    <xf numFmtId="164" fontId="12" fillId="6" borderId="6" xfId="0" applyFont="true" applyBorder="true" applyAlignment="true" applyProtection="false">
      <alignment horizontal="general" vertical="top" textRotation="0" wrapText="true" indent="0" shrinkToFit="false"/>
      <protection locked="true" hidden="false"/>
    </xf>
    <xf numFmtId="164" fontId="15" fillId="0" borderId="6" xfId="0" applyFont="true" applyBorder="true" applyAlignment="true" applyProtection="false">
      <alignment horizontal="general" vertical="top" textRotation="0" wrapText="true" indent="0" shrinkToFit="false"/>
      <protection locked="true" hidden="false"/>
    </xf>
    <xf numFmtId="164" fontId="15" fillId="0" borderId="8" xfId="0" applyFont="true" applyBorder="true" applyAlignment="true" applyProtection="false">
      <alignment horizontal="center" vertical="top" textRotation="0" wrapText="true" indent="0" shrinkToFit="false"/>
      <protection locked="true" hidden="false"/>
    </xf>
    <xf numFmtId="164" fontId="15" fillId="0" borderId="6" xfId="0" applyFont="true" applyBorder="true" applyAlignment="true" applyProtection="false">
      <alignment horizontal="general" vertical="bottom" textRotation="0" wrapText="true" indent="0" shrinkToFit="false"/>
      <protection locked="true" hidden="false"/>
    </xf>
    <xf numFmtId="164" fontId="28" fillId="6" borderId="6" xfId="0" applyFont="true" applyBorder="true" applyAlignment="true" applyProtection="false">
      <alignment horizontal="general" vertical="top" textRotation="0" wrapText="true" indent="0" shrinkToFit="false"/>
      <protection locked="true" hidden="false"/>
    </xf>
    <xf numFmtId="164" fontId="24" fillId="6" borderId="1" xfId="0" applyFont="true" applyBorder="true" applyAlignment="true" applyProtection="false">
      <alignment horizontal="general" vertical="top" textRotation="0" wrapText="true" indent="0" shrinkToFit="false"/>
      <protection locked="true" hidden="false"/>
    </xf>
    <xf numFmtId="164" fontId="28" fillId="6" borderId="1" xfId="0" applyFont="true" applyBorder="true" applyAlignment="true" applyProtection="false">
      <alignment horizontal="general" vertical="top" textRotation="0" wrapText="true" indent="0" shrinkToFit="false"/>
      <protection locked="true" hidden="false"/>
    </xf>
    <xf numFmtId="164" fontId="26" fillId="6" borderId="1" xfId="0" applyFont="true" applyBorder="true" applyAlignment="true" applyProtection="false">
      <alignment horizontal="general" vertical="top" textRotation="0" wrapText="true" indent="0" shrinkToFit="false"/>
      <protection locked="true" hidden="false"/>
    </xf>
    <xf numFmtId="165" fontId="24" fillId="0" borderId="2" xfId="0" applyFont="true" applyBorder="true" applyAlignment="true" applyProtection="false">
      <alignment horizontal="center" vertical="top" textRotation="0" wrapText="false" indent="0" shrinkToFit="false"/>
      <protection locked="true" hidden="false"/>
    </xf>
    <xf numFmtId="164" fontId="27" fillId="6" borderId="0" xfId="0" applyFont="true" applyBorder="false" applyAlignment="true" applyProtection="false">
      <alignment horizontal="general" vertical="top" textRotation="0" wrapText="false" indent="0" shrinkToFit="false"/>
      <protection locked="true" hidden="false"/>
    </xf>
    <xf numFmtId="164" fontId="26" fillId="6" borderId="9" xfId="0" applyFont="true" applyBorder="true" applyAlignment="true" applyProtection="false">
      <alignment horizontal="general" vertical="top" textRotation="0" wrapText="true" indent="0" shrinkToFit="false"/>
      <protection locked="true" hidden="false"/>
    </xf>
    <xf numFmtId="164" fontId="26" fillId="6" borderId="2" xfId="0" applyFont="true" applyBorder="tru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true" applyProtection="false">
      <alignment horizontal="center" vertical="top" textRotation="0" wrapText="false" indent="0" shrinkToFit="false"/>
      <protection locked="true" hidden="false"/>
    </xf>
    <xf numFmtId="164" fontId="30" fillId="0" borderId="0" xfId="0"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22" fillId="0" borderId="6" xfId="0" applyFont="true" applyBorder="true" applyAlignment="true" applyProtection="false">
      <alignment horizontal="general" vertical="top" textRotation="0" wrapText="false" indent="0" shrinkToFit="false"/>
      <protection locked="true" hidden="false"/>
    </xf>
    <xf numFmtId="164" fontId="22" fillId="0" borderId="6" xfId="0" applyFont="true" applyBorder="true" applyAlignment="true" applyProtection="false">
      <alignment horizontal="general" vertical="top" textRotation="0" wrapText="true" indent="0" shrinkToFit="false"/>
      <protection locked="true" hidden="false"/>
    </xf>
    <xf numFmtId="164" fontId="36" fillId="0" borderId="0" xfId="0" applyFont="true" applyBorder="fals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64" fontId="26" fillId="5" borderId="1" xfId="0" applyFont="true" applyBorder="true" applyAlignment="true" applyProtection="false">
      <alignment horizontal="center" vertical="top" textRotation="0" wrapText="true" indent="0" shrinkToFit="false"/>
      <protection locked="true" hidden="false"/>
    </xf>
    <xf numFmtId="164" fontId="26" fillId="5" borderId="1" xfId="0" applyFont="true" applyBorder="true" applyAlignment="true" applyProtection="false">
      <alignment horizontal="general" vertical="top" textRotation="0" wrapText="true" indent="0" shrinkToFit="false"/>
      <protection locked="true" hidden="false"/>
    </xf>
    <xf numFmtId="164" fontId="27" fillId="5" borderId="1" xfId="0" applyFont="true" applyBorder="true" applyAlignment="true" applyProtection="false">
      <alignment horizontal="general" vertical="top" textRotation="0" wrapText="false" indent="0" shrinkToFit="false"/>
      <protection locked="true" hidden="false"/>
    </xf>
    <xf numFmtId="164" fontId="24" fillId="5" borderId="1" xfId="0" applyFont="true" applyBorder="true" applyAlignment="true" applyProtection="false">
      <alignment horizontal="general" vertical="top" textRotation="0" wrapText="true" indent="0" shrinkToFit="false"/>
      <protection locked="true" hidden="false"/>
    </xf>
    <xf numFmtId="165" fontId="26" fillId="5" borderId="1" xfId="0" applyFont="true" applyBorder="true" applyAlignment="true" applyProtection="false">
      <alignment horizontal="center" vertical="top" textRotation="0" wrapText="true" indent="0" shrinkToFit="false"/>
      <protection locked="true" hidden="false"/>
    </xf>
    <xf numFmtId="164" fontId="28" fillId="5" borderId="1" xfId="0" applyFont="true" applyBorder="true" applyAlignment="true" applyProtection="false">
      <alignment horizontal="general" vertical="top" textRotation="0" wrapText="true" indent="0" shrinkToFit="false"/>
      <protection locked="true" hidden="false"/>
    </xf>
    <xf numFmtId="164" fontId="33" fillId="0" borderId="1" xfId="0" applyFont="true" applyBorder="true" applyAlignment="true" applyProtection="false">
      <alignment horizontal="general" vertical="top" textRotation="0" wrapText="true" indent="0" shrinkToFit="false"/>
      <protection locked="true" hidden="false"/>
    </xf>
    <xf numFmtId="164" fontId="33" fillId="0" borderId="1" xfId="0" applyFont="true" applyBorder="true" applyAlignment="true" applyProtection="false">
      <alignment horizontal="general" vertical="top" textRotation="0" wrapText="false" indent="0" shrinkToFit="false"/>
      <protection locked="true" hidden="false"/>
    </xf>
    <xf numFmtId="164" fontId="33" fillId="5" borderId="1" xfId="0" applyFont="true" applyBorder="true" applyAlignment="true" applyProtection="false">
      <alignment horizontal="general" vertical="top" textRotation="0" wrapText="true" indent="0" shrinkToFit="false"/>
      <protection locked="true" hidden="false"/>
    </xf>
    <xf numFmtId="165" fontId="24" fillId="5" borderId="1" xfId="0" applyFont="true" applyBorder="true" applyAlignment="true" applyProtection="false">
      <alignment horizontal="center" vertical="top" textRotation="0" wrapText="true" indent="0" shrinkToFit="false"/>
      <protection locked="true" hidden="false"/>
    </xf>
    <xf numFmtId="164" fontId="28" fillId="5" borderId="1" xfId="0" applyFont="true" applyBorder="true" applyAlignment="true" applyProtection="false">
      <alignment horizontal="center" vertical="top" textRotation="0" wrapText="true" indent="0" shrinkToFit="false"/>
      <protection locked="true" hidden="false"/>
    </xf>
    <xf numFmtId="165" fontId="28" fillId="5" borderId="1" xfId="0" applyFont="true" applyBorder="true" applyAlignment="true" applyProtection="false">
      <alignment horizontal="center" vertical="top" textRotation="0" wrapText="true" indent="0" shrinkToFit="false"/>
      <protection locked="true" hidden="false"/>
    </xf>
    <xf numFmtId="164" fontId="28" fillId="9" borderId="1" xfId="0" applyFont="true" applyBorder="true" applyAlignment="true" applyProtection="false">
      <alignment horizontal="center" vertical="top" textRotation="0" wrapText="false" indent="0" shrinkToFit="false"/>
      <protection locked="true" hidden="false"/>
    </xf>
    <xf numFmtId="164" fontId="30" fillId="9" borderId="1" xfId="0" applyFont="true" applyBorder="true" applyAlignment="true" applyProtection="false">
      <alignment horizontal="general" vertical="top" textRotation="0" wrapText="false" indent="0" shrinkToFit="false"/>
      <protection locked="true" hidden="false"/>
    </xf>
    <xf numFmtId="164" fontId="22" fillId="9" borderId="1" xfId="0" applyFont="true" applyBorder="true" applyAlignment="true" applyProtection="false">
      <alignment horizontal="general" vertical="top" textRotation="0" wrapText="false" indent="0" shrinkToFit="false"/>
      <protection locked="true" hidden="false"/>
    </xf>
    <xf numFmtId="164" fontId="27" fillId="9" borderId="1" xfId="0" applyFont="true" applyBorder="true" applyAlignment="true" applyProtection="false">
      <alignment horizontal="general" vertical="top" textRotation="0" wrapText="false" indent="0" shrinkToFit="false"/>
      <protection locked="true" hidden="false"/>
    </xf>
    <xf numFmtId="164" fontId="38" fillId="9" borderId="1" xfId="0" applyFont="true" applyBorder="true" applyAlignment="true" applyProtection="false">
      <alignment horizontal="general" vertical="top" textRotation="0" wrapText="false" indent="0" shrinkToFit="false"/>
      <protection locked="true" hidden="false"/>
    </xf>
    <xf numFmtId="164" fontId="38" fillId="9" borderId="1" xfId="0" applyFont="true" applyBorder="true" applyAlignment="true" applyProtection="false">
      <alignment horizontal="general" vertical="top" textRotation="0" wrapText="true" indent="0" shrinkToFit="false"/>
      <protection locked="true" hidden="false"/>
    </xf>
    <xf numFmtId="164" fontId="31" fillId="9" borderId="1" xfId="0" applyFont="true" applyBorder="true" applyAlignment="true" applyProtection="false">
      <alignment horizontal="general" vertical="top" textRotation="0" wrapText="true" indent="0" shrinkToFit="false"/>
      <protection locked="true" hidden="false"/>
    </xf>
    <xf numFmtId="164" fontId="26" fillId="9" borderId="1" xfId="0" applyFont="true" applyBorder="true" applyAlignment="true" applyProtection="false">
      <alignment horizontal="center" vertical="top" textRotation="0" wrapText="false" indent="0" shrinkToFit="false"/>
      <protection locked="true" hidden="false"/>
    </xf>
    <xf numFmtId="165" fontId="26" fillId="9" borderId="1" xfId="0" applyFont="true" applyBorder="true" applyAlignment="true" applyProtection="false">
      <alignment horizontal="center" vertical="top" textRotation="0" wrapText="false" indent="0" shrinkToFit="false"/>
      <protection locked="true" hidden="false"/>
    </xf>
    <xf numFmtId="164" fontId="26" fillId="9" borderId="1" xfId="0" applyFont="true" applyBorder="true" applyAlignment="true" applyProtection="false">
      <alignment horizontal="left" vertical="top" textRotation="0" wrapText="false" indent="0" shrinkToFit="false"/>
      <protection locked="true" hidden="false"/>
    </xf>
    <xf numFmtId="164" fontId="0" fillId="9" borderId="0" xfId="0" applyFont="false" applyBorder="false" applyAlignment="true" applyProtection="false">
      <alignment horizontal="general" vertical="top" textRotation="0" wrapText="false" indent="0" shrinkToFit="false"/>
      <protection locked="true" hidden="false"/>
    </xf>
    <xf numFmtId="164" fontId="28" fillId="0" borderId="1" xfId="0" applyFont="true" applyBorder="true" applyAlignment="true" applyProtection="false">
      <alignment horizontal="general" vertical="top" textRotation="0" wrapText="false" indent="0" shrinkToFit="false"/>
      <protection locked="true" hidden="false"/>
    </xf>
    <xf numFmtId="164" fontId="29" fillId="0" borderId="1" xfId="0" applyFont="true" applyBorder="true" applyAlignment="true" applyProtection="false">
      <alignment horizontal="general" vertical="top" textRotation="0" wrapText="false" indent="0" shrinkToFit="false"/>
      <protection locked="true" hidden="false"/>
    </xf>
    <xf numFmtId="164" fontId="39" fillId="0" borderId="1" xfId="0" applyFont="true" applyBorder="true" applyAlignment="true" applyProtection="false">
      <alignment horizontal="general" vertical="top" textRotation="0" wrapText="false" indent="0" shrinkToFit="false"/>
      <protection locked="true" hidden="false"/>
    </xf>
    <xf numFmtId="164" fontId="38" fillId="0" borderId="1" xfId="0" applyFont="true" applyBorder="true" applyAlignment="true" applyProtection="false">
      <alignment horizontal="general" vertical="top" textRotation="0" wrapText="false" indent="0" shrinkToFit="false"/>
      <protection locked="true" hidden="false"/>
    </xf>
    <xf numFmtId="165" fontId="28" fillId="0" borderId="1" xfId="0" applyFont="true" applyBorder="true" applyAlignment="true" applyProtection="false">
      <alignment horizontal="center" vertical="top"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65" fontId="0" fillId="5" borderId="0" xfId="0" applyFont="false" applyBorder="fals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left" vertical="center" textRotation="0" wrapText="tru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21" fillId="10" borderId="1" xfId="0" applyFont="true" applyBorder="true" applyAlignment="true" applyProtection="false">
      <alignment horizontal="center" vertical="center" textRotation="0" wrapText="true" indent="0" shrinkToFit="false"/>
      <protection locked="true" hidden="false"/>
    </xf>
    <xf numFmtId="164" fontId="21" fillId="11" borderId="1" xfId="0" applyFont="true" applyBorder="true" applyAlignment="true" applyProtection="false">
      <alignment horizontal="center" vertical="center" textRotation="0" wrapText="false" indent="0" shrinkToFit="false"/>
      <protection locked="true" hidden="false"/>
    </xf>
    <xf numFmtId="164" fontId="21" fillId="11"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42" fillId="0" borderId="1" xfId="20" applyFont="true" applyBorder="true" applyAlignment="true" applyProtection="false">
      <alignment horizontal="general" vertical="center" textRotation="0" wrapText="false" indent="0" shrinkToFit="false"/>
      <protection locked="true" hidden="false"/>
    </xf>
    <xf numFmtId="164" fontId="36" fillId="0" borderId="1" xfId="0" applyFont="true" applyBorder="true" applyAlignment="true" applyProtection="false">
      <alignment horizontal="general" vertical="center" textRotation="0" wrapText="false" indent="0" shrinkToFit="false"/>
      <protection locked="true" hidden="false"/>
    </xf>
    <xf numFmtId="164" fontId="21" fillId="12" borderId="1" xfId="0" applyFont="true" applyBorder="true" applyAlignment="true" applyProtection="false">
      <alignment horizontal="center" vertical="center" textRotation="0" wrapText="true" indent="0" shrinkToFit="false"/>
      <protection locked="true" hidden="false"/>
    </xf>
    <xf numFmtId="165" fontId="0" fillId="12"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15">
    <dxf>
      <fill>
        <patternFill patternType="solid">
          <fgColor rgb="FFDDE7F0"/>
          <bgColor rgb="FF000000"/>
        </patternFill>
      </fill>
    </dxf>
    <dxf>
      <fill>
        <patternFill patternType="solid">
          <bgColor rgb="FF000000"/>
        </patternFill>
      </fill>
    </dxf>
    <dxf>
      <fill>
        <patternFill patternType="solid">
          <fgColor rgb="FF1F4E9C"/>
          <bgColor rgb="FF000000"/>
        </patternFill>
      </fill>
    </dxf>
    <dxf>
      <fill>
        <patternFill patternType="solid">
          <fgColor rgb="FF000000"/>
          <bgColor rgb="FF000000"/>
        </patternFill>
      </fill>
    </dxf>
    <dxf>
      <fill>
        <patternFill patternType="solid">
          <fgColor rgb="FFF2C200"/>
          <bgColor rgb="FF000000"/>
        </patternFill>
      </fill>
    </dxf>
    <dxf>
      <fill>
        <patternFill patternType="solid">
          <fgColor rgb="FFFFF2B3"/>
          <bgColor rgb="FF000000"/>
        </patternFill>
      </fill>
    </dxf>
    <dxf>
      <fill>
        <patternFill patternType="solid">
          <fgColor rgb="FFFBD5B5"/>
          <bgColor rgb="FF000000"/>
        </patternFill>
      </fill>
    </dxf>
    <dxf>
      <fill>
        <patternFill>
          <bgColor rgb="FFC6E7C1"/>
        </patternFill>
      </fill>
    </dxf>
    <dxf>
      <fill>
        <patternFill>
          <bgColor rgb="FFFBD5B5"/>
        </patternFill>
      </fill>
    </dxf>
    <dxf>
      <fill>
        <patternFill>
          <bgColor rgb="FFF4B6B6"/>
        </patternFill>
      </fill>
    </dxf>
    <dxf>
      <fill>
        <patternFill patternType="solid">
          <fgColor rgb="FFFFFF00"/>
          <bgColor rgb="FF000000"/>
        </patternFill>
      </fill>
    </dxf>
    <dxf>
      <fill>
        <patternFill patternType="solid">
          <fgColor rgb="FFFFFFFF"/>
          <bgColor rgb="FF000000"/>
        </patternFill>
      </fill>
    </dxf>
    <dxf>
      <fill>
        <patternFill>
          <bgColor rgb="FFFFC7CE"/>
        </patternFill>
      </fill>
    </dxf>
    <dxf>
      <font>
        <i val="1"/>
        <color rgb="FF7F7F7F"/>
      </font>
    </dxf>
    <dxf>
      <fill>
        <patternFill patternType="solid">
          <fgColor rgb="FFFF0000"/>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70C0"/>
      <rgbColor rgb="FFBFBFBF"/>
      <rgbColor rgb="FF7F7F7F"/>
      <rgbColor rgb="FF9999FF"/>
      <rgbColor rgb="FF993366"/>
      <rgbColor rgb="FFFFF2B3"/>
      <rgbColor rgb="FFDDE7F0"/>
      <rgbColor rgb="FF660066"/>
      <rgbColor rgb="FFFF8080"/>
      <rgbColor rgb="FF0563C1"/>
      <rgbColor rgb="FFBDD6EE"/>
      <rgbColor rgb="FF000080"/>
      <rgbColor rgb="FFFF00FF"/>
      <rgbColor rgb="FFFFFF00"/>
      <rgbColor rgb="FF00FFFF"/>
      <rgbColor rgb="FF800080"/>
      <rgbColor rgb="FF800000"/>
      <rgbColor rgb="FF008080"/>
      <rgbColor rgb="FF0000FF"/>
      <rgbColor rgb="FF00CCFF"/>
      <rgbColor rgb="FFE7E6E6"/>
      <rgbColor rgb="FFC6E7C1"/>
      <rgbColor rgb="FFC5E0B3"/>
      <rgbColor rgb="FFB4C7E7"/>
      <rgbColor rgb="FFF4B6B6"/>
      <rgbColor rgb="FFFFC7CE"/>
      <rgbColor rgb="FFFBD5B5"/>
      <rgbColor rgb="FF3366FF"/>
      <rgbColor rgb="FF33CCCC"/>
      <rgbColor rgb="FF99CC00"/>
      <rgbColor rgb="FFF2C200"/>
      <rgbColor rgb="FFFF9900"/>
      <rgbColor rgb="FFFF6600"/>
      <rgbColor rgb="FF666699"/>
      <rgbColor rgb="FFA8D08D"/>
      <rgbColor rgb="FF003366"/>
      <rgbColor rgb="FF2E9C5A"/>
      <rgbColor rgb="FF003300"/>
      <rgbColor rgb="FF333300"/>
      <rgbColor rgb="FF993300"/>
      <rgbColor rgb="FF993366"/>
      <rgbColor rgb="FF1F4E9C"/>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38.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3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4.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45.xml.rels><?xml version="1.0" encoding="UTF-8"?>
<Relationships xmlns="http://schemas.openxmlformats.org/package/2006/relationships"><Relationship Id="rId1" Type="http://schemas.openxmlformats.org/officeDocument/2006/relationships/hyperlink" Target="https://ksrsac.karnataka.gov.in/map.aspx" TargetMode="External"/>
</Relationships>
</file>

<file path=xl/worksheets/_rels/sheet46.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7.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48.xml.rels><?xml version="1.0" encoding="UTF-8"?>
<Relationships xmlns="http://schemas.openxmlformats.org/package/2006/relationships"><Relationship Id="rId1" Type="http://schemas.openxmlformats.org/officeDocument/2006/relationships/hyperlink" Target="https://bwssb.karnataka.gov.in/storage/pdf-files/documents/Vision%20Document%202050%20%20new.pdf" TargetMode="External"/>
</Relationships>
</file>

<file path=xl/worksheets/_rels/sheet52.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3.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4.xml.rels><?xml version="1.0" encoding="UTF-8"?>
<Relationships xmlns="http://schemas.openxmlformats.org/package/2006/relationships"><Relationship Id="rId1" Type="http://schemas.openxmlformats.org/officeDocument/2006/relationships/hyperlink" Target="https://dult.karnataka.gov.in/assets/front/pdf/Comprehensive_Mobility_Plan.pdf" TargetMode="External"/>
</Relationships>
</file>

<file path=xl/worksheets/_rels/sheet55.xml.rels><?xml version="1.0" encoding="UTF-8"?>
<Relationships xmlns="http://schemas.openxmlformats.org/package/2006/relationships"><Relationship Id="rId1" Type="http://schemas.openxmlformats.org/officeDocument/2006/relationships/hyperlink" Target="https://www.thehindu.com/news/cities/bangalore/proposed-economic-masterplan-for-bengaluru-metropolitan-region-targets-75-public-transport/article71420718.ece" TargetMode="External"/>
</Relationships>
</file>

<file path=xl/worksheets/_rels/sheet69.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0.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1.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2.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_rels/sheet73.xml.rels><?xml version="1.0" encoding="UTF-8"?>
<Relationships xmlns="http://schemas.openxmlformats.org/package/2006/relationships"><Relationship Id="rId1" Type="http://schemas.openxmlformats.org/officeDocument/2006/relationships/hyperlink" Target="https://data.opencity.in/dataset/bda-revised-master-plan-2015/resource/dc23b4ae-e020-4499-b18d-8e4ed2f86a24"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9C5A"/>
    <pageSetUpPr fitToPage="false"/>
  </sheetPr>
  <dimension ref="A1:R7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9"/>
    <col collapsed="false" customWidth="true" hidden="false" outlineLevel="0" max="2" min="2" style="0" width="24"/>
    <col collapsed="false" customWidth="true" hidden="false" outlineLevel="0" max="3" min="3" style="0" width="50"/>
    <col collapsed="false" customWidth="true" hidden="false" outlineLevel="0" max="4" min="4" style="0" width="9"/>
    <col collapsed="false" customWidth="true" hidden="false" outlineLevel="0" max="5" min="5" style="0" width="8"/>
    <col collapsed="false" customWidth="true" hidden="false" outlineLevel="0" max="6" min="6" style="0" width="12"/>
    <col collapsed="false" customWidth="true" hidden="false" outlineLevel="0" max="7" min="7" style="0" width="30"/>
    <col collapsed="false" customWidth="true" hidden="false" outlineLevel="0" max="8" min="8" style="0" width="10"/>
    <col collapsed="false" customWidth="true" hidden="false" outlineLevel="0" max="9" min="9" style="0" width="9"/>
    <col collapsed="false" customWidth="true" hidden="false" outlineLevel="0" max="10" min="10" style="0" width="14"/>
    <col collapsed="false" customWidth="true" hidden="false" outlineLevel="0" max="11" min="11" style="0" width="16"/>
    <col collapsed="false" customWidth="true" hidden="false" outlineLevel="0" max="12" min="12" style="0" width="20"/>
    <col collapsed="false" customWidth="true" hidden="false" outlineLevel="0" max="13" min="13" style="0" width="60"/>
    <col collapsed="false" customWidth="true" hidden="false" outlineLevel="0" max="14" min="14" style="0" width="36"/>
    <col collapsed="false" customWidth="true" hidden="false" outlineLevel="0" max="15" min="15" style="0" width="30"/>
    <col collapsed="false" customWidth="true" hidden="false" outlineLevel="0" max="16" min="16" style="0" width="50"/>
    <col collapsed="false" customWidth="true" hidden="false" outlineLevel="0" max="17" min="17" style="0" width="70"/>
    <col collapsed="false" customWidth="true" hidden="false" outlineLevel="0" max="18" min="18" style="0" width="50"/>
  </cols>
  <sheetData>
    <row r="1" customFormat="false" ht="31.5" hidden="false" customHeight="true" outlineLevel="0" collapsed="false">
      <c r="A1" s="1" t="s">
        <v>0</v>
      </c>
      <c r="B1" s="1" t="s">
        <v>1</v>
      </c>
      <c r="C1" s="1" t="s">
        <v>2</v>
      </c>
      <c r="D1" s="1" t="s">
        <v>3</v>
      </c>
      <c r="E1" s="1" t="s">
        <v>4</v>
      </c>
      <c r="F1" s="2" t="s">
        <v>5</v>
      </c>
      <c r="G1" s="2" t="s">
        <v>6</v>
      </c>
      <c r="H1" s="1" t="s">
        <v>7</v>
      </c>
      <c r="I1" s="1" t="s">
        <v>8</v>
      </c>
      <c r="J1" s="1" t="s">
        <v>9</v>
      </c>
      <c r="K1" s="1" t="s">
        <v>10</v>
      </c>
      <c r="L1" s="1" t="s">
        <v>11</v>
      </c>
      <c r="M1" s="1" t="s">
        <v>12</v>
      </c>
      <c r="N1" s="1" t="s">
        <v>13</v>
      </c>
      <c r="O1" s="1" t="s">
        <v>14</v>
      </c>
      <c r="P1" s="1" t="s">
        <v>15</v>
      </c>
      <c r="Q1" s="1" t="s">
        <v>16</v>
      </c>
      <c r="R1" s="1" t="s">
        <v>17</v>
      </c>
    </row>
    <row r="2" customFormat="false" ht="93" hidden="false" customHeight="true" outlineLevel="0" collapsed="false">
      <c r="A2" s="3" t="s">
        <v>18</v>
      </c>
      <c r="B2" s="4" t="s">
        <v>19</v>
      </c>
      <c r="C2" s="4" t="s">
        <v>20</v>
      </c>
      <c r="D2" s="4" t="str">
        <f aca="false">IFERROR('UPD1'!L14,"")</f>
        <v/>
      </c>
      <c r="E2" s="4" t="s">
        <v>21</v>
      </c>
      <c r="F2" s="5"/>
      <c r="G2" s="5"/>
      <c r="H2" s="6" t="str">
        <f aca="false">IF(OR(F2="",NOT(ISNUMBER(D2))),"",IF(ABS(F2-D2)&lt;0.001,"Yes","No"))</f>
        <v/>
      </c>
      <c r="I2" s="7" t="str">
        <f aca="false">IF(ISNUMBER(F2),F2,D2)</f>
        <v/>
      </c>
      <c r="J2" s="6" t="str">
        <f aca="false">IF(ISNUMBER(F2),"Expert (overrides AI)",IF(ISNUMBER(D2),"AI","Not scored yet"))</f>
        <v>Not scored yet</v>
      </c>
      <c r="K2" s="4" t="s">
        <v>22</v>
      </c>
      <c r="L2" s="4" t="s">
        <v>23</v>
      </c>
      <c r="M2" s="4" t="s">
        <v>24</v>
      </c>
      <c r="N2" s="4" t="s">
        <v>25</v>
      </c>
      <c r="O2" s="4" t="s">
        <v>26</v>
      </c>
      <c r="P2" s="4" t="s">
        <v>27</v>
      </c>
      <c r="Q2" s="4" t="s">
        <v>28</v>
      </c>
      <c r="R2" s="4" t="s">
        <v>29</v>
      </c>
    </row>
    <row r="3" customFormat="false" ht="93" hidden="false" customHeight="true" outlineLevel="0" collapsed="false">
      <c r="A3" s="3" t="s">
        <v>30</v>
      </c>
      <c r="B3" s="4" t="s">
        <v>19</v>
      </c>
      <c r="C3" s="4" t="s">
        <v>31</v>
      </c>
      <c r="D3" s="8" t="n">
        <f aca="false">IFERROR('UPD2'!K14,"")</f>
        <v>10</v>
      </c>
      <c r="E3" s="4" t="s">
        <v>21</v>
      </c>
      <c r="F3" s="5"/>
      <c r="G3" s="5"/>
      <c r="H3" s="6" t="str">
        <f aca="false">IF(OR(F3="",NOT(ISNUMBER(D3))),"",IF(ABS(F3-D3)&lt;0.001,"Yes","No"))</f>
        <v/>
      </c>
      <c r="I3" s="9" t="n">
        <f aca="false">IF(ISNUMBER(F3),F3,D3)</f>
        <v>10</v>
      </c>
      <c r="J3" s="6" t="str">
        <f aca="false">IF(ISNUMBER(F3),"Expert (overrides AI)",IF(ISNUMBER(D3),"AI","Not scored yet"))</f>
        <v>AI</v>
      </c>
      <c r="K3" s="4" t="s">
        <v>32</v>
      </c>
      <c r="L3" s="4" t="s">
        <v>33</v>
      </c>
      <c r="M3" s="4" t="s">
        <v>34</v>
      </c>
      <c r="N3" s="4" t="s">
        <v>25</v>
      </c>
      <c r="O3" s="4" t="s">
        <v>26</v>
      </c>
      <c r="P3" s="4" t="s">
        <v>35</v>
      </c>
      <c r="Q3" s="4" t="s">
        <v>36</v>
      </c>
      <c r="R3" s="4"/>
    </row>
    <row r="4" customFormat="false" ht="93" hidden="false" customHeight="true" outlineLevel="0" collapsed="false">
      <c r="A4" s="3" t="s">
        <v>37</v>
      </c>
      <c r="B4" s="4" t="s">
        <v>19</v>
      </c>
      <c r="C4" s="4" t="s">
        <v>38</v>
      </c>
      <c r="D4" s="8" t="n">
        <f aca="false">IFERROR(UPD3a!K14,"")</f>
        <v>3.33</v>
      </c>
      <c r="E4" s="4" t="s">
        <v>39</v>
      </c>
      <c r="F4" s="5"/>
      <c r="G4" s="5"/>
      <c r="H4" s="6" t="str">
        <f aca="false">IF(OR(F4="",NOT(ISNUMBER(D4))),"",IF(ABS(F4-D4)&lt;0.001,"Yes","No"))</f>
        <v/>
      </c>
      <c r="I4" s="9" t="n">
        <f aca="false">IF(ISNUMBER(F4),F4,D4)</f>
        <v>3.33</v>
      </c>
      <c r="J4" s="6" t="str">
        <f aca="false">IF(ISNUMBER(F4),"Expert (overrides AI)",IF(ISNUMBER(D4),"AI","Not scored yet"))</f>
        <v>AI</v>
      </c>
      <c r="K4" s="4" t="s">
        <v>32</v>
      </c>
      <c r="L4" s="4" t="s">
        <v>33</v>
      </c>
      <c r="M4" s="4" t="s">
        <v>40</v>
      </c>
      <c r="N4" s="4" t="s">
        <v>41</v>
      </c>
      <c r="O4" s="4" t="s">
        <v>42</v>
      </c>
      <c r="P4" s="4" t="s">
        <v>43</v>
      </c>
      <c r="Q4" s="4" t="s">
        <v>44</v>
      </c>
      <c r="R4" s="4"/>
    </row>
    <row r="5" customFormat="false" ht="93" hidden="false" customHeight="true" outlineLevel="0" collapsed="false">
      <c r="A5" s="3" t="s">
        <v>45</v>
      </c>
      <c r="B5" s="4" t="s">
        <v>19</v>
      </c>
      <c r="C5" s="4" t="s">
        <v>46</v>
      </c>
      <c r="D5" s="8" t="n">
        <f aca="false">IFERROR(UPD3b!K14,"")</f>
        <v>3.33</v>
      </c>
      <c r="E5" s="4" t="s">
        <v>39</v>
      </c>
      <c r="F5" s="5"/>
      <c r="G5" s="5"/>
      <c r="H5" s="6" t="str">
        <f aca="false">IF(OR(F5="",NOT(ISNUMBER(D5))),"",IF(ABS(F5-D5)&lt;0.001,"Yes","No"))</f>
        <v/>
      </c>
      <c r="I5" s="9" t="n">
        <f aca="false">IF(ISNUMBER(F5),F5,D5)</f>
        <v>3.33</v>
      </c>
      <c r="J5" s="6" t="str">
        <f aca="false">IF(ISNUMBER(F5),"Expert (overrides AI)",IF(ISNUMBER(D5),"AI","Not scored yet"))</f>
        <v>AI</v>
      </c>
      <c r="K5" s="4" t="s">
        <v>32</v>
      </c>
      <c r="L5" s="4" t="s">
        <v>33</v>
      </c>
      <c r="M5" s="4" t="s">
        <v>47</v>
      </c>
      <c r="N5" s="4" t="s">
        <v>25</v>
      </c>
      <c r="O5" s="4" t="s">
        <v>26</v>
      </c>
      <c r="P5" s="4" t="s">
        <v>48</v>
      </c>
      <c r="Q5" s="4" t="s">
        <v>49</v>
      </c>
      <c r="R5" s="4"/>
    </row>
    <row r="6" customFormat="false" ht="93" hidden="false" customHeight="true" outlineLevel="0" collapsed="false">
      <c r="A6" s="3" t="s">
        <v>50</v>
      </c>
      <c r="B6" s="4" t="s">
        <v>19</v>
      </c>
      <c r="C6" s="4" t="s">
        <v>51</v>
      </c>
      <c r="D6" s="4" t="str">
        <f aca="false">IFERROR(UPD3c!L14,"")</f>
        <v/>
      </c>
      <c r="E6" s="4" t="s">
        <v>39</v>
      </c>
      <c r="F6" s="5"/>
      <c r="G6" s="5"/>
      <c r="H6" s="6" t="str">
        <f aca="false">IF(OR(F6="",NOT(ISNUMBER(D6))),"",IF(ABS(F6-D6)&lt;0.001,"Yes","No"))</f>
        <v/>
      </c>
      <c r="I6" s="7" t="str">
        <f aca="false">IF(ISNUMBER(F6),F6,D6)</f>
        <v/>
      </c>
      <c r="J6" s="6" t="str">
        <f aca="false">IF(ISNUMBER(F6),"Expert (overrides AI)",IF(ISNUMBER(D6),"AI","Not scored yet"))</f>
        <v>Not scored yet</v>
      </c>
      <c r="K6" s="4" t="s">
        <v>22</v>
      </c>
      <c r="L6" s="4" t="s">
        <v>23</v>
      </c>
      <c r="M6" s="4" t="s">
        <v>52</v>
      </c>
      <c r="N6" s="4" t="s">
        <v>25</v>
      </c>
      <c r="O6" s="4" t="s">
        <v>26</v>
      </c>
      <c r="P6" s="4" t="s">
        <v>48</v>
      </c>
      <c r="Q6" s="4" t="s">
        <v>53</v>
      </c>
      <c r="R6" s="4" t="s">
        <v>54</v>
      </c>
    </row>
    <row r="7" customFormat="false" ht="93" hidden="false" customHeight="true" outlineLevel="0" collapsed="false">
      <c r="A7" s="3" t="s">
        <v>55</v>
      </c>
      <c r="B7" s="4" t="s">
        <v>19</v>
      </c>
      <c r="C7" s="4" t="s">
        <v>56</v>
      </c>
      <c r="D7" s="8" t="n">
        <f aca="false">IFERROR('UPD4'!K14,"")</f>
        <v>10</v>
      </c>
      <c r="E7" s="4" t="s">
        <v>21</v>
      </c>
      <c r="F7" s="5"/>
      <c r="G7" s="5"/>
      <c r="H7" s="6" t="str">
        <f aca="false">IF(OR(F7="",NOT(ISNUMBER(D7))),"",IF(ABS(F7-D7)&lt;0.001,"Yes","No"))</f>
        <v/>
      </c>
      <c r="I7" s="9" t="n">
        <f aca="false">IF(ISNUMBER(F7),F7,D7)</f>
        <v>10</v>
      </c>
      <c r="J7" s="6" t="str">
        <f aca="false">IF(ISNUMBER(F7),"Expert (overrides AI)",IF(ISNUMBER(D7),"AI","Not scored yet"))</f>
        <v>AI</v>
      </c>
      <c r="K7" s="4" t="s">
        <v>22</v>
      </c>
      <c r="L7" s="4" t="s">
        <v>23</v>
      </c>
      <c r="M7" s="4" t="s">
        <v>57</v>
      </c>
      <c r="N7" s="4" t="s">
        <v>41</v>
      </c>
      <c r="O7" s="4" t="s">
        <v>42</v>
      </c>
      <c r="P7" s="4" t="s">
        <v>58</v>
      </c>
      <c r="Q7" s="4" t="s">
        <v>59</v>
      </c>
      <c r="R7" s="4" t="s">
        <v>54</v>
      </c>
    </row>
    <row r="8" customFormat="false" ht="93" hidden="false" customHeight="true" outlineLevel="0" collapsed="false">
      <c r="A8" s="3" t="s">
        <v>60</v>
      </c>
      <c r="B8" s="4" t="s">
        <v>19</v>
      </c>
      <c r="C8" s="4" t="s">
        <v>61</v>
      </c>
      <c r="D8" s="4" t="str">
        <f aca="false">IFERROR(UPD5a!K14,"")</f>
        <v/>
      </c>
      <c r="E8" s="4" t="s">
        <v>39</v>
      </c>
      <c r="F8" s="5"/>
      <c r="G8" s="5"/>
      <c r="H8" s="6" t="str">
        <f aca="false">IF(OR(F8="",NOT(ISNUMBER(D8))),"",IF(ABS(F8-D8)&lt;0.001,"Yes","No"))</f>
        <v/>
      </c>
      <c r="I8" s="7" t="str">
        <f aca="false">IF(ISNUMBER(F8),F8,D8)</f>
        <v/>
      </c>
      <c r="J8" s="6" t="str">
        <f aca="false">IF(ISNUMBER(F8),"Expert (overrides AI)",IF(ISNUMBER(D8),"AI","Not scored yet"))</f>
        <v>Not scored yet</v>
      </c>
      <c r="K8" s="4" t="s">
        <v>22</v>
      </c>
      <c r="L8" s="4" t="s">
        <v>62</v>
      </c>
      <c r="M8" s="4"/>
      <c r="N8" s="4"/>
      <c r="O8" s="4"/>
      <c r="P8" s="4"/>
      <c r="Q8" s="4"/>
      <c r="R8" s="4" t="s">
        <v>63</v>
      </c>
    </row>
    <row r="9" customFormat="false" ht="93" hidden="false" customHeight="true" outlineLevel="0" collapsed="false">
      <c r="A9" s="3" t="s">
        <v>64</v>
      </c>
      <c r="B9" s="4" t="s">
        <v>19</v>
      </c>
      <c r="C9" s="4" t="s">
        <v>65</v>
      </c>
      <c r="D9" s="4" t="n">
        <f aca="false">IFERROR(UPD5b!K14,"")</f>
        <v>0</v>
      </c>
      <c r="E9" s="4" t="s">
        <v>39</v>
      </c>
      <c r="F9" s="5"/>
      <c r="G9" s="5"/>
      <c r="H9" s="6" t="str">
        <f aca="false">IF(OR(F9="",NOT(ISNUMBER(D9))),"",IF(ABS(F9-D9)&lt;0.001,"Yes","No"))</f>
        <v/>
      </c>
      <c r="I9" s="7" t="n">
        <f aca="false">IF(ISNUMBER(F9),F9,D9)</f>
        <v>0</v>
      </c>
      <c r="J9" s="6" t="str">
        <f aca="false">IF(ISNUMBER(F9),"Expert (overrides AI)",IF(ISNUMBER(D9),"AI","Not scored yet"))</f>
        <v>AI</v>
      </c>
      <c r="K9" s="4" t="s">
        <v>32</v>
      </c>
      <c r="L9" s="4" t="s">
        <v>23</v>
      </c>
      <c r="M9" s="4" t="s">
        <v>66</v>
      </c>
      <c r="N9" s="4" t="s">
        <v>25</v>
      </c>
      <c r="O9" s="4" t="s">
        <v>26</v>
      </c>
      <c r="P9" s="4" t="s">
        <v>67</v>
      </c>
      <c r="Q9" s="4" t="s">
        <v>68</v>
      </c>
      <c r="R9" s="4"/>
    </row>
    <row r="10" customFormat="false" ht="93" hidden="false" customHeight="true" outlineLevel="0" collapsed="false">
      <c r="A10" s="3" t="s">
        <v>69</v>
      </c>
      <c r="B10" s="4" t="s">
        <v>19</v>
      </c>
      <c r="C10" s="4" t="s">
        <v>70</v>
      </c>
      <c r="D10" s="4" t="str">
        <f aca="false">IFERROR(UPD5c!K14,"")</f>
        <v/>
      </c>
      <c r="E10" s="4" t="s">
        <v>39</v>
      </c>
      <c r="F10" s="5"/>
      <c r="G10" s="5"/>
      <c r="H10" s="6" t="str">
        <f aca="false">IF(OR(F10="",NOT(ISNUMBER(D10))),"",IF(ABS(F10-D10)&lt;0.001,"Yes","No"))</f>
        <v/>
      </c>
      <c r="I10" s="7" t="str">
        <f aca="false">IF(ISNUMBER(F10),F10,D10)</f>
        <v/>
      </c>
      <c r="J10" s="6" t="str">
        <f aca="false">IF(ISNUMBER(F10),"Expert (overrides AI)",IF(ISNUMBER(D10),"AI","Not scored yet"))</f>
        <v>Not scored yet</v>
      </c>
      <c r="K10" s="4" t="s">
        <v>22</v>
      </c>
      <c r="L10" s="4" t="s">
        <v>23</v>
      </c>
      <c r="M10" s="4" t="s">
        <v>71</v>
      </c>
      <c r="N10" s="4" t="s">
        <v>25</v>
      </c>
      <c r="O10" s="4" t="s">
        <v>26</v>
      </c>
      <c r="P10" s="4" t="s">
        <v>72</v>
      </c>
      <c r="Q10" s="4" t="s">
        <v>73</v>
      </c>
      <c r="R10" s="4" t="s">
        <v>54</v>
      </c>
    </row>
    <row r="11" customFormat="false" ht="93" hidden="false" customHeight="true" outlineLevel="0" collapsed="false">
      <c r="A11" s="3" t="s">
        <v>74</v>
      </c>
      <c r="B11" s="4" t="s">
        <v>19</v>
      </c>
      <c r="C11" s="4" t="s">
        <v>75</v>
      </c>
      <c r="D11" s="4" t="str">
        <f aca="false">IFERROR('UPD6'!M14,"")</f>
        <v/>
      </c>
      <c r="E11" s="4" t="s">
        <v>21</v>
      </c>
      <c r="F11" s="5"/>
      <c r="G11" s="5"/>
      <c r="H11" s="6" t="str">
        <f aca="false">IF(OR(F11="",NOT(ISNUMBER(D11))),"",IF(ABS(F11-D11)&lt;0.001,"Yes","No"))</f>
        <v/>
      </c>
      <c r="I11" s="7" t="str">
        <f aca="false">IF(ISNUMBER(F11),F11,D11)</f>
        <v/>
      </c>
      <c r="J11" s="6" t="str">
        <f aca="false">IF(ISNUMBER(F11),"Expert (overrides AI)",IF(ISNUMBER(D11),"AI","Not scored yet"))</f>
        <v>Not scored yet</v>
      </c>
      <c r="K11" s="4" t="s">
        <v>22</v>
      </c>
      <c r="L11" s="4" t="s">
        <v>23</v>
      </c>
      <c r="M11" s="4" t="s">
        <v>76</v>
      </c>
      <c r="N11" s="4" t="s">
        <v>25</v>
      </c>
      <c r="O11" s="4" t="s">
        <v>26</v>
      </c>
      <c r="P11" s="4" t="s">
        <v>77</v>
      </c>
      <c r="Q11" s="4" t="s">
        <v>78</v>
      </c>
      <c r="R11" s="4" t="s">
        <v>79</v>
      </c>
    </row>
    <row r="12" customFormat="false" ht="93" hidden="false" customHeight="true" outlineLevel="0" collapsed="false">
      <c r="A12" s="3" t="s">
        <v>80</v>
      </c>
      <c r="B12" s="4" t="s">
        <v>19</v>
      </c>
      <c r="C12" s="4" t="s">
        <v>81</v>
      </c>
      <c r="D12" s="4" t="str">
        <f aca="false">IFERROR(UPD7a!L14,"")</f>
        <v/>
      </c>
      <c r="E12" s="4" t="s">
        <v>82</v>
      </c>
      <c r="F12" s="5"/>
      <c r="G12" s="5"/>
      <c r="H12" s="6" t="str">
        <f aca="false">IF(OR(F12="",NOT(ISNUMBER(D12))),"",IF(ABS(F12-D12)&lt;0.001,"Yes","No"))</f>
        <v/>
      </c>
      <c r="I12" s="7" t="str">
        <f aca="false">IF(ISNUMBER(F12),F12,D12)</f>
        <v/>
      </c>
      <c r="J12" s="6" t="str">
        <f aca="false">IF(ISNUMBER(F12),"Expert (overrides AI)",IF(ISNUMBER(D12),"AI","Not scored yet"))</f>
        <v>Not scored yet</v>
      </c>
      <c r="K12" s="4" t="s">
        <v>22</v>
      </c>
      <c r="L12" s="4" t="s">
        <v>23</v>
      </c>
      <c r="M12" s="4" t="s">
        <v>83</v>
      </c>
      <c r="N12" s="4" t="s">
        <v>41</v>
      </c>
      <c r="O12" s="4" t="s">
        <v>42</v>
      </c>
      <c r="P12" s="4" t="s">
        <v>84</v>
      </c>
      <c r="Q12" s="4" t="s">
        <v>85</v>
      </c>
      <c r="R12" s="4" t="s">
        <v>86</v>
      </c>
    </row>
    <row r="13" customFormat="false" ht="93" hidden="false" customHeight="true" outlineLevel="0" collapsed="false">
      <c r="A13" s="3" t="s">
        <v>87</v>
      </c>
      <c r="B13" s="4" t="s">
        <v>19</v>
      </c>
      <c r="C13" s="4" t="s">
        <v>88</v>
      </c>
      <c r="D13" s="4" t="str">
        <f aca="false">IFERROR(UPD7b!K14,"")</f>
        <v/>
      </c>
      <c r="E13" s="4" t="s">
        <v>82</v>
      </c>
      <c r="F13" s="5"/>
      <c r="G13" s="5"/>
      <c r="H13" s="6" t="str">
        <f aca="false">IF(OR(F13="",NOT(ISNUMBER(D13))),"",IF(ABS(F13-D13)&lt;0.001,"Yes","No"))</f>
        <v/>
      </c>
      <c r="I13" s="7" t="str">
        <f aca="false">IF(ISNUMBER(F13),F13,D13)</f>
        <v/>
      </c>
      <c r="J13" s="6" t="str">
        <f aca="false">IF(ISNUMBER(F13),"Expert (overrides AI)",IF(ISNUMBER(D13),"AI","Not scored yet"))</f>
        <v>Not scored yet</v>
      </c>
      <c r="K13" s="4" t="s">
        <v>22</v>
      </c>
      <c r="L13" s="4" t="s">
        <v>62</v>
      </c>
      <c r="M13" s="4"/>
      <c r="N13" s="4"/>
      <c r="O13" s="4"/>
      <c r="P13" s="4"/>
      <c r="Q13" s="4"/>
      <c r="R13" s="4" t="s">
        <v>89</v>
      </c>
    </row>
    <row r="14" customFormat="false" ht="93" hidden="false" customHeight="true" outlineLevel="0" collapsed="false">
      <c r="A14" s="3" t="s">
        <v>90</v>
      </c>
      <c r="B14" s="4" t="s">
        <v>19</v>
      </c>
      <c r="C14" s="4" t="s">
        <v>91</v>
      </c>
      <c r="D14" s="8" t="n">
        <f aca="false">IFERROR('UPD8'!K14,"")</f>
        <v>10</v>
      </c>
      <c r="E14" s="4" t="s">
        <v>21</v>
      </c>
      <c r="F14" s="5"/>
      <c r="G14" s="5"/>
      <c r="H14" s="6" t="str">
        <f aca="false">IF(OR(F14="",NOT(ISNUMBER(D14))),"",IF(ABS(F14-D14)&lt;0.001,"Yes","No"))</f>
        <v/>
      </c>
      <c r="I14" s="9" t="n">
        <f aca="false">IF(ISNUMBER(F14),F14,D14)</f>
        <v>10</v>
      </c>
      <c r="J14" s="6" t="str">
        <f aca="false">IF(ISNUMBER(F14),"Expert (overrides AI)",IF(ISNUMBER(D14),"AI","Not scored yet"))</f>
        <v>AI</v>
      </c>
      <c r="K14" s="4" t="s">
        <v>32</v>
      </c>
      <c r="L14" s="4" t="s">
        <v>33</v>
      </c>
      <c r="M14" s="4" t="s">
        <v>92</v>
      </c>
      <c r="N14" s="4" t="s">
        <v>41</v>
      </c>
      <c r="O14" s="4" t="s">
        <v>42</v>
      </c>
      <c r="P14" s="4" t="s">
        <v>93</v>
      </c>
      <c r="Q14" s="4" t="s">
        <v>94</v>
      </c>
      <c r="R14" s="4"/>
    </row>
    <row r="15" customFormat="false" ht="93" hidden="false" customHeight="true" outlineLevel="0" collapsed="false">
      <c r="A15" s="3" t="s">
        <v>95</v>
      </c>
      <c r="B15" s="4" t="s">
        <v>19</v>
      </c>
      <c r="C15" s="4" t="s">
        <v>96</v>
      </c>
      <c r="D15" s="8" t="n">
        <f aca="false">IFERROR('UPD9'!K14,"")</f>
        <v>10</v>
      </c>
      <c r="E15" s="4" t="s">
        <v>21</v>
      </c>
      <c r="F15" s="5"/>
      <c r="G15" s="5"/>
      <c r="H15" s="6" t="str">
        <f aca="false">IF(OR(F15="",NOT(ISNUMBER(D15))),"",IF(ABS(F15-D15)&lt;0.001,"Yes","No"))</f>
        <v/>
      </c>
      <c r="I15" s="9" t="n">
        <f aca="false">IF(ISNUMBER(F15),F15,D15)</f>
        <v>10</v>
      </c>
      <c r="J15" s="6" t="str">
        <f aca="false">IF(ISNUMBER(F15),"Expert (overrides AI)",IF(ISNUMBER(D15),"AI","Not scored yet"))</f>
        <v>AI</v>
      </c>
      <c r="K15" s="4" t="s">
        <v>32</v>
      </c>
      <c r="L15" s="4" t="s">
        <v>23</v>
      </c>
      <c r="M15" s="4" t="s">
        <v>97</v>
      </c>
      <c r="N15" s="4" t="s">
        <v>41</v>
      </c>
      <c r="O15" s="4" t="s">
        <v>42</v>
      </c>
      <c r="P15" s="4" t="s">
        <v>98</v>
      </c>
      <c r="Q15" s="4" t="s">
        <v>99</v>
      </c>
      <c r="R15" s="4"/>
    </row>
    <row r="16" customFormat="false" ht="93" hidden="false" customHeight="true" outlineLevel="0" collapsed="false">
      <c r="A16" s="3" t="s">
        <v>100</v>
      </c>
      <c r="B16" s="4" t="s">
        <v>19</v>
      </c>
      <c r="C16" s="4" t="s">
        <v>101</v>
      </c>
      <c r="D16" s="4" t="str">
        <f aca="false">IFERROR('UPD10'!L14,"")</f>
        <v/>
      </c>
      <c r="E16" s="4" t="s">
        <v>21</v>
      </c>
      <c r="F16" s="5"/>
      <c r="G16" s="5"/>
      <c r="H16" s="6" t="str">
        <f aca="false">IF(OR(F16="",NOT(ISNUMBER(D16))),"",IF(ABS(F16-D16)&lt;0.001,"Yes","No"))</f>
        <v/>
      </c>
      <c r="I16" s="7" t="str">
        <f aca="false">IF(ISNUMBER(F16),F16,D16)</f>
        <v/>
      </c>
      <c r="J16" s="6" t="str">
        <f aca="false">IF(ISNUMBER(F16),"Expert (overrides AI)",IF(ISNUMBER(D16),"AI","Not scored yet"))</f>
        <v>Not scored yet</v>
      </c>
      <c r="K16" s="4" t="s">
        <v>22</v>
      </c>
      <c r="L16" s="4" t="s">
        <v>23</v>
      </c>
      <c r="M16" s="4" t="s">
        <v>102</v>
      </c>
      <c r="N16" s="4" t="s">
        <v>25</v>
      </c>
      <c r="O16" s="4" t="s">
        <v>26</v>
      </c>
      <c r="P16" s="4" t="s">
        <v>103</v>
      </c>
      <c r="Q16" s="4" t="s">
        <v>104</v>
      </c>
      <c r="R16" s="4" t="s">
        <v>105</v>
      </c>
    </row>
    <row r="17" customFormat="false" ht="93" hidden="false" customHeight="true" outlineLevel="0" collapsed="false">
      <c r="A17" s="3" t="s">
        <v>106</v>
      </c>
      <c r="B17" s="4" t="s">
        <v>19</v>
      </c>
      <c r="C17" s="4" t="s">
        <v>107</v>
      </c>
      <c r="D17" s="4" t="str">
        <f aca="false">IFERROR(UPD11a!L14,"")</f>
        <v/>
      </c>
      <c r="E17" s="4" t="s">
        <v>82</v>
      </c>
      <c r="F17" s="5"/>
      <c r="G17" s="5"/>
      <c r="H17" s="6" t="str">
        <f aca="false">IF(OR(F17="",NOT(ISNUMBER(D17))),"",IF(ABS(F17-D17)&lt;0.001,"Yes","No"))</f>
        <v/>
      </c>
      <c r="I17" s="7" t="str">
        <f aca="false">IF(ISNUMBER(F17),F17,D17)</f>
        <v/>
      </c>
      <c r="J17" s="6" t="str">
        <f aca="false">IF(ISNUMBER(F17),"Expert (overrides AI)",IF(ISNUMBER(D17),"AI","Not scored yet"))</f>
        <v>Not scored yet</v>
      </c>
      <c r="K17" s="4" t="s">
        <v>22</v>
      </c>
      <c r="L17" s="4" t="s">
        <v>23</v>
      </c>
      <c r="M17" s="4" t="s">
        <v>108</v>
      </c>
      <c r="N17" s="4" t="s">
        <v>25</v>
      </c>
      <c r="O17" s="4" t="s">
        <v>26</v>
      </c>
      <c r="P17" s="4" t="s">
        <v>109</v>
      </c>
      <c r="Q17" s="4" t="s">
        <v>110</v>
      </c>
      <c r="R17" s="4" t="s">
        <v>105</v>
      </c>
    </row>
    <row r="18" customFormat="false" ht="93" hidden="false" customHeight="true" outlineLevel="0" collapsed="false">
      <c r="A18" s="3" t="s">
        <v>111</v>
      </c>
      <c r="B18" s="4" t="s">
        <v>19</v>
      </c>
      <c r="C18" s="4" t="s">
        <v>112</v>
      </c>
      <c r="D18" s="4" t="str">
        <f aca="false">IFERROR(UPD11b!K14,"")</f>
        <v/>
      </c>
      <c r="E18" s="4" t="s">
        <v>82</v>
      </c>
      <c r="F18" s="5"/>
      <c r="G18" s="5"/>
      <c r="H18" s="6" t="str">
        <f aca="false">IF(OR(F18="",NOT(ISNUMBER(D18))),"",IF(ABS(F18-D18)&lt;0.001,"Yes","No"))</f>
        <v/>
      </c>
      <c r="I18" s="7" t="str">
        <f aca="false">IF(ISNUMBER(F18),F18,D18)</f>
        <v/>
      </c>
      <c r="J18" s="6" t="str">
        <f aca="false">IF(ISNUMBER(F18),"Expert (overrides AI)",IF(ISNUMBER(D18),"AI","Not scored yet"))</f>
        <v>Not scored yet</v>
      </c>
      <c r="K18" s="4" t="s">
        <v>22</v>
      </c>
      <c r="L18" s="4" t="s">
        <v>62</v>
      </c>
      <c r="M18" s="4"/>
      <c r="N18" s="4"/>
      <c r="O18" s="4"/>
      <c r="P18" s="4"/>
      <c r="Q18" s="4"/>
      <c r="R18" s="4" t="s">
        <v>113</v>
      </c>
    </row>
    <row r="19" customFormat="false" ht="93" hidden="false" customHeight="true" outlineLevel="0" collapsed="false">
      <c r="A19" s="3" t="s">
        <v>114</v>
      </c>
      <c r="B19" s="4" t="s">
        <v>19</v>
      </c>
      <c r="C19" s="4" t="s">
        <v>115</v>
      </c>
      <c r="D19" s="4" t="str">
        <f aca="false">IFERROR('UPD12'!N14,"")</f>
        <v/>
      </c>
      <c r="E19" s="4" t="s">
        <v>21</v>
      </c>
      <c r="F19" s="5"/>
      <c r="G19" s="5"/>
      <c r="H19" s="6" t="str">
        <f aca="false">IF(OR(F19="",NOT(ISNUMBER(D19))),"",IF(ABS(F19-D19)&lt;0.001,"Yes","No"))</f>
        <v/>
      </c>
      <c r="I19" s="7" t="str">
        <f aca="false">IF(ISNUMBER(F19),F19,D19)</f>
        <v/>
      </c>
      <c r="J19" s="6" t="str">
        <f aca="false">IF(ISNUMBER(F19),"Expert (overrides AI)",IF(ISNUMBER(D19),"AI","Not scored yet"))</f>
        <v>Not scored yet</v>
      </c>
      <c r="K19" s="4" t="s">
        <v>22</v>
      </c>
      <c r="L19" s="4" t="s">
        <v>23</v>
      </c>
      <c r="M19" s="4" t="s">
        <v>116</v>
      </c>
      <c r="N19" s="4" t="s">
        <v>25</v>
      </c>
      <c r="O19" s="4" t="s">
        <v>26</v>
      </c>
      <c r="P19" s="4" t="s">
        <v>117</v>
      </c>
      <c r="Q19" s="4" t="s">
        <v>118</v>
      </c>
      <c r="R19" s="4" t="s">
        <v>119</v>
      </c>
    </row>
    <row r="20" customFormat="false" ht="93" hidden="false" customHeight="true" outlineLevel="0" collapsed="false">
      <c r="A20" s="3" t="s">
        <v>120</v>
      </c>
      <c r="B20" s="4" t="s">
        <v>19</v>
      </c>
      <c r="C20" s="4" t="s">
        <v>121</v>
      </c>
      <c r="D20" s="4" t="str">
        <f aca="false">IFERROR(UPD13a!M14,"")</f>
        <v/>
      </c>
      <c r="E20" s="4" t="s">
        <v>122</v>
      </c>
      <c r="F20" s="5"/>
      <c r="G20" s="5"/>
      <c r="H20" s="6" t="str">
        <f aca="false">IF(OR(F20="",NOT(ISNUMBER(D20))),"",IF(ABS(F20-D20)&lt;0.001,"Yes","No"))</f>
        <v/>
      </c>
      <c r="I20" s="7" t="str">
        <f aca="false">IF(ISNUMBER(F20),F20,D20)</f>
        <v/>
      </c>
      <c r="J20" s="6" t="str">
        <f aca="false">IF(ISNUMBER(F20),"Expert (overrides AI)",IF(ISNUMBER(D20),"AI","Not scored yet"))</f>
        <v>Not scored yet</v>
      </c>
      <c r="K20" s="4" t="s">
        <v>22</v>
      </c>
      <c r="L20" s="4" t="s">
        <v>23</v>
      </c>
      <c r="M20" s="4" t="s">
        <v>123</v>
      </c>
      <c r="N20" s="4" t="s">
        <v>41</v>
      </c>
      <c r="O20" s="4" t="s">
        <v>42</v>
      </c>
      <c r="P20" s="4" t="s">
        <v>124</v>
      </c>
      <c r="Q20" s="4" t="s">
        <v>125</v>
      </c>
      <c r="R20" s="4" t="s">
        <v>126</v>
      </c>
    </row>
    <row r="21" customFormat="false" ht="93" hidden="false" customHeight="true" outlineLevel="0" collapsed="false">
      <c r="A21" s="3" t="s">
        <v>127</v>
      </c>
      <c r="B21" s="4" t="s">
        <v>19</v>
      </c>
      <c r="C21" s="4" t="s">
        <v>128</v>
      </c>
      <c r="D21" s="8" t="n">
        <f aca="false">IFERROR(UPD13b!K14,"")</f>
        <v>1.67</v>
      </c>
      <c r="E21" s="4" t="s">
        <v>122</v>
      </c>
      <c r="F21" s="5"/>
      <c r="G21" s="5"/>
      <c r="H21" s="6" t="str">
        <f aca="false">IF(OR(F21="",NOT(ISNUMBER(D21))),"",IF(ABS(F21-D21)&lt;0.001,"Yes","No"))</f>
        <v/>
      </c>
      <c r="I21" s="9" t="n">
        <f aca="false">IF(ISNUMBER(F21),F21,D21)</f>
        <v>1.67</v>
      </c>
      <c r="J21" s="6" t="str">
        <f aca="false">IF(ISNUMBER(F21),"Expert (overrides AI)",IF(ISNUMBER(D21),"AI","Not scored yet"))</f>
        <v>AI</v>
      </c>
      <c r="K21" s="4" t="s">
        <v>32</v>
      </c>
      <c r="L21" s="4" t="s">
        <v>33</v>
      </c>
      <c r="M21" s="4" t="s">
        <v>129</v>
      </c>
      <c r="N21" s="4" t="s">
        <v>41</v>
      </c>
      <c r="O21" s="4" t="s">
        <v>42</v>
      </c>
      <c r="P21" s="4" t="s">
        <v>130</v>
      </c>
      <c r="Q21" s="4" t="s">
        <v>131</v>
      </c>
      <c r="R21" s="4"/>
    </row>
    <row r="22" customFormat="false" ht="93" hidden="false" customHeight="true" outlineLevel="0" collapsed="false">
      <c r="A22" s="3" t="s">
        <v>132</v>
      </c>
      <c r="B22" s="4" t="s">
        <v>19</v>
      </c>
      <c r="C22" s="4" t="s">
        <v>133</v>
      </c>
      <c r="D22" s="8" t="n">
        <f aca="false">IFERROR(UPD13c!K14,"")</f>
        <v>1.67</v>
      </c>
      <c r="E22" s="4" t="s">
        <v>122</v>
      </c>
      <c r="F22" s="5"/>
      <c r="G22" s="5"/>
      <c r="H22" s="6" t="str">
        <f aca="false">IF(OR(F22="",NOT(ISNUMBER(D22))),"",IF(ABS(F22-D22)&lt;0.001,"Yes","No"))</f>
        <v/>
      </c>
      <c r="I22" s="9" t="n">
        <f aca="false">IF(ISNUMBER(F22),F22,D22)</f>
        <v>1.67</v>
      </c>
      <c r="J22" s="6" t="str">
        <f aca="false">IF(ISNUMBER(F22),"Expert (overrides AI)",IF(ISNUMBER(D22),"AI","Not scored yet"))</f>
        <v>AI</v>
      </c>
      <c r="K22" s="4" t="s">
        <v>32</v>
      </c>
      <c r="L22" s="4" t="s">
        <v>33</v>
      </c>
      <c r="M22" s="4" t="s">
        <v>134</v>
      </c>
      <c r="N22" s="4" t="s">
        <v>41</v>
      </c>
      <c r="O22" s="4" t="s">
        <v>42</v>
      </c>
      <c r="P22" s="4" t="s">
        <v>135</v>
      </c>
      <c r="Q22" s="4" t="s">
        <v>136</v>
      </c>
      <c r="R22" s="4"/>
    </row>
    <row r="23" customFormat="false" ht="93" hidden="false" customHeight="true" outlineLevel="0" collapsed="false">
      <c r="A23" s="3" t="s">
        <v>137</v>
      </c>
      <c r="B23" s="4" t="s">
        <v>19</v>
      </c>
      <c r="C23" s="4" t="s">
        <v>138</v>
      </c>
      <c r="D23" s="8" t="n">
        <f aca="false">IFERROR(UPD13d!K14,"")</f>
        <v>1.67</v>
      </c>
      <c r="E23" s="4" t="s">
        <v>122</v>
      </c>
      <c r="F23" s="5"/>
      <c r="G23" s="5"/>
      <c r="H23" s="6" t="str">
        <f aca="false">IF(OR(F23="",NOT(ISNUMBER(D23))),"",IF(ABS(F23-D23)&lt;0.001,"Yes","No"))</f>
        <v/>
      </c>
      <c r="I23" s="9" t="n">
        <f aca="false">IF(ISNUMBER(F23),F23,D23)</f>
        <v>1.67</v>
      </c>
      <c r="J23" s="6" t="str">
        <f aca="false">IF(ISNUMBER(F23),"Expert (overrides AI)",IF(ISNUMBER(D23),"AI","Not scored yet"))</f>
        <v>AI</v>
      </c>
      <c r="K23" s="4" t="s">
        <v>32</v>
      </c>
      <c r="L23" s="4" t="s">
        <v>33</v>
      </c>
      <c r="M23" s="4" t="s">
        <v>139</v>
      </c>
      <c r="N23" s="4" t="s">
        <v>41</v>
      </c>
      <c r="O23" s="4" t="s">
        <v>42</v>
      </c>
      <c r="P23" s="4" t="s">
        <v>140</v>
      </c>
      <c r="Q23" s="4" t="s">
        <v>141</v>
      </c>
      <c r="R23" s="4"/>
    </row>
    <row r="24" customFormat="false" ht="93" hidden="false" customHeight="true" outlineLevel="0" collapsed="false">
      <c r="A24" s="3" t="s">
        <v>142</v>
      </c>
      <c r="B24" s="4" t="s">
        <v>19</v>
      </c>
      <c r="C24" s="4" t="s">
        <v>143</v>
      </c>
      <c r="D24" s="8" t="n">
        <f aca="false">IFERROR(UPD13e!K14,"")</f>
        <v>1.67</v>
      </c>
      <c r="E24" s="4" t="s">
        <v>122</v>
      </c>
      <c r="F24" s="5"/>
      <c r="G24" s="5"/>
      <c r="H24" s="6" t="str">
        <f aca="false">IF(OR(F24="",NOT(ISNUMBER(D24))),"",IF(ABS(F24-D24)&lt;0.001,"Yes","No"))</f>
        <v/>
      </c>
      <c r="I24" s="9" t="n">
        <f aca="false">IF(ISNUMBER(F24),F24,D24)</f>
        <v>1.67</v>
      </c>
      <c r="J24" s="6" t="str">
        <f aca="false">IF(ISNUMBER(F24),"Expert (overrides AI)",IF(ISNUMBER(D24),"AI","Not scored yet"))</f>
        <v>AI</v>
      </c>
      <c r="K24" s="4" t="s">
        <v>32</v>
      </c>
      <c r="L24" s="4" t="s">
        <v>33</v>
      </c>
      <c r="M24" s="4" t="s">
        <v>144</v>
      </c>
      <c r="N24" s="4" t="s">
        <v>25</v>
      </c>
      <c r="O24" s="4" t="s">
        <v>26</v>
      </c>
      <c r="P24" s="4" t="s">
        <v>145</v>
      </c>
      <c r="Q24" s="4" t="s">
        <v>146</v>
      </c>
      <c r="R24" s="4"/>
    </row>
    <row r="25" customFormat="false" ht="93" hidden="false" customHeight="true" outlineLevel="0" collapsed="false">
      <c r="A25" s="3" t="s">
        <v>147</v>
      </c>
      <c r="B25" s="4" t="s">
        <v>19</v>
      </c>
      <c r="C25" s="4" t="s">
        <v>148</v>
      </c>
      <c r="D25" s="4" t="str">
        <f aca="false">IFERROR(UPD13f!M14,"")</f>
        <v/>
      </c>
      <c r="E25" s="4" t="s">
        <v>122</v>
      </c>
      <c r="F25" s="5"/>
      <c r="G25" s="5"/>
      <c r="H25" s="6" t="str">
        <f aca="false">IF(OR(F25="",NOT(ISNUMBER(D25))),"",IF(ABS(F25-D25)&lt;0.001,"Yes","No"))</f>
        <v/>
      </c>
      <c r="I25" s="7" t="str">
        <f aca="false">IF(ISNUMBER(F25),F25,D25)</f>
        <v/>
      </c>
      <c r="J25" s="6" t="str">
        <f aca="false">IF(ISNUMBER(F25),"Expert (overrides AI)",IF(ISNUMBER(D25),"AI","Not scored yet"))</f>
        <v>Not scored yet</v>
      </c>
      <c r="K25" s="4" t="s">
        <v>22</v>
      </c>
      <c r="L25" s="4" t="s">
        <v>23</v>
      </c>
      <c r="M25" s="4" t="s">
        <v>149</v>
      </c>
      <c r="N25" s="4" t="s">
        <v>25</v>
      </c>
      <c r="O25" s="4" t="s">
        <v>26</v>
      </c>
      <c r="P25" s="4" t="s">
        <v>150</v>
      </c>
      <c r="Q25" s="4" t="s">
        <v>151</v>
      </c>
      <c r="R25" s="4" t="s">
        <v>152</v>
      </c>
    </row>
    <row r="26" customFormat="false" ht="93" hidden="false" customHeight="true" outlineLevel="0" collapsed="false">
      <c r="A26" s="3" t="s">
        <v>153</v>
      </c>
      <c r="B26" s="4" t="s">
        <v>19</v>
      </c>
      <c r="C26" s="4" t="s">
        <v>154</v>
      </c>
      <c r="D26" s="4" t="str">
        <f aca="false">IFERROR(UPD14a!K14,"")</f>
        <v/>
      </c>
      <c r="E26" s="4" t="s">
        <v>39</v>
      </c>
      <c r="F26" s="5"/>
      <c r="G26" s="5"/>
      <c r="H26" s="6" t="str">
        <f aca="false">IF(OR(F26="",NOT(ISNUMBER(D26))),"",IF(ABS(F26-D26)&lt;0.001,"Yes","No"))</f>
        <v/>
      </c>
      <c r="I26" s="7" t="str">
        <f aca="false">IF(ISNUMBER(F26),F26,D26)</f>
        <v/>
      </c>
      <c r="J26" s="6" t="str">
        <f aca="false">IF(ISNUMBER(F26),"Expert (overrides AI)",IF(ISNUMBER(D26),"AI","Not scored yet"))</f>
        <v>Not scored yet</v>
      </c>
      <c r="K26" s="4" t="s">
        <v>22</v>
      </c>
      <c r="L26" s="4" t="s">
        <v>62</v>
      </c>
      <c r="M26" s="4"/>
      <c r="N26" s="4"/>
      <c r="O26" s="4"/>
      <c r="P26" s="4"/>
      <c r="Q26" s="4"/>
      <c r="R26" s="4" t="s">
        <v>155</v>
      </c>
    </row>
    <row r="27" customFormat="false" ht="93" hidden="false" customHeight="true" outlineLevel="0" collapsed="false">
      <c r="A27" s="3" t="s">
        <v>156</v>
      </c>
      <c r="B27" s="4" t="s">
        <v>19</v>
      </c>
      <c r="C27" s="4" t="s">
        <v>157</v>
      </c>
      <c r="D27" s="4" t="str">
        <f aca="false">IFERROR(UPD14b!K14,"")</f>
        <v/>
      </c>
      <c r="E27" s="4" t="s">
        <v>39</v>
      </c>
      <c r="F27" s="5"/>
      <c r="G27" s="5"/>
      <c r="H27" s="6" t="str">
        <f aca="false">IF(OR(F27="",NOT(ISNUMBER(D27))),"",IF(ABS(F27-D27)&lt;0.001,"Yes","No"))</f>
        <v/>
      </c>
      <c r="I27" s="7" t="str">
        <f aca="false">IF(ISNUMBER(F27),F27,D27)</f>
        <v/>
      </c>
      <c r="J27" s="6" t="str">
        <f aca="false">IF(ISNUMBER(F27),"Expert (overrides AI)",IF(ISNUMBER(D27),"AI","Not scored yet"))</f>
        <v>Not scored yet</v>
      </c>
      <c r="K27" s="4" t="s">
        <v>22</v>
      </c>
      <c r="L27" s="4" t="s">
        <v>62</v>
      </c>
      <c r="M27" s="4"/>
      <c r="N27" s="4"/>
      <c r="O27" s="4"/>
      <c r="P27" s="4"/>
      <c r="Q27" s="4"/>
      <c r="R27" s="4" t="s">
        <v>158</v>
      </c>
    </row>
    <row r="28" customFormat="false" ht="93" hidden="false" customHeight="true" outlineLevel="0" collapsed="false">
      <c r="A28" s="3" t="s">
        <v>159</v>
      </c>
      <c r="B28" s="4" t="s">
        <v>19</v>
      </c>
      <c r="C28" s="4" t="s">
        <v>160</v>
      </c>
      <c r="D28" s="4" t="str">
        <f aca="false">IFERROR(UPD14c!K14,"")</f>
        <v/>
      </c>
      <c r="E28" s="4" t="s">
        <v>39</v>
      </c>
      <c r="F28" s="5"/>
      <c r="G28" s="5"/>
      <c r="H28" s="6" t="str">
        <f aca="false">IF(OR(F28="",NOT(ISNUMBER(D28))),"",IF(ABS(F28-D28)&lt;0.001,"Yes","No"))</f>
        <v/>
      </c>
      <c r="I28" s="7" t="str">
        <f aca="false">IF(ISNUMBER(F28),F28,D28)</f>
        <v/>
      </c>
      <c r="J28" s="6" t="str">
        <f aca="false">IF(ISNUMBER(F28),"Expert (overrides AI)",IF(ISNUMBER(D28),"AI","Not scored yet"))</f>
        <v>Not scored yet</v>
      </c>
      <c r="K28" s="4" t="s">
        <v>22</v>
      </c>
      <c r="L28" s="4" t="s">
        <v>62</v>
      </c>
      <c r="M28" s="4"/>
      <c r="N28" s="4"/>
      <c r="O28" s="4"/>
      <c r="P28" s="4"/>
      <c r="Q28" s="4"/>
      <c r="R28" s="4" t="s">
        <v>161</v>
      </c>
    </row>
    <row r="29" customFormat="false" ht="93" hidden="false" customHeight="true" outlineLevel="0" collapsed="false">
      <c r="A29" s="3" t="s">
        <v>162</v>
      </c>
      <c r="B29" s="4" t="s">
        <v>19</v>
      </c>
      <c r="C29" s="4" t="s">
        <v>163</v>
      </c>
      <c r="D29" s="4" t="str">
        <f aca="false">IFERROR('UPD15'!L14,"")</f>
        <v/>
      </c>
      <c r="E29" s="4" t="s">
        <v>21</v>
      </c>
      <c r="F29" s="5"/>
      <c r="G29" s="5"/>
      <c r="H29" s="6" t="str">
        <f aca="false">IF(OR(F29="",NOT(ISNUMBER(D29))),"",IF(ABS(F29-D29)&lt;0.001,"Yes","No"))</f>
        <v/>
      </c>
      <c r="I29" s="7" t="str">
        <f aca="false">IF(ISNUMBER(F29),F29,D29)</f>
        <v/>
      </c>
      <c r="J29" s="6" t="str">
        <f aca="false">IF(ISNUMBER(F29),"Expert (overrides AI)",IF(ISNUMBER(D29),"AI","Not scored yet"))</f>
        <v>Not scored yet</v>
      </c>
      <c r="K29" s="4" t="s">
        <v>22</v>
      </c>
      <c r="L29" s="4" t="s">
        <v>62</v>
      </c>
      <c r="M29" s="4"/>
      <c r="N29" s="4"/>
      <c r="O29" s="4"/>
      <c r="P29" s="4"/>
      <c r="Q29" s="4"/>
      <c r="R29" s="4" t="s">
        <v>164</v>
      </c>
    </row>
    <row r="30" customFormat="false" ht="93" hidden="false" customHeight="true" outlineLevel="0" collapsed="false">
      <c r="A30" s="3" t="s">
        <v>165</v>
      </c>
      <c r="B30" s="4" t="s">
        <v>19</v>
      </c>
      <c r="C30" s="4" t="s">
        <v>166</v>
      </c>
      <c r="D30" s="4" t="str">
        <f aca="false">IFERROR(UPD16a!K14,"")</f>
        <v/>
      </c>
      <c r="E30" s="4" t="s">
        <v>82</v>
      </c>
      <c r="F30" s="5"/>
      <c r="G30" s="5"/>
      <c r="H30" s="6" t="str">
        <f aca="false">IF(OR(F30="",NOT(ISNUMBER(D30))),"",IF(ABS(F30-D30)&lt;0.001,"Yes","No"))</f>
        <v/>
      </c>
      <c r="I30" s="7" t="str">
        <f aca="false">IF(ISNUMBER(F30),F30,D30)</f>
        <v/>
      </c>
      <c r="J30" s="6" t="str">
        <f aca="false">IF(ISNUMBER(F30),"Expert (overrides AI)",IF(ISNUMBER(D30),"AI","Not scored yet"))</f>
        <v>Not scored yet</v>
      </c>
      <c r="K30" s="4" t="s">
        <v>22</v>
      </c>
      <c r="L30" s="4" t="s">
        <v>62</v>
      </c>
      <c r="M30" s="4"/>
      <c r="N30" s="4"/>
      <c r="O30" s="4"/>
      <c r="P30" s="4"/>
      <c r="Q30" s="4"/>
      <c r="R30" s="4" t="s">
        <v>167</v>
      </c>
    </row>
    <row r="31" customFormat="false" ht="93" hidden="false" customHeight="true" outlineLevel="0" collapsed="false">
      <c r="A31" s="3" t="s">
        <v>168</v>
      </c>
      <c r="B31" s="4" t="s">
        <v>19</v>
      </c>
      <c r="C31" s="4" t="s">
        <v>169</v>
      </c>
      <c r="D31" s="4" t="str">
        <f aca="false">IFERROR(UPD16b!K14,"")</f>
        <v/>
      </c>
      <c r="E31" s="4" t="s">
        <v>82</v>
      </c>
      <c r="F31" s="5"/>
      <c r="G31" s="5"/>
      <c r="H31" s="6" t="str">
        <f aca="false">IF(OR(F31="",NOT(ISNUMBER(D31))),"",IF(ABS(F31-D31)&lt;0.001,"Yes","No"))</f>
        <v/>
      </c>
      <c r="I31" s="7" t="str">
        <f aca="false">IF(ISNUMBER(F31),F31,D31)</f>
        <v/>
      </c>
      <c r="J31" s="6" t="str">
        <f aca="false">IF(ISNUMBER(F31),"Expert (overrides AI)",IF(ISNUMBER(D31),"AI","Not scored yet"))</f>
        <v>Not scored yet</v>
      </c>
      <c r="K31" s="4" t="s">
        <v>22</v>
      </c>
      <c r="L31" s="4" t="s">
        <v>62</v>
      </c>
      <c r="M31" s="4"/>
      <c r="N31" s="4"/>
      <c r="O31" s="4"/>
      <c r="P31" s="4"/>
      <c r="Q31" s="4"/>
      <c r="R31" s="4" t="s">
        <v>170</v>
      </c>
    </row>
    <row r="32" customFormat="false" ht="93" hidden="false" customHeight="true" outlineLevel="0" collapsed="false">
      <c r="A32" s="3" t="s">
        <v>171</v>
      </c>
      <c r="B32" s="4" t="s">
        <v>19</v>
      </c>
      <c r="C32" s="4" t="s">
        <v>172</v>
      </c>
      <c r="D32" s="4" t="n">
        <f aca="false">IFERROR('UPD17'!K14,"")</f>
        <v>0</v>
      </c>
      <c r="E32" s="4" t="s">
        <v>21</v>
      </c>
      <c r="F32" s="5"/>
      <c r="G32" s="5"/>
      <c r="H32" s="6" t="str">
        <f aca="false">IF(OR(F32="",NOT(ISNUMBER(D32))),"",IF(ABS(F32-D32)&lt;0.001,"Yes","No"))</f>
        <v/>
      </c>
      <c r="I32" s="7" t="n">
        <f aca="false">IF(ISNUMBER(F32),F32,D32)</f>
        <v>0</v>
      </c>
      <c r="J32" s="6" t="str">
        <f aca="false">IF(ISNUMBER(F32),"Expert (overrides AI)",IF(ISNUMBER(D32),"AI","Not scored yet"))</f>
        <v>AI</v>
      </c>
      <c r="K32" s="4" t="s">
        <v>22</v>
      </c>
      <c r="L32" s="4" t="s">
        <v>62</v>
      </c>
      <c r="M32" s="4"/>
      <c r="N32" s="4"/>
      <c r="O32" s="4"/>
      <c r="P32" s="4"/>
      <c r="Q32" s="4"/>
      <c r="R32" s="4" t="s">
        <v>173</v>
      </c>
    </row>
    <row r="33" customFormat="false" ht="93" hidden="false" customHeight="true" outlineLevel="0" collapsed="false">
      <c r="A33" s="3" t="s">
        <v>174</v>
      </c>
      <c r="B33" s="4" t="s">
        <v>19</v>
      </c>
      <c r="C33" s="4" t="s">
        <v>175</v>
      </c>
      <c r="D33" s="4" t="n">
        <f aca="false">IFERROR('UPD18'!L14,"")</f>
        <v>0</v>
      </c>
      <c r="E33" s="4" t="s">
        <v>21</v>
      </c>
      <c r="F33" s="5"/>
      <c r="G33" s="5"/>
      <c r="H33" s="6" t="str">
        <f aca="false">IF(OR(F33="",NOT(ISNUMBER(D33))),"",IF(ABS(F33-D33)&lt;0.001,"Yes","No"))</f>
        <v/>
      </c>
      <c r="I33" s="7" t="n">
        <f aca="false">IF(ISNUMBER(F33),F33,D33)</f>
        <v>0</v>
      </c>
      <c r="J33" s="6" t="str">
        <f aca="false">IF(ISNUMBER(F33),"Expert (overrides AI)",IF(ISNUMBER(D33),"AI","Not scored yet"))</f>
        <v>AI</v>
      </c>
      <c r="K33" s="4" t="s">
        <v>22</v>
      </c>
      <c r="L33" s="4" t="s">
        <v>62</v>
      </c>
      <c r="M33" s="4"/>
      <c r="N33" s="4"/>
      <c r="O33" s="4"/>
      <c r="P33" s="4"/>
      <c r="Q33" s="4"/>
      <c r="R33" s="4" t="s">
        <v>176</v>
      </c>
    </row>
    <row r="34" customFormat="false" ht="93" hidden="false" customHeight="true" outlineLevel="0" collapsed="false">
      <c r="A34" s="3" t="s">
        <v>177</v>
      </c>
      <c r="B34" s="4" t="s">
        <v>19</v>
      </c>
      <c r="C34" s="4" t="s">
        <v>178</v>
      </c>
      <c r="D34" s="4" t="n">
        <f aca="false">IFERROR(UPD19a!L14,"")</f>
        <v>0</v>
      </c>
      <c r="E34" s="4" t="s">
        <v>82</v>
      </c>
      <c r="F34" s="5"/>
      <c r="G34" s="5"/>
      <c r="H34" s="6" t="str">
        <f aca="false">IF(OR(F34="",NOT(ISNUMBER(D34))),"",IF(ABS(F34-D34)&lt;0.001,"Yes","No"))</f>
        <v/>
      </c>
      <c r="I34" s="7" t="n">
        <f aca="false">IF(ISNUMBER(F34),F34,D34)</f>
        <v>0</v>
      </c>
      <c r="J34" s="6" t="str">
        <f aca="false">IF(ISNUMBER(F34),"Expert (overrides AI)",IF(ISNUMBER(D34),"AI","Not scored yet"))</f>
        <v>AI</v>
      </c>
      <c r="K34" s="4" t="s">
        <v>22</v>
      </c>
      <c r="L34" s="4" t="s">
        <v>62</v>
      </c>
      <c r="M34" s="4"/>
      <c r="N34" s="4"/>
      <c r="O34" s="4"/>
      <c r="P34" s="4"/>
      <c r="Q34" s="4"/>
      <c r="R34" s="4" t="s">
        <v>179</v>
      </c>
    </row>
    <row r="35" customFormat="false" ht="93" hidden="false" customHeight="true" outlineLevel="0" collapsed="false">
      <c r="A35" s="3" t="s">
        <v>180</v>
      </c>
      <c r="B35" s="4" t="s">
        <v>19</v>
      </c>
      <c r="C35" s="4" t="s">
        <v>181</v>
      </c>
      <c r="D35" s="4" t="n">
        <f aca="false">IFERROR(UPD19b!L14,"")</f>
        <v>0</v>
      </c>
      <c r="E35" s="4" t="s">
        <v>82</v>
      </c>
      <c r="F35" s="5"/>
      <c r="G35" s="5"/>
      <c r="H35" s="6" t="str">
        <f aca="false">IF(OR(F35="",NOT(ISNUMBER(D35))),"",IF(ABS(F35-D35)&lt;0.001,"Yes","No"))</f>
        <v/>
      </c>
      <c r="I35" s="7" t="n">
        <f aca="false">IF(ISNUMBER(F35),F35,D35)</f>
        <v>0</v>
      </c>
      <c r="J35" s="6" t="str">
        <f aca="false">IF(ISNUMBER(F35),"Expert (overrides AI)",IF(ISNUMBER(D35),"AI","Not scored yet"))</f>
        <v>AI</v>
      </c>
      <c r="K35" s="4" t="s">
        <v>22</v>
      </c>
      <c r="L35" s="4" t="s">
        <v>62</v>
      </c>
      <c r="M35" s="4"/>
      <c r="N35" s="4"/>
      <c r="O35" s="4"/>
      <c r="P35" s="4"/>
      <c r="Q35" s="4"/>
      <c r="R35" s="4" t="s">
        <v>182</v>
      </c>
    </row>
    <row r="36" customFormat="false" ht="93" hidden="false" customHeight="true" outlineLevel="0" collapsed="false">
      <c r="A36" s="3" t="s">
        <v>183</v>
      </c>
      <c r="B36" s="4" t="s">
        <v>19</v>
      </c>
      <c r="C36" s="4" t="s">
        <v>184</v>
      </c>
      <c r="D36" s="4" t="n">
        <f aca="false">IFERROR(UPD20a!L14,"")</f>
        <v>0</v>
      </c>
      <c r="E36" s="4" t="s">
        <v>39</v>
      </c>
      <c r="F36" s="5"/>
      <c r="G36" s="5"/>
      <c r="H36" s="6" t="str">
        <f aca="false">IF(OR(F36="",NOT(ISNUMBER(D36))),"",IF(ABS(F36-D36)&lt;0.001,"Yes","No"))</f>
        <v/>
      </c>
      <c r="I36" s="7" t="n">
        <f aca="false">IF(ISNUMBER(F36),F36,D36)</f>
        <v>0</v>
      </c>
      <c r="J36" s="6" t="str">
        <f aca="false">IF(ISNUMBER(F36),"Expert (overrides AI)",IF(ISNUMBER(D36),"AI","Not scored yet"))</f>
        <v>AI</v>
      </c>
      <c r="K36" s="4" t="s">
        <v>22</v>
      </c>
      <c r="L36" s="4" t="s">
        <v>62</v>
      </c>
      <c r="M36" s="4"/>
      <c r="N36" s="4"/>
      <c r="O36" s="4"/>
      <c r="P36" s="4"/>
      <c r="Q36" s="4"/>
      <c r="R36" s="4" t="s">
        <v>185</v>
      </c>
    </row>
    <row r="37" customFormat="false" ht="93" hidden="false" customHeight="true" outlineLevel="0" collapsed="false">
      <c r="A37" s="3" t="s">
        <v>186</v>
      </c>
      <c r="B37" s="4" t="s">
        <v>19</v>
      </c>
      <c r="C37" s="4" t="s">
        <v>187</v>
      </c>
      <c r="D37" s="4" t="n">
        <f aca="false">IFERROR(UPD20b!L14,"")</f>
        <v>0</v>
      </c>
      <c r="E37" s="4" t="s">
        <v>39</v>
      </c>
      <c r="F37" s="5"/>
      <c r="G37" s="5"/>
      <c r="H37" s="6" t="str">
        <f aca="false">IF(OR(F37="",NOT(ISNUMBER(D37))),"",IF(ABS(F37-D37)&lt;0.001,"Yes","No"))</f>
        <v/>
      </c>
      <c r="I37" s="7" t="n">
        <f aca="false">IF(ISNUMBER(F37),F37,D37)</f>
        <v>0</v>
      </c>
      <c r="J37" s="6" t="str">
        <f aca="false">IF(ISNUMBER(F37),"Expert (overrides AI)",IF(ISNUMBER(D37),"AI","Not scored yet"))</f>
        <v>AI</v>
      </c>
      <c r="K37" s="4" t="s">
        <v>22</v>
      </c>
      <c r="L37" s="4" t="s">
        <v>62</v>
      </c>
      <c r="M37" s="4"/>
      <c r="N37" s="4"/>
      <c r="O37" s="4"/>
      <c r="P37" s="4"/>
      <c r="Q37" s="4"/>
      <c r="R37" s="4" t="s">
        <v>188</v>
      </c>
    </row>
    <row r="38" customFormat="false" ht="93" hidden="false" customHeight="true" outlineLevel="0" collapsed="false">
      <c r="A38" s="3" t="s">
        <v>189</v>
      </c>
      <c r="B38" s="4" t="s">
        <v>19</v>
      </c>
      <c r="C38" s="4" t="s">
        <v>190</v>
      </c>
      <c r="D38" s="4" t="n">
        <f aca="false">IFERROR(UPD20c!L14,"")</f>
        <v>0</v>
      </c>
      <c r="E38" s="4" t="s">
        <v>39</v>
      </c>
      <c r="F38" s="5"/>
      <c r="G38" s="5"/>
      <c r="H38" s="6" t="str">
        <f aca="false">IF(OR(F38="",NOT(ISNUMBER(D38))),"",IF(ABS(F38-D38)&lt;0.001,"Yes","No"))</f>
        <v/>
      </c>
      <c r="I38" s="7" t="n">
        <f aca="false">IF(ISNUMBER(F38),F38,D38)</f>
        <v>0</v>
      </c>
      <c r="J38" s="6" t="str">
        <f aca="false">IF(ISNUMBER(F38),"Expert (overrides AI)",IF(ISNUMBER(D38),"AI","Not scored yet"))</f>
        <v>AI</v>
      </c>
      <c r="K38" s="4" t="s">
        <v>22</v>
      </c>
      <c r="L38" s="4" t="s">
        <v>62</v>
      </c>
      <c r="M38" s="4"/>
      <c r="N38" s="4"/>
      <c r="O38" s="4"/>
      <c r="P38" s="4"/>
      <c r="Q38" s="4"/>
      <c r="R38" s="4" t="s">
        <v>191</v>
      </c>
    </row>
    <row r="39" customFormat="false" ht="93" hidden="false" customHeight="true" outlineLevel="0" collapsed="false">
      <c r="A39" s="3" t="s">
        <v>192</v>
      </c>
      <c r="B39" s="4" t="s">
        <v>19</v>
      </c>
      <c r="C39" s="4" t="s">
        <v>193</v>
      </c>
      <c r="D39" s="4" t="n">
        <f aca="false">IFERROR('UPD21'!L14,"")</f>
        <v>0</v>
      </c>
      <c r="E39" s="4" t="s">
        <v>21</v>
      </c>
      <c r="F39" s="5"/>
      <c r="G39" s="5"/>
      <c r="H39" s="6" t="str">
        <f aca="false">IF(OR(F39="",NOT(ISNUMBER(D39))),"",IF(ABS(F39-D39)&lt;0.001,"Yes","No"))</f>
        <v/>
      </c>
      <c r="I39" s="7" t="n">
        <f aca="false">IF(ISNUMBER(F39),F39,D39)</f>
        <v>0</v>
      </c>
      <c r="J39" s="6" t="str">
        <f aca="false">IF(ISNUMBER(F39),"Expert (overrides AI)",IF(ISNUMBER(D39),"AI","Not scored yet"))</f>
        <v>AI</v>
      </c>
      <c r="K39" s="4" t="s">
        <v>22</v>
      </c>
      <c r="L39" s="4" t="s">
        <v>62</v>
      </c>
      <c r="M39" s="4"/>
      <c r="N39" s="4"/>
      <c r="O39" s="4"/>
      <c r="P39" s="4"/>
      <c r="Q39" s="4"/>
      <c r="R39" s="4" t="s">
        <v>194</v>
      </c>
    </row>
    <row r="40" customFormat="false" ht="93" hidden="false" customHeight="true" outlineLevel="0" collapsed="false">
      <c r="A40" s="3" t="s">
        <v>195</v>
      </c>
      <c r="B40" s="4" t="s">
        <v>19</v>
      </c>
      <c r="C40" s="4" t="s">
        <v>196</v>
      </c>
      <c r="D40" s="4" t="n">
        <f aca="false">IFERROR('UPD22'!L14,"")</f>
        <v>10</v>
      </c>
      <c r="E40" s="4" t="s">
        <v>21</v>
      </c>
      <c r="F40" s="5"/>
      <c r="G40" s="5"/>
      <c r="H40" s="6" t="str">
        <f aca="false">IF(OR(F40="",NOT(ISNUMBER(D40))),"",IF(ABS(F40-D40)&lt;0.001,"Yes","No"))</f>
        <v/>
      </c>
      <c r="I40" s="7" t="n">
        <f aca="false">IF(ISNUMBER(F40),F40,D40)</f>
        <v>10</v>
      </c>
      <c r="J40" s="6" t="str">
        <f aca="false">IF(ISNUMBER(F40),"Expert (overrides AI)",IF(ISNUMBER(D40),"AI","Not scored yet"))</f>
        <v>AI</v>
      </c>
      <c r="K40" s="4" t="s">
        <v>22</v>
      </c>
      <c r="L40" s="4" t="s">
        <v>62</v>
      </c>
      <c r="M40" s="4"/>
      <c r="N40" s="4"/>
      <c r="O40" s="4"/>
      <c r="P40" s="4"/>
      <c r="Q40" s="4"/>
      <c r="R40" s="4" t="s">
        <v>197</v>
      </c>
    </row>
    <row r="41" customFormat="false" ht="93" hidden="false" customHeight="true" outlineLevel="0" collapsed="false">
      <c r="A41" s="3" t="s">
        <v>198</v>
      </c>
      <c r="B41" s="4" t="s">
        <v>19</v>
      </c>
      <c r="C41" s="4" t="s">
        <v>199</v>
      </c>
      <c r="D41" s="4" t="n">
        <f aca="false">IFERROR(UPD23a!M14,"")</f>
        <v>1.11</v>
      </c>
      <c r="E41" s="4" t="s">
        <v>39</v>
      </c>
      <c r="F41" s="5"/>
      <c r="G41" s="5"/>
      <c r="H41" s="6" t="str">
        <f aca="false">IF(OR(F41="",NOT(ISNUMBER(D41))),"",IF(ABS(F41-D41)&lt;0.001,"Yes","No"))</f>
        <v/>
      </c>
      <c r="I41" s="7" t="n">
        <f aca="false">IF(ISNUMBER(F41),F41,D41)</f>
        <v>1.11</v>
      </c>
      <c r="J41" s="6" t="str">
        <f aca="false">IF(ISNUMBER(F41),"Expert (overrides AI)",IF(ISNUMBER(D41),"AI","Not scored yet"))</f>
        <v>AI</v>
      </c>
      <c r="K41" s="4" t="s">
        <v>22</v>
      </c>
      <c r="L41" s="4" t="s">
        <v>62</v>
      </c>
      <c r="M41" s="4"/>
      <c r="N41" s="4"/>
      <c r="O41" s="4"/>
      <c r="P41" s="4"/>
      <c r="Q41" s="4"/>
      <c r="R41" s="4" t="s">
        <v>200</v>
      </c>
    </row>
    <row r="42" customFormat="false" ht="93" hidden="false" customHeight="true" outlineLevel="0" collapsed="false">
      <c r="A42" s="3" t="s">
        <v>201</v>
      </c>
      <c r="B42" s="4" t="s">
        <v>19</v>
      </c>
      <c r="C42" s="4" t="s">
        <v>202</v>
      </c>
      <c r="D42" s="4" t="n">
        <f aca="false">IFERROR(UPD23b!M14,"")</f>
        <v>1.11</v>
      </c>
      <c r="E42" s="4" t="s">
        <v>39</v>
      </c>
      <c r="F42" s="5"/>
      <c r="G42" s="5"/>
      <c r="H42" s="6" t="str">
        <f aca="false">IF(OR(F42="",NOT(ISNUMBER(D42))),"",IF(ABS(F42-D42)&lt;0.001,"Yes","No"))</f>
        <v/>
      </c>
      <c r="I42" s="7" t="n">
        <f aca="false">IF(ISNUMBER(F42),F42,D42)</f>
        <v>1.11</v>
      </c>
      <c r="J42" s="6" t="str">
        <f aca="false">IF(ISNUMBER(F42),"Expert (overrides AI)",IF(ISNUMBER(D42),"AI","Not scored yet"))</f>
        <v>AI</v>
      </c>
      <c r="K42" s="4" t="s">
        <v>22</v>
      </c>
      <c r="L42" s="4" t="s">
        <v>62</v>
      </c>
      <c r="M42" s="4"/>
      <c r="N42" s="4"/>
      <c r="O42" s="4"/>
      <c r="P42" s="4"/>
      <c r="Q42" s="4"/>
      <c r="R42" s="4" t="s">
        <v>203</v>
      </c>
    </row>
    <row r="43" customFormat="false" ht="93" hidden="false" customHeight="true" outlineLevel="0" collapsed="false">
      <c r="A43" s="3" t="s">
        <v>204</v>
      </c>
      <c r="B43" s="4" t="s">
        <v>19</v>
      </c>
      <c r="C43" s="4" t="s">
        <v>205</v>
      </c>
      <c r="D43" s="4" t="n">
        <f aca="false">IFERROR(UPD23c!M14,"")</f>
        <v>0</v>
      </c>
      <c r="E43" s="4" t="s">
        <v>39</v>
      </c>
      <c r="F43" s="5"/>
      <c r="G43" s="5"/>
      <c r="H43" s="6" t="str">
        <f aca="false">IF(OR(F43="",NOT(ISNUMBER(D43))),"",IF(ABS(F43-D43)&lt;0.001,"Yes","No"))</f>
        <v/>
      </c>
      <c r="I43" s="7" t="n">
        <f aca="false">IF(ISNUMBER(F43),F43,D43)</f>
        <v>0</v>
      </c>
      <c r="J43" s="6" t="str">
        <f aca="false">IF(ISNUMBER(F43),"Expert (overrides AI)",IF(ISNUMBER(D43),"AI","Not scored yet"))</f>
        <v>AI</v>
      </c>
      <c r="K43" s="4" t="s">
        <v>22</v>
      </c>
      <c r="L43" s="4" t="s">
        <v>62</v>
      </c>
      <c r="M43" s="4"/>
      <c r="N43" s="4"/>
      <c r="O43" s="4"/>
      <c r="P43" s="4"/>
      <c r="Q43" s="4"/>
      <c r="R43" s="4" t="s">
        <v>206</v>
      </c>
    </row>
    <row r="44" customFormat="false" ht="93" hidden="false" customHeight="true" outlineLevel="0" collapsed="false">
      <c r="A44" s="3" t="s">
        <v>207</v>
      </c>
      <c r="B44" s="4" t="s">
        <v>19</v>
      </c>
      <c r="C44" s="4" t="s">
        <v>208</v>
      </c>
      <c r="D44" s="8" t="n">
        <f aca="false">IFERROR(UPD24a!K14,"")</f>
        <v>3.33</v>
      </c>
      <c r="E44" s="4" t="s">
        <v>39</v>
      </c>
      <c r="F44" s="5"/>
      <c r="G44" s="5"/>
      <c r="H44" s="6" t="str">
        <f aca="false">IF(OR(F44="",NOT(ISNUMBER(D44))),"",IF(ABS(F44-D44)&lt;0.001,"Yes","No"))</f>
        <v/>
      </c>
      <c r="I44" s="9" t="n">
        <f aca="false">IF(ISNUMBER(F44),F44,D44)</f>
        <v>3.33</v>
      </c>
      <c r="J44" s="6" t="str">
        <f aca="false">IF(ISNUMBER(F44),"Expert (overrides AI)",IF(ISNUMBER(D44),"AI","Not scored yet"))</f>
        <v>AI</v>
      </c>
      <c r="K44" s="4" t="s">
        <v>22</v>
      </c>
      <c r="L44" s="4" t="s">
        <v>62</v>
      </c>
      <c r="M44" s="4"/>
      <c r="N44" s="4"/>
      <c r="O44" s="4"/>
      <c r="P44" s="4"/>
      <c r="Q44" s="4"/>
      <c r="R44" s="4" t="s">
        <v>209</v>
      </c>
    </row>
    <row r="45" customFormat="false" ht="93" hidden="false" customHeight="true" outlineLevel="0" collapsed="false">
      <c r="A45" s="3" t="s">
        <v>210</v>
      </c>
      <c r="B45" s="4" t="s">
        <v>19</v>
      </c>
      <c r="C45" s="4" t="s">
        <v>211</v>
      </c>
      <c r="D45" s="8" t="n">
        <f aca="false">IFERROR(UPD24b!K14,"")</f>
        <v>3.33</v>
      </c>
      <c r="E45" s="4" t="s">
        <v>39</v>
      </c>
      <c r="F45" s="5"/>
      <c r="G45" s="5"/>
      <c r="H45" s="6" t="str">
        <f aca="false">IF(OR(F45="",NOT(ISNUMBER(D45))),"",IF(ABS(F45-D45)&lt;0.001,"Yes","No"))</f>
        <v/>
      </c>
      <c r="I45" s="9" t="n">
        <f aca="false">IF(ISNUMBER(F45),F45,D45)</f>
        <v>3.33</v>
      </c>
      <c r="J45" s="6" t="str">
        <f aca="false">IF(ISNUMBER(F45),"Expert (overrides AI)",IF(ISNUMBER(D45),"AI","Not scored yet"))</f>
        <v>AI</v>
      </c>
      <c r="K45" s="4" t="s">
        <v>22</v>
      </c>
      <c r="L45" s="4" t="s">
        <v>62</v>
      </c>
      <c r="M45" s="4"/>
      <c r="N45" s="4"/>
      <c r="O45" s="4"/>
      <c r="P45" s="4"/>
      <c r="Q45" s="4"/>
      <c r="R45" s="4" t="s">
        <v>212</v>
      </c>
    </row>
    <row r="46" customFormat="false" ht="93" hidden="false" customHeight="true" outlineLevel="0" collapsed="false">
      <c r="A46" s="3" t="s">
        <v>213</v>
      </c>
      <c r="B46" s="4" t="s">
        <v>19</v>
      </c>
      <c r="C46" s="4" t="s">
        <v>214</v>
      </c>
      <c r="D46" s="8" t="n">
        <f aca="false">IFERROR(UPD24c!K14,"")</f>
        <v>3.33</v>
      </c>
      <c r="E46" s="4" t="s">
        <v>39</v>
      </c>
      <c r="F46" s="5"/>
      <c r="G46" s="5"/>
      <c r="H46" s="6" t="str">
        <f aca="false">IF(OR(F46="",NOT(ISNUMBER(D46))),"",IF(ABS(F46-D46)&lt;0.001,"Yes","No"))</f>
        <v/>
      </c>
      <c r="I46" s="9" t="n">
        <f aca="false">IF(ISNUMBER(F46),F46,D46)</f>
        <v>3.33</v>
      </c>
      <c r="J46" s="6" t="str">
        <f aca="false">IF(ISNUMBER(F46),"Expert (overrides AI)",IF(ISNUMBER(D46),"AI","Not scored yet"))</f>
        <v>AI</v>
      </c>
      <c r="K46" s="4" t="s">
        <v>22</v>
      </c>
      <c r="L46" s="4" t="s">
        <v>62</v>
      </c>
      <c r="M46" s="4"/>
      <c r="N46" s="4"/>
      <c r="O46" s="4"/>
      <c r="P46" s="4"/>
      <c r="Q46" s="4"/>
      <c r="R46" s="4" t="s">
        <v>215</v>
      </c>
    </row>
    <row r="47" customFormat="false" ht="93" hidden="false" customHeight="true" outlineLevel="0" collapsed="false">
      <c r="A47" s="3" t="s">
        <v>216</v>
      </c>
      <c r="B47" s="4" t="s">
        <v>19</v>
      </c>
      <c r="C47" s="4" t="s">
        <v>217</v>
      </c>
      <c r="D47" s="8" t="n">
        <f aca="false">IFERROR(UPD25a!K14,"")</f>
        <v>3.33</v>
      </c>
      <c r="E47" s="4" t="s">
        <v>39</v>
      </c>
      <c r="F47" s="5"/>
      <c r="G47" s="5"/>
      <c r="H47" s="6" t="str">
        <f aca="false">IF(OR(F47="",NOT(ISNUMBER(D47))),"",IF(ABS(F47-D47)&lt;0.001,"Yes","No"))</f>
        <v/>
      </c>
      <c r="I47" s="9" t="n">
        <f aca="false">IF(ISNUMBER(F47),F47,D47)</f>
        <v>3.33</v>
      </c>
      <c r="J47" s="6" t="str">
        <f aca="false">IF(ISNUMBER(F47),"Expert (overrides AI)",IF(ISNUMBER(D47),"AI","Not scored yet"))</f>
        <v>AI</v>
      </c>
      <c r="K47" s="4" t="s">
        <v>22</v>
      </c>
      <c r="L47" s="4" t="s">
        <v>62</v>
      </c>
      <c r="M47" s="4"/>
      <c r="N47" s="4"/>
      <c r="O47" s="4"/>
      <c r="P47" s="4"/>
      <c r="Q47" s="4"/>
      <c r="R47" s="4" t="s">
        <v>218</v>
      </c>
    </row>
    <row r="48" customFormat="false" ht="93" hidden="false" customHeight="true" outlineLevel="0" collapsed="false">
      <c r="A48" s="3" t="s">
        <v>219</v>
      </c>
      <c r="B48" s="4" t="s">
        <v>19</v>
      </c>
      <c r="C48" s="4" t="s">
        <v>220</v>
      </c>
      <c r="D48" s="8" t="n">
        <f aca="false">IFERROR(UPD25b!K14,"")</f>
        <v>3.33</v>
      </c>
      <c r="E48" s="4" t="s">
        <v>39</v>
      </c>
      <c r="F48" s="5"/>
      <c r="G48" s="5"/>
      <c r="H48" s="6" t="str">
        <f aca="false">IF(OR(F48="",NOT(ISNUMBER(D48))),"",IF(ABS(F48-D48)&lt;0.001,"Yes","No"))</f>
        <v/>
      </c>
      <c r="I48" s="9" t="n">
        <f aca="false">IF(ISNUMBER(F48),F48,D48)</f>
        <v>3.33</v>
      </c>
      <c r="J48" s="6" t="str">
        <f aca="false">IF(ISNUMBER(F48),"Expert (overrides AI)",IF(ISNUMBER(D48),"AI","Not scored yet"))</f>
        <v>AI</v>
      </c>
      <c r="K48" s="4" t="s">
        <v>22</v>
      </c>
      <c r="L48" s="4" t="s">
        <v>62</v>
      </c>
      <c r="M48" s="4"/>
      <c r="N48" s="4"/>
      <c r="O48" s="4"/>
      <c r="P48" s="4"/>
      <c r="Q48" s="4"/>
      <c r="R48" s="4" t="s">
        <v>221</v>
      </c>
    </row>
    <row r="49" customFormat="false" ht="93" hidden="false" customHeight="true" outlineLevel="0" collapsed="false">
      <c r="A49" s="3" t="s">
        <v>222</v>
      </c>
      <c r="B49" s="4" t="s">
        <v>19</v>
      </c>
      <c r="C49" s="4" t="s">
        <v>223</v>
      </c>
      <c r="D49" s="8" t="n">
        <f aca="false">IFERROR(UPD25c!K14,"")</f>
        <v>3.33</v>
      </c>
      <c r="E49" s="4" t="s">
        <v>39</v>
      </c>
      <c r="F49" s="5"/>
      <c r="G49" s="5"/>
      <c r="H49" s="6" t="str">
        <f aca="false">IF(OR(F49="",NOT(ISNUMBER(D49))),"",IF(ABS(F49-D49)&lt;0.001,"Yes","No"))</f>
        <v/>
      </c>
      <c r="I49" s="9" t="n">
        <f aca="false">IF(ISNUMBER(F49),F49,D49)</f>
        <v>3.33</v>
      </c>
      <c r="J49" s="6" t="str">
        <f aca="false">IF(ISNUMBER(F49),"Expert (overrides AI)",IF(ISNUMBER(D49),"AI","Not scored yet"))</f>
        <v>AI</v>
      </c>
      <c r="K49" s="4" t="s">
        <v>22</v>
      </c>
      <c r="L49" s="4" t="s">
        <v>62</v>
      </c>
      <c r="M49" s="4"/>
      <c r="N49" s="4"/>
      <c r="O49" s="4"/>
      <c r="P49" s="4"/>
      <c r="Q49" s="4"/>
      <c r="R49" s="4" t="s">
        <v>224</v>
      </c>
    </row>
    <row r="50" customFormat="false" ht="93" hidden="false" customHeight="true" outlineLevel="0" collapsed="false">
      <c r="A50" s="3" t="s">
        <v>225</v>
      </c>
      <c r="B50" s="4" t="s">
        <v>19</v>
      </c>
      <c r="C50" s="4" t="s">
        <v>226</v>
      </c>
      <c r="D50" s="4" t="n">
        <f aca="false">IFERROR(UPD26a!K14,"")</f>
        <v>0</v>
      </c>
      <c r="E50" s="4" t="s">
        <v>39</v>
      </c>
      <c r="F50" s="5"/>
      <c r="G50" s="5"/>
      <c r="H50" s="6" t="str">
        <f aca="false">IF(OR(F50="",NOT(ISNUMBER(D50))),"",IF(ABS(F50-D50)&lt;0.001,"Yes","No"))</f>
        <v/>
      </c>
      <c r="I50" s="7" t="n">
        <f aca="false">IF(ISNUMBER(F50),F50,D50)</f>
        <v>0</v>
      </c>
      <c r="J50" s="6" t="str">
        <f aca="false">IF(ISNUMBER(F50),"Expert (overrides AI)",IF(ISNUMBER(D50),"AI","Not scored yet"))</f>
        <v>AI</v>
      </c>
      <c r="K50" s="4" t="s">
        <v>22</v>
      </c>
      <c r="L50" s="4" t="s">
        <v>62</v>
      </c>
      <c r="M50" s="4"/>
      <c r="N50" s="4"/>
      <c r="O50" s="4"/>
      <c r="P50" s="4"/>
      <c r="Q50" s="4"/>
      <c r="R50" s="4" t="s">
        <v>227</v>
      </c>
    </row>
    <row r="51" customFormat="false" ht="93" hidden="false" customHeight="true" outlineLevel="0" collapsed="false">
      <c r="A51" s="3" t="s">
        <v>228</v>
      </c>
      <c r="B51" s="4" t="s">
        <v>19</v>
      </c>
      <c r="C51" s="4" t="s">
        <v>229</v>
      </c>
      <c r="D51" s="4" t="n">
        <f aca="false">IFERROR(UPD26b!K14,"")</f>
        <v>0</v>
      </c>
      <c r="E51" s="4" t="s">
        <v>39</v>
      </c>
      <c r="F51" s="5"/>
      <c r="G51" s="5"/>
      <c r="H51" s="6" t="str">
        <f aca="false">IF(OR(F51="",NOT(ISNUMBER(D51))),"",IF(ABS(F51-D51)&lt;0.001,"Yes","No"))</f>
        <v/>
      </c>
      <c r="I51" s="7" t="n">
        <f aca="false">IF(ISNUMBER(F51),F51,D51)</f>
        <v>0</v>
      </c>
      <c r="J51" s="6" t="str">
        <f aca="false">IF(ISNUMBER(F51),"Expert (overrides AI)",IF(ISNUMBER(D51),"AI","Not scored yet"))</f>
        <v>AI</v>
      </c>
      <c r="K51" s="4" t="s">
        <v>22</v>
      </c>
      <c r="L51" s="4" t="s">
        <v>62</v>
      </c>
      <c r="M51" s="4"/>
      <c r="N51" s="4"/>
      <c r="O51" s="4"/>
      <c r="P51" s="4"/>
      <c r="Q51" s="4"/>
      <c r="R51" s="4" t="s">
        <v>230</v>
      </c>
    </row>
    <row r="52" customFormat="false" ht="93" hidden="false" customHeight="true" outlineLevel="0" collapsed="false">
      <c r="A52" s="3" t="s">
        <v>231</v>
      </c>
      <c r="B52" s="4" t="s">
        <v>19</v>
      </c>
      <c r="C52" s="4" t="s">
        <v>232</v>
      </c>
      <c r="D52" s="4" t="n">
        <f aca="false">IFERROR(UPD26c!K14,"")</f>
        <v>0</v>
      </c>
      <c r="E52" s="4" t="s">
        <v>39</v>
      </c>
      <c r="F52" s="5"/>
      <c r="G52" s="5"/>
      <c r="H52" s="6" t="str">
        <f aca="false">IF(OR(F52="",NOT(ISNUMBER(D52))),"",IF(ABS(F52-D52)&lt;0.001,"Yes","No"))</f>
        <v/>
      </c>
      <c r="I52" s="7" t="n">
        <f aca="false">IF(ISNUMBER(F52),F52,D52)</f>
        <v>0</v>
      </c>
      <c r="J52" s="6" t="str">
        <f aca="false">IF(ISNUMBER(F52),"Expert (overrides AI)",IF(ISNUMBER(D52),"AI","Not scored yet"))</f>
        <v>AI</v>
      </c>
      <c r="K52" s="4" t="s">
        <v>22</v>
      </c>
      <c r="L52" s="4" t="s">
        <v>62</v>
      </c>
      <c r="M52" s="4"/>
      <c r="N52" s="4"/>
      <c r="O52" s="4"/>
      <c r="P52" s="4"/>
      <c r="Q52" s="4"/>
      <c r="R52" s="4" t="s">
        <v>233</v>
      </c>
    </row>
    <row r="53" customFormat="false" ht="93" hidden="false" customHeight="true" outlineLevel="0" collapsed="false">
      <c r="A53" s="3" t="s">
        <v>234</v>
      </c>
      <c r="B53" s="4" t="s">
        <v>19</v>
      </c>
      <c r="C53" s="4" t="s">
        <v>235</v>
      </c>
      <c r="D53" s="4" t="str">
        <f aca="false">IFERROR(UPD27a!S14,"")</f>
        <v/>
      </c>
      <c r="E53" s="4" t="s">
        <v>82</v>
      </c>
      <c r="F53" s="5"/>
      <c r="G53" s="5"/>
      <c r="H53" s="6" t="str">
        <f aca="false">IF(OR(F53="",NOT(ISNUMBER(D53))),"",IF(ABS(F53-D53)&lt;0.001,"Yes","No"))</f>
        <v/>
      </c>
      <c r="I53" s="7" t="str">
        <f aca="false">IF(ISNUMBER(F53),F53,D53)</f>
        <v/>
      </c>
      <c r="J53" s="6" t="str">
        <f aca="false">IF(ISNUMBER(F53),"Expert (overrides AI)",IF(ISNUMBER(D53),"AI","Not scored yet"))</f>
        <v>Not scored yet</v>
      </c>
      <c r="K53" s="4" t="s">
        <v>22</v>
      </c>
      <c r="L53" s="4" t="s">
        <v>62</v>
      </c>
      <c r="M53" s="4"/>
      <c r="N53" s="4"/>
      <c r="O53" s="4"/>
      <c r="P53" s="4"/>
      <c r="Q53" s="4"/>
      <c r="R53" s="4" t="s">
        <v>236</v>
      </c>
    </row>
    <row r="54" customFormat="false" ht="93" hidden="false" customHeight="true" outlineLevel="0" collapsed="false">
      <c r="A54" s="3" t="s">
        <v>237</v>
      </c>
      <c r="B54" s="4" t="s">
        <v>19</v>
      </c>
      <c r="C54" s="4" t="s">
        <v>238</v>
      </c>
      <c r="D54" s="4" t="str">
        <f aca="false">IFERROR(UPD27b!L14,"")</f>
        <v/>
      </c>
      <c r="E54" s="4" t="s">
        <v>82</v>
      </c>
      <c r="F54" s="5"/>
      <c r="G54" s="5"/>
      <c r="H54" s="6" t="str">
        <f aca="false">IF(OR(F54="",NOT(ISNUMBER(D54))),"",IF(ABS(F54-D54)&lt;0.001,"Yes","No"))</f>
        <v/>
      </c>
      <c r="I54" s="7" t="str">
        <f aca="false">IF(ISNUMBER(F54),F54,D54)</f>
        <v/>
      </c>
      <c r="J54" s="6" t="str">
        <f aca="false">IF(ISNUMBER(F54),"Expert (overrides AI)",IF(ISNUMBER(D54),"AI","Not scored yet"))</f>
        <v>Not scored yet</v>
      </c>
      <c r="K54" s="4" t="s">
        <v>22</v>
      </c>
      <c r="L54" s="4" t="s">
        <v>62</v>
      </c>
      <c r="M54" s="4"/>
      <c r="N54" s="4"/>
      <c r="O54" s="4"/>
      <c r="P54" s="4"/>
      <c r="Q54" s="4"/>
      <c r="R54" s="4" t="s">
        <v>239</v>
      </c>
    </row>
    <row r="55" customFormat="false" ht="93" hidden="false" customHeight="true" outlineLevel="0" collapsed="false">
      <c r="A55" s="3" t="s">
        <v>240</v>
      </c>
      <c r="B55" s="4" t="s">
        <v>19</v>
      </c>
      <c r="C55" s="4" t="s">
        <v>241</v>
      </c>
      <c r="D55" s="4" t="str">
        <f aca="false">IFERROR(UPD28a!K14,"")</f>
        <v/>
      </c>
      <c r="E55" s="4" t="s">
        <v>242</v>
      </c>
      <c r="F55" s="5"/>
      <c r="G55" s="5"/>
      <c r="H55" s="6" t="str">
        <f aca="false">IF(OR(F55="",NOT(ISNUMBER(D55))),"",IF(ABS(F55-D55)&lt;0.001,"Yes","No"))</f>
        <v/>
      </c>
      <c r="I55" s="7" t="str">
        <f aca="false">IF(ISNUMBER(F55),F55,D55)</f>
        <v/>
      </c>
      <c r="J55" s="6" t="str">
        <f aca="false">IF(ISNUMBER(F55),"Expert (overrides AI)",IF(ISNUMBER(D55),"AI","Not scored yet"))</f>
        <v>Not scored yet</v>
      </c>
      <c r="K55" s="4" t="s">
        <v>22</v>
      </c>
      <c r="L55" s="4" t="s">
        <v>62</v>
      </c>
      <c r="M55" s="4"/>
      <c r="N55" s="4"/>
      <c r="O55" s="4"/>
      <c r="P55" s="4"/>
      <c r="Q55" s="4"/>
      <c r="R55" s="4" t="s">
        <v>243</v>
      </c>
    </row>
    <row r="56" customFormat="false" ht="93" hidden="false" customHeight="true" outlineLevel="0" collapsed="false">
      <c r="A56" s="3" t="s">
        <v>244</v>
      </c>
      <c r="B56" s="4" t="s">
        <v>19</v>
      </c>
      <c r="C56" s="4" t="s">
        <v>245</v>
      </c>
      <c r="D56" s="4" t="str">
        <f aca="false">IFERROR(UPD28b!K14,"")</f>
        <v/>
      </c>
      <c r="E56" s="4" t="s">
        <v>242</v>
      </c>
      <c r="F56" s="5"/>
      <c r="G56" s="5"/>
      <c r="H56" s="6" t="str">
        <f aca="false">IF(OR(F56="",NOT(ISNUMBER(D56))),"",IF(ABS(F56-D56)&lt;0.001,"Yes","No"))</f>
        <v/>
      </c>
      <c r="I56" s="7" t="str">
        <f aca="false">IF(ISNUMBER(F56),F56,D56)</f>
        <v/>
      </c>
      <c r="J56" s="6" t="str">
        <f aca="false">IF(ISNUMBER(F56),"Expert (overrides AI)",IF(ISNUMBER(D56),"AI","Not scored yet"))</f>
        <v>Not scored yet</v>
      </c>
      <c r="K56" s="4" t="s">
        <v>22</v>
      </c>
      <c r="L56" s="4" t="s">
        <v>62</v>
      </c>
      <c r="M56" s="4"/>
      <c r="N56" s="4"/>
      <c r="O56" s="4"/>
      <c r="P56" s="4"/>
      <c r="Q56" s="4"/>
      <c r="R56" s="4" t="s">
        <v>246</v>
      </c>
    </row>
    <row r="57" customFormat="false" ht="93" hidden="false" customHeight="true" outlineLevel="0" collapsed="false">
      <c r="A57" s="3" t="s">
        <v>247</v>
      </c>
      <c r="B57" s="4" t="s">
        <v>19</v>
      </c>
      <c r="C57" s="4" t="s">
        <v>248</v>
      </c>
      <c r="D57" s="4" t="str">
        <f aca="false">IFERROR(UPD28c!K14,"")</f>
        <v/>
      </c>
      <c r="E57" s="4" t="s">
        <v>242</v>
      </c>
      <c r="F57" s="5"/>
      <c r="G57" s="5"/>
      <c r="H57" s="6" t="str">
        <f aca="false">IF(OR(F57="",NOT(ISNUMBER(D57))),"",IF(ABS(F57-D57)&lt;0.001,"Yes","No"))</f>
        <v/>
      </c>
      <c r="I57" s="7" t="str">
        <f aca="false">IF(ISNUMBER(F57),F57,D57)</f>
        <v/>
      </c>
      <c r="J57" s="6" t="str">
        <f aca="false">IF(ISNUMBER(F57),"Expert (overrides AI)",IF(ISNUMBER(D57),"AI","Not scored yet"))</f>
        <v>Not scored yet</v>
      </c>
      <c r="K57" s="4" t="s">
        <v>22</v>
      </c>
      <c r="L57" s="4" t="s">
        <v>62</v>
      </c>
      <c r="M57" s="4"/>
      <c r="N57" s="4"/>
      <c r="O57" s="4"/>
      <c r="P57" s="4"/>
      <c r="Q57" s="4"/>
      <c r="R57" s="4" t="s">
        <v>249</v>
      </c>
    </row>
    <row r="58" customFormat="false" ht="93" hidden="false" customHeight="true" outlineLevel="0" collapsed="false">
      <c r="A58" s="3" t="s">
        <v>250</v>
      </c>
      <c r="B58" s="4" t="s">
        <v>19</v>
      </c>
      <c r="C58" s="4" t="s">
        <v>251</v>
      </c>
      <c r="D58" s="4" t="str">
        <f aca="false">IFERROR(UPD28d!K14,"")</f>
        <v/>
      </c>
      <c r="E58" s="4" t="s">
        <v>242</v>
      </c>
      <c r="F58" s="5"/>
      <c r="G58" s="5"/>
      <c r="H58" s="6" t="str">
        <f aca="false">IF(OR(F58="",NOT(ISNUMBER(D58))),"",IF(ABS(F58-D58)&lt;0.001,"Yes","No"))</f>
        <v/>
      </c>
      <c r="I58" s="7" t="str">
        <f aca="false">IF(ISNUMBER(F58),F58,D58)</f>
        <v/>
      </c>
      <c r="J58" s="6" t="str">
        <f aca="false">IF(ISNUMBER(F58),"Expert (overrides AI)",IF(ISNUMBER(D58),"AI","Not scored yet"))</f>
        <v>Not scored yet</v>
      </c>
      <c r="K58" s="4" t="s">
        <v>22</v>
      </c>
      <c r="L58" s="4" t="s">
        <v>62</v>
      </c>
      <c r="M58" s="4"/>
      <c r="N58" s="4"/>
      <c r="O58" s="4"/>
      <c r="P58" s="4"/>
      <c r="Q58" s="4"/>
      <c r="R58" s="4" t="s">
        <v>252</v>
      </c>
    </row>
    <row r="59" customFormat="false" ht="93" hidden="false" customHeight="true" outlineLevel="0" collapsed="false">
      <c r="A59" s="3" t="s">
        <v>253</v>
      </c>
      <c r="B59" s="4" t="s">
        <v>19</v>
      </c>
      <c r="C59" s="4" t="s">
        <v>254</v>
      </c>
      <c r="D59" s="4" t="str">
        <f aca="false">IFERROR(UPD29a!O14,"")</f>
        <v/>
      </c>
      <c r="E59" s="4" t="s">
        <v>82</v>
      </c>
      <c r="F59" s="5"/>
      <c r="G59" s="5"/>
      <c r="H59" s="6" t="str">
        <f aca="false">IF(OR(F59="",NOT(ISNUMBER(D59))),"",IF(ABS(F59-D59)&lt;0.001,"Yes","No"))</f>
        <v/>
      </c>
      <c r="I59" s="7" t="str">
        <f aca="false">IF(ISNUMBER(F59),F59,D59)</f>
        <v/>
      </c>
      <c r="J59" s="6" t="str">
        <f aca="false">IF(ISNUMBER(F59),"Expert (overrides AI)",IF(ISNUMBER(D59),"AI","Not scored yet"))</f>
        <v>Not scored yet</v>
      </c>
      <c r="K59" s="4" t="s">
        <v>22</v>
      </c>
      <c r="L59" s="4" t="s">
        <v>23</v>
      </c>
      <c r="M59" s="4" t="s">
        <v>255</v>
      </c>
      <c r="N59" s="4" t="s">
        <v>41</v>
      </c>
      <c r="O59" s="4" t="s">
        <v>42</v>
      </c>
      <c r="P59" s="4" t="s">
        <v>256</v>
      </c>
      <c r="Q59" s="4" t="s">
        <v>257</v>
      </c>
      <c r="R59" s="4" t="s">
        <v>258</v>
      </c>
    </row>
    <row r="60" customFormat="false" ht="93" hidden="false" customHeight="true" outlineLevel="0" collapsed="false">
      <c r="A60" s="3" t="s">
        <v>259</v>
      </c>
      <c r="B60" s="4" t="s">
        <v>19</v>
      </c>
      <c r="C60" s="4" t="s">
        <v>260</v>
      </c>
      <c r="D60" s="4" t="str">
        <f aca="false">IFERROR(UPD29b!O14,"")</f>
        <v/>
      </c>
      <c r="E60" s="4" t="s">
        <v>82</v>
      </c>
      <c r="F60" s="5"/>
      <c r="G60" s="5"/>
      <c r="H60" s="6" t="str">
        <f aca="false">IF(OR(F60="",NOT(ISNUMBER(D60))),"",IF(ABS(F60-D60)&lt;0.001,"Yes","No"))</f>
        <v/>
      </c>
      <c r="I60" s="7" t="str">
        <f aca="false">IF(ISNUMBER(F60),F60,D60)</f>
        <v/>
      </c>
      <c r="J60" s="6" t="str">
        <f aca="false">IF(ISNUMBER(F60),"Expert (overrides AI)",IF(ISNUMBER(D60),"AI","Not scored yet"))</f>
        <v>Not scored yet</v>
      </c>
      <c r="K60" s="4" t="s">
        <v>22</v>
      </c>
      <c r="L60" s="4" t="s">
        <v>62</v>
      </c>
      <c r="M60" s="4"/>
      <c r="N60" s="4"/>
      <c r="O60" s="4"/>
      <c r="P60" s="4"/>
      <c r="Q60" s="4"/>
      <c r="R60" s="4" t="s">
        <v>261</v>
      </c>
    </row>
    <row r="61" customFormat="false" ht="93" hidden="false" customHeight="true" outlineLevel="0" collapsed="false">
      <c r="A61" s="3" t="s">
        <v>262</v>
      </c>
      <c r="B61" s="4" t="s">
        <v>19</v>
      </c>
      <c r="C61" s="4" t="s">
        <v>263</v>
      </c>
      <c r="D61" s="4" t="str">
        <f aca="false">IFERROR(UPD30a!K14,"")</f>
        <v/>
      </c>
      <c r="E61" s="4" t="s">
        <v>82</v>
      </c>
      <c r="F61" s="5"/>
      <c r="G61" s="5"/>
      <c r="H61" s="6" t="str">
        <f aca="false">IF(OR(F61="",NOT(ISNUMBER(D61))),"",IF(ABS(F61-D61)&lt;0.001,"Yes","No"))</f>
        <v/>
      </c>
      <c r="I61" s="7" t="str">
        <f aca="false">IF(ISNUMBER(F61),F61,D61)</f>
        <v/>
      </c>
      <c r="J61" s="6" t="str">
        <f aca="false">IF(ISNUMBER(F61),"Expert (overrides AI)",IF(ISNUMBER(D61),"AI","Not scored yet"))</f>
        <v>Not scored yet</v>
      </c>
      <c r="K61" s="4" t="s">
        <v>22</v>
      </c>
      <c r="L61" s="4" t="s">
        <v>23</v>
      </c>
      <c r="M61" s="4" t="s">
        <v>264</v>
      </c>
      <c r="N61" s="4" t="s">
        <v>41</v>
      </c>
      <c r="O61" s="4" t="s">
        <v>42</v>
      </c>
      <c r="P61" s="4" t="s">
        <v>265</v>
      </c>
      <c r="Q61" s="4" t="s">
        <v>266</v>
      </c>
      <c r="R61" s="4" t="s">
        <v>267</v>
      </c>
    </row>
    <row r="62" customFormat="false" ht="93" hidden="false" customHeight="true" outlineLevel="0" collapsed="false">
      <c r="A62" s="3" t="s">
        <v>268</v>
      </c>
      <c r="B62" s="4" t="s">
        <v>19</v>
      </c>
      <c r="C62" s="4" t="s">
        <v>269</v>
      </c>
      <c r="D62" s="4" t="str">
        <f aca="false">IFERROR(UPD30b!K14,"")</f>
        <v/>
      </c>
      <c r="E62" s="4" t="s">
        <v>82</v>
      </c>
      <c r="F62" s="5"/>
      <c r="G62" s="5"/>
      <c r="H62" s="6" t="str">
        <f aca="false">IF(OR(F62="",NOT(ISNUMBER(D62))),"",IF(ABS(F62-D62)&lt;0.001,"Yes","No"))</f>
        <v/>
      </c>
      <c r="I62" s="7" t="str">
        <f aca="false">IF(ISNUMBER(F62),F62,D62)</f>
        <v/>
      </c>
      <c r="J62" s="6" t="str">
        <f aca="false">IF(ISNUMBER(F62),"Expert (overrides AI)",IF(ISNUMBER(D62),"AI","Not scored yet"))</f>
        <v>Not scored yet</v>
      </c>
      <c r="K62" s="4" t="s">
        <v>22</v>
      </c>
      <c r="L62" s="4" t="s">
        <v>62</v>
      </c>
      <c r="M62" s="4"/>
      <c r="N62" s="4"/>
      <c r="O62" s="4"/>
      <c r="P62" s="4"/>
      <c r="Q62" s="4"/>
      <c r="R62" s="4" t="s">
        <v>270</v>
      </c>
    </row>
    <row r="63" customFormat="false" ht="93" hidden="false" customHeight="true" outlineLevel="0" collapsed="false">
      <c r="A63" s="3" t="s">
        <v>271</v>
      </c>
      <c r="B63" s="4" t="s">
        <v>19</v>
      </c>
      <c r="C63" s="4" t="s">
        <v>272</v>
      </c>
      <c r="D63" s="4" t="str">
        <f aca="false">IFERROR('UPD31'!L14,"")</f>
        <v/>
      </c>
      <c r="E63" s="4" t="s">
        <v>21</v>
      </c>
      <c r="F63" s="5"/>
      <c r="G63" s="5"/>
      <c r="H63" s="6" t="str">
        <f aca="false">IF(OR(F63="",NOT(ISNUMBER(D63))),"",IF(ABS(F63-D63)&lt;0.001,"Yes","No"))</f>
        <v/>
      </c>
      <c r="I63" s="7" t="str">
        <f aca="false">IF(ISNUMBER(F63),F63,D63)</f>
        <v/>
      </c>
      <c r="J63" s="6" t="str">
        <f aca="false">IF(ISNUMBER(F63),"Expert (overrides AI)",IF(ISNUMBER(D63),"AI","Not scored yet"))</f>
        <v>Not scored yet</v>
      </c>
      <c r="K63" s="4" t="s">
        <v>22</v>
      </c>
      <c r="L63" s="4" t="s">
        <v>23</v>
      </c>
      <c r="M63" s="4" t="s">
        <v>273</v>
      </c>
      <c r="N63" s="4" t="s">
        <v>41</v>
      </c>
      <c r="O63" s="4" t="s">
        <v>42</v>
      </c>
      <c r="P63" s="4" t="s">
        <v>274</v>
      </c>
      <c r="Q63" s="4" t="s">
        <v>275</v>
      </c>
      <c r="R63" s="4" t="s">
        <v>54</v>
      </c>
    </row>
    <row r="64" customFormat="false" ht="93" hidden="false" customHeight="true" outlineLevel="0" collapsed="false">
      <c r="A64" s="3" t="s">
        <v>276</v>
      </c>
      <c r="B64" s="4" t="s">
        <v>19</v>
      </c>
      <c r="C64" s="4" t="s">
        <v>277</v>
      </c>
      <c r="D64" s="4" t="n">
        <f aca="false">IFERROR(UPD32a!K14,"")</f>
        <v>0</v>
      </c>
      <c r="E64" s="4" t="s">
        <v>278</v>
      </c>
      <c r="F64" s="5"/>
      <c r="G64" s="5"/>
      <c r="H64" s="6" t="str">
        <f aca="false">IF(OR(F64="",NOT(ISNUMBER(D64))),"",IF(ABS(F64-D64)&lt;0.001,"Yes","No"))</f>
        <v/>
      </c>
      <c r="I64" s="7" t="n">
        <f aca="false">IF(ISNUMBER(F64),F64,D64)</f>
        <v>0</v>
      </c>
      <c r="J64" s="6" t="str">
        <f aca="false">IF(ISNUMBER(F64),"Expert (overrides AI)",IF(ISNUMBER(D64),"AI","Not scored yet"))</f>
        <v>AI</v>
      </c>
      <c r="K64" s="4" t="s">
        <v>22</v>
      </c>
      <c r="L64" s="4" t="s">
        <v>62</v>
      </c>
      <c r="M64" s="4"/>
      <c r="N64" s="4"/>
      <c r="O64" s="4"/>
      <c r="P64" s="4"/>
      <c r="Q64" s="4"/>
      <c r="R64" s="4" t="s">
        <v>279</v>
      </c>
    </row>
    <row r="65" customFormat="false" ht="93" hidden="false" customHeight="true" outlineLevel="0" collapsed="false">
      <c r="A65" s="3" t="s">
        <v>280</v>
      </c>
      <c r="B65" s="4" t="s">
        <v>19</v>
      </c>
      <c r="C65" s="4" t="s">
        <v>281</v>
      </c>
      <c r="D65" s="4" t="n">
        <f aca="false">IFERROR(UPD32b!L14,"")</f>
        <v>0</v>
      </c>
      <c r="E65" s="4" t="s">
        <v>278</v>
      </c>
      <c r="F65" s="5"/>
      <c r="G65" s="5"/>
      <c r="H65" s="6" t="str">
        <f aca="false">IF(OR(F65="",NOT(ISNUMBER(D65))),"",IF(ABS(F65-D65)&lt;0.001,"Yes","No"))</f>
        <v/>
      </c>
      <c r="I65" s="7" t="n">
        <f aca="false">IF(ISNUMBER(F65),F65,D65)</f>
        <v>0</v>
      </c>
      <c r="J65" s="6" t="str">
        <f aca="false">IF(ISNUMBER(F65),"Expert (overrides AI)",IF(ISNUMBER(D65),"AI","Not scored yet"))</f>
        <v>AI</v>
      </c>
      <c r="K65" s="4" t="s">
        <v>22</v>
      </c>
      <c r="L65" s="4" t="s">
        <v>62</v>
      </c>
      <c r="M65" s="4"/>
      <c r="N65" s="4"/>
      <c r="O65" s="4"/>
      <c r="P65" s="4"/>
      <c r="Q65" s="4"/>
      <c r="R65" s="4" t="s">
        <v>282</v>
      </c>
    </row>
    <row r="66" customFormat="false" ht="93" hidden="false" customHeight="true" outlineLevel="0" collapsed="false">
      <c r="A66" s="3" t="s">
        <v>283</v>
      </c>
      <c r="B66" s="4" t="s">
        <v>19</v>
      </c>
      <c r="C66" s="4" t="s">
        <v>284</v>
      </c>
      <c r="D66" s="4" t="n">
        <f aca="false">IFERROR(UPD32c!L14,"")</f>
        <v>0</v>
      </c>
      <c r="E66" s="4" t="s">
        <v>278</v>
      </c>
      <c r="F66" s="5"/>
      <c r="G66" s="5"/>
      <c r="H66" s="6" t="str">
        <f aca="false">IF(OR(F66="",NOT(ISNUMBER(D66))),"",IF(ABS(F66-D66)&lt;0.001,"Yes","No"))</f>
        <v/>
      </c>
      <c r="I66" s="7" t="n">
        <f aca="false">IF(ISNUMBER(F66),F66,D66)</f>
        <v>0</v>
      </c>
      <c r="J66" s="6" t="str">
        <f aca="false">IF(ISNUMBER(F66),"Expert (overrides AI)",IF(ISNUMBER(D66),"AI","Not scored yet"))</f>
        <v>AI</v>
      </c>
      <c r="K66" s="4" t="s">
        <v>22</v>
      </c>
      <c r="L66" s="4" t="s">
        <v>23</v>
      </c>
      <c r="M66" s="4" t="s">
        <v>285</v>
      </c>
      <c r="N66" s="4" t="s">
        <v>41</v>
      </c>
      <c r="O66" s="4" t="s">
        <v>42</v>
      </c>
      <c r="P66" s="4" t="s">
        <v>286</v>
      </c>
      <c r="Q66" s="4" t="s">
        <v>287</v>
      </c>
      <c r="R66" s="4" t="s">
        <v>288</v>
      </c>
    </row>
    <row r="67" customFormat="false" ht="93" hidden="false" customHeight="true" outlineLevel="0" collapsed="false">
      <c r="A67" s="3" t="s">
        <v>289</v>
      </c>
      <c r="B67" s="4" t="s">
        <v>19</v>
      </c>
      <c r="C67" s="4" t="s">
        <v>290</v>
      </c>
      <c r="D67" s="4" t="n">
        <f aca="false">IFERROR(UPD32d!L14,"")</f>
        <v>0</v>
      </c>
      <c r="E67" s="4" t="s">
        <v>278</v>
      </c>
      <c r="F67" s="5"/>
      <c r="G67" s="5"/>
      <c r="H67" s="6" t="str">
        <f aca="false">IF(OR(F67="",NOT(ISNUMBER(D67))),"",IF(ABS(F67-D67)&lt;0.001,"Yes","No"))</f>
        <v/>
      </c>
      <c r="I67" s="7" t="n">
        <f aca="false">IF(ISNUMBER(F67),F67,D67)</f>
        <v>0</v>
      </c>
      <c r="J67" s="6" t="str">
        <f aca="false">IF(ISNUMBER(F67),"Expert (overrides AI)",IF(ISNUMBER(D67),"AI","Not scored yet"))</f>
        <v>AI</v>
      </c>
      <c r="K67" s="4" t="s">
        <v>22</v>
      </c>
      <c r="L67" s="4" t="s">
        <v>62</v>
      </c>
      <c r="M67" s="4"/>
      <c r="N67" s="4"/>
      <c r="O67" s="4"/>
      <c r="P67" s="4"/>
      <c r="Q67" s="4"/>
      <c r="R67" s="4" t="s">
        <v>291</v>
      </c>
    </row>
    <row r="68" customFormat="false" ht="93" hidden="false" customHeight="true" outlineLevel="0" collapsed="false">
      <c r="A68" s="3" t="s">
        <v>292</v>
      </c>
      <c r="B68" s="4" t="s">
        <v>19</v>
      </c>
      <c r="C68" s="4" t="s">
        <v>293</v>
      </c>
      <c r="D68" s="4" t="n">
        <f aca="false">IFERROR(UPD32e!L14,"")</f>
        <v>0</v>
      </c>
      <c r="E68" s="4" t="s">
        <v>278</v>
      </c>
      <c r="F68" s="5"/>
      <c r="G68" s="5"/>
      <c r="H68" s="6" t="str">
        <f aca="false">IF(OR(F68="",NOT(ISNUMBER(D68))),"",IF(ABS(F68-D68)&lt;0.001,"Yes","No"))</f>
        <v/>
      </c>
      <c r="I68" s="7" t="n">
        <f aca="false">IF(ISNUMBER(F68),F68,D68)</f>
        <v>0</v>
      </c>
      <c r="J68" s="6" t="str">
        <f aca="false">IF(ISNUMBER(F68),"Expert (overrides AI)",IF(ISNUMBER(D68),"AI","Not scored yet"))</f>
        <v>AI</v>
      </c>
      <c r="K68" s="4" t="s">
        <v>22</v>
      </c>
      <c r="L68" s="4" t="s">
        <v>23</v>
      </c>
      <c r="M68" s="4" t="s">
        <v>294</v>
      </c>
      <c r="N68" s="4" t="s">
        <v>41</v>
      </c>
      <c r="O68" s="4" t="s">
        <v>42</v>
      </c>
      <c r="P68" s="4" t="s">
        <v>295</v>
      </c>
      <c r="Q68" s="4" t="s">
        <v>296</v>
      </c>
      <c r="R68" s="4" t="s">
        <v>288</v>
      </c>
    </row>
    <row r="69" customFormat="false" ht="93" hidden="false" customHeight="true" outlineLevel="0" collapsed="false">
      <c r="A69" s="3" t="s">
        <v>297</v>
      </c>
      <c r="B69" s="4" t="s">
        <v>19</v>
      </c>
      <c r="C69" s="4" t="s">
        <v>298</v>
      </c>
      <c r="D69" s="4" t="str">
        <f aca="false">IFERROR(UPD33a!K14,"")</f>
        <v/>
      </c>
      <c r="E69" s="4" t="s">
        <v>82</v>
      </c>
      <c r="F69" s="5"/>
      <c r="G69" s="5"/>
      <c r="H69" s="6" t="str">
        <f aca="false">IF(OR(F69="",NOT(ISNUMBER(D69))),"",IF(ABS(F69-D69)&lt;0.001,"Yes","No"))</f>
        <v/>
      </c>
      <c r="I69" s="7" t="str">
        <f aca="false">IF(ISNUMBER(F69),F69,D69)</f>
        <v/>
      </c>
      <c r="J69" s="6" t="str">
        <f aca="false">IF(ISNUMBER(F69),"Expert (overrides AI)",IF(ISNUMBER(D69),"AI","Not scored yet"))</f>
        <v>Not scored yet</v>
      </c>
      <c r="K69" s="4" t="s">
        <v>22</v>
      </c>
      <c r="L69" s="4" t="s">
        <v>23</v>
      </c>
      <c r="M69" s="4" t="s">
        <v>299</v>
      </c>
      <c r="N69" s="4" t="s">
        <v>41</v>
      </c>
      <c r="O69" s="4" t="s">
        <v>42</v>
      </c>
      <c r="P69" s="4" t="s">
        <v>300</v>
      </c>
      <c r="Q69" s="4" t="s">
        <v>301</v>
      </c>
      <c r="R69" s="4" t="s">
        <v>54</v>
      </c>
    </row>
    <row r="70" customFormat="false" ht="93" hidden="false" customHeight="true" outlineLevel="0" collapsed="false">
      <c r="A70" s="3" t="s">
        <v>302</v>
      </c>
      <c r="B70" s="4" t="s">
        <v>19</v>
      </c>
      <c r="C70" s="4" t="s">
        <v>303</v>
      </c>
      <c r="D70" s="4" t="str">
        <f aca="false">IFERROR(UPD33b!K14,"")</f>
        <v/>
      </c>
      <c r="E70" s="4" t="s">
        <v>82</v>
      </c>
      <c r="F70" s="5"/>
      <c r="G70" s="5"/>
      <c r="H70" s="6" t="str">
        <f aca="false">IF(OR(F70="",NOT(ISNUMBER(D70))),"",IF(ABS(F70-D70)&lt;0.001,"Yes","No"))</f>
        <v/>
      </c>
      <c r="I70" s="7" t="str">
        <f aca="false">IF(ISNUMBER(F70),F70,D70)</f>
        <v/>
      </c>
      <c r="J70" s="6" t="str">
        <f aca="false">IF(ISNUMBER(F70),"Expert (overrides AI)",IF(ISNUMBER(D70),"AI","Not scored yet"))</f>
        <v>Not scored yet</v>
      </c>
      <c r="K70" s="4" t="s">
        <v>22</v>
      </c>
      <c r="L70" s="4" t="s">
        <v>62</v>
      </c>
      <c r="M70" s="4"/>
      <c r="N70" s="4"/>
      <c r="O70" s="4"/>
      <c r="P70" s="4"/>
      <c r="Q70" s="4"/>
      <c r="R70" s="4" t="s">
        <v>304</v>
      </c>
    </row>
    <row r="71" customFormat="false" ht="93" hidden="false" customHeight="true" outlineLevel="0" collapsed="false">
      <c r="A71" s="3" t="s">
        <v>305</v>
      </c>
      <c r="B71" s="4" t="s">
        <v>19</v>
      </c>
      <c r="C71" s="4" t="s">
        <v>306</v>
      </c>
      <c r="D71" s="4" t="str">
        <f aca="false">IFERROR('UPD34'!L14,"")</f>
        <v/>
      </c>
      <c r="E71" s="4" t="s">
        <v>21</v>
      </c>
      <c r="F71" s="5"/>
      <c r="G71" s="5"/>
      <c r="H71" s="6" t="str">
        <f aca="false">IF(OR(F71="",NOT(ISNUMBER(D71))),"",IF(ABS(F71-D71)&lt;0.001,"Yes","No"))</f>
        <v/>
      </c>
      <c r="I71" s="7" t="str">
        <f aca="false">IF(ISNUMBER(F71),F71,D71)</f>
        <v/>
      </c>
      <c r="J71" s="6" t="str">
        <f aca="false">IF(ISNUMBER(F71),"Expert (overrides AI)",IF(ISNUMBER(D71),"AI","Not scored yet"))</f>
        <v>Not scored yet</v>
      </c>
      <c r="K71" s="4" t="s">
        <v>22</v>
      </c>
      <c r="L71" s="4" t="s">
        <v>62</v>
      </c>
      <c r="M71" s="4"/>
      <c r="N71" s="4"/>
      <c r="O71" s="4"/>
      <c r="P71" s="4"/>
      <c r="Q71" s="4"/>
      <c r="R71" s="4" t="s">
        <v>307</v>
      </c>
    </row>
    <row r="72" customFormat="false" ht="93" hidden="false" customHeight="true" outlineLevel="0" collapsed="false">
      <c r="A72" s="3" t="s">
        <v>308</v>
      </c>
      <c r="B72" s="4" t="s">
        <v>19</v>
      </c>
      <c r="C72" s="4" t="s">
        <v>309</v>
      </c>
      <c r="D72" s="4" t="str">
        <f aca="false">IFERROR('UPD35'!M14,"")</f>
        <v/>
      </c>
      <c r="E72" s="4" t="s">
        <v>21</v>
      </c>
      <c r="F72" s="5"/>
      <c r="G72" s="5"/>
      <c r="H72" s="6" t="str">
        <f aca="false">IF(OR(F72="",NOT(ISNUMBER(D72))),"",IF(ABS(F72-D72)&lt;0.001,"Yes","No"))</f>
        <v/>
      </c>
      <c r="I72" s="7" t="str">
        <f aca="false">IF(ISNUMBER(F72),F72,D72)</f>
        <v/>
      </c>
      <c r="J72" s="6" t="str">
        <f aca="false">IF(ISNUMBER(F72),"Expert (overrides AI)",IF(ISNUMBER(D72),"AI","Not scored yet"))</f>
        <v>Not scored yet</v>
      </c>
      <c r="K72" s="4" t="s">
        <v>22</v>
      </c>
      <c r="L72" s="4" t="s">
        <v>23</v>
      </c>
      <c r="M72" s="4" t="s">
        <v>310</v>
      </c>
      <c r="N72" s="4"/>
      <c r="O72" s="4"/>
      <c r="P72" s="4"/>
      <c r="Q72" s="4" t="s">
        <v>311</v>
      </c>
      <c r="R72" s="4" t="s">
        <v>312</v>
      </c>
    </row>
    <row r="73" customFormat="false" ht="93" hidden="false" customHeight="true" outlineLevel="0" collapsed="false">
      <c r="A73" s="3" t="s">
        <v>313</v>
      </c>
      <c r="B73" s="4" t="s">
        <v>19</v>
      </c>
      <c r="C73" s="4" t="s">
        <v>314</v>
      </c>
      <c r="D73" s="4" t="str">
        <f aca="false">IFERROR('UPD36'!K14,"")</f>
        <v/>
      </c>
      <c r="E73" s="4" t="s">
        <v>21</v>
      </c>
      <c r="F73" s="5"/>
      <c r="G73" s="5"/>
      <c r="H73" s="6" t="str">
        <f aca="false">IF(OR(F73="",NOT(ISNUMBER(D73))),"",IF(ABS(F73-D73)&lt;0.001,"Yes","No"))</f>
        <v/>
      </c>
      <c r="I73" s="7" t="str">
        <f aca="false">IF(ISNUMBER(F73),F73,D73)</f>
        <v/>
      </c>
      <c r="J73" s="6" t="str">
        <f aca="false">IF(ISNUMBER(F73),"Expert (overrides AI)",IF(ISNUMBER(D73),"AI","Not scored yet"))</f>
        <v>Not scored yet</v>
      </c>
      <c r="K73" s="4" t="s">
        <v>22</v>
      </c>
      <c r="L73" s="4" t="s">
        <v>62</v>
      </c>
      <c r="M73" s="4"/>
      <c r="N73" s="4"/>
      <c r="O73" s="4"/>
      <c r="P73" s="4"/>
      <c r="Q73" s="4"/>
      <c r="R73" s="4" t="s">
        <v>315</v>
      </c>
    </row>
    <row r="74" customFormat="false" ht="93" hidden="false" customHeight="true" outlineLevel="0" collapsed="false">
      <c r="A74" s="3" t="s">
        <v>316</v>
      </c>
      <c r="B74" s="4" t="s">
        <v>19</v>
      </c>
      <c r="C74" s="4" t="s">
        <v>317</v>
      </c>
      <c r="D74" s="4" t="str">
        <f aca="false">IFERROR('UPD37'!N14,"")</f>
        <v/>
      </c>
      <c r="E74" s="4" t="s">
        <v>21</v>
      </c>
      <c r="F74" s="5"/>
      <c r="G74" s="5"/>
      <c r="H74" s="6" t="str">
        <f aca="false">IF(OR(F74="",NOT(ISNUMBER(D74))),"",IF(ABS(F74-D74)&lt;0.001,"Yes","No"))</f>
        <v/>
      </c>
      <c r="I74" s="7" t="str">
        <f aca="false">IF(ISNUMBER(F74),F74,D74)</f>
        <v/>
      </c>
      <c r="J74" s="6" t="str">
        <f aca="false">IF(ISNUMBER(F74),"Expert (overrides AI)",IF(ISNUMBER(D74),"AI","Not scored yet"))</f>
        <v>Not scored yet</v>
      </c>
      <c r="K74" s="4" t="s">
        <v>22</v>
      </c>
      <c r="L74" s="4" t="s">
        <v>23</v>
      </c>
      <c r="M74" s="4" t="s">
        <v>318</v>
      </c>
      <c r="N74" s="4" t="s">
        <v>41</v>
      </c>
      <c r="O74" s="4" t="s">
        <v>42</v>
      </c>
      <c r="P74" s="4" t="s">
        <v>319</v>
      </c>
      <c r="Q74" s="4" t="s">
        <v>320</v>
      </c>
      <c r="R74" s="4" t="s">
        <v>321</v>
      </c>
    </row>
    <row r="75" customFormat="false" ht="93" hidden="false" customHeight="true" outlineLevel="0" collapsed="false">
      <c r="A75" s="3" t="s">
        <v>322</v>
      </c>
      <c r="B75" s="4" t="s">
        <v>19</v>
      </c>
      <c r="C75" s="4" t="s">
        <v>323</v>
      </c>
      <c r="D75" s="8" t="n">
        <f aca="false">IFERROR(UPD38a!M14,"")</f>
        <v>5</v>
      </c>
      <c r="E75" s="4" t="s">
        <v>82</v>
      </c>
      <c r="F75" s="5"/>
      <c r="G75" s="5"/>
      <c r="H75" s="6" t="str">
        <f aca="false">IF(OR(F75="",NOT(ISNUMBER(D75))),"",IF(ABS(F75-D75)&lt;0.001,"Yes","No"))</f>
        <v/>
      </c>
      <c r="I75" s="9" t="n">
        <f aca="false">IF(ISNUMBER(F75),F75,D75)</f>
        <v>5</v>
      </c>
      <c r="J75" s="6" t="str">
        <f aca="false">IF(ISNUMBER(F75),"Expert (overrides AI)",IF(ISNUMBER(D75),"AI","Not scored yet"))</f>
        <v>AI</v>
      </c>
      <c r="K75" s="4" t="s">
        <v>32</v>
      </c>
      <c r="L75" s="4" t="s">
        <v>33</v>
      </c>
      <c r="M75" s="4" t="s">
        <v>324</v>
      </c>
      <c r="N75" s="4" t="s">
        <v>41</v>
      </c>
      <c r="O75" s="4" t="s">
        <v>42</v>
      </c>
      <c r="P75" s="4" t="s">
        <v>325</v>
      </c>
      <c r="Q75" s="4" t="s">
        <v>326</v>
      </c>
      <c r="R75" s="4"/>
    </row>
    <row r="76" customFormat="false" ht="93" hidden="false" customHeight="true" outlineLevel="0" collapsed="false">
      <c r="A76" s="3" t="s">
        <v>327</v>
      </c>
      <c r="B76" s="4" t="s">
        <v>19</v>
      </c>
      <c r="C76" s="4" t="s">
        <v>328</v>
      </c>
      <c r="D76" s="4" t="str">
        <f aca="false">IFERROR(UPD38b!M14,"")</f>
        <v/>
      </c>
      <c r="E76" s="4" t="s">
        <v>82</v>
      </c>
      <c r="F76" s="5"/>
      <c r="G76" s="5"/>
      <c r="H76" s="6" t="str">
        <f aca="false">IF(OR(F76="",NOT(ISNUMBER(D76))),"",IF(ABS(F76-D76)&lt;0.001,"Yes","No"))</f>
        <v/>
      </c>
      <c r="I76" s="7" t="str">
        <f aca="false">IF(ISNUMBER(F76),F76,D76)</f>
        <v/>
      </c>
      <c r="J76" s="6" t="str">
        <f aca="false">IF(ISNUMBER(F76),"Expert (overrides AI)",IF(ISNUMBER(D76),"AI","Not scored yet"))</f>
        <v>Not scored yet</v>
      </c>
      <c r="K76" s="4" t="s">
        <v>22</v>
      </c>
      <c r="L76" s="4" t="s">
        <v>62</v>
      </c>
      <c r="M76" s="4"/>
      <c r="N76" s="4"/>
      <c r="O76" s="4"/>
      <c r="P76" s="4"/>
      <c r="Q76" s="4"/>
      <c r="R76" s="4" t="s">
        <v>329</v>
      </c>
    </row>
    <row r="77" customFormat="false" ht="93" hidden="false" customHeight="true" outlineLevel="0" collapsed="false">
      <c r="A77" s="3" t="s">
        <v>330</v>
      </c>
      <c r="B77" s="4" t="s">
        <v>19</v>
      </c>
      <c r="C77" s="4" t="s">
        <v>331</v>
      </c>
      <c r="D77" s="4" t="str">
        <f aca="false">IFERROR('UPD39'!K14,"")</f>
        <v/>
      </c>
      <c r="E77" s="4" t="s">
        <v>21</v>
      </c>
      <c r="F77" s="5"/>
      <c r="G77" s="5"/>
      <c r="H77" s="6" t="str">
        <f aca="false">IF(OR(F77="",NOT(ISNUMBER(D77))),"",IF(ABS(F77-D77)&lt;0.001,"Yes","No"))</f>
        <v/>
      </c>
      <c r="I77" s="7" t="str">
        <f aca="false">IF(ISNUMBER(F77),F77,D77)</f>
        <v/>
      </c>
      <c r="J77" s="6" t="str">
        <f aca="false">IF(ISNUMBER(F77),"Expert (overrides AI)",IF(ISNUMBER(D77),"AI","Not scored yet"))</f>
        <v>Not scored yet</v>
      </c>
      <c r="K77" s="4" t="s">
        <v>22</v>
      </c>
      <c r="L77" s="4" t="s">
        <v>23</v>
      </c>
      <c r="M77" s="4" t="s">
        <v>332</v>
      </c>
      <c r="N77" s="4" t="s">
        <v>25</v>
      </c>
      <c r="O77" s="4" t="s">
        <v>26</v>
      </c>
      <c r="P77" s="4" t="s">
        <v>333</v>
      </c>
      <c r="Q77" s="4" t="s">
        <v>334</v>
      </c>
      <c r="R77" s="4" t="s">
        <v>335</v>
      </c>
    </row>
  </sheetData>
  <autoFilter ref="A1:R77"/>
  <conditionalFormatting sqref="I2:J77">
    <cfRule type="expression" priority="2" aboveAverage="0" equalAverage="0" bottom="0" percent="0" rank="0" text="" dxfId="7">
      <formula>$J2="Expert (overrides AI)"</formula>
    </cfRule>
  </conditionalFormatting>
  <conditionalFormatting sqref="K2:K77">
    <cfRule type="expression" priority="3" aboveAverage="0" equalAverage="0" bottom="0" percent="0" rank="0" text="" dxfId="8">
      <formula>$K2="Left for a person"</formula>
    </cfRule>
  </conditionalFormatting>
  <conditionalFormatting sqref="H2:H77">
    <cfRule type="expression" priority="4" aboveAverage="0" equalAverage="0" bottom="0" percent="0" rank="0" text="" dxfId="9">
      <formula>$H2="No"</formula>
    </cfRule>
  </conditionalFormatting>
  <hyperlinks>
    <hyperlink ref="A2" location="'UPD1'!A1" display="UPD1"/>
    <hyperlink ref="A3" location="'UPD2'!A1" display="UPD2"/>
    <hyperlink ref="A4" location="'UPD3a'!A1" display="UPD3a"/>
    <hyperlink ref="A5" location="'UPD3b'!A1" display="UPD3b"/>
    <hyperlink ref="A6" location="'UPD3c'!A1" display="UPD3c"/>
    <hyperlink ref="A7" location="'UPD4'!A1" display="UPD4"/>
    <hyperlink ref="A8" location="'UPD5a'!A1" display="UPD5a"/>
    <hyperlink ref="A9" location="'UPD5b'!A1" display="UPD5b"/>
    <hyperlink ref="A10" location="'UPD5c'!A1" display="UPD5c"/>
    <hyperlink ref="A11" location="'UPD6'!A1" display="UPD6"/>
    <hyperlink ref="A12" location="'UPD7a'!A1" display="UPD7a"/>
    <hyperlink ref="A13" location="'UPD7b'!A1" display="UPD7b"/>
    <hyperlink ref="A14" location="'UPD8'!A1" display="UPD8"/>
    <hyperlink ref="A15" location="'UPD9'!A1" display="UPD9"/>
    <hyperlink ref="A16" location="'UPD10'!A1" display="UPD10"/>
    <hyperlink ref="A17" location="'UPD11a'!A1" display="UPD11a"/>
    <hyperlink ref="A18" location="'UPD11b'!A1" display="UPD11b"/>
    <hyperlink ref="A19" location="'UPD12'!A1" display="UPD12"/>
    <hyperlink ref="A20" location="'UPD13a'!A1" display="UPD13a"/>
    <hyperlink ref="A21" location="'UPD13b'!A1" display="UPD13b"/>
    <hyperlink ref="A22" location="'UPD13c'!A1" display="UPD13c"/>
    <hyperlink ref="A23" location="'UPD13d'!A1" display="UPD13d"/>
    <hyperlink ref="A24" location="'UPD13e'!A1" display="UPD13e"/>
    <hyperlink ref="A25" location="'UPD13f'!A1" display="UPD13f"/>
    <hyperlink ref="A26" location="'UPD14a'!A1" display="UPD14a"/>
    <hyperlink ref="A27" location="'UPD14b'!A1" display="UPD14b"/>
    <hyperlink ref="A28" location="'UPD14c'!A1" display="UPD14c"/>
    <hyperlink ref="A29" location="'UPD15'!A1" display="UPD15"/>
    <hyperlink ref="A30" location="'UPD16a'!A1" display="UPD16a"/>
    <hyperlink ref="A31" location="'UPD16b'!A1" display="UPD16b"/>
    <hyperlink ref="A32" location="'UPD17'!A1" display="UPD17"/>
    <hyperlink ref="A33" location="'UPD18'!A1" display="UPD18"/>
    <hyperlink ref="A34" location="'UPD19a'!A1" display="UPD19a"/>
    <hyperlink ref="A35" location="'UPD19b'!A1" display="UPD19b"/>
    <hyperlink ref="A36" location="'UPD20a'!A1" display="UPD20a"/>
    <hyperlink ref="A37" location="'UPD20b'!A1" display="UPD20b"/>
    <hyperlink ref="A38" location="'UPD20c'!A1" display="UPD20c"/>
    <hyperlink ref="A39" location="'UPD21'!A1" display="UPD21"/>
    <hyperlink ref="A40" location="'UPD22'!A1" display="UPD22"/>
    <hyperlink ref="A41" location="'UPD23a'!A1" display="UPD23a"/>
    <hyperlink ref="A42" location="'UPD23b'!A1" display="UPD23b"/>
    <hyperlink ref="A43" location="'UPD23c'!A1" display="UPD23c"/>
    <hyperlink ref="A44" location="'UPD24a'!A1" display="UPD24a"/>
    <hyperlink ref="A45" location="'UPD24b'!A1" display="UPD24b"/>
    <hyperlink ref="A46" location="'UPD24c'!A1" display="UPD24c"/>
    <hyperlink ref="A47" location="'UPD25a'!A1" display="UPD25a"/>
    <hyperlink ref="A48" location="'UPD25b'!A1" display="UPD25b"/>
    <hyperlink ref="A49" location="'UPD25c'!A1" display="UPD25c"/>
    <hyperlink ref="A50" location="'UPD26a'!A1" display="UPD26a"/>
    <hyperlink ref="A51" location="'UPD26b'!A1" display="UPD26b"/>
    <hyperlink ref="A52" location="'UPD26c'!A1" display="UPD26c"/>
    <hyperlink ref="A53" location="'UPD27a'!A1" display="UPD27a"/>
    <hyperlink ref="A54" location="'UPD27b'!A1" display="UPD27b"/>
    <hyperlink ref="A55" location="'UPD28a'!A1" display="UPD28a"/>
    <hyperlink ref="A56" location="'UPD28b'!A1" display="UPD28b"/>
    <hyperlink ref="A57" location="'UPD28c'!A1" display="UPD28c"/>
    <hyperlink ref="A58" location="'UPD28d'!A1" display="UPD28d"/>
    <hyperlink ref="A59" location="'UPD29a'!A1" display="UPD29a"/>
    <hyperlink ref="A60" location="'UPD29b'!A1" display="UPD29b"/>
    <hyperlink ref="A61" location="'UPD30a'!A1" display="UPD30a"/>
    <hyperlink ref="A62" location="'UPD30b'!A1" display="UPD30b"/>
    <hyperlink ref="A63" location="'UPD31'!A1" display="UPD31"/>
    <hyperlink ref="A64" location="'UPD32a'!A1" display="UPD32a"/>
    <hyperlink ref="A65" location="'UPD32b'!A1" display="UPD32b"/>
    <hyperlink ref="A66" location="'UPD32c'!A1" display="UPD32c"/>
    <hyperlink ref="A67" location="'UPD32d'!A1" display="UPD32d"/>
    <hyperlink ref="A68" location="'UPD32e'!A1" display="UPD32e"/>
    <hyperlink ref="A69" location="'UPD33a'!A1" display="UPD33a"/>
    <hyperlink ref="A70" location="'UPD33b'!A1" display="UPD33b"/>
    <hyperlink ref="A71" location="'UPD34'!A1" display="UPD34"/>
    <hyperlink ref="A72" location="'UPD35'!A1" display="UPD35"/>
    <hyperlink ref="A73" location="'UPD36'!A1" display="UPD36"/>
    <hyperlink ref="A74" location="'UPD37'!A1" display="UPD37"/>
    <hyperlink ref="A75" location="'UPD38a'!A1" display="UPD38a"/>
    <hyperlink ref="A76" location="'UPD38b'!A1" display="UPD38b"/>
    <hyperlink ref="A77" location="'UPD39'!A1" display="UPD39"/>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76"/>
  <sheetViews>
    <sheetView showFormulas="false" showGridLines="true" showRowColHeaders="true" showZeros="true" rightToLeft="false" tabSelected="false" showOutlineSymbols="true" defaultGridColor="true" view="normal" topLeftCell="G2" colorId="64" zoomScale="62" zoomScaleNormal="62" zoomScalePageLayoutView="100" workbookViewId="0">
      <selection pane="topLeft" activeCell="M5" activeCellId="0" sqref="M5"/>
    </sheetView>
  </sheetViews>
  <sheetFormatPr defaultColWidth="9.1484375" defaultRowHeight="13.5" customHeight="false" zeroHeight="false" outlineLevelRow="0" outlineLevelCol="0"/>
  <cols>
    <col collapsed="false" customWidth="false" hidden="false" outlineLevel="0" max="1" min="1" style="10" width="9.14"/>
    <col collapsed="false" customWidth="false" hidden="true" outlineLevel="0" max="2" min="2" style="11" width="9.14"/>
    <col collapsed="false" customWidth="true" hidden="true" outlineLevel="0" max="3" min="3" style="11" width="7.57"/>
    <col collapsed="false" customWidth="true" hidden="true" outlineLevel="0" max="4" min="4" style="11" width="5.14"/>
    <col collapsed="false" customWidth="true" hidden="false" outlineLevel="0" max="5" min="5" style="11" width="12.86"/>
    <col collapsed="false" customWidth="true" hidden="false" outlineLevel="0" max="6" min="6" style="11" width="15"/>
    <col collapsed="false" customWidth="true" hidden="false" outlineLevel="0" max="7" min="7" style="11" width="22.29"/>
    <col collapsed="false" customWidth="true" hidden="false" outlineLevel="0" max="8" min="8" style="12" width="19.14"/>
    <col collapsed="false" customWidth="true" hidden="false" outlineLevel="0" max="9" min="9" style="11" width="79.86"/>
    <col collapsed="false" customWidth="true" hidden="false" outlineLevel="0" max="10" min="10" style="10" width="10.42"/>
    <col collapsed="false" customWidth="true" hidden="false" outlineLevel="0" max="11" min="11" style="10" width="19.57"/>
    <col collapsed="false" customWidth="true" hidden="false" outlineLevel="0" max="12" min="12" style="11" width="18.29"/>
    <col collapsed="false" customWidth="true" hidden="false" outlineLevel="0" max="13" min="13" style="13" width="98.29"/>
    <col collapsed="false" customWidth="true" hidden="false" outlineLevel="0" max="14" min="14" style="14" width="109.42"/>
    <col collapsed="false" customWidth="false" hidden="false" outlineLevel="0" max="16384" min="15" style="11" width="9.14"/>
  </cols>
  <sheetData>
    <row r="1" s="10" customFormat="true" ht="42.75" hidden="false" customHeight="true" outlineLevel="0" collapsed="false">
      <c r="A1" s="15" t="s">
        <v>336</v>
      </c>
      <c r="B1" s="15" t="s">
        <v>337</v>
      </c>
      <c r="C1" s="15" t="s">
        <v>338</v>
      </c>
      <c r="D1" s="15" t="s">
        <v>339</v>
      </c>
      <c r="E1" s="16" t="s">
        <v>340</v>
      </c>
      <c r="F1" s="16" t="s">
        <v>341</v>
      </c>
      <c r="G1" s="16" t="s">
        <v>342</v>
      </c>
      <c r="H1" s="16" t="s">
        <v>343</v>
      </c>
      <c r="I1" s="15" t="s">
        <v>0</v>
      </c>
      <c r="J1" s="15" t="s">
        <v>344</v>
      </c>
      <c r="K1" s="15" t="s">
        <v>345</v>
      </c>
      <c r="L1" s="15" t="s">
        <v>346</v>
      </c>
      <c r="M1" s="17" t="s">
        <v>347</v>
      </c>
      <c r="N1" s="18" t="s">
        <v>348</v>
      </c>
    </row>
    <row r="2" customFormat="false" ht="117" hidden="false" customHeight="true" outlineLevel="0" collapsed="false">
      <c r="A2" s="19" t="s">
        <v>349</v>
      </c>
      <c r="B2" s="20" t="s">
        <v>18</v>
      </c>
      <c r="C2" s="20" t="s">
        <v>18</v>
      </c>
      <c r="D2" s="20" t="s">
        <v>350</v>
      </c>
      <c r="E2" s="21" t="s">
        <v>18</v>
      </c>
      <c r="F2" s="21" t="s">
        <v>351</v>
      </c>
      <c r="G2" s="22" t="s">
        <v>352</v>
      </c>
      <c r="H2" s="22" t="s">
        <v>353</v>
      </c>
      <c r="I2" s="20" t="s">
        <v>20</v>
      </c>
      <c r="J2" s="19" t="s">
        <v>354</v>
      </c>
      <c r="K2" s="23" t="n">
        <v>10</v>
      </c>
      <c r="L2" s="20" t="s">
        <v>355</v>
      </c>
      <c r="M2" s="24" t="s">
        <v>356</v>
      </c>
      <c r="N2" s="25" t="s">
        <v>357</v>
      </c>
    </row>
    <row r="3" customFormat="false" ht="40.5" hidden="false" customHeight="true" outlineLevel="0" collapsed="false">
      <c r="A3" s="19" t="s">
        <v>358</v>
      </c>
      <c r="B3" s="20" t="s">
        <v>95</v>
      </c>
      <c r="C3" s="20" t="s">
        <v>74</v>
      </c>
      <c r="D3" s="20" t="s">
        <v>350</v>
      </c>
      <c r="E3" s="21" t="s">
        <v>30</v>
      </c>
      <c r="F3" s="21" t="s">
        <v>351</v>
      </c>
      <c r="G3" s="22" t="s">
        <v>352</v>
      </c>
      <c r="H3" s="22" t="s">
        <v>353</v>
      </c>
      <c r="I3" s="20" t="s">
        <v>31</v>
      </c>
      <c r="J3" s="19" t="s">
        <v>354</v>
      </c>
      <c r="K3" s="23" t="n">
        <v>10</v>
      </c>
      <c r="L3" s="20" t="s">
        <v>355</v>
      </c>
      <c r="M3" s="24" t="s">
        <v>359</v>
      </c>
      <c r="N3" s="25"/>
    </row>
    <row r="4" customFormat="false" ht="40.5" hidden="false" customHeight="true" outlineLevel="0" collapsed="false">
      <c r="A4" s="26" t="s">
        <v>360</v>
      </c>
      <c r="B4" s="27" t="s">
        <v>30</v>
      </c>
      <c r="C4" s="20" t="s">
        <v>30</v>
      </c>
      <c r="D4" s="20" t="s">
        <v>350</v>
      </c>
      <c r="E4" s="21" t="s">
        <v>361</v>
      </c>
      <c r="F4" s="21" t="s">
        <v>351</v>
      </c>
      <c r="G4" s="22" t="s">
        <v>352</v>
      </c>
      <c r="H4" s="22" t="s">
        <v>362</v>
      </c>
      <c r="I4" s="27" t="s">
        <v>363</v>
      </c>
      <c r="J4" s="26" t="s">
        <v>354</v>
      </c>
      <c r="K4" s="28" t="n">
        <v>10</v>
      </c>
      <c r="L4" s="27" t="s">
        <v>355</v>
      </c>
      <c r="M4" s="24" t="s">
        <v>364</v>
      </c>
      <c r="N4" s="25"/>
    </row>
    <row r="5" customFormat="false" ht="53.25" hidden="false" customHeight="true" outlineLevel="0" collapsed="false">
      <c r="A5" s="29" t="s">
        <v>365</v>
      </c>
      <c r="B5" s="30" t="s">
        <v>366</v>
      </c>
      <c r="C5" s="30" t="s">
        <v>366</v>
      </c>
      <c r="D5" s="20" t="s">
        <v>350</v>
      </c>
      <c r="E5" s="21" t="s">
        <v>37</v>
      </c>
      <c r="F5" s="21" t="s">
        <v>351</v>
      </c>
      <c r="G5" s="22" t="s">
        <v>352</v>
      </c>
      <c r="H5" s="22" t="s">
        <v>362</v>
      </c>
      <c r="I5" s="30" t="s">
        <v>367</v>
      </c>
      <c r="J5" s="29" t="s">
        <v>368</v>
      </c>
      <c r="K5" s="31" t="n">
        <v>3.33</v>
      </c>
      <c r="L5" s="30" t="s">
        <v>355</v>
      </c>
      <c r="M5" s="24" t="s">
        <v>369</v>
      </c>
      <c r="N5" s="25"/>
    </row>
    <row r="6" customFormat="false" ht="40.5" hidden="false" customHeight="true" outlineLevel="0" collapsed="false">
      <c r="A6" s="29" t="s">
        <v>370</v>
      </c>
      <c r="B6" s="30" t="s">
        <v>371</v>
      </c>
      <c r="C6" s="30" t="s">
        <v>371</v>
      </c>
      <c r="D6" s="20" t="s">
        <v>350</v>
      </c>
      <c r="E6" s="21" t="s">
        <v>45</v>
      </c>
      <c r="F6" s="21" t="s">
        <v>351</v>
      </c>
      <c r="G6" s="22" t="s">
        <v>352</v>
      </c>
      <c r="H6" s="22" t="s">
        <v>362</v>
      </c>
      <c r="I6" s="30" t="s">
        <v>372</v>
      </c>
      <c r="J6" s="29" t="s">
        <v>368</v>
      </c>
      <c r="K6" s="31" t="n">
        <v>3.33</v>
      </c>
      <c r="L6" s="30" t="s">
        <v>355</v>
      </c>
      <c r="M6" s="24" t="s">
        <v>373</v>
      </c>
      <c r="N6" s="25"/>
    </row>
    <row r="7" customFormat="false" ht="40.5" hidden="false" customHeight="true" outlineLevel="0" collapsed="false">
      <c r="A7" s="29" t="s">
        <v>374</v>
      </c>
      <c r="B7" s="30" t="s">
        <v>375</v>
      </c>
      <c r="C7" s="30" t="s">
        <v>375</v>
      </c>
      <c r="D7" s="20" t="s">
        <v>350</v>
      </c>
      <c r="E7" s="21" t="s">
        <v>50</v>
      </c>
      <c r="F7" s="21" t="s">
        <v>351</v>
      </c>
      <c r="G7" s="22" t="s">
        <v>352</v>
      </c>
      <c r="H7" s="22" t="s">
        <v>362</v>
      </c>
      <c r="I7" s="30" t="s">
        <v>376</v>
      </c>
      <c r="J7" s="29" t="s">
        <v>368</v>
      </c>
      <c r="K7" s="31" t="n">
        <v>3.33</v>
      </c>
      <c r="L7" s="30" t="s">
        <v>355</v>
      </c>
      <c r="M7" s="24" t="s">
        <v>377</v>
      </c>
      <c r="N7" s="25" t="s">
        <v>378</v>
      </c>
    </row>
    <row r="8" customFormat="false" ht="391.5" hidden="false" customHeight="true" outlineLevel="0" collapsed="false">
      <c r="A8" s="19" t="s">
        <v>379</v>
      </c>
      <c r="B8" s="20" t="s">
        <v>74</v>
      </c>
      <c r="C8" s="20" t="s">
        <v>380</v>
      </c>
      <c r="D8" s="20" t="s">
        <v>350</v>
      </c>
      <c r="E8" s="21" t="s">
        <v>55</v>
      </c>
      <c r="F8" s="21" t="s">
        <v>351</v>
      </c>
      <c r="G8" s="22" t="s">
        <v>352</v>
      </c>
      <c r="H8" s="22" t="s">
        <v>362</v>
      </c>
      <c r="I8" s="20" t="s">
        <v>56</v>
      </c>
      <c r="J8" s="19" t="s">
        <v>354</v>
      </c>
      <c r="K8" s="23" t="n">
        <v>10</v>
      </c>
      <c r="L8" s="20" t="s">
        <v>355</v>
      </c>
      <c r="M8" s="32" t="s">
        <v>381</v>
      </c>
      <c r="N8" s="25"/>
    </row>
    <row r="9" customFormat="false" ht="40.5" hidden="false" customHeight="true" outlineLevel="0" collapsed="false">
      <c r="A9" s="33" t="s">
        <v>382</v>
      </c>
      <c r="B9" s="33" t="s">
        <v>350</v>
      </c>
      <c r="C9" s="20" t="s">
        <v>380</v>
      </c>
      <c r="D9" s="20" t="s">
        <v>350</v>
      </c>
      <c r="E9" s="21" t="s">
        <v>383</v>
      </c>
      <c r="F9" s="21" t="s">
        <v>351</v>
      </c>
      <c r="G9" s="22" t="s">
        <v>352</v>
      </c>
      <c r="H9" s="22" t="s">
        <v>362</v>
      </c>
      <c r="I9" s="34" t="s">
        <v>384</v>
      </c>
      <c r="J9" s="35" t="s">
        <v>354</v>
      </c>
      <c r="K9" s="28" t="n">
        <v>10</v>
      </c>
      <c r="L9" s="27" t="s">
        <v>355</v>
      </c>
      <c r="M9" s="32" t="s">
        <v>385</v>
      </c>
      <c r="N9" s="36"/>
      <c r="O9" s="37"/>
      <c r="P9" s="38"/>
      <c r="R9" s="39"/>
      <c r="S9" s="40"/>
    </row>
    <row r="10" customFormat="false" ht="40.5" hidden="false" customHeight="true" outlineLevel="0" collapsed="false">
      <c r="A10" s="33" t="s">
        <v>386</v>
      </c>
      <c r="B10" s="33" t="s">
        <v>350</v>
      </c>
      <c r="C10" s="20" t="s">
        <v>380</v>
      </c>
      <c r="D10" s="20" t="s">
        <v>350</v>
      </c>
      <c r="E10" s="21" t="s">
        <v>60</v>
      </c>
      <c r="F10" s="21" t="s">
        <v>351</v>
      </c>
      <c r="G10" s="22" t="s">
        <v>352</v>
      </c>
      <c r="H10" s="22" t="s">
        <v>362</v>
      </c>
      <c r="I10" s="30" t="s">
        <v>387</v>
      </c>
      <c r="J10" s="33" t="s">
        <v>368</v>
      </c>
      <c r="K10" s="33" t="n">
        <v>3.33</v>
      </c>
      <c r="L10" s="20" t="s">
        <v>355</v>
      </c>
      <c r="M10" s="32" t="s">
        <v>388</v>
      </c>
      <c r="N10" s="36"/>
      <c r="P10" s="38"/>
      <c r="R10" s="39"/>
      <c r="S10" s="40"/>
    </row>
    <row r="11" customFormat="false" ht="54" hidden="false" customHeight="true" outlineLevel="0" collapsed="false">
      <c r="A11" s="33" t="s">
        <v>389</v>
      </c>
      <c r="B11" s="33" t="s">
        <v>350</v>
      </c>
      <c r="C11" s="20" t="s">
        <v>380</v>
      </c>
      <c r="D11" s="20" t="s">
        <v>350</v>
      </c>
      <c r="E11" s="21" t="s">
        <v>64</v>
      </c>
      <c r="F11" s="21" t="s">
        <v>351</v>
      </c>
      <c r="G11" s="22" t="s">
        <v>352</v>
      </c>
      <c r="H11" s="22" t="s">
        <v>362</v>
      </c>
      <c r="I11" s="30" t="s">
        <v>390</v>
      </c>
      <c r="J11" s="33" t="s">
        <v>368</v>
      </c>
      <c r="K11" s="33" t="n">
        <v>3.33</v>
      </c>
      <c r="L11" s="20" t="s">
        <v>355</v>
      </c>
      <c r="M11" s="32" t="s">
        <v>391</v>
      </c>
      <c r="N11" s="36"/>
      <c r="P11" s="38"/>
      <c r="R11" s="39"/>
      <c r="S11" s="40"/>
    </row>
    <row r="12" customFormat="false" ht="40.5" hidden="false" customHeight="true" outlineLevel="0" collapsed="false">
      <c r="A12" s="33" t="s">
        <v>392</v>
      </c>
      <c r="B12" s="33" t="s">
        <v>350</v>
      </c>
      <c r="C12" s="20" t="s">
        <v>380</v>
      </c>
      <c r="D12" s="20" t="s">
        <v>350</v>
      </c>
      <c r="E12" s="21" t="s">
        <v>69</v>
      </c>
      <c r="F12" s="21" t="s">
        <v>351</v>
      </c>
      <c r="G12" s="22" t="s">
        <v>352</v>
      </c>
      <c r="H12" s="22" t="s">
        <v>362</v>
      </c>
      <c r="I12" s="30" t="s">
        <v>393</v>
      </c>
      <c r="J12" s="33" t="s">
        <v>368</v>
      </c>
      <c r="K12" s="33" t="n">
        <v>3.33</v>
      </c>
      <c r="L12" s="20" t="s">
        <v>355</v>
      </c>
      <c r="M12" s="32" t="s">
        <v>394</v>
      </c>
      <c r="N12" s="36"/>
      <c r="P12" s="38"/>
      <c r="R12" s="39"/>
      <c r="S12" s="40"/>
    </row>
    <row r="13" customFormat="false" ht="121.5" hidden="false" customHeight="true" outlineLevel="0" collapsed="false">
      <c r="A13" s="19" t="s">
        <v>395</v>
      </c>
      <c r="B13" s="20" t="s">
        <v>383</v>
      </c>
      <c r="C13" s="20" t="s">
        <v>55</v>
      </c>
      <c r="D13" s="20" t="s">
        <v>350</v>
      </c>
      <c r="E13" s="21" t="s">
        <v>74</v>
      </c>
      <c r="F13" s="21" t="s">
        <v>351</v>
      </c>
      <c r="G13" s="22" t="s">
        <v>352</v>
      </c>
      <c r="H13" s="22" t="s">
        <v>396</v>
      </c>
      <c r="I13" s="20" t="s">
        <v>75</v>
      </c>
      <c r="J13" s="19" t="s">
        <v>354</v>
      </c>
      <c r="K13" s="23" t="n">
        <v>10</v>
      </c>
      <c r="L13" s="20" t="s">
        <v>355</v>
      </c>
      <c r="M13" s="24" t="s">
        <v>397</v>
      </c>
      <c r="N13" s="25"/>
    </row>
    <row r="14" customFormat="false" ht="40.5" hidden="false" customHeight="true" outlineLevel="0" collapsed="false">
      <c r="A14" s="19" t="s">
        <v>398</v>
      </c>
      <c r="B14" s="20" t="s">
        <v>399</v>
      </c>
      <c r="C14" s="20" t="s">
        <v>95</v>
      </c>
      <c r="D14" s="20" t="s">
        <v>350</v>
      </c>
      <c r="E14" s="21" t="s">
        <v>400</v>
      </c>
      <c r="F14" s="21" t="s">
        <v>351</v>
      </c>
      <c r="G14" s="22" t="s">
        <v>352</v>
      </c>
      <c r="H14" s="22" t="s">
        <v>401</v>
      </c>
      <c r="I14" s="20" t="s">
        <v>402</v>
      </c>
      <c r="J14" s="19" t="s">
        <v>354</v>
      </c>
      <c r="K14" s="23" t="n">
        <v>10</v>
      </c>
      <c r="L14" s="20" t="s">
        <v>403</v>
      </c>
      <c r="M14" s="24" t="s">
        <v>404</v>
      </c>
      <c r="N14" s="25"/>
    </row>
    <row r="15" customFormat="false" ht="67.5" hidden="false" customHeight="true" outlineLevel="0" collapsed="false">
      <c r="A15" s="29" t="s">
        <v>405</v>
      </c>
      <c r="B15" s="30" t="s">
        <v>165</v>
      </c>
      <c r="C15" s="30" t="s">
        <v>406</v>
      </c>
      <c r="D15" s="20" t="s">
        <v>350</v>
      </c>
      <c r="E15" s="21" t="s">
        <v>80</v>
      </c>
      <c r="F15" s="21" t="s">
        <v>351</v>
      </c>
      <c r="G15" s="22" t="s">
        <v>352</v>
      </c>
      <c r="H15" s="22" t="s">
        <v>401</v>
      </c>
      <c r="I15" s="30" t="s">
        <v>407</v>
      </c>
      <c r="J15" s="29" t="s">
        <v>368</v>
      </c>
      <c r="K15" s="31" t="n">
        <v>5</v>
      </c>
      <c r="L15" s="20" t="s">
        <v>408</v>
      </c>
      <c r="M15" s="24" t="s">
        <v>409</v>
      </c>
      <c r="N15" s="25"/>
    </row>
    <row r="16" customFormat="false" ht="94.5" hidden="false" customHeight="true" outlineLevel="0" collapsed="false">
      <c r="A16" s="29" t="s">
        <v>410</v>
      </c>
      <c r="B16" s="30" t="s">
        <v>168</v>
      </c>
      <c r="C16" s="30" t="s">
        <v>411</v>
      </c>
      <c r="D16" s="20" t="s">
        <v>350</v>
      </c>
      <c r="E16" s="21" t="s">
        <v>87</v>
      </c>
      <c r="F16" s="21" t="s">
        <v>351</v>
      </c>
      <c r="G16" s="22" t="s">
        <v>352</v>
      </c>
      <c r="H16" s="22" t="s">
        <v>401</v>
      </c>
      <c r="I16" s="30" t="s">
        <v>412</v>
      </c>
      <c r="J16" s="29" t="s">
        <v>368</v>
      </c>
      <c r="K16" s="31" t="n">
        <v>5</v>
      </c>
      <c r="L16" s="20" t="s">
        <v>413</v>
      </c>
      <c r="M16" s="24" t="s">
        <v>414</v>
      </c>
      <c r="N16" s="25"/>
    </row>
    <row r="17" customFormat="false" ht="81" hidden="false" customHeight="true" outlineLevel="0" collapsed="false">
      <c r="A17" s="29" t="s">
        <v>415</v>
      </c>
      <c r="B17" s="36" t="s">
        <v>380</v>
      </c>
      <c r="C17" s="36" t="s">
        <v>380</v>
      </c>
      <c r="D17" s="20" t="s">
        <v>350</v>
      </c>
      <c r="E17" s="41" t="s">
        <v>90</v>
      </c>
      <c r="F17" s="41" t="s">
        <v>351</v>
      </c>
      <c r="G17" s="22" t="s">
        <v>352</v>
      </c>
      <c r="H17" s="22" t="s">
        <v>401</v>
      </c>
      <c r="I17" s="20" t="s">
        <v>91</v>
      </c>
      <c r="J17" s="19" t="s">
        <v>354</v>
      </c>
      <c r="K17" s="31" t="n">
        <v>10</v>
      </c>
      <c r="L17" s="20" t="s">
        <v>416</v>
      </c>
      <c r="M17" s="24" t="s">
        <v>417</v>
      </c>
      <c r="N17" s="25"/>
    </row>
    <row r="18" customFormat="false" ht="81" hidden="false" customHeight="true" outlineLevel="0" collapsed="false">
      <c r="A18" s="19" t="s">
        <v>418</v>
      </c>
      <c r="B18" s="20" t="s">
        <v>55</v>
      </c>
      <c r="C18" s="20" t="s">
        <v>361</v>
      </c>
      <c r="D18" s="20" t="s">
        <v>350</v>
      </c>
      <c r="E18" s="21" t="s">
        <v>95</v>
      </c>
      <c r="F18" s="21" t="s">
        <v>351</v>
      </c>
      <c r="G18" s="22" t="s">
        <v>419</v>
      </c>
      <c r="H18" s="22" t="s">
        <v>420</v>
      </c>
      <c r="I18" s="20" t="s">
        <v>96</v>
      </c>
      <c r="J18" s="19" t="s">
        <v>354</v>
      </c>
      <c r="K18" s="23" t="n">
        <v>10</v>
      </c>
      <c r="L18" s="20" t="s">
        <v>355</v>
      </c>
      <c r="M18" s="24" t="s">
        <v>421</v>
      </c>
      <c r="N18" s="25"/>
    </row>
    <row r="19" customFormat="false" ht="94.5" hidden="false" customHeight="true" outlineLevel="0" collapsed="false">
      <c r="A19" s="42" t="s">
        <v>21</v>
      </c>
      <c r="B19" s="20" t="s">
        <v>422</v>
      </c>
      <c r="C19" s="20" t="s">
        <v>174</v>
      </c>
      <c r="D19" s="20" t="s">
        <v>350</v>
      </c>
      <c r="E19" s="21" t="s">
        <v>100</v>
      </c>
      <c r="F19" s="21" t="s">
        <v>351</v>
      </c>
      <c r="G19" s="22" t="s">
        <v>419</v>
      </c>
      <c r="H19" s="22" t="s">
        <v>423</v>
      </c>
      <c r="I19" s="20" t="s">
        <v>101</v>
      </c>
      <c r="J19" s="42" t="s">
        <v>354</v>
      </c>
      <c r="K19" s="43" t="n">
        <v>10</v>
      </c>
      <c r="L19" s="20" t="s">
        <v>355</v>
      </c>
      <c r="M19" s="24" t="s">
        <v>424</v>
      </c>
      <c r="N19" s="30"/>
    </row>
    <row r="20" customFormat="false" ht="54" hidden="false" customHeight="true" outlineLevel="0" collapsed="false">
      <c r="A20" s="42" t="s">
        <v>425</v>
      </c>
      <c r="B20" s="20" t="s">
        <v>305</v>
      </c>
      <c r="C20" s="20" t="s">
        <v>426</v>
      </c>
      <c r="D20" s="20" t="s">
        <v>350</v>
      </c>
      <c r="E20" s="21" t="s">
        <v>427</v>
      </c>
      <c r="F20" s="21" t="s">
        <v>351</v>
      </c>
      <c r="G20" s="22" t="s">
        <v>419</v>
      </c>
      <c r="H20" s="22" t="s">
        <v>423</v>
      </c>
      <c r="I20" s="20" t="s">
        <v>428</v>
      </c>
      <c r="J20" s="42" t="s">
        <v>354</v>
      </c>
      <c r="K20" s="43" t="n">
        <v>10</v>
      </c>
      <c r="L20" s="20" t="s">
        <v>403</v>
      </c>
      <c r="M20" s="24" t="s">
        <v>404</v>
      </c>
      <c r="N20" s="25"/>
    </row>
    <row r="21" customFormat="false" ht="94.5" hidden="false" customHeight="true" outlineLevel="0" collapsed="false">
      <c r="A21" s="42" t="s">
        <v>429</v>
      </c>
      <c r="B21" s="20" t="s">
        <v>430</v>
      </c>
      <c r="C21" s="20" t="s">
        <v>380</v>
      </c>
      <c r="D21" s="20" t="s">
        <v>350</v>
      </c>
      <c r="E21" s="21" t="s">
        <v>106</v>
      </c>
      <c r="F21" s="21" t="s">
        <v>351</v>
      </c>
      <c r="G21" s="22" t="s">
        <v>419</v>
      </c>
      <c r="H21" s="22" t="s">
        <v>423</v>
      </c>
      <c r="I21" s="20" t="s">
        <v>431</v>
      </c>
      <c r="J21" s="42" t="s">
        <v>368</v>
      </c>
      <c r="K21" s="43" t="n">
        <v>5</v>
      </c>
      <c r="L21" s="20" t="s">
        <v>408</v>
      </c>
      <c r="M21" s="24" t="s">
        <v>432</v>
      </c>
      <c r="N21" s="25"/>
    </row>
    <row r="22" customFormat="false" ht="45" hidden="false" customHeight="true" outlineLevel="0" collapsed="false">
      <c r="A22" s="42" t="s">
        <v>433</v>
      </c>
      <c r="B22" s="20" t="s">
        <v>434</v>
      </c>
      <c r="C22" s="20" t="s">
        <v>380</v>
      </c>
      <c r="D22" s="20" t="s">
        <v>350</v>
      </c>
      <c r="E22" s="21" t="s">
        <v>111</v>
      </c>
      <c r="F22" s="21" t="s">
        <v>351</v>
      </c>
      <c r="G22" s="22" t="s">
        <v>419</v>
      </c>
      <c r="H22" s="22" t="s">
        <v>423</v>
      </c>
      <c r="I22" s="20" t="s">
        <v>435</v>
      </c>
      <c r="J22" s="42" t="s">
        <v>368</v>
      </c>
      <c r="K22" s="43" t="n">
        <v>5</v>
      </c>
      <c r="L22" s="20" t="s">
        <v>413</v>
      </c>
      <c r="M22" s="24" t="s">
        <v>436</v>
      </c>
      <c r="N22" s="25"/>
    </row>
    <row r="23" customFormat="false" ht="162" hidden="false" customHeight="true" outlineLevel="0" collapsed="false">
      <c r="A23" s="44" t="s">
        <v>437</v>
      </c>
      <c r="B23" s="41" t="s">
        <v>380</v>
      </c>
      <c r="C23" s="20" t="s">
        <v>380</v>
      </c>
      <c r="D23" s="20" t="s">
        <v>350</v>
      </c>
      <c r="E23" s="21" t="s">
        <v>114</v>
      </c>
      <c r="F23" s="21" t="s">
        <v>351</v>
      </c>
      <c r="G23" s="22" t="s">
        <v>419</v>
      </c>
      <c r="H23" s="22" t="s">
        <v>438</v>
      </c>
      <c r="I23" s="45" t="s">
        <v>115</v>
      </c>
      <c r="J23" s="42" t="s">
        <v>354</v>
      </c>
      <c r="K23" s="43" t="n">
        <v>10</v>
      </c>
      <c r="L23" s="20" t="s">
        <v>355</v>
      </c>
      <c r="M23" s="46" t="s">
        <v>439</v>
      </c>
      <c r="N23" s="25"/>
    </row>
    <row r="24" customFormat="false" ht="40.5" hidden="false" customHeight="true" outlineLevel="0" collapsed="false">
      <c r="A24" s="19" t="s">
        <v>440</v>
      </c>
      <c r="B24" s="20" t="s">
        <v>380</v>
      </c>
      <c r="C24" s="20" t="s">
        <v>427</v>
      </c>
      <c r="D24" s="20" t="s">
        <v>350</v>
      </c>
      <c r="E24" s="21" t="s">
        <v>441</v>
      </c>
      <c r="F24" s="21" t="s">
        <v>351</v>
      </c>
      <c r="G24" s="22" t="s">
        <v>442</v>
      </c>
      <c r="H24" s="22" t="s">
        <v>443</v>
      </c>
      <c r="I24" s="20" t="s">
        <v>444</v>
      </c>
      <c r="J24" s="19" t="s">
        <v>354</v>
      </c>
      <c r="K24" s="23" t="n">
        <v>10</v>
      </c>
      <c r="L24" s="20" t="s">
        <v>445</v>
      </c>
      <c r="M24" s="24" t="s">
        <v>446</v>
      </c>
      <c r="N24" s="25"/>
    </row>
    <row r="25" customFormat="false" ht="112.5" hidden="false" customHeight="true" outlineLevel="0" collapsed="false">
      <c r="A25" s="42" t="s">
        <v>447</v>
      </c>
      <c r="B25" s="20" t="s">
        <v>380</v>
      </c>
      <c r="C25" s="20" t="s">
        <v>380</v>
      </c>
      <c r="D25" s="20" t="s">
        <v>350</v>
      </c>
      <c r="E25" s="21" t="s">
        <v>120</v>
      </c>
      <c r="F25" s="21" t="s">
        <v>351</v>
      </c>
      <c r="G25" s="22" t="s">
        <v>442</v>
      </c>
      <c r="H25" s="22" t="s">
        <v>443</v>
      </c>
      <c r="I25" s="20" t="s">
        <v>448</v>
      </c>
      <c r="J25" s="19" t="s">
        <v>368</v>
      </c>
      <c r="K25" s="23" t="n">
        <v>1.67</v>
      </c>
      <c r="L25" s="20" t="s">
        <v>408</v>
      </c>
      <c r="M25" s="24" t="s">
        <v>449</v>
      </c>
      <c r="N25" s="25"/>
    </row>
    <row r="26" customFormat="false" ht="54" hidden="false" customHeight="true" outlineLevel="0" collapsed="false">
      <c r="A26" s="42" t="s">
        <v>450</v>
      </c>
      <c r="B26" s="20" t="s">
        <v>380</v>
      </c>
      <c r="C26" s="20" t="s">
        <v>380</v>
      </c>
      <c r="D26" s="20" t="s">
        <v>350</v>
      </c>
      <c r="E26" s="21" t="s">
        <v>127</v>
      </c>
      <c r="F26" s="21" t="s">
        <v>351</v>
      </c>
      <c r="G26" s="22" t="s">
        <v>442</v>
      </c>
      <c r="H26" s="22" t="s">
        <v>443</v>
      </c>
      <c r="I26" s="20" t="s">
        <v>451</v>
      </c>
      <c r="J26" s="19" t="s">
        <v>368</v>
      </c>
      <c r="K26" s="23" t="n">
        <v>1.67</v>
      </c>
      <c r="L26" s="20" t="s">
        <v>408</v>
      </c>
      <c r="M26" s="24" t="s">
        <v>452</v>
      </c>
      <c r="N26" s="25"/>
    </row>
    <row r="27" customFormat="false" ht="63.75" hidden="false" customHeight="true" outlineLevel="0" collapsed="false">
      <c r="A27" s="42" t="s">
        <v>453</v>
      </c>
      <c r="B27" s="20" t="s">
        <v>380</v>
      </c>
      <c r="C27" s="20" t="s">
        <v>380</v>
      </c>
      <c r="D27" s="20" t="s">
        <v>350</v>
      </c>
      <c r="E27" s="21" t="s">
        <v>132</v>
      </c>
      <c r="F27" s="21" t="s">
        <v>351</v>
      </c>
      <c r="G27" s="22" t="s">
        <v>442</v>
      </c>
      <c r="H27" s="22" t="s">
        <v>443</v>
      </c>
      <c r="I27" s="20" t="s">
        <v>454</v>
      </c>
      <c r="J27" s="19" t="s">
        <v>368</v>
      </c>
      <c r="K27" s="23" t="n">
        <v>1.67</v>
      </c>
      <c r="L27" s="20" t="s">
        <v>408</v>
      </c>
      <c r="M27" s="24" t="s">
        <v>455</v>
      </c>
      <c r="N27" s="25"/>
    </row>
    <row r="28" customFormat="false" ht="54" hidden="false" customHeight="true" outlineLevel="0" collapsed="false">
      <c r="A28" s="42" t="s">
        <v>456</v>
      </c>
      <c r="B28" s="20" t="s">
        <v>380</v>
      </c>
      <c r="C28" s="20" t="s">
        <v>380</v>
      </c>
      <c r="D28" s="20" t="s">
        <v>350</v>
      </c>
      <c r="E28" s="21" t="s">
        <v>137</v>
      </c>
      <c r="F28" s="21" t="s">
        <v>351</v>
      </c>
      <c r="G28" s="22" t="s">
        <v>442</v>
      </c>
      <c r="H28" s="22" t="s">
        <v>443</v>
      </c>
      <c r="I28" s="20" t="s">
        <v>457</v>
      </c>
      <c r="J28" s="19" t="s">
        <v>368</v>
      </c>
      <c r="K28" s="23" t="n">
        <v>1.67</v>
      </c>
      <c r="L28" s="20" t="s">
        <v>408</v>
      </c>
      <c r="M28" s="24" t="s">
        <v>458</v>
      </c>
      <c r="N28" s="25"/>
    </row>
    <row r="29" customFormat="false" ht="54" hidden="false" customHeight="true" outlineLevel="0" collapsed="false">
      <c r="A29" s="42" t="s">
        <v>459</v>
      </c>
      <c r="B29" s="20" t="s">
        <v>380</v>
      </c>
      <c r="C29" s="20" t="s">
        <v>380</v>
      </c>
      <c r="D29" s="20" t="s">
        <v>350</v>
      </c>
      <c r="E29" s="21" t="s">
        <v>142</v>
      </c>
      <c r="F29" s="21" t="s">
        <v>351</v>
      </c>
      <c r="G29" s="22" t="s">
        <v>442</v>
      </c>
      <c r="H29" s="22" t="s">
        <v>443</v>
      </c>
      <c r="I29" s="20" t="s">
        <v>460</v>
      </c>
      <c r="J29" s="19" t="s">
        <v>368</v>
      </c>
      <c r="K29" s="23" t="n">
        <v>1.67</v>
      </c>
      <c r="L29" s="20" t="s">
        <v>408</v>
      </c>
      <c r="M29" s="24" t="s">
        <v>461</v>
      </c>
      <c r="N29" s="25"/>
    </row>
    <row r="30" customFormat="false" ht="121.5" hidden="false" customHeight="true" outlineLevel="0" collapsed="false">
      <c r="A30" s="42" t="s">
        <v>462</v>
      </c>
      <c r="B30" s="20" t="s">
        <v>380</v>
      </c>
      <c r="C30" s="20" t="s">
        <v>380</v>
      </c>
      <c r="D30" s="20" t="s">
        <v>350</v>
      </c>
      <c r="E30" s="21" t="s">
        <v>147</v>
      </c>
      <c r="F30" s="21" t="s">
        <v>351</v>
      </c>
      <c r="G30" s="22" t="s">
        <v>442</v>
      </c>
      <c r="H30" s="22" t="s">
        <v>443</v>
      </c>
      <c r="I30" s="20" t="s">
        <v>463</v>
      </c>
      <c r="J30" s="19" t="s">
        <v>368</v>
      </c>
      <c r="K30" s="23" t="n">
        <v>1.67</v>
      </c>
      <c r="L30" s="20" t="s">
        <v>408</v>
      </c>
      <c r="M30" s="24" t="s">
        <v>464</v>
      </c>
      <c r="N30" s="25"/>
    </row>
    <row r="31" customFormat="false" ht="40.5" hidden="false" customHeight="true" outlineLevel="0" collapsed="false">
      <c r="A31" s="26" t="s">
        <v>465</v>
      </c>
      <c r="B31" s="27" t="s">
        <v>361</v>
      </c>
      <c r="C31" s="27" t="s">
        <v>380</v>
      </c>
      <c r="D31" s="20" t="s">
        <v>350</v>
      </c>
      <c r="E31" s="21" t="s">
        <v>466</v>
      </c>
      <c r="F31" s="21" t="s">
        <v>413</v>
      </c>
      <c r="G31" s="22" t="s">
        <v>467</v>
      </c>
      <c r="H31" s="22" t="s">
        <v>468</v>
      </c>
      <c r="I31" s="27" t="s">
        <v>469</v>
      </c>
      <c r="J31" s="26" t="s">
        <v>354</v>
      </c>
      <c r="K31" s="28" t="n">
        <v>10</v>
      </c>
      <c r="L31" s="27" t="s">
        <v>413</v>
      </c>
      <c r="M31" s="24" t="s">
        <v>470</v>
      </c>
      <c r="N31" s="25"/>
    </row>
    <row r="32" customFormat="false" ht="54" hidden="false" customHeight="true" outlineLevel="0" collapsed="false">
      <c r="A32" s="29" t="s">
        <v>471</v>
      </c>
      <c r="B32" s="30" t="s">
        <v>37</v>
      </c>
      <c r="C32" s="27" t="s">
        <v>380</v>
      </c>
      <c r="D32" s="20" t="s">
        <v>350</v>
      </c>
      <c r="E32" s="21" t="s">
        <v>153</v>
      </c>
      <c r="F32" s="21" t="s">
        <v>413</v>
      </c>
      <c r="G32" s="22" t="s">
        <v>467</v>
      </c>
      <c r="H32" s="22" t="s">
        <v>468</v>
      </c>
      <c r="I32" s="30" t="s">
        <v>472</v>
      </c>
      <c r="J32" s="29" t="s">
        <v>368</v>
      </c>
      <c r="K32" s="31" t="n">
        <v>3.33</v>
      </c>
      <c r="L32" s="30" t="s">
        <v>413</v>
      </c>
      <c r="M32" s="24" t="s">
        <v>473</v>
      </c>
      <c r="N32" s="25" t="s">
        <v>474</v>
      </c>
    </row>
    <row r="33" customFormat="false" ht="40.5" hidden="false" customHeight="true" outlineLevel="0" collapsed="false">
      <c r="A33" s="29" t="s">
        <v>475</v>
      </c>
      <c r="B33" s="30" t="s">
        <v>45</v>
      </c>
      <c r="C33" s="27" t="s">
        <v>380</v>
      </c>
      <c r="D33" s="20" t="s">
        <v>350</v>
      </c>
      <c r="E33" s="21" t="s">
        <v>156</v>
      </c>
      <c r="F33" s="21" t="s">
        <v>413</v>
      </c>
      <c r="G33" s="22" t="s">
        <v>467</v>
      </c>
      <c r="H33" s="22" t="s">
        <v>468</v>
      </c>
      <c r="I33" s="30" t="s">
        <v>476</v>
      </c>
      <c r="J33" s="29" t="s">
        <v>368</v>
      </c>
      <c r="K33" s="31" t="n">
        <v>3.33</v>
      </c>
      <c r="L33" s="30" t="s">
        <v>413</v>
      </c>
      <c r="M33" s="24" t="s">
        <v>477</v>
      </c>
      <c r="N33" s="25" t="s">
        <v>474</v>
      </c>
    </row>
    <row r="34" customFormat="false" ht="40.5" hidden="false" customHeight="true" outlineLevel="0" collapsed="false">
      <c r="A34" s="29" t="s">
        <v>478</v>
      </c>
      <c r="B34" s="30" t="s">
        <v>50</v>
      </c>
      <c r="C34" s="27" t="s">
        <v>380</v>
      </c>
      <c r="D34" s="20" t="s">
        <v>350</v>
      </c>
      <c r="E34" s="21" t="s">
        <v>159</v>
      </c>
      <c r="F34" s="21" t="s">
        <v>413</v>
      </c>
      <c r="G34" s="22" t="s">
        <v>467</v>
      </c>
      <c r="H34" s="22" t="s">
        <v>468</v>
      </c>
      <c r="I34" s="30" t="s">
        <v>479</v>
      </c>
      <c r="J34" s="29" t="s">
        <v>368</v>
      </c>
      <c r="K34" s="31" t="n">
        <v>3.33</v>
      </c>
      <c r="L34" s="30" t="s">
        <v>413</v>
      </c>
      <c r="M34" s="24" t="s">
        <v>480</v>
      </c>
      <c r="N34" s="25"/>
    </row>
    <row r="35" customFormat="false" ht="135" hidden="false" customHeight="true" outlineLevel="0" collapsed="false">
      <c r="A35" s="44" t="s">
        <v>481</v>
      </c>
      <c r="B35" s="41" t="s">
        <v>380</v>
      </c>
      <c r="C35" s="41" t="s">
        <v>380</v>
      </c>
      <c r="D35" s="20" t="s">
        <v>350</v>
      </c>
      <c r="E35" s="21" t="s">
        <v>162</v>
      </c>
      <c r="F35" s="21" t="s">
        <v>413</v>
      </c>
      <c r="G35" s="22" t="s">
        <v>467</v>
      </c>
      <c r="H35" s="22" t="s">
        <v>482</v>
      </c>
      <c r="I35" s="20" t="s">
        <v>163</v>
      </c>
      <c r="J35" s="42" t="s">
        <v>354</v>
      </c>
      <c r="K35" s="43" t="n">
        <v>10</v>
      </c>
      <c r="L35" s="20" t="s">
        <v>413</v>
      </c>
      <c r="M35" s="46" t="s">
        <v>483</v>
      </c>
      <c r="N35" s="25"/>
    </row>
    <row r="36" customFormat="false" ht="40.5" hidden="false" customHeight="true" outlineLevel="0" collapsed="false">
      <c r="A36" s="26" t="s">
        <v>484</v>
      </c>
      <c r="B36" s="27" t="s">
        <v>400</v>
      </c>
      <c r="C36" s="27" t="s">
        <v>380</v>
      </c>
      <c r="D36" s="20" t="s">
        <v>350</v>
      </c>
      <c r="E36" s="21" t="s">
        <v>399</v>
      </c>
      <c r="F36" s="21" t="s">
        <v>413</v>
      </c>
      <c r="G36" s="22" t="s">
        <v>467</v>
      </c>
      <c r="H36" s="22" t="s">
        <v>485</v>
      </c>
      <c r="I36" s="27" t="s">
        <v>486</v>
      </c>
      <c r="J36" s="26" t="s">
        <v>354</v>
      </c>
      <c r="K36" s="28" t="n">
        <v>10</v>
      </c>
      <c r="L36" s="27" t="s">
        <v>413</v>
      </c>
      <c r="M36" s="46" t="s">
        <v>487</v>
      </c>
      <c r="N36" s="25"/>
    </row>
    <row r="37" customFormat="false" ht="54" hidden="false" customHeight="true" outlineLevel="0" collapsed="false">
      <c r="A37" s="29" t="s">
        <v>488</v>
      </c>
      <c r="B37" s="30" t="s">
        <v>80</v>
      </c>
      <c r="C37" s="27" t="s">
        <v>380</v>
      </c>
      <c r="D37" s="20" t="s">
        <v>350</v>
      </c>
      <c r="E37" s="21" t="s">
        <v>165</v>
      </c>
      <c r="F37" s="21" t="s">
        <v>413</v>
      </c>
      <c r="G37" s="22" t="s">
        <v>467</v>
      </c>
      <c r="H37" s="22" t="s">
        <v>485</v>
      </c>
      <c r="I37" s="30" t="s">
        <v>489</v>
      </c>
      <c r="J37" s="29" t="s">
        <v>368</v>
      </c>
      <c r="K37" s="31" t="n">
        <v>5</v>
      </c>
      <c r="L37" s="20" t="s">
        <v>413</v>
      </c>
      <c r="M37" s="46" t="s">
        <v>490</v>
      </c>
      <c r="N37" s="25"/>
    </row>
    <row r="38" customFormat="false" ht="67.5" hidden="false" customHeight="true" outlineLevel="0" collapsed="false">
      <c r="A38" s="29" t="s">
        <v>491</v>
      </c>
      <c r="B38" s="30" t="s">
        <v>87</v>
      </c>
      <c r="C38" s="27" t="s">
        <v>380</v>
      </c>
      <c r="D38" s="20" t="s">
        <v>350</v>
      </c>
      <c r="E38" s="21" t="s">
        <v>168</v>
      </c>
      <c r="F38" s="21" t="s">
        <v>413</v>
      </c>
      <c r="G38" s="22" t="s">
        <v>467</v>
      </c>
      <c r="H38" s="22" t="s">
        <v>485</v>
      </c>
      <c r="I38" s="30" t="s">
        <v>492</v>
      </c>
      <c r="J38" s="29" t="s">
        <v>368</v>
      </c>
      <c r="K38" s="31" t="n">
        <v>5</v>
      </c>
      <c r="L38" s="20" t="s">
        <v>413</v>
      </c>
      <c r="M38" s="24" t="s">
        <v>493</v>
      </c>
      <c r="N38" s="25"/>
    </row>
    <row r="39" customFormat="false" ht="67.5" hidden="false" customHeight="true" outlineLevel="0" collapsed="false">
      <c r="A39" s="19" t="s">
        <v>494</v>
      </c>
      <c r="B39" s="20" t="s">
        <v>114</v>
      </c>
      <c r="C39" s="20" t="s">
        <v>380</v>
      </c>
      <c r="D39" s="20" t="s">
        <v>350</v>
      </c>
      <c r="E39" s="21" t="s">
        <v>171</v>
      </c>
      <c r="F39" s="21" t="s">
        <v>413</v>
      </c>
      <c r="G39" s="22" t="s">
        <v>467</v>
      </c>
      <c r="H39" s="22" t="s">
        <v>495</v>
      </c>
      <c r="I39" s="20" t="s">
        <v>496</v>
      </c>
      <c r="J39" s="19" t="s">
        <v>354</v>
      </c>
      <c r="K39" s="23" t="n">
        <v>10</v>
      </c>
      <c r="L39" s="20" t="s">
        <v>413</v>
      </c>
      <c r="M39" s="24" t="s">
        <v>497</v>
      </c>
      <c r="N39" s="25"/>
    </row>
    <row r="40" customFormat="false" ht="351" hidden="false" customHeight="true" outlineLevel="0" collapsed="false">
      <c r="A40" s="42" t="s">
        <v>498</v>
      </c>
      <c r="B40" s="20" t="s">
        <v>499</v>
      </c>
      <c r="C40" s="20" t="s">
        <v>380</v>
      </c>
      <c r="D40" s="20" t="s">
        <v>350</v>
      </c>
      <c r="E40" s="21" t="s">
        <v>174</v>
      </c>
      <c r="F40" s="22" t="s">
        <v>413</v>
      </c>
      <c r="G40" s="22" t="s">
        <v>467</v>
      </c>
      <c r="H40" s="22" t="s">
        <v>500</v>
      </c>
      <c r="I40" s="20" t="s">
        <v>175</v>
      </c>
      <c r="J40" s="42" t="s">
        <v>354</v>
      </c>
      <c r="K40" s="43" t="n">
        <v>10</v>
      </c>
      <c r="L40" s="20" t="s">
        <v>413</v>
      </c>
      <c r="M40" s="24" t="s">
        <v>501</v>
      </c>
      <c r="N40" s="25"/>
    </row>
    <row r="41" customFormat="false" ht="40.5" hidden="false" customHeight="true" outlineLevel="0" collapsed="false">
      <c r="A41" s="42" t="s">
        <v>502</v>
      </c>
      <c r="B41" s="20" t="s">
        <v>503</v>
      </c>
      <c r="C41" s="20" t="s">
        <v>380</v>
      </c>
      <c r="D41" s="20" t="s">
        <v>350</v>
      </c>
      <c r="E41" s="21" t="s">
        <v>426</v>
      </c>
      <c r="F41" s="22" t="s">
        <v>413</v>
      </c>
      <c r="G41" s="22" t="s">
        <v>467</v>
      </c>
      <c r="H41" s="22" t="s">
        <v>500</v>
      </c>
      <c r="I41" s="20" t="s">
        <v>504</v>
      </c>
      <c r="J41" s="42" t="s">
        <v>354</v>
      </c>
      <c r="K41" s="43" t="n">
        <v>10</v>
      </c>
      <c r="L41" s="20" t="s">
        <v>413</v>
      </c>
      <c r="M41" s="24" t="s">
        <v>505</v>
      </c>
      <c r="N41" s="25"/>
    </row>
    <row r="42" customFormat="false" ht="337.5" hidden="false" customHeight="true" outlineLevel="0" collapsed="false">
      <c r="A42" s="42" t="s">
        <v>506</v>
      </c>
      <c r="B42" s="20" t="s">
        <v>380</v>
      </c>
      <c r="C42" s="20" t="s">
        <v>380</v>
      </c>
      <c r="D42" s="20" t="s">
        <v>350</v>
      </c>
      <c r="E42" s="21" t="s">
        <v>177</v>
      </c>
      <c r="F42" s="22" t="s">
        <v>413</v>
      </c>
      <c r="G42" s="22" t="s">
        <v>467</v>
      </c>
      <c r="H42" s="22" t="s">
        <v>500</v>
      </c>
      <c r="I42" s="20" t="s">
        <v>507</v>
      </c>
      <c r="J42" s="42" t="s">
        <v>368</v>
      </c>
      <c r="K42" s="43" t="n">
        <v>5</v>
      </c>
      <c r="L42" s="20" t="s">
        <v>413</v>
      </c>
      <c r="M42" s="24" t="s">
        <v>508</v>
      </c>
      <c r="N42" s="25"/>
    </row>
    <row r="43" customFormat="false" ht="270" hidden="false" customHeight="true" outlineLevel="0" collapsed="false">
      <c r="A43" s="42" t="s">
        <v>509</v>
      </c>
      <c r="B43" s="20" t="s">
        <v>380</v>
      </c>
      <c r="C43" s="20" t="s">
        <v>380</v>
      </c>
      <c r="D43" s="20" t="s">
        <v>350</v>
      </c>
      <c r="E43" s="21" t="s">
        <v>180</v>
      </c>
      <c r="F43" s="22" t="s">
        <v>413</v>
      </c>
      <c r="G43" s="22" t="s">
        <v>467</v>
      </c>
      <c r="H43" s="22" t="s">
        <v>500</v>
      </c>
      <c r="I43" s="20" t="s">
        <v>510</v>
      </c>
      <c r="J43" s="42" t="s">
        <v>368</v>
      </c>
      <c r="K43" s="43" t="n">
        <v>5</v>
      </c>
      <c r="L43" s="20" t="s">
        <v>413</v>
      </c>
      <c r="M43" s="24" t="s">
        <v>511</v>
      </c>
      <c r="N43" s="25"/>
    </row>
    <row r="44" customFormat="false" ht="40.5" hidden="false" customHeight="true" outlineLevel="0" collapsed="false">
      <c r="A44" s="42" t="s">
        <v>512</v>
      </c>
      <c r="B44" s="20" t="s">
        <v>513</v>
      </c>
      <c r="C44" s="20" t="s">
        <v>514</v>
      </c>
      <c r="D44" s="20" t="s">
        <v>350</v>
      </c>
      <c r="E44" s="21" t="s">
        <v>515</v>
      </c>
      <c r="F44" s="22" t="s">
        <v>413</v>
      </c>
      <c r="G44" s="22" t="s">
        <v>467</v>
      </c>
      <c r="H44" s="22" t="s">
        <v>500</v>
      </c>
      <c r="I44" s="20" t="s">
        <v>516</v>
      </c>
      <c r="J44" s="42" t="s">
        <v>354</v>
      </c>
      <c r="K44" s="43" t="n">
        <v>10</v>
      </c>
      <c r="L44" s="20" t="s">
        <v>413</v>
      </c>
      <c r="M44" s="24" t="s">
        <v>517</v>
      </c>
      <c r="N44" s="25"/>
    </row>
    <row r="45" customFormat="false" ht="202.5" hidden="false" customHeight="true" outlineLevel="0" collapsed="false">
      <c r="A45" s="42" t="s">
        <v>518</v>
      </c>
      <c r="B45" s="20" t="s">
        <v>380</v>
      </c>
      <c r="C45" s="20" t="s">
        <v>380</v>
      </c>
      <c r="D45" s="20" t="s">
        <v>350</v>
      </c>
      <c r="E45" s="21" t="s">
        <v>183</v>
      </c>
      <c r="F45" s="22" t="s">
        <v>413</v>
      </c>
      <c r="G45" s="22" t="s">
        <v>467</v>
      </c>
      <c r="H45" s="22" t="s">
        <v>500</v>
      </c>
      <c r="I45" s="20" t="s">
        <v>519</v>
      </c>
      <c r="J45" s="42" t="s">
        <v>368</v>
      </c>
      <c r="K45" s="43" t="n">
        <v>3.33</v>
      </c>
      <c r="L45" s="20" t="s">
        <v>413</v>
      </c>
      <c r="M45" s="24" t="s">
        <v>520</v>
      </c>
      <c r="N45" s="25"/>
    </row>
    <row r="46" customFormat="false" ht="229.5" hidden="false" customHeight="true" outlineLevel="0" collapsed="false">
      <c r="A46" s="42" t="s">
        <v>521</v>
      </c>
      <c r="B46" s="20" t="s">
        <v>380</v>
      </c>
      <c r="C46" s="20" t="s">
        <v>380</v>
      </c>
      <c r="D46" s="20" t="s">
        <v>350</v>
      </c>
      <c r="E46" s="21" t="s">
        <v>186</v>
      </c>
      <c r="F46" s="22" t="s">
        <v>413</v>
      </c>
      <c r="G46" s="22" t="s">
        <v>467</v>
      </c>
      <c r="H46" s="22" t="s">
        <v>500</v>
      </c>
      <c r="I46" s="20" t="s">
        <v>522</v>
      </c>
      <c r="J46" s="42" t="s">
        <v>368</v>
      </c>
      <c r="K46" s="43" t="n">
        <v>3.33</v>
      </c>
      <c r="L46" s="20" t="s">
        <v>413</v>
      </c>
      <c r="M46" s="24" t="s">
        <v>523</v>
      </c>
      <c r="N46" s="25"/>
    </row>
    <row r="47" customFormat="false" ht="229.5" hidden="false" customHeight="true" outlineLevel="0" collapsed="false">
      <c r="A47" s="42" t="s">
        <v>524</v>
      </c>
      <c r="B47" s="20" t="s">
        <v>380</v>
      </c>
      <c r="C47" s="20" t="s">
        <v>380</v>
      </c>
      <c r="D47" s="20" t="s">
        <v>350</v>
      </c>
      <c r="E47" s="21" t="s">
        <v>189</v>
      </c>
      <c r="F47" s="22" t="s">
        <v>413</v>
      </c>
      <c r="G47" s="22" t="s">
        <v>467</v>
      </c>
      <c r="H47" s="22" t="s">
        <v>500</v>
      </c>
      <c r="I47" s="20" t="s">
        <v>525</v>
      </c>
      <c r="J47" s="42" t="s">
        <v>368</v>
      </c>
      <c r="K47" s="43" t="n">
        <v>3.33</v>
      </c>
      <c r="L47" s="20" t="s">
        <v>413</v>
      </c>
      <c r="M47" s="24" t="s">
        <v>526</v>
      </c>
      <c r="N47" s="25"/>
    </row>
    <row r="48" customFormat="false" ht="305.25" hidden="false" customHeight="true" outlineLevel="0" collapsed="false">
      <c r="A48" s="42" t="s">
        <v>527</v>
      </c>
      <c r="B48" s="20" t="s">
        <v>528</v>
      </c>
      <c r="C48" s="20" t="s">
        <v>380</v>
      </c>
      <c r="D48" s="20" t="s">
        <v>350</v>
      </c>
      <c r="E48" s="21" t="s">
        <v>192</v>
      </c>
      <c r="F48" s="22" t="s">
        <v>413</v>
      </c>
      <c r="G48" s="22" t="s">
        <v>467</v>
      </c>
      <c r="H48" s="22" t="s">
        <v>500</v>
      </c>
      <c r="I48" s="20" t="s">
        <v>193</v>
      </c>
      <c r="J48" s="42" t="s">
        <v>354</v>
      </c>
      <c r="K48" s="43" t="n">
        <v>10</v>
      </c>
      <c r="L48" s="20" t="s">
        <v>413</v>
      </c>
      <c r="M48" s="24" t="s">
        <v>529</v>
      </c>
      <c r="N48" s="25"/>
    </row>
    <row r="49" customFormat="false" ht="81" hidden="false" customHeight="true" outlineLevel="0" collapsed="false">
      <c r="A49" s="19" t="s">
        <v>530</v>
      </c>
      <c r="B49" s="20" t="s">
        <v>441</v>
      </c>
      <c r="C49" s="20" t="s">
        <v>380</v>
      </c>
      <c r="D49" s="20" t="s">
        <v>350</v>
      </c>
      <c r="E49" s="21" t="s">
        <v>195</v>
      </c>
      <c r="F49" s="22" t="s">
        <v>413</v>
      </c>
      <c r="G49" s="22" t="s">
        <v>467</v>
      </c>
      <c r="H49" s="22" t="s">
        <v>531</v>
      </c>
      <c r="I49" s="20" t="s">
        <v>196</v>
      </c>
      <c r="J49" s="19" t="s">
        <v>354</v>
      </c>
      <c r="K49" s="23" t="n">
        <v>10</v>
      </c>
      <c r="L49" s="20" t="s">
        <v>413</v>
      </c>
      <c r="M49" s="24" t="s">
        <v>532</v>
      </c>
      <c r="N49" s="25"/>
    </row>
    <row r="50" customFormat="false" ht="54" hidden="false" customHeight="true" outlineLevel="0" collapsed="false">
      <c r="A50" s="19" t="s">
        <v>533</v>
      </c>
      <c r="B50" s="20" t="s">
        <v>380</v>
      </c>
      <c r="C50" s="20" t="s">
        <v>380</v>
      </c>
      <c r="D50" s="20" t="s">
        <v>350</v>
      </c>
      <c r="E50" s="21" t="s">
        <v>534</v>
      </c>
      <c r="F50" s="22" t="s">
        <v>413</v>
      </c>
      <c r="G50" s="22" t="s">
        <v>535</v>
      </c>
      <c r="H50" s="22" t="s">
        <v>536</v>
      </c>
      <c r="I50" s="27" t="s">
        <v>537</v>
      </c>
      <c r="J50" s="19" t="s">
        <v>354</v>
      </c>
      <c r="K50" s="23" t="n">
        <v>10</v>
      </c>
      <c r="L50" s="20" t="s">
        <v>413</v>
      </c>
      <c r="M50" s="47" t="s">
        <v>538</v>
      </c>
      <c r="N50" s="25"/>
    </row>
    <row r="51" customFormat="false" ht="102" hidden="false" customHeight="true" outlineLevel="0" collapsed="false">
      <c r="A51" s="19" t="s">
        <v>539</v>
      </c>
      <c r="B51" s="20" t="s">
        <v>380</v>
      </c>
      <c r="C51" s="20" t="s">
        <v>380</v>
      </c>
      <c r="D51" s="20" t="s">
        <v>350</v>
      </c>
      <c r="E51" s="21" t="s">
        <v>198</v>
      </c>
      <c r="F51" s="22" t="s">
        <v>413</v>
      </c>
      <c r="G51" s="22" t="s">
        <v>535</v>
      </c>
      <c r="H51" s="22" t="s">
        <v>536</v>
      </c>
      <c r="I51" s="30" t="s">
        <v>540</v>
      </c>
      <c r="J51" s="29" t="s">
        <v>368</v>
      </c>
      <c r="K51" s="31" t="n">
        <v>3.33</v>
      </c>
      <c r="L51" s="27" t="s">
        <v>413</v>
      </c>
      <c r="M51" s="24" t="s">
        <v>541</v>
      </c>
      <c r="N51" s="25"/>
    </row>
    <row r="52" customFormat="false" ht="67.5" hidden="false" customHeight="true" outlineLevel="0" collapsed="false">
      <c r="A52" s="19" t="s">
        <v>542</v>
      </c>
      <c r="B52" s="20" t="s">
        <v>380</v>
      </c>
      <c r="C52" s="20" t="s">
        <v>380</v>
      </c>
      <c r="D52" s="20" t="s">
        <v>350</v>
      </c>
      <c r="E52" s="21" t="s">
        <v>543</v>
      </c>
      <c r="F52" s="22" t="s">
        <v>413</v>
      </c>
      <c r="G52" s="22" t="s">
        <v>535</v>
      </c>
      <c r="H52" s="22" t="s">
        <v>536</v>
      </c>
      <c r="I52" s="30" t="s">
        <v>544</v>
      </c>
      <c r="J52" s="29" t="s">
        <v>545</v>
      </c>
      <c r="K52" s="31" t="n">
        <v>1.11</v>
      </c>
      <c r="L52" s="27" t="s">
        <v>413</v>
      </c>
      <c r="M52" s="24" t="s">
        <v>546</v>
      </c>
      <c r="N52" s="25"/>
    </row>
    <row r="53" customFormat="false" ht="67.5" hidden="false" customHeight="true" outlineLevel="0" collapsed="false">
      <c r="A53" s="19" t="s">
        <v>547</v>
      </c>
      <c r="B53" s="20" t="s">
        <v>380</v>
      </c>
      <c r="C53" s="20" t="s">
        <v>380</v>
      </c>
      <c r="D53" s="20" t="s">
        <v>350</v>
      </c>
      <c r="E53" s="21" t="s">
        <v>548</v>
      </c>
      <c r="F53" s="22" t="s">
        <v>413</v>
      </c>
      <c r="G53" s="22" t="s">
        <v>535</v>
      </c>
      <c r="H53" s="22" t="s">
        <v>536</v>
      </c>
      <c r="I53" s="30" t="s">
        <v>549</v>
      </c>
      <c r="J53" s="29" t="s">
        <v>550</v>
      </c>
      <c r="K53" s="31" t="n">
        <v>1.11</v>
      </c>
      <c r="L53" s="27" t="s">
        <v>413</v>
      </c>
      <c r="M53" s="24" t="s">
        <v>546</v>
      </c>
      <c r="N53" s="25"/>
    </row>
    <row r="54" customFormat="false" ht="67.5" hidden="false" customHeight="true" outlineLevel="0" collapsed="false">
      <c r="A54" s="19" t="s">
        <v>551</v>
      </c>
      <c r="B54" s="20" t="s">
        <v>380</v>
      </c>
      <c r="C54" s="20" t="s">
        <v>380</v>
      </c>
      <c r="D54" s="20" t="s">
        <v>350</v>
      </c>
      <c r="E54" s="21" t="s">
        <v>552</v>
      </c>
      <c r="F54" s="22" t="s">
        <v>413</v>
      </c>
      <c r="G54" s="22" t="s">
        <v>535</v>
      </c>
      <c r="H54" s="22" t="s">
        <v>536</v>
      </c>
      <c r="I54" s="30" t="s">
        <v>553</v>
      </c>
      <c r="J54" s="29" t="s">
        <v>554</v>
      </c>
      <c r="K54" s="31" t="n">
        <v>1.11</v>
      </c>
      <c r="L54" s="27" t="s">
        <v>413</v>
      </c>
      <c r="M54" s="24" t="s">
        <v>546</v>
      </c>
      <c r="N54" s="25"/>
    </row>
    <row r="55" customFormat="false" ht="135" hidden="false" customHeight="true" outlineLevel="0" collapsed="false">
      <c r="A55" s="19" t="s">
        <v>555</v>
      </c>
      <c r="B55" s="20" t="s">
        <v>380</v>
      </c>
      <c r="C55" s="20" t="s">
        <v>380</v>
      </c>
      <c r="D55" s="20" t="s">
        <v>350</v>
      </c>
      <c r="E55" s="21" t="s">
        <v>201</v>
      </c>
      <c r="F55" s="22" t="s">
        <v>413</v>
      </c>
      <c r="G55" s="22" t="s">
        <v>535</v>
      </c>
      <c r="H55" s="22" t="s">
        <v>536</v>
      </c>
      <c r="I55" s="30" t="s">
        <v>556</v>
      </c>
      <c r="J55" s="29" t="s">
        <v>368</v>
      </c>
      <c r="K55" s="31" t="n">
        <v>3.33</v>
      </c>
      <c r="L55" s="27" t="s">
        <v>413</v>
      </c>
      <c r="M55" s="24" t="s">
        <v>557</v>
      </c>
      <c r="N55" s="25"/>
    </row>
    <row r="56" customFormat="false" ht="67.5" hidden="false" customHeight="true" outlineLevel="0" collapsed="false">
      <c r="A56" s="19" t="s">
        <v>558</v>
      </c>
      <c r="B56" s="20" t="s">
        <v>380</v>
      </c>
      <c r="C56" s="20" t="s">
        <v>380</v>
      </c>
      <c r="D56" s="20" t="s">
        <v>350</v>
      </c>
      <c r="E56" s="21" t="s">
        <v>559</v>
      </c>
      <c r="F56" s="22" t="s">
        <v>413</v>
      </c>
      <c r="G56" s="22" t="s">
        <v>535</v>
      </c>
      <c r="H56" s="22" t="s">
        <v>536</v>
      </c>
      <c r="I56" s="30" t="s">
        <v>544</v>
      </c>
      <c r="J56" s="29" t="s">
        <v>545</v>
      </c>
      <c r="K56" s="31" t="n">
        <v>1.11</v>
      </c>
      <c r="L56" s="27" t="s">
        <v>413</v>
      </c>
      <c r="M56" s="24" t="s">
        <v>546</v>
      </c>
      <c r="N56" s="25"/>
    </row>
    <row r="57" customFormat="false" ht="67.5" hidden="false" customHeight="true" outlineLevel="0" collapsed="false">
      <c r="A57" s="19" t="s">
        <v>560</v>
      </c>
      <c r="B57" s="20" t="s">
        <v>380</v>
      </c>
      <c r="C57" s="20" t="s">
        <v>380</v>
      </c>
      <c r="D57" s="20" t="s">
        <v>350</v>
      </c>
      <c r="E57" s="21" t="s">
        <v>561</v>
      </c>
      <c r="F57" s="22" t="s">
        <v>413</v>
      </c>
      <c r="G57" s="22" t="s">
        <v>535</v>
      </c>
      <c r="H57" s="22" t="s">
        <v>536</v>
      </c>
      <c r="I57" s="30" t="s">
        <v>549</v>
      </c>
      <c r="J57" s="29" t="s">
        <v>550</v>
      </c>
      <c r="K57" s="31" t="n">
        <v>1.11</v>
      </c>
      <c r="L57" s="27" t="s">
        <v>413</v>
      </c>
      <c r="M57" s="24" t="s">
        <v>546</v>
      </c>
      <c r="N57" s="25"/>
    </row>
    <row r="58" customFormat="false" ht="67.5" hidden="false" customHeight="true" outlineLevel="0" collapsed="false">
      <c r="A58" s="19" t="s">
        <v>562</v>
      </c>
      <c r="B58" s="20" t="s">
        <v>380</v>
      </c>
      <c r="C58" s="20" t="s">
        <v>380</v>
      </c>
      <c r="D58" s="20" t="s">
        <v>350</v>
      </c>
      <c r="E58" s="21" t="s">
        <v>563</v>
      </c>
      <c r="F58" s="22" t="s">
        <v>413</v>
      </c>
      <c r="G58" s="22" t="s">
        <v>535</v>
      </c>
      <c r="H58" s="22" t="s">
        <v>536</v>
      </c>
      <c r="I58" s="30" t="s">
        <v>553</v>
      </c>
      <c r="J58" s="29" t="s">
        <v>554</v>
      </c>
      <c r="K58" s="31" t="n">
        <v>1.11</v>
      </c>
      <c r="L58" s="27" t="s">
        <v>413</v>
      </c>
      <c r="M58" s="24" t="s">
        <v>546</v>
      </c>
      <c r="N58" s="25"/>
    </row>
    <row r="59" customFormat="false" ht="81" hidden="false" customHeight="true" outlineLevel="0" collapsed="false">
      <c r="A59" s="19" t="s">
        <v>564</v>
      </c>
      <c r="B59" s="20" t="s">
        <v>380</v>
      </c>
      <c r="C59" s="20" t="s">
        <v>380</v>
      </c>
      <c r="D59" s="20" t="s">
        <v>350</v>
      </c>
      <c r="E59" s="21" t="s">
        <v>204</v>
      </c>
      <c r="F59" s="22" t="s">
        <v>413</v>
      </c>
      <c r="G59" s="22" t="s">
        <v>535</v>
      </c>
      <c r="H59" s="22" t="s">
        <v>536</v>
      </c>
      <c r="I59" s="30" t="s">
        <v>565</v>
      </c>
      <c r="J59" s="29" t="s">
        <v>368</v>
      </c>
      <c r="K59" s="31" t="n">
        <v>3.33</v>
      </c>
      <c r="L59" s="27" t="s">
        <v>413</v>
      </c>
      <c r="M59" s="24" t="s">
        <v>566</v>
      </c>
      <c r="N59" s="25"/>
    </row>
    <row r="60" customFormat="false" ht="67.5" hidden="false" customHeight="true" outlineLevel="0" collapsed="false">
      <c r="A60" s="19" t="s">
        <v>567</v>
      </c>
      <c r="B60" s="20" t="s">
        <v>380</v>
      </c>
      <c r="C60" s="20" t="s">
        <v>380</v>
      </c>
      <c r="D60" s="20" t="s">
        <v>350</v>
      </c>
      <c r="E60" s="21" t="s">
        <v>568</v>
      </c>
      <c r="F60" s="22" t="s">
        <v>413</v>
      </c>
      <c r="G60" s="22" t="s">
        <v>535</v>
      </c>
      <c r="H60" s="22" t="s">
        <v>536</v>
      </c>
      <c r="I60" s="30" t="s">
        <v>544</v>
      </c>
      <c r="J60" s="29" t="s">
        <v>545</v>
      </c>
      <c r="K60" s="31" t="n">
        <v>1.11</v>
      </c>
      <c r="L60" s="27" t="s">
        <v>413</v>
      </c>
      <c r="M60" s="24" t="s">
        <v>546</v>
      </c>
      <c r="N60" s="25"/>
    </row>
    <row r="61" customFormat="false" ht="67.5" hidden="false" customHeight="true" outlineLevel="0" collapsed="false">
      <c r="A61" s="19" t="s">
        <v>569</v>
      </c>
      <c r="B61" s="20" t="s">
        <v>380</v>
      </c>
      <c r="C61" s="20" t="s">
        <v>380</v>
      </c>
      <c r="D61" s="20" t="s">
        <v>350</v>
      </c>
      <c r="E61" s="21" t="s">
        <v>570</v>
      </c>
      <c r="F61" s="22" t="s">
        <v>413</v>
      </c>
      <c r="G61" s="22" t="s">
        <v>535</v>
      </c>
      <c r="H61" s="22" t="s">
        <v>536</v>
      </c>
      <c r="I61" s="30" t="s">
        <v>549</v>
      </c>
      <c r="J61" s="29" t="s">
        <v>550</v>
      </c>
      <c r="K61" s="31" t="n">
        <v>1.11</v>
      </c>
      <c r="L61" s="27" t="s">
        <v>413</v>
      </c>
      <c r="M61" s="24" t="s">
        <v>546</v>
      </c>
      <c r="N61" s="25"/>
    </row>
    <row r="62" customFormat="false" ht="67.5" hidden="false" customHeight="true" outlineLevel="0" collapsed="false">
      <c r="A62" s="19" t="s">
        <v>571</v>
      </c>
      <c r="B62" s="20" t="s">
        <v>380</v>
      </c>
      <c r="C62" s="20" t="s">
        <v>380</v>
      </c>
      <c r="D62" s="20" t="s">
        <v>350</v>
      </c>
      <c r="E62" s="21" t="s">
        <v>572</v>
      </c>
      <c r="F62" s="22" t="s">
        <v>413</v>
      </c>
      <c r="G62" s="22" t="s">
        <v>535</v>
      </c>
      <c r="H62" s="22" t="s">
        <v>536</v>
      </c>
      <c r="I62" s="30" t="s">
        <v>553</v>
      </c>
      <c r="J62" s="29" t="s">
        <v>554</v>
      </c>
      <c r="K62" s="31" t="n">
        <v>1.11</v>
      </c>
      <c r="L62" s="27" t="s">
        <v>413</v>
      </c>
      <c r="M62" s="24" t="s">
        <v>546</v>
      </c>
      <c r="N62" s="25"/>
    </row>
    <row r="63" customFormat="false" ht="40.5" hidden="false" customHeight="true" outlineLevel="0" collapsed="false">
      <c r="A63" s="19" t="s">
        <v>573</v>
      </c>
      <c r="B63" s="20" t="s">
        <v>426</v>
      </c>
      <c r="C63" s="20" t="s">
        <v>380</v>
      </c>
      <c r="D63" s="20" t="s">
        <v>350</v>
      </c>
      <c r="E63" s="21" t="s">
        <v>574</v>
      </c>
      <c r="F63" s="22" t="s">
        <v>413</v>
      </c>
      <c r="G63" s="22" t="s">
        <v>535</v>
      </c>
      <c r="H63" s="22" t="s">
        <v>575</v>
      </c>
      <c r="I63" s="27" t="s">
        <v>576</v>
      </c>
      <c r="J63" s="19" t="s">
        <v>354</v>
      </c>
      <c r="K63" s="23" t="n">
        <v>10</v>
      </c>
      <c r="L63" s="27" t="s">
        <v>413</v>
      </c>
      <c r="M63" s="24" t="s">
        <v>380</v>
      </c>
      <c r="N63" s="25"/>
    </row>
    <row r="64" customFormat="false" ht="108" hidden="false" customHeight="true" outlineLevel="0" collapsed="false">
      <c r="A64" s="29" t="s">
        <v>577</v>
      </c>
      <c r="B64" s="30" t="s">
        <v>177</v>
      </c>
      <c r="C64" s="30" t="s">
        <v>380</v>
      </c>
      <c r="D64" s="20" t="s">
        <v>350</v>
      </c>
      <c r="E64" s="21" t="s">
        <v>207</v>
      </c>
      <c r="F64" s="22" t="s">
        <v>413</v>
      </c>
      <c r="G64" s="22" t="s">
        <v>535</v>
      </c>
      <c r="H64" s="22" t="s">
        <v>575</v>
      </c>
      <c r="I64" s="30" t="s">
        <v>578</v>
      </c>
      <c r="J64" s="29" t="s">
        <v>368</v>
      </c>
      <c r="K64" s="23" t="n">
        <v>3.33</v>
      </c>
      <c r="L64" s="20" t="s">
        <v>413</v>
      </c>
      <c r="M64" s="24" t="s">
        <v>579</v>
      </c>
      <c r="N64" s="25" t="s">
        <v>580</v>
      </c>
    </row>
    <row r="65" customFormat="false" ht="135" hidden="false" customHeight="true" outlineLevel="0" collapsed="false">
      <c r="A65" s="29" t="s">
        <v>581</v>
      </c>
      <c r="B65" s="30" t="s">
        <v>180</v>
      </c>
      <c r="C65" s="30" t="s">
        <v>380</v>
      </c>
      <c r="D65" s="20" t="s">
        <v>350</v>
      </c>
      <c r="E65" s="21" t="s">
        <v>210</v>
      </c>
      <c r="F65" s="22" t="s">
        <v>413</v>
      </c>
      <c r="G65" s="22" t="s">
        <v>535</v>
      </c>
      <c r="H65" s="22" t="s">
        <v>575</v>
      </c>
      <c r="I65" s="30" t="s">
        <v>582</v>
      </c>
      <c r="J65" s="29" t="s">
        <v>368</v>
      </c>
      <c r="K65" s="23" t="n">
        <v>3.33</v>
      </c>
      <c r="L65" s="20" t="s">
        <v>413</v>
      </c>
      <c r="M65" s="24" t="s">
        <v>583</v>
      </c>
      <c r="N65" s="25"/>
    </row>
    <row r="66" customFormat="false" ht="40.5" hidden="false" customHeight="true" outlineLevel="0" collapsed="false">
      <c r="A66" s="29" t="s">
        <v>584</v>
      </c>
      <c r="B66" s="30" t="s">
        <v>380</v>
      </c>
      <c r="C66" s="30" t="s">
        <v>380</v>
      </c>
      <c r="D66" s="20" t="s">
        <v>350</v>
      </c>
      <c r="E66" s="21" t="s">
        <v>213</v>
      </c>
      <c r="F66" s="22" t="s">
        <v>413</v>
      </c>
      <c r="G66" s="22" t="s">
        <v>535</v>
      </c>
      <c r="H66" s="22" t="s">
        <v>575</v>
      </c>
      <c r="I66" s="30" t="s">
        <v>565</v>
      </c>
      <c r="J66" s="29" t="s">
        <v>368</v>
      </c>
      <c r="K66" s="23" t="n">
        <v>3.33</v>
      </c>
      <c r="L66" s="27" t="s">
        <v>413</v>
      </c>
      <c r="M66" s="24" t="s">
        <v>585</v>
      </c>
      <c r="N66" s="25"/>
    </row>
    <row r="67" customFormat="false" ht="40.5" hidden="false" customHeight="true" outlineLevel="0" collapsed="false">
      <c r="A67" s="19" t="s">
        <v>586</v>
      </c>
      <c r="B67" s="20" t="s">
        <v>515</v>
      </c>
      <c r="C67" s="20" t="s">
        <v>380</v>
      </c>
      <c r="D67" s="20" t="s">
        <v>350</v>
      </c>
      <c r="E67" s="21" t="s">
        <v>587</v>
      </c>
      <c r="F67" s="22" t="s">
        <v>413</v>
      </c>
      <c r="G67" s="22" t="s">
        <v>535</v>
      </c>
      <c r="H67" s="22" t="s">
        <v>588</v>
      </c>
      <c r="I67" s="27" t="s">
        <v>589</v>
      </c>
      <c r="J67" s="19" t="s">
        <v>354</v>
      </c>
      <c r="K67" s="23" t="n">
        <v>10</v>
      </c>
      <c r="L67" s="20" t="s">
        <v>413</v>
      </c>
      <c r="M67" s="24" t="s">
        <v>380</v>
      </c>
      <c r="N67" s="25"/>
    </row>
    <row r="68" customFormat="false" ht="216" hidden="false" customHeight="true" outlineLevel="0" collapsed="false">
      <c r="A68" s="19" t="s">
        <v>590</v>
      </c>
      <c r="B68" s="20" t="s">
        <v>380</v>
      </c>
      <c r="C68" s="20" t="s">
        <v>380</v>
      </c>
      <c r="D68" s="20" t="s">
        <v>350</v>
      </c>
      <c r="E68" s="21" t="s">
        <v>216</v>
      </c>
      <c r="F68" s="22" t="s">
        <v>413</v>
      </c>
      <c r="G68" s="22" t="s">
        <v>535</v>
      </c>
      <c r="H68" s="22" t="s">
        <v>588</v>
      </c>
      <c r="I68" s="30" t="s">
        <v>591</v>
      </c>
      <c r="J68" s="29" t="s">
        <v>368</v>
      </c>
      <c r="K68" s="23" t="n">
        <v>3.33</v>
      </c>
      <c r="L68" s="27" t="s">
        <v>413</v>
      </c>
      <c r="M68" s="24" t="s">
        <v>592</v>
      </c>
      <c r="N68" s="25"/>
    </row>
    <row r="69" customFormat="false" ht="148.5" hidden="false" customHeight="true" outlineLevel="0" collapsed="false">
      <c r="A69" s="19" t="s">
        <v>593</v>
      </c>
      <c r="B69" s="20" t="s">
        <v>380</v>
      </c>
      <c r="C69" s="20" t="s">
        <v>380</v>
      </c>
      <c r="D69" s="20" t="s">
        <v>350</v>
      </c>
      <c r="E69" s="21" t="s">
        <v>219</v>
      </c>
      <c r="F69" s="22" t="s">
        <v>413</v>
      </c>
      <c r="G69" s="22" t="s">
        <v>535</v>
      </c>
      <c r="H69" s="22" t="s">
        <v>588</v>
      </c>
      <c r="I69" s="30" t="s">
        <v>582</v>
      </c>
      <c r="J69" s="29" t="s">
        <v>368</v>
      </c>
      <c r="K69" s="23" t="n">
        <v>3.33</v>
      </c>
      <c r="L69" s="27" t="s">
        <v>413</v>
      </c>
      <c r="M69" s="24" t="s">
        <v>594</v>
      </c>
      <c r="N69" s="25"/>
    </row>
    <row r="70" customFormat="false" ht="162" hidden="false" customHeight="true" outlineLevel="0" collapsed="false">
      <c r="A70" s="19" t="s">
        <v>595</v>
      </c>
      <c r="B70" s="20" t="s">
        <v>380</v>
      </c>
      <c r="C70" s="20" t="s">
        <v>380</v>
      </c>
      <c r="D70" s="20" t="s">
        <v>350</v>
      </c>
      <c r="E70" s="21" t="s">
        <v>222</v>
      </c>
      <c r="F70" s="22" t="s">
        <v>413</v>
      </c>
      <c r="G70" s="22" t="s">
        <v>535</v>
      </c>
      <c r="H70" s="22" t="s">
        <v>588</v>
      </c>
      <c r="I70" s="30" t="s">
        <v>565</v>
      </c>
      <c r="J70" s="29" t="s">
        <v>368</v>
      </c>
      <c r="K70" s="23" t="n">
        <v>3.33</v>
      </c>
      <c r="L70" s="27" t="s">
        <v>413</v>
      </c>
      <c r="M70" s="24" t="s">
        <v>596</v>
      </c>
      <c r="N70" s="25"/>
    </row>
    <row r="71" customFormat="false" ht="40.5" hidden="false" customHeight="true" outlineLevel="0" collapsed="false">
      <c r="A71" s="19" t="s">
        <v>597</v>
      </c>
      <c r="B71" s="20" t="s">
        <v>380</v>
      </c>
      <c r="C71" s="20" t="s">
        <v>380</v>
      </c>
      <c r="D71" s="20" t="s">
        <v>350</v>
      </c>
      <c r="E71" s="21" t="s">
        <v>598</v>
      </c>
      <c r="F71" s="22" t="s">
        <v>413</v>
      </c>
      <c r="G71" s="22" t="s">
        <v>535</v>
      </c>
      <c r="H71" s="22" t="s">
        <v>599</v>
      </c>
      <c r="I71" s="27" t="s">
        <v>600</v>
      </c>
      <c r="J71" s="19" t="s">
        <v>354</v>
      </c>
      <c r="K71" s="23" t="n">
        <v>10</v>
      </c>
      <c r="L71" s="27" t="s">
        <v>413</v>
      </c>
      <c r="M71" s="24" t="s">
        <v>380</v>
      </c>
      <c r="N71" s="25"/>
    </row>
    <row r="72" customFormat="false" ht="202.5" hidden="false" customHeight="true" outlineLevel="0" collapsed="false">
      <c r="A72" s="19" t="s">
        <v>601</v>
      </c>
      <c r="B72" s="20" t="s">
        <v>380</v>
      </c>
      <c r="C72" s="20" t="s">
        <v>380</v>
      </c>
      <c r="D72" s="20" t="s">
        <v>350</v>
      </c>
      <c r="E72" s="21" t="s">
        <v>225</v>
      </c>
      <c r="F72" s="22" t="s">
        <v>413</v>
      </c>
      <c r="G72" s="22" t="s">
        <v>535</v>
      </c>
      <c r="H72" s="22" t="s">
        <v>599</v>
      </c>
      <c r="I72" s="30" t="s">
        <v>602</v>
      </c>
      <c r="J72" s="29" t="s">
        <v>368</v>
      </c>
      <c r="K72" s="23" t="n">
        <v>3.33</v>
      </c>
      <c r="L72" s="20" t="s">
        <v>413</v>
      </c>
      <c r="M72" s="24" t="s">
        <v>603</v>
      </c>
      <c r="N72" s="25"/>
    </row>
    <row r="73" customFormat="false" ht="162" hidden="false" customHeight="true" outlineLevel="0" collapsed="false">
      <c r="A73" s="19" t="s">
        <v>604</v>
      </c>
      <c r="B73" s="20" t="s">
        <v>380</v>
      </c>
      <c r="C73" s="20" t="s">
        <v>380</v>
      </c>
      <c r="D73" s="20" t="s">
        <v>350</v>
      </c>
      <c r="E73" s="21" t="s">
        <v>228</v>
      </c>
      <c r="F73" s="22" t="s">
        <v>413</v>
      </c>
      <c r="G73" s="22" t="s">
        <v>535</v>
      </c>
      <c r="H73" s="22" t="s">
        <v>599</v>
      </c>
      <c r="I73" s="30" t="s">
        <v>582</v>
      </c>
      <c r="J73" s="29" t="s">
        <v>368</v>
      </c>
      <c r="K73" s="23" t="n">
        <v>3.33</v>
      </c>
      <c r="L73" s="20" t="s">
        <v>413</v>
      </c>
      <c r="M73" s="24" t="s">
        <v>605</v>
      </c>
      <c r="N73" s="25"/>
    </row>
    <row r="74" customFormat="false" ht="148.5" hidden="false" customHeight="true" outlineLevel="0" collapsed="false">
      <c r="A74" s="19" t="s">
        <v>606</v>
      </c>
      <c r="B74" s="20" t="s">
        <v>380</v>
      </c>
      <c r="C74" s="20" t="s">
        <v>380</v>
      </c>
      <c r="D74" s="20" t="s">
        <v>350</v>
      </c>
      <c r="E74" s="21" t="s">
        <v>231</v>
      </c>
      <c r="F74" s="22" t="s">
        <v>413</v>
      </c>
      <c r="G74" s="22" t="s">
        <v>535</v>
      </c>
      <c r="H74" s="22" t="s">
        <v>599</v>
      </c>
      <c r="I74" s="30" t="s">
        <v>565</v>
      </c>
      <c r="J74" s="29" t="s">
        <v>368</v>
      </c>
      <c r="K74" s="23" t="n">
        <v>3.33</v>
      </c>
      <c r="L74" s="20" t="s">
        <v>413</v>
      </c>
      <c r="M74" s="24" t="s">
        <v>607</v>
      </c>
      <c r="N74" s="25"/>
    </row>
    <row r="75" customFormat="false" ht="40.5" hidden="false" customHeight="true" outlineLevel="0" collapsed="false">
      <c r="A75" s="19" t="s">
        <v>608</v>
      </c>
      <c r="B75" s="20" t="s">
        <v>380</v>
      </c>
      <c r="C75" s="20" t="s">
        <v>380</v>
      </c>
      <c r="D75" s="20" t="s">
        <v>350</v>
      </c>
      <c r="E75" s="21" t="s">
        <v>499</v>
      </c>
      <c r="F75" s="21" t="s">
        <v>413</v>
      </c>
      <c r="G75" s="22" t="s">
        <v>609</v>
      </c>
      <c r="H75" s="22" t="s">
        <v>609</v>
      </c>
      <c r="I75" s="48" t="s">
        <v>610</v>
      </c>
      <c r="J75" s="29" t="s">
        <v>354</v>
      </c>
      <c r="K75" s="23" t="n">
        <v>10</v>
      </c>
      <c r="L75" s="20" t="s">
        <v>413</v>
      </c>
      <c r="M75" s="24" t="s">
        <v>538</v>
      </c>
      <c r="N75" s="25"/>
    </row>
    <row r="76" customFormat="false" ht="175.5" hidden="false" customHeight="true" outlineLevel="0" collapsed="false">
      <c r="A76" s="19" t="s">
        <v>611</v>
      </c>
      <c r="B76" s="20" t="s">
        <v>380</v>
      </c>
      <c r="C76" s="20" t="s">
        <v>380</v>
      </c>
      <c r="D76" s="20" t="s">
        <v>350</v>
      </c>
      <c r="E76" s="21" t="s">
        <v>234</v>
      </c>
      <c r="F76" s="21" t="s">
        <v>413</v>
      </c>
      <c r="G76" s="22" t="s">
        <v>609</v>
      </c>
      <c r="H76" s="22" t="s">
        <v>609</v>
      </c>
      <c r="I76" s="21" t="s">
        <v>612</v>
      </c>
      <c r="J76" s="29" t="s">
        <v>368</v>
      </c>
      <c r="K76" s="23" t="n">
        <v>5</v>
      </c>
      <c r="L76" s="20" t="s">
        <v>413</v>
      </c>
      <c r="M76" s="24" t="s">
        <v>613</v>
      </c>
      <c r="N76" s="25" t="s">
        <v>614</v>
      </c>
    </row>
    <row r="77" customFormat="false" ht="121.5" hidden="false" customHeight="true" outlineLevel="0" collapsed="false">
      <c r="A77" s="19" t="s">
        <v>615</v>
      </c>
      <c r="B77" s="20" t="s">
        <v>380</v>
      </c>
      <c r="C77" s="20" t="s">
        <v>380</v>
      </c>
      <c r="D77" s="20" t="s">
        <v>350</v>
      </c>
      <c r="E77" s="21" t="s">
        <v>237</v>
      </c>
      <c r="F77" s="21" t="s">
        <v>413</v>
      </c>
      <c r="G77" s="22" t="s">
        <v>609</v>
      </c>
      <c r="H77" s="22" t="s">
        <v>609</v>
      </c>
      <c r="I77" s="30" t="s">
        <v>616</v>
      </c>
      <c r="J77" s="29" t="s">
        <v>368</v>
      </c>
      <c r="K77" s="23" t="n">
        <v>5</v>
      </c>
      <c r="L77" s="20" t="s">
        <v>413</v>
      </c>
      <c r="M77" s="24" t="s">
        <v>617</v>
      </c>
      <c r="N77" s="25" t="s">
        <v>618</v>
      </c>
    </row>
    <row r="78" customFormat="false" ht="40.5" hidden="false" customHeight="true" outlineLevel="0" collapsed="false">
      <c r="A78" s="42" t="s">
        <v>619</v>
      </c>
      <c r="B78" s="41" t="s">
        <v>380</v>
      </c>
      <c r="C78" s="41" t="s">
        <v>380</v>
      </c>
      <c r="D78" s="20" t="s">
        <v>350</v>
      </c>
      <c r="E78" s="21" t="s">
        <v>503</v>
      </c>
      <c r="F78" s="21" t="s">
        <v>413</v>
      </c>
      <c r="G78" s="22" t="s">
        <v>609</v>
      </c>
      <c r="H78" s="22" t="s">
        <v>609</v>
      </c>
      <c r="I78" s="27" t="s">
        <v>620</v>
      </c>
      <c r="J78" s="42" t="s">
        <v>354</v>
      </c>
      <c r="K78" s="43" t="n">
        <v>10</v>
      </c>
      <c r="L78" s="41" t="s">
        <v>413</v>
      </c>
      <c r="M78" s="24" t="s">
        <v>621</v>
      </c>
      <c r="N78" s="25"/>
    </row>
    <row r="79" customFormat="false" ht="148.5" hidden="false" customHeight="true" outlineLevel="0" collapsed="false">
      <c r="A79" s="42" t="s">
        <v>622</v>
      </c>
      <c r="B79" s="41" t="s">
        <v>380</v>
      </c>
      <c r="C79" s="41" t="s">
        <v>380</v>
      </c>
      <c r="D79" s="20" t="s">
        <v>350</v>
      </c>
      <c r="E79" s="21" t="s">
        <v>240</v>
      </c>
      <c r="F79" s="21" t="s">
        <v>413</v>
      </c>
      <c r="G79" s="22" t="s">
        <v>609</v>
      </c>
      <c r="H79" s="22" t="s">
        <v>623</v>
      </c>
      <c r="I79" s="49" t="s">
        <v>624</v>
      </c>
      <c r="J79" s="42" t="s">
        <v>368</v>
      </c>
      <c r="K79" s="43" t="n">
        <v>2.5</v>
      </c>
      <c r="L79" s="41" t="s">
        <v>413</v>
      </c>
      <c r="M79" s="24" t="s">
        <v>625</v>
      </c>
      <c r="N79" s="25"/>
    </row>
    <row r="80" customFormat="false" ht="135" hidden="false" customHeight="true" outlineLevel="0" collapsed="false">
      <c r="A80" s="42" t="s">
        <v>626</v>
      </c>
      <c r="B80" s="41" t="s">
        <v>380</v>
      </c>
      <c r="C80" s="41" t="s">
        <v>380</v>
      </c>
      <c r="D80" s="20" t="s">
        <v>350</v>
      </c>
      <c r="E80" s="21" t="s">
        <v>244</v>
      </c>
      <c r="F80" s="21" t="s">
        <v>413</v>
      </c>
      <c r="G80" s="22" t="s">
        <v>627</v>
      </c>
      <c r="H80" s="22" t="s">
        <v>628</v>
      </c>
      <c r="I80" s="30" t="s">
        <v>629</v>
      </c>
      <c r="J80" s="42" t="s">
        <v>368</v>
      </c>
      <c r="K80" s="43" t="n">
        <v>2.5</v>
      </c>
      <c r="L80" s="41" t="s">
        <v>413</v>
      </c>
      <c r="M80" s="24" t="s">
        <v>630</v>
      </c>
      <c r="N80" s="25"/>
    </row>
    <row r="81" customFormat="false" ht="135" hidden="false" customHeight="true" outlineLevel="0" collapsed="false">
      <c r="A81" s="42" t="s">
        <v>631</v>
      </c>
      <c r="B81" s="41" t="s">
        <v>380</v>
      </c>
      <c r="C81" s="41" t="s">
        <v>380</v>
      </c>
      <c r="D81" s="20" t="s">
        <v>350</v>
      </c>
      <c r="E81" s="21" t="s">
        <v>247</v>
      </c>
      <c r="F81" s="21" t="s">
        <v>413</v>
      </c>
      <c r="G81" s="22" t="s">
        <v>627</v>
      </c>
      <c r="H81" s="22" t="s">
        <v>632</v>
      </c>
      <c r="I81" s="49" t="s">
        <v>633</v>
      </c>
      <c r="J81" s="42" t="s">
        <v>368</v>
      </c>
      <c r="K81" s="43" t="n">
        <v>2.5</v>
      </c>
      <c r="L81" s="41" t="s">
        <v>413</v>
      </c>
      <c r="M81" s="24" t="s">
        <v>634</v>
      </c>
      <c r="N81" s="25"/>
    </row>
    <row r="82" customFormat="false" ht="135" hidden="false" customHeight="true" outlineLevel="0" collapsed="false">
      <c r="A82" s="42" t="s">
        <v>635</v>
      </c>
      <c r="B82" s="41" t="s">
        <v>380</v>
      </c>
      <c r="C82" s="41" t="s">
        <v>380</v>
      </c>
      <c r="D82" s="20" t="s">
        <v>350</v>
      </c>
      <c r="E82" s="21" t="s">
        <v>250</v>
      </c>
      <c r="F82" s="21" t="s">
        <v>413</v>
      </c>
      <c r="G82" s="22" t="s">
        <v>627</v>
      </c>
      <c r="H82" s="22" t="s">
        <v>636</v>
      </c>
      <c r="I82" s="49" t="s">
        <v>637</v>
      </c>
      <c r="J82" s="42" t="s">
        <v>368</v>
      </c>
      <c r="K82" s="43" t="n">
        <v>2.5</v>
      </c>
      <c r="L82" s="41" t="s">
        <v>413</v>
      </c>
      <c r="M82" s="24" t="s">
        <v>638</v>
      </c>
      <c r="N82" s="25"/>
    </row>
    <row r="83" customFormat="false" ht="54" hidden="false" customHeight="true" outlineLevel="0" collapsed="false">
      <c r="A83" s="19" t="s">
        <v>639</v>
      </c>
      <c r="B83" s="20" t="s">
        <v>534</v>
      </c>
      <c r="C83" s="20" t="s">
        <v>114</v>
      </c>
      <c r="D83" s="20" t="s">
        <v>350</v>
      </c>
      <c r="E83" s="21" t="s">
        <v>513</v>
      </c>
      <c r="F83" s="22" t="s">
        <v>413</v>
      </c>
      <c r="G83" s="22" t="s">
        <v>640</v>
      </c>
      <c r="H83" s="22" t="s">
        <v>641</v>
      </c>
      <c r="I83" s="27" t="s">
        <v>642</v>
      </c>
      <c r="J83" s="19" t="s">
        <v>354</v>
      </c>
      <c r="K83" s="23" t="n">
        <v>10</v>
      </c>
      <c r="L83" s="20" t="s">
        <v>355</v>
      </c>
      <c r="M83" s="24" t="s">
        <v>538</v>
      </c>
      <c r="N83" s="25"/>
    </row>
    <row r="84" customFormat="false" ht="283.5" hidden="false" customHeight="true" outlineLevel="0" collapsed="false">
      <c r="A84" s="19" t="s">
        <v>643</v>
      </c>
      <c r="B84" s="20" t="s">
        <v>380</v>
      </c>
      <c r="C84" s="20" t="s">
        <v>380</v>
      </c>
      <c r="D84" s="20" t="s">
        <v>350</v>
      </c>
      <c r="E84" s="21" t="s">
        <v>253</v>
      </c>
      <c r="F84" s="22" t="s">
        <v>413</v>
      </c>
      <c r="G84" s="22" t="s">
        <v>640</v>
      </c>
      <c r="H84" s="22" t="s">
        <v>641</v>
      </c>
      <c r="I84" s="30" t="s">
        <v>644</v>
      </c>
      <c r="J84" s="19" t="s">
        <v>368</v>
      </c>
      <c r="K84" s="23" t="n">
        <v>5</v>
      </c>
      <c r="L84" s="27" t="s">
        <v>355</v>
      </c>
      <c r="M84" s="24" t="s">
        <v>645</v>
      </c>
      <c r="N84" s="25"/>
    </row>
    <row r="85" customFormat="false" ht="391.5" hidden="false" customHeight="true" outlineLevel="0" collapsed="false">
      <c r="A85" s="19" t="s">
        <v>646</v>
      </c>
      <c r="B85" s="20" t="s">
        <v>380</v>
      </c>
      <c r="C85" s="20" t="s">
        <v>380</v>
      </c>
      <c r="D85" s="20" t="s">
        <v>350</v>
      </c>
      <c r="E85" s="21" t="s">
        <v>259</v>
      </c>
      <c r="F85" s="22" t="s">
        <v>413</v>
      </c>
      <c r="G85" s="22" t="s">
        <v>640</v>
      </c>
      <c r="H85" s="22" t="s">
        <v>641</v>
      </c>
      <c r="I85" s="30" t="s">
        <v>647</v>
      </c>
      <c r="J85" s="19" t="s">
        <v>368</v>
      </c>
      <c r="K85" s="23" t="n">
        <v>5</v>
      </c>
      <c r="L85" s="27" t="s">
        <v>413</v>
      </c>
      <c r="M85" s="24" t="s">
        <v>648</v>
      </c>
      <c r="N85" s="25"/>
    </row>
    <row r="86" customFormat="false" ht="40.5" hidden="false" customHeight="true" outlineLevel="0" collapsed="false">
      <c r="A86" s="19" t="s">
        <v>649</v>
      </c>
      <c r="B86" s="20" t="s">
        <v>380</v>
      </c>
      <c r="C86" s="20" t="s">
        <v>380</v>
      </c>
      <c r="D86" s="20" t="s">
        <v>350</v>
      </c>
      <c r="E86" s="21" t="s">
        <v>650</v>
      </c>
      <c r="F86" s="22" t="s">
        <v>413</v>
      </c>
      <c r="G86" s="22" t="s">
        <v>640</v>
      </c>
      <c r="H86" s="22" t="s">
        <v>651</v>
      </c>
      <c r="I86" s="20" t="s">
        <v>652</v>
      </c>
      <c r="J86" s="26" t="s">
        <v>354</v>
      </c>
      <c r="K86" s="28" t="n">
        <v>10</v>
      </c>
      <c r="L86" s="27" t="s">
        <v>413</v>
      </c>
      <c r="M86" s="24" t="s">
        <v>538</v>
      </c>
      <c r="N86" s="25"/>
    </row>
    <row r="87" customFormat="false" ht="148.5" hidden="false" customHeight="true" outlineLevel="0" collapsed="false">
      <c r="A87" s="19" t="s">
        <v>653</v>
      </c>
      <c r="B87" s="20" t="s">
        <v>380</v>
      </c>
      <c r="C87" s="20" t="s">
        <v>380</v>
      </c>
      <c r="D87" s="20" t="s">
        <v>350</v>
      </c>
      <c r="E87" s="21" t="s">
        <v>262</v>
      </c>
      <c r="F87" s="22" t="s">
        <v>413</v>
      </c>
      <c r="G87" s="22" t="s">
        <v>640</v>
      </c>
      <c r="H87" s="22" t="s">
        <v>651</v>
      </c>
      <c r="I87" s="20" t="s">
        <v>654</v>
      </c>
      <c r="J87" s="19" t="s">
        <v>368</v>
      </c>
      <c r="K87" s="23" t="n">
        <v>5</v>
      </c>
      <c r="L87" s="20" t="s">
        <v>355</v>
      </c>
      <c r="M87" s="24" t="s">
        <v>655</v>
      </c>
      <c r="N87" s="25"/>
    </row>
    <row r="88" customFormat="false" ht="89.25" hidden="false" customHeight="true" outlineLevel="0" collapsed="false">
      <c r="A88" s="19" t="s">
        <v>656</v>
      </c>
      <c r="B88" s="20" t="s">
        <v>380</v>
      </c>
      <c r="C88" s="20" t="s">
        <v>380</v>
      </c>
      <c r="D88" s="20" t="s">
        <v>350</v>
      </c>
      <c r="E88" s="21" t="s">
        <v>268</v>
      </c>
      <c r="F88" s="22" t="s">
        <v>413</v>
      </c>
      <c r="G88" s="22" t="s">
        <v>640</v>
      </c>
      <c r="H88" s="22" t="s">
        <v>651</v>
      </c>
      <c r="I88" s="20" t="s">
        <v>657</v>
      </c>
      <c r="J88" s="19" t="s">
        <v>368</v>
      </c>
      <c r="K88" s="23" t="n">
        <v>5</v>
      </c>
      <c r="L88" s="20" t="s">
        <v>413</v>
      </c>
      <c r="M88" s="24" t="s">
        <v>658</v>
      </c>
      <c r="N88" s="25" t="s">
        <v>659</v>
      </c>
    </row>
    <row r="89" customFormat="false" ht="135" hidden="false" customHeight="true" outlineLevel="0" collapsed="false">
      <c r="A89" s="42" t="s">
        <v>660</v>
      </c>
      <c r="B89" s="41" t="s">
        <v>380</v>
      </c>
      <c r="C89" s="41" t="s">
        <v>380</v>
      </c>
      <c r="D89" s="20" t="s">
        <v>350</v>
      </c>
      <c r="E89" s="21" t="s">
        <v>271</v>
      </c>
      <c r="F89" s="22" t="s">
        <v>413</v>
      </c>
      <c r="G89" s="22" t="s">
        <v>661</v>
      </c>
      <c r="H89" s="22" t="s">
        <v>662</v>
      </c>
      <c r="I89" s="21" t="s">
        <v>272</v>
      </c>
      <c r="J89" s="50" t="s">
        <v>354</v>
      </c>
      <c r="K89" s="51" t="n">
        <v>10</v>
      </c>
      <c r="L89" s="41" t="s">
        <v>663</v>
      </c>
      <c r="M89" s="24" t="s">
        <v>664</v>
      </c>
      <c r="N89" s="25"/>
    </row>
    <row r="90" s="58" customFormat="true" ht="148.5" hidden="false" customHeight="true" outlineLevel="0" collapsed="false">
      <c r="A90" s="52" t="s">
        <v>665</v>
      </c>
      <c r="B90" s="53" t="s">
        <v>380</v>
      </c>
      <c r="C90" s="53" t="s">
        <v>380</v>
      </c>
      <c r="D90" s="20" t="s">
        <v>350</v>
      </c>
      <c r="E90" s="54" t="s">
        <v>666</v>
      </c>
      <c r="F90" s="22" t="s">
        <v>413</v>
      </c>
      <c r="G90" s="22" t="s">
        <v>661</v>
      </c>
      <c r="H90" s="22" t="s">
        <v>667</v>
      </c>
      <c r="I90" s="22" t="s">
        <v>668</v>
      </c>
      <c r="J90" s="55" t="s">
        <v>354</v>
      </c>
      <c r="K90" s="56" t="n">
        <v>10</v>
      </c>
      <c r="L90" s="27" t="s">
        <v>355</v>
      </c>
      <c r="M90" s="46" t="s">
        <v>669</v>
      </c>
      <c r="N90" s="57"/>
    </row>
    <row r="91" s="58" customFormat="true" ht="283.5" hidden="false" customHeight="true" outlineLevel="0" collapsed="false">
      <c r="A91" s="52" t="s">
        <v>670</v>
      </c>
      <c r="B91" s="53" t="s">
        <v>380</v>
      </c>
      <c r="C91" s="53" t="s">
        <v>380</v>
      </c>
      <c r="D91" s="20" t="s">
        <v>350</v>
      </c>
      <c r="E91" s="54" t="s">
        <v>276</v>
      </c>
      <c r="F91" s="59" t="s">
        <v>413</v>
      </c>
      <c r="G91" s="22" t="s">
        <v>661</v>
      </c>
      <c r="H91" s="22" t="s">
        <v>667</v>
      </c>
      <c r="I91" s="22" t="s">
        <v>671</v>
      </c>
      <c r="J91" s="19" t="s">
        <v>368</v>
      </c>
      <c r="K91" s="56" t="n">
        <v>2</v>
      </c>
      <c r="L91" s="27" t="s">
        <v>355</v>
      </c>
      <c r="M91" s="46" t="s">
        <v>672</v>
      </c>
      <c r="N91" s="60"/>
    </row>
    <row r="92" s="58" customFormat="true" ht="409.5" hidden="false" customHeight="true" outlineLevel="0" collapsed="false">
      <c r="A92" s="52" t="s">
        <v>673</v>
      </c>
      <c r="B92" s="53"/>
      <c r="C92" s="53"/>
      <c r="D92" s="20" t="s">
        <v>350</v>
      </c>
      <c r="E92" s="54" t="s">
        <v>280</v>
      </c>
      <c r="F92" s="59" t="s">
        <v>413</v>
      </c>
      <c r="G92" s="22" t="s">
        <v>661</v>
      </c>
      <c r="H92" s="22" t="s">
        <v>667</v>
      </c>
      <c r="I92" s="61" t="s">
        <v>674</v>
      </c>
      <c r="J92" s="62" t="s">
        <v>368</v>
      </c>
      <c r="K92" s="63" t="n">
        <v>2</v>
      </c>
      <c r="L92" s="20" t="s">
        <v>355</v>
      </c>
      <c r="M92" s="46" t="s">
        <v>675</v>
      </c>
      <c r="N92" s="57" t="s">
        <v>676</v>
      </c>
    </row>
    <row r="93" s="58" customFormat="true" ht="283.5" hidden="false" customHeight="true" outlineLevel="0" collapsed="false">
      <c r="A93" s="52" t="s">
        <v>677</v>
      </c>
      <c r="B93" s="53"/>
      <c r="C93" s="53"/>
      <c r="D93" s="20" t="s">
        <v>350</v>
      </c>
      <c r="E93" s="54" t="s">
        <v>283</v>
      </c>
      <c r="F93" s="59" t="s">
        <v>413</v>
      </c>
      <c r="G93" s="22" t="s">
        <v>661</v>
      </c>
      <c r="H93" s="22" t="s">
        <v>667</v>
      </c>
      <c r="I93" s="61" t="s">
        <v>678</v>
      </c>
      <c r="J93" s="62" t="s">
        <v>368</v>
      </c>
      <c r="K93" s="63" t="n">
        <v>2</v>
      </c>
      <c r="L93" s="20" t="s">
        <v>355</v>
      </c>
      <c r="M93" s="46" t="s">
        <v>679</v>
      </c>
      <c r="N93" s="57" t="s">
        <v>680</v>
      </c>
    </row>
    <row r="94" s="58" customFormat="true" ht="364.5" hidden="false" customHeight="true" outlineLevel="0" collapsed="false">
      <c r="A94" s="52" t="s">
        <v>681</v>
      </c>
      <c r="B94" s="53"/>
      <c r="C94" s="53"/>
      <c r="D94" s="20" t="s">
        <v>350</v>
      </c>
      <c r="E94" s="54" t="s">
        <v>289</v>
      </c>
      <c r="F94" s="59" t="s">
        <v>413</v>
      </c>
      <c r="G94" s="22" t="s">
        <v>661</v>
      </c>
      <c r="H94" s="22" t="s">
        <v>667</v>
      </c>
      <c r="I94" s="61" t="s">
        <v>682</v>
      </c>
      <c r="J94" s="62" t="s">
        <v>368</v>
      </c>
      <c r="K94" s="63" t="n">
        <v>2</v>
      </c>
      <c r="L94" s="20" t="s">
        <v>355</v>
      </c>
      <c r="M94" s="46" t="s">
        <v>683</v>
      </c>
      <c r="N94" s="57" t="s">
        <v>676</v>
      </c>
    </row>
    <row r="95" s="58" customFormat="true" ht="351" hidden="false" customHeight="true" outlineLevel="0" collapsed="false">
      <c r="A95" s="52" t="s">
        <v>684</v>
      </c>
      <c r="B95" s="53"/>
      <c r="C95" s="53"/>
      <c r="D95" s="20" t="s">
        <v>350</v>
      </c>
      <c r="E95" s="54" t="s">
        <v>292</v>
      </c>
      <c r="F95" s="59" t="s">
        <v>413</v>
      </c>
      <c r="G95" s="22" t="s">
        <v>661</v>
      </c>
      <c r="H95" s="22" t="s">
        <v>667</v>
      </c>
      <c r="I95" s="61" t="s">
        <v>685</v>
      </c>
      <c r="J95" s="62" t="s">
        <v>368</v>
      </c>
      <c r="K95" s="63" t="n">
        <v>2</v>
      </c>
      <c r="L95" s="20" t="s">
        <v>355</v>
      </c>
      <c r="M95" s="46" t="s">
        <v>686</v>
      </c>
      <c r="N95" s="57" t="s">
        <v>676</v>
      </c>
    </row>
    <row r="96" customFormat="false" ht="54" hidden="false" customHeight="true" outlineLevel="0" collapsed="false">
      <c r="A96" s="19" t="s">
        <v>687</v>
      </c>
      <c r="B96" s="20" t="s">
        <v>171</v>
      </c>
      <c r="C96" s="20" t="s">
        <v>100</v>
      </c>
      <c r="D96" s="20" t="s">
        <v>350</v>
      </c>
      <c r="E96" s="21" t="s">
        <v>422</v>
      </c>
      <c r="F96" s="22" t="s">
        <v>413</v>
      </c>
      <c r="G96" s="22" t="s">
        <v>661</v>
      </c>
      <c r="H96" s="22" t="s">
        <v>688</v>
      </c>
      <c r="I96" s="64" t="s">
        <v>689</v>
      </c>
      <c r="J96" s="26" t="s">
        <v>354</v>
      </c>
      <c r="K96" s="28" t="n">
        <v>10</v>
      </c>
      <c r="L96" s="27" t="s">
        <v>663</v>
      </c>
      <c r="M96" s="24" t="s">
        <v>690</v>
      </c>
      <c r="N96" s="25"/>
    </row>
    <row r="97" customFormat="false" ht="108" hidden="false" customHeight="true" outlineLevel="0" collapsed="false">
      <c r="A97" s="19" t="s">
        <v>691</v>
      </c>
      <c r="B97" s="20" t="s">
        <v>380</v>
      </c>
      <c r="C97" s="20" t="s">
        <v>380</v>
      </c>
      <c r="D97" s="20" t="s">
        <v>350</v>
      </c>
      <c r="E97" s="21" t="s">
        <v>297</v>
      </c>
      <c r="F97" s="22" t="s">
        <v>413</v>
      </c>
      <c r="G97" s="22" t="s">
        <v>661</v>
      </c>
      <c r="H97" s="22" t="s">
        <v>688</v>
      </c>
      <c r="I97" s="61" t="s">
        <v>692</v>
      </c>
      <c r="J97" s="19" t="s">
        <v>368</v>
      </c>
      <c r="K97" s="23" t="n">
        <v>5</v>
      </c>
      <c r="L97" s="20" t="s">
        <v>355</v>
      </c>
      <c r="M97" s="24" t="s">
        <v>693</v>
      </c>
      <c r="N97" s="25"/>
    </row>
    <row r="98" customFormat="false" ht="135" hidden="false" customHeight="true" outlineLevel="0" collapsed="false">
      <c r="A98" s="19" t="s">
        <v>694</v>
      </c>
      <c r="B98" s="20" t="s">
        <v>380</v>
      </c>
      <c r="C98" s="20" t="s">
        <v>380</v>
      </c>
      <c r="D98" s="20" t="s">
        <v>350</v>
      </c>
      <c r="E98" s="21" t="s">
        <v>302</v>
      </c>
      <c r="F98" s="22" t="s">
        <v>413</v>
      </c>
      <c r="G98" s="22" t="s">
        <v>661</v>
      </c>
      <c r="H98" s="22" t="s">
        <v>688</v>
      </c>
      <c r="I98" s="61" t="s">
        <v>695</v>
      </c>
      <c r="J98" s="19" t="s">
        <v>368</v>
      </c>
      <c r="K98" s="23" t="n">
        <v>5</v>
      </c>
      <c r="L98" s="20" t="s">
        <v>413</v>
      </c>
      <c r="M98" s="24" t="s">
        <v>696</v>
      </c>
      <c r="N98" s="25"/>
    </row>
    <row r="99" customFormat="false" ht="256.5" hidden="false" customHeight="true" outlineLevel="0" collapsed="false">
      <c r="A99" s="42" t="s">
        <v>697</v>
      </c>
      <c r="B99" s="20" t="s">
        <v>574</v>
      </c>
      <c r="C99" s="20" t="s">
        <v>441</v>
      </c>
      <c r="D99" s="20" t="s">
        <v>350</v>
      </c>
      <c r="E99" s="21" t="s">
        <v>305</v>
      </c>
      <c r="F99" s="22" t="s">
        <v>413</v>
      </c>
      <c r="G99" s="22" t="s">
        <v>661</v>
      </c>
      <c r="H99" s="22" t="s">
        <v>698</v>
      </c>
      <c r="I99" s="65" t="s">
        <v>306</v>
      </c>
      <c r="J99" s="42" t="s">
        <v>354</v>
      </c>
      <c r="K99" s="43" t="n">
        <v>10</v>
      </c>
      <c r="L99" s="20" t="s">
        <v>355</v>
      </c>
      <c r="M99" s="24" t="s">
        <v>699</v>
      </c>
      <c r="N99" s="25"/>
    </row>
    <row r="100" customFormat="false" ht="216" hidden="false" customHeight="true" outlineLevel="0" collapsed="false">
      <c r="A100" s="42" t="s">
        <v>700</v>
      </c>
      <c r="B100" s="20" t="s">
        <v>587</v>
      </c>
      <c r="C100" s="20" t="s">
        <v>466</v>
      </c>
      <c r="D100" s="20" t="s">
        <v>350</v>
      </c>
      <c r="E100" s="21" t="s">
        <v>308</v>
      </c>
      <c r="F100" s="22" t="s">
        <v>413</v>
      </c>
      <c r="G100" s="22" t="s">
        <v>661</v>
      </c>
      <c r="H100" s="22" t="s">
        <v>698</v>
      </c>
      <c r="I100" s="65" t="s">
        <v>309</v>
      </c>
      <c r="J100" s="42" t="s">
        <v>354</v>
      </c>
      <c r="K100" s="43" t="n">
        <v>10</v>
      </c>
      <c r="L100" s="20" t="s">
        <v>355</v>
      </c>
      <c r="M100" s="24" t="s">
        <v>701</v>
      </c>
      <c r="N100" s="25" t="s">
        <v>702</v>
      </c>
    </row>
    <row r="101" customFormat="false" ht="54" hidden="false" customHeight="true" outlineLevel="0" collapsed="false">
      <c r="A101" s="42" t="s">
        <v>703</v>
      </c>
      <c r="B101" s="20" t="s">
        <v>598</v>
      </c>
      <c r="C101" s="20" t="s">
        <v>380</v>
      </c>
      <c r="D101" s="20" t="s">
        <v>350</v>
      </c>
      <c r="E101" s="21" t="s">
        <v>313</v>
      </c>
      <c r="F101" s="20" t="s">
        <v>413</v>
      </c>
      <c r="G101" s="22" t="s">
        <v>704</v>
      </c>
      <c r="H101" s="22" t="s">
        <v>705</v>
      </c>
      <c r="I101" s="20" t="s">
        <v>314</v>
      </c>
      <c r="J101" s="42" t="s">
        <v>354</v>
      </c>
      <c r="K101" s="43" t="n">
        <v>10</v>
      </c>
      <c r="L101" s="20" t="s">
        <v>413</v>
      </c>
      <c r="M101" s="24" t="s">
        <v>706</v>
      </c>
      <c r="N101" s="25"/>
    </row>
    <row r="102" customFormat="false" ht="162" hidden="false" customHeight="true" outlineLevel="0" collapsed="false">
      <c r="A102" s="42" t="s">
        <v>707</v>
      </c>
      <c r="B102" s="20" t="s">
        <v>650</v>
      </c>
      <c r="C102" s="20" t="s">
        <v>162</v>
      </c>
      <c r="D102" s="20" t="s">
        <v>350</v>
      </c>
      <c r="E102" s="21" t="s">
        <v>316</v>
      </c>
      <c r="F102" s="21" t="s">
        <v>708</v>
      </c>
      <c r="G102" s="22" t="s">
        <v>704</v>
      </c>
      <c r="H102" s="22" t="s">
        <v>705</v>
      </c>
      <c r="I102" s="20" t="s">
        <v>317</v>
      </c>
      <c r="J102" s="42" t="s">
        <v>354</v>
      </c>
      <c r="K102" s="43" t="n">
        <v>10</v>
      </c>
      <c r="L102" s="20" t="s">
        <v>709</v>
      </c>
      <c r="M102" s="24" t="s">
        <v>710</v>
      </c>
      <c r="N102" s="25"/>
    </row>
    <row r="103" customFormat="false" ht="40.5" hidden="false" customHeight="true" outlineLevel="0" collapsed="false">
      <c r="A103" s="42" t="s">
        <v>711</v>
      </c>
      <c r="B103" s="20" t="s">
        <v>271</v>
      </c>
      <c r="C103" s="20" t="s">
        <v>399</v>
      </c>
      <c r="D103" s="20" t="s">
        <v>350</v>
      </c>
      <c r="E103" s="21" t="s">
        <v>712</v>
      </c>
      <c r="F103" s="21" t="s">
        <v>708</v>
      </c>
      <c r="G103" s="22" t="s">
        <v>704</v>
      </c>
      <c r="H103" s="22" t="s">
        <v>713</v>
      </c>
      <c r="I103" s="27" t="s">
        <v>714</v>
      </c>
      <c r="J103" s="50" t="s">
        <v>354</v>
      </c>
      <c r="K103" s="51" t="n">
        <v>10</v>
      </c>
      <c r="L103" s="64" t="s">
        <v>413</v>
      </c>
      <c r="M103" s="66" t="s">
        <v>538</v>
      </c>
      <c r="N103" s="25"/>
    </row>
    <row r="104" customFormat="false" ht="121.5" hidden="false" customHeight="true" outlineLevel="0" collapsed="false">
      <c r="A104" s="42" t="s">
        <v>715</v>
      </c>
      <c r="B104" s="20" t="s">
        <v>380</v>
      </c>
      <c r="C104" s="20" t="s">
        <v>380</v>
      </c>
      <c r="D104" s="20" t="s">
        <v>350</v>
      </c>
      <c r="E104" s="21" t="s">
        <v>322</v>
      </c>
      <c r="F104" s="21" t="s">
        <v>708</v>
      </c>
      <c r="G104" s="22" t="s">
        <v>704</v>
      </c>
      <c r="H104" s="22" t="s">
        <v>713</v>
      </c>
      <c r="I104" s="30" t="s">
        <v>716</v>
      </c>
      <c r="J104" s="42" t="s">
        <v>368</v>
      </c>
      <c r="K104" s="43" t="n">
        <v>5</v>
      </c>
      <c r="L104" s="65" t="s">
        <v>413</v>
      </c>
      <c r="M104" s="67" t="s">
        <v>717</v>
      </c>
      <c r="N104" s="25"/>
    </row>
    <row r="105" customFormat="false" ht="148.5" hidden="false" customHeight="true" outlineLevel="0" collapsed="false">
      <c r="A105" s="42" t="s">
        <v>718</v>
      </c>
      <c r="B105" s="20" t="s">
        <v>380</v>
      </c>
      <c r="C105" s="20" t="s">
        <v>380</v>
      </c>
      <c r="D105" s="20" t="s">
        <v>350</v>
      </c>
      <c r="E105" s="21" t="s">
        <v>327</v>
      </c>
      <c r="F105" s="21" t="s">
        <v>708</v>
      </c>
      <c r="G105" s="22" t="s">
        <v>704</v>
      </c>
      <c r="H105" s="22" t="s">
        <v>713</v>
      </c>
      <c r="I105" s="30" t="s">
        <v>719</v>
      </c>
      <c r="J105" s="42" t="s">
        <v>368</v>
      </c>
      <c r="K105" s="43" t="n">
        <v>5</v>
      </c>
      <c r="L105" s="65" t="s">
        <v>413</v>
      </c>
      <c r="M105" s="67" t="s">
        <v>720</v>
      </c>
      <c r="N105" s="25"/>
    </row>
    <row r="106" customFormat="false" ht="409.5" hidden="false" customHeight="true" outlineLevel="0" collapsed="false">
      <c r="A106" s="68" t="s">
        <v>721</v>
      </c>
      <c r="B106" s="69" t="s">
        <v>666</v>
      </c>
      <c r="C106" s="69" t="s">
        <v>171</v>
      </c>
      <c r="D106" s="69" t="s">
        <v>350</v>
      </c>
      <c r="E106" s="70" t="s">
        <v>330</v>
      </c>
      <c r="F106" s="70" t="s">
        <v>708</v>
      </c>
      <c r="G106" s="71" t="s">
        <v>704</v>
      </c>
      <c r="H106" s="71" t="s">
        <v>722</v>
      </c>
      <c r="I106" s="20" t="s">
        <v>331</v>
      </c>
      <c r="J106" s="68" t="s">
        <v>354</v>
      </c>
      <c r="K106" s="72" t="n">
        <v>10</v>
      </c>
      <c r="L106" s="69" t="s">
        <v>355</v>
      </c>
      <c r="M106" s="73" t="s">
        <v>723</v>
      </c>
      <c r="N106" s="73" t="s">
        <v>724</v>
      </c>
      <c r="O106" s="74"/>
    </row>
    <row r="107" customFormat="false" ht="13.5" hidden="false" customHeight="false" outlineLevel="0" collapsed="false">
      <c r="A107" s="11"/>
      <c r="I107" s="58"/>
    </row>
    <row r="108" customFormat="false" ht="13.5" hidden="false" customHeight="false" outlineLevel="0" collapsed="false">
      <c r="A108" s="11"/>
    </row>
    <row r="109" customFormat="false" ht="13.5" hidden="false" customHeight="false" outlineLevel="0" collapsed="false">
      <c r="A109" s="11"/>
    </row>
    <row r="110" customFormat="false" ht="13.5" hidden="false" customHeight="false" outlineLevel="0" collapsed="false">
      <c r="A110" s="11"/>
    </row>
    <row r="111" customFormat="false" ht="13.5" hidden="false" customHeight="false" outlineLevel="0" collapsed="false">
      <c r="A111" s="11"/>
    </row>
    <row r="112" customFormat="false" ht="13.5" hidden="false" customHeight="false" outlineLevel="0" collapsed="false">
      <c r="A112" s="75"/>
      <c r="B112" s="76"/>
      <c r="C112" s="76"/>
      <c r="D112" s="76"/>
      <c r="I112" s="76"/>
      <c r="J112" s="75"/>
      <c r="K112" s="75"/>
      <c r="L112" s="76"/>
      <c r="M112" s="40"/>
    </row>
    <row r="113" customFormat="false" ht="13.5" hidden="false" customHeight="false" outlineLevel="0" collapsed="false">
      <c r="A113" s="75"/>
      <c r="B113" s="76"/>
      <c r="C113" s="76"/>
      <c r="D113" s="76"/>
      <c r="I113" s="76"/>
      <c r="J113" s="75"/>
      <c r="K113" s="75"/>
      <c r="L113" s="76"/>
      <c r="M113" s="40"/>
    </row>
    <row r="114" customFormat="false" ht="13.5" hidden="false" customHeight="false" outlineLevel="0" collapsed="false">
      <c r="A114" s="75"/>
      <c r="B114" s="76"/>
      <c r="C114" s="76"/>
      <c r="D114" s="76"/>
      <c r="I114" s="76"/>
      <c r="J114" s="75"/>
      <c r="K114" s="75"/>
      <c r="L114" s="76"/>
      <c r="M114" s="40"/>
    </row>
    <row r="115" customFormat="false" ht="13.5" hidden="false" customHeight="false" outlineLevel="0" collapsed="false">
      <c r="A115" s="75"/>
      <c r="B115" s="76"/>
      <c r="C115" s="76"/>
      <c r="D115" s="76"/>
      <c r="I115" s="76"/>
      <c r="J115" s="75"/>
      <c r="K115" s="75"/>
      <c r="L115" s="76"/>
      <c r="M115" s="40"/>
    </row>
    <row r="116" customFormat="false" ht="13.5" hidden="false" customHeight="false" outlineLevel="0" collapsed="false">
      <c r="A116" s="75"/>
      <c r="B116" s="76"/>
      <c r="C116" s="76"/>
      <c r="D116" s="76"/>
      <c r="I116" s="76"/>
      <c r="J116" s="75"/>
      <c r="K116" s="75"/>
      <c r="L116" s="76"/>
      <c r="M116" s="40"/>
    </row>
    <row r="117" customFormat="false" ht="13.5" hidden="false" customHeight="false" outlineLevel="0" collapsed="false">
      <c r="A117" s="75"/>
      <c r="B117" s="76"/>
      <c r="C117" s="76"/>
      <c r="D117" s="76"/>
      <c r="I117" s="76"/>
      <c r="J117" s="75"/>
      <c r="K117" s="75"/>
      <c r="L117" s="76"/>
      <c r="M117" s="40"/>
    </row>
    <row r="118" customFormat="false" ht="13.5" hidden="false" customHeight="false" outlineLevel="0" collapsed="false">
      <c r="A118" s="75"/>
      <c r="B118" s="76"/>
      <c r="C118" s="76"/>
      <c r="D118" s="76"/>
      <c r="I118" s="76"/>
      <c r="J118" s="75"/>
      <c r="K118" s="75"/>
      <c r="L118" s="76"/>
      <c r="M118" s="40"/>
    </row>
    <row r="119" customFormat="false" ht="13.5" hidden="false" customHeight="false" outlineLevel="0" collapsed="false">
      <c r="A119" s="75"/>
      <c r="B119" s="76"/>
      <c r="C119" s="76"/>
      <c r="D119" s="76"/>
      <c r="I119" s="76"/>
      <c r="J119" s="75"/>
      <c r="K119" s="75"/>
      <c r="L119" s="76"/>
      <c r="M119" s="40"/>
    </row>
    <row r="120" customFormat="false" ht="13.5" hidden="false" customHeight="false" outlineLevel="0" collapsed="false">
      <c r="A120" s="75"/>
      <c r="B120" s="76"/>
      <c r="C120" s="76"/>
      <c r="D120" s="76"/>
      <c r="I120" s="76"/>
      <c r="J120" s="75"/>
      <c r="K120" s="75"/>
      <c r="L120" s="76"/>
      <c r="M120" s="40"/>
    </row>
    <row r="121" customFormat="false" ht="13.5" hidden="false" customHeight="false" outlineLevel="0" collapsed="false">
      <c r="A121" s="75"/>
      <c r="B121" s="76"/>
      <c r="C121" s="76"/>
      <c r="D121" s="76"/>
      <c r="I121" s="76"/>
      <c r="J121" s="75"/>
      <c r="K121" s="75"/>
      <c r="L121" s="76"/>
      <c r="M121" s="40"/>
    </row>
    <row r="122" customFormat="false" ht="13.5" hidden="false" customHeight="false" outlineLevel="0" collapsed="false">
      <c r="A122" s="75"/>
      <c r="B122" s="76"/>
      <c r="C122" s="76"/>
      <c r="D122" s="76"/>
      <c r="I122" s="76"/>
      <c r="J122" s="75"/>
      <c r="K122" s="75"/>
      <c r="L122" s="76"/>
      <c r="M122" s="40"/>
    </row>
    <row r="123" customFormat="false" ht="13.5" hidden="false" customHeight="false" outlineLevel="0" collapsed="false">
      <c r="A123" s="75"/>
      <c r="B123" s="76"/>
      <c r="C123" s="76"/>
      <c r="D123" s="76"/>
      <c r="I123" s="76"/>
      <c r="J123" s="75"/>
      <c r="K123" s="75"/>
      <c r="L123" s="76"/>
      <c r="M123" s="40"/>
    </row>
    <row r="124" customFormat="false" ht="13.5" hidden="false" customHeight="false" outlineLevel="0" collapsed="false">
      <c r="A124" s="75"/>
      <c r="B124" s="76"/>
      <c r="C124" s="76"/>
      <c r="D124" s="76"/>
      <c r="I124" s="76"/>
      <c r="J124" s="75"/>
      <c r="K124" s="75"/>
      <c r="L124" s="76"/>
      <c r="M124" s="40"/>
    </row>
    <row r="125" customFormat="false" ht="13.5" hidden="false" customHeight="false" outlineLevel="0" collapsed="false">
      <c r="A125" s="75"/>
      <c r="B125" s="76"/>
      <c r="C125" s="76"/>
      <c r="D125" s="76"/>
      <c r="I125" s="76"/>
      <c r="J125" s="75"/>
      <c r="K125" s="75"/>
      <c r="L125" s="76"/>
      <c r="M125" s="40"/>
    </row>
    <row r="126" customFormat="false" ht="13.5" hidden="false" customHeight="false" outlineLevel="0" collapsed="false">
      <c r="A126" s="75"/>
      <c r="B126" s="76"/>
      <c r="C126" s="76"/>
      <c r="D126" s="76"/>
      <c r="I126" s="76"/>
      <c r="J126" s="75"/>
      <c r="K126" s="75"/>
      <c r="L126" s="76"/>
      <c r="M126" s="40"/>
    </row>
    <row r="127" customFormat="false" ht="13.5" hidden="false" customHeight="false" outlineLevel="0" collapsed="false">
      <c r="A127" s="75"/>
      <c r="B127" s="76"/>
      <c r="C127" s="76"/>
      <c r="D127" s="76"/>
      <c r="I127" s="76"/>
      <c r="J127" s="75"/>
      <c r="K127" s="75"/>
      <c r="L127" s="76"/>
      <c r="M127" s="40"/>
    </row>
    <row r="128" customFormat="false" ht="13.5" hidden="false" customHeight="false" outlineLevel="0" collapsed="false">
      <c r="A128" s="75"/>
      <c r="B128" s="76"/>
      <c r="C128" s="76"/>
      <c r="D128" s="76"/>
      <c r="I128" s="76"/>
      <c r="J128" s="75"/>
      <c r="K128" s="75"/>
      <c r="L128" s="76"/>
      <c r="M128" s="40"/>
    </row>
    <row r="129" customFormat="false" ht="13.5" hidden="false" customHeight="false" outlineLevel="0" collapsed="false">
      <c r="A129" s="75"/>
      <c r="B129" s="76"/>
      <c r="C129" s="76"/>
      <c r="D129" s="76"/>
      <c r="I129" s="76"/>
      <c r="J129" s="75"/>
      <c r="K129" s="75"/>
      <c r="L129" s="76"/>
      <c r="M129" s="40"/>
    </row>
    <row r="130" customFormat="false" ht="13.5" hidden="false" customHeight="false" outlineLevel="0" collapsed="false">
      <c r="A130" s="75"/>
      <c r="B130" s="76"/>
      <c r="C130" s="76"/>
      <c r="D130" s="76"/>
      <c r="I130" s="76"/>
      <c r="J130" s="75"/>
      <c r="K130" s="75"/>
      <c r="L130" s="76"/>
      <c r="M130" s="40"/>
    </row>
    <row r="131" customFormat="false" ht="13.5" hidden="false" customHeight="false" outlineLevel="0" collapsed="false">
      <c r="A131" s="75"/>
      <c r="B131" s="76"/>
      <c r="C131" s="76"/>
      <c r="D131" s="76"/>
      <c r="I131" s="76"/>
      <c r="J131" s="75"/>
      <c r="K131" s="75"/>
      <c r="L131" s="76"/>
      <c r="M131" s="40"/>
    </row>
    <row r="132" customFormat="false" ht="13.5" hidden="false" customHeight="false" outlineLevel="0" collapsed="false">
      <c r="A132" s="75"/>
      <c r="B132" s="76"/>
      <c r="C132" s="76"/>
      <c r="D132" s="76"/>
      <c r="I132" s="76"/>
      <c r="J132" s="75"/>
      <c r="K132" s="75"/>
      <c r="L132" s="76"/>
      <c r="M132" s="40"/>
    </row>
    <row r="133" customFormat="false" ht="13.5" hidden="false" customHeight="false" outlineLevel="0" collapsed="false">
      <c r="A133" s="75"/>
      <c r="B133" s="76"/>
      <c r="C133" s="76"/>
      <c r="D133" s="76"/>
      <c r="I133" s="76"/>
      <c r="J133" s="75"/>
      <c r="K133" s="75"/>
      <c r="L133" s="76"/>
      <c r="M133" s="40"/>
    </row>
    <row r="134" customFormat="false" ht="13.5" hidden="false" customHeight="false" outlineLevel="0" collapsed="false">
      <c r="A134" s="75"/>
      <c r="B134" s="76"/>
      <c r="C134" s="76"/>
      <c r="D134" s="76"/>
      <c r="I134" s="76"/>
      <c r="J134" s="75"/>
      <c r="K134" s="75"/>
      <c r="L134" s="76"/>
      <c r="M134" s="40"/>
    </row>
    <row r="135" customFormat="false" ht="13.5" hidden="false" customHeight="false" outlineLevel="0" collapsed="false">
      <c r="A135" s="75"/>
      <c r="B135" s="76"/>
      <c r="C135" s="76"/>
      <c r="D135" s="76"/>
      <c r="I135" s="76"/>
      <c r="J135" s="75"/>
      <c r="K135" s="75"/>
      <c r="L135" s="76"/>
      <c r="M135" s="40"/>
    </row>
    <row r="136" customFormat="false" ht="13.5" hidden="false" customHeight="false" outlineLevel="0" collapsed="false">
      <c r="A136" s="75"/>
      <c r="B136" s="76"/>
      <c r="C136" s="76"/>
      <c r="D136" s="76"/>
      <c r="I136" s="76"/>
      <c r="J136" s="75"/>
      <c r="K136" s="75"/>
      <c r="L136" s="76"/>
      <c r="M136" s="40" t="s">
        <v>725</v>
      </c>
    </row>
    <row r="137" customFormat="false" ht="13.5" hidden="false" customHeight="false" outlineLevel="0" collapsed="false">
      <c r="A137" s="75"/>
      <c r="B137" s="76"/>
      <c r="C137" s="76"/>
      <c r="D137" s="76"/>
      <c r="I137" s="76"/>
      <c r="J137" s="75"/>
      <c r="K137" s="75"/>
      <c r="L137" s="76"/>
      <c r="M137" s="40"/>
    </row>
    <row r="138" customFormat="false" ht="13.5" hidden="false" customHeight="false" outlineLevel="0" collapsed="false">
      <c r="A138" s="75"/>
      <c r="B138" s="76"/>
      <c r="C138" s="76"/>
      <c r="D138" s="76"/>
      <c r="I138" s="76"/>
      <c r="J138" s="75"/>
      <c r="K138" s="75"/>
      <c r="L138" s="76"/>
      <c r="M138" s="40"/>
    </row>
    <row r="139" customFormat="false" ht="13.5" hidden="false" customHeight="false" outlineLevel="0" collapsed="false">
      <c r="A139" s="75"/>
      <c r="B139" s="76"/>
      <c r="C139" s="76"/>
      <c r="D139" s="76"/>
      <c r="I139" s="76"/>
      <c r="J139" s="75"/>
      <c r="K139" s="75"/>
      <c r="L139" s="76"/>
      <c r="M139" s="40"/>
    </row>
    <row r="140" customFormat="false" ht="13.5" hidden="false" customHeight="false" outlineLevel="0" collapsed="false">
      <c r="A140" s="75"/>
      <c r="B140" s="76"/>
      <c r="C140" s="76"/>
      <c r="D140" s="76"/>
      <c r="I140" s="76"/>
      <c r="J140" s="75"/>
      <c r="K140" s="75"/>
      <c r="L140" s="76"/>
      <c r="M140" s="40"/>
    </row>
    <row r="141" customFormat="false" ht="13.5" hidden="false" customHeight="false" outlineLevel="0" collapsed="false">
      <c r="A141" s="75"/>
      <c r="B141" s="76"/>
      <c r="C141" s="76"/>
      <c r="D141" s="76"/>
      <c r="I141" s="76"/>
      <c r="J141" s="75"/>
      <c r="K141" s="75"/>
      <c r="L141" s="76"/>
      <c r="M141" s="40"/>
    </row>
    <row r="142" customFormat="false" ht="13.5" hidden="false" customHeight="false" outlineLevel="0" collapsed="false">
      <c r="A142" s="75"/>
      <c r="B142" s="76"/>
      <c r="C142" s="76"/>
      <c r="D142" s="76"/>
      <c r="I142" s="76"/>
      <c r="J142" s="75"/>
      <c r="K142" s="75"/>
      <c r="L142" s="76"/>
      <c r="M142" s="40"/>
    </row>
    <row r="143" customFormat="false" ht="13.5" hidden="false" customHeight="false" outlineLevel="0" collapsed="false">
      <c r="A143" s="75"/>
      <c r="B143" s="76"/>
      <c r="C143" s="76"/>
      <c r="D143" s="76"/>
      <c r="I143" s="76"/>
      <c r="J143" s="75"/>
      <c r="K143" s="75"/>
      <c r="L143" s="76"/>
      <c r="M143" s="40" t="s">
        <v>725</v>
      </c>
    </row>
    <row r="144" customFormat="false" ht="13.5" hidden="false" customHeight="false" outlineLevel="0" collapsed="false">
      <c r="A144" s="75"/>
      <c r="B144" s="76"/>
      <c r="C144" s="76"/>
      <c r="D144" s="76"/>
      <c r="I144" s="76"/>
      <c r="J144" s="75"/>
      <c r="K144" s="75"/>
      <c r="L144" s="76"/>
      <c r="M144" s="40"/>
    </row>
    <row r="145" customFormat="false" ht="13.5" hidden="false" customHeight="false" outlineLevel="0" collapsed="false">
      <c r="A145" s="75"/>
      <c r="B145" s="76"/>
      <c r="C145" s="76"/>
      <c r="D145" s="76"/>
      <c r="I145" s="76"/>
      <c r="J145" s="75"/>
      <c r="K145" s="75"/>
      <c r="L145" s="76"/>
      <c r="M145" s="40"/>
    </row>
    <row r="146" customFormat="false" ht="13.5" hidden="false" customHeight="false" outlineLevel="0" collapsed="false">
      <c r="A146" s="75"/>
      <c r="B146" s="76"/>
      <c r="C146" s="76"/>
      <c r="D146" s="76"/>
      <c r="I146" s="76"/>
      <c r="J146" s="75"/>
      <c r="K146" s="75"/>
      <c r="L146" s="76"/>
      <c r="M146" s="40"/>
    </row>
    <row r="147" customFormat="false" ht="13.5" hidden="false" customHeight="false" outlineLevel="0" collapsed="false">
      <c r="A147" s="75"/>
      <c r="B147" s="76"/>
      <c r="C147" s="76"/>
      <c r="D147" s="76"/>
      <c r="I147" s="76"/>
      <c r="J147" s="75"/>
      <c r="K147" s="75"/>
      <c r="L147" s="76"/>
      <c r="M147" s="40"/>
    </row>
    <row r="148" customFormat="false" ht="13.5" hidden="false" customHeight="false" outlineLevel="0" collapsed="false">
      <c r="A148" s="75"/>
      <c r="B148" s="76"/>
      <c r="C148" s="76"/>
      <c r="D148" s="76"/>
      <c r="I148" s="76"/>
      <c r="J148" s="75"/>
      <c r="K148" s="75"/>
      <c r="L148" s="76"/>
      <c r="M148" s="40"/>
    </row>
    <row r="149" customFormat="false" ht="13.5" hidden="false" customHeight="false" outlineLevel="0" collapsed="false">
      <c r="A149" s="75"/>
      <c r="B149" s="76"/>
      <c r="C149" s="76"/>
      <c r="D149" s="76"/>
      <c r="I149" s="76"/>
      <c r="J149" s="75"/>
      <c r="K149" s="75"/>
      <c r="L149" s="76"/>
      <c r="M149" s="40" t="s">
        <v>725</v>
      </c>
    </row>
    <row r="150" customFormat="false" ht="13.5" hidden="false" customHeight="false" outlineLevel="0" collapsed="false">
      <c r="A150" s="75"/>
      <c r="B150" s="76"/>
      <c r="C150" s="76"/>
      <c r="D150" s="76"/>
      <c r="I150" s="76"/>
      <c r="J150" s="75"/>
      <c r="K150" s="75"/>
      <c r="L150" s="76"/>
      <c r="M150" s="40"/>
    </row>
    <row r="151" customFormat="false" ht="13.5" hidden="false" customHeight="false" outlineLevel="0" collapsed="false">
      <c r="A151" s="75"/>
      <c r="B151" s="76"/>
      <c r="C151" s="76"/>
      <c r="D151" s="76"/>
      <c r="I151" s="76"/>
      <c r="J151" s="75"/>
      <c r="K151" s="75"/>
      <c r="L151" s="76"/>
      <c r="M151" s="40"/>
    </row>
    <row r="152" customFormat="false" ht="13.5" hidden="false" customHeight="false" outlineLevel="0" collapsed="false">
      <c r="A152" s="75"/>
      <c r="B152" s="76"/>
      <c r="C152" s="76"/>
      <c r="D152" s="76"/>
      <c r="I152" s="76"/>
      <c r="J152" s="75"/>
      <c r="K152" s="75"/>
      <c r="L152" s="76"/>
      <c r="M152" s="40"/>
    </row>
    <row r="153" customFormat="false" ht="13.5" hidden="false" customHeight="false" outlineLevel="0" collapsed="false">
      <c r="A153" s="75"/>
      <c r="B153" s="76"/>
      <c r="C153" s="76"/>
      <c r="D153" s="76"/>
      <c r="I153" s="76"/>
      <c r="J153" s="75"/>
      <c r="K153" s="75"/>
      <c r="L153" s="76"/>
      <c r="M153" s="40"/>
    </row>
    <row r="154" customFormat="false" ht="13.5" hidden="false" customHeight="false" outlineLevel="0" collapsed="false">
      <c r="A154" s="75"/>
      <c r="B154" s="76"/>
      <c r="C154" s="76"/>
      <c r="D154" s="76"/>
      <c r="I154" s="76"/>
      <c r="J154" s="75"/>
      <c r="K154" s="75"/>
      <c r="L154" s="76"/>
      <c r="M154" s="40"/>
    </row>
    <row r="155" customFormat="false" ht="13.5" hidden="false" customHeight="false" outlineLevel="0" collapsed="false">
      <c r="A155" s="75"/>
      <c r="B155" s="76"/>
      <c r="C155" s="76"/>
      <c r="D155" s="76"/>
      <c r="I155" s="76"/>
      <c r="J155" s="75"/>
      <c r="K155" s="75"/>
      <c r="L155" s="76"/>
      <c r="M155" s="40"/>
    </row>
    <row r="156" customFormat="false" ht="13.5" hidden="false" customHeight="false" outlineLevel="0" collapsed="false">
      <c r="A156" s="75"/>
      <c r="B156" s="76"/>
      <c r="C156" s="76"/>
      <c r="D156" s="76"/>
      <c r="I156" s="76"/>
      <c r="J156" s="75"/>
      <c r="K156" s="75"/>
      <c r="L156" s="76"/>
      <c r="M156" s="40"/>
    </row>
    <row r="157" customFormat="false" ht="13.5" hidden="false" customHeight="false" outlineLevel="0" collapsed="false">
      <c r="A157" s="75"/>
      <c r="B157" s="76"/>
      <c r="C157" s="76"/>
      <c r="D157" s="76"/>
      <c r="I157" s="76"/>
      <c r="J157" s="75"/>
      <c r="K157" s="75"/>
      <c r="L157" s="76"/>
      <c r="M157" s="40"/>
    </row>
    <row r="158" customFormat="false" ht="13.5" hidden="false" customHeight="false" outlineLevel="0" collapsed="false">
      <c r="A158" s="75"/>
      <c r="B158" s="76"/>
      <c r="C158" s="76"/>
      <c r="D158" s="76"/>
      <c r="I158" s="76"/>
      <c r="J158" s="75"/>
      <c r="K158" s="75"/>
      <c r="L158" s="76"/>
      <c r="M158" s="40"/>
    </row>
    <row r="159" customFormat="false" ht="13.5" hidden="false" customHeight="false" outlineLevel="0" collapsed="false">
      <c r="A159" s="75"/>
      <c r="B159" s="76"/>
      <c r="C159" s="76"/>
      <c r="D159" s="76"/>
      <c r="I159" s="76"/>
      <c r="J159" s="75"/>
      <c r="K159" s="75"/>
      <c r="L159" s="76"/>
      <c r="M159" s="40"/>
    </row>
    <row r="160" customFormat="false" ht="13.5" hidden="false" customHeight="false" outlineLevel="0" collapsed="false">
      <c r="A160" s="75"/>
      <c r="B160" s="76"/>
      <c r="C160" s="76"/>
      <c r="D160" s="76"/>
      <c r="I160" s="76"/>
      <c r="J160" s="75"/>
      <c r="K160" s="75"/>
      <c r="L160" s="76"/>
      <c r="M160" s="40"/>
    </row>
    <row r="161" customFormat="false" ht="13.5" hidden="false" customHeight="false" outlineLevel="0" collapsed="false">
      <c r="A161" s="75"/>
      <c r="B161" s="76"/>
      <c r="C161" s="76"/>
      <c r="D161" s="76"/>
      <c r="I161" s="76"/>
      <c r="J161" s="75"/>
      <c r="K161" s="75"/>
      <c r="L161" s="76"/>
      <c r="M161" s="40"/>
    </row>
    <row r="162" customFormat="false" ht="13.5" hidden="false" customHeight="false" outlineLevel="0" collapsed="false">
      <c r="A162" s="75"/>
      <c r="B162" s="76"/>
      <c r="C162" s="76"/>
      <c r="D162" s="76"/>
      <c r="I162" s="76"/>
      <c r="J162" s="75"/>
      <c r="K162" s="75"/>
      <c r="L162" s="76"/>
      <c r="M162" s="40"/>
    </row>
    <row r="163" customFormat="false" ht="13.5" hidden="false" customHeight="false" outlineLevel="0" collapsed="false">
      <c r="A163" s="75"/>
      <c r="B163" s="76"/>
      <c r="C163" s="76"/>
      <c r="D163" s="76"/>
      <c r="I163" s="76"/>
      <c r="J163" s="75"/>
      <c r="K163" s="75"/>
      <c r="L163" s="76"/>
      <c r="M163" s="40"/>
    </row>
    <row r="164" customFormat="false" ht="13.5" hidden="false" customHeight="false" outlineLevel="0" collapsed="false">
      <c r="A164" s="75"/>
      <c r="B164" s="76"/>
      <c r="C164" s="76"/>
      <c r="D164" s="76"/>
      <c r="I164" s="76"/>
      <c r="J164" s="75"/>
      <c r="K164" s="75"/>
      <c r="L164" s="76"/>
      <c r="M164" s="40"/>
    </row>
    <row r="165" customFormat="false" ht="13.5" hidden="false" customHeight="false" outlineLevel="0" collapsed="false">
      <c r="A165" s="75"/>
      <c r="B165" s="76"/>
      <c r="C165" s="76"/>
      <c r="D165" s="76"/>
      <c r="I165" s="76"/>
      <c r="J165" s="75"/>
      <c r="K165" s="75"/>
      <c r="L165" s="76"/>
      <c r="M165" s="40"/>
    </row>
    <row r="166" customFormat="false" ht="13.5" hidden="false" customHeight="false" outlineLevel="0" collapsed="false">
      <c r="A166" s="75"/>
      <c r="B166" s="76"/>
      <c r="C166" s="76"/>
      <c r="D166" s="76"/>
      <c r="I166" s="76"/>
      <c r="J166" s="75"/>
      <c r="K166" s="75"/>
      <c r="L166" s="76"/>
      <c r="M166" s="40"/>
    </row>
    <row r="167" customFormat="false" ht="13.5" hidden="false" customHeight="false" outlineLevel="0" collapsed="false">
      <c r="A167" s="75"/>
      <c r="B167" s="76"/>
      <c r="C167" s="76"/>
      <c r="D167" s="76"/>
      <c r="I167" s="76"/>
      <c r="J167" s="75"/>
      <c r="K167" s="75"/>
      <c r="L167" s="76"/>
      <c r="M167" s="40"/>
    </row>
    <row r="168" customFormat="false" ht="13.5" hidden="false" customHeight="false" outlineLevel="0" collapsed="false">
      <c r="A168" s="75"/>
      <c r="B168" s="76"/>
      <c r="C168" s="76"/>
      <c r="D168" s="76"/>
      <c r="I168" s="76"/>
      <c r="J168" s="75"/>
      <c r="K168" s="75"/>
      <c r="L168" s="76"/>
      <c r="M168" s="40"/>
    </row>
    <row r="169" customFormat="false" ht="13.5" hidden="false" customHeight="false" outlineLevel="0" collapsed="false">
      <c r="A169" s="75"/>
      <c r="B169" s="76"/>
      <c r="C169" s="76"/>
      <c r="D169" s="76"/>
      <c r="I169" s="76"/>
      <c r="J169" s="75"/>
      <c r="K169" s="75"/>
      <c r="L169" s="76"/>
      <c r="M169" s="40"/>
    </row>
    <row r="170" customFormat="false" ht="13.5" hidden="false" customHeight="false" outlineLevel="0" collapsed="false">
      <c r="A170" s="75"/>
      <c r="B170" s="76"/>
      <c r="C170" s="76"/>
      <c r="D170" s="76"/>
      <c r="I170" s="76"/>
      <c r="J170" s="75"/>
      <c r="K170" s="75"/>
      <c r="L170" s="76"/>
      <c r="M170" s="40"/>
    </row>
    <row r="171" customFormat="false" ht="13.5" hidden="false" customHeight="false" outlineLevel="0" collapsed="false">
      <c r="A171" s="75"/>
      <c r="B171" s="76"/>
      <c r="C171" s="76"/>
      <c r="D171" s="76"/>
      <c r="I171" s="76"/>
      <c r="J171" s="75"/>
      <c r="K171" s="75"/>
      <c r="L171" s="76"/>
      <c r="M171" s="40" t="s">
        <v>725</v>
      </c>
    </row>
    <row r="172" customFormat="false" ht="13.5" hidden="false" customHeight="false" outlineLevel="0" collapsed="false">
      <c r="A172" s="75"/>
      <c r="B172" s="76"/>
      <c r="C172" s="76"/>
      <c r="D172" s="76"/>
      <c r="I172" s="76"/>
      <c r="J172" s="75"/>
      <c r="K172" s="75"/>
      <c r="L172" s="76"/>
      <c r="M172" s="40"/>
    </row>
    <row r="173" customFormat="false" ht="13.5" hidden="false" customHeight="false" outlineLevel="0" collapsed="false">
      <c r="A173" s="75"/>
      <c r="B173" s="76"/>
      <c r="C173" s="76"/>
      <c r="D173" s="76"/>
      <c r="I173" s="76"/>
      <c r="J173" s="75"/>
      <c r="K173" s="75"/>
      <c r="L173" s="76"/>
      <c r="M173" s="40"/>
    </row>
    <row r="174" customFormat="false" ht="13.5" hidden="false" customHeight="false" outlineLevel="0" collapsed="false">
      <c r="A174" s="75"/>
      <c r="B174" s="76"/>
      <c r="C174" s="76"/>
      <c r="D174" s="76"/>
      <c r="I174" s="76"/>
      <c r="J174" s="75"/>
      <c r="K174" s="75"/>
      <c r="L174" s="76"/>
      <c r="M174" s="40" t="s">
        <v>725</v>
      </c>
    </row>
    <row r="175" customFormat="false" ht="13.5" hidden="false" customHeight="false" outlineLevel="0" collapsed="false">
      <c r="A175" s="75"/>
      <c r="B175" s="76"/>
      <c r="C175" s="76"/>
      <c r="D175" s="76"/>
      <c r="I175" s="76"/>
      <c r="J175" s="75"/>
      <c r="K175" s="75"/>
      <c r="L175" s="76"/>
      <c r="M175" s="40"/>
    </row>
    <row r="176" customFormat="false" ht="13.5" hidden="false" customHeight="false" outlineLevel="0" collapsed="false">
      <c r="A176" s="75"/>
      <c r="B176" s="76"/>
      <c r="C176" s="76"/>
      <c r="D176" s="76"/>
      <c r="I176" s="76"/>
      <c r="J176" s="75"/>
      <c r="K176" s="75"/>
      <c r="L176" s="76"/>
      <c r="M176" s="40"/>
    </row>
  </sheetData>
  <autoFilter ref="A1:N106"/>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8" ySplit="2" topLeftCell="I5" activePane="bottomRight" state="frozen"/>
      <selection pane="topLeft" activeCell="A1" activeCellId="0" sqref="A1"/>
      <selection pane="topRight" activeCell="I1" activeCellId="0" sqref="I1"/>
      <selection pane="bottomLeft" activeCell="A5" activeCellId="0" sqref="A5"/>
      <selection pane="bottomRight" activeCell="F4" activeCellId="0" sqref="F4"/>
    </sheetView>
  </sheetViews>
  <sheetFormatPr defaultColWidth="8.5703125" defaultRowHeight="14.25" customHeight="false" zeroHeight="false" outlineLevelRow="0" outlineLevelCol="0"/>
  <cols>
    <col collapsed="false" customWidth="true" hidden="false" outlineLevel="0" max="1" min="1" style="0" width="11.43"/>
    <col collapsed="false" customWidth="true" hidden="false" outlineLevel="0" max="2" min="2" style="0" width="12"/>
    <col collapsed="false" customWidth="true" hidden="false" outlineLevel="0" max="3" min="3" style="0" width="18"/>
    <col collapsed="false" customWidth="true" hidden="false" outlineLevel="0" max="4" min="4" style="0" width="14"/>
    <col collapsed="false" customWidth="true" hidden="false" outlineLevel="0" max="5" min="5" style="0" width="7"/>
    <col collapsed="false" customWidth="true" hidden="false" outlineLevel="0" max="6" min="6" style="0" width="60"/>
    <col collapsed="false" customWidth="true" hidden="false" outlineLevel="0" max="7" min="7" style="0" width="12"/>
    <col collapsed="false" customWidth="true" hidden="false" outlineLevel="0" max="8" min="8" style="0" width="8"/>
    <col collapsed="false" customWidth="true" hidden="false" outlineLevel="0" max="37" min="9" style="0" width="6.57"/>
  </cols>
  <sheetData>
    <row r="1" customFormat="false" ht="93.75" hidden="false" customHeight="true" outlineLevel="0" collapsed="false">
      <c r="A1" s="77" t="s">
        <v>340</v>
      </c>
      <c r="B1" s="77" t="s">
        <v>341</v>
      </c>
      <c r="C1" s="77" t="s">
        <v>342</v>
      </c>
      <c r="D1" s="77" t="s">
        <v>343</v>
      </c>
      <c r="E1" s="77" t="s">
        <v>344</v>
      </c>
      <c r="F1" s="77" t="s">
        <v>0</v>
      </c>
      <c r="G1" s="77" t="s">
        <v>346</v>
      </c>
      <c r="H1" s="77" t="s">
        <v>345</v>
      </c>
      <c r="I1" s="78" t="s">
        <v>726</v>
      </c>
      <c r="J1" s="78" t="s">
        <v>19</v>
      </c>
      <c r="K1" s="78" t="s">
        <v>727</v>
      </c>
      <c r="L1" s="78" t="s">
        <v>728</v>
      </c>
      <c r="M1" s="78" t="s">
        <v>729</v>
      </c>
      <c r="N1" s="78" t="s">
        <v>730</v>
      </c>
      <c r="O1" s="78" t="s">
        <v>731</v>
      </c>
      <c r="P1" s="78" t="s">
        <v>732</v>
      </c>
      <c r="Q1" s="78" t="s">
        <v>733</v>
      </c>
      <c r="R1" s="78" t="s">
        <v>734</v>
      </c>
      <c r="S1" s="78" t="s">
        <v>735</v>
      </c>
      <c r="T1" s="78" t="s">
        <v>736</v>
      </c>
      <c r="U1" s="78" t="s">
        <v>737</v>
      </c>
      <c r="V1" s="78" t="s">
        <v>738</v>
      </c>
      <c r="W1" s="78" t="s">
        <v>739</v>
      </c>
      <c r="X1" s="78" t="s">
        <v>740</v>
      </c>
      <c r="Y1" s="78" t="s">
        <v>741</v>
      </c>
      <c r="Z1" s="78" t="s">
        <v>742</v>
      </c>
      <c r="AA1" s="78" t="s">
        <v>743</v>
      </c>
      <c r="AB1" s="78" t="s">
        <v>744</v>
      </c>
      <c r="AC1" s="78" t="s">
        <v>745</v>
      </c>
      <c r="AD1" s="78" t="s">
        <v>746</v>
      </c>
      <c r="AE1" s="78" t="s">
        <v>747</v>
      </c>
      <c r="AF1" s="78" t="s">
        <v>748</v>
      </c>
      <c r="AG1" s="78" t="s">
        <v>749</v>
      </c>
      <c r="AH1" s="78" t="s">
        <v>750</v>
      </c>
      <c r="AI1" s="78" t="s">
        <v>751</v>
      </c>
      <c r="AJ1" s="78" t="s">
        <v>752</v>
      </c>
      <c r="AK1" s="78" t="s">
        <v>753</v>
      </c>
    </row>
    <row r="2" customFormat="false" ht="14.25" hidden="false" customHeight="false" outlineLevel="0" collapsed="false">
      <c r="A2" s="79" t="s">
        <v>754</v>
      </c>
      <c r="B2" s="80" t="s">
        <v>755</v>
      </c>
      <c r="C2" s="80" t="s">
        <v>755</v>
      </c>
      <c r="D2" s="80" t="s">
        <v>755</v>
      </c>
      <c r="E2" s="80" t="s">
        <v>755</v>
      </c>
      <c r="F2" s="80" t="s">
        <v>755</v>
      </c>
      <c r="G2" s="80" t="s">
        <v>755</v>
      </c>
      <c r="H2" s="80" t="s">
        <v>755</v>
      </c>
      <c r="I2" s="81" t="s">
        <v>755</v>
      </c>
      <c r="J2" s="81"/>
      <c r="K2" s="81"/>
      <c r="L2" s="81"/>
      <c r="M2" s="81"/>
      <c r="N2" s="81"/>
      <c r="O2" s="81"/>
      <c r="P2" s="81"/>
      <c r="Q2" s="81"/>
      <c r="R2" s="81"/>
      <c r="S2" s="81"/>
      <c r="T2" s="81"/>
      <c r="U2" s="81"/>
      <c r="V2" s="81"/>
      <c r="W2" s="81"/>
      <c r="X2" s="81"/>
      <c r="Y2" s="81"/>
      <c r="Z2" s="81"/>
      <c r="AA2" s="81"/>
      <c r="AB2" s="81"/>
      <c r="AC2" s="81"/>
      <c r="AD2" s="81"/>
      <c r="AE2" s="81"/>
      <c r="AF2" s="81"/>
      <c r="AG2" s="81"/>
      <c r="AH2" s="81"/>
      <c r="AI2" s="81"/>
      <c r="AJ2" s="81"/>
      <c r="AK2" s="81"/>
    </row>
    <row r="3" customFormat="false" ht="25.5" hidden="false" customHeight="true" outlineLevel="0" collapsed="false">
      <c r="A3" s="82" t="s">
        <v>18</v>
      </c>
      <c r="B3" s="83" t="str">
        <f aca="false">IF(ISBLANK($A3),"NO_CODE",VLOOKUP($A3,'UPD Questions_290926 '!$E$1:$N$300,MATCH(B$1,'UPD Questions_290926 '!$E$1:$N$1,0),0)&amp;"")</f>
        <v>Planning </v>
      </c>
      <c r="C3" s="84" t="str">
        <f aca="false">IF(ISBLANK($A3),"NO_CODE",VLOOKUP($A3,'UPD Questions_290926 '!$E$1:$N$300,MATCH(C$1,'UPD Questions_290926 '!$E$1:$N$1,0),0)&amp;"")</f>
        <v>Legal and institutional planning architecture</v>
      </c>
      <c r="D3" s="83" t="str">
        <f aca="false">IF(ISBLANK($A3),"NO_CODE",VLOOKUP($A3,'UPD Questions_290926 '!$E$1:$N$300,MATCH(D$1,'UPD Questions_290926 '!$E$1:$N$1,0),0)&amp;"")</f>
        <v>State-level planning framework</v>
      </c>
      <c r="E3" s="83" t="str">
        <f aca="false">IF(ISBLANK($A3),"NO_CODE",VLOOKUP($A3,'UPD Questions_290926 '!$E$1:$N$300,MATCH(E$1,'UPD Questions_290926 '!$E$1:$N$1,0),0)&amp;"")</f>
        <v>MQ</v>
      </c>
      <c r="F3" s="83" t="str">
        <f aca="false">IF(ISBLANK($A3),"NO_CODE",VLOOKUP($A3,'UPD Questions_290926 '!$E$1:$N$300,MATCH(F$1,'UPD Questions_290926 '!$E$1:$N$1,0),0)&amp;"")</f>
        <v>Is there a provision for a State Spatial Planning Board which is mandated with planning policies and reforms for the state?</v>
      </c>
      <c r="G3" s="83" t="str">
        <f aca="false">IF(ISBLANK($A3),"NO_CODE",VLOOKUP($A3,'UPD Questions_290926 '!$E$1:$N$300,MATCH(G$1,'UPD Questions_290926 '!$E$1:$N$1,0),0)&amp;"")</f>
        <v>Law or Policy</v>
      </c>
      <c r="H3" s="85" t="n">
        <f aca="false">IF(ISBLANK($A3),"NO_CODE",VLOOKUP($A3,'UPD Questions_290926 '!$E$1:$N$300,MATCH(H$1,'UPD Questions_290926 '!$E$1:$N$1,0),0))</f>
        <v>10</v>
      </c>
      <c r="I3" s="86" t="str">
        <f aca="true">IF($H3=0,"NA",IF($A3=INDIRECT("'"&amp;$A3&amp;"'!$B$1"),IF(VLOOKUP(I$1,INDIRECT("'"&amp;$A3&amp;"'!$A$12:$Z$41"),MATCH("Points (Auto-generate)",INDIRECT("'"&amp;$A3&amp;"'!$A$12:$Z$12"),0),0)="","?",VLOOKUP(I$1,INDIRECT("'"&amp;$A3&amp;"'!$A$12:$Z$41"),MATCH("Points (Auto-generate)",INDIRECT("'"&amp;$A3&amp;"'!$A$12:$Z$12"),0),0)),"ER"))</f>
        <v>?</v>
      </c>
      <c r="J3" s="86" t="str">
        <f aca="true">IF($H3=0,"NA",IF($A3=INDIRECT("'"&amp;$A3&amp;"'!$B$1"),IF(VLOOKUP(J$1,INDIRECT("'"&amp;$A3&amp;"'!$A$12:$Z$41"),MATCH("Points (Auto-generate)",INDIRECT("'"&amp;$A3&amp;"'!$A$12:$Z$12"),0),0)="","?",VLOOKUP(J$1,INDIRECT("'"&amp;$A3&amp;"'!$A$12:$Z$41"),MATCH("Points (Auto-generate)",INDIRECT("'"&amp;$A3&amp;"'!$A$12:$Z$12"),0),0)),"ER"))</f>
        <v>?</v>
      </c>
      <c r="K3" s="86" t="str">
        <f aca="true">IF($H3=0,"NA",IF($A3=INDIRECT("'"&amp;$A3&amp;"'!$B$1"),IF(VLOOKUP(K$1,INDIRECT("'"&amp;$A3&amp;"'!$A$12:$Z$41"),MATCH("Points (Auto-generate)",INDIRECT("'"&amp;$A3&amp;"'!$A$12:$Z$12"),0),0)="","?",VLOOKUP(K$1,INDIRECT("'"&amp;$A3&amp;"'!$A$12:$Z$41"),MATCH("Points (Auto-generate)",INDIRECT("'"&amp;$A3&amp;"'!$A$12:$Z$12"),0),0)),"ER"))</f>
        <v>?</v>
      </c>
      <c r="L3" s="86" t="str">
        <f aca="true">IF($H3=0,"NA",IF($A3=INDIRECT("'"&amp;$A3&amp;"'!$B$1"),IF(VLOOKUP(L$1,INDIRECT("'"&amp;$A3&amp;"'!$A$12:$Z$41"),MATCH("Points (Auto-generate)",INDIRECT("'"&amp;$A3&amp;"'!$A$12:$Z$12"),0),0)="","?",VLOOKUP(L$1,INDIRECT("'"&amp;$A3&amp;"'!$A$12:$Z$41"),MATCH("Points (Auto-generate)",INDIRECT("'"&amp;$A3&amp;"'!$A$12:$Z$12"),0),0)),"ER"))</f>
        <v>?</v>
      </c>
      <c r="M3" s="86" t="str">
        <f aca="true">IF($H3=0,"NA",IF($A3=INDIRECT("'"&amp;$A3&amp;"'!$B$1"),IF(VLOOKUP(M$1,INDIRECT("'"&amp;$A3&amp;"'!$A$12:$Z$41"),MATCH("Points (Auto-generate)",INDIRECT("'"&amp;$A3&amp;"'!$A$12:$Z$12"),0),0)="","?",VLOOKUP(M$1,INDIRECT("'"&amp;$A3&amp;"'!$A$12:$Z$41"),MATCH("Points (Auto-generate)",INDIRECT("'"&amp;$A3&amp;"'!$A$12:$Z$12"),0),0)),"ER"))</f>
        <v>?</v>
      </c>
      <c r="N3" s="86" t="str">
        <f aca="true">IF($H3=0,"NA",IF($A3=INDIRECT("'"&amp;$A3&amp;"'!$B$1"),IF(VLOOKUP(N$1,INDIRECT("'"&amp;$A3&amp;"'!$A$12:$Z$41"),MATCH("Points (Auto-generate)",INDIRECT("'"&amp;$A3&amp;"'!$A$12:$Z$12"),0),0)="","?",VLOOKUP(N$1,INDIRECT("'"&amp;$A3&amp;"'!$A$12:$Z$41"),MATCH("Points (Auto-generate)",INDIRECT("'"&amp;$A3&amp;"'!$A$12:$Z$12"),0),0)),"ER"))</f>
        <v>?</v>
      </c>
      <c r="O3" s="86" t="str">
        <f aca="true">IF($H3=0,"NA",IF($A3=INDIRECT("'"&amp;$A3&amp;"'!$B$1"),IF(VLOOKUP(O$1,INDIRECT("'"&amp;$A3&amp;"'!$A$12:$Z$41"),MATCH("Points (Auto-generate)",INDIRECT("'"&amp;$A3&amp;"'!$A$12:$Z$12"),0),0)="","?",VLOOKUP(O$1,INDIRECT("'"&amp;$A3&amp;"'!$A$12:$Z$41"),MATCH("Points (Auto-generate)",INDIRECT("'"&amp;$A3&amp;"'!$A$12:$Z$12"),0),0)),"ER"))</f>
        <v>?</v>
      </c>
      <c r="P3" s="86" t="str">
        <f aca="true">IF($H3=0,"NA",IF($A3=INDIRECT("'"&amp;$A3&amp;"'!$B$1"),IF(VLOOKUP(P$1,INDIRECT("'"&amp;$A3&amp;"'!$A$12:$Z$41"),MATCH("Points (Auto-generate)",INDIRECT("'"&amp;$A3&amp;"'!$A$12:$Z$12"),0),0)="","?",VLOOKUP(P$1,INDIRECT("'"&amp;$A3&amp;"'!$A$12:$Z$41"),MATCH("Points (Auto-generate)",INDIRECT("'"&amp;$A3&amp;"'!$A$12:$Z$12"),0),0)),"ER"))</f>
        <v>?</v>
      </c>
      <c r="Q3" s="86" t="str">
        <f aca="true">IF($H3=0,"NA",IF($A3=INDIRECT("'"&amp;$A3&amp;"'!$B$1"),IF(VLOOKUP(Q$1,INDIRECT("'"&amp;$A3&amp;"'!$A$12:$Z$41"),MATCH("Points (Auto-generate)",INDIRECT("'"&amp;$A3&amp;"'!$A$12:$Z$12"),0),0)="","?",VLOOKUP(Q$1,INDIRECT("'"&amp;$A3&amp;"'!$A$12:$Z$41"),MATCH("Points (Auto-generate)",INDIRECT("'"&amp;$A3&amp;"'!$A$12:$Z$12"),0),0)),"ER"))</f>
        <v>?</v>
      </c>
      <c r="R3" s="86" t="str">
        <f aca="true">IF($H3=0,"NA",IF($A3=INDIRECT("'"&amp;$A3&amp;"'!$B$1"),IF(VLOOKUP(R$1,INDIRECT("'"&amp;$A3&amp;"'!$A$12:$Z$41"),MATCH("Points (Auto-generate)",INDIRECT("'"&amp;$A3&amp;"'!$A$12:$Z$12"),0),0)="","?",VLOOKUP(R$1,INDIRECT("'"&amp;$A3&amp;"'!$A$12:$Z$41"),MATCH("Points (Auto-generate)",INDIRECT("'"&amp;$A3&amp;"'!$A$12:$Z$12"),0),0)),"ER"))</f>
        <v>?</v>
      </c>
      <c r="S3" s="86" t="str">
        <f aca="true">IF($H3=0,"NA",IF($A3=INDIRECT("'"&amp;$A3&amp;"'!$B$1"),IF(VLOOKUP(S$1,INDIRECT("'"&amp;$A3&amp;"'!$A$12:$Z$41"),MATCH("Points (Auto-generate)",INDIRECT("'"&amp;$A3&amp;"'!$A$12:$Z$12"),0),0)="","?",VLOOKUP(S$1,INDIRECT("'"&amp;$A3&amp;"'!$A$12:$Z$41"),MATCH("Points (Auto-generate)",INDIRECT("'"&amp;$A3&amp;"'!$A$12:$Z$12"),0),0)),"ER"))</f>
        <v>?</v>
      </c>
      <c r="T3" s="86" t="str">
        <f aca="true">IF($H3=0,"NA",IF($A3=INDIRECT("'"&amp;$A3&amp;"'!$B$1"),IF(VLOOKUP(T$1,INDIRECT("'"&amp;$A3&amp;"'!$A$12:$Z$41"),MATCH("Points (Auto-generate)",INDIRECT("'"&amp;$A3&amp;"'!$A$12:$Z$12"),0),0)="","?",VLOOKUP(T$1,INDIRECT("'"&amp;$A3&amp;"'!$A$12:$Z$41"),MATCH("Points (Auto-generate)",INDIRECT("'"&amp;$A3&amp;"'!$A$12:$Z$12"),0),0)),"ER"))</f>
        <v>?</v>
      </c>
      <c r="U3" s="86" t="str">
        <f aca="true">IF($H3=0,"NA",IF($A3=INDIRECT("'"&amp;$A3&amp;"'!$B$1"),IF(VLOOKUP(U$1,INDIRECT("'"&amp;$A3&amp;"'!$A$12:$Z$41"),MATCH("Points (Auto-generate)",INDIRECT("'"&amp;$A3&amp;"'!$A$12:$Z$12"),0),0)="","?",VLOOKUP(U$1,INDIRECT("'"&amp;$A3&amp;"'!$A$12:$Z$41"),MATCH("Points (Auto-generate)",INDIRECT("'"&amp;$A3&amp;"'!$A$12:$Z$12"),0),0)),"ER"))</f>
        <v>?</v>
      </c>
      <c r="V3" s="86" t="str">
        <f aca="true">IF($H3=0,"NA",IF($A3=INDIRECT("'"&amp;$A3&amp;"'!$B$1"),IF(VLOOKUP(V$1,INDIRECT("'"&amp;$A3&amp;"'!$A$12:$Z$41"),MATCH("Points (Auto-generate)",INDIRECT("'"&amp;$A3&amp;"'!$A$12:$Z$12"),0),0)="","?",VLOOKUP(V$1,INDIRECT("'"&amp;$A3&amp;"'!$A$12:$Z$41"),MATCH("Points (Auto-generate)",INDIRECT("'"&amp;$A3&amp;"'!$A$12:$Z$12"),0),0)),"ER"))</f>
        <v>?</v>
      </c>
      <c r="W3" s="86" t="str">
        <f aca="true">IF($H3=0,"NA",IF($A3=INDIRECT("'"&amp;$A3&amp;"'!$B$1"),IF(VLOOKUP(W$1,INDIRECT("'"&amp;$A3&amp;"'!$A$12:$Z$41"),MATCH("Points (Auto-generate)",INDIRECT("'"&amp;$A3&amp;"'!$A$12:$Z$12"),0),0)="","?",VLOOKUP(W$1,INDIRECT("'"&amp;$A3&amp;"'!$A$12:$Z$41"),MATCH("Points (Auto-generate)",INDIRECT("'"&amp;$A3&amp;"'!$A$12:$Z$12"),0),0)),"ER"))</f>
        <v>?</v>
      </c>
      <c r="X3" s="86" t="str">
        <f aca="true">IF($H3=0,"NA",IF($A3=INDIRECT("'"&amp;$A3&amp;"'!$B$1"),IF(VLOOKUP(X$1,INDIRECT("'"&amp;$A3&amp;"'!$A$12:$Z$41"),MATCH("Points (Auto-generate)",INDIRECT("'"&amp;$A3&amp;"'!$A$12:$Z$12"),0),0)="","?",VLOOKUP(X$1,INDIRECT("'"&amp;$A3&amp;"'!$A$12:$Z$41"),MATCH("Points (Auto-generate)",INDIRECT("'"&amp;$A3&amp;"'!$A$12:$Z$12"),0),0)),"ER"))</f>
        <v>?</v>
      </c>
      <c r="Y3" s="86" t="str">
        <f aca="true">IF($H3=0,"NA",IF($A3=INDIRECT("'"&amp;$A3&amp;"'!$B$1"),IF(VLOOKUP(Y$1,INDIRECT("'"&amp;$A3&amp;"'!$A$12:$Z$41"),MATCH("Points (Auto-generate)",INDIRECT("'"&amp;$A3&amp;"'!$A$12:$Z$12"),0),0)="","?",VLOOKUP(Y$1,INDIRECT("'"&amp;$A3&amp;"'!$A$12:$Z$41"),MATCH("Points (Auto-generate)",INDIRECT("'"&amp;$A3&amp;"'!$A$12:$Z$12"),0),0)),"ER"))</f>
        <v>?</v>
      </c>
      <c r="Z3" s="86" t="str">
        <f aca="true">IF($H3=0,"NA",IF($A3=INDIRECT("'"&amp;$A3&amp;"'!$B$1"),IF(VLOOKUP(Z$1,INDIRECT("'"&amp;$A3&amp;"'!$A$12:$Z$41"),MATCH("Points (Auto-generate)",INDIRECT("'"&amp;$A3&amp;"'!$A$12:$Z$12"),0),0)="","?",VLOOKUP(Z$1,INDIRECT("'"&amp;$A3&amp;"'!$A$12:$Z$41"),MATCH("Points (Auto-generate)",INDIRECT("'"&amp;$A3&amp;"'!$A$12:$Z$12"),0),0)),"ER"))</f>
        <v>?</v>
      </c>
      <c r="AA3" s="86" t="str">
        <f aca="true">IF($H3=0,"NA",IF($A3=INDIRECT("'"&amp;$A3&amp;"'!$B$1"),IF(VLOOKUP(AA$1,INDIRECT("'"&amp;$A3&amp;"'!$A$12:$Z$41"),MATCH("Points (Auto-generate)",INDIRECT("'"&amp;$A3&amp;"'!$A$12:$Z$12"),0),0)="","?",VLOOKUP(AA$1,INDIRECT("'"&amp;$A3&amp;"'!$A$12:$Z$41"),MATCH("Points (Auto-generate)",INDIRECT("'"&amp;$A3&amp;"'!$A$12:$Z$12"),0),0)),"ER"))</f>
        <v>?</v>
      </c>
      <c r="AB3" s="86" t="str">
        <f aca="true">IF($H3=0,"NA",IF($A3=INDIRECT("'"&amp;$A3&amp;"'!$B$1"),IF(VLOOKUP(AB$1,INDIRECT("'"&amp;$A3&amp;"'!$A$12:$Z$41"),MATCH("Points (Auto-generate)",INDIRECT("'"&amp;$A3&amp;"'!$A$12:$Z$12"),0),0)="","?",VLOOKUP(AB$1,INDIRECT("'"&amp;$A3&amp;"'!$A$12:$Z$41"),MATCH("Points (Auto-generate)",INDIRECT("'"&amp;$A3&amp;"'!$A$12:$Z$12"),0),0)),"ER"))</f>
        <v>?</v>
      </c>
      <c r="AC3" s="86" t="str">
        <f aca="true">IF($H3=0,"NA",IF($A3=INDIRECT("'"&amp;$A3&amp;"'!$B$1"),IF(VLOOKUP(AC$1,INDIRECT("'"&amp;$A3&amp;"'!$A$12:$Z$41"),MATCH("Points (Auto-generate)",INDIRECT("'"&amp;$A3&amp;"'!$A$12:$Z$12"),0),0)="","?",VLOOKUP(AC$1,INDIRECT("'"&amp;$A3&amp;"'!$A$12:$Z$41"),MATCH("Points (Auto-generate)",INDIRECT("'"&amp;$A3&amp;"'!$A$12:$Z$12"),0),0)),"ER"))</f>
        <v>?</v>
      </c>
      <c r="AD3" s="86" t="str">
        <f aca="true">IF($H3=0,"NA",IF($A3=INDIRECT("'"&amp;$A3&amp;"'!$B$1"),IF(VLOOKUP(AD$1,INDIRECT("'"&amp;$A3&amp;"'!$A$12:$Z$41"),MATCH("Points (Auto-generate)",INDIRECT("'"&amp;$A3&amp;"'!$A$12:$Z$12"),0),0)="","?",VLOOKUP(AD$1,INDIRECT("'"&amp;$A3&amp;"'!$A$12:$Z$41"),MATCH("Points (Auto-generate)",INDIRECT("'"&amp;$A3&amp;"'!$A$12:$Z$12"),0),0)),"ER"))</f>
        <v>?</v>
      </c>
      <c r="AE3" s="86" t="str">
        <f aca="true">IF($H3=0,"NA",IF($A3=INDIRECT("'"&amp;$A3&amp;"'!$B$1"),IF(VLOOKUP(AE$1,INDIRECT("'"&amp;$A3&amp;"'!$A$12:$Z$41"),MATCH("Points (Auto-generate)",INDIRECT("'"&amp;$A3&amp;"'!$A$12:$Z$12"),0),0)="","?",VLOOKUP(AE$1,INDIRECT("'"&amp;$A3&amp;"'!$A$12:$Z$41"),MATCH("Points (Auto-generate)",INDIRECT("'"&amp;$A3&amp;"'!$A$12:$Z$12"),0),0)),"ER"))</f>
        <v>?</v>
      </c>
      <c r="AF3" s="86" t="str">
        <f aca="true">IF($H3=0,"NA",IF($A3=INDIRECT("'"&amp;$A3&amp;"'!$B$1"),IF(VLOOKUP(AF$1,INDIRECT("'"&amp;$A3&amp;"'!$A$12:$Z$41"),MATCH("Points (Auto-generate)",INDIRECT("'"&amp;$A3&amp;"'!$A$12:$Z$12"),0),0)="","?",VLOOKUP(AF$1,INDIRECT("'"&amp;$A3&amp;"'!$A$12:$Z$41"),MATCH("Points (Auto-generate)",INDIRECT("'"&amp;$A3&amp;"'!$A$12:$Z$12"),0),0)),"ER"))</f>
        <v>?</v>
      </c>
      <c r="AG3" s="86" t="str">
        <f aca="true">IF($H3=0,"NA",IF($A3=INDIRECT("'"&amp;$A3&amp;"'!$B$1"),IF(VLOOKUP(AG$1,INDIRECT("'"&amp;$A3&amp;"'!$A$12:$Z$41"),MATCH("Points (Auto-generate)",INDIRECT("'"&amp;$A3&amp;"'!$A$12:$Z$12"),0),0)="","?",VLOOKUP(AG$1,INDIRECT("'"&amp;$A3&amp;"'!$A$12:$Z$41"),MATCH("Points (Auto-generate)",INDIRECT("'"&amp;$A3&amp;"'!$A$12:$Z$12"),0),0)),"ER"))</f>
        <v>?</v>
      </c>
      <c r="AH3" s="86" t="str">
        <f aca="true">IF($H3=0,"NA",IF($A3=INDIRECT("'"&amp;$A3&amp;"'!$B$1"),IF(VLOOKUP(AH$1,INDIRECT("'"&amp;$A3&amp;"'!$A$12:$Z$41"),MATCH("Points (Auto-generate)",INDIRECT("'"&amp;$A3&amp;"'!$A$12:$Z$12"),0),0)="","?",VLOOKUP(AH$1,INDIRECT("'"&amp;$A3&amp;"'!$A$12:$Z$41"),MATCH("Points (Auto-generate)",INDIRECT("'"&amp;$A3&amp;"'!$A$12:$Z$12"),0),0)),"ER"))</f>
        <v>?</v>
      </c>
      <c r="AI3" s="86" t="str">
        <f aca="true">IF($H3=0,"NA",IF($A3=INDIRECT("'"&amp;$A3&amp;"'!$B$1"),IF(VLOOKUP(AI$1,INDIRECT("'"&amp;$A3&amp;"'!$A$12:$Z$41"),MATCH("Points (Auto-generate)",INDIRECT("'"&amp;$A3&amp;"'!$A$12:$Z$12"),0),0)="","?",VLOOKUP(AI$1,INDIRECT("'"&amp;$A3&amp;"'!$A$12:$Z$41"),MATCH("Points (Auto-generate)",INDIRECT("'"&amp;$A3&amp;"'!$A$12:$Z$12"),0),0)),"ER"))</f>
        <v>?</v>
      </c>
      <c r="AJ3" s="86" t="str">
        <f aca="true">IF($H3=0,"NA",IF($A3=INDIRECT("'"&amp;$A3&amp;"'!$B$1"),IF(VLOOKUP(AJ$1,INDIRECT("'"&amp;$A3&amp;"'!$A$12:$Z$41"),MATCH("Points (Auto-generate)",INDIRECT("'"&amp;$A3&amp;"'!$A$12:$Z$12"),0),0)="","?",VLOOKUP(AJ$1,INDIRECT("'"&amp;$A3&amp;"'!$A$12:$Z$41"),MATCH("Points (Auto-generate)",INDIRECT("'"&amp;$A3&amp;"'!$A$12:$Z$12"),0),0)),"ER"))</f>
        <v>?</v>
      </c>
      <c r="AK3" s="86" t="str">
        <f aca="true">IF($H3=0,"NA",IF($A3=INDIRECT("'"&amp;$A3&amp;"'!$B$1"),IF(VLOOKUP(AK$1,INDIRECT("'"&amp;$A3&amp;"'!$A$12:$Z$41"),MATCH("Points (Auto-generate)",INDIRECT("'"&amp;$A3&amp;"'!$A$12:$Z$12"),0),0)="","?",VLOOKUP(AK$1,INDIRECT("'"&amp;$A3&amp;"'!$A$12:$Z$41"),MATCH("Points (Auto-generate)",INDIRECT("'"&amp;$A3&amp;"'!$A$12:$Z$12"),0),0)),"ER"))</f>
        <v>?</v>
      </c>
    </row>
    <row r="4" customFormat="false" ht="25.5" hidden="false" customHeight="true" outlineLevel="0" collapsed="false">
      <c r="A4" s="82" t="s">
        <v>30</v>
      </c>
      <c r="B4" s="83" t="str">
        <f aca="false">IF(ISBLANK($A4),"NO_CODE",VLOOKUP($A4,'UPD Questions_290926 '!$E$1:$N$300,MATCH(B$1,'UPD Questions_290926 '!$E$1:$N$1,0),0)&amp;"")</f>
        <v>Planning </v>
      </c>
      <c r="C4" s="84" t="str">
        <f aca="false">IF(ISBLANK($A4),"NO_CODE",VLOOKUP($A4,'UPD Questions_290926 '!$E$1:$N$300,MATCH(C$1,'UPD Questions_290926 '!$E$1:$N$1,0),0)&amp;"")</f>
        <v>Legal and institutional planning architecture</v>
      </c>
      <c r="D4" s="83" t="str">
        <f aca="false">IF(ISBLANK($A4),"NO_CODE",VLOOKUP($A4,'UPD Questions_290926 '!$E$1:$N$300,MATCH(D$1,'UPD Questions_290926 '!$E$1:$N$1,0),0)&amp;"")</f>
        <v>State-level planning framework</v>
      </c>
      <c r="E4" s="83" t="str">
        <f aca="false">IF(ISBLANK($A4),"NO_CODE",VLOOKUP($A4,'UPD Questions_290926 '!$E$1:$N$300,MATCH(E$1,'UPD Questions_290926 '!$E$1:$N$1,0),0)&amp;"")</f>
        <v>MQ</v>
      </c>
      <c r="F4" s="83" t="str">
        <f aca="false">IF(ISBLANK($A4),"NO_CODE",VLOOKUP($A4,'UPD Questions_290926 '!$E$1:$N$300,MATCH(F$1,'UPD Questions_290926 '!$E$1:$N$1,0),0)&amp;"")</f>
        <v>Is there a provision for the establishment of Planning Authorities for notified new towns or special developments?</v>
      </c>
      <c r="G4" s="83" t="str">
        <f aca="false">IF(ISBLANK($A4),"NO_CODE",VLOOKUP($A4,'UPD Questions_290926 '!$E$1:$N$300,MATCH(G$1,'UPD Questions_290926 '!$E$1:$N$1,0),0)&amp;"")</f>
        <v>Law or Policy</v>
      </c>
      <c r="H4" s="85" t="n">
        <f aca="false">IF(ISBLANK($A4),"NO_CODE",VLOOKUP($A4,'UPD Questions_290926 '!$E$1:$N$300,MATCH(H$1,'UPD Questions_290926 '!$E$1:$N$1,0),0))</f>
        <v>10</v>
      </c>
      <c r="I4" s="86" t="str">
        <f aca="true">IF($H4=0,"NA",IF($A4=INDIRECT("'"&amp;$A4&amp;"'!$B$1"),IF(VLOOKUP(I$1,INDIRECT("'"&amp;$A4&amp;"'!$A$12:$Z$41"),MATCH("Points (Auto-generate)",INDIRECT("'"&amp;$A4&amp;"'!$A$12:$Z$12"),0),0)="","?",VLOOKUP(I$1,INDIRECT("'"&amp;$A4&amp;"'!$A$12:$Z$41"),MATCH("Points (Auto-generate)",INDIRECT("'"&amp;$A4&amp;"'!$A$12:$Z$12"),0),0)),"ER"))</f>
        <v>?</v>
      </c>
      <c r="J4" s="86" t="n">
        <f aca="true">IF($H4=0,"NA",IF($A4=INDIRECT("'"&amp;$A4&amp;"'!$B$1"),IF(VLOOKUP(J$1,INDIRECT("'"&amp;$A4&amp;"'!$A$12:$Z$41"),MATCH("Points (Auto-generate)",INDIRECT("'"&amp;$A4&amp;"'!$A$12:$Z$12"),0),0)="","?",VLOOKUP(J$1,INDIRECT("'"&amp;$A4&amp;"'!$A$12:$Z$41"),MATCH("Points (Auto-generate)",INDIRECT("'"&amp;$A4&amp;"'!$A$12:$Z$12"),0),0)),"ER"))</f>
        <v>10</v>
      </c>
      <c r="K4" s="86" t="str">
        <f aca="true">IF($H4=0,"NA",IF($A4=INDIRECT("'"&amp;$A4&amp;"'!$B$1"),IF(VLOOKUP(K$1,INDIRECT("'"&amp;$A4&amp;"'!$A$12:$Z$41"),MATCH("Points (Auto-generate)",INDIRECT("'"&amp;$A4&amp;"'!$A$12:$Z$12"),0),0)="","?",VLOOKUP(K$1,INDIRECT("'"&amp;$A4&amp;"'!$A$12:$Z$41"),MATCH("Points (Auto-generate)",INDIRECT("'"&amp;$A4&amp;"'!$A$12:$Z$12"),0),0)),"ER"))</f>
        <v>?</v>
      </c>
      <c r="L4" s="86" t="str">
        <f aca="true">IF($H4=0,"NA",IF($A4=INDIRECT("'"&amp;$A4&amp;"'!$B$1"),IF(VLOOKUP(L$1,INDIRECT("'"&amp;$A4&amp;"'!$A$12:$Z$41"),MATCH("Points (Auto-generate)",INDIRECT("'"&amp;$A4&amp;"'!$A$12:$Z$12"),0),0)="","?",VLOOKUP(L$1,INDIRECT("'"&amp;$A4&amp;"'!$A$12:$Z$41"),MATCH("Points (Auto-generate)",INDIRECT("'"&amp;$A4&amp;"'!$A$12:$Z$12"),0),0)),"ER"))</f>
        <v>?</v>
      </c>
      <c r="M4" s="86" t="str">
        <f aca="true">IF($H4=0,"NA",IF($A4=INDIRECT("'"&amp;$A4&amp;"'!$B$1"),IF(VLOOKUP(M$1,INDIRECT("'"&amp;$A4&amp;"'!$A$12:$Z$41"),MATCH("Points (Auto-generate)",INDIRECT("'"&amp;$A4&amp;"'!$A$12:$Z$12"),0),0)="","?",VLOOKUP(M$1,INDIRECT("'"&amp;$A4&amp;"'!$A$12:$Z$41"),MATCH("Points (Auto-generate)",INDIRECT("'"&amp;$A4&amp;"'!$A$12:$Z$12"),0),0)),"ER"))</f>
        <v>?</v>
      </c>
      <c r="N4" s="86" t="str">
        <f aca="true">IF($H4=0,"NA",IF($A4=INDIRECT("'"&amp;$A4&amp;"'!$B$1"),IF(VLOOKUP(N$1,INDIRECT("'"&amp;$A4&amp;"'!$A$12:$Z$41"),MATCH("Points (Auto-generate)",INDIRECT("'"&amp;$A4&amp;"'!$A$12:$Z$12"),0),0)="","?",VLOOKUP(N$1,INDIRECT("'"&amp;$A4&amp;"'!$A$12:$Z$41"),MATCH("Points (Auto-generate)",INDIRECT("'"&amp;$A4&amp;"'!$A$12:$Z$12"),0),0)),"ER"))</f>
        <v>?</v>
      </c>
      <c r="O4" s="86" t="str">
        <f aca="true">IF($H4=0,"NA",IF($A4=INDIRECT("'"&amp;$A4&amp;"'!$B$1"),IF(VLOOKUP(O$1,INDIRECT("'"&amp;$A4&amp;"'!$A$12:$Z$41"),MATCH("Points (Auto-generate)",INDIRECT("'"&amp;$A4&amp;"'!$A$12:$Z$12"),0),0)="","?",VLOOKUP(O$1,INDIRECT("'"&amp;$A4&amp;"'!$A$12:$Z$41"),MATCH("Points (Auto-generate)",INDIRECT("'"&amp;$A4&amp;"'!$A$12:$Z$12"),0),0)),"ER"))</f>
        <v>?</v>
      </c>
      <c r="P4" s="86" t="str">
        <f aca="true">IF($H4=0,"NA",IF($A4=INDIRECT("'"&amp;$A4&amp;"'!$B$1"),IF(VLOOKUP(P$1,INDIRECT("'"&amp;$A4&amp;"'!$A$12:$Z$41"),MATCH("Points (Auto-generate)",INDIRECT("'"&amp;$A4&amp;"'!$A$12:$Z$12"),0),0)="","?",VLOOKUP(P$1,INDIRECT("'"&amp;$A4&amp;"'!$A$12:$Z$41"),MATCH("Points (Auto-generate)",INDIRECT("'"&amp;$A4&amp;"'!$A$12:$Z$12"),0),0)),"ER"))</f>
        <v>?</v>
      </c>
      <c r="Q4" s="86" t="str">
        <f aca="true">IF($H4=0,"NA",IF($A4=INDIRECT("'"&amp;$A4&amp;"'!$B$1"),IF(VLOOKUP(Q$1,INDIRECT("'"&amp;$A4&amp;"'!$A$12:$Z$41"),MATCH("Points (Auto-generate)",INDIRECT("'"&amp;$A4&amp;"'!$A$12:$Z$12"),0),0)="","?",VLOOKUP(Q$1,INDIRECT("'"&amp;$A4&amp;"'!$A$12:$Z$41"),MATCH("Points (Auto-generate)",INDIRECT("'"&amp;$A4&amp;"'!$A$12:$Z$12"),0),0)),"ER"))</f>
        <v>?</v>
      </c>
      <c r="R4" s="86" t="str">
        <f aca="true">IF($H4=0,"NA",IF($A4=INDIRECT("'"&amp;$A4&amp;"'!$B$1"),IF(VLOOKUP(R$1,INDIRECT("'"&amp;$A4&amp;"'!$A$12:$Z$41"),MATCH("Points (Auto-generate)",INDIRECT("'"&amp;$A4&amp;"'!$A$12:$Z$12"),0),0)="","?",VLOOKUP(R$1,INDIRECT("'"&amp;$A4&amp;"'!$A$12:$Z$41"),MATCH("Points (Auto-generate)",INDIRECT("'"&amp;$A4&amp;"'!$A$12:$Z$12"),0),0)),"ER"))</f>
        <v>?</v>
      </c>
      <c r="S4" s="86" t="str">
        <f aca="true">IF($H4=0,"NA",IF($A4=INDIRECT("'"&amp;$A4&amp;"'!$B$1"),IF(VLOOKUP(S$1,INDIRECT("'"&amp;$A4&amp;"'!$A$12:$Z$41"),MATCH("Points (Auto-generate)",INDIRECT("'"&amp;$A4&amp;"'!$A$12:$Z$12"),0),0)="","?",VLOOKUP(S$1,INDIRECT("'"&amp;$A4&amp;"'!$A$12:$Z$41"),MATCH("Points (Auto-generate)",INDIRECT("'"&amp;$A4&amp;"'!$A$12:$Z$12"),0),0)),"ER"))</f>
        <v>?</v>
      </c>
      <c r="T4" s="86" t="str">
        <f aca="true">IF($H4=0,"NA",IF($A4=INDIRECT("'"&amp;$A4&amp;"'!$B$1"),IF(VLOOKUP(T$1,INDIRECT("'"&amp;$A4&amp;"'!$A$12:$Z$41"),MATCH("Points (Auto-generate)",INDIRECT("'"&amp;$A4&amp;"'!$A$12:$Z$12"),0),0)="","?",VLOOKUP(T$1,INDIRECT("'"&amp;$A4&amp;"'!$A$12:$Z$41"),MATCH("Points (Auto-generate)",INDIRECT("'"&amp;$A4&amp;"'!$A$12:$Z$12"),0),0)),"ER"))</f>
        <v>?</v>
      </c>
      <c r="U4" s="86" t="str">
        <f aca="true">IF($H4=0,"NA",IF($A4=INDIRECT("'"&amp;$A4&amp;"'!$B$1"),IF(VLOOKUP(U$1,INDIRECT("'"&amp;$A4&amp;"'!$A$12:$Z$41"),MATCH("Points (Auto-generate)",INDIRECT("'"&amp;$A4&amp;"'!$A$12:$Z$12"),0),0)="","?",VLOOKUP(U$1,INDIRECT("'"&amp;$A4&amp;"'!$A$12:$Z$41"),MATCH("Points (Auto-generate)",INDIRECT("'"&amp;$A4&amp;"'!$A$12:$Z$12"),0),0)),"ER"))</f>
        <v>?</v>
      </c>
      <c r="V4" s="86" t="str">
        <f aca="true">IF($H4=0,"NA",IF($A4=INDIRECT("'"&amp;$A4&amp;"'!$B$1"),IF(VLOOKUP(V$1,INDIRECT("'"&amp;$A4&amp;"'!$A$12:$Z$41"),MATCH("Points (Auto-generate)",INDIRECT("'"&amp;$A4&amp;"'!$A$12:$Z$12"),0),0)="","?",VLOOKUP(V$1,INDIRECT("'"&amp;$A4&amp;"'!$A$12:$Z$41"),MATCH("Points (Auto-generate)",INDIRECT("'"&amp;$A4&amp;"'!$A$12:$Z$12"),0),0)),"ER"))</f>
        <v>?</v>
      </c>
      <c r="W4" s="86" t="str">
        <f aca="true">IF($H4=0,"NA",IF($A4=INDIRECT("'"&amp;$A4&amp;"'!$B$1"),IF(VLOOKUP(W$1,INDIRECT("'"&amp;$A4&amp;"'!$A$12:$Z$41"),MATCH("Points (Auto-generate)",INDIRECT("'"&amp;$A4&amp;"'!$A$12:$Z$12"),0),0)="","?",VLOOKUP(W$1,INDIRECT("'"&amp;$A4&amp;"'!$A$12:$Z$41"),MATCH("Points (Auto-generate)",INDIRECT("'"&amp;$A4&amp;"'!$A$12:$Z$12"),0),0)),"ER"))</f>
        <v>?</v>
      </c>
      <c r="X4" s="86" t="str">
        <f aca="true">IF($H4=0,"NA",IF($A4=INDIRECT("'"&amp;$A4&amp;"'!$B$1"),IF(VLOOKUP(X$1,INDIRECT("'"&amp;$A4&amp;"'!$A$12:$Z$41"),MATCH("Points (Auto-generate)",INDIRECT("'"&amp;$A4&amp;"'!$A$12:$Z$12"),0),0)="","?",VLOOKUP(X$1,INDIRECT("'"&amp;$A4&amp;"'!$A$12:$Z$41"),MATCH("Points (Auto-generate)",INDIRECT("'"&amp;$A4&amp;"'!$A$12:$Z$12"),0),0)),"ER"))</f>
        <v>?</v>
      </c>
      <c r="Y4" s="86" t="str">
        <f aca="true">IF($H4=0,"NA",IF($A4=INDIRECT("'"&amp;$A4&amp;"'!$B$1"),IF(VLOOKUP(Y$1,INDIRECT("'"&amp;$A4&amp;"'!$A$12:$Z$41"),MATCH("Points (Auto-generate)",INDIRECT("'"&amp;$A4&amp;"'!$A$12:$Z$12"),0),0)="","?",VLOOKUP(Y$1,INDIRECT("'"&amp;$A4&amp;"'!$A$12:$Z$41"),MATCH("Points (Auto-generate)",INDIRECT("'"&amp;$A4&amp;"'!$A$12:$Z$12"),0),0)),"ER"))</f>
        <v>?</v>
      </c>
      <c r="Z4" s="86" t="str">
        <f aca="true">IF($H4=0,"NA",IF($A4=INDIRECT("'"&amp;$A4&amp;"'!$B$1"),IF(VLOOKUP(Z$1,INDIRECT("'"&amp;$A4&amp;"'!$A$12:$Z$41"),MATCH("Points (Auto-generate)",INDIRECT("'"&amp;$A4&amp;"'!$A$12:$Z$12"),0),0)="","?",VLOOKUP(Z$1,INDIRECT("'"&amp;$A4&amp;"'!$A$12:$Z$41"),MATCH("Points (Auto-generate)",INDIRECT("'"&amp;$A4&amp;"'!$A$12:$Z$12"),0),0)),"ER"))</f>
        <v>?</v>
      </c>
      <c r="AA4" s="86" t="str">
        <f aca="true">IF($H4=0,"NA",IF($A4=INDIRECT("'"&amp;$A4&amp;"'!$B$1"),IF(VLOOKUP(AA$1,INDIRECT("'"&amp;$A4&amp;"'!$A$12:$Z$41"),MATCH("Points (Auto-generate)",INDIRECT("'"&amp;$A4&amp;"'!$A$12:$Z$12"),0),0)="","?",VLOOKUP(AA$1,INDIRECT("'"&amp;$A4&amp;"'!$A$12:$Z$41"),MATCH("Points (Auto-generate)",INDIRECT("'"&amp;$A4&amp;"'!$A$12:$Z$12"),0),0)),"ER"))</f>
        <v>?</v>
      </c>
      <c r="AB4" s="86" t="str">
        <f aca="true">IF($H4=0,"NA",IF($A4=INDIRECT("'"&amp;$A4&amp;"'!$B$1"),IF(VLOOKUP(AB$1,INDIRECT("'"&amp;$A4&amp;"'!$A$12:$Z$41"),MATCH("Points (Auto-generate)",INDIRECT("'"&amp;$A4&amp;"'!$A$12:$Z$12"),0),0)="","?",VLOOKUP(AB$1,INDIRECT("'"&amp;$A4&amp;"'!$A$12:$Z$41"),MATCH("Points (Auto-generate)",INDIRECT("'"&amp;$A4&amp;"'!$A$12:$Z$12"),0),0)),"ER"))</f>
        <v>?</v>
      </c>
      <c r="AC4" s="86" t="str">
        <f aca="true">IF($H4=0,"NA",IF($A4=INDIRECT("'"&amp;$A4&amp;"'!$B$1"),IF(VLOOKUP(AC$1,INDIRECT("'"&amp;$A4&amp;"'!$A$12:$Z$41"),MATCH("Points (Auto-generate)",INDIRECT("'"&amp;$A4&amp;"'!$A$12:$Z$12"),0),0)="","?",VLOOKUP(AC$1,INDIRECT("'"&amp;$A4&amp;"'!$A$12:$Z$41"),MATCH("Points (Auto-generate)",INDIRECT("'"&amp;$A4&amp;"'!$A$12:$Z$12"),0),0)),"ER"))</f>
        <v>?</v>
      </c>
      <c r="AD4" s="86" t="str">
        <f aca="true">IF($H4=0,"NA",IF($A4=INDIRECT("'"&amp;$A4&amp;"'!$B$1"),IF(VLOOKUP(AD$1,INDIRECT("'"&amp;$A4&amp;"'!$A$12:$Z$41"),MATCH("Points (Auto-generate)",INDIRECT("'"&amp;$A4&amp;"'!$A$12:$Z$12"),0),0)="","?",VLOOKUP(AD$1,INDIRECT("'"&amp;$A4&amp;"'!$A$12:$Z$41"),MATCH("Points (Auto-generate)",INDIRECT("'"&amp;$A4&amp;"'!$A$12:$Z$12"),0),0)),"ER"))</f>
        <v>?</v>
      </c>
      <c r="AE4" s="86" t="str">
        <f aca="true">IF($H4=0,"NA",IF($A4=INDIRECT("'"&amp;$A4&amp;"'!$B$1"),IF(VLOOKUP(AE$1,INDIRECT("'"&amp;$A4&amp;"'!$A$12:$Z$41"),MATCH("Points (Auto-generate)",INDIRECT("'"&amp;$A4&amp;"'!$A$12:$Z$12"),0),0)="","?",VLOOKUP(AE$1,INDIRECT("'"&amp;$A4&amp;"'!$A$12:$Z$41"),MATCH("Points (Auto-generate)",INDIRECT("'"&amp;$A4&amp;"'!$A$12:$Z$12"),0),0)),"ER"))</f>
        <v>?</v>
      </c>
      <c r="AF4" s="86" t="str">
        <f aca="true">IF($H4=0,"NA",IF($A4=INDIRECT("'"&amp;$A4&amp;"'!$B$1"),IF(VLOOKUP(AF$1,INDIRECT("'"&amp;$A4&amp;"'!$A$12:$Z$41"),MATCH("Points (Auto-generate)",INDIRECT("'"&amp;$A4&amp;"'!$A$12:$Z$12"),0),0)="","?",VLOOKUP(AF$1,INDIRECT("'"&amp;$A4&amp;"'!$A$12:$Z$41"),MATCH("Points (Auto-generate)",INDIRECT("'"&amp;$A4&amp;"'!$A$12:$Z$12"),0),0)),"ER"))</f>
        <v>?</v>
      </c>
      <c r="AG4" s="86" t="str">
        <f aca="true">IF($H4=0,"NA",IF($A4=INDIRECT("'"&amp;$A4&amp;"'!$B$1"),IF(VLOOKUP(AG$1,INDIRECT("'"&amp;$A4&amp;"'!$A$12:$Z$41"),MATCH("Points (Auto-generate)",INDIRECT("'"&amp;$A4&amp;"'!$A$12:$Z$12"),0),0)="","?",VLOOKUP(AG$1,INDIRECT("'"&amp;$A4&amp;"'!$A$12:$Z$41"),MATCH("Points (Auto-generate)",INDIRECT("'"&amp;$A4&amp;"'!$A$12:$Z$12"),0),0)),"ER"))</f>
        <v>?</v>
      </c>
      <c r="AH4" s="86" t="str">
        <f aca="true">IF($H4=0,"NA",IF($A4=INDIRECT("'"&amp;$A4&amp;"'!$B$1"),IF(VLOOKUP(AH$1,INDIRECT("'"&amp;$A4&amp;"'!$A$12:$Z$41"),MATCH("Points (Auto-generate)",INDIRECT("'"&amp;$A4&amp;"'!$A$12:$Z$12"),0),0)="","?",VLOOKUP(AH$1,INDIRECT("'"&amp;$A4&amp;"'!$A$12:$Z$41"),MATCH("Points (Auto-generate)",INDIRECT("'"&amp;$A4&amp;"'!$A$12:$Z$12"),0),0)),"ER"))</f>
        <v>?</v>
      </c>
      <c r="AI4" s="86" t="str">
        <f aca="true">IF($H4=0,"NA",IF($A4=INDIRECT("'"&amp;$A4&amp;"'!$B$1"),IF(VLOOKUP(AI$1,INDIRECT("'"&amp;$A4&amp;"'!$A$12:$Z$41"),MATCH("Points (Auto-generate)",INDIRECT("'"&amp;$A4&amp;"'!$A$12:$Z$12"),0),0)="","?",VLOOKUP(AI$1,INDIRECT("'"&amp;$A4&amp;"'!$A$12:$Z$41"),MATCH("Points (Auto-generate)",INDIRECT("'"&amp;$A4&amp;"'!$A$12:$Z$12"),0),0)),"ER"))</f>
        <v>?</v>
      </c>
      <c r="AJ4" s="86" t="str">
        <f aca="true">IF($H4=0,"NA",IF($A4=INDIRECT("'"&amp;$A4&amp;"'!$B$1"),IF(VLOOKUP(AJ$1,INDIRECT("'"&amp;$A4&amp;"'!$A$12:$Z$41"),MATCH("Points (Auto-generate)",INDIRECT("'"&amp;$A4&amp;"'!$A$12:$Z$12"),0),0)="","?",VLOOKUP(AJ$1,INDIRECT("'"&amp;$A4&amp;"'!$A$12:$Z$41"),MATCH("Points (Auto-generate)",INDIRECT("'"&amp;$A4&amp;"'!$A$12:$Z$12"),0),0)),"ER"))</f>
        <v>?</v>
      </c>
      <c r="AK4" s="86" t="str">
        <f aca="true">IF($H4=0,"NA",IF($A4=INDIRECT("'"&amp;$A4&amp;"'!$B$1"),IF(VLOOKUP(AK$1,INDIRECT("'"&amp;$A4&amp;"'!$A$12:$Z$41"),MATCH("Points (Auto-generate)",INDIRECT("'"&amp;$A4&amp;"'!$A$12:$Z$12"),0),0)="","?",VLOOKUP(AK$1,INDIRECT("'"&amp;$A4&amp;"'!$A$12:$Z$41"),MATCH("Points (Auto-generate)",INDIRECT("'"&amp;$A4&amp;"'!$A$12:$Z$12"),0),0)),"ER"))</f>
        <v>?</v>
      </c>
    </row>
    <row r="5" customFormat="false" ht="25.5" hidden="false" customHeight="true" outlineLevel="0" collapsed="false">
      <c r="A5" s="82" t="s">
        <v>361</v>
      </c>
      <c r="B5" s="83" t="str">
        <f aca="false">IF(ISBLANK($A5),"NO_CODE",VLOOKUP($A5,'UPD Questions_290926 '!$E$1:$N$300,MATCH(B$1,'UPD Questions_290926 '!$E$1:$N$1,0),0)&amp;"")</f>
        <v>Planning </v>
      </c>
      <c r="C5" s="84" t="str">
        <f aca="false">IF(ISBLANK($A5),"NO_CODE",VLOOKUP($A5,'UPD Questions_290926 '!$E$1:$N$300,MATCH(C$1,'UPD Questions_290926 '!$E$1:$N$1,0),0)&amp;"")</f>
        <v>Legal and institutional planning architecture</v>
      </c>
      <c r="D5" s="83" t="str">
        <f aca="false">IF(ISBLANK($A5),"NO_CODE",VLOOKUP($A5,'UPD Questions_290926 '!$E$1:$N$300,MATCH(D$1,'UPD Questions_290926 '!$E$1:$N$1,0),0)&amp;"")</f>
        <v>Spatial planning hierarchy</v>
      </c>
      <c r="E5" s="83" t="str">
        <f aca="false">IF(ISBLANK($A5),"NO_CODE",VLOOKUP($A5,'UPD Questions_290926 '!$E$1:$N$300,MATCH(E$1,'UPD Questions_290926 '!$E$1:$N$1,0),0)&amp;"")</f>
        <v>MQ</v>
      </c>
      <c r="F5" s="83" t="str">
        <f aca="false">IF(ISBLANK($A5),"NO_CODE",VLOOKUP($A5,'UPD Questions_290926 '!$E$1:$N$300,MATCH(F$1,'UPD Questions_290926 '!$E$1:$N$1,0),0)&amp;"")</f>
        <v>Does the Act require three levels of spatial plans for cities: Metropolitan/Regional, Municipal and Ward(s) /Local</v>
      </c>
      <c r="G5" s="83" t="str">
        <f aca="false">IF(ISBLANK($A5),"NO_CODE",VLOOKUP($A5,'UPD Questions_290926 '!$E$1:$N$300,MATCH(G$1,'UPD Questions_290926 '!$E$1:$N$1,0),0)&amp;"")</f>
        <v>Law or Policy</v>
      </c>
      <c r="H5" s="85" t="n">
        <f aca="false">IF(ISBLANK($A5),"NO_CODE",VLOOKUP($A5,'UPD Questions_290926 '!$E$1:$N$300,MATCH(H$1,'UPD Questions_290926 '!$E$1:$N$1,0),0))</f>
        <v>10</v>
      </c>
      <c r="I5" s="86" t="str">
        <f aca="false">IF(OR(I6="ER",I7="ER",I8="ER"),"ER",IF(OR(I6="?",I7="?",I8="?"),"?",IF(AND(I6="NA",I7="NA",I8="NA"),"NA",SUM(I6,I7,I8)/((I6&lt;&gt;"NA")*$H$6+(I7&lt;&gt;"NA")*$H$7+(I8&lt;&gt;"NA")*$H$8)*$H5)))</f>
        <v>?</v>
      </c>
      <c r="J5" s="86" t="str">
        <f aca="false">IF(OR(J6="ER",J7="ER",J8="ER"),"ER",IF(OR(J6="?",J7="?",J8="?"),"?",IF(AND(J6="NA",J7="NA",J8="NA"),"NA",SUM(J6,J7,J8)/((J6&lt;&gt;"NA")*$H$6+(J7&lt;&gt;"NA")*$H$7+(J8&lt;&gt;"NA")*$H$8)*$H5)))</f>
        <v>?</v>
      </c>
      <c r="K5" s="86" t="str">
        <f aca="false">IF(OR(K6="ER",K7="ER",K8="ER"),"ER",IF(OR(K6="?",K7="?",K8="?"),"?",IF(AND(K6="NA",K7="NA",K8="NA"),"NA",SUM(K6,K7,K8)/((K6&lt;&gt;"NA")*$H$6+(K7&lt;&gt;"NA")*$H$7+(K8&lt;&gt;"NA")*$H$8)*$H5)))</f>
        <v>?</v>
      </c>
      <c r="L5" s="86" t="str">
        <f aca="false">IF(OR(L6="ER",L7="ER",L8="ER"),"ER",IF(OR(L6="?",L7="?",L8="?"),"?",IF(AND(L6="NA",L7="NA",L8="NA"),"NA",SUM(L6,L7,L8)/((L6&lt;&gt;"NA")*$H$6+(L7&lt;&gt;"NA")*$H$7+(L8&lt;&gt;"NA")*$H$8)*$H5)))</f>
        <v>?</v>
      </c>
      <c r="M5" s="86" t="str">
        <f aca="false">IF(OR(M6="ER",M7="ER",M8="ER"),"ER",IF(OR(M6="?",M7="?",M8="?"),"?",IF(AND(M6="NA",M7="NA",M8="NA"),"NA",SUM(M6,M7,M8)/((M6&lt;&gt;"NA")*$H$6+(M7&lt;&gt;"NA")*$H$7+(M8&lt;&gt;"NA")*$H$8)*$H5)))</f>
        <v>?</v>
      </c>
      <c r="N5" s="86" t="str">
        <f aca="false">IF(OR(N6="ER",N7="ER",N8="ER"),"ER",IF(OR(N6="?",N7="?",N8="?"),"?",IF(AND(N6="NA",N7="NA",N8="NA"),"NA",SUM(N6,N7,N8)/((N6&lt;&gt;"NA")*$H$6+(N7&lt;&gt;"NA")*$H$7+(N8&lt;&gt;"NA")*$H$8)*$H5)))</f>
        <v>?</v>
      </c>
      <c r="O5" s="86" t="str">
        <f aca="false">IF(OR(O6="ER",O7="ER",O8="ER"),"ER",IF(OR(O6="?",O7="?",O8="?"),"?",IF(AND(O6="NA",O7="NA",O8="NA"),"NA",SUM(O6,O7,O8)/((O6&lt;&gt;"NA")*$H$6+(O7&lt;&gt;"NA")*$H$7+(O8&lt;&gt;"NA")*$H$8)*$H5)))</f>
        <v>?</v>
      </c>
      <c r="P5" s="86" t="str">
        <f aca="false">IF(OR(P6="ER",P7="ER",P8="ER"),"ER",IF(OR(P6="?",P7="?",P8="?"),"?",IF(AND(P6="NA",P7="NA",P8="NA"),"NA",SUM(P6,P7,P8)/((P6&lt;&gt;"NA")*$H$6+(P7&lt;&gt;"NA")*$H$7+(P8&lt;&gt;"NA")*$H$8)*$H5)))</f>
        <v>?</v>
      </c>
      <c r="Q5" s="86" t="str">
        <f aca="false">IF(OR(Q6="ER",Q7="ER",Q8="ER"),"ER",IF(OR(Q6="?",Q7="?",Q8="?"),"?",IF(AND(Q6="NA",Q7="NA",Q8="NA"),"NA",SUM(Q6,Q7,Q8)/((Q6&lt;&gt;"NA")*$H$6+(Q7&lt;&gt;"NA")*$H$7+(Q8&lt;&gt;"NA")*$H$8)*$H5)))</f>
        <v>?</v>
      </c>
      <c r="R5" s="86" t="str">
        <f aca="false">IF(OR(R6="ER",R7="ER",R8="ER"),"ER",IF(OR(R6="?",R7="?",R8="?"),"?",IF(AND(R6="NA",R7="NA",R8="NA"),"NA",SUM(R6,R7,R8)/((R6&lt;&gt;"NA")*$H$6+(R7&lt;&gt;"NA")*$H$7+(R8&lt;&gt;"NA")*$H$8)*$H5)))</f>
        <v>?</v>
      </c>
      <c r="S5" s="86" t="str">
        <f aca="false">IF(OR(S6="ER",S7="ER",S8="ER"),"ER",IF(OR(S6="?",S7="?",S8="?"),"?",IF(AND(S6="NA",S7="NA",S8="NA"),"NA",SUM(S6,S7,S8)/((S6&lt;&gt;"NA")*$H$6+(S7&lt;&gt;"NA")*$H$7+(S8&lt;&gt;"NA")*$H$8)*$H5)))</f>
        <v>?</v>
      </c>
      <c r="T5" s="86" t="str">
        <f aca="false">IF(OR(T6="ER",T7="ER",T8="ER"),"ER",IF(OR(T6="?",T7="?",T8="?"),"?",IF(AND(T6="NA",T7="NA",T8="NA"),"NA",SUM(T6,T7,T8)/((T6&lt;&gt;"NA")*$H$6+(T7&lt;&gt;"NA")*$H$7+(T8&lt;&gt;"NA")*$H$8)*$H5)))</f>
        <v>?</v>
      </c>
      <c r="U5" s="86" t="str">
        <f aca="false">IF(OR(U6="ER",U7="ER",U8="ER"),"ER",IF(OR(U6="?",U7="?",U8="?"),"?",IF(AND(U6="NA",U7="NA",U8="NA"),"NA",SUM(U6,U7,U8)/((U6&lt;&gt;"NA")*$H$6+(U7&lt;&gt;"NA")*$H$7+(U8&lt;&gt;"NA")*$H$8)*$H5)))</f>
        <v>?</v>
      </c>
      <c r="V5" s="86" t="str">
        <f aca="false">IF(OR(V6="ER",V7="ER",V8="ER"),"ER",IF(OR(V6="?",V7="?",V8="?"),"?",IF(AND(V6="NA",V7="NA",V8="NA"),"NA",SUM(V6,V7,V8)/((V6&lt;&gt;"NA")*$H$6+(V7&lt;&gt;"NA")*$H$7+(V8&lt;&gt;"NA")*$H$8)*$H5)))</f>
        <v>?</v>
      </c>
      <c r="W5" s="86" t="str">
        <f aca="false">IF(OR(W6="ER",W7="ER",W8="ER"),"ER",IF(OR(W6="?",W7="?",W8="?"),"?",IF(AND(W6="NA",W7="NA",W8="NA"),"NA",SUM(W6,W7,W8)/((W6&lt;&gt;"NA")*$H$6+(W7&lt;&gt;"NA")*$H$7+(W8&lt;&gt;"NA")*$H$8)*$H5)))</f>
        <v>?</v>
      </c>
      <c r="X5" s="86" t="str">
        <f aca="false">IF(OR(X6="ER",X7="ER",X8="ER"),"ER",IF(OR(X6="?",X7="?",X8="?"),"?",IF(AND(X6="NA",X7="NA",X8="NA"),"NA",SUM(X6,X7,X8)/((X6&lt;&gt;"NA")*$H$6+(X7&lt;&gt;"NA")*$H$7+(X8&lt;&gt;"NA")*$H$8)*$H5)))</f>
        <v>?</v>
      </c>
      <c r="Y5" s="86" t="str">
        <f aca="false">IF(OR(Y6="ER",Y7="ER",Y8="ER"),"ER",IF(OR(Y6="?",Y7="?",Y8="?"),"?",IF(AND(Y6="NA",Y7="NA",Y8="NA"),"NA",SUM(Y6,Y7,Y8)/((Y6&lt;&gt;"NA")*$H$6+(Y7&lt;&gt;"NA")*$H$7+(Y8&lt;&gt;"NA")*$H$8)*$H5)))</f>
        <v>?</v>
      </c>
      <c r="Z5" s="86" t="str">
        <f aca="false">IF(OR(Z6="ER",Z7="ER",Z8="ER"),"ER",IF(OR(Z6="?",Z7="?",Z8="?"),"?",IF(AND(Z6="NA",Z7="NA",Z8="NA"),"NA",SUM(Z6,Z7,Z8)/((Z6&lt;&gt;"NA")*$H$6+(Z7&lt;&gt;"NA")*$H$7+(Z8&lt;&gt;"NA")*$H$8)*$H5)))</f>
        <v>?</v>
      </c>
      <c r="AA5" s="86" t="str">
        <f aca="false">IF(OR(AA6="ER",AA7="ER",AA8="ER"),"ER",IF(OR(AA6="?",AA7="?",AA8="?"),"?",IF(AND(AA6="NA",AA7="NA",AA8="NA"),"NA",SUM(AA6,AA7,AA8)/((AA6&lt;&gt;"NA")*$H$6+(AA7&lt;&gt;"NA")*$H$7+(AA8&lt;&gt;"NA")*$H$8)*$H5)))</f>
        <v>?</v>
      </c>
      <c r="AB5" s="86" t="str">
        <f aca="false">IF(OR(AB6="ER",AB7="ER",AB8="ER"),"ER",IF(OR(AB6="?",AB7="?",AB8="?"),"?",IF(AND(AB6="NA",AB7="NA",AB8="NA"),"NA",SUM(AB6,AB7,AB8)/((AB6&lt;&gt;"NA")*$H$6+(AB7&lt;&gt;"NA")*$H$7+(AB8&lt;&gt;"NA")*$H$8)*$H5)))</f>
        <v>?</v>
      </c>
      <c r="AC5" s="86" t="str">
        <f aca="false">IF(OR(AC6="ER",AC7="ER",AC8="ER"),"ER",IF(OR(AC6="?",AC7="?",AC8="?"),"?",IF(AND(AC6="NA",AC7="NA",AC8="NA"),"NA",SUM(AC6,AC7,AC8)/((AC6&lt;&gt;"NA")*$H$6+(AC7&lt;&gt;"NA")*$H$7+(AC8&lt;&gt;"NA")*$H$8)*$H5)))</f>
        <v>?</v>
      </c>
      <c r="AD5" s="86" t="str">
        <f aca="false">IF(OR(AD6="ER",AD7="ER",AD8="ER"),"ER",IF(OR(AD6="?",AD7="?",AD8="?"),"?",IF(AND(AD6="NA",AD7="NA",AD8="NA"),"NA",SUM(AD6,AD7,AD8)/((AD6&lt;&gt;"NA")*$H$6+(AD7&lt;&gt;"NA")*$H$7+(AD8&lt;&gt;"NA")*$H$8)*$H5)))</f>
        <v>?</v>
      </c>
      <c r="AE5" s="86" t="str">
        <f aca="false">IF(OR(AE6="ER",AE7="ER",AE8="ER"),"ER",IF(OR(AE6="?",AE7="?",AE8="?"),"?",IF(AND(AE6="NA",AE7="NA",AE8="NA"),"NA",SUM(AE6,AE7,AE8)/((AE6&lt;&gt;"NA")*$H$6+(AE7&lt;&gt;"NA")*$H$7+(AE8&lt;&gt;"NA")*$H$8)*$H5)))</f>
        <v>?</v>
      </c>
      <c r="AF5" s="86" t="str">
        <f aca="false">IF(OR(AF6="ER",AF7="ER",AF8="ER"),"ER",IF(OR(AF6="?",AF7="?",AF8="?"),"?",IF(AND(AF6="NA",AF7="NA",AF8="NA"),"NA",SUM(AF6,AF7,AF8)/((AF6&lt;&gt;"NA")*$H$6+(AF7&lt;&gt;"NA")*$H$7+(AF8&lt;&gt;"NA")*$H$8)*$H5)))</f>
        <v>?</v>
      </c>
      <c r="AG5" s="86" t="str">
        <f aca="false">IF(OR(AG6="ER",AG7="ER",AG8="ER"),"ER",IF(OR(AG6="?",AG7="?",AG8="?"),"?",IF(AND(AG6="NA",AG7="NA",AG8="NA"),"NA",SUM(AG6,AG7,AG8)/((AG6&lt;&gt;"NA")*$H$6+(AG7&lt;&gt;"NA")*$H$7+(AG8&lt;&gt;"NA")*$H$8)*$H5)))</f>
        <v>?</v>
      </c>
      <c r="AH5" s="86" t="str">
        <f aca="false">IF(OR(AH6="ER",AH7="ER",AH8="ER"),"ER",IF(OR(AH6="?",AH7="?",AH8="?"),"?",IF(AND(AH6="NA",AH7="NA",AH8="NA"),"NA",SUM(AH6,AH7,AH8)/((AH6&lt;&gt;"NA")*$H$6+(AH7&lt;&gt;"NA")*$H$7+(AH8&lt;&gt;"NA")*$H$8)*$H5)))</f>
        <v>?</v>
      </c>
      <c r="AI5" s="86" t="str">
        <f aca="false">IF(OR(AI6="ER",AI7="ER",AI8="ER"),"ER",IF(OR(AI6="?",AI7="?",AI8="?"),"?",IF(AND(AI6="NA",AI7="NA",AI8="NA"),"NA",SUM(AI6,AI7,AI8)/((AI6&lt;&gt;"NA")*$H$6+(AI7&lt;&gt;"NA")*$H$7+(AI8&lt;&gt;"NA")*$H$8)*$H5)))</f>
        <v>?</v>
      </c>
      <c r="AJ5" s="86" t="str">
        <f aca="false">IF(OR(AJ6="ER",AJ7="ER",AJ8="ER"),"ER",IF(OR(AJ6="?",AJ7="?",AJ8="?"),"?",IF(AND(AJ6="NA",AJ7="NA",AJ8="NA"),"NA",SUM(AJ6,AJ7,AJ8)/((AJ6&lt;&gt;"NA")*$H$6+(AJ7&lt;&gt;"NA")*$H$7+(AJ8&lt;&gt;"NA")*$H$8)*$H5)))</f>
        <v>?</v>
      </c>
      <c r="AK5" s="86" t="str">
        <f aca="false">IF(OR(AK6="ER",AK7="ER",AK8="ER"),"ER",IF(OR(AK6="?",AK7="?",AK8="?"),"?",IF(AND(AK6="NA",AK7="NA",AK8="NA"),"NA",SUM(AK6,AK7,AK8)/((AK6&lt;&gt;"NA")*$H$6+(AK7&lt;&gt;"NA")*$H$7+(AK8&lt;&gt;"NA")*$H$8)*$H5)))</f>
        <v>?</v>
      </c>
    </row>
    <row r="6" customFormat="false" ht="25.5" hidden="false" customHeight="true" outlineLevel="0" collapsed="false">
      <c r="A6" s="82" t="s">
        <v>37</v>
      </c>
      <c r="B6" s="83" t="str">
        <f aca="false">IF(ISBLANK($A6),"NO_CODE",VLOOKUP($A6,'UPD Questions_290926 '!$E$1:$N$300,MATCH(B$1,'UPD Questions_290926 '!$E$1:$N$1,0),0)&amp;"")</f>
        <v>Planning </v>
      </c>
      <c r="C6" s="84" t="str">
        <f aca="false">IF(ISBLANK($A6),"NO_CODE",VLOOKUP($A6,'UPD Questions_290926 '!$E$1:$N$300,MATCH(C$1,'UPD Questions_290926 '!$E$1:$N$1,0),0)&amp;"")</f>
        <v>Legal and institutional planning architecture</v>
      </c>
      <c r="D6" s="83" t="str">
        <f aca="false">IF(ISBLANK($A6),"NO_CODE",VLOOKUP($A6,'UPD Questions_290926 '!$E$1:$N$300,MATCH(D$1,'UPD Questions_290926 '!$E$1:$N$1,0),0)&amp;"")</f>
        <v>Spatial planning hierarchy</v>
      </c>
      <c r="E6" s="83" t="str">
        <f aca="false">IF(ISBLANK($A6),"NO_CODE",VLOOKUP($A6,'UPD Questions_290926 '!$E$1:$N$300,MATCH(E$1,'UPD Questions_290926 '!$E$1:$N$1,0),0)&amp;"")</f>
        <v>SQ</v>
      </c>
      <c r="F6" s="83" t="str">
        <f aca="false">IF(ISBLANK($A6),"NO_CODE",VLOOKUP($A6,'UPD Questions_290926 '!$E$1:$N$300,MATCH(F$1,'UPD Questions_290926 '!$E$1:$N$1,0),0)&amp;"")</f>
        <v>Metropolitan/ Regional Plan</v>
      </c>
      <c r="G6" s="83" t="str">
        <f aca="false">IF(ISBLANK($A6),"NO_CODE",VLOOKUP($A6,'UPD Questions_290926 '!$E$1:$N$300,MATCH(G$1,'UPD Questions_290926 '!$E$1:$N$1,0),0)&amp;"")</f>
        <v>Law or Policy</v>
      </c>
      <c r="H6" s="85" t="n">
        <f aca="false">IF(ISBLANK($A6),"NO_CODE",VLOOKUP($A6,'UPD Questions_290926 '!$E$1:$N$300,MATCH(H$1,'UPD Questions_290926 '!$E$1:$N$1,0),0))</f>
        <v>3.33</v>
      </c>
      <c r="I6" s="86" t="str">
        <f aca="true">IF($H6=0,"NA",IF($A6=INDIRECT("'"&amp;$A6&amp;"'!$B$1"),IF(VLOOKUP(I$1,INDIRECT("'"&amp;$A6&amp;"'!$A$12:$Z$41"),MATCH("Points (Auto-generate)",INDIRECT("'"&amp;$A6&amp;"'!$A$12:$Z$12"),0),0)="","?",VLOOKUP(I$1,INDIRECT("'"&amp;$A6&amp;"'!$A$12:$Z$41"),MATCH("Points (Auto-generate)",INDIRECT("'"&amp;$A6&amp;"'!$A$12:$Z$12"),0),0)),"ER"))</f>
        <v>?</v>
      </c>
      <c r="J6" s="86" t="n">
        <f aca="true">IF($H6=0,"NA",IF($A6=INDIRECT("'"&amp;$A6&amp;"'!$B$1"),IF(VLOOKUP(J$1,INDIRECT("'"&amp;$A6&amp;"'!$A$12:$Z$41"),MATCH("Points (Auto-generate)",INDIRECT("'"&amp;$A6&amp;"'!$A$12:$Z$12"),0),0)="","?",VLOOKUP(J$1,INDIRECT("'"&amp;$A6&amp;"'!$A$12:$Z$41"),MATCH("Points (Auto-generate)",INDIRECT("'"&amp;$A6&amp;"'!$A$12:$Z$12"),0),0)),"ER"))</f>
        <v>3.33</v>
      </c>
      <c r="K6" s="86" t="str">
        <f aca="true">IF($H6=0,"NA",IF($A6=INDIRECT("'"&amp;$A6&amp;"'!$B$1"),IF(VLOOKUP(K$1,INDIRECT("'"&amp;$A6&amp;"'!$A$12:$Z$41"),MATCH("Points (Auto-generate)",INDIRECT("'"&amp;$A6&amp;"'!$A$12:$Z$12"),0),0)="","?",VLOOKUP(K$1,INDIRECT("'"&amp;$A6&amp;"'!$A$12:$Z$41"),MATCH("Points (Auto-generate)",INDIRECT("'"&amp;$A6&amp;"'!$A$12:$Z$12"),0),0)),"ER"))</f>
        <v>?</v>
      </c>
      <c r="L6" s="86" t="str">
        <f aca="true">IF($H6=0,"NA",IF($A6=INDIRECT("'"&amp;$A6&amp;"'!$B$1"),IF(VLOOKUP(L$1,INDIRECT("'"&amp;$A6&amp;"'!$A$12:$Z$41"),MATCH("Points (Auto-generate)",INDIRECT("'"&amp;$A6&amp;"'!$A$12:$Z$12"),0),0)="","?",VLOOKUP(L$1,INDIRECT("'"&amp;$A6&amp;"'!$A$12:$Z$41"),MATCH("Points (Auto-generate)",INDIRECT("'"&amp;$A6&amp;"'!$A$12:$Z$12"),0),0)),"ER"))</f>
        <v>?</v>
      </c>
      <c r="M6" s="86" t="str">
        <f aca="true">IF($H6=0,"NA",IF($A6=INDIRECT("'"&amp;$A6&amp;"'!$B$1"),IF(VLOOKUP(M$1,INDIRECT("'"&amp;$A6&amp;"'!$A$12:$Z$41"),MATCH("Points (Auto-generate)",INDIRECT("'"&amp;$A6&amp;"'!$A$12:$Z$12"),0),0)="","?",VLOOKUP(M$1,INDIRECT("'"&amp;$A6&amp;"'!$A$12:$Z$41"),MATCH("Points (Auto-generate)",INDIRECT("'"&amp;$A6&amp;"'!$A$12:$Z$12"),0),0)),"ER"))</f>
        <v>?</v>
      </c>
      <c r="N6" s="86" t="str">
        <f aca="true">IF($H6=0,"NA",IF($A6=INDIRECT("'"&amp;$A6&amp;"'!$B$1"),IF(VLOOKUP(N$1,INDIRECT("'"&amp;$A6&amp;"'!$A$12:$Z$41"),MATCH("Points (Auto-generate)",INDIRECT("'"&amp;$A6&amp;"'!$A$12:$Z$12"),0),0)="","?",VLOOKUP(N$1,INDIRECT("'"&amp;$A6&amp;"'!$A$12:$Z$41"),MATCH("Points (Auto-generate)",INDIRECT("'"&amp;$A6&amp;"'!$A$12:$Z$12"),0),0)),"ER"))</f>
        <v>?</v>
      </c>
      <c r="O6" s="86" t="str">
        <f aca="true">IF($H6=0,"NA",IF($A6=INDIRECT("'"&amp;$A6&amp;"'!$B$1"),IF(VLOOKUP(O$1,INDIRECT("'"&amp;$A6&amp;"'!$A$12:$Z$41"),MATCH("Points (Auto-generate)",INDIRECT("'"&amp;$A6&amp;"'!$A$12:$Z$12"),0),0)="","?",VLOOKUP(O$1,INDIRECT("'"&amp;$A6&amp;"'!$A$12:$Z$41"),MATCH("Points (Auto-generate)",INDIRECT("'"&amp;$A6&amp;"'!$A$12:$Z$12"),0),0)),"ER"))</f>
        <v>?</v>
      </c>
      <c r="P6" s="86" t="str">
        <f aca="true">IF($H6=0,"NA",IF($A6=INDIRECT("'"&amp;$A6&amp;"'!$B$1"),IF(VLOOKUP(P$1,INDIRECT("'"&amp;$A6&amp;"'!$A$12:$Z$41"),MATCH("Points (Auto-generate)",INDIRECT("'"&amp;$A6&amp;"'!$A$12:$Z$12"),0),0)="","?",VLOOKUP(P$1,INDIRECT("'"&amp;$A6&amp;"'!$A$12:$Z$41"),MATCH("Points (Auto-generate)",INDIRECT("'"&amp;$A6&amp;"'!$A$12:$Z$12"),0),0)),"ER"))</f>
        <v>?</v>
      </c>
      <c r="Q6" s="86" t="str">
        <f aca="true">IF($H6=0,"NA",IF($A6=INDIRECT("'"&amp;$A6&amp;"'!$B$1"),IF(VLOOKUP(Q$1,INDIRECT("'"&amp;$A6&amp;"'!$A$12:$Z$41"),MATCH("Points (Auto-generate)",INDIRECT("'"&amp;$A6&amp;"'!$A$12:$Z$12"),0),0)="","?",VLOOKUP(Q$1,INDIRECT("'"&amp;$A6&amp;"'!$A$12:$Z$41"),MATCH("Points (Auto-generate)",INDIRECT("'"&amp;$A6&amp;"'!$A$12:$Z$12"),0),0)),"ER"))</f>
        <v>?</v>
      </c>
      <c r="R6" s="86" t="str">
        <f aca="true">IF($H6=0,"NA",IF($A6=INDIRECT("'"&amp;$A6&amp;"'!$B$1"),IF(VLOOKUP(R$1,INDIRECT("'"&amp;$A6&amp;"'!$A$12:$Z$41"),MATCH("Points (Auto-generate)",INDIRECT("'"&amp;$A6&amp;"'!$A$12:$Z$12"),0),0)="","?",VLOOKUP(R$1,INDIRECT("'"&amp;$A6&amp;"'!$A$12:$Z$41"),MATCH("Points (Auto-generate)",INDIRECT("'"&amp;$A6&amp;"'!$A$12:$Z$12"),0),0)),"ER"))</f>
        <v>?</v>
      </c>
      <c r="S6" s="86" t="str">
        <f aca="true">IF($H6=0,"NA",IF($A6=INDIRECT("'"&amp;$A6&amp;"'!$B$1"),IF(VLOOKUP(S$1,INDIRECT("'"&amp;$A6&amp;"'!$A$12:$Z$41"),MATCH("Points (Auto-generate)",INDIRECT("'"&amp;$A6&amp;"'!$A$12:$Z$12"),0),0)="","?",VLOOKUP(S$1,INDIRECT("'"&amp;$A6&amp;"'!$A$12:$Z$41"),MATCH("Points (Auto-generate)",INDIRECT("'"&amp;$A6&amp;"'!$A$12:$Z$12"),0),0)),"ER"))</f>
        <v>?</v>
      </c>
      <c r="T6" s="86" t="str">
        <f aca="true">IF($H6=0,"NA",IF($A6=INDIRECT("'"&amp;$A6&amp;"'!$B$1"),IF(VLOOKUP(T$1,INDIRECT("'"&amp;$A6&amp;"'!$A$12:$Z$41"),MATCH("Points (Auto-generate)",INDIRECT("'"&amp;$A6&amp;"'!$A$12:$Z$12"),0),0)="","?",VLOOKUP(T$1,INDIRECT("'"&amp;$A6&amp;"'!$A$12:$Z$41"),MATCH("Points (Auto-generate)",INDIRECT("'"&amp;$A6&amp;"'!$A$12:$Z$12"),0),0)),"ER"))</f>
        <v>?</v>
      </c>
      <c r="U6" s="86" t="str">
        <f aca="true">IF($H6=0,"NA",IF($A6=INDIRECT("'"&amp;$A6&amp;"'!$B$1"),IF(VLOOKUP(U$1,INDIRECT("'"&amp;$A6&amp;"'!$A$12:$Z$41"),MATCH("Points (Auto-generate)",INDIRECT("'"&amp;$A6&amp;"'!$A$12:$Z$12"),0),0)="","?",VLOOKUP(U$1,INDIRECT("'"&amp;$A6&amp;"'!$A$12:$Z$41"),MATCH("Points (Auto-generate)",INDIRECT("'"&amp;$A6&amp;"'!$A$12:$Z$12"),0),0)),"ER"))</f>
        <v>?</v>
      </c>
      <c r="V6" s="86" t="str">
        <f aca="true">IF($H6=0,"NA",IF($A6=INDIRECT("'"&amp;$A6&amp;"'!$B$1"),IF(VLOOKUP(V$1,INDIRECT("'"&amp;$A6&amp;"'!$A$12:$Z$41"),MATCH("Points (Auto-generate)",INDIRECT("'"&amp;$A6&amp;"'!$A$12:$Z$12"),0),0)="","?",VLOOKUP(V$1,INDIRECT("'"&amp;$A6&amp;"'!$A$12:$Z$41"),MATCH("Points (Auto-generate)",INDIRECT("'"&amp;$A6&amp;"'!$A$12:$Z$12"),0),0)),"ER"))</f>
        <v>?</v>
      </c>
      <c r="W6" s="86" t="str">
        <f aca="true">IF($H6=0,"NA",IF($A6=INDIRECT("'"&amp;$A6&amp;"'!$B$1"),IF(VLOOKUP(W$1,INDIRECT("'"&amp;$A6&amp;"'!$A$12:$Z$41"),MATCH("Points (Auto-generate)",INDIRECT("'"&amp;$A6&amp;"'!$A$12:$Z$12"),0),0)="","?",VLOOKUP(W$1,INDIRECT("'"&amp;$A6&amp;"'!$A$12:$Z$41"),MATCH("Points (Auto-generate)",INDIRECT("'"&amp;$A6&amp;"'!$A$12:$Z$12"),0),0)),"ER"))</f>
        <v>?</v>
      </c>
      <c r="X6" s="86" t="str">
        <f aca="true">IF($H6=0,"NA",IF($A6=INDIRECT("'"&amp;$A6&amp;"'!$B$1"),IF(VLOOKUP(X$1,INDIRECT("'"&amp;$A6&amp;"'!$A$12:$Z$41"),MATCH("Points (Auto-generate)",INDIRECT("'"&amp;$A6&amp;"'!$A$12:$Z$12"),0),0)="","?",VLOOKUP(X$1,INDIRECT("'"&amp;$A6&amp;"'!$A$12:$Z$41"),MATCH("Points (Auto-generate)",INDIRECT("'"&amp;$A6&amp;"'!$A$12:$Z$12"),0),0)),"ER"))</f>
        <v>?</v>
      </c>
      <c r="Y6" s="86" t="str">
        <f aca="true">IF($H6=0,"NA",IF($A6=INDIRECT("'"&amp;$A6&amp;"'!$B$1"),IF(VLOOKUP(Y$1,INDIRECT("'"&amp;$A6&amp;"'!$A$12:$Z$41"),MATCH("Points (Auto-generate)",INDIRECT("'"&amp;$A6&amp;"'!$A$12:$Z$12"),0),0)="","?",VLOOKUP(Y$1,INDIRECT("'"&amp;$A6&amp;"'!$A$12:$Z$41"),MATCH("Points (Auto-generate)",INDIRECT("'"&amp;$A6&amp;"'!$A$12:$Z$12"),0),0)),"ER"))</f>
        <v>?</v>
      </c>
      <c r="Z6" s="86" t="str">
        <f aca="true">IF($H6=0,"NA",IF($A6=INDIRECT("'"&amp;$A6&amp;"'!$B$1"),IF(VLOOKUP(Z$1,INDIRECT("'"&amp;$A6&amp;"'!$A$12:$Z$41"),MATCH("Points (Auto-generate)",INDIRECT("'"&amp;$A6&amp;"'!$A$12:$Z$12"),0),0)="","?",VLOOKUP(Z$1,INDIRECT("'"&amp;$A6&amp;"'!$A$12:$Z$41"),MATCH("Points (Auto-generate)",INDIRECT("'"&amp;$A6&amp;"'!$A$12:$Z$12"),0),0)),"ER"))</f>
        <v>?</v>
      </c>
      <c r="AA6" s="86" t="str">
        <f aca="true">IF($H6=0,"NA",IF($A6=INDIRECT("'"&amp;$A6&amp;"'!$B$1"),IF(VLOOKUP(AA$1,INDIRECT("'"&amp;$A6&amp;"'!$A$12:$Z$41"),MATCH("Points (Auto-generate)",INDIRECT("'"&amp;$A6&amp;"'!$A$12:$Z$12"),0),0)="","?",VLOOKUP(AA$1,INDIRECT("'"&amp;$A6&amp;"'!$A$12:$Z$41"),MATCH("Points (Auto-generate)",INDIRECT("'"&amp;$A6&amp;"'!$A$12:$Z$12"),0),0)),"ER"))</f>
        <v>?</v>
      </c>
      <c r="AB6" s="86" t="str">
        <f aca="true">IF($H6=0,"NA",IF($A6=INDIRECT("'"&amp;$A6&amp;"'!$B$1"),IF(VLOOKUP(AB$1,INDIRECT("'"&amp;$A6&amp;"'!$A$12:$Z$41"),MATCH("Points (Auto-generate)",INDIRECT("'"&amp;$A6&amp;"'!$A$12:$Z$12"),0),0)="","?",VLOOKUP(AB$1,INDIRECT("'"&amp;$A6&amp;"'!$A$12:$Z$41"),MATCH("Points (Auto-generate)",INDIRECT("'"&amp;$A6&amp;"'!$A$12:$Z$12"),0),0)),"ER"))</f>
        <v>?</v>
      </c>
      <c r="AC6" s="86" t="str">
        <f aca="true">IF($H6=0,"NA",IF($A6=INDIRECT("'"&amp;$A6&amp;"'!$B$1"),IF(VLOOKUP(AC$1,INDIRECT("'"&amp;$A6&amp;"'!$A$12:$Z$41"),MATCH("Points (Auto-generate)",INDIRECT("'"&amp;$A6&amp;"'!$A$12:$Z$12"),0),0)="","?",VLOOKUP(AC$1,INDIRECT("'"&amp;$A6&amp;"'!$A$12:$Z$41"),MATCH("Points (Auto-generate)",INDIRECT("'"&amp;$A6&amp;"'!$A$12:$Z$12"),0),0)),"ER"))</f>
        <v>?</v>
      </c>
      <c r="AD6" s="86" t="str">
        <f aca="true">IF($H6=0,"NA",IF($A6=INDIRECT("'"&amp;$A6&amp;"'!$B$1"),IF(VLOOKUP(AD$1,INDIRECT("'"&amp;$A6&amp;"'!$A$12:$Z$41"),MATCH("Points (Auto-generate)",INDIRECT("'"&amp;$A6&amp;"'!$A$12:$Z$12"),0),0)="","?",VLOOKUP(AD$1,INDIRECT("'"&amp;$A6&amp;"'!$A$12:$Z$41"),MATCH("Points (Auto-generate)",INDIRECT("'"&amp;$A6&amp;"'!$A$12:$Z$12"),0),0)),"ER"))</f>
        <v>?</v>
      </c>
      <c r="AE6" s="86" t="str">
        <f aca="true">IF($H6=0,"NA",IF($A6=INDIRECT("'"&amp;$A6&amp;"'!$B$1"),IF(VLOOKUP(AE$1,INDIRECT("'"&amp;$A6&amp;"'!$A$12:$Z$41"),MATCH("Points (Auto-generate)",INDIRECT("'"&amp;$A6&amp;"'!$A$12:$Z$12"),0),0)="","?",VLOOKUP(AE$1,INDIRECT("'"&amp;$A6&amp;"'!$A$12:$Z$41"),MATCH("Points (Auto-generate)",INDIRECT("'"&amp;$A6&amp;"'!$A$12:$Z$12"),0),0)),"ER"))</f>
        <v>?</v>
      </c>
      <c r="AF6" s="86" t="str">
        <f aca="true">IF($H6=0,"NA",IF($A6=INDIRECT("'"&amp;$A6&amp;"'!$B$1"),IF(VLOOKUP(AF$1,INDIRECT("'"&amp;$A6&amp;"'!$A$12:$Z$41"),MATCH("Points (Auto-generate)",INDIRECT("'"&amp;$A6&amp;"'!$A$12:$Z$12"),0),0)="","?",VLOOKUP(AF$1,INDIRECT("'"&amp;$A6&amp;"'!$A$12:$Z$41"),MATCH("Points (Auto-generate)",INDIRECT("'"&amp;$A6&amp;"'!$A$12:$Z$12"),0),0)),"ER"))</f>
        <v>?</v>
      </c>
      <c r="AG6" s="86" t="str">
        <f aca="true">IF($H6=0,"NA",IF($A6=INDIRECT("'"&amp;$A6&amp;"'!$B$1"),IF(VLOOKUP(AG$1,INDIRECT("'"&amp;$A6&amp;"'!$A$12:$Z$41"),MATCH("Points (Auto-generate)",INDIRECT("'"&amp;$A6&amp;"'!$A$12:$Z$12"),0),0)="","?",VLOOKUP(AG$1,INDIRECT("'"&amp;$A6&amp;"'!$A$12:$Z$41"),MATCH("Points (Auto-generate)",INDIRECT("'"&amp;$A6&amp;"'!$A$12:$Z$12"),0),0)),"ER"))</f>
        <v>?</v>
      </c>
      <c r="AH6" s="86" t="str">
        <f aca="true">IF($H6=0,"NA",IF($A6=INDIRECT("'"&amp;$A6&amp;"'!$B$1"),IF(VLOOKUP(AH$1,INDIRECT("'"&amp;$A6&amp;"'!$A$12:$Z$41"),MATCH("Points (Auto-generate)",INDIRECT("'"&amp;$A6&amp;"'!$A$12:$Z$12"),0),0)="","?",VLOOKUP(AH$1,INDIRECT("'"&amp;$A6&amp;"'!$A$12:$Z$41"),MATCH("Points (Auto-generate)",INDIRECT("'"&amp;$A6&amp;"'!$A$12:$Z$12"),0),0)),"ER"))</f>
        <v>?</v>
      </c>
      <c r="AI6" s="86" t="str">
        <f aca="true">IF($H6=0,"NA",IF($A6=INDIRECT("'"&amp;$A6&amp;"'!$B$1"),IF(VLOOKUP(AI$1,INDIRECT("'"&amp;$A6&amp;"'!$A$12:$Z$41"),MATCH("Points (Auto-generate)",INDIRECT("'"&amp;$A6&amp;"'!$A$12:$Z$12"),0),0)="","?",VLOOKUP(AI$1,INDIRECT("'"&amp;$A6&amp;"'!$A$12:$Z$41"),MATCH("Points (Auto-generate)",INDIRECT("'"&amp;$A6&amp;"'!$A$12:$Z$12"),0),0)),"ER"))</f>
        <v>?</v>
      </c>
      <c r="AJ6" s="86" t="str">
        <f aca="true">IF($H6=0,"NA",IF($A6=INDIRECT("'"&amp;$A6&amp;"'!$B$1"),IF(VLOOKUP(AJ$1,INDIRECT("'"&amp;$A6&amp;"'!$A$12:$Z$41"),MATCH("Points (Auto-generate)",INDIRECT("'"&amp;$A6&amp;"'!$A$12:$Z$12"),0),0)="","?",VLOOKUP(AJ$1,INDIRECT("'"&amp;$A6&amp;"'!$A$12:$Z$41"),MATCH("Points (Auto-generate)",INDIRECT("'"&amp;$A6&amp;"'!$A$12:$Z$12"),0),0)),"ER"))</f>
        <v>?</v>
      </c>
      <c r="AK6" s="86" t="str">
        <f aca="true">IF($H6=0,"NA",IF($A6=INDIRECT("'"&amp;$A6&amp;"'!$B$1"),IF(VLOOKUP(AK$1,INDIRECT("'"&amp;$A6&amp;"'!$A$12:$Z$41"),MATCH("Points (Auto-generate)",INDIRECT("'"&amp;$A6&amp;"'!$A$12:$Z$12"),0),0)="","?",VLOOKUP(AK$1,INDIRECT("'"&amp;$A6&amp;"'!$A$12:$Z$41"),MATCH("Points (Auto-generate)",INDIRECT("'"&amp;$A6&amp;"'!$A$12:$Z$12"),0),0)),"ER"))</f>
        <v>?</v>
      </c>
    </row>
    <row r="7" customFormat="false" ht="25.5" hidden="false" customHeight="true" outlineLevel="0" collapsed="false">
      <c r="A7" s="82" t="s">
        <v>45</v>
      </c>
      <c r="B7" s="83" t="str">
        <f aca="false">IF(ISBLANK($A7),"NO_CODE",VLOOKUP($A7,'UPD Questions_290926 '!$E$1:$N$300,MATCH(B$1,'UPD Questions_290926 '!$E$1:$N$1,0),0)&amp;"")</f>
        <v>Planning </v>
      </c>
      <c r="C7" s="84" t="str">
        <f aca="false">IF(ISBLANK($A7),"NO_CODE",VLOOKUP($A7,'UPD Questions_290926 '!$E$1:$N$300,MATCH(C$1,'UPD Questions_290926 '!$E$1:$N$1,0),0)&amp;"")</f>
        <v>Legal and institutional planning architecture</v>
      </c>
      <c r="D7" s="83" t="str">
        <f aca="false">IF(ISBLANK($A7),"NO_CODE",VLOOKUP($A7,'UPD Questions_290926 '!$E$1:$N$300,MATCH(D$1,'UPD Questions_290926 '!$E$1:$N$1,0),0)&amp;"")</f>
        <v>Spatial planning hierarchy</v>
      </c>
      <c r="E7" s="83" t="str">
        <f aca="false">IF(ISBLANK($A7),"NO_CODE",VLOOKUP($A7,'UPD Questions_290926 '!$E$1:$N$300,MATCH(E$1,'UPD Questions_290926 '!$E$1:$N$1,0),0)&amp;"")</f>
        <v>SQ</v>
      </c>
      <c r="F7" s="83" t="str">
        <f aca="false">IF(ISBLANK($A7),"NO_CODE",VLOOKUP($A7,'UPD Questions_290926 '!$E$1:$N$300,MATCH(F$1,'UPD Questions_290926 '!$E$1:$N$1,0),0)&amp;"")</f>
        <v>Municipal/city plan</v>
      </c>
      <c r="G7" s="83" t="str">
        <f aca="false">IF(ISBLANK($A7),"NO_CODE",VLOOKUP($A7,'UPD Questions_290926 '!$E$1:$N$300,MATCH(G$1,'UPD Questions_290926 '!$E$1:$N$1,0),0)&amp;"")</f>
        <v>Law or Policy</v>
      </c>
      <c r="H7" s="85" t="n">
        <f aca="false">IF(ISBLANK($A7),"NO_CODE",VLOOKUP($A7,'UPD Questions_290926 '!$E$1:$N$300,MATCH(H$1,'UPD Questions_290926 '!$E$1:$N$1,0),0))</f>
        <v>3.33</v>
      </c>
      <c r="I7" s="86" t="str">
        <f aca="true">IF($H7=0,"NA",IF($A7=INDIRECT("'"&amp;$A7&amp;"'!$B$1"),IF(VLOOKUP(I$1,INDIRECT("'"&amp;$A7&amp;"'!$A$12:$Z$41"),MATCH("Points (Auto-generate)",INDIRECT("'"&amp;$A7&amp;"'!$A$12:$Z$12"),0),0)="","?",VLOOKUP(I$1,INDIRECT("'"&amp;$A7&amp;"'!$A$12:$Z$41"),MATCH("Points (Auto-generate)",INDIRECT("'"&amp;$A7&amp;"'!$A$12:$Z$12"),0),0)),"ER"))</f>
        <v>?</v>
      </c>
      <c r="J7" s="86" t="n">
        <f aca="true">IF($H7=0,"NA",IF($A7=INDIRECT("'"&amp;$A7&amp;"'!$B$1"),IF(VLOOKUP(J$1,INDIRECT("'"&amp;$A7&amp;"'!$A$12:$Z$41"),MATCH("Points (Auto-generate)",INDIRECT("'"&amp;$A7&amp;"'!$A$12:$Z$12"),0),0)="","?",VLOOKUP(J$1,INDIRECT("'"&amp;$A7&amp;"'!$A$12:$Z$41"),MATCH("Points (Auto-generate)",INDIRECT("'"&amp;$A7&amp;"'!$A$12:$Z$12"),0),0)),"ER"))</f>
        <v>3.33</v>
      </c>
      <c r="K7" s="86" t="str">
        <f aca="true">IF($H7=0,"NA",IF($A7=INDIRECT("'"&amp;$A7&amp;"'!$B$1"),IF(VLOOKUP(K$1,INDIRECT("'"&amp;$A7&amp;"'!$A$12:$Z$41"),MATCH("Points (Auto-generate)",INDIRECT("'"&amp;$A7&amp;"'!$A$12:$Z$12"),0),0)="","?",VLOOKUP(K$1,INDIRECT("'"&amp;$A7&amp;"'!$A$12:$Z$41"),MATCH("Points (Auto-generate)",INDIRECT("'"&amp;$A7&amp;"'!$A$12:$Z$12"),0),0)),"ER"))</f>
        <v>?</v>
      </c>
      <c r="L7" s="86" t="str">
        <f aca="true">IF($H7=0,"NA",IF($A7=INDIRECT("'"&amp;$A7&amp;"'!$B$1"),IF(VLOOKUP(L$1,INDIRECT("'"&amp;$A7&amp;"'!$A$12:$Z$41"),MATCH("Points (Auto-generate)",INDIRECT("'"&amp;$A7&amp;"'!$A$12:$Z$12"),0),0)="","?",VLOOKUP(L$1,INDIRECT("'"&amp;$A7&amp;"'!$A$12:$Z$41"),MATCH("Points (Auto-generate)",INDIRECT("'"&amp;$A7&amp;"'!$A$12:$Z$12"),0),0)),"ER"))</f>
        <v>?</v>
      </c>
      <c r="M7" s="86" t="str">
        <f aca="true">IF($H7=0,"NA",IF($A7=INDIRECT("'"&amp;$A7&amp;"'!$B$1"),IF(VLOOKUP(M$1,INDIRECT("'"&amp;$A7&amp;"'!$A$12:$Z$41"),MATCH("Points (Auto-generate)",INDIRECT("'"&amp;$A7&amp;"'!$A$12:$Z$12"),0),0)="","?",VLOOKUP(M$1,INDIRECT("'"&amp;$A7&amp;"'!$A$12:$Z$41"),MATCH("Points (Auto-generate)",INDIRECT("'"&amp;$A7&amp;"'!$A$12:$Z$12"),0),0)),"ER"))</f>
        <v>?</v>
      </c>
      <c r="N7" s="86" t="str">
        <f aca="true">IF($H7=0,"NA",IF($A7=INDIRECT("'"&amp;$A7&amp;"'!$B$1"),IF(VLOOKUP(N$1,INDIRECT("'"&amp;$A7&amp;"'!$A$12:$Z$41"),MATCH("Points (Auto-generate)",INDIRECT("'"&amp;$A7&amp;"'!$A$12:$Z$12"),0),0)="","?",VLOOKUP(N$1,INDIRECT("'"&amp;$A7&amp;"'!$A$12:$Z$41"),MATCH("Points (Auto-generate)",INDIRECT("'"&amp;$A7&amp;"'!$A$12:$Z$12"),0),0)),"ER"))</f>
        <v>?</v>
      </c>
      <c r="O7" s="86" t="str">
        <f aca="true">IF($H7=0,"NA",IF($A7=INDIRECT("'"&amp;$A7&amp;"'!$B$1"),IF(VLOOKUP(O$1,INDIRECT("'"&amp;$A7&amp;"'!$A$12:$Z$41"),MATCH("Points (Auto-generate)",INDIRECT("'"&amp;$A7&amp;"'!$A$12:$Z$12"),0),0)="","?",VLOOKUP(O$1,INDIRECT("'"&amp;$A7&amp;"'!$A$12:$Z$41"),MATCH("Points (Auto-generate)",INDIRECT("'"&amp;$A7&amp;"'!$A$12:$Z$12"),0),0)),"ER"))</f>
        <v>?</v>
      </c>
      <c r="P7" s="86" t="str">
        <f aca="true">IF($H7=0,"NA",IF($A7=INDIRECT("'"&amp;$A7&amp;"'!$B$1"),IF(VLOOKUP(P$1,INDIRECT("'"&amp;$A7&amp;"'!$A$12:$Z$41"),MATCH("Points (Auto-generate)",INDIRECT("'"&amp;$A7&amp;"'!$A$12:$Z$12"),0),0)="","?",VLOOKUP(P$1,INDIRECT("'"&amp;$A7&amp;"'!$A$12:$Z$41"),MATCH("Points (Auto-generate)",INDIRECT("'"&amp;$A7&amp;"'!$A$12:$Z$12"),0),0)),"ER"))</f>
        <v>?</v>
      </c>
      <c r="Q7" s="86" t="str">
        <f aca="true">IF($H7=0,"NA",IF($A7=INDIRECT("'"&amp;$A7&amp;"'!$B$1"),IF(VLOOKUP(Q$1,INDIRECT("'"&amp;$A7&amp;"'!$A$12:$Z$41"),MATCH("Points (Auto-generate)",INDIRECT("'"&amp;$A7&amp;"'!$A$12:$Z$12"),0),0)="","?",VLOOKUP(Q$1,INDIRECT("'"&amp;$A7&amp;"'!$A$12:$Z$41"),MATCH("Points (Auto-generate)",INDIRECT("'"&amp;$A7&amp;"'!$A$12:$Z$12"),0),0)),"ER"))</f>
        <v>?</v>
      </c>
      <c r="R7" s="86" t="str">
        <f aca="true">IF($H7=0,"NA",IF($A7=INDIRECT("'"&amp;$A7&amp;"'!$B$1"),IF(VLOOKUP(R$1,INDIRECT("'"&amp;$A7&amp;"'!$A$12:$Z$41"),MATCH("Points (Auto-generate)",INDIRECT("'"&amp;$A7&amp;"'!$A$12:$Z$12"),0),0)="","?",VLOOKUP(R$1,INDIRECT("'"&amp;$A7&amp;"'!$A$12:$Z$41"),MATCH("Points (Auto-generate)",INDIRECT("'"&amp;$A7&amp;"'!$A$12:$Z$12"),0),0)),"ER"))</f>
        <v>?</v>
      </c>
      <c r="S7" s="86" t="str">
        <f aca="true">IF($H7=0,"NA",IF($A7=INDIRECT("'"&amp;$A7&amp;"'!$B$1"),IF(VLOOKUP(S$1,INDIRECT("'"&amp;$A7&amp;"'!$A$12:$Z$41"),MATCH("Points (Auto-generate)",INDIRECT("'"&amp;$A7&amp;"'!$A$12:$Z$12"),0),0)="","?",VLOOKUP(S$1,INDIRECT("'"&amp;$A7&amp;"'!$A$12:$Z$41"),MATCH("Points (Auto-generate)",INDIRECT("'"&amp;$A7&amp;"'!$A$12:$Z$12"),0),0)),"ER"))</f>
        <v>?</v>
      </c>
      <c r="T7" s="86" t="str">
        <f aca="true">IF($H7=0,"NA",IF($A7=INDIRECT("'"&amp;$A7&amp;"'!$B$1"),IF(VLOOKUP(T$1,INDIRECT("'"&amp;$A7&amp;"'!$A$12:$Z$41"),MATCH("Points (Auto-generate)",INDIRECT("'"&amp;$A7&amp;"'!$A$12:$Z$12"),0),0)="","?",VLOOKUP(T$1,INDIRECT("'"&amp;$A7&amp;"'!$A$12:$Z$41"),MATCH("Points (Auto-generate)",INDIRECT("'"&amp;$A7&amp;"'!$A$12:$Z$12"),0),0)),"ER"))</f>
        <v>?</v>
      </c>
      <c r="U7" s="86" t="str">
        <f aca="true">IF($H7=0,"NA",IF($A7=INDIRECT("'"&amp;$A7&amp;"'!$B$1"),IF(VLOOKUP(U$1,INDIRECT("'"&amp;$A7&amp;"'!$A$12:$Z$41"),MATCH("Points (Auto-generate)",INDIRECT("'"&amp;$A7&amp;"'!$A$12:$Z$12"),0),0)="","?",VLOOKUP(U$1,INDIRECT("'"&amp;$A7&amp;"'!$A$12:$Z$41"),MATCH("Points (Auto-generate)",INDIRECT("'"&amp;$A7&amp;"'!$A$12:$Z$12"),0),0)),"ER"))</f>
        <v>?</v>
      </c>
      <c r="V7" s="86" t="str">
        <f aca="true">IF($H7=0,"NA",IF($A7=INDIRECT("'"&amp;$A7&amp;"'!$B$1"),IF(VLOOKUP(V$1,INDIRECT("'"&amp;$A7&amp;"'!$A$12:$Z$41"),MATCH("Points (Auto-generate)",INDIRECT("'"&amp;$A7&amp;"'!$A$12:$Z$12"),0),0)="","?",VLOOKUP(V$1,INDIRECT("'"&amp;$A7&amp;"'!$A$12:$Z$41"),MATCH("Points (Auto-generate)",INDIRECT("'"&amp;$A7&amp;"'!$A$12:$Z$12"),0),0)),"ER"))</f>
        <v>?</v>
      </c>
      <c r="W7" s="86" t="str">
        <f aca="true">IF($H7=0,"NA",IF($A7=INDIRECT("'"&amp;$A7&amp;"'!$B$1"),IF(VLOOKUP(W$1,INDIRECT("'"&amp;$A7&amp;"'!$A$12:$Z$41"),MATCH("Points (Auto-generate)",INDIRECT("'"&amp;$A7&amp;"'!$A$12:$Z$12"),0),0)="","?",VLOOKUP(W$1,INDIRECT("'"&amp;$A7&amp;"'!$A$12:$Z$41"),MATCH("Points (Auto-generate)",INDIRECT("'"&amp;$A7&amp;"'!$A$12:$Z$12"),0),0)),"ER"))</f>
        <v>?</v>
      </c>
      <c r="X7" s="86" t="str">
        <f aca="true">IF($H7=0,"NA",IF($A7=INDIRECT("'"&amp;$A7&amp;"'!$B$1"),IF(VLOOKUP(X$1,INDIRECT("'"&amp;$A7&amp;"'!$A$12:$Z$41"),MATCH("Points (Auto-generate)",INDIRECT("'"&amp;$A7&amp;"'!$A$12:$Z$12"),0),0)="","?",VLOOKUP(X$1,INDIRECT("'"&amp;$A7&amp;"'!$A$12:$Z$41"),MATCH("Points (Auto-generate)",INDIRECT("'"&amp;$A7&amp;"'!$A$12:$Z$12"),0),0)),"ER"))</f>
        <v>?</v>
      </c>
      <c r="Y7" s="86" t="str">
        <f aca="true">IF($H7=0,"NA",IF($A7=INDIRECT("'"&amp;$A7&amp;"'!$B$1"),IF(VLOOKUP(Y$1,INDIRECT("'"&amp;$A7&amp;"'!$A$12:$Z$41"),MATCH("Points (Auto-generate)",INDIRECT("'"&amp;$A7&amp;"'!$A$12:$Z$12"),0),0)="","?",VLOOKUP(Y$1,INDIRECT("'"&amp;$A7&amp;"'!$A$12:$Z$41"),MATCH("Points (Auto-generate)",INDIRECT("'"&amp;$A7&amp;"'!$A$12:$Z$12"),0),0)),"ER"))</f>
        <v>?</v>
      </c>
      <c r="Z7" s="86" t="str">
        <f aca="true">IF($H7=0,"NA",IF($A7=INDIRECT("'"&amp;$A7&amp;"'!$B$1"),IF(VLOOKUP(Z$1,INDIRECT("'"&amp;$A7&amp;"'!$A$12:$Z$41"),MATCH("Points (Auto-generate)",INDIRECT("'"&amp;$A7&amp;"'!$A$12:$Z$12"),0),0)="","?",VLOOKUP(Z$1,INDIRECT("'"&amp;$A7&amp;"'!$A$12:$Z$41"),MATCH("Points (Auto-generate)",INDIRECT("'"&amp;$A7&amp;"'!$A$12:$Z$12"),0),0)),"ER"))</f>
        <v>?</v>
      </c>
      <c r="AA7" s="86" t="str">
        <f aca="true">IF($H7=0,"NA",IF($A7=INDIRECT("'"&amp;$A7&amp;"'!$B$1"),IF(VLOOKUP(AA$1,INDIRECT("'"&amp;$A7&amp;"'!$A$12:$Z$41"),MATCH("Points (Auto-generate)",INDIRECT("'"&amp;$A7&amp;"'!$A$12:$Z$12"),0),0)="","?",VLOOKUP(AA$1,INDIRECT("'"&amp;$A7&amp;"'!$A$12:$Z$41"),MATCH("Points (Auto-generate)",INDIRECT("'"&amp;$A7&amp;"'!$A$12:$Z$12"),0),0)),"ER"))</f>
        <v>?</v>
      </c>
      <c r="AB7" s="86" t="str">
        <f aca="true">IF($H7=0,"NA",IF($A7=INDIRECT("'"&amp;$A7&amp;"'!$B$1"),IF(VLOOKUP(AB$1,INDIRECT("'"&amp;$A7&amp;"'!$A$12:$Z$41"),MATCH("Points (Auto-generate)",INDIRECT("'"&amp;$A7&amp;"'!$A$12:$Z$12"),0),0)="","?",VLOOKUP(AB$1,INDIRECT("'"&amp;$A7&amp;"'!$A$12:$Z$41"),MATCH("Points (Auto-generate)",INDIRECT("'"&amp;$A7&amp;"'!$A$12:$Z$12"),0),0)),"ER"))</f>
        <v>?</v>
      </c>
      <c r="AC7" s="86" t="str">
        <f aca="true">IF($H7=0,"NA",IF($A7=INDIRECT("'"&amp;$A7&amp;"'!$B$1"),IF(VLOOKUP(AC$1,INDIRECT("'"&amp;$A7&amp;"'!$A$12:$Z$41"),MATCH("Points (Auto-generate)",INDIRECT("'"&amp;$A7&amp;"'!$A$12:$Z$12"),0),0)="","?",VLOOKUP(AC$1,INDIRECT("'"&amp;$A7&amp;"'!$A$12:$Z$41"),MATCH("Points (Auto-generate)",INDIRECT("'"&amp;$A7&amp;"'!$A$12:$Z$12"),0),0)),"ER"))</f>
        <v>?</v>
      </c>
      <c r="AD7" s="86" t="str">
        <f aca="true">IF($H7=0,"NA",IF($A7=INDIRECT("'"&amp;$A7&amp;"'!$B$1"),IF(VLOOKUP(AD$1,INDIRECT("'"&amp;$A7&amp;"'!$A$12:$Z$41"),MATCH("Points (Auto-generate)",INDIRECT("'"&amp;$A7&amp;"'!$A$12:$Z$12"),0),0)="","?",VLOOKUP(AD$1,INDIRECT("'"&amp;$A7&amp;"'!$A$12:$Z$41"),MATCH("Points (Auto-generate)",INDIRECT("'"&amp;$A7&amp;"'!$A$12:$Z$12"),0),0)),"ER"))</f>
        <v>?</v>
      </c>
      <c r="AE7" s="86" t="str">
        <f aca="true">IF($H7=0,"NA",IF($A7=INDIRECT("'"&amp;$A7&amp;"'!$B$1"),IF(VLOOKUP(AE$1,INDIRECT("'"&amp;$A7&amp;"'!$A$12:$Z$41"),MATCH("Points (Auto-generate)",INDIRECT("'"&amp;$A7&amp;"'!$A$12:$Z$12"),0),0)="","?",VLOOKUP(AE$1,INDIRECT("'"&amp;$A7&amp;"'!$A$12:$Z$41"),MATCH("Points (Auto-generate)",INDIRECT("'"&amp;$A7&amp;"'!$A$12:$Z$12"),0),0)),"ER"))</f>
        <v>?</v>
      </c>
      <c r="AF7" s="86" t="str">
        <f aca="true">IF($H7=0,"NA",IF($A7=INDIRECT("'"&amp;$A7&amp;"'!$B$1"),IF(VLOOKUP(AF$1,INDIRECT("'"&amp;$A7&amp;"'!$A$12:$Z$41"),MATCH("Points (Auto-generate)",INDIRECT("'"&amp;$A7&amp;"'!$A$12:$Z$12"),0),0)="","?",VLOOKUP(AF$1,INDIRECT("'"&amp;$A7&amp;"'!$A$12:$Z$41"),MATCH("Points (Auto-generate)",INDIRECT("'"&amp;$A7&amp;"'!$A$12:$Z$12"),0),0)),"ER"))</f>
        <v>?</v>
      </c>
      <c r="AG7" s="86" t="str">
        <f aca="true">IF($H7=0,"NA",IF($A7=INDIRECT("'"&amp;$A7&amp;"'!$B$1"),IF(VLOOKUP(AG$1,INDIRECT("'"&amp;$A7&amp;"'!$A$12:$Z$41"),MATCH("Points (Auto-generate)",INDIRECT("'"&amp;$A7&amp;"'!$A$12:$Z$12"),0),0)="","?",VLOOKUP(AG$1,INDIRECT("'"&amp;$A7&amp;"'!$A$12:$Z$41"),MATCH("Points (Auto-generate)",INDIRECT("'"&amp;$A7&amp;"'!$A$12:$Z$12"),0),0)),"ER"))</f>
        <v>?</v>
      </c>
      <c r="AH7" s="86" t="str">
        <f aca="true">IF($H7=0,"NA",IF($A7=INDIRECT("'"&amp;$A7&amp;"'!$B$1"),IF(VLOOKUP(AH$1,INDIRECT("'"&amp;$A7&amp;"'!$A$12:$Z$41"),MATCH("Points (Auto-generate)",INDIRECT("'"&amp;$A7&amp;"'!$A$12:$Z$12"),0),0)="","?",VLOOKUP(AH$1,INDIRECT("'"&amp;$A7&amp;"'!$A$12:$Z$41"),MATCH("Points (Auto-generate)",INDIRECT("'"&amp;$A7&amp;"'!$A$12:$Z$12"),0),0)),"ER"))</f>
        <v>?</v>
      </c>
      <c r="AI7" s="86" t="str">
        <f aca="true">IF($H7=0,"NA",IF($A7=INDIRECT("'"&amp;$A7&amp;"'!$B$1"),IF(VLOOKUP(AI$1,INDIRECT("'"&amp;$A7&amp;"'!$A$12:$Z$41"),MATCH("Points (Auto-generate)",INDIRECT("'"&amp;$A7&amp;"'!$A$12:$Z$12"),0),0)="","?",VLOOKUP(AI$1,INDIRECT("'"&amp;$A7&amp;"'!$A$12:$Z$41"),MATCH("Points (Auto-generate)",INDIRECT("'"&amp;$A7&amp;"'!$A$12:$Z$12"),0),0)),"ER"))</f>
        <v>?</v>
      </c>
      <c r="AJ7" s="86" t="str">
        <f aca="true">IF($H7=0,"NA",IF($A7=INDIRECT("'"&amp;$A7&amp;"'!$B$1"),IF(VLOOKUP(AJ$1,INDIRECT("'"&amp;$A7&amp;"'!$A$12:$Z$41"),MATCH("Points (Auto-generate)",INDIRECT("'"&amp;$A7&amp;"'!$A$12:$Z$12"),0),0)="","?",VLOOKUP(AJ$1,INDIRECT("'"&amp;$A7&amp;"'!$A$12:$Z$41"),MATCH("Points (Auto-generate)",INDIRECT("'"&amp;$A7&amp;"'!$A$12:$Z$12"),0),0)),"ER"))</f>
        <v>?</v>
      </c>
      <c r="AK7" s="86" t="str">
        <f aca="true">IF($H7=0,"NA",IF($A7=INDIRECT("'"&amp;$A7&amp;"'!$B$1"),IF(VLOOKUP(AK$1,INDIRECT("'"&amp;$A7&amp;"'!$A$12:$Z$41"),MATCH("Points (Auto-generate)",INDIRECT("'"&amp;$A7&amp;"'!$A$12:$Z$12"),0),0)="","?",VLOOKUP(AK$1,INDIRECT("'"&amp;$A7&amp;"'!$A$12:$Z$41"),MATCH("Points (Auto-generate)",INDIRECT("'"&amp;$A7&amp;"'!$A$12:$Z$12"),0),0)),"ER"))</f>
        <v>?</v>
      </c>
    </row>
    <row r="8" customFormat="false" ht="25.5" hidden="false" customHeight="true" outlineLevel="0" collapsed="false">
      <c r="A8" s="82" t="s">
        <v>50</v>
      </c>
      <c r="B8" s="83" t="str">
        <f aca="false">IF(ISBLANK($A8),"NO_CODE",VLOOKUP($A8,'UPD Questions_290926 '!$E$1:$N$300,MATCH(B$1,'UPD Questions_290926 '!$E$1:$N$1,0),0)&amp;"")</f>
        <v>Planning </v>
      </c>
      <c r="C8" s="84" t="str">
        <f aca="false">IF(ISBLANK($A8),"NO_CODE",VLOOKUP($A8,'UPD Questions_290926 '!$E$1:$N$300,MATCH(C$1,'UPD Questions_290926 '!$E$1:$N$1,0),0)&amp;"")</f>
        <v>Legal and institutional planning architecture</v>
      </c>
      <c r="D8" s="83" t="str">
        <f aca="false">IF(ISBLANK($A8),"NO_CODE",VLOOKUP($A8,'UPD Questions_290926 '!$E$1:$N$300,MATCH(D$1,'UPD Questions_290926 '!$E$1:$N$1,0),0)&amp;"")</f>
        <v>Spatial planning hierarchy</v>
      </c>
      <c r="E8" s="83" t="str">
        <f aca="false">IF(ISBLANK($A8),"NO_CODE",VLOOKUP($A8,'UPD Questions_290926 '!$E$1:$N$300,MATCH(E$1,'UPD Questions_290926 '!$E$1:$N$1,0),0)&amp;"")</f>
        <v>SQ</v>
      </c>
      <c r="F8" s="83" t="str">
        <f aca="false">IF(ISBLANK($A8),"NO_CODE",VLOOKUP($A8,'UPD Questions_290926 '!$E$1:$N$300,MATCH(F$1,'UPD Questions_290926 '!$E$1:$N$1,0),0)&amp;"")</f>
        <v>Ward(s)/local plan</v>
      </c>
      <c r="G8" s="83" t="str">
        <f aca="false">IF(ISBLANK($A8),"NO_CODE",VLOOKUP($A8,'UPD Questions_290926 '!$E$1:$N$300,MATCH(G$1,'UPD Questions_290926 '!$E$1:$N$1,0),0)&amp;"")</f>
        <v>Law or Policy</v>
      </c>
      <c r="H8" s="85" t="n">
        <f aca="false">IF(ISBLANK($A8),"NO_CODE",VLOOKUP($A8,'UPD Questions_290926 '!$E$1:$N$300,MATCH(H$1,'UPD Questions_290926 '!$E$1:$N$1,0),0))</f>
        <v>3.33</v>
      </c>
      <c r="I8" s="86" t="str">
        <f aca="true">IF($H8=0,"NA",IF($A8=INDIRECT("'"&amp;$A8&amp;"'!$B$1"),IF(VLOOKUP(I$1,INDIRECT("'"&amp;$A8&amp;"'!$A$12:$Z$41"),MATCH("Points (Auto-generate)",INDIRECT("'"&amp;$A8&amp;"'!$A$12:$Z$12"),0),0)="","?",VLOOKUP(I$1,INDIRECT("'"&amp;$A8&amp;"'!$A$12:$Z$41"),MATCH("Points (Auto-generate)",INDIRECT("'"&amp;$A8&amp;"'!$A$12:$Z$12"),0),0)),"ER"))</f>
        <v>?</v>
      </c>
      <c r="J8" s="86" t="str">
        <f aca="true">IF($H8=0,"NA",IF($A8=INDIRECT("'"&amp;$A8&amp;"'!$B$1"),IF(VLOOKUP(J$1,INDIRECT("'"&amp;$A8&amp;"'!$A$12:$Z$41"),MATCH("Points (Auto-generate)",INDIRECT("'"&amp;$A8&amp;"'!$A$12:$Z$12"),0),0)="","?",VLOOKUP(J$1,INDIRECT("'"&amp;$A8&amp;"'!$A$12:$Z$41"),MATCH("Points (Auto-generate)",INDIRECT("'"&amp;$A8&amp;"'!$A$12:$Z$12"),0),0)),"ER"))</f>
        <v>?</v>
      </c>
      <c r="K8" s="86" t="str">
        <f aca="true">IF($H8=0,"NA",IF($A8=INDIRECT("'"&amp;$A8&amp;"'!$B$1"),IF(VLOOKUP(K$1,INDIRECT("'"&amp;$A8&amp;"'!$A$12:$Z$41"),MATCH("Points (Auto-generate)",INDIRECT("'"&amp;$A8&amp;"'!$A$12:$Z$12"),0),0)="","?",VLOOKUP(K$1,INDIRECT("'"&amp;$A8&amp;"'!$A$12:$Z$41"),MATCH("Points (Auto-generate)",INDIRECT("'"&amp;$A8&amp;"'!$A$12:$Z$12"),0),0)),"ER"))</f>
        <v>?</v>
      </c>
      <c r="L8" s="86" t="str">
        <f aca="true">IF($H8=0,"NA",IF($A8=INDIRECT("'"&amp;$A8&amp;"'!$B$1"),IF(VLOOKUP(L$1,INDIRECT("'"&amp;$A8&amp;"'!$A$12:$Z$41"),MATCH("Points (Auto-generate)",INDIRECT("'"&amp;$A8&amp;"'!$A$12:$Z$12"),0),0)="","?",VLOOKUP(L$1,INDIRECT("'"&amp;$A8&amp;"'!$A$12:$Z$41"),MATCH("Points (Auto-generate)",INDIRECT("'"&amp;$A8&amp;"'!$A$12:$Z$12"),0),0)),"ER"))</f>
        <v>?</v>
      </c>
      <c r="M8" s="86" t="str">
        <f aca="true">IF($H8=0,"NA",IF($A8=INDIRECT("'"&amp;$A8&amp;"'!$B$1"),IF(VLOOKUP(M$1,INDIRECT("'"&amp;$A8&amp;"'!$A$12:$Z$41"),MATCH("Points (Auto-generate)",INDIRECT("'"&amp;$A8&amp;"'!$A$12:$Z$12"),0),0)="","?",VLOOKUP(M$1,INDIRECT("'"&amp;$A8&amp;"'!$A$12:$Z$41"),MATCH("Points (Auto-generate)",INDIRECT("'"&amp;$A8&amp;"'!$A$12:$Z$12"),0),0)),"ER"))</f>
        <v>?</v>
      </c>
      <c r="N8" s="86" t="str">
        <f aca="true">IF($H8=0,"NA",IF($A8=INDIRECT("'"&amp;$A8&amp;"'!$B$1"),IF(VLOOKUP(N$1,INDIRECT("'"&amp;$A8&amp;"'!$A$12:$Z$41"),MATCH("Points (Auto-generate)",INDIRECT("'"&amp;$A8&amp;"'!$A$12:$Z$12"),0),0)="","?",VLOOKUP(N$1,INDIRECT("'"&amp;$A8&amp;"'!$A$12:$Z$41"),MATCH("Points (Auto-generate)",INDIRECT("'"&amp;$A8&amp;"'!$A$12:$Z$12"),0),0)),"ER"))</f>
        <v>?</v>
      </c>
      <c r="O8" s="86" t="str">
        <f aca="true">IF($H8=0,"NA",IF($A8=INDIRECT("'"&amp;$A8&amp;"'!$B$1"),IF(VLOOKUP(O$1,INDIRECT("'"&amp;$A8&amp;"'!$A$12:$Z$41"),MATCH("Points (Auto-generate)",INDIRECT("'"&amp;$A8&amp;"'!$A$12:$Z$12"),0),0)="","?",VLOOKUP(O$1,INDIRECT("'"&amp;$A8&amp;"'!$A$12:$Z$41"),MATCH("Points (Auto-generate)",INDIRECT("'"&amp;$A8&amp;"'!$A$12:$Z$12"),0),0)),"ER"))</f>
        <v>?</v>
      </c>
      <c r="P8" s="86" t="str">
        <f aca="true">IF($H8=0,"NA",IF($A8=INDIRECT("'"&amp;$A8&amp;"'!$B$1"),IF(VLOOKUP(P$1,INDIRECT("'"&amp;$A8&amp;"'!$A$12:$Z$41"),MATCH("Points (Auto-generate)",INDIRECT("'"&amp;$A8&amp;"'!$A$12:$Z$12"),0),0)="","?",VLOOKUP(P$1,INDIRECT("'"&amp;$A8&amp;"'!$A$12:$Z$41"),MATCH("Points (Auto-generate)",INDIRECT("'"&amp;$A8&amp;"'!$A$12:$Z$12"),0),0)),"ER"))</f>
        <v>?</v>
      </c>
      <c r="Q8" s="86" t="str">
        <f aca="true">IF($H8=0,"NA",IF($A8=INDIRECT("'"&amp;$A8&amp;"'!$B$1"),IF(VLOOKUP(Q$1,INDIRECT("'"&amp;$A8&amp;"'!$A$12:$Z$41"),MATCH("Points (Auto-generate)",INDIRECT("'"&amp;$A8&amp;"'!$A$12:$Z$12"),0),0)="","?",VLOOKUP(Q$1,INDIRECT("'"&amp;$A8&amp;"'!$A$12:$Z$41"),MATCH("Points (Auto-generate)",INDIRECT("'"&amp;$A8&amp;"'!$A$12:$Z$12"),0),0)),"ER"))</f>
        <v>?</v>
      </c>
      <c r="R8" s="86" t="str">
        <f aca="true">IF($H8=0,"NA",IF($A8=INDIRECT("'"&amp;$A8&amp;"'!$B$1"),IF(VLOOKUP(R$1,INDIRECT("'"&amp;$A8&amp;"'!$A$12:$Z$41"),MATCH("Points (Auto-generate)",INDIRECT("'"&amp;$A8&amp;"'!$A$12:$Z$12"),0),0)="","?",VLOOKUP(R$1,INDIRECT("'"&amp;$A8&amp;"'!$A$12:$Z$41"),MATCH("Points (Auto-generate)",INDIRECT("'"&amp;$A8&amp;"'!$A$12:$Z$12"),0),0)),"ER"))</f>
        <v>?</v>
      </c>
      <c r="S8" s="86" t="str">
        <f aca="true">IF($H8=0,"NA",IF($A8=INDIRECT("'"&amp;$A8&amp;"'!$B$1"),IF(VLOOKUP(S$1,INDIRECT("'"&amp;$A8&amp;"'!$A$12:$Z$41"),MATCH("Points (Auto-generate)",INDIRECT("'"&amp;$A8&amp;"'!$A$12:$Z$12"),0),0)="","?",VLOOKUP(S$1,INDIRECT("'"&amp;$A8&amp;"'!$A$12:$Z$41"),MATCH("Points (Auto-generate)",INDIRECT("'"&amp;$A8&amp;"'!$A$12:$Z$12"),0),0)),"ER"))</f>
        <v>?</v>
      </c>
      <c r="T8" s="86" t="str">
        <f aca="true">IF($H8=0,"NA",IF($A8=INDIRECT("'"&amp;$A8&amp;"'!$B$1"),IF(VLOOKUP(T$1,INDIRECT("'"&amp;$A8&amp;"'!$A$12:$Z$41"),MATCH("Points (Auto-generate)",INDIRECT("'"&amp;$A8&amp;"'!$A$12:$Z$12"),0),0)="","?",VLOOKUP(T$1,INDIRECT("'"&amp;$A8&amp;"'!$A$12:$Z$41"),MATCH("Points (Auto-generate)",INDIRECT("'"&amp;$A8&amp;"'!$A$12:$Z$12"),0),0)),"ER"))</f>
        <v>?</v>
      </c>
      <c r="U8" s="86" t="str">
        <f aca="true">IF($H8=0,"NA",IF($A8=INDIRECT("'"&amp;$A8&amp;"'!$B$1"),IF(VLOOKUP(U$1,INDIRECT("'"&amp;$A8&amp;"'!$A$12:$Z$41"),MATCH("Points (Auto-generate)",INDIRECT("'"&amp;$A8&amp;"'!$A$12:$Z$12"),0),0)="","?",VLOOKUP(U$1,INDIRECT("'"&amp;$A8&amp;"'!$A$12:$Z$41"),MATCH("Points (Auto-generate)",INDIRECT("'"&amp;$A8&amp;"'!$A$12:$Z$12"),0),0)),"ER"))</f>
        <v>?</v>
      </c>
      <c r="V8" s="86" t="str">
        <f aca="true">IF($H8=0,"NA",IF($A8=INDIRECT("'"&amp;$A8&amp;"'!$B$1"),IF(VLOOKUP(V$1,INDIRECT("'"&amp;$A8&amp;"'!$A$12:$Z$41"),MATCH("Points (Auto-generate)",INDIRECT("'"&amp;$A8&amp;"'!$A$12:$Z$12"),0),0)="","?",VLOOKUP(V$1,INDIRECT("'"&amp;$A8&amp;"'!$A$12:$Z$41"),MATCH("Points (Auto-generate)",INDIRECT("'"&amp;$A8&amp;"'!$A$12:$Z$12"),0),0)),"ER"))</f>
        <v>?</v>
      </c>
      <c r="W8" s="86" t="str">
        <f aca="true">IF($H8=0,"NA",IF($A8=INDIRECT("'"&amp;$A8&amp;"'!$B$1"),IF(VLOOKUP(W$1,INDIRECT("'"&amp;$A8&amp;"'!$A$12:$Z$41"),MATCH("Points (Auto-generate)",INDIRECT("'"&amp;$A8&amp;"'!$A$12:$Z$12"),0),0)="","?",VLOOKUP(W$1,INDIRECT("'"&amp;$A8&amp;"'!$A$12:$Z$41"),MATCH("Points (Auto-generate)",INDIRECT("'"&amp;$A8&amp;"'!$A$12:$Z$12"),0),0)),"ER"))</f>
        <v>?</v>
      </c>
      <c r="X8" s="86" t="str">
        <f aca="true">IF($H8=0,"NA",IF($A8=INDIRECT("'"&amp;$A8&amp;"'!$B$1"),IF(VLOOKUP(X$1,INDIRECT("'"&amp;$A8&amp;"'!$A$12:$Z$41"),MATCH("Points (Auto-generate)",INDIRECT("'"&amp;$A8&amp;"'!$A$12:$Z$12"),0),0)="","?",VLOOKUP(X$1,INDIRECT("'"&amp;$A8&amp;"'!$A$12:$Z$41"),MATCH("Points (Auto-generate)",INDIRECT("'"&amp;$A8&amp;"'!$A$12:$Z$12"),0),0)),"ER"))</f>
        <v>?</v>
      </c>
      <c r="Y8" s="86" t="str">
        <f aca="true">IF($H8=0,"NA",IF($A8=INDIRECT("'"&amp;$A8&amp;"'!$B$1"),IF(VLOOKUP(Y$1,INDIRECT("'"&amp;$A8&amp;"'!$A$12:$Z$41"),MATCH("Points (Auto-generate)",INDIRECT("'"&amp;$A8&amp;"'!$A$12:$Z$12"),0),0)="","?",VLOOKUP(Y$1,INDIRECT("'"&amp;$A8&amp;"'!$A$12:$Z$41"),MATCH("Points (Auto-generate)",INDIRECT("'"&amp;$A8&amp;"'!$A$12:$Z$12"),0),0)),"ER"))</f>
        <v>?</v>
      </c>
      <c r="Z8" s="86" t="str">
        <f aca="true">IF($H8=0,"NA",IF($A8=INDIRECT("'"&amp;$A8&amp;"'!$B$1"),IF(VLOOKUP(Z$1,INDIRECT("'"&amp;$A8&amp;"'!$A$12:$Z$41"),MATCH("Points (Auto-generate)",INDIRECT("'"&amp;$A8&amp;"'!$A$12:$Z$12"),0),0)="","?",VLOOKUP(Z$1,INDIRECT("'"&amp;$A8&amp;"'!$A$12:$Z$41"),MATCH("Points (Auto-generate)",INDIRECT("'"&amp;$A8&amp;"'!$A$12:$Z$12"),0),0)),"ER"))</f>
        <v>?</v>
      </c>
      <c r="AA8" s="86" t="str">
        <f aca="true">IF($H8=0,"NA",IF($A8=INDIRECT("'"&amp;$A8&amp;"'!$B$1"),IF(VLOOKUP(AA$1,INDIRECT("'"&amp;$A8&amp;"'!$A$12:$Z$41"),MATCH("Points (Auto-generate)",INDIRECT("'"&amp;$A8&amp;"'!$A$12:$Z$12"),0),0)="","?",VLOOKUP(AA$1,INDIRECT("'"&amp;$A8&amp;"'!$A$12:$Z$41"),MATCH("Points (Auto-generate)",INDIRECT("'"&amp;$A8&amp;"'!$A$12:$Z$12"),0),0)),"ER"))</f>
        <v>?</v>
      </c>
      <c r="AB8" s="86" t="str">
        <f aca="true">IF($H8=0,"NA",IF($A8=INDIRECT("'"&amp;$A8&amp;"'!$B$1"),IF(VLOOKUP(AB$1,INDIRECT("'"&amp;$A8&amp;"'!$A$12:$Z$41"),MATCH("Points (Auto-generate)",INDIRECT("'"&amp;$A8&amp;"'!$A$12:$Z$12"),0),0)="","?",VLOOKUP(AB$1,INDIRECT("'"&amp;$A8&amp;"'!$A$12:$Z$41"),MATCH("Points (Auto-generate)",INDIRECT("'"&amp;$A8&amp;"'!$A$12:$Z$12"),0),0)),"ER"))</f>
        <v>?</v>
      </c>
      <c r="AC8" s="86" t="str">
        <f aca="true">IF($H8=0,"NA",IF($A8=INDIRECT("'"&amp;$A8&amp;"'!$B$1"),IF(VLOOKUP(AC$1,INDIRECT("'"&amp;$A8&amp;"'!$A$12:$Z$41"),MATCH("Points (Auto-generate)",INDIRECT("'"&amp;$A8&amp;"'!$A$12:$Z$12"),0),0)="","?",VLOOKUP(AC$1,INDIRECT("'"&amp;$A8&amp;"'!$A$12:$Z$41"),MATCH("Points (Auto-generate)",INDIRECT("'"&amp;$A8&amp;"'!$A$12:$Z$12"),0),0)),"ER"))</f>
        <v>?</v>
      </c>
      <c r="AD8" s="86" t="str">
        <f aca="true">IF($H8=0,"NA",IF($A8=INDIRECT("'"&amp;$A8&amp;"'!$B$1"),IF(VLOOKUP(AD$1,INDIRECT("'"&amp;$A8&amp;"'!$A$12:$Z$41"),MATCH("Points (Auto-generate)",INDIRECT("'"&amp;$A8&amp;"'!$A$12:$Z$12"),0),0)="","?",VLOOKUP(AD$1,INDIRECT("'"&amp;$A8&amp;"'!$A$12:$Z$41"),MATCH("Points (Auto-generate)",INDIRECT("'"&amp;$A8&amp;"'!$A$12:$Z$12"),0),0)),"ER"))</f>
        <v>?</v>
      </c>
      <c r="AE8" s="86" t="str">
        <f aca="true">IF($H8=0,"NA",IF($A8=INDIRECT("'"&amp;$A8&amp;"'!$B$1"),IF(VLOOKUP(AE$1,INDIRECT("'"&amp;$A8&amp;"'!$A$12:$Z$41"),MATCH("Points (Auto-generate)",INDIRECT("'"&amp;$A8&amp;"'!$A$12:$Z$12"),0),0)="","?",VLOOKUP(AE$1,INDIRECT("'"&amp;$A8&amp;"'!$A$12:$Z$41"),MATCH("Points (Auto-generate)",INDIRECT("'"&amp;$A8&amp;"'!$A$12:$Z$12"),0),0)),"ER"))</f>
        <v>?</v>
      </c>
      <c r="AF8" s="86" t="str">
        <f aca="true">IF($H8=0,"NA",IF($A8=INDIRECT("'"&amp;$A8&amp;"'!$B$1"),IF(VLOOKUP(AF$1,INDIRECT("'"&amp;$A8&amp;"'!$A$12:$Z$41"),MATCH("Points (Auto-generate)",INDIRECT("'"&amp;$A8&amp;"'!$A$12:$Z$12"),0),0)="","?",VLOOKUP(AF$1,INDIRECT("'"&amp;$A8&amp;"'!$A$12:$Z$41"),MATCH("Points (Auto-generate)",INDIRECT("'"&amp;$A8&amp;"'!$A$12:$Z$12"),0),0)),"ER"))</f>
        <v>?</v>
      </c>
      <c r="AG8" s="86" t="str">
        <f aca="true">IF($H8=0,"NA",IF($A8=INDIRECT("'"&amp;$A8&amp;"'!$B$1"),IF(VLOOKUP(AG$1,INDIRECT("'"&amp;$A8&amp;"'!$A$12:$Z$41"),MATCH("Points (Auto-generate)",INDIRECT("'"&amp;$A8&amp;"'!$A$12:$Z$12"),0),0)="","?",VLOOKUP(AG$1,INDIRECT("'"&amp;$A8&amp;"'!$A$12:$Z$41"),MATCH("Points (Auto-generate)",INDIRECT("'"&amp;$A8&amp;"'!$A$12:$Z$12"),0),0)),"ER"))</f>
        <v>?</v>
      </c>
      <c r="AH8" s="86" t="str">
        <f aca="true">IF($H8=0,"NA",IF($A8=INDIRECT("'"&amp;$A8&amp;"'!$B$1"),IF(VLOOKUP(AH$1,INDIRECT("'"&amp;$A8&amp;"'!$A$12:$Z$41"),MATCH("Points (Auto-generate)",INDIRECT("'"&amp;$A8&amp;"'!$A$12:$Z$12"),0),0)="","?",VLOOKUP(AH$1,INDIRECT("'"&amp;$A8&amp;"'!$A$12:$Z$41"),MATCH("Points (Auto-generate)",INDIRECT("'"&amp;$A8&amp;"'!$A$12:$Z$12"),0),0)),"ER"))</f>
        <v>?</v>
      </c>
      <c r="AI8" s="86" t="str">
        <f aca="true">IF($H8=0,"NA",IF($A8=INDIRECT("'"&amp;$A8&amp;"'!$B$1"),IF(VLOOKUP(AI$1,INDIRECT("'"&amp;$A8&amp;"'!$A$12:$Z$41"),MATCH("Points (Auto-generate)",INDIRECT("'"&amp;$A8&amp;"'!$A$12:$Z$12"),0),0)="","?",VLOOKUP(AI$1,INDIRECT("'"&amp;$A8&amp;"'!$A$12:$Z$41"),MATCH("Points (Auto-generate)",INDIRECT("'"&amp;$A8&amp;"'!$A$12:$Z$12"),0),0)),"ER"))</f>
        <v>?</v>
      </c>
      <c r="AJ8" s="86" t="str">
        <f aca="true">IF($H8=0,"NA",IF($A8=INDIRECT("'"&amp;$A8&amp;"'!$B$1"),IF(VLOOKUP(AJ$1,INDIRECT("'"&amp;$A8&amp;"'!$A$12:$Z$41"),MATCH("Points (Auto-generate)",INDIRECT("'"&amp;$A8&amp;"'!$A$12:$Z$12"),0),0)="","?",VLOOKUP(AJ$1,INDIRECT("'"&amp;$A8&amp;"'!$A$12:$Z$41"),MATCH("Points (Auto-generate)",INDIRECT("'"&amp;$A8&amp;"'!$A$12:$Z$12"),0),0)),"ER"))</f>
        <v>?</v>
      </c>
      <c r="AK8" s="86" t="str">
        <f aca="true">IF($H8=0,"NA",IF($A8=INDIRECT("'"&amp;$A8&amp;"'!$B$1"),IF(VLOOKUP(AK$1,INDIRECT("'"&amp;$A8&amp;"'!$A$12:$Z$41"),MATCH("Points (Auto-generate)",INDIRECT("'"&amp;$A8&amp;"'!$A$12:$Z$12"),0),0)="","?",VLOOKUP(AK$1,INDIRECT("'"&amp;$A8&amp;"'!$A$12:$Z$41"),MATCH("Points (Auto-generate)",INDIRECT("'"&amp;$A8&amp;"'!$A$12:$Z$12"),0),0)),"ER"))</f>
        <v>?</v>
      </c>
    </row>
    <row r="9" customFormat="false" ht="25.5" hidden="false" customHeight="true" outlineLevel="0" collapsed="false">
      <c r="A9" s="82" t="s">
        <v>55</v>
      </c>
      <c r="B9" s="83" t="str">
        <f aca="false">IF(ISBLANK($A9),"NO_CODE",VLOOKUP($A9,'UPD Questions_290926 '!$E$1:$N$300,MATCH(B$1,'UPD Questions_290926 '!$E$1:$N$1,0),0)&amp;"")</f>
        <v>Planning </v>
      </c>
      <c r="C9" s="84" t="str">
        <f aca="false">IF(ISBLANK($A9),"NO_CODE",VLOOKUP($A9,'UPD Questions_290926 '!$E$1:$N$300,MATCH(C$1,'UPD Questions_290926 '!$E$1:$N$1,0),0)&amp;"")</f>
        <v>Legal and institutional planning architecture</v>
      </c>
      <c r="D9" s="83" t="str">
        <f aca="false">IF(ISBLANK($A9),"NO_CODE",VLOOKUP($A9,'UPD Questions_290926 '!$E$1:$N$300,MATCH(D$1,'UPD Questions_290926 '!$E$1:$N$1,0),0)&amp;"")</f>
        <v>Spatial planning hierarchy</v>
      </c>
      <c r="E9" s="83" t="str">
        <f aca="false">IF(ISBLANK($A9),"NO_CODE",VLOOKUP($A9,'UPD Questions_290926 '!$E$1:$N$300,MATCH(E$1,'UPD Questions_290926 '!$E$1:$N$1,0),0)&amp;"")</f>
        <v>MQ</v>
      </c>
      <c r="F9" s="83" t="str">
        <f aca="false">IF(ISBLANK($A9),"NO_CODE",VLOOKUP($A9,'UPD Questions_290926 '!$E$1:$N$300,MATCH(F$1,'UPD Questions_290926 '!$E$1:$N$1,0),0)&amp;"")</f>
        <v>Is the planning boundary of the municipal/city plan aligned with political and administrative boundaries?</v>
      </c>
      <c r="G9" s="83" t="str">
        <f aca="false">IF(ISBLANK($A9),"NO_CODE",VLOOKUP($A9,'UPD Questions_290926 '!$E$1:$N$300,MATCH(G$1,'UPD Questions_290926 '!$E$1:$N$1,0),0)&amp;"")</f>
        <v>Law or Policy</v>
      </c>
      <c r="H9" s="85" t="n">
        <f aca="false">IF(ISBLANK($A9),"NO_CODE",VLOOKUP($A9,'UPD Questions_290926 '!$E$1:$N$300,MATCH(H$1,'UPD Questions_290926 '!$E$1:$N$1,0),0))</f>
        <v>10</v>
      </c>
      <c r="I9" s="86" t="str">
        <f aca="true">IF($H9=0,"NA",IF($A9=INDIRECT("'"&amp;$A9&amp;"'!$B$1"),IF(VLOOKUP(I$1,INDIRECT("'"&amp;$A9&amp;"'!$A$12:$Z$41"),MATCH("Points (Auto-generate)",INDIRECT("'"&amp;$A9&amp;"'!$A$12:$Z$12"),0),0)="","?",VLOOKUP(I$1,INDIRECT("'"&amp;$A9&amp;"'!$A$12:$Z$41"),MATCH("Points (Auto-generate)",INDIRECT("'"&amp;$A9&amp;"'!$A$12:$Z$12"),0),0)),"ER"))</f>
        <v>?</v>
      </c>
      <c r="J9" s="86" t="n">
        <f aca="true">IF($H9=0,"NA",IF($A9=INDIRECT("'"&amp;$A9&amp;"'!$B$1"),IF(VLOOKUP(J$1,INDIRECT("'"&amp;$A9&amp;"'!$A$12:$Z$41"),MATCH("Points (Auto-generate)",INDIRECT("'"&amp;$A9&amp;"'!$A$12:$Z$12"),0),0)="","?",VLOOKUP(J$1,INDIRECT("'"&amp;$A9&amp;"'!$A$12:$Z$41"),MATCH("Points (Auto-generate)",INDIRECT("'"&amp;$A9&amp;"'!$A$12:$Z$12"),0),0)),"ER"))</f>
        <v>10</v>
      </c>
      <c r="K9" s="86" t="str">
        <f aca="true">IF($H9=0,"NA",IF($A9=INDIRECT("'"&amp;$A9&amp;"'!$B$1"),IF(VLOOKUP(K$1,INDIRECT("'"&amp;$A9&amp;"'!$A$12:$Z$41"),MATCH("Points (Auto-generate)",INDIRECT("'"&amp;$A9&amp;"'!$A$12:$Z$12"),0),0)="","?",VLOOKUP(K$1,INDIRECT("'"&amp;$A9&amp;"'!$A$12:$Z$41"),MATCH("Points (Auto-generate)",INDIRECT("'"&amp;$A9&amp;"'!$A$12:$Z$12"),0),0)),"ER"))</f>
        <v>?</v>
      </c>
      <c r="L9" s="86" t="str">
        <f aca="true">IF($H9=0,"NA",IF($A9=INDIRECT("'"&amp;$A9&amp;"'!$B$1"),IF(VLOOKUP(L$1,INDIRECT("'"&amp;$A9&amp;"'!$A$12:$Z$41"),MATCH("Points (Auto-generate)",INDIRECT("'"&amp;$A9&amp;"'!$A$12:$Z$12"),0),0)="","?",VLOOKUP(L$1,INDIRECT("'"&amp;$A9&amp;"'!$A$12:$Z$41"),MATCH("Points (Auto-generate)",INDIRECT("'"&amp;$A9&amp;"'!$A$12:$Z$12"),0),0)),"ER"))</f>
        <v>?</v>
      </c>
      <c r="M9" s="86" t="str">
        <f aca="true">IF($H9=0,"NA",IF($A9=INDIRECT("'"&amp;$A9&amp;"'!$B$1"),IF(VLOOKUP(M$1,INDIRECT("'"&amp;$A9&amp;"'!$A$12:$Z$41"),MATCH("Points (Auto-generate)",INDIRECT("'"&amp;$A9&amp;"'!$A$12:$Z$12"),0),0)="","?",VLOOKUP(M$1,INDIRECT("'"&amp;$A9&amp;"'!$A$12:$Z$41"),MATCH("Points (Auto-generate)",INDIRECT("'"&amp;$A9&amp;"'!$A$12:$Z$12"),0),0)),"ER"))</f>
        <v>?</v>
      </c>
      <c r="N9" s="86" t="str">
        <f aca="true">IF($H9=0,"NA",IF($A9=INDIRECT("'"&amp;$A9&amp;"'!$B$1"),IF(VLOOKUP(N$1,INDIRECT("'"&amp;$A9&amp;"'!$A$12:$Z$41"),MATCH("Points (Auto-generate)",INDIRECT("'"&amp;$A9&amp;"'!$A$12:$Z$12"),0),0)="","?",VLOOKUP(N$1,INDIRECT("'"&amp;$A9&amp;"'!$A$12:$Z$41"),MATCH("Points (Auto-generate)",INDIRECT("'"&amp;$A9&amp;"'!$A$12:$Z$12"),0),0)),"ER"))</f>
        <v>?</v>
      </c>
      <c r="O9" s="86" t="str">
        <f aca="true">IF($H9=0,"NA",IF($A9=INDIRECT("'"&amp;$A9&amp;"'!$B$1"),IF(VLOOKUP(O$1,INDIRECT("'"&amp;$A9&amp;"'!$A$12:$Z$41"),MATCH("Points (Auto-generate)",INDIRECT("'"&amp;$A9&amp;"'!$A$12:$Z$12"),0),0)="","?",VLOOKUP(O$1,INDIRECT("'"&amp;$A9&amp;"'!$A$12:$Z$41"),MATCH("Points (Auto-generate)",INDIRECT("'"&amp;$A9&amp;"'!$A$12:$Z$12"),0),0)),"ER"))</f>
        <v>?</v>
      </c>
      <c r="P9" s="86" t="str">
        <f aca="true">IF($H9=0,"NA",IF($A9=INDIRECT("'"&amp;$A9&amp;"'!$B$1"),IF(VLOOKUP(P$1,INDIRECT("'"&amp;$A9&amp;"'!$A$12:$Z$41"),MATCH("Points (Auto-generate)",INDIRECT("'"&amp;$A9&amp;"'!$A$12:$Z$12"),0),0)="","?",VLOOKUP(P$1,INDIRECT("'"&amp;$A9&amp;"'!$A$12:$Z$41"),MATCH("Points (Auto-generate)",INDIRECT("'"&amp;$A9&amp;"'!$A$12:$Z$12"),0),0)),"ER"))</f>
        <v>?</v>
      </c>
      <c r="Q9" s="86" t="str">
        <f aca="true">IF($H9=0,"NA",IF($A9=INDIRECT("'"&amp;$A9&amp;"'!$B$1"),IF(VLOOKUP(Q$1,INDIRECT("'"&amp;$A9&amp;"'!$A$12:$Z$41"),MATCH("Points (Auto-generate)",INDIRECT("'"&amp;$A9&amp;"'!$A$12:$Z$12"),0),0)="","?",VLOOKUP(Q$1,INDIRECT("'"&amp;$A9&amp;"'!$A$12:$Z$41"),MATCH("Points (Auto-generate)",INDIRECT("'"&amp;$A9&amp;"'!$A$12:$Z$12"),0),0)),"ER"))</f>
        <v>?</v>
      </c>
      <c r="R9" s="86" t="str">
        <f aca="true">IF($H9=0,"NA",IF($A9=INDIRECT("'"&amp;$A9&amp;"'!$B$1"),IF(VLOOKUP(R$1,INDIRECT("'"&amp;$A9&amp;"'!$A$12:$Z$41"),MATCH("Points (Auto-generate)",INDIRECT("'"&amp;$A9&amp;"'!$A$12:$Z$12"),0),0)="","?",VLOOKUP(R$1,INDIRECT("'"&amp;$A9&amp;"'!$A$12:$Z$41"),MATCH("Points (Auto-generate)",INDIRECT("'"&amp;$A9&amp;"'!$A$12:$Z$12"),0),0)),"ER"))</f>
        <v>?</v>
      </c>
      <c r="S9" s="86" t="str">
        <f aca="true">IF($H9=0,"NA",IF($A9=INDIRECT("'"&amp;$A9&amp;"'!$B$1"),IF(VLOOKUP(S$1,INDIRECT("'"&amp;$A9&amp;"'!$A$12:$Z$41"),MATCH("Points (Auto-generate)",INDIRECT("'"&amp;$A9&amp;"'!$A$12:$Z$12"),0),0)="","?",VLOOKUP(S$1,INDIRECT("'"&amp;$A9&amp;"'!$A$12:$Z$41"),MATCH("Points (Auto-generate)",INDIRECT("'"&amp;$A9&amp;"'!$A$12:$Z$12"),0),0)),"ER"))</f>
        <v>?</v>
      </c>
      <c r="T9" s="86" t="str">
        <f aca="true">IF($H9=0,"NA",IF($A9=INDIRECT("'"&amp;$A9&amp;"'!$B$1"),IF(VLOOKUP(T$1,INDIRECT("'"&amp;$A9&amp;"'!$A$12:$Z$41"),MATCH("Points (Auto-generate)",INDIRECT("'"&amp;$A9&amp;"'!$A$12:$Z$12"),0),0)="","?",VLOOKUP(T$1,INDIRECT("'"&amp;$A9&amp;"'!$A$12:$Z$41"),MATCH("Points (Auto-generate)",INDIRECT("'"&amp;$A9&amp;"'!$A$12:$Z$12"),0),0)),"ER"))</f>
        <v>?</v>
      </c>
      <c r="U9" s="86" t="str">
        <f aca="true">IF($H9=0,"NA",IF($A9=INDIRECT("'"&amp;$A9&amp;"'!$B$1"),IF(VLOOKUP(U$1,INDIRECT("'"&amp;$A9&amp;"'!$A$12:$Z$41"),MATCH("Points (Auto-generate)",INDIRECT("'"&amp;$A9&amp;"'!$A$12:$Z$12"),0),0)="","?",VLOOKUP(U$1,INDIRECT("'"&amp;$A9&amp;"'!$A$12:$Z$41"),MATCH("Points (Auto-generate)",INDIRECT("'"&amp;$A9&amp;"'!$A$12:$Z$12"),0),0)),"ER"))</f>
        <v>?</v>
      </c>
      <c r="V9" s="86" t="str">
        <f aca="true">IF($H9=0,"NA",IF($A9=INDIRECT("'"&amp;$A9&amp;"'!$B$1"),IF(VLOOKUP(V$1,INDIRECT("'"&amp;$A9&amp;"'!$A$12:$Z$41"),MATCH("Points (Auto-generate)",INDIRECT("'"&amp;$A9&amp;"'!$A$12:$Z$12"),0),0)="","?",VLOOKUP(V$1,INDIRECT("'"&amp;$A9&amp;"'!$A$12:$Z$41"),MATCH("Points (Auto-generate)",INDIRECT("'"&amp;$A9&amp;"'!$A$12:$Z$12"),0),0)),"ER"))</f>
        <v>?</v>
      </c>
      <c r="W9" s="86" t="str">
        <f aca="true">IF($H9=0,"NA",IF($A9=INDIRECT("'"&amp;$A9&amp;"'!$B$1"),IF(VLOOKUP(W$1,INDIRECT("'"&amp;$A9&amp;"'!$A$12:$Z$41"),MATCH("Points (Auto-generate)",INDIRECT("'"&amp;$A9&amp;"'!$A$12:$Z$12"),0),0)="","?",VLOOKUP(W$1,INDIRECT("'"&amp;$A9&amp;"'!$A$12:$Z$41"),MATCH("Points (Auto-generate)",INDIRECT("'"&amp;$A9&amp;"'!$A$12:$Z$12"),0),0)),"ER"))</f>
        <v>?</v>
      </c>
      <c r="X9" s="86" t="str">
        <f aca="true">IF($H9=0,"NA",IF($A9=INDIRECT("'"&amp;$A9&amp;"'!$B$1"),IF(VLOOKUP(X$1,INDIRECT("'"&amp;$A9&amp;"'!$A$12:$Z$41"),MATCH("Points (Auto-generate)",INDIRECT("'"&amp;$A9&amp;"'!$A$12:$Z$12"),0),0)="","?",VLOOKUP(X$1,INDIRECT("'"&amp;$A9&amp;"'!$A$12:$Z$41"),MATCH("Points (Auto-generate)",INDIRECT("'"&amp;$A9&amp;"'!$A$12:$Z$12"),0),0)),"ER"))</f>
        <v>?</v>
      </c>
      <c r="Y9" s="86" t="str">
        <f aca="true">IF($H9=0,"NA",IF($A9=INDIRECT("'"&amp;$A9&amp;"'!$B$1"),IF(VLOOKUP(Y$1,INDIRECT("'"&amp;$A9&amp;"'!$A$12:$Z$41"),MATCH("Points (Auto-generate)",INDIRECT("'"&amp;$A9&amp;"'!$A$12:$Z$12"),0),0)="","?",VLOOKUP(Y$1,INDIRECT("'"&amp;$A9&amp;"'!$A$12:$Z$41"),MATCH("Points (Auto-generate)",INDIRECT("'"&amp;$A9&amp;"'!$A$12:$Z$12"),0),0)),"ER"))</f>
        <v>?</v>
      </c>
      <c r="Z9" s="86" t="str">
        <f aca="true">IF($H9=0,"NA",IF($A9=INDIRECT("'"&amp;$A9&amp;"'!$B$1"),IF(VLOOKUP(Z$1,INDIRECT("'"&amp;$A9&amp;"'!$A$12:$Z$41"),MATCH("Points (Auto-generate)",INDIRECT("'"&amp;$A9&amp;"'!$A$12:$Z$12"),0),0)="","?",VLOOKUP(Z$1,INDIRECT("'"&amp;$A9&amp;"'!$A$12:$Z$41"),MATCH("Points (Auto-generate)",INDIRECT("'"&amp;$A9&amp;"'!$A$12:$Z$12"),0),0)),"ER"))</f>
        <v>?</v>
      </c>
      <c r="AA9" s="86" t="str">
        <f aca="true">IF($H9=0,"NA",IF($A9=INDIRECT("'"&amp;$A9&amp;"'!$B$1"),IF(VLOOKUP(AA$1,INDIRECT("'"&amp;$A9&amp;"'!$A$12:$Z$41"),MATCH("Points (Auto-generate)",INDIRECT("'"&amp;$A9&amp;"'!$A$12:$Z$12"),0),0)="","?",VLOOKUP(AA$1,INDIRECT("'"&amp;$A9&amp;"'!$A$12:$Z$41"),MATCH("Points (Auto-generate)",INDIRECT("'"&amp;$A9&amp;"'!$A$12:$Z$12"),0),0)),"ER"))</f>
        <v>?</v>
      </c>
      <c r="AB9" s="86" t="str">
        <f aca="true">IF($H9=0,"NA",IF($A9=INDIRECT("'"&amp;$A9&amp;"'!$B$1"),IF(VLOOKUP(AB$1,INDIRECT("'"&amp;$A9&amp;"'!$A$12:$Z$41"),MATCH("Points (Auto-generate)",INDIRECT("'"&amp;$A9&amp;"'!$A$12:$Z$12"),0),0)="","?",VLOOKUP(AB$1,INDIRECT("'"&amp;$A9&amp;"'!$A$12:$Z$41"),MATCH("Points (Auto-generate)",INDIRECT("'"&amp;$A9&amp;"'!$A$12:$Z$12"),0),0)),"ER"))</f>
        <v>?</v>
      </c>
      <c r="AC9" s="86" t="str">
        <f aca="true">IF($H9=0,"NA",IF($A9=INDIRECT("'"&amp;$A9&amp;"'!$B$1"),IF(VLOOKUP(AC$1,INDIRECT("'"&amp;$A9&amp;"'!$A$12:$Z$41"),MATCH("Points (Auto-generate)",INDIRECT("'"&amp;$A9&amp;"'!$A$12:$Z$12"),0),0)="","?",VLOOKUP(AC$1,INDIRECT("'"&amp;$A9&amp;"'!$A$12:$Z$41"),MATCH("Points (Auto-generate)",INDIRECT("'"&amp;$A9&amp;"'!$A$12:$Z$12"),0),0)),"ER"))</f>
        <v>?</v>
      </c>
      <c r="AD9" s="86" t="str">
        <f aca="true">IF($H9=0,"NA",IF($A9=INDIRECT("'"&amp;$A9&amp;"'!$B$1"),IF(VLOOKUP(AD$1,INDIRECT("'"&amp;$A9&amp;"'!$A$12:$Z$41"),MATCH("Points (Auto-generate)",INDIRECT("'"&amp;$A9&amp;"'!$A$12:$Z$12"),0),0)="","?",VLOOKUP(AD$1,INDIRECT("'"&amp;$A9&amp;"'!$A$12:$Z$41"),MATCH("Points (Auto-generate)",INDIRECT("'"&amp;$A9&amp;"'!$A$12:$Z$12"),0),0)),"ER"))</f>
        <v>?</v>
      </c>
      <c r="AE9" s="86" t="str">
        <f aca="true">IF($H9=0,"NA",IF($A9=INDIRECT("'"&amp;$A9&amp;"'!$B$1"),IF(VLOOKUP(AE$1,INDIRECT("'"&amp;$A9&amp;"'!$A$12:$Z$41"),MATCH("Points (Auto-generate)",INDIRECT("'"&amp;$A9&amp;"'!$A$12:$Z$12"),0),0)="","?",VLOOKUP(AE$1,INDIRECT("'"&amp;$A9&amp;"'!$A$12:$Z$41"),MATCH("Points (Auto-generate)",INDIRECT("'"&amp;$A9&amp;"'!$A$12:$Z$12"),0),0)),"ER"))</f>
        <v>?</v>
      </c>
      <c r="AF9" s="86" t="str">
        <f aca="true">IF($H9=0,"NA",IF($A9=INDIRECT("'"&amp;$A9&amp;"'!$B$1"),IF(VLOOKUP(AF$1,INDIRECT("'"&amp;$A9&amp;"'!$A$12:$Z$41"),MATCH("Points (Auto-generate)",INDIRECT("'"&amp;$A9&amp;"'!$A$12:$Z$12"),0),0)="","?",VLOOKUP(AF$1,INDIRECT("'"&amp;$A9&amp;"'!$A$12:$Z$41"),MATCH("Points (Auto-generate)",INDIRECT("'"&amp;$A9&amp;"'!$A$12:$Z$12"),0),0)),"ER"))</f>
        <v>?</v>
      </c>
      <c r="AG9" s="86" t="str">
        <f aca="true">IF($H9=0,"NA",IF($A9=INDIRECT("'"&amp;$A9&amp;"'!$B$1"),IF(VLOOKUP(AG$1,INDIRECT("'"&amp;$A9&amp;"'!$A$12:$Z$41"),MATCH("Points (Auto-generate)",INDIRECT("'"&amp;$A9&amp;"'!$A$12:$Z$12"),0),0)="","?",VLOOKUP(AG$1,INDIRECT("'"&amp;$A9&amp;"'!$A$12:$Z$41"),MATCH("Points (Auto-generate)",INDIRECT("'"&amp;$A9&amp;"'!$A$12:$Z$12"),0),0)),"ER"))</f>
        <v>?</v>
      </c>
      <c r="AH9" s="86" t="str">
        <f aca="true">IF($H9=0,"NA",IF($A9=INDIRECT("'"&amp;$A9&amp;"'!$B$1"),IF(VLOOKUP(AH$1,INDIRECT("'"&amp;$A9&amp;"'!$A$12:$Z$41"),MATCH("Points (Auto-generate)",INDIRECT("'"&amp;$A9&amp;"'!$A$12:$Z$12"),0),0)="","?",VLOOKUP(AH$1,INDIRECT("'"&amp;$A9&amp;"'!$A$12:$Z$41"),MATCH("Points (Auto-generate)",INDIRECT("'"&amp;$A9&amp;"'!$A$12:$Z$12"),0),0)),"ER"))</f>
        <v>?</v>
      </c>
      <c r="AI9" s="86" t="str">
        <f aca="true">IF($H9=0,"NA",IF($A9=INDIRECT("'"&amp;$A9&amp;"'!$B$1"),IF(VLOOKUP(AI$1,INDIRECT("'"&amp;$A9&amp;"'!$A$12:$Z$41"),MATCH("Points (Auto-generate)",INDIRECT("'"&amp;$A9&amp;"'!$A$12:$Z$12"),0),0)="","?",VLOOKUP(AI$1,INDIRECT("'"&amp;$A9&amp;"'!$A$12:$Z$41"),MATCH("Points (Auto-generate)",INDIRECT("'"&amp;$A9&amp;"'!$A$12:$Z$12"),0),0)),"ER"))</f>
        <v>?</v>
      </c>
      <c r="AJ9" s="86" t="str">
        <f aca="true">IF($H9=0,"NA",IF($A9=INDIRECT("'"&amp;$A9&amp;"'!$B$1"),IF(VLOOKUP(AJ$1,INDIRECT("'"&amp;$A9&amp;"'!$A$12:$Z$41"),MATCH("Points (Auto-generate)",INDIRECT("'"&amp;$A9&amp;"'!$A$12:$Z$12"),0),0)="","?",VLOOKUP(AJ$1,INDIRECT("'"&amp;$A9&amp;"'!$A$12:$Z$41"),MATCH("Points (Auto-generate)",INDIRECT("'"&amp;$A9&amp;"'!$A$12:$Z$12"),0),0)),"ER"))</f>
        <v>?</v>
      </c>
      <c r="AK9" s="86" t="str">
        <f aca="true">IF($H9=0,"NA",IF($A9=INDIRECT("'"&amp;$A9&amp;"'!$B$1"),IF(VLOOKUP(AK$1,INDIRECT("'"&amp;$A9&amp;"'!$A$12:$Z$41"),MATCH("Points (Auto-generate)",INDIRECT("'"&amp;$A9&amp;"'!$A$12:$Z$12"),0),0)="","?",VLOOKUP(AK$1,INDIRECT("'"&amp;$A9&amp;"'!$A$12:$Z$41"),MATCH("Points (Auto-generate)",INDIRECT("'"&amp;$A9&amp;"'!$A$12:$Z$12"),0),0)),"ER"))</f>
        <v>?</v>
      </c>
    </row>
    <row r="10" customFormat="false" ht="25.5" hidden="false" customHeight="true" outlineLevel="0" collapsed="false">
      <c r="A10" s="82" t="s">
        <v>383</v>
      </c>
      <c r="B10" s="83" t="str">
        <f aca="false">IF(ISBLANK($A10),"NO_CODE",VLOOKUP($A10,'UPD Questions_290926 '!$E$1:$N$300,MATCH(B$1,'UPD Questions_290926 '!$E$1:$N$1,0),0)&amp;"")</f>
        <v>Planning </v>
      </c>
      <c r="C10" s="84" t="str">
        <f aca="false">IF(ISBLANK($A10),"NO_CODE",VLOOKUP($A10,'UPD Questions_290926 '!$E$1:$N$300,MATCH(C$1,'UPD Questions_290926 '!$E$1:$N$1,0),0)&amp;"")</f>
        <v>Legal and institutional planning architecture</v>
      </c>
      <c r="D10" s="83" t="str">
        <f aca="false">IF(ISBLANK($A10),"NO_CODE",VLOOKUP($A10,'UPD Questions_290926 '!$E$1:$N$300,MATCH(D$1,'UPD Questions_290926 '!$E$1:$N$1,0),0)&amp;"")</f>
        <v>Spatial planning hierarchy</v>
      </c>
      <c r="E10" s="83" t="str">
        <f aca="false">IF(ISBLANK($A10),"NO_CODE",VLOOKUP($A10,'UPD Questions_290926 '!$E$1:$N$300,MATCH(E$1,'UPD Questions_290926 '!$E$1:$N$1,0),0)&amp;"")</f>
        <v>MQ</v>
      </c>
      <c r="F10" s="83" t="str">
        <f aca="false">IF(ISBLANK($A10),"NO_CODE",VLOOKUP($A10,'UPD Questions_290926 '!$E$1:$N$300,MATCH(F$1,'UPD Questions_290926 '!$E$1:$N$1,0),0)&amp;"")</f>
        <v>Is there a clear decentralised procedure for approvals of each level of plans?</v>
      </c>
      <c r="G10" s="83" t="str">
        <f aca="false">IF(ISBLANK($A10),"NO_CODE",VLOOKUP($A10,'UPD Questions_290926 '!$E$1:$N$300,MATCH(G$1,'UPD Questions_290926 '!$E$1:$N$1,0),0)&amp;"")</f>
        <v>Law or Policy</v>
      </c>
      <c r="H10" s="85" t="n">
        <f aca="false">IF(ISBLANK($A10),"NO_CODE",VLOOKUP($A10,'UPD Questions_290926 '!$E$1:$N$300,MATCH(H$1,'UPD Questions_290926 '!$E$1:$N$1,0),0))</f>
        <v>10</v>
      </c>
      <c r="I10" s="86" t="str">
        <f aca="false">IF(OR(I11="ER",I12="ER",I13="ER"),"ER",IF(OR(I11="?",I12="?",I13="?"),"?",IF(AND(I11="NA",I12="NA",I13="NA"),"NA",SUM(I11,I12,I13)/((I11&lt;&gt;"NA")*$H$11+(I12&lt;&gt;"NA")*$H$12+(I13&lt;&gt;"NA")*$H$13)*$H10)))</f>
        <v>?</v>
      </c>
      <c r="J10" s="86" t="str">
        <f aca="false">IF(OR(J11="ER",J12="ER",J13="ER"),"ER",IF(OR(J11="?",J12="?",J13="?"),"?",IF(AND(J11="NA",J12="NA",J13="NA"),"NA",SUM(J11,J12,J13)/((J11&lt;&gt;"NA")*$H$11+(J12&lt;&gt;"NA")*$H$12+(J13&lt;&gt;"NA")*$H$13)*$H10)))</f>
        <v>?</v>
      </c>
      <c r="K10" s="86" t="str">
        <f aca="false">IF(OR(K11="ER",K12="ER",K13="ER"),"ER",IF(OR(K11="?",K12="?",K13="?"),"?",IF(AND(K11="NA",K12="NA",K13="NA"),"NA",SUM(K11,K12,K13)/((K11&lt;&gt;"NA")*$H$11+(K12&lt;&gt;"NA")*$H$12+(K13&lt;&gt;"NA")*$H$13)*$H10)))</f>
        <v>?</v>
      </c>
      <c r="L10" s="86" t="str">
        <f aca="false">IF(OR(L11="ER",L12="ER",L13="ER"),"ER",IF(OR(L11="?",L12="?",L13="?"),"?",IF(AND(L11="NA",L12="NA",L13="NA"),"NA",SUM(L11,L12,L13)/((L11&lt;&gt;"NA")*$H$11+(L12&lt;&gt;"NA")*$H$12+(L13&lt;&gt;"NA")*$H$13)*$H10)))</f>
        <v>?</v>
      </c>
      <c r="M10" s="86" t="str">
        <f aca="false">IF(OR(M11="ER",M12="ER",M13="ER"),"ER",IF(OR(M11="?",M12="?",M13="?"),"?",IF(AND(M11="NA",M12="NA",M13="NA"),"NA",SUM(M11,M12,M13)/((M11&lt;&gt;"NA")*$H$11+(M12&lt;&gt;"NA")*$H$12+(M13&lt;&gt;"NA")*$H$13)*$H10)))</f>
        <v>?</v>
      </c>
      <c r="N10" s="86" t="str">
        <f aca="false">IF(OR(N11="ER",N12="ER",N13="ER"),"ER",IF(OR(N11="?",N12="?",N13="?"),"?",IF(AND(N11="NA",N12="NA",N13="NA"),"NA",SUM(N11,N12,N13)/((N11&lt;&gt;"NA")*$H$11+(N12&lt;&gt;"NA")*$H$12+(N13&lt;&gt;"NA")*$H$13)*$H10)))</f>
        <v>?</v>
      </c>
      <c r="O10" s="86" t="str">
        <f aca="false">IF(OR(O11="ER",O12="ER",O13="ER"),"ER",IF(OR(O11="?",O12="?",O13="?"),"?",IF(AND(O11="NA",O12="NA",O13="NA"),"NA",SUM(O11,O12,O13)/((O11&lt;&gt;"NA")*$H$11+(O12&lt;&gt;"NA")*$H$12+(O13&lt;&gt;"NA")*$H$13)*$H10)))</f>
        <v>?</v>
      </c>
      <c r="P10" s="86" t="str">
        <f aca="false">IF(OR(P11="ER",P12="ER",P13="ER"),"ER",IF(OR(P11="?",P12="?",P13="?"),"?",IF(AND(P11="NA",P12="NA",P13="NA"),"NA",SUM(P11,P12,P13)/((P11&lt;&gt;"NA")*$H$11+(P12&lt;&gt;"NA")*$H$12+(P13&lt;&gt;"NA")*$H$13)*$H10)))</f>
        <v>?</v>
      </c>
      <c r="Q10" s="86" t="str">
        <f aca="false">IF(OR(Q11="ER",Q12="ER",Q13="ER"),"ER",IF(OR(Q11="?",Q12="?",Q13="?"),"?",IF(AND(Q11="NA",Q12="NA",Q13="NA"),"NA",SUM(Q11,Q12,Q13)/((Q11&lt;&gt;"NA")*$H$11+(Q12&lt;&gt;"NA")*$H$12+(Q13&lt;&gt;"NA")*$H$13)*$H10)))</f>
        <v>?</v>
      </c>
      <c r="R10" s="86" t="str">
        <f aca="false">IF(OR(R11="ER",R12="ER",R13="ER"),"ER",IF(OR(R11="?",R12="?",R13="?"),"?",IF(AND(R11="NA",R12="NA",R13="NA"),"NA",SUM(R11,R12,R13)/((R11&lt;&gt;"NA")*$H$11+(R12&lt;&gt;"NA")*$H$12+(R13&lt;&gt;"NA")*$H$13)*$H10)))</f>
        <v>?</v>
      </c>
      <c r="S10" s="86" t="str">
        <f aca="false">IF(OR(S11="ER",S12="ER",S13="ER"),"ER",IF(OR(S11="?",S12="?",S13="?"),"?",IF(AND(S11="NA",S12="NA",S13="NA"),"NA",SUM(S11,S12,S13)/((S11&lt;&gt;"NA")*$H$11+(S12&lt;&gt;"NA")*$H$12+(S13&lt;&gt;"NA")*$H$13)*$H10)))</f>
        <v>?</v>
      </c>
      <c r="T10" s="86" t="str">
        <f aca="false">IF(OR(T11="ER",T12="ER",T13="ER"),"ER",IF(OR(T11="?",T12="?",T13="?"),"?",IF(AND(T11="NA",T12="NA",T13="NA"),"NA",SUM(T11,T12,T13)/((T11&lt;&gt;"NA")*$H$11+(T12&lt;&gt;"NA")*$H$12+(T13&lt;&gt;"NA")*$H$13)*$H10)))</f>
        <v>?</v>
      </c>
      <c r="U10" s="86" t="str">
        <f aca="false">IF(OR(U11="ER",U12="ER",U13="ER"),"ER",IF(OR(U11="?",U12="?",U13="?"),"?",IF(AND(U11="NA",U12="NA",U13="NA"),"NA",SUM(U11,U12,U13)/((U11&lt;&gt;"NA")*$H$11+(U12&lt;&gt;"NA")*$H$12+(U13&lt;&gt;"NA")*$H$13)*$H10)))</f>
        <v>?</v>
      </c>
      <c r="V10" s="86" t="str">
        <f aca="false">IF(OR(V11="ER",V12="ER",V13="ER"),"ER",IF(OR(V11="?",V12="?",V13="?"),"?",IF(AND(V11="NA",V12="NA",V13="NA"),"NA",SUM(V11,V12,V13)/((V11&lt;&gt;"NA")*$H$11+(V12&lt;&gt;"NA")*$H$12+(V13&lt;&gt;"NA")*$H$13)*$H10)))</f>
        <v>?</v>
      </c>
      <c r="W10" s="86" t="str">
        <f aca="false">IF(OR(W11="ER",W12="ER",W13="ER"),"ER",IF(OR(W11="?",W12="?",W13="?"),"?",IF(AND(W11="NA",W12="NA",W13="NA"),"NA",SUM(W11,W12,W13)/((W11&lt;&gt;"NA")*$H$11+(W12&lt;&gt;"NA")*$H$12+(W13&lt;&gt;"NA")*$H$13)*$H10)))</f>
        <v>?</v>
      </c>
      <c r="X10" s="86" t="str">
        <f aca="false">IF(OR(X11="ER",X12="ER",X13="ER"),"ER",IF(OR(X11="?",X12="?",X13="?"),"?",IF(AND(X11="NA",X12="NA",X13="NA"),"NA",SUM(X11,X12,X13)/((X11&lt;&gt;"NA")*$H$11+(X12&lt;&gt;"NA")*$H$12+(X13&lt;&gt;"NA")*$H$13)*$H10)))</f>
        <v>?</v>
      </c>
      <c r="Y10" s="86" t="str">
        <f aca="false">IF(OR(Y11="ER",Y12="ER",Y13="ER"),"ER",IF(OR(Y11="?",Y12="?",Y13="?"),"?",IF(AND(Y11="NA",Y12="NA",Y13="NA"),"NA",SUM(Y11,Y12,Y13)/((Y11&lt;&gt;"NA")*$H$11+(Y12&lt;&gt;"NA")*$H$12+(Y13&lt;&gt;"NA")*$H$13)*$H10)))</f>
        <v>?</v>
      </c>
      <c r="Z10" s="86" t="str">
        <f aca="false">IF(OR(Z11="ER",Z12="ER",Z13="ER"),"ER",IF(OR(Z11="?",Z12="?",Z13="?"),"?",IF(AND(Z11="NA",Z12="NA",Z13="NA"),"NA",SUM(Z11,Z12,Z13)/((Z11&lt;&gt;"NA")*$H$11+(Z12&lt;&gt;"NA")*$H$12+(Z13&lt;&gt;"NA")*$H$13)*$H10)))</f>
        <v>?</v>
      </c>
      <c r="AA10" s="86" t="str">
        <f aca="false">IF(OR(AA11="ER",AA12="ER",AA13="ER"),"ER",IF(OR(AA11="?",AA12="?",AA13="?"),"?",IF(AND(AA11="NA",AA12="NA",AA13="NA"),"NA",SUM(AA11,AA12,AA13)/((AA11&lt;&gt;"NA")*$H$11+(AA12&lt;&gt;"NA")*$H$12+(AA13&lt;&gt;"NA")*$H$13)*$H10)))</f>
        <v>?</v>
      </c>
      <c r="AB10" s="86" t="str">
        <f aca="false">IF(OR(AB11="ER",AB12="ER",AB13="ER"),"ER",IF(OR(AB11="?",AB12="?",AB13="?"),"?",IF(AND(AB11="NA",AB12="NA",AB13="NA"),"NA",SUM(AB11,AB12,AB13)/((AB11&lt;&gt;"NA")*$H$11+(AB12&lt;&gt;"NA")*$H$12+(AB13&lt;&gt;"NA")*$H$13)*$H10)))</f>
        <v>?</v>
      </c>
      <c r="AC10" s="86" t="str">
        <f aca="false">IF(OR(AC11="ER",AC12="ER",AC13="ER"),"ER",IF(OR(AC11="?",AC12="?",AC13="?"),"?",IF(AND(AC11="NA",AC12="NA",AC13="NA"),"NA",SUM(AC11,AC12,AC13)/((AC11&lt;&gt;"NA")*$H$11+(AC12&lt;&gt;"NA")*$H$12+(AC13&lt;&gt;"NA")*$H$13)*$H10)))</f>
        <v>?</v>
      </c>
      <c r="AD10" s="86" t="str">
        <f aca="false">IF(OR(AD11="ER",AD12="ER",AD13="ER"),"ER",IF(OR(AD11="?",AD12="?",AD13="?"),"?",IF(AND(AD11="NA",AD12="NA",AD13="NA"),"NA",SUM(AD11,AD12,AD13)/((AD11&lt;&gt;"NA")*$H$11+(AD12&lt;&gt;"NA")*$H$12+(AD13&lt;&gt;"NA")*$H$13)*$H10)))</f>
        <v>?</v>
      </c>
      <c r="AE10" s="86" t="str">
        <f aca="false">IF(OR(AE11="ER",AE12="ER",AE13="ER"),"ER",IF(OR(AE11="?",AE12="?",AE13="?"),"?",IF(AND(AE11="NA",AE12="NA",AE13="NA"),"NA",SUM(AE11,AE12,AE13)/((AE11&lt;&gt;"NA")*$H$11+(AE12&lt;&gt;"NA")*$H$12+(AE13&lt;&gt;"NA")*$H$13)*$H10)))</f>
        <v>?</v>
      </c>
      <c r="AF10" s="86" t="str">
        <f aca="false">IF(OR(AF11="ER",AF12="ER",AF13="ER"),"ER",IF(OR(AF11="?",AF12="?",AF13="?"),"?",IF(AND(AF11="NA",AF12="NA",AF13="NA"),"NA",SUM(AF11,AF12,AF13)/((AF11&lt;&gt;"NA")*$H$11+(AF12&lt;&gt;"NA")*$H$12+(AF13&lt;&gt;"NA")*$H$13)*$H10)))</f>
        <v>?</v>
      </c>
      <c r="AG10" s="86" t="str">
        <f aca="false">IF(OR(AG11="ER",AG12="ER",AG13="ER"),"ER",IF(OR(AG11="?",AG12="?",AG13="?"),"?",IF(AND(AG11="NA",AG12="NA",AG13="NA"),"NA",SUM(AG11,AG12,AG13)/((AG11&lt;&gt;"NA")*$H$11+(AG12&lt;&gt;"NA")*$H$12+(AG13&lt;&gt;"NA")*$H$13)*$H10)))</f>
        <v>?</v>
      </c>
      <c r="AH10" s="86" t="str">
        <f aca="false">IF(OR(AH11="ER",AH12="ER",AH13="ER"),"ER",IF(OR(AH11="?",AH12="?",AH13="?"),"?",IF(AND(AH11="NA",AH12="NA",AH13="NA"),"NA",SUM(AH11,AH12,AH13)/((AH11&lt;&gt;"NA")*$H$11+(AH12&lt;&gt;"NA")*$H$12+(AH13&lt;&gt;"NA")*$H$13)*$H10)))</f>
        <v>?</v>
      </c>
      <c r="AI10" s="86" t="str">
        <f aca="false">IF(OR(AI11="ER",AI12="ER",AI13="ER"),"ER",IF(OR(AI11="?",AI12="?",AI13="?"),"?",IF(AND(AI11="NA",AI12="NA",AI13="NA"),"NA",SUM(AI11,AI12,AI13)/((AI11&lt;&gt;"NA")*$H$11+(AI12&lt;&gt;"NA")*$H$12+(AI13&lt;&gt;"NA")*$H$13)*$H10)))</f>
        <v>?</v>
      </c>
      <c r="AJ10" s="86" t="str">
        <f aca="false">IF(OR(AJ11="ER",AJ12="ER",AJ13="ER"),"ER",IF(OR(AJ11="?",AJ12="?",AJ13="?"),"?",IF(AND(AJ11="NA",AJ12="NA",AJ13="NA"),"NA",SUM(AJ11,AJ12,AJ13)/((AJ11&lt;&gt;"NA")*$H$11+(AJ12&lt;&gt;"NA")*$H$12+(AJ13&lt;&gt;"NA")*$H$13)*$H10)))</f>
        <v>?</v>
      </c>
      <c r="AK10" s="86" t="str">
        <f aca="false">IF(OR(AK11="ER",AK12="ER",AK13="ER"),"ER",IF(OR(AK11="?",AK12="?",AK13="?"),"?",IF(AND(AK11="NA",AK12="NA",AK13="NA"),"NA",SUM(AK11,AK12,AK13)/((AK11&lt;&gt;"NA")*$H$11+(AK12&lt;&gt;"NA")*$H$12+(AK13&lt;&gt;"NA")*$H$13)*$H10)))</f>
        <v>?</v>
      </c>
    </row>
    <row r="11" customFormat="false" ht="25.5" hidden="false" customHeight="true" outlineLevel="0" collapsed="false">
      <c r="A11" s="82" t="s">
        <v>60</v>
      </c>
      <c r="B11" s="83" t="str">
        <f aca="false">IF(ISBLANK($A11),"NO_CODE",VLOOKUP($A11,'UPD Questions_290926 '!$E$1:$N$300,MATCH(B$1,'UPD Questions_290926 '!$E$1:$N$1,0),0)&amp;"")</f>
        <v>Planning </v>
      </c>
      <c r="C11" s="84" t="str">
        <f aca="false">IF(ISBLANK($A11),"NO_CODE",VLOOKUP($A11,'UPD Questions_290926 '!$E$1:$N$300,MATCH(C$1,'UPD Questions_290926 '!$E$1:$N$1,0),0)&amp;"")</f>
        <v>Legal and institutional planning architecture</v>
      </c>
      <c r="D11" s="83" t="str">
        <f aca="false">IF(ISBLANK($A11),"NO_CODE",VLOOKUP($A11,'UPD Questions_290926 '!$E$1:$N$300,MATCH(D$1,'UPD Questions_290926 '!$E$1:$N$1,0),0)&amp;"")</f>
        <v>Spatial planning hierarchy</v>
      </c>
      <c r="E11" s="83" t="str">
        <f aca="false">IF(ISBLANK($A11),"NO_CODE",VLOOKUP($A11,'UPD Questions_290926 '!$E$1:$N$300,MATCH(E$1,'UPD Questions_290926 '!$E$1:$N$1,0),0)&amp;"")</f>
        <v>SQ</v>
      </c>
      <c r="F11" s="83" t="str">
        <f aca="false">IF(ISBLANK($A11),"NO_CODE",VLOOKUP($A11,'UPD Questions_290926 '!$E$1:$N$300,MATCH(F$1,'UPD Questions_290926 '!$E$1:$N$1,0),0)&amp;"")</f>
        <v>Does the law mandate that the metropolitan/regional plan be approved by the state government?</v>
      </c>
      <c r="G11" s="83" t="str">
        <f aca="false">IF(ISBLANK($A11),"NO_CODE",VLOOKUP($A11,'UPD Questions_290926 '!$E$1:$N$300,MATCH(G$1,'UPD Questions_290926 '!$E$1:$N$1,0),0)&amp;"")</f>
        <v>Law or Policy</v>
      </c>
      <c r="H11" s="85" t="n">
        <f aca="false">IF(ISBLANK($A11),"NO_CODE",VLOOKUP($A11,'UPD Questions_290926 '!$E$1:$N$300,MATCH(H$1,'UPD Questions_290926 '!$E$1:$N$1,0),0))</f>
        <v>3.33</v>
      </c>
      <c r="I11" s="86" t="str">
        <f aca="true">IF($H11=0,"NA",IF($A11=INDIRECT("'"&amp;$A11&amp;"'!$B$1"),IF(VLOOKUP(I$1,INDIRECT("'"&amp;$A11&amp;"'!$A$12:$Z$41"),MATCH("Points (Auto-generate)",INDIRECT("'"&amp;$A11&amp;"'!$A$12:$Z$12"),0),0)="","?",VLOOKUP(I$1,INDIRECT("'"&amp;$A11&amp;"'!$A$12:$Z$41"),MATCH("Points (Auto-generate)",INDIRECT("'"&amp;$A11&amp;"'!$A$12:$Z$12"),0),0)),"ER"))</f>
        <v>?</v>
      </c>
      <c r="J11" s="86" t="str">
        <f aca="true">IF($H11=0,"NA",IF($A11=INDIRECT("'"&amp;$A11&amp;"'!$B$1"),IF(VLOOKUP(J$1,INDIRECT("'"&amp;$A11&amp;"'!$A$12:$Z$41"),MATCH("Points (Auto-generate)",INDIRECT("'"&amp;$A11&amp;"'!$A$12:$Z$12"),0),0)="","?",VLOOKUP(J$1,INDIRECT("'"&amp;$A11&amp;"'!$A$12:$Z$41"),MATCH("Points (Auto-generate)",INDIRECT("'"&amp;$A11&amp;"'!$A$12:$Z$12"),0),0)),"ER"))</f>
        <v>?</v>
      </c>
      <c r="K11" s="86" t="str">
        <f aca="true">IF($H11=0,"NA",IF($A11=INDIRECT("'"&amp;$A11&amp;"'!$B$1"),IF(VLOOKUP(K$1,INDIRECT("'"&amp;$A11&amp;"'!$A$12:$Z$41"),MATCH("Points (Auto-generate)",INDIRECT("'"&amp;$A11&amp;"'!$A$12:$Z$12"),0),0)="","?",VLOOKUP(K$1,INDIRECT("'"&amp;$A11&amp;"'!$A$12:$Z$41"),MATCH("Points (Auto-generate)",INDIRECT("'"&amp;$A11&amp;"'!$A$12:$Z$12"),0),0)),"ER"))</f>
        <v>?</v>
      </c>
      <c r="L11" s="86" t="str">
        <f aca="true">IF($H11=0,"NA",IF($A11=INDIRECT("'"&amp;$A11&amp;"'!$B$1"),IF(VLOOKUP(L$1,INDIRECT("'"&amp;$A11&amp;"'!$A$12:$Z$41"),MATCH("Points (Auto-generate)",INDIRECT("'"&amp;$A11&amp;"'!$A$12:$Z$12"),0),0)="","?",VLOOKUP(L$1,INDIRECT("'"&amp;$A11&amp;"'!$A$12:$Z$41"),MATCH("Points (Auto-generate)",INDIRECT("'"&amp;$A11&amp;"'!$A$12:$Z$12"),0),0)),"ER"))</f>
        <v>?</v>
      </c>
      <c r="M11" s="86" t="str">
        <f aca="true">IF($H11=0,"NA",IF($A11=INDIRECT("'"&amp;$A11&amp;"'!$B$1"),IF(VLOOKUP(M$1,INDIRECT("'"&amp;$A11&amp;"'!$A$12:$Z$41"),MATCH("Points (Auto-generate)",INDIRECT("'"&amp;$A11&amp;"'!$A$12:$Z$12"),0),0)="","?",VLOOKUP(M$1,INDIRECT("'"&amp;$A11&amp;"'!$A$12:$Z$41"),MATCH("Points (Auto-generate)",INDIRECT("'"&amp;$A11&amp;"'!$A$12:$Z$12"),0),0)),"ER"))</f>
        <v>?</v>
      </c>
      <c r="N11" s="86" t="str">
        <f aca="true">IF($H11=0,"NA",IF($A11=INDIRECT("'"&amp;$A11&amp;"'!$B$1"),IF(VLOOKUP(N$1,INDIRECT("'"&amp;$A11&amp;"'!$A$12:$Z$41"),MATCH("Points (Auto-generate)",INDIRECT("'"&amp;$A11&amp;"'!$A$12:$Z$12"),0),0)="","?",VLOOKUP(N$1,INDIRECT("'"&amp;$A11&amp;"'!$A$12:$Z$41"),MATCH("Points (Auto-generate)",INDIRECT("'"&amp;$A11&amp;"'!$A$12:$Z$12"),0),0)),"ER"))</f>
        <v>?</v>
      </c>
      <c r="O11" s="86" t="str">
        <f aca="true">IF($H11=0,"NA",IF($A11=INDIRECT("'"&amp;$A11&amp;"'!$B$1"),IF(VLOOKUP(O$1,INDIRECT("'"&amp;$A11&amp;"'!$A$12:$Z$41"),MATCH("Points (Auto-generate)",INDIRECT("'"&amp;$A11&amp;"'!$A$12:$Z$12"),0),0)="","?",VLOOKUP(O$1,INDIRECT("'"&amp;$A11&amp;"'!$A$12:$Z$41"),MATCH("Points (Auto-generate)",INDIRECT("'"&amp;$A11&amp;"'!$A$12:$Z$12"),0),0)),"ER"))</f>
        <v>?</v>
      </c>
      <c r="P11" s="86" t="str">
        <f aca="true">IF($H11=0,"NA",IF($A11=INDIRECT("'"&amp;$A11&amp;"'!$B$1"),IF(VLOOKUP(P$1,INDIRECT("'"&amp;$A11&amp;"'!$A$12:$Z$41"),MATCH("Points (Auto-generate)",INDIRECT("'"&amp;$A11&amp;"'!$A$12:$Z$12"),0),0)="","?",VLOOKUP(P$1,INDIRECT("'"&amp;$A11&amp;"'!$A$12:$Z$41"),MATCH("Points (Auto-generate)",INDIRECT("'"&amp;$A11&amp;"'!$A$12:$Z$12"),0),0)),"ER"))</f>
        <v>?</v>
      </c>
      <c r="Q11" s="86" t="str">
        <f aca="true">IF($H11=0,"NA",IF($A11=INDIRECT("'"&amp;$A11&amp;"'!$B$1"),IF(VLOOKUP(Q$1,INDIRECT("'"&amp;$A11&amp;"'!$A$12:$Z$41"),MATCH("Points (Auto-generate)",INDIRECT("'"&amp;$A11&amp;"'!$A$12:$Z$12"),0),0)="","?",VLOOKUP(Q$1,INDIRECT("'"&amp;$A11&amp;"'!$A$12:$Z$41"),MATCH("Points (Auto-generate)",INDIRECT("'"&amp;$A11&amp;"'!$A$12:$Z$12"),0),0)),"ER"))</f>
        <v>?</v>
      </c>
      <c r="R11" s="86" t="str">
        <f aca="true">IF($H11=0,"NA",IF($A11=INDIRECT("'"&amp;$A11&amp;"'!$B$1"),IF(VLOOKUP(R$1,INDIRECT("'"&amp;$A11&amp;"'!$A$12:$Z$41"),MATCH("Points (Auto-generate)",INDIRECT("'"&amp;$A11&amp;"'!$A$12:$Z$12"),0),0)="","?",VLOOKUP(R$1,INDIRECT("'"&amp;$A11&amp;"'!$A$12:$Z$41"),MATCH("Points (Auto-generate)",INDIRECT("'"&amp;$A11&amp;"'!$A$12:$Z$12"),0),0)),"ER"))</f>
        <v>?</v>
      </c>
      <c r="S11" s="86" t="str">
        <f aca="true">IF($H11=0,"NA",IF($A11=INDIRECT("'"&amp;$A11&amp;"'!$B$1"),IF(VLOOKUP(S$1,INDIRECT("'"&amp;$A11&amp;"'!$A$12:$Z$41"),MATCH("Points (Auto-generate)",INDIRECT("'"&amp;$A11&amp;"'!$A$12:$Z$12"),0),0)="","?",VLOOKUP(S$1,INDIRECT("'"&amp;$A11&amp;"'!$A$12:$Z$41"),MATCH("Points (Auto-generate)",INDIRECT("'"&amp;$A11&amp;"'!$A$12:$Z$12"),0),0)),"ER"))</f>
        <v>?</v>
      </c>
      <c r="T11" s="86" t="str">
        <f aca="true">IF($H11=0,"NA",IF($A11=INDIRECT("'"&amp;$A11&amp;"'!$B$1"),IF(VLOOKUP(T$1,INDIRECT("'"&amp;$A11&amp;"'!$A$12:$Z$41"),MATCH("Points (Auto-generate)",INDIRECT("'"&amp;$A11&amp;"'!$A$12:$Z$12"),0),0)="","?",VLOOKUP(T$1,INDIRECT("'"&amp;$A11&amp;"'!$A$12:$Z$41"),MATCH("Points (Auto-generate)",INDIRECT("'"&amp;$A11&amp;"'!$A$12:$Z$12"),0),0)),"ER"))</f>
        <v>?</v>
      </c>
      <c r="U11" s="86" t="str">
        <f aca="true">IF($H11=0,"NA",IF($A11=INDIRECT("'"&amp;$A11&amp;"'!$B$1"),IF(VLOOKUP(U$1,INDIRECT("'"&amp;$A11&amp;"'!$A$12:$Z$41"),MATCH("Points (Auto-generate)",INDIRECT("'"&amp;$A11&amp;"'!$A$12:$Z$12"),0),0)="","?",VLOOKUP(U$1,INDIRECT("'"&amp;$A11&amp;"'!$A$12:$Z$41"),MATCH("Points (Auto-generate)",INDIRECT("'"&amp;$A11&amp;"'!$A$12:$Z$12"),0),0)),"ER"))</f>
        <v>?</v>
      </c>
      <c r="V11" s="86" t="str">
        <f aca="true">IF($H11=0,"NA",IF($A11=INDIRECT("'"&amp;$A11&amp;"'!$B$1"),IF(VLOOKUP(V$1,INDIRECT("'"&amp;$A11&amp;"'!$A$12:$Z$41"),MATCH("Points (Auto-generate)",INDIRECT("'"&amp;$A11&amp;"'!$A$12:$Z$12"),0),0)="","?",VLOOKUP(V$1,INDIRECT("'"&amp;$A11&amp;"'!$A$12:$Z$41"),MATCH("Points (Auto-generate)",INDIRECT("'"&amp;$A11&amp;"'!$A$12:$Z$12"),0),0)),"ER"))</f>
        <v>?</v>
      </c>
      <c r="W11" s="86" t="str">
        <f aca="true">IF($H11=0,"NA",IF($A11=INDIRECT("'"&amp;$A11&amp;"'!$B$1"),IF(VLOOKUP(W$1,INDIRECT("'"&amp;$A11&amp;"'!$A$12:$Z$41"),MATCH("Points (Auto-generate)",INDIRECT("'"&amp;$A11&amp;"'!$A$12:$Z$12"),0),0)="","?",VLOOKUP(W$1,INDIRECT("'"&amp;$A11&amp;"'!$A$12:$Z$41"),MATCH("Points (Auto-generate)",INDIRECT("'"&amp;$A11&amp;"'!$A$12:$Z$12"),0),0)),"ER"))</f>
        <v>?</v>
      </c>
      <c r="X11" s="86" t="str">
        <f aca="true">IF($H11=0,"NA",IF($A11=INDIRECT("'"&amp;$A11&amp;"'!$B$1"),IF(VLOOKUP(X$1,INDIRECT("'"&amp;$A11&amp;"'!$A$12:$Z$41"),MATCH("Points (Auto-generate)",INDIRECT("'"&amp;$A11&amp;"'!$A$12:$Z$12"),0),0)="","?",VLOOKUP(X$1,INDIRECT("'"&amp;$A11&amp;"'!$A$12:$Z$41"),MATCH("Points (Auto-generate)",INDIRECT("'"&amp;$A11&amp;"'!$A$12:$Z$12"),0),0)),"ER"))</f>
        <v>?</v>
      </c>
      <c r="Y11" s="86" t="str">
        <f aca="true">IF($H11=0,"NA",IF($A11=INDIRECT("'"&amp;$A11&amp;"'!$B$1"),IF(VLOOKUP(Y$1,INDIRECT("'"&amp;$A11&amp;"'!$A$12:$Z$41"),MATCH("Points (Auto-generate)",INDIRECT("'"&amp;$A11&amp;"'!$A$12:$Z$12"),0),0)="","?",VLOOKUP(Y$1,INDIRECT("'"&amp;$A11&amp;"'!$A$12:$Z$41"),MATCH("Points (Auto-generate)",INDIRECT("'"&amp;$A11&amp;"'!$A$12:$Z$12"),0),0)),"ER"))</f>
        <v>?</v>
      </c>
      <c r="Z11" s="86" t="str">
        <f aca="true">IF($H11=0,"NA",IF($A11=INDIRECT("'"&amp;$A11&amp;"'!$B$1"),IF(VLOOKUP(Z$1,INDIRECT("'"&amp;$A11&amp;"'!$A$12:$Z$41"),MATCH("Points (Auto-generate)",INDIRECT("'"&amp;$A11&amp;"'!$A$12:$Z$12"),0),0)="","?",VLOOKUP(Z$1,INDIRECT("'"&amp;$A11&amp;"'!$A$12:$Z$41"),MATCH("Points (Auto-generate)",INDIRECT("'"&amp;$A11&amp;"'!$A$12:$Z$12"),0),0)),"ER"))</f>
        <v>?</v>
      </c>
      <c r="AA11" s="86" t="str">
        <f aca="true">IF($H11=0,"NA",IF($A11=INDIRECT("'"&amp;$A11&amp;"'!$B$1"),IF(VLOOKUP(AA$1,INDIRECT("'"&amp;$A11&amp;"'!$A$12:$Z$41"),MATCH("Points (Auto-generate)",INDIRECT("'"&amp;$A11&amp;"'!$A$12:$Z$12"),0),0)="","?",VLOOKUP(AA$1,INDIRECT("'"&amp;$A11&amp;"'!$A$12:$Z$41"),MATCH("Points (Auto-generate)",INDIRECT("'"&amp;$A11&amp;"'!$A$12:$Z$12"),0),0)),"ER"))</f>
        <v>?</v>
      </c>
      <c r="AB11" s="86" t="str">
        <f aca="true">IF($H11=0,"NA",IF($A11=INDIRECT("'"&amp;$A11&amp;"'!$B$1"),IF(VLOOKUP(AB$1,INDIRECT("'"&amp;$A11&amp;"'!$A$12:$Z$41"),MATCH("Points (Auto-generate)",INDIRECT("'"&amp;$A11&amp;"'!$A$12:$Z$12"),0),0)="","?",VLOOKUP(AB$1,INDIRECT("'"&amp;$A11&amp;"'!$A$12:$Z$41"),MATCH("Points (Auto-generate)",INDIRECT("'"&amp;$A11&amp;"'!$A$12:$Z$12"),0),0)),"ER"))</f>
        <v>?</v>
      </c>
      <c r="AC11" s="86" t="str">
        <f aca="true">IF($H11=0,"NA",IF($A11=INDIRECT("'"&amp;$A11&amp;"'!$B$1"),IF(VLOOKUP(AC$1,INDIRECT("'"&amp;$A11&amp;"'!$A$12:$Z$41"),MATCH("Points (Auto-generate)",INDIRECT("'"&amp;$A11&amp;"'!$A$12:$Z$12"),0),0)="","?",VLOOKUP(AC$1,INDIRECT("'"&amp;$A11&amp;"'!$A$12:$Z$41"),MATCH("Points (Auto-generate)",INDIRECT("'"&amp;$A11&amp;"'!$A$12:$Z$12"),0),0)),"ER"))</f>
        <v>?</v>
      </c>
      <c r="AD11" s="86" t="str">
        <f aca="true">IF($H11=0,"NA",IF($A11=INDIRECT("'"&amp;$A11&amp;"'!$B$1"),IF(VLOOKUP(AD$1,INDIRECT("'"&amp;$A11&amp;"'!$A$12:$Z$41"),MATCH("Points (Auto-generate)",INDIRECT("'"&amp;$A11&amp;"'!$A$12:$Z$12"),0),0)="","?",VLOOKUP(AD$1,INDIRECT("'"&amp;$A11&amp;"'!$A$12:$Z$41"),MATCH("Points (Auto-generate)",INDIRECT("'"&amp;$A11&amp;"'!$A$12:$Z$12"),0),0)),"ER"))</f>
        <v>?</v>
      </c>
      <c r="AE11" s="86" t="str">
        <f aca="true">IF($H11=0,"NA",IF($A11=INDIRECT("'"&amp;$A11&amp;"'!$B$1"),IF(VLOOKUP(AE$1,INDIRECT("'"&amp;$A11&amp;"'!$A$12:$Z$41"),MATCH("Points (Auto-generate)",INDIRECT("'"&amp;$A11&amp;"'!$A$12:$Z$12"),0),0)="","?",VLOOKUP(AE$1,INDIRECT("'"&amp;$A11&amp;"'!$A$12:$Z$41"),MATCH("Points (Auto-generate)",INDIRECT("'"&amp;$A11&amp;"'!$A$12:$Z$12"),0),0)),"ER"))</f>
        <v>?</v>
      </c>
      <c r="AF11" s="86" t="str">
        <f aca="true">IF($H11=0,"NA",IF($A11=INDIRECT("'"&amp;$A11&amp;"'!$B$1"),IF(VLOOKUP(AF$1,INDIRECT("'"&amp;$A11&amp;"'!$A$12:$Z$41"),MATCH("Points (Auto-generate)",INDIRECT("'"&amp;$A11&amp;"'!$A$12:$Z$12"),0),0)="","?",VLOOKUP(AF$1,INDIRECT("'"&amp;$A11&amp;"'!$A$12:$Z$41"),MATCH("Points (Auto-generate)",INDIRECT("'"&amp;$A11&amp;"'!$A$12:$Z$12"),0),0)),"ER"))</f>
        <v>?</v>
      </c>
      <c r="AG11" s="86" t="str">
        <f aca="true">IF($H11=0,"NA",IF($A11=INDIRECT("'"&amp;$A11&amp;"'!$B$1"),IF(VLOOKUP(AG$1,INDIRECT("'"&amp;$A11&amp;"'!$A$12:$Z$41"),MATCH("Points (Auto-generate)",INDIRECT("'"&amp;$A11&amp;"'!$A$12:$Z$12"),0),0)="","?",VLOOKUP(AG$1,INDIRECT("'"&amp;$A11&amp;"'!$A$12:$Z$41"),MATCH("Points (Auto-generate)",INDIRECT("'"&amp;$A11&amp;"'!$A$12:$Z$12"),0),0)),"ER"))</f>
        <v>?</v>
      </c>
      <c r="AH11" s="86" t="str">
        <f aca="true">IF($H11=0,"NA",IF($A11=INDIRECT("'"&amp;$A11&amp;"'!$B$1"),IF(VLOOKUP(AH$1,INDIRECT("'"&amp;$A11&amp;"'!$A$12:$Z$41"),MATCH("Points (Auto-generate)",INDIRECT("'"&amp;$A11&amp;"'!$A$12:$Z$12"),0),0)="","?",VLOOKUP(AH$1,INDIRECT("'"&amp;$A11&amp;"'!$A$12:$Z$41"),MATCH("Points (Auto-generate)",INDIRECT("'"&amp;$A11&amp;"'!$A$12:$Z$12"),0),0)),"ER"))</f>
        <v>?</v>
      </c>
      <c r="AI11" s="86" t="str">
        <f aca="true">IF($H11=0,"NA",IF($A11=INDIRECT("'"&amp;$A11&amp;"'!$B$1"),IF(VLOOKUP(AI$1,INDIRECT("'"&amp;$A11&amp;"'!$A$12:$Z$41"),MATCH("Points (Auto-generate)",INDIRECT("'"&amp;$A11&amp;"'!$A$12:$Z$12"),0),0)="","?",VLOOKUP(AI$1,INDIRECT("'"&amp;$A11&amp;"'!$A$12:$Z$41"),MATCH("Points (Auto-generate)",INDIRECT("'"&amp;$A11&amp;"'!$A$12:$Z$12"),0),0)),"ER"))</f>
        <v>?</v>
      </c>
      <c r="AJ11" s="86" t="str">
        <f aca="true">IF($H11=0,"NA",IF($A11=INDIRECT("'"&amp;$A11&amp;"'!$B$1"),IF(VLOOKUP(AJ$1,INDIRECT("'"&amp;$A11&amp;"'!$A$12:$Z$41"),MATCH("Points (Auto-generate)",INDIRECT("'"&amp;$A11&amp;"'!$A$12:$Z$12"),0),0)="","?",VLOOKUP(AJ$1,INDIRECT("'"&amp;$A11&amp;"'!$A$12:$Z$41"),MATCH("Points (Auto-generate)",INDIRECT("'"&amp;$A11&amp;"'!$A$12:$Z$12"),0),0)),"ER"))</f>
        <v>?</v>
      </c>
      <c r="AK11" s="86" t="str">
        <f aca="true">IF($H11=0,"NA",IF($A11=INDIRECT("'"&amp;$A11&amp;"'!$B$1"),IF(VLOOKUP(AK$1,INDIRECT("'"&amp;$A11&amp;"'!$A$12:$Z$41"),MATCH("Points (Auto-generate)",INDIRECT("'"&amp;$A11&amp;"'!$A$12:$Z$12"),0),0)="","?",VLOOKUP(AK$1,INDIRECT("'"&amp;$A11&amp;"'!$A$12:$Z$41"),MATCH("Points (Auto-generate)",INDIRECT("'"&amp;$A11&amp;"'!$A$12:$Z$12"),0),0)),"ER"))</f>
        <v>?</v>
      </c>
    </row>
    <row r="12" customFormat="false" ht="25.5" hidden="false" customHeight="true" outlineLevel="0" collapsed="false">
      <c r="A12" s="82" t="s">
        <v>64</v>
      </c>
      <c r="B12" s="83" t="str">
        <f aca="false">IF(ISBLANK($A12),"NO_CODE",VLOOKUP($A12,'UPD Questions_290926 '!$E$1:$N$300,MATCH(B$1,'UPD Questions_290926 '!$E$1:$N$1,0),0)&amp;"")</f>
        <v>Planning </v>
      </c>
      <c r="C12" s="84" t="str">
        <f aca="false">IF(ISBLANK($A12),"NO_CODE",VLOOKUP($A12,'UPD Questions_290926 '!$E$1:$N$300,MATCH(C$1,'UPD Questions_290926 '!$E$1:$N$1,0),0)&amp;"")</f>
        <v>Legal and institutional planning architecture</v>
      </c>
      <c r="D12" s="83" t="str">
        <f aca="false">IF(ISBLANK($A12),"NO_CODE",VLOOKUP($A12,'UPD Questions_290926 '!$E$1:$N$300,MATCH(D$1,'UPD Questions_290926 '!$E$1:$N$1,0),0)&amp;"")</f>
        <v>Spatial planning hierarchy</v>
      </c>
      <c r="E12" s="83" t="str">
        <f aca="false">IF(ISBLANK($A12),"NO_CODE",VLOOKUP($A12,'UPD Questions_290926 '!$E$1:$N$300,MATCH(E$1,'UPD Questions_290926 '!$E$1:$N$1,0),0)&amp;"")</f>
        <v>SQ</v>
      </c>
      <c r="F12" s="83" t="str">
        <f aca="false">IF(ISBLANK($A12),"NO_CODE",VLOOKUP($A12,'UPD Questions_290926 '!$E$1:$N$300,MATCH(F$1,'UPD Questions_290926 '!$E$1:$N$1,0),0)&amp;"")</f>
        <v>Does the law mandate that the municipal/city plan be approved by the MPC (Metropolitan Planning Committee)  for metropolitan cities or by DPC (District Planning Committee) for non-metropolitan cities?</v>
      </c>
      <c r="G12" s="83" t="str">
        <f aca="false">IF(ISBLANK($A12),"NO_CODE",VLOOKUP($A12,'UPD Questions_290926 '!$E$1:$N$300,MATCH(G$1,'UPD Questions_290926 '!$E$1:$N$1,0),0)&amp;"")</f>
        <v>Law or Policy</v>
      </c>
      <c r="H12" s="85" t="n">
        <f aca="false">IF(ISBLANK($A12),"NO_CODE",VLOOKUP($A12,'UPD Questions_290926 '!$E$1:$N$300,MATCH(H$1,'UPD Questions_290926 '!$E$1:$N$1,0),0))</f>
        <v>3.33</v>
      </c>
      <c r="I12" s="86" t="str">
        <f aca="true">IF($H12=0,"NA",IF($A12=INDIRECT("'"&amp;$A12&amp;"'!$B$1"),IF(VLOOKUP(I$1,INDIRECT("'"&amp;$A12&amp;"'!$A$12:$Z$41"),MATCH("Points (Auto-generate)",INDIRECT("'"&amp;$A12&amp;"'!$A$12:$Z$12"),0),0)="","?",VLOOKUP(I$1,INDIRECT("'"&amp;$A12&amp;"'!$A$12:$Z$41"),MATCH("Points (Auto-generate)",INDIRECT("'"&amp;$A12&amp;"'!$A$12:$Z$12"),0),0)),"ER"))</f>
        <v>?</v>
      </c>
      <c r="J12" s="86" t="n">
        <f aca="true">IF($H12=0,"NA",IF($A12=INDIRECT("'"&amp;$A12&amp;"'!$B$1"),IF(VLOOKUP(J$1,INDIRECT("'"&amp;$A12&amp;"'!$A$12:$Z$41"),MATCH("Points (Auto-generate)",INDIRECT("'"&amp;$A12&amp;"'!$A$12:$Z$12"),0),0)="","?",VLOOKUP(J$1,INDIRECT("'"&amp;$A12&amp;"'!$A$12:$Z$41"),MATCH("Points (Auto-generate)",INDIRECT("'"&amp;$A12&amp;"'!$A$12:$Z$12"),0),0)),"ER"))</f>
        <v>0</v>
      </c>
      <c r="K12" s="86" t="str">
        <f aca="true">IF($H12=0,"NA",IF($A12=INDIRECT("'"&amp;$A12&amp;"'!$B$1"),IF(VLOOKUP(K$1,INDIRECT("'"&amp;$A12&amp;"'!$A$12:$Z$41"),MATCH("Points (Auto-generate)",INDIRECT("'"&amp;$A12&amp;"'!$A$12:$Z$12"),0),0)="","?",VLOOKUP(K$1,INDIRECT("'"&amp;$A12&amp;"'!$A$12:$Z$41"),MATCH("Points (Auto-generate)",INDIRECT("'"&amp;$A12&amp;"'!$A$12:$Z$12"),0),0)),"ER"))</f>
        <v>?</v>
      </c>
      <c r="L12" s="86" t="str">
        <f aca="true">IF($H12=0,"NA",IF($A12=INDIRECT("'"&amp;$A12&amp;"'!$B$1"),IF(VLOOKUP(L$1,INDIRECT("'"&amp;$A12&amp;"'!$A$12:$Z$41"),MATCH("Points (Auto-generate)",INDIRECT("'"&amp;$A12&amp;"'!$A$12:$Z$12"),0),0)="","?",VLOOKUP(L$1,INDIRECT("'"&amp;$A12&amp;"'!$A$12:$Z$41"),MATCH("Points (Auto-generate)",INDIRECT("'"&amp;$A12&amp;"'!$A$12:$Z$12"),0),0)),"ER"))</f>
        <v>?</v>
      </c>
      <c r="M12" s="86" t="str">
        <f aca="true">IF($H12=0,"NA",IF($A12=INDIRECT("'"&amp;$A12&amp;"'!$B$1"),IF(VLOOKUP(M$1,INDIRECT("'"&amp;$A12&amp;"'!$A$12:$Z$41"),MATCH("Points (Auto-generate)",INDIRECT("'"&amp;$A12&amp;"'!$A$12:$Z$12"),0),0)="","?",VLOOKUP(M$1,INDIRECT("'"&amp;$A12&amp;"'!$A$12:$Z$41"),MATCH("Points (Auto-generate)",INDIRECT("'"&amp;$A12&amp;"'!$A$12:$Z$12"),0),0)),"ER"))</f>
        <v>?</v>
      </c>
      <c r="N12" s="86" t="str">
        <f aca="true">IF($H12=0,"NA",IF($A12=INDIRECT("'"&amp;$A12&amp;"'!$B$1"),IF(VLOOKUP(N$1,INDIRECT("'"&amp;$A12&amp;"'!$A$12:$Z$41"),MATCH("Points (Auto-generate)",INDIRECT("'"&amp;$A12&amp;"'!$A$12:$Z$12"),0),0)="","?",VLOOKUP(N$1,INDIRECT("'"&amp;$A12&amp;"'!$A$12:$Z$41"),MATCH("Points (Auto-generate)",INDIRECT("'"&amp;$A12&amp;"'!$A$12:$Z$12"),0),0)),"ER"))</f>
        <v>?</v>
      </c>
      <c r="O12" s="86" t="str">
        <f aca="true">IF($H12=0,"NA",IF($A12=INDIRECT("'"&amp;$A12&amp;"'!$B$1"),IF(VLOOKUP(O$1,INDIRECT("'"&amp;$A12&amp;"'!$A$12:$Z$41"),MATCH("Points (Auto-generate)",INDIRECT("'"&amp;$A12&amp;"'!$A$12:$Z$12"),0),0)="","?",VLOOKUP(O$1,INDIRECT("'"&amp;$A12&amp;"'!$A$12:$Z$41"),MATCH("Points (Auto-generate)",INDIRECT("'"&amp;$A12&amp;"'!$A$12:$Z$12"),0),0)),"ER"))</f>
        <v>?</v>
      </c>
      <c r="P12" s="86" t="str">
        <f aca="true">IF($H12=0,"NA",IF($A12=INDIRECT("'"&amp;$A12&amp;"'!$B$1"),IF(VLOOKUP(P$1,INDIRECT("'"&amp;$A12&amp;"'!$A$12:$Z$41"),MATCH("Points (Auto-generate)",INDIRECT("'"&amp;$A12&amp;"'!$A$12:$Z$12"),0),0)="","?",VLOOKUP(P$1,INDIRECT("'"&amp;$A12&amp;"'!$A$12:$Z$41"),MATCH("Points (Auto-generate)",INDIRECT("'"&amp;$A12&amp;"'!$A$12:$Z$12"),0),0)),"ER"))</f>
        <v>?</v>
      </c>
      <c r="Q12" s="86" t="str">
        <f aca="true">IF($H12=0,"NA",IF($A12=INDIRECT("'"&amp;$A12&amp;"'!$B$1"),IF(VLOOKUP(Q$1,INDIRECT("'"&amp;$A12&amp;"'!$A$12:$Z$41"),MATCH("Points (Auto-generate)",INDIRECT("'"&amp;$A12&amp;"'!$A$12:$Z$12"),0),0)="","?",VLOOKUP(Q$1,INDIRECT("'"&amp;$A12&amp;"'!$A$12:$Z$41"),MATCH("Points (Auto-generate)",INDIRECT("'"&amp;$A12&amp;"'!$A$12:$Z$12"),0),0)),"ER"))</f>
        <v>?</v>
      </c>
      <c r="R12" s="86" t="str">
        <f aca="true">IF($H12=0,"NA",IF($A12=INDIRECT("'"&amp;$A12&amp;"'!$B$1"),IF(VLOOKUP(R$1,INDIRECT("'"&amp;$A12&amp;"'!$A$12:$Z$41"),MATCH("Points (Auto-generate)",INDIRECT("'"&amp;$A12&amp;"'!$A$12:$Z$12"),0),0)="","?",VLOOKUP(R$1,INDIRECT("'"&amp;$A12&amp;"'!$A$12:$Z$41"),MATCH("Points (Auto-generate)",INDIRECT("'"&amp;$A12&amp;"'!$A$12:$Z$12"),0),0)),"ER"))</f>
        <v>?</v>
      </c>
      <c r="S12" s="86" t="str">
        <f aca="true">IF($H12=0,"NA",IF($A12=INDIRECT("'"&amp;$A12&amp;"'!$B$1"),IF(VLOOKUP(S$1,INDIRECT("'"&amp;$A12&amp;"'!$A$12:$Z$41"),MATCH("Points (Auto-generate)",INDIRECT("'"&amp;$A12&amp;"'!$A$12:$Z$12"),0),0)="","?",VLOOKUP(S$1,INDIRECT("'"&amp;$A12&amp;"'!$A$12:$Z$41"),MATCH("Points (Auto-generate)",INDIRECT("'"&amp;$A12&amp;"'!$A$12:$Z$12"),0),0)),"ER"))</f>
        <v>?</v>
      </c>
      <c r="T12" s="86" t="str">
        <f aca="true">IF($H12=0,"NA",IF($A12=INDIRECT("'"&amp;$A12&amp;"'!$B$1"),IF(VLOOKUP(T$1,INDIRECT("'"&amp;$A12&amp;"'!$A$12:$Z$41"),MATCH("Points (Auto-generate)",INDIRECT("'"&amp;$A12&amp;"'!$A$12:$Z$12"),0),0)="","?",VLOOKUP(T$1,INDIRECT("'"&amp;$A12&amp;"'!$A$12:$Z$41"),MATCH("Points (Auto-generate)",INDIRECT("'"&amp;$A12&amp;"'!$A$12:$Z$12"),0),0)),"ER"))</f>
        <v>?</v>
      </c>
      <c r="U12" s="86" t="str">
        <f aca="true">IF($H12=0,"NA",IF($A12=INDIRECT("'"&amp;$A12&amp;"'!$B$1"),IF(VLOOKUP(U$1,INDIRECT("'"&amp;$A12&amp;"'!$A$12:$Z$41"),MATCH("Points (Auto-generate)",INDIRECT("'"&amp;$A12&amp;"'!$A$12:$Z$12"),0),0)="","?",VLOOKUP(U$1,INDIRECT("'"&amp;$A12&amp;"'!$A$12:$Z$41"),MATCH("Points (Auto-generate)",INDIRECT("'"&amp;$A12&amp;"'!$A$12:$Z$12"),0),0)),"ER"))</f>
        <v>?</v>
      </c>
      <c r="V12" s="86" t="str">
        <f aca="true">IF($H12=0,"NA",IF($A12=INDIRECT("'"&amp;$A12&amp;"'!$B$1"),IF(VLOOKUP(V$1,INDIRECT("'"&amp;$A12&amp;"'!$A$12:$Z$41"),MATCH("Points (Auto-generate)",INDIRECT("'"&amp;$A12&amp;"'!$A$12:$Z$12"),0),0)="","?",VLOOKUP(V$1,INDIRECT("'"&amp;$A12&amp;"'!$A$12:$Z$41"),MATCH("Points (Auto-generate)",INDIRECT("'"&amp;$A12&amp;"'!$A$12:$Z$12"),0),0)),"ER"))</f>
        <v>?</v>
      </c>
      <c r="W12" s="86" t="str">
        <f aca="true">IF($H12=0,"NA",IF($A12=INDIRECT("'"&amp;$A12&amp;"'!$B$1"),IF(VLOOKUP(W$1,INDIRECT("'"&amp;$A12&amp;"'!$A$12:$Z$41"),MATCH("Points (Auto-generate)",INDIRECT("'"&amp;$A12&amp;"'!$A$12:$Z$12"),0),0)="","?",VLOOKUP(W$1,INDIRECT("'"&amp;$A12&amp;"'!$A$12:$Z$41"),MATCH("Points (Auto-generate)",INDIRECT("'"&amp;$A12&amp;"'!$A$12:$Z$12"),0),0)),"ER"))</f>
        <v>?</v>
      </c>
      <c r="X12" s="86" t="str">
        <f aca="true">IF($H12=0,"NA",IF($A12=INDIRECT("'"&amp;$A12&amp;"'!$B$1"),IF(VLOOKUP(X$1,INDIRECT("'"&amp;$A12&amp;"'!$A$12:$Z$41"),MATCH("Points (Auto-generate)",INDIRECT("'"&amp;$A12&amp;"'!$A$12:$Z$12"),0),0)="","?",VLOOKUP(X$1,INDIRECT("'"&amp;$A12&amp;"'!$A$12:$Z$41"),MATCH("Points (Auto-generate)",INDIRECT("'"&amp;$A12&amp;"'!$A$12:$Z$12"),0),0)),"ER"))</f>
        <v>?</v>
      </c>
      <c r="Y12" s="86" t="str">
        <f aca="true">IF($H12=0,"NA",IF($A12=INDIRECT("'"&amp;$A12&amp;"'!$B$1"),IF(VLOOKUP(Y$1,INDIRECT("'"&amp;$A12&amp;"'!$A$12:$Z$41"),MATCH("Points (Auto-generate)",INDIRECT("'"&amp;$A12&amp;"'!$A$12:$Z$12"),0),0)="","?",VLOOKUP(Y$1,INDIRECT("'"&amp;$A12&amp;"'!$A$12:$Z$41"),MATCH("Points (Auto-generate)",INDIRECT("'"&amp;$A12&amp;"'!$A$12:$Z$12"),0),0)),"ER"))</f>
        <v>?</v>
      </c>
      <c r="Z12" s="86" t="str">
        <f aca="true">IF($H12=0,"NA",IF($A12=INDIRECT("'"&amp;$A12&amp;"'!$B$1"),IF(VLOOKUP(Z$1,INDIRECT("'"&amp;$A12&amp;"'!$A$12:$Z$41"),MATCH("Points (Auto-generate)",INDIRECT("'"&amp;$A12&amp;"'!$A$12:$Z$12"),0),0)="","?",VLOOKUP(Z$1,INDIRECT("'"&amp;$A12&amp;"'!$A$12:$Z$41"),MATCH("Points (Auto-generate)",INDIRECT("'"&amp;$A12&amp;"'!$A$12:$Z$12"),0),0)),"ER"))</f>
        <v>?</v>
      </c>
      <c r="AA12" s="86" t="str">
        <f aca="true">IF($H12=0,"NA",IF($A12=INDIRECT("'"&amp;$A12&amp;"'!$B$1"),IF(VLOOKUP(AA$1,INDIRECT("'"&amp;$A12&amp;"'!$A$12:$Z$41"),MATCH("Points (Auto-generate)",INDIRECT("'"&amp;$A12&amp;"'!$A$12:$Z$12"),0),0)="","?",VLOOKUP(AA$1,INDIRECT("'"&amp;$A12&amp;"'!$A$12:$Z$41"),MATCH("Points (Auto-generate)",INDIRECT("'"&amp;$A12&amp;"'!$A$12:$Z$12"),0),0)),"ER"))</f>
        <v>?</v>
      </c>
      <c r="AB12" s="86" t="str">
        <f aca="true">IF($H12=0,"NA",IF($A12=INDIRECT("'"&amp;$A12&amp;"'!$B$1"),IF(VLOOKUP(AB$1,INDIRECT("'"&amp;$A12&amp;"'!$A$12:$Z$41"),MATCH("Points (Auto-generate)",INDIRECT("'"&amp;$A12&amp;"'!$A$12:$Z$12"),0),0)="","?",VLOOKUP(AB$1,INDIRECT("'"&amp;$A12&amp;"'!$A$12:$Z$41"),MATCH("Points (Auto-generate)",INDIRECT("'"&amp;$A12&amp;"'!$A$12:$Z$12"),0),0)),"ER"))</f>
        <v>?</v>
      </c>
      <c r="AC12" s="86" t="str">
        <f aca="true">IF($H12=0,"NA",IF($A12=INDIRECT("'"&amp;$A12&amp;"'!$B$1"),IF(VLOOKUP(AC$1,INDIRECT("'"&amp;$A12&amp;"'!$A$12:$Z$41"),MATCH("Points (Auto-generate)",INDIRECT("'"&amp;$A12&amp;"'!$A$12:$Z$12"),0),0)="","?",VLOOKUP(AC$1,INDIRECT("'"&amp;$A12&amp;"'!$A$12:$Z$41"),MATCH("Points (Auto-generate)",INDIRECT("'"&amp;$A12&amp;"'!$A$12:$Z$12"),0),0)),"ER"))</f>
        <v>?</v>
      </c>
      <c r="AD12" s="86" t="str">
        <f aca="true">IF($H12=0,"NA",IF($A12=INDIRECT("'"&amp;$A12&amp;"'!$B$1"),IF(VLOOKUP(AD$1,INDIRECT("'"&amp;$A12&amp;"'!$A$12:$Z$41"),MATCH("Points (Auto-generate)",INDIRECT("'"&amp;$A12&amp;"'!$A$12:$Z$12"),0),0)="","?",VLOOKUP(AD$1,INDIRECT("'"&amp;$A12&amp;"'!$A$12:$Z$41"),MATCH("Points (Auto-generate)",INDIRECT("'"&amp;$A12&amp;"'!$A$12:$Z$12"),0),0)),"ER"))</f>
        <v>?</v>
      </c>
      <c r="AE12" s="86" t="str">
        <f aca="true">IF($H12=0,"NA",IF($A12=INDIRECT("'"&amp;$A12&amp;"'!$B$1"),IF(VLOOKUP(AE$1,INDIRECT("'"&amp;$A12&amp;"'!$A$12:$Z$41"),MATCH("Points (Auto-generate)",INDIRECT("'"&amp;$A12&amp;"'!$A$12:$Z$12"),0),0)="","?",VLOOKUP(AE$1,INDIRECT("'"&amp;$A12&amp;"'!$A$12:$Z$41"),MATCH("Points (Auto-generate)",INDIRECT("'"&amp;$A12&amp;"'!$A$12:$Z$12"),0),0)),"ER"))</f>
        <v>?</v>
      </c>
      <c r="AF12" s="86" t="str">
        <f aca="true">IF($H12=0,"NA",IF($A12=INDIRECT("'"&amp;$A12&amp;"'!$B$1"),IF(VLOOKUP(AF$1,INDIRECT("'"&amp;$A12&amp;"'!$A$12:$Z$41"),MATCH("Points (Auto-generate)",INDIRECT("'"&amp;$A12&amp;"'!$A$12:$Z$12"),0),0)="","?",VLOOKUP(AF$1,INDIRECT("'"&amp;$A12&amp;"'!$A$12:$Z$41"),MATCH("Points (Auto-generate)",INDIRECT("'"&amp;$A12&amp;"'!$A$12:$Z$12"),0),0)),"ER"))</f>
        <v>?</v>
      </c>
      <c r="AG12" s="86" t="str">
        <f aca="true">IF($H12=0,"NA",IF($A12=INDIRECT("'"&amp;$A12&amp;"'!$B$1"),IF(VLOOKUP(AG$1,INDIRECT("'"&amp;$A12&amp;"'!$A$12:$Z$41"),MATCH("Points (Auto-generate)",INDIRECT("'"&amp;$A12&amp;"'!$A$12:$Z$12"),0),0)="","?",VLOOKUP(AG$1,INDIRECT("'"&amp;$A12&amp;"'!$A$12:$Z$41"),MATCH("Points (Auto-generate)",INDIRECT("'"&amp;$A12&amp;"'!$A$12:$Z$12"),0),0)),"ER"))</f>
        <v>?</v>
      </c>
      <c r="AH12" s="86" t="str">
        <f aca="true">IF($H12=0,"NA",IF($A12=INDIRECT("'"&amp;$A12&amp;"'!$B$1"),IF(VLOOKUP(AH$1,INDIRECT("'"&amp;$A12&amp;"'!$A$12:$Z$41"),MATCH("Points (Auto-generate)",INDIRECT("'"&amp;$A12&amp;"'!$A$12:$Z$12"),0),0)="","?",VLOOKUP(AH$1,INDIRECT("'"&amp;$A12&amp;"'!$A$12:$Z$41"),MATCH("Points (Auto-generate)",INDIRECT("'"&amp;$A12&amp;"'!$A$12:$Z$12"),0),0)),"ER"))</f>
        <v>?</v>
      </c>
      <c r="AI12" s="86" t="str">
        <f aca="true">IF($H12=0,"NA",IF($A12=INDIRECT("'"&amp;$A12&amp;"'!$B$1"),IF(VLOOKUP(AI$1,INDIRECT("'"&amp;$A12&amp;"'!$A$12:$Z$41"),MATCH("Points (Auto-generate)",INDIRECT("'"&amp;$A12&amp;"'!$A$12:$Z$12"),0),0)="","?",VLOOKUP(AI$1,INDIRECT("'"&amp;$A12&amp;"'!$A$12:$Z$41"),MATCH("Points (Auto-generate)",INDIRECT("'"&amp;$A12&amp;"'!$A$12:$Z$12"),0),0)),"ER"))</f>
        <v>?</v>
      </c>
      <c r="AJ12" s="86" t="str">
        <f aca="true">IF($H12=0,"NA",IF($A12=INDIRECT("'"&amp;$A12&amp;"'!$B$1"),IF(VLOOKUP(AJ$1,INDIRECT("'"&amp;$A12&amp;"'!$A$12:$Z$41"),MATCH("Points (Auto-generate)",INDIRECT("'"&amp;$A12&amp;"'!$A$12:$Z$12"),0),0)="","?",VLOOKUP(AJ$1,INDIRECT("'"&amp;$A12&amp;"'!$A$12:$Z$41"),MATCH("Points (Auto-generate)",INDIRECT("'"&amp;$A12&amp;"'!$A$12:$Z$12"),0),0)),"ER"))</f>
        <v>?</v>
      </c>
      <c r="AK12" s="86" t="str">
        <f aca="true">IF($H12=0,"NA",IF($A12=INDIRECT("'"&amp;$A12&amp;"'!$B$1"),IF(VLOOKUP(AK$1,INDIRECT("'"&amp;$A12&amp;"'!$A$12:$Z$41"),MATCH("Points (Auto-generate)",INDIRECT("'"&amp;$A12&amp;"'!$A$12:$Z$12"),0),0)="","?",VLOOKUP(AK$1,INDIRECT("'"&amp;$A12&amp;"'!$A$12:$Z$41"),MATCH("Points (Auto-generate)",INDIRECT("'"&amp;$A12&amp;"'!$A$12:$Z$12"),0),0)),"ER"))</f>
        <v>?</v>
      </c>
    </row>
    <row r="13" customFormat="false" ht="25.5" hidden="false" customHeight="true" outlineLevel="0" collapsed="false">
      <c r="A13" s="82" t="s">
        <v>69</v>
      </c>
      <c r="B13" s="83" t="str">
        <f aca="false">IF(ISBLANK($A13),"NO_CODE",VLOOKUP($A13,'UPD Questions_290926 '!$E$1:$N$300,MATCH(B$1,'UPD Questions_290926 '!$E$1:$N$1,0),0)&amp;"")</f>
        <v>Planning </v>
      </c>
      <c r="C13" s="84" t="str">
        <f aca="false">IF(ISBLANK($A13),"NO_CODE",VLOOKUP($A13,'UPD Questions_290926 '!$E$1:$N$300,MATCH(C$1,'UPD Questions_290926 '!$E$1:$N$1,0),0)&amp;"")</f>
        <v>Legal and institutional planning architecture</v>
      </c>
      <c r="D13" s="83" t="str">
        <f aca="false">IF(ISBLANK($A13),"NO_CODE",VLOOKUP($A13,'UPD Questions_290926 '!$E$1:$N$300,MATCH(D$1,'UPD Questions_290926 '!$E$1:$N$1,0),0)&amp;"")</f>
        <v>Spatial planning hierarchy</v>
      </c>
      <c r="E13" s="83" t="str">
        <f aca="false">IF(ISBLANK($A13),"NO_CODE",VLOOKUP($A13,'UPD Questions_290926 '!$E$1:$N$300,MATCH(E$1,'UPD Questions_290926 '!$E$1:$N$1,0),0)&amp;"")</f>
        <v>SQ</v>
      </c>
      <c r="F13" s="83" t="str">
        <f aca="false">IF(ISBLANK($A13),"NO_CODE",VLOOKUP($A13,'UPD Questions_290926 '!$E$1:$N$300,MATCH(F$1,'UPD Questions_290926 '!$E$1:$N$1,0),0)&amp;"")</f>
        <v>Does the law mandate that the ward(s)/local plan be approved by the ULG?</v>
      </c>
      <c r="G13" s="83" t="str">
        <f aca="false">IF(ISBLANK($A13),"NO_CODE",VLOOKUP($A13,'UPD Questions_290926 '!$E$1:$N$300,MATCH(G$1,'UPD Questions_290926 '!$E$1:$N$1,0),0)&amp;"")</f>
        <v>Law or Policy</v>
      </c>
      <c r="H13" s="85" t="n">
        <f aca="false">IF(ISBLANK($A13),"NO_CODE",VLOOKUP($A13,'UPD Questions_290926 '!$E$1:$N$300,MATCH(H$1,'UPD Questions_290926 '!$E$1:$N$1,0),0))</f>
        <v>3.33</v>
      </c>
      <c r="I13" s="86" t="str">
        <f aca="true">IF($H13=0,"NA",IF($A13=INDIRECT("'"&amp;$A13&amp;"'!$B$1"),IF(VLOOKUP(I$1,INDIRECT("'"&amp;$A13&amp;"'!$A$12:$Z$41"),MATCH("Points (Auto-generate)",INDIRECT("'"&amp;$A13&amp;"'!$A$12:$Z$12"),0),0)="","?",VLOOKUP(I$1,INDIRECT("'"&amp;$A13&amp;"'!$A$12:$Z$41"),MATCH("Points (Auto-generate)",INDIRECT("'"&amp;$A13&amp;"'!$A$12:$Z$12"),0),0)),"ER"))</f>
        <v>?</v>
      </c>
      <c r="J13" s="86" t="str">
        <f aca="true">IF($H13=0,"NA",IF($A13=INDIRECT("'"&amp;$A13&amp;"'!$B$1"),IF(VLOOKUP(J$1,INDIRECT("'"&amp;$A13&amp;"'!$A$12:$Z$41"),MATCH("Points (Auto-generate)",INDIRECT("'"&amp;$A13&amp;"'!$A$12:$Z$12"),0),0)="","?",VLOOKUP(J$1,INDIRECT("'"&amp;$A13&amp;"'!$A$12:$Z$41"),MATCH("Points (Auto-generate)",INDIRECT("'"&amp;$A13&amp;"'!$A$12:$Z$12"),0),0)),"ER"))</f>
        <v>?</v>
      </c>
      <c r="K13" s="86" t="str">
        <f aca="true">IF($H13=0,"NA",IF($A13=INDIRECT("'"&amp;$A13&amp;"'!$B$1"),IF(VLOOKUP(K$1,INDIRECT("'"&amp;$A13&amp;"'!$A$12:$Z$41"),MATCH("Points (Auto-generate)",INDIRECT("'"&amp;$A13&amp;"'!$A$12:$Z$12"),0),0)="","?",VLOOKUP(K$1,INDIRECT("'"&amp;$A13&amp;"'!$A$12:$Z$41"),MATCH("Points (Auto-generate)",INDIRECT("'"&amp;$A13&amp;"'!$A$12:$Z$12"),0),0)),"ER"))</f>
        <v>?</v>
      </c>
      <c r="L13" s="86" t="str">
        <f aca="true">IF($H13=0,"NA",IF($A13=INDIRECT("'"&amp;$A13&amp;"'!$B$1"),IF(VLOOKUP(L$1,INDIRECT("'"&amp;$A13&amp;"'!$A$12:$Z$41"),MATCH("Points (Auto-generate)",INDIRECT("'"&amp;$A13&amp;"'!$A$12:$Z$12"),0),0)="","?",VLOOKUP(L$1,INDIRECT("'"&amp;$A13&amp;"'!$A$12:$Z$41"),MATCH("Points (Auto-generate)",INDIRECT("'"&amp;$A13&amp;"'!$A$12:$Z$12"),0),0)),"ER"))</f>
        <v>?</v>
      </c>
      <c r="M13" s="86" t="str">
        <f aca="true">IF($H13=0,"NA",IF($A13=INDIRECT("'"&amp;$A13&amp;"'!$B$1"),IF(VLOOKUP(M$1,INDIRECT("'"&amp;$A13&amp;"'!$A$12:$Z$41"),MATCH("Points (Auto-generate)",INDIRECT("'"&amp;$A13&amp;"'!$A$12:$Z$12"),0),0)="","?",VLOOKUP(M$1,INDIRECT("'"&amp;$A13&amp;"'!$A$12:$Z$41"),MATCH("Points (Auto-generate)",INDIRECT("'"&amp;$A13&amp;"'!$A$12:$Z$12"),0),0)),"ER"))</f>
        <v>?</v>
      </c>
      <c r="N13" s="86" t="str">
        <f aca="true">IF($H13=0,"NA",IF($A13=INDIRECT("'"&amp;$A13&amp;"'!$B$1"),IF(VLOOKUP(N$1,INDIRECT("'"&amp;$A13&amp;"'!$A$12:$Z$41"),MATCH("Points (Auto-generate)",INDIRECT("'"&amp;$A13&amp;"'!$A$12:$Z$12"),0),0)="","?",VLOOKUP(N$1,INDIRECT("'"&amp;$A13&amp;"'!$A$12:$Z$41"),MATCH("Points (Auto-generate)",INDIRECT("'"&amp;$A13&amp;"'!$A$12:$Z$12"),0),0)),"ER"))</f>
        <v>?</v>
      </c>
      <c r="O13" s="86" t="str">
        <f aca="true">IF($H13=0,"NA",IF($A13=INDIRECT("'"&amp;$A13&amp;"'!$B$1"),IF(VLOOKUP(O$1,INDIRECT("'"&amp;$A13&amp;"'!$A$12:$Z$41"),MATCH("Points (Auto-generate)",INDIRECT("'"&amp;$A13&amp;"'!$A$12:$Z$12"),0),0)="","?",VLOOKUP(O$1,INDIRECT("'"&amp;$A13&amp;"'!$A$12:$Z$41"),MATCH("Points (Auto-generate)",INDIRECT("'"&amp;$A13&amp;"'!$A$12:$Z$12"),0),0)),"ER"))</f>
        <v>?</v>
      </c>
      <c r="P13" s="86" t="str">
        <f aca="true">IF($H13=0,"NA",IF($A13=INDIRECT("'"&amp;$A13&amp;"'!$B$1"),IF(VLOOKUP(P$1,INDIRECT("'"&amp;$A13&amp;"'!$A$12:$Z$41"),MATCH("Points (Auto-generate)",INDIRECT("'"&amp;$A13&amp;"'!$A$12:$Z$12"),0),0)="","?",VLOOKUP(P$1,INDIRECT("'"&amp;$A13&amp;"'!$A$12:$Z$41"),MATCH("Points (Auto-generate)",INDIRECT("'"&amp;$A13&amp;"'!$A$12:$Z$12"),0),0)),"ER"))</f>
        <v>?</v>
      </c>
      <c r="Q13" s="86" t="str">
        <f aca="true">IF($H13=0,"NA",IF($A13=INDIRECT("'"&amp;$A13&amp;"'!$B$1"),IF(VLOOKUP(Q$1,INDIRECT("'"&amp;$A13&amp;"'!$A$12:$Z$41"),MATCH("Points (Auto-generate)",INDIRECT("'"&amp;$A13&amp;"'!$A$12:$Z$12"),0),0)="","?",VLOOKUP(Q$1,INDIRECT("'"&amp;$A13&amp;"'!$A$12:$Z$41"),MATCH("Points (Auto-generate)",INDIRECT("'"&amp;$A13&amp;"'!$A$12:$Z$12"),0),0)),"ER"))</f>
        <v>?</v>
      </c>
      <c r="R13" s="86" t="str">
        <f aca="true">IF($H13=0,"NA",IF($A13=INDIRECT("'"&amp;$A13&amp;"'!$B$1"),IF(VLOOKUP(R$1,INDIRECT("'"&amp;$A13&amp;"'!$A$12:$Z$41"),MATCH("Points (Auto-generate)",INDIRECT("'"&amp;$A13&amp;"'!$A$12:$Z$12"),0),0)="","?",VLOOKUP(R$1,INDIRECT("'"&amp;$A13&amp;"'!$A$12:$Z$41"),MATCH("Points (Auto-generate)",INDIRECT("'"&amp;$A13&amp;"'!$A$12:$Z$12"),0),0)),"ER"))</f>
        <v>?</v>
      </c>
      <c r="S13" s="86" t="str">
        <f aca="true">IF($H13=0,"NA",IF($A13=INDIRECT("'"&amp;$A13&amp;"'!$B$1"),IF(VLOOKUP(S$1,INDIRECT("'"&amp;$A13&amp;"'!$A$12:$Z$41"),MATCH("Points (Auto-generate)",INDIRECT("'"&amp;$A13&amp;"'!$A$12:$Z$12"),0),0)="","?",VLOOKUP(S$1,INDIRECT("'"&amp;$A13&amp;"'!$A$12:$Z$41"),MATCH("Points (Auto-generate)",INDIRECT("'"&amp;$A13&amp;"'!$A$12:$Z$12"),0),0)),"ER"))</f>
        <v>?</v>
      </c>
      <c r="T13" s="86" t="str">
        <f aca="true">IF($H13=0,"NA",IF($A13=INDIRECT("'"&amp;$A13&amp;"'!$B$1"),IF(VLOOKUP(T$1,INDIRECT("'"&amp;$A13&amp;"'!$A$12:$Z$41"),MATCH("Points (Auto-generate)",INDIRECT("'"&amp;$A13&amp;"'!$A$12:$Z$12"),0),0)="","?",VLOOKUP(T$1,INDIRECT("'"&amp;$A13&amp;"'!$A$12:$Z$41"),MATCH("Points (Auto-generate)",INDIRECT("'"&amp;$A13&amp;"'!$A$12:$Z$12"),0),0)),"ER"))</f>
        <v>?</v>
      </c>
      <c r="U13" s="86" t="str">
        <f aca="true">IF($H13=0,"NA",IF($A13=INDIRECT("'"&amp;$A13&amp;"'!$B$1"),IF(VLOOKUP(U$1,INDIRECT("'"&amp;$A13&amp;"'!$A$12:$Z$41"),MATCH("Points (Auto-generate)",INDIRECT("'"&amp;$A13&amp;"'!$A$12:$Z$12"),0),0)="","?",VLOOKUP(U$1,INDIRECT("'"&amp;$A13&amp;"'!$A$12:$Z$41"),MATCH("Points (Auto-generate)",INDIRECT("'"&amp;$A13&amp;"'!$A$12:$Z$12"),0),0)),"ER"))</f>
        <v>?</v>
      </c>
      <c r="V13" s="86" t="str">
        <f aca="true">IF($H13=0,"NA",IF($A13=INDIRECT("'"&amp;$A13&amp;"'!$B$1"),IF(VLOOKUP(V$1,INDIRECT("'"&amp;$A13&amp;"'!$A$12:$Z$41"),MATCH("Points (Auto-generate)",INDIRECT("'"&amp;$A13&amp;"'!$A$12:$Z$12"),0),0)="","?",VLOOKUP(V$1,INDIRECT("'"&amp;$A13&amp;"'!$A$12:$Z$41"),MATCH("Points (Auto-generate)",INDIRECT("'"&amp;$A13&amp;"'!$A$12:$Z$12"),0),0)),"ER"))</f>
        <v>?</v>
      </c>
      <c r="W13" s="86" t="str">
        <f aca="true">IF($H13=0,"NA",IF($A13=INDIRECT("'"&amp;$A13&amp;"'!$B$1"),IF(VLOOKUP(W$1,INDIRECT("'"&amp;$A13&amp;"'!$A$12:$Z$41"),MATCH("Points (Auto-generate)",INDIRECT("'"&amp;$A13&amp;"'!$A$12:$Z$12"),0),0)="","?",VLOOKUP(W$1,INDIRECT("'"&amp;$A13&amp;"'!$A$12:$Z$41"),MATCH("Points (Auto-generate)",INDIRECT("'"&amp;$A13&amp;"'!$A$12:$Z$12"),0),0)),"ER"))</f>
        <v>?</v>
      </c>
      <c r="X13" s="86" t="str">
        <f aca="true">IF($H13=0,"NA",IF($A13=INDIRECT("'"&amp;$A13&amp;"'!$B$1"),IF(VLOOKUP(X$1,INDIRECT("'"&amp;$A13&amp;"'!$A$12:$Z$41"),MATCH("Points (Auto-generate)",INDIRECT("'"&amp;$A13&amp;"'!$A$12:$Z$12"),0),0)="","?",VLOOKUP(X$1,INDIRECT("'"&amp;$A13&amp;"'!$A$12:$Z$41"),MATCH("Points (Auto-generate)",INDIRECT("'"&amp;$A13&amp;"'!$A$12:$Z$12"),0),0)),"ER"))</f>
        <v>?</v>
      </c>
      <c r="Y13" s="86" t="str">
        <f aca="true">IF($H13=0,"NA",IF($A13=INDIRECT("'"&amp;$A13&amp;"'!$B$1"),IF(VLOOKUP(Y$1,INDIRECT("'"&amp;$A13&amp;"'!$A$12:$Z$41"),MATCH("Points (Auto-generate)",INDIRECT("'"&amp;$A13&amp;"'!$A$12:$Z$12"),0),0)="","?",VLOOKUP(Y$1,INDIRECT("'"&amp;$A13&amp;"'!$A$12:$Z$41"),MATCH("Points (Auto-generate)",INDIRECT("'"&amp;$A13&amp;"'!$A$12:$Z$12"),0),0)),"ER"))</f>
        <v>?</v>
      </c>
      <c r="Z13" s="86" t="str">
        <f aca="true">IF($H13=0,"NA",IF($A13=INDIRECT("'"&amp;$A13&amp;"'!$B$1"),IF(VLOOKUP(Z$1,INDIRECT("'"&amp;$A13&amp;"'!$A$12:$Z$41"),MATCH("Points (Auto-generate)",INDIRECT("'"&amp;$A13&amp;"'!$A$12:$Z$12"),0),0)="","?",VLOOKUP(Z$1,INDIRECT("'"&amp;$A13&amp;"'!$A$12:$Z$41"),MATCH("Points (Auto-generate)",INDIRECT("'"&amp;$A13&amp;"'!$A$12:$Z$12"),0),0)),"ER"))</f>
        <v>?</v>
      </c>
      <c r="AA13" s="86" t="str">
        <f aca="true">IF($H13=0,"NA",IF($A13=INDIRECT("'"&amp;$A13&amp;"'!$B$1"),IF(VLOOKUP(AA$1,INDIRECT("'"&amp;$A13&amp;"'!$A$12:$Z$41"),MATCH("Points (Auto-generate)",INDIRECT("'"&amp;$A13&amp;"'!$A$12:$Z$12"),0),0)="","?",VLOOKUP(AA$1,INDIRECT("'"&amp;$A13&amp;"'!$A$12:$Z$41"),MATCH("Points (Auto-generate)",INDIRECT("'"&amp;$A13&amp;"'!$A$12:$Z$12"),0),0)),"ER"))</f>
        <v>?</v>
      </c>
      <c r="AB13" s="86" t="str">
        <f aca="true">IF($H13=0,"NA",IF($A13=INDIRECT("'"&amp;$A13&amp;"'!$B$1"),IF(VLOOKUP(AB$1,INDIRECT("'"&amp;$A13&amp;"'!$A$12:$Z$41"),MATCH("Points (Auto-generate)",INDIRECT("'"&amp;$A13&amp;"'!$A$12:$Z$12"),0),0)="","?",VLOOKUP(AB$1,INDIRECT("'"&amp;$A13&amp;"'!$A$12:$Z$41"),MATCH("Points (Auto-generate)",INDIRECT("'"&amp;$A13&amp;"'!$A$12:$Z$12"),0),0)),"ER"))</f>
        <v>?</v>
      </c>
      <c r="AC13" s="86" t="str">
        <f aca="true">IF($H13=0,"NA",IF($A13=INDIRECT("'"&amp;$A13&amp;"'!$B$1"),IF(VLOOKUP(AC$1,INDIRECT("'"&amp;$A13&amp;"'!$A$12:$Z$41"),MATCH("Points (Auto-generate)",INDIRECT("'"&amp;$A13&amp;"'!$A$12:$Z$12"),0),0)="","?",VLOOKUP(AC$1,INDIRECT("'"&amp;$A13&amp;"'!$A$12:$Z$41"),MATCH("Points (Auto-generate)",INDIRECT("'"&amp;$A13&amp;"'!$A$12:$Z$12"),0),0)),"ER"))</f>
        <v>?</v>
      </c>
      <c r="AD13" s="86" t="str">
        <f aca="true">IF($H13=0,"NA",IF($A13=INDIRECT("'"&amp;$A13&amp;"'!$B$1"),IF(VLOOKUP(AD$1,INDIRECT("'"&amp;$A13&amp;"'!$A$12:$Z$41"),MATCH("Points (Auto-generate)",INDIRECT("'"&amp;$A13&amp;"'!$A$12:$Z$12"),0),0)="","?",VLOOKUP(AD$1,INDIRECT("'"&amp;$A13&amp;"'!$A$12:$Z$41"),MATCH("Points (Auto-generate)",INDIRECT("'"&amp;$A13&amp;"'!$A$12:$Z$12"),0),0)),"ER"))</f>
        <v>?</v>
      </c>
      <c r="AE13" s="86" t="str">
        <f aca="true">IF($H13=0,"NA",IF($A13=INDIRECT("'"&amp;$A13&amp;"'!$B$1"),IF(VLOOKUP(AE$1,INDIRECT("'"&amp;$A13&amp;"'!$A$12:$Z$41"),MATCH("Points (Auto-generate)",INDIRECT("'"&amp;$A13&amp;"'!$A$12:$Z$12"),0),0)="","?",VLOOKUP(AE$1,INDIRECT("'"&amp;$A13&amp;"'!$A$12:$Z$41"),MATCH("Points (Auto-generate)",INDIRECT("'"&amp;$A13&amp;"'!$A$12:$Z$12"),0),0)),"ER"))</f>
        <v>?</v>
      </c>
      <c r="AF13" s="86" t="str">
        <f aca="true">IF($H13=0,"NA",IF($A13=INDIRECT("'"&amp;$A13&amp;"'!$B$1"),IF(VLOOKUP(AF$1,INDIRECT("'"&amp;$A13&amp;"'!$A$12:$Z$41"),MATCH("Points (Auto-generate)",INDIRECT("'"&amp;$A13&amp;"'!$A$12:$Z$12"),0),0)="","?",VLOOKUP(AF$1,INDIRECT("'"&amp;$A13&amp;"'!$A$12:$Z$41"),MATCH("Points (Auto-generate)",INDIRECT("'"&amp;$A13&amp;"'!$A$12:$Z$12"),0),0)),"ER"))</f>
        <v>?</v>
      </c>
      <c r="AG13" s="86" t="str">
        <f aca="true">IF($H13=0,"NA",IF($A13=INDIRECT("'"&amp;$A13&amp;"'!$B$1"),IF(VLOOKUP(AG$1,INDIRECT("'"&amp;$A13&amp;"'!$A$12:$Z$41"),MATCH("Points (Auto-generate)",INDIRECT("'"&amp;$A13&amp;"'!$A$12:$Z$12"),0),0)="","?",VLOOKUP(AG$1,INDIRECT("'"&amp;$A13&amp;"'!$A$12:$Z$41"),MATCH("Points (Auto-generate)",INDIRECT("'"&amp;$A13&amp;"'!$A$12:$Z$12"),0),0)),"ER"))</f>
        <v>?</v>
      </c>
      <c r="AH13" s="86" t="str">
        <f aca="true">IF($H13=0,"NA",IF($A13=INDIRECT("'"&amp;$A13&amp;"'!$B$1"),IF(VLOOKUP(AH$1,INDIRECT("'"&amp;$A13&amp;"'!$A$12:$Z$41"),MATCH("Points (Auto-generate)",INDIRECT("'"&amp;$A13&amp;"'!$A$12:$Z$12"),0),0)="","?",VLOOKUP(AH$1,INDIRECT("'"&amp;$A13&amp;"'!$A$12:$Z$41"),MATCH("Points (Auto-generate)",INDIRECT("'"&amp;$A13&amp;"'!$A$12:$Z$12"),0),0)),"ER"))</f>
        <v>?</v>
      </c>
      <c r="AI13" s="86" t="str">
        <f aca="true">IF($H13=0,"NA",IF($A13=INDIRECT("'"&amp;$A13&amp;"'!$B$1"),IF(VLOOKUP(AI$1,INDIRECT("'"&amp;$A13&amp;"'!$A$12:$Z$41"),MATCH("Points (Auto-generate)",INDIRECT("'"&amp;$A13&amp;"'!$A$12:$Z$12"),0),0)="","?",VLOOKUP(AI$1,INDIRECT("'"&amp;$A13&amp;"'!$A$12:$Z$41"),MATCH("Points (Auto-generate)",INDIRECT("'"&amp;$A13&amp;"'!$A$12:$Z$12"),0),0)),"ER"))</f>
        <v>?</v>
      </c>
      <c r="AJ13" s="86" t="str">
        <f aca="true">IF($H13=0,"NA",IF($A13=INDIRECT("'"&amp;$A13&amp;"'!$B$1"),IF(VLOOKUP(AJ$1,INDIRECT("'"&amp;$A13&amp;"'!$A$12:$Z$41"),MATCH("Points (Auto-generate)",INDIRECT("'"&amp;$A13&amp;"'!$A$12:$Z$12"),0),0)="","?",VLOOKUP(AJ$1,INDIRECT("'"&amp;$A13&amp;"'!$A$12:$Z$41"),MATCH("Points (Auto-generate)",INDIRECT("'"&amp;$A13&amp;"'!$A$12:$Z$12"),0),0)),"ER"))</f>
        <v>?</v>
      </c>
      <c r="AK13" s="86" t="str">
        <f aca="true">IF($H13=0,"NA",IF($A13=INDIRECT("'"&amp;$A13&amp;"'!$B$1"),IF(VLOOKUP(AK$1,INDIRECT("'"&amp;$A13&amp;"'!$A$12:$Z$41"),MATCH("Points (Auto-generate)",INDIRECT("'"&amp;$A13&amp;"'!$A$12:$Z$12"),0),0)="","?",VLOOKUP(AK$1,INDIRECT("'"&amp;$A13&amp;"'!$A$12:$Z$41"),MATCH("Points (Auto-generate)",INDIRECT("'"&amp;$A13&amp;"'!$A$12:$Z$12"),0),0)),"ER"))</f>
        <v>?</v>
      </c>
    </row>
    <row r="14" customFormat="false" ht="25.5" hidden="false" customHeight="true" outlineLevel="0" collapsed="false">
      <c r="A14" s="82" t="s">
        <v>74</v>
      </c>
      <c r="B14" s="83" t="str">
        <f aca="false">IF(ISBLANK($A14),"NO_CODE",VLOOKUP($A14,'UPD Questions_290926 '!$E$1:$N$300,MATCH(B$1,'UPD Questions_290926 '!$E$1:$N$1,0),0)&amp;"")</f>
        <v>Planning </v>
      </c>
      <c r="C14" s="84" t="str">
        <f aca="false">IF(ISBLANK($A14),"NO_CODE",VLOOKUP($A14,'UPD Questions_290926 '!$E$1:$N$300,MATCH(C$1,'UPD Questions_290926 '!$E$1:$N$1,0),0)&amp;"")</f>
        <v>Legal and institutional planning architecture</v>
      </c>
      <c r="D14" s="83" t="str">
        <f aca="false">IF(ISBLANK($A14),"NO_CODE",VLOOKUP($A14,'UPD Questions_290926 '!$E$1:$N$300,MATCH(D$1,'UPD Questions_290926 '!$E$1:$N$1,0),0)&amp;"")</f>
        <v>Objectives of each level of Municipal/City Plans</v>
      </c>
      <c r="E14" s="83" t="str">
        <f aca="false">IF(ISBLANK($A14),"NO_CODE",VLOOKUP($A14,'UPD Questions_290926 '!$E$1:$N$300,MATCH(E$1,'UPD Questions_290926 '!$E$1:$N$1,0),0)&amp;"")</f>
        <v>MQ</v>
      </c>
      <c r="F14" s="83" t="str">
        <f aca="false">IF(ISBLANK($A14),"NO_CODE",VLOOKUP($A14,'UPD Questions_290926 '!$E$1:$N$300,MATCH(F$1,'UPD Questions_290926 '!$E$1:$N$1,0),0)&amp;"")</f>
        <v>Does the Act clearly define the objectives/contents of each level of spatial plan?</v>
      </c>
      <c r="G14" s="83" t="str">
        <f aca="false">IF(ISBLANK($A14),"NO_CODE",VLOOKUP($A14,'UPD Questions_290926 '!$E$1:$N$300,MATCH(G$1,'UPD Questions_290926 '!$E$1:$N$1,0),0)&amp;"")</f>
        <v>Law or Policy</v>
      </c>
      <c r="H14" s="85" t="n">
        <f aca="false">IF(ISBLANK($A14),"NO_CODE",VLOOKUP($A14,'UPD Questions_290926 '!$E$1:$N$300,MATCH(H$1,'UPD Questions_290926 '!$E$1:$N$1,0),0))</f>
        <v>10</v>
      </c>
      <c r="I14" s="86" t="str">
        <f aca="true">IF($H14=0,"NA",IF($A14=INDIRECT("'"&amp;$A14&amp;"'!$B$1"),IF(VLOOKUP(I$1,INDIRECT("'"&amp;$A14&amp;"'!$A$12:$Z$41"),MATCH("Points (Auto-generate)",INDIRECT("'"&amp;$A14&amp;"'!$A$12:$Z$12"),0),0)="","?",VLOOKUP(I$1,INDIRECT("'"&amp;$A14&amp;"'!$A$12:$Z$41"),MATCH("Points (Auto-generate)",INDIRECT("'"&amp;$A14&amp;"'!$A$12:$Z$12"),0),0)),"ER"))</f>
        <v>?</v>
      </c>
      <c r="J14" s="86" t="str">
        <f aca="true">IF($H14=0,"NA",IF($A14=INDIRECT("'"&amp;$A14&amp;"'!$B$1"),IF(VLOOKUP(J$1,INDIRECT("'"&amp;$A14&amp;"'!$A$12:$Z$41"),MATCH("Points (Auto-generate)",INDIRECT("'"&amp;$A14&amp;"'!$A$12:$Z$12"),0),0)="","?",VLOOKUP(J$1,INDIRECT("'"&amp;$A14&amp;"'!$A$12:$Z$41"),MATCH("Points (Auto-generate)",INDIRECT("'"&amp;$A14&amp;"'!$A$12:$Z$12"),0),0)),"ER"))</f>
        <v>?</v>
      </c>
      <c r="K14" s="86" t="str">
        <f aca="true">IF($H14=0,"NA",IF($A14=INDIRECT("'"&amp;$A14&amp;"'!$B$1"),IF(VLOOKUP(K$1,INDIRECT("'"&amp;$A14&amp;"'!$A$12:$Z$41"),MATCH("Points (Auto-generate)",INDIRECT("'"&amp;$A14&amp;"'!$A$12:$Z$12"),0),0)="","?",VLOOKUP(K$1,INDIRECT("'"&amp;$A14&amp;"'!$A$12:$Z$41"),MATCH("Points (Auto-generate)",INDIRECT("'"&amp;$A14&amp;"'!$A$12:$Z$12"),0),0)),"ER"))</f>
        <v>?</v>
      </c>
      <c r="L14" s="86" t="str">
        <f aca="true">IF($H14=0,"NA",IF($A14=INDIRECT("'"&amp;$A14&amp;"'!$B$1"),IF(VLOOKUP(L$1,INDIRECT("'"&amp;$A14&amp;"'!$A$12:$Z$41"),MATCH("Points (Auto-generate)",INDIRECT("'"&amp;$A14&amp;"'!$A$12:$Z$12"),0),0)="","?",VLOOKUP(L$1,INDIRECT("'"&amp;$A14&amp;"'!$A$12:$Z$41"),MATCH("Points (Auto-generate)",INDIRECT("'"&amp;$A14&amp;"'!$A$12:$Z$12"),0),0)),"ER"))</f>
        <v>?</v>
      </c>
      <c r="M14" s="86" t="str">
        <f aca="true">IF($H14=0,"NA",IF($A14=INDIRECT("'"&amp;$A14&amp;"'!$B$1"),IF(VLOOKUP(M$1,INDIRECT("'"&amp;$A14&amp;"'!$A$12:$Z$41"),MATCH("Points (Auto-generate)",INDIRECT("'"&amp;$A14&amp;"'!$A$12:$Z$12"),0),0)="","?",VLOOKUP(M$1,INDIRECT("'"&amp;$A14&amp;"'!$A$12:$Z$41"),MATCH("Points (Auto-generate)",INDIRECT("'"&amp;$A14&amp;"'!$A$12:$Z$12"),0),0)),"ER"))</f>
        <v>?</v>
      </c>
      <c r="N14" s="86" t="str">
        <f aca="true">IF($H14=0,"NA",IF($A14=INDIRECT("'"&amp;$A14&amp;"'!$B$1"),IF(VLOOKUP(N$1,INDIRECT("'"&amp;$A14&amp;"'!$A$12:$Z$41"),MATCH("Points (Auto-generate)",INDIRECT("'"&amp;$A14&amp;"'!$A$12:$Z$12"),0),0)="","?",VLOOKUP(N$1,INDIRECT("'"&amp;$A14&amp;"'!$A$12:$Z$41"),MATCH("Points (Auto-generate)",INDIRECT("'"&amp;$A14&amp;"'!$A$12:$Z$12"),0),0)),"ER"))</f>
        <v>?</v>
      </c>
      <c r="O14" s="86" t="str">
        <f aca="true">IF($H14=0,"NA",IF($A14=INDIRECT("'"&amp;$A14&amp;"'!$B$1"),IF(VLOOKUP(O$1,INDIRECT("'"&amp;$A14&amp;"'!$A$12:$Z$41"),MATCH("Points (Auto-generate)",INDIRECT("'"&amp;$A14&amp;"'!$A$12:$Z$12"),0),0)="","?",VLOOKUP(O$1,INDIRECT("'"&amp;$A14&amp;"'!$A$12:$Z$41"),MATCH("Points (Auto-generate)",INDIRECT("'"&amp;$A14&amp;"'!$A$12:$Z$12"),0),0)),"ER"))</f>
        <v>?</v>
      </c>
      <c r="P14" s="86" t="str">
        <f aca="true">IF($H14=0,"NA",IF($A14=INDIRECT("'"&amp;$A14&amp;"'!$B$1"),IF(VLOOKUP(P$1,INDIRECT("'"&amp;$A14&amp;"'!$A$12:$Z$41"),MATCH("Points (Auto-generate)",INDIRECT("'"&amp;$A14&amp;"'!$A$12:$Z$12"),0),0)="","?",VLOOKUP(P$1,INDIRECT("'"&amp;$A14&amp;"'!$A$12:$Z$41"),MATCH("Points (Auto-generate)",INDIRECT("'"&amp;$A14&amp;"'!$A$12:$Z$12"),0),0)),"ER"))</f>
        <v>?</v>
      </c>
      <c r="Q14" s="86" t="str">
        <f aca="true">IF($H14=0,"NA",IF($A14=INDIRECT("'"&amp;$A14&amp;"'!$B$1"),IF(VLOOKUP(Q$1,INDIRECT("'"&amp;$A14&amp;"'!$A$12:$Z$41"),MATCH("Points (Auto-generate)",INDIRECT("'"&amp;$A14&amp;"'!$A$12:$Z$12"),0),0)="","?",VLOOKUP(Q$1,INDIRECT("'"&amp;$A14&amp;"'!$A$12:$Z$41"),MATCH("Points (Auto-generate)",INDIRECT("'"&amp;$A14&amp;"'!$A$12:$Z$12"),0),0)),"ER"))</f>
        <v>?</v>
      </c>
      <c r="R14" s="86" t="str">
        <f aca="true">IF($H14=0,"NA",IF($A14=INDIRECT("'"&amp;$A14&amp;"'!$B$1"),IF(VLOOKUP(R$1,INDIRECT("'"&amp;$A14&amp;"'!$A$12:$Z$41"),MATCH("Points (Auto-generate)",INDIRECT("'"&amp;$A14&amp;"'!$A$12:$Z$12"),0),0)="","?",VLOOKUP(R$1,INDIRECT("'"&amp;$A14&amp;"'!$A$12:$Z$41"),MATCH("Points (Auto-generate)",INDIRECT("'"&amp;$A14&amp;"'!$A$12:$Z$12"),0),0)),"ER"))</f>
        <v>?</v>
      </c>
      <c r="S14" s="86" t="str">
        <f aca="true">IF($H14=0,"NA",IF($A14=INDIRECT("'"&amp;$A14&amp;"'!$B$1"),IF(VLOOKUP(S$1,INDIRECT("'"&amp;$A14&amp;"'!$A$12:$Z$41"),MATCH("Points (Auto-generate)",INDIRECT("'"&amp;$A14&amp;"'!$A$12:$Z$12"),0),0)="","?",VLOOKUP(S$1,INDIRECT("'"&amp;$A14&amp;"'!$A$12:$Z$41"),MATCH("Points (Auto-generate)",INDIRECT("'"&amp;$A14&amp;"'!$A$12:$Z$12"),0),0)),"ER"))</f>
        <v>?</v>
      </c>
      <c r="T14" s="86" t="str">
        <f aca="true">IF($H14=0,"NA",IF($A14=INDIRECT("'"&amp;$A14&amp;"'!$B$1"),IF(VLOOKUP(T$1,INDIRECT("'"&amp;$A14&amp;"'!$A$12:$Z$41"),MATCH("Points (Auto-generate)",INDIRECT("'"&amp;$A14&amp;"'!$A$12:$Z$12"),0),0)="","?",VLOOKUP(T$1,INDIRECT("'"&amp;$A14&amp;"'!$A$12:$Z$41"),MATCH("Points (Auto-generate)",INDIRECT("'"&amp;$A14&amp;"'!$A$12:$Z$12"),0),0)),"ER"))</f>
        <v>?</v>
      </c>
      <c r="U14" s="86" t="str">
        <f aca="true">IF($H14=0,"NA",IF($A14=INDIRECT("'"&amp;$A14&amp;"'!$B$1"),IF(VLOOKUP(U$1,INDIRECT("'"&amp;$A14&amp;"'!$A$12:$Z$41"),MATCH("Points (Auto-generate)",INDIRECT("'"&amp;$A14&amp;"'!$A$12:$Z$12"),0),0)="","?",VLOOKUP(U$1,INDIRECT("'"&amp;$A14&amp;"'!$A$12:$Z$41"),MATCH("Points (Auto-generate)",INDIRECT("'"&amp;$A14&amp;"'!$A$12:$Z$12"),0),0)),"ER"))</f>
        <v>?</v>
      </c>
      <c r="V14" s="86" t="str">
        <f aca="true">IF($H14=0,"NA",IF($A14=INDIRECT("'"&amp;$A14&amp;"'!$B$1"),IF(VLOOKUP(V$1,INDIRECT("'"&amp;$A14&amp;"'!$A$12:$Z$41"),MATCH("Points (Auto-generate)",INDIRECT("'"&amp;$A14&amp;"'!$A$12:$Z$12"),0),0)="","?",VLOOKUP(V$1,INDIRECT("'"&amp;$A14&amp;"'!$A$12:$Z$41"),MATCH("Points (Auto-generate)",INDIRECT("'"&amp;$A14&amp;"'!$A$12:$Z$12"),0),0)),"ER"))</f>
        <v>?</v>
      </c>
      <c r="W14" s="86" t="str">
        <f aca="true">IF($H14=0,"NA",IF($A14=INDIRECT("'"&amp;$A14&amp;"'!$B$1"),IF(VLOOKUP(W$1,INDIRECT("'"&amp;$A14&amp;"'!$A$12:$Z$41"),MATCH("Points (Auto-generate)",INDIRECT("'"&amp;$A14&amp;"'!$A$12:$Z$12"),0),0)="","?",VLOOKUP(W$1,INDIRECT("'"&amp;$A14&amp;"'!$A$12:$Z$41"),MATCH("Points (Auto-generate)",INDIRECT("'"&amp;$A14&amp;"'!$A$12:$Z$12"),0),0)),"ER"))</f>
        <v>?</v>
      </c>
      <c r="X14" s="86" t="str">
        <f aca="true">IF($H14=0,"NA",IF($A14=INDIRECT("'"&amp;$A14&amp;"'!$B$1"),IF(VLOOKUP(X$1,INDIRECT("'"&amp;$A14&amp;"'!$A$12:$Z$41"),MATCH("Points (Auto-generate)",INDIRECT("'"&amp;$A14&amp;"'!$A$12:$Z$12"),0),0)="","?",VLOOKUP(X$1,INDIRECT("'"&amp;$A14&amp;"'!$A$12:$Z$41"),MATCH("Points (Auto-generate)",INDIRECT("'"&amp;$A14&amp;"'!$A$12:$Z$12"),0),0)),"ER"))</f>
        <v>?</v>
      </c>
      <c r="Y14" s="86" t="str">
        <f aca="true">IF($H14=0,"NA",IF($A14=INDIRECT("'"&amp;$A14&amp;"'!$B$1"),IF(VLOOKUP(Y$1,INDIRECT("'"&amp;$A14&amp;"'!$A$12:$Z$41"),MATCH("Points (Auto-generate)",INDIRECT("'"&amp;$A14&amp;"'!$A$12:$Z$12"),0),0)="","?",VLOOKUP(Y$1,INDIRECT("'"&amp;$A14&amp;"'!$A$12:$Z$41"),MATCH("Points (Auto-generate)",INDIRECT("'"&amp;$A14&amp;"'!$A$12:$Z$12"),0),0)),"ER"))</f>
        <v>?</v>
      </c>
      <c r="Z14" s="86" t="str">
        <f aca="true">IF($H14=0,"NA",IF($A14=INDIRECT("'"&amp;$A14&amp;"'!$B$1"),IF(VLOOKUP(Z$1,INDIRECT("'"&amp;$A14&amp;"'!$A$12:$Z$41"),MATCH("Points (Auto-generate)",INDIRECT("'"&amp;$A14&amp;"'!$A$12:$Z$12"),0),0)="","?",VLOOKUP(Z$1,INDIRECT("'"&amp;$A14&amp;"'!$A$12:$Z$41"),MATCH("Points (Auto-generate)",INDIRECT("'"&amp;$A14&amp;"'!$A$12:$Z$12"),0),0)),"ER"))</f>
        <v>?</v>
      </c>
      <c r="AA14" s="86" t="str">
        <f aca="true">IF($H14=0,"NA",IF($A14=INDIRECT("'"&amp;$A14&amp;"'!$B$1"),IF(VLOOKUP(AA$1,INDIRECT("'"&amp;$A14&amp;"'!$A$12:$Z$41"),MATCH("Points (Auto-generate)",INDIRECT("'"&amp;$A14&amp;"'!$A$12:$Z$12"),0),0)="","?",VLOOKUP(AA$1,INDIRECT("'"&amp;$A14&amp;"'!$A$12:$Z$41"),MATCH("Points (Auto-generate)",INDIRECT("'"&amp;$A14&amp;"'!$A$12:$Z$12"),0),0)),"ER"))</f>
        <v>?</v>
      </c>
      <c r="AB14" s="86" t="str">
        <f aca="true">IF($H14=0,"NA",IF($A14=INDIRECT("'"&amp;$A14&amp;"'!$B$1"),IF(VLOOKUP(AB$1,INDIRECT("'"&amp;$A14&amp;"'!$A$12:$Z$41"),MATCH("Points (Auto-generate)",INDIRECT("'"&amp;$A14&amp;"'!$A$12:$Z$12"),0),0)="","?",VLOOKUP(AB$1,INDIRECT("'"&amp;$A14&amp;"'!$A$12:$Z$41"),MATCH("Points (Auto-generate)",INDIRECT("'"&amp;$A14&amp;"'!$A$12:$Z$12"),0),0)),"ER"))</f>
        <v>?</v>
      </c>
      <c r="AC14" s="86" t="str">
        <f aca="true">IF($H14=0,"NA",IF($A14=INDIRECT("'"&amp;$A14&amp;"'!$B$1"),IF(VLOOKUP(AC$1,INDIRECT("'"&amp;$A14&amp;"'!$A$12:$Z$41"),MATCH("Points (Auto-generate)",INDIRECT("'"&amp;$A14&amp;"'!$A$12:$Z$12"),0),0)="","?",VLOOKUP(AC$1,INDIRECT("'"&amp;$A14&amp;"'!$A$12:$Z$41"),MATCH("Points (Auto-generate)",INDIRECT("'"&amp;$A14&amp;"'!$A$12:$Z$12"),0),0)),"ER"))</f>
        <v>?</v>
      </c>
      <c r="AD14" s="86" t="str">
        <f aca="true">IF($H14=0,"NA",IF($A14=INDIRECT("'"&amp;$A14&amp;"'!$B$1"),IF(VLOOKUP(AD$1,INDIRECT("'"&amp;$A14&amp;"'!$A$12:$Z$41"),MATCH("Points (Auto-generate)",INDIRECT("'"&amp;$A14&amp;"'!$A$12:$Z$12"),0),0)="","?",VLOOKUP(AD$1,INDIRECT("'"&amp;$A14&amp;"'!$A$12:$Z$41"),MATCH("Points (Auto-generate)",INDIRECT("'"&amp;$A14&amp;"'!$A$12:$Z$12"),0),0)),"ER"))</f>
        <v>?</v>
      </c>
      <c r="AE14" s="86" t="str">
        <f aca="true">IF($H14=0,"NA",IF($A14=INDIRECT("'"&amp;$A14&amp;"'!$B$1"),IF(VLOOKUP(AE$1,INDIRECT("'"&amp;$A14&amp;"'!$A$12:$Z$41"),MATCH("Points (Auto-generate)",INDIRECT("'"&amp;$A14&amp;"'!$A$12:$Z$12"),0),0)="","?",VLOOKUP(AE$1,INDIRECT("'"&amp;$A14&amp;"'!$A$12:$Z$41"),MATCH("Points (Auto-generate)",INDIRECT("'"&amp;$A14&amp;"'!$A$12:$Z$12"),0),0)),"ER"))</f>
        <v>?</v>
      </c>
      <c r="AF14" s="86" t="str">
        <f aca="true">IF($H14=0,"NA",IF($A14=INDIRECT("'"&amp;$A14&amp;"'!$B$1"),IF(VLOOKUP(AF$1,INDIRECT("'"&amp;$A14&amp;"'!$A$12:$Z$41"),MATCH("Points (Auto-generate)",INDIRECT("'"&amp;$A14&amp;"'!$A$12:$Z$12"),0),0)="","?",VLOOKUP(AF$1,INDIRECT("'"&amp;$A14&amp;"'!$A$12:$Z$41"),MATCH("Points (Auto-generate)",INDIRECT("'"&amp;$A14&amp;"'!$A$12:$Z$12"),0),0)),"ER"))</f>
        <v>?</v>
      </c>
      <c r="AG14" s="86" t="str">
        <f aca="true">IF($H14=0,"NA",IF($A14=INDIRECT("'"&amp;$A14&amp;"'!$B$1"),IF(VLOOKUP(AG$1,INDIRECT("'"&amp;$A14&amp;"'!$A$12:$Z$41"),MATCH("Points (Auto-generate)",INDIRECT("'"&amp;$A14&amp;"'!$A$12:$Z$12"),0),0)="","?",VLOOKUP(AG$1,INDIRECT("'"&amp;$A14&amp;"'!$A$12:$Z$41"),MATCH("Points (Auto-generate)",INDIRECT("'"&amp;$A14&amp;"'!$A$12:$Z$12"),0),0)),"ER"))</f>
        <v>?</v>
      </c>
      <c r="AH14" s="86" t="str">
        <f aca="true">IF($H14=0,"NA",IF($A14=INDIRECT("'"&amp;$A14&amp;"'!$B$1"),IF(VLOOKUP(AH$1,INDIRECT("'"&amp;$A14&amp;"'!$A$12:$Z$41"),MATCH("Points (Auto-generate)",INDIRECT("'"&amp;$A14&amp;"'!$A$12:$Z$12"),0),0)="","?",VLOOKUP(AH$1,INDIRECT("'"&amp;$A14&amp;"'!$A$12:$Z$41"),MATCH("Points (Auto-generate)",INDIRECT("'"&amp;$A14&amp;"'!$A$12:$Z$12"),0),0)),"ER"))</f>
        <v>?</v>
      </c>
      <c r="AI14" s="86" t="str">
        <f aca="true">IF($H14=0,"NA",IF($A14=INDIRECT("'"&amp;$A14&amp;"'!$B$1"),IF(VLOOKUP(AI$1,INDIRECT("'"&amp;$A14&amp;"'!$A$12:$Z$41"),MATCH("Points (Auto-generate)",INDIRECT("'"&amp;$A14&amp;"'!$A$12:$Z$12"),0),0)="","?",VLOOKUP(AI$1,INDIRECT("'"&amp;$A14&amp;"'!$A$12:$Z$41"),MATCH("Points (Auto-generate)",INDIRECT("'"&amp;$A14&amp;"'!$A$12:$Z$12"),0),0)),"ER"))</f>
        <v>?</v>
      </c>
      <c r="AJ14" s="86" t="str">
        <f aca="true">IF($H14=0,"NA",IF($A14=INDIRECT("'"&amp;$A14&amp;"'!$B$1"),IF(VLOOKUP(AJ$1,INDIRECT("'"&amp;$A14&amp;"'!$A$12:$Z$41"),MATCH("Points (Auto-generate)",INDIRECT("'"&amp;$A14&amp;"'!$A$12:$Z$12"),0),0)="","?",VLOOKUP(AJ$1,INDIRECT("'"&amp;$A14&amp;"'!$A$12:$Z$41"),MATCH("Points (Auto-generate)",INDIRECT("'"&amp;$A14&amp;"'!$A$12:$Z$12"),0),0)),"ER"))</f>
        <v>?</v>
      </c>
      <c r="AK14" s="86" t="str">
        <f aca="true">IF($H14=0,"NA",IF($A14=INDIRECT("'"&amp;$A14&amp;"'!$B$1"),IF(VLOOKUP(AK$1,INDIRECT("'"&amp;$A14&amp;"'!$A$12:$Z$41"),MATCH("Points (Auto-generate)",INDIRECT("'"&amp;$A14&amp;"'!$A$12:$Z$12"),0),0)="","?",VLOOKUP(AK$1,INDIRECT("'"&amp;$A14&amp;"'!$A$12:$Z$41"),MATCH("Points (Auto-generate)",INDIRECT("'"&amp;$A14&amp;"'!$A$12:$Z$12"),0),0)),"ER"))</f>
        <v>?</v>
      </c>
    </row>
    <row r="15" customFormat="false" ht="25.5" hidden="false" customHeight="true" outlineLevel="0" collapsed="false">
      <c r="A15" s="82" t="s">
        <v>400</v>
      </c>
      <c r="B15" s="83" t="str">
        <f aca="false">IF(ISBLANK($A15),"NO_CODE",VLOOKUP($A15,'UPD Questions_290926 '!$E$1:$N$300,MATCH(B$1,'UPD Questions_290926 '!$E$1:$N$1,0),0)&amp;"")</f>
        <v>Planning </v>
      </c>
      <c r="C15" s="84" t="str">
        <f aca="false">IF(ISBLANK($A15),"NO_CODE",VLOOKUP($A15,'UPD Questions_290926 '!$E$1:$N$300,MATCH(C$1,'UPD Questions_290926 '!$E$1:$N$1,0),0)&amp;"")</f>
        <v>Legal and institutional planning architecture</v>
      </c>
      <c r="D15" s="83" t="str">
        <f aca="false">IF(ISBLANK($A15),"NO_CODE",VLOOKUP($A15,'UPD Questions_290926 '!$E$1:$N$300,MATCH(D$1,'UPD Questions_290926 '!$E$1:$N$1,0),0)&amp;"")</f>
        <v>Metropolitan and district planning institutions</v>
      </c>
      <c r="E15" s="83" t="str">
        <f aca="false">IF(ISBLANK($A15),"NO_CODE",VLOOKUP($A15,'UPD Questions_290926 '!$E$1:$N$300,MATCH(E$1,'UPD Questions_290926 '!$E$1:$N$1,0),0)&amp;"")</f>
        <v>MQ</v>
      </c>
      <c r="F15" s="83" t="str">
        <f aca="false">IF(ISBLANK($A15),"NO_CODE",VLOOKUP($A15,'UPD Questions_290926 '!$E$1:$N$300,MATCH(F$1,'UPD Questions_290926 '!$E$1:$N$1,0),0)&amp;"")</f>
        <v>Does the city have a functional MPC/DPC?</v>
      </c>
      <c r="G15" s="83" t="str">
        <f aca="false">IF(ISBLANK($A15),"NO_CODE",VLOOKUP($A15,'UPD Questions_290926 '!$E$1:$N$300,MATCH(G$1,'UPD Questions_290926 '!$E$1:$N$1,0),0)&amp;"")</f>
        <v>Law/Policy &amp; Implementation</v>
      </c>
      <c r="H15" s="85" t="n">
        <f aca="false">IF(ISBLANK($A15),"NO_CODE",VLOOKUP($A15,'UPD Questions_290926 '!$E$1:$N$300,MATCH(H$1,'UPD Questions_290926 '!$E$1:$N$1,0),0))</f>
        <v>10</v>
      </c>
      <c r="I15" s="86" t="str">
        <f aca="false">IF(OR(I16="ER",I17="ER"),"ER",IF(OR(I16="?",I17="?"),"?",IF(AND(I16="NA",I17="NA"),"NA",SUM(I16,I17)/((I16&lt;&gt;"NA")*$H$16+(I17&lt;&gt;"NA")*$H$17)*$H15)))</f>
        <v>?</v>
      </c>
      <c r="J15" s="86" t="str">
        <f aca="false">IF(OR(J16="ER",J17="ER"),"ER",IF(OR(J16="?",J17="?"),"?",IF(AND(J16="NA",J17="NA"),"NA",SUM(J16,J17)/((J16&lt;&gt;"NA")*$H$16+(J17&lt;&gt;"NA")*$H$17)*$H15)))</f>
        <v>?</v>
      </c>
      <c r="K15" s="86" t="str">
        <f aca="false">IF(OR(K16="ER",K17="ER"),"ER",IF(OR(K16="?",K17="?"),"?",IF(AND(K16="NA",K17="NA"),"NA",SUM(K16,K17)/((K16&lt;&gt;"NA")*$H$16+(K17&lt;&gt;"NA")*$H$17)*$H15)))</f>
        <v>?</v>
      </c>
      <c r="L15" s="86" t="str">
        <f aca="false">IF(OR(L16="ER",L17="ER"),"ER",IF(OR(L16="?",L17="?"),"?",IF(AND(L16="NA",L17="NA"),"NA",SUM(L16,L17)/((L16&lt;&gt;"NA")*$H$16+(L17&lt;&gt;"NA")*$H$17)*$H15)))</f>
        <v>?</v>
      </c>
      <c r="M15" s="86" t="str">
        <f aca="false">IF(OR(M16="ER",M17="ER"),"ER",IF(OR(M16="?",M17="?"),"?",IF(AND(M16="NA",M17="NA"),"NA",SUM(M16,M17)/((M16&lt;&gt;"NA")*$H$16+(M17&lt;&gt;"NA")*$H$17)*$H15)))</f>
        <v>?</v>
      </c>
      <c r="N15" s="86" t="str">
        <f aca="false">IF(OR(N16="ER",N17="ER"),"ER",IF(OR(N16="?",N17="?"),"?",IF(AND(N16="NA",N17="NA"),"NA",SUM(N16,N17)/((N16&lt;&gt;"NA")*$H$16+(N17&lt;&gt;"NA")*$H$17)*$H15)))</f>
        <v>?</v>
      </c>
      <c r="O15" s="86" t="str">
        <f aca="false">IF(OR(O16="ER",O17="ER"),"ER",IF(OR(O16="?",O17="?"),"?",IF(AND(O16="NA",O17="NA"),"NA",SUM(O16,O17)/((O16&lt;&gt;"NA")*$H$16+(O17&lt;&gt;"NA")*$H$17)*$H15)))</f>
        <v>?</v>
      </c>
      <c r="P15" s="86" t="str">
        <f aca="false">IF(OR(P16="ER",P17="ER"),"ER",IF(OR(P16="?",P17="?"),"?",IF(AND(P16="NA",P17="NA"),"NA",SUM(P16,P17)/((P16&lt;&gt;"NA")*$H$16+(P17&lt;&gt;"NA")*$H$17)*$H15)))</f>
        <v>?</v>
      </c>
      <c r="Q15" s="86" t="str">
        <f aca="false">IF(OR(Q16="ER",Q17="ER"),"ER",IF(OR(Q16="?",Q17="?"),"?",IF(AND(Q16="NA",Q17="NA"),"NA",SUM(Q16,Q17)/((Q16&lt;&gt;"NA")*$H$16+(Q17&lt;&gt;"NA")*$H$17)*$H15)))</f>
        <v>?</v>
      </c>
      <c r="R15" s="86" t="str">
        <f aca="false">IF(OR(R16="ER",R17="ER"),"ER",IF(OR(R16="?",R17="?"),"?",IF(AND(R16="NA",R17="NA"),"NA",SUM(R16,R17)/((R16&lt;&gt;"NA")*$H$16+(R17&lt;&gt;"NA")*$H$17)*$H15)))</f>
        <v>?</v>
      </c>
      <c r="S15" s="86" t="str">
        <f aca="false">IF(OR(S16="ER",S17="ER"),"ER",IF(OR(S16="?",S17="?"),"?",IF(AND(S16="NA",S17="NA"),"NA",SUM(S16,S17)/((S16&lt;&gt;"NA")*$H$16+(S17&lt;&gt;"NA")*$H$17)*$H15)))</f>
        <v>?</v>
      </c>
      <c r="T15" s="86" t="str">
        <f aca="false">IF(OR(T16="ER",T17="ER"),"ER",IF(OR(T16="?",T17="?"),"?",IF(AND(T16="NA",T17="NA"),"NA",SUM(T16,T17)/((T16&lt;&gt;"NA")*$H$16+(T17&lt;&gt;"NA")*$H$17)*$H15)))</f>
        <v>?</v>
      </c>
      <c r="U15" s="86" t="str">
        <f aca="false">IF(OR(U16="ER",U17="ER"),"ER",IF(OR(U16="?",U17="?"),"?",IF(AND(U16="NA",U17="NA"),"NA",SUM(U16,U17)/((U16&lt;&gt;"NA")*$H$16+(U17&lt;&gt;"NA")*$H$17)*$H15)))</f>
        <v>?</v>
      </c>
      <c r="V15" s="86" t="str">
        <f aca="false">IF(OR(V16="ER",V17="ER"),"ER",IF(OR(V16="?",V17="?"),"?",IF(AND(V16="NA",V17="NA"),"NA",SUM(V16,V17)/((V16&lt;&gt;"NA")*$H$16+(V17&lt;&gt;"NA")*$H$17)*$H15)))</f>
        <v>?</v>
      </c>
      <c r="W15" s="86" t="str">
        <f aca="false">IF(OR(W16="ER",W17="ER"),"ER",IF(OR(W16="?",W17="?"),"?",IF(AND(W16="NA",W17="NA"),"NA",SUM(W16,W17)/((W16&lt;&gt;"NA")*$H$16+(W17&lt;&gt;"NA")*$H$17)*$H15)))</f>
        <v>?</v>
      </c>
      <c r="X15" s="86" t="str">
        <f aca="false">IF(OR(X16="ER",X17="ER"),"ER",IF(OR(X16="?",X17="?"),"?",IF(AND(X16="NA",X17="NA"),"NA",SUM(X16,X17)/((X16&lt;&gt;"NA")*$H$16+(X17&lt;&gt;"NA")*$H$17)*$H15)))</f>
        <v>?</v>
      </c>
      <c r="Y15" s="86" t="str">
        <f aca="false">IF(OR(Y16="ER",Y17="ER"),"ER",IF(OR(Y16="?",Y17="?"),"?",IF(AND(Y16="NA",Y17="NA"),"NA",SUM(Y16,Y17)/((Y16&lt;&gt;"NA")*$H$16+(Y17&lt;&gt;"NA")*$H$17)*$H15)))</f>
        <v>?</v>
      </c>
      <c r="Z15" s="86" t="str">
        <f aca="false">IF(OR(Z16="ER",Z17="ER"),"ER",IF(OR(Z16="?",Z17="?"),"?",IF(AND(Z16="NA",Z17="NA"),"NA",SUM(Z16,Z17)/((Z16&lt;&gt;"NA")*$H$16+(Z17&lt;&gt;"NA")*$H$17)*$H15)))</f>
        <v>?</v>
      </c>
      <c r="AA15" s="86" t="str">
        <f aca="false">IF(OR(AA16="ER",AA17="ER"),"ER",IF(OR(AA16="?",AA17="?"),"?",IF(AND(AA16="NA",AA17="NA"),"NA",SUM(AA16,AA17)/((AA16&lt;&gt;"NA")*$H$16+(AA17&lt;&gt;"NA")*$H$17)*$H15)))</f>
        <v>?</v>
      </c>
      <c r="AB15" s="86" t="str">
        <f aca="false">IF(OR(AB16="ER",AB17="ER"),"ER",IF(OR(AB16="?",AB17="?"),"?",IF(AND(AB16="NA",AB17="NA"),"NA",SUM(AB16,AB17)/((AB16&lt;&gt;"NA")*$H$16+(AB17&lt;&gt;"NA")*$H$17)*$H15)))</f>
        <v>?</v>
      </c>
      <c r="AC15" s="86" t="str">
        <f aca="false">IF(OR(AC16="ER",AC17="ER"),"ER",IF(OR(AC16="?",AC17="?"),"?",IF(AND(AC16="NA",AC17="NA"),"NA",SUM(AC16,AC17)/((AC16&lt;&gt;"NA")*$H$16+(AC17&lt;&gt;"NA")*$H$17)*$H15)))</f>
        <v>?</v>
      </c>
      <c r="AD15" s="86" t="str">
        <f aca="false">IF(OR(AD16="ER",AD17="ER"),"ER",IF(OR(AD16="?",AD17="?"),"?",IF(AND(AD16="NA",AD17="NA"),"NA",SUM(AD16,AD17)/((AD16&lt;&gt;"NA")*$H$16+(AD17&lt;&gt;"NA")*$H$17)*$H15)))</f>
        <v>?</v>
      </c>
      <c r="AE15" s="86" t="str">
        <f aca="false">IF(OR(AE16="ER",AE17="ER"),"ER",IF(OR(AE16="?",AE17="?"),"?",IF(AND(AE16="NA",AE17="NA"),"NA",SUM(AE16,AE17)/((AE16&lt;&gt;"NA")*$H$16+(AE17&lt;&gt;"NA")*$H$17)*$H15)))</f>
        <v>?</v>
      </c>
      <c r="AF15" s="86" t="str">
        <f aca="false">IF(OR(AF16="ER",AF17="ER"),"ER",IF(OR(AF16="?",AF17="?"),"?",IF(AND(AF16="NA",AF17="NA"),"NA",SUM(AF16,AF17)/((AF16&lt;&gt;"NA")*$H$16+(AF17&lt;&gt;"NA")*$H$17)*$H15)))</f>
        <v>?</v>
      </c>
      <c r="AG15" s="86" t="str">
        <f aca="false">IF(OR(AG16="ER",AG17="ER"),"ER",IF(OR(AG16="?",AG17="?"),"?",IF(AND(AG16="NA",AG17="NA"),"NA",SUM(AG16,AG17)/((AG16&lt;&gt;"NA")*$H$16+(AG17&lt;&gt;"NA")*$H$17)*$H15)))</f>
        <v>?</v>
      </c>
      <c r="AH15" s="86" t="str">
        <f aca="false">IF(OR(AH16="ER",AH17="ER"),"ER",IF(OR(AH16="?",AH17="?"),"?",IF(AND(AH16="NA",AH17="NA"),"NA",SUM(AH16,AH17)/((AH16&lt;&gt;"NA")*$H$16+(AH17&lt;&gt;"NA")*$H$17)*$H15)))</f>
        <v>?</v>
      </c>
      <c r="AI15" s="86" t="str">
        <f aca="false">IF(OR(AI16="ER",AI17="ER"),"ER",IF(OR(AI16="?",AI17="?"),"?",IF(AND(AI16="NA",AI17="NA"),"NA",SUM(AI16,AI17)/((AI16&lt;&gt;"NA")*$H$16+(AI17&lt;&gt;"NA")*$H$17)*$H15)))</f>
        <v>?</v>
      </c>
      <c r="AJ15" s="86" t="str">
        <f aca="false">IF(OR(AJ16="ER",AJ17="ER"),"ER",IF(OR(AJ16="?",AJ17="?"),"?",IF(AND(AJ16="NA",AJ17="NA"),"NA",SUM(AJ16,AJ17)/((AJ16&lt;&gt;"NA")*$H$16+(AJ17&lt;&gt;"NA")*$H$17)*$H15)))</f>
        <v>?</v>
      </c>
      <c r="AK15" s="86" t="str">
        <f aca="false">IF(OR(AK16="ER",AK17="ER"),"ER",IF(OR(AK16="?",AK17="?"),"?",IF(AND(AK16="NA",AK17="NA"),"NA",SUM(AK16,AK17)/((AK16&lt;&gt;"NA")*$H$16+(AK17&lt;&gt;"NA")*$H$17)*$H15)))</f>
        <v>?</v>
      </c>
    </row>
    <row r="16" customFormat="false" ht="25.5" hidden="false" customHeight="true" outlineLevel="0" collapsed="false">
      <c r="A16" s="82" t="s">
        <v>80</v>
      </c>
      <c r="B16" s="83" t="str">
        <f aca="false">IF(ISBLANK($A16),"NO_CODE",VLOOKUP($A16,'UPD Questions_290926 '!$E$1:$N$300,MATCH(B$1,'UPD Questions_290926 '!$E$1:$N$1,0),0)&amp;"")</f>
        <v>Planning </v>
      </c>
      <c r="C16" s="84" t="str">
        <f aca="false">IF(ISBLANK($A16),"NO_CODE",VLOOKUP($A16,'UPD Questions_290926 '!$E$1:$N$300,MATCH(C$1,'UPD Questions_290926 '!$E$1:$N$1,0),0)&amp;"")</f>
        <v>Legal and institutional planning architecture</v>
      </c>
      <c r="D16" s="83" t="str">
        <f aca="false">IF(ISBLANK($A16),"NO_CODE",VLOOKUP($A16,'UPD Questions_290926 '!$E$1:$N$300,MATCH(D$1,'UPD Questions_290926 '!$E$1:$N$1,0),0)&amp;"")</f>
        <v>Metropolitan and district planning institutions</v>
      </c>
      <c r="E16" s="83" t="str">
        <f aca="false">IF(ISBLANK($A16),"NO_CODE",VLOOKUP($A16,'UPD Questions_290926 '!$E$1:$N$300,MATCH(E$1,'UPD Questions_290926 '!$E$1:$N$1,0),0)&amp;"")</f>
        <v>SQ</v>
      </c>
      <c r="F16" s="83" t="str">
        <f aca="false">IF(ISBLANK($A16),"NO_CODE",VLOOKUP($A16,'UPD Questions_290926 '!$E$1:$N$300,MATCH(F$1,'UPD Questions_290926 '!$E$1:$N$1,0),0)&amp;"")</f>
        <v>Does the law provide for the constitution of an MPC/DPC?</v>
      </c>
      <c r="G16" s="83" t="str">
        <f aca="false">IF(ISBLANK($A16),"NO_CODE",VLOOKUP($A16,'UPD Questions_290926 '!$E$1:$N$300,MATCH(G$1,'UPD Questions_290926 '!$E$1:$N$1,0),0)&amp;"")</f>
        <v>Law/Policy</v>
      </c>
      <c r="H16" s="85" t="n">
        <f aca="false">IF(ISBLANK($A16),"NO_CODE",VLOOKUP($A16,'UPD Questions_290926 '!$E$1:$N$300,MATCH(H$1,'UPD Questions_290926 '!$E$1:$N$1,0),0))</f>
        <v>5</v>
      </c>
      <c r="I16" s="86" t="str">
        <f aca="true">IF($H16=0,"NA",IF($A16=INDIRECT("'"&amp;$A16&amp;"'!$B$1"),IF(VLOOKUP(I$1,INDIRECT("'"&amp;$A16&amp;"'!$A$12:$Z$41"),MATCH("Points (Auto-generate)",INDIRECT("'"&amp;$A16&amp;"'!$A$12:$Z$12"),0),0)="","?",VLOOKUP(I$1,INDIRECT("'"&amp;$A16&amp;"'!$A$12:$Z$41"),MATCH("Points (Auto-generate)",INDIRECT("'"&amp;$A16&amp;"'!$A$12:$Z$12"),0),0)),"ER"))</f>
        <v>?</v>
      </c>
      <c r="J16" s="86" t="str">
        <f aca="true">IF($H16=0,"NA",IF($A16=INDIRECT("'"&amp;$A16&amp;"'!$B$1"),IF(VLOOKUP(J$1,INDIRECT("'"&amp;$A16&amp;"'!$A$12:$Z$41"),MATCH("Points (Auto-generate)",INDIRECT("'"&amp;$A16&amp;"'!$A$12:$Z$12"),0),0)="","?",VLOOKUP(J$1,INDIRECT("'"&amp;$A16&amp;"'!$A$12:$Z$41"),MATCH("Points (Auto-generate)",INDIRECT("'"&amp;$A16&amp;"'!$A$12:$Z$12"),0),0)),"ER"))</f>
        <v>?</v>
      </c>
      <c r="K16" s="86" t="str">
        <f aca="true">IF($H16=0,"NA",IF($A16=INDIRECT("'"&amp;$A16&amp;"'!$B$1"),IF(VLOOKUP(K$1,INDIRECT("'"&amp;$A16&amp;"'!$A$12:$Z$41"),MATCH("Points (Auto-generate)",INDIRECT("'"&amp;$A16&amp;"'!$A$12:$Z$12"),0),0)="","?",VLOOKUP(K$1,INDIRECT("'"&amp;$A16&amp;"'!$A$12:$Z$41"),MATCH("Points (Auto-generate)",INDIRECT("'"&amp;$A16&amp;"'!$A$12:$Z$12"),0),0)),"ER"))</f>
        <v>?</v>
      </c>
      <c r="L16" s="86" t="str">
        <f aca="true">IF($H16=0,"NA",IF($A16=INDIRECT("'"&amp;$A16&amp;"'!$B$1"),IF(VLOOKUP(L$1,INDIRECT("'"&amp;$A16&amp;"'!$A$12:$Z$41"),MATCH("Points (Auto-generate)",INDIRECT("'"&amp;$A16&amp;"'!$A$12:$Z$12"),0),0)="","?",VLOOKUP(L$1,INDIRECT("'"&amp;$A16&amp;"'!$A$12:$Z$41"),MATCH("Points (Auto-generate)",INDIRECT("'"&amp;$A16&amp;"'!$A$12:$Z$12"),0),0)),"ER"))</f>
        <v>?</v>
      </c>
      <c r="M16" s="86" t="str">
        <f aca="true">IF($H16=0,"NA",IF($A16=INDIRECT("'"&amp;$A16&amp;"'!$B$1"),IF(VLOOKUP(M$1,INDIRECT("'"&amp;$A16&amp;"'!$A$12:$Z$41"),MATCH("Points (Auto-generate)",INDIRECT("'"&amp;$A16&amp;"'!$A$12:$Z$12"),0),0)="","?",VLOOKUP(M$1,INDIRECT("'"&amp;$A16&amp;"'!$A$12:$Z$41"),MATCH("Points (Auto-generate)",INDIRECT("'"&amp;$A16&amp;"'!$A$12:$Z$12"),0),0)),"ER"))</f>
        <v>?</v>
      </c>
      <c r="N16" s="86" t="str">
        <f aca="true">IF($H16=0,"NA",IF($A16=INDIRECT("'"&amp;$A16&amp;"'!$B$1"),IF(VLOOKUP(N$1,INDIRECT("'"&amp;$A16&amp;"'!$A$12:$Z$41"),MATCH("Points (Auto-generate)",INDIRECT("'"&amp;$A16&amp;"'!$A$12:$Z$12"),0),0)="","?",VLOOKUP(N$1,INDIRECT("'"&amp;$A16&amp;"'!$A$12:$Z$41"),MATCH("Points (Auto-generate)",INDIRECT("'"&amp;$A16&amp;"'!$A$12:$Z$12"),0),0)),"ER"))</f>
        <v>?</v>
      </c>
      <c r="O16" s="86" t="str">
        <f aca="true">IF($H16=0,"NA",IF($A16=INDIRECT("'"&amp;$A16&amp;"'!$B$1"),IF(VLOOKUP(O$1,INDIRECT("'"&amp;$A16&amp;"'!$A$12:$Z$41"),MATCH("Points (Auto-generate)",INDIRECT("'"&amp;$A16&amp;"'!$A$12:$Z$12"),0),0)="","?",VLOOKUP(O$1,INDIRECT("'"&amp;$A16&amp;"'!$A$12:$Z$41"),MATCH("Points (Auto-generate)",INDIRECT("'"&amp;$A16&amp;"'!$A$12:$Z$12"),0),0)),"ER"))</f>
        <v>?</v>
      </c>
      <c r="P16" s="86" t="str">
        <f aca="true">IF($H16=0,"NA",IF($A16=INDIRECT("'"&amp;$A16&amp;"'!$B$1"),IF(VLOOKUP(P$1,INDIRECT("'"&amp;$A16&amp;"'!$A$12:$Z$41"),MATCH("Points (Auto-generate)",INDIRECT("'"&amp;$A16&amp;"'!$A$12:$Z$12"),0),0)="","?",VLOOKUP(P$1,INDIRECT("'"&amp;$A16&amp;"'!$A$12:$Z$41"),MATCH("Points (Auto-generate)",INDIRECT("'"&amp;$A16&amp;"'!$A$12:$Z$12"),0),0)),"ER"))</f>
        <v>?</v>
      </c>
      <c r="Q16" s="86" t="str">
        <f aca="true">IF($H16=0,"NA",IF($A16=INDIRECT("'"&amp;$A16&amp;"'!$B$1"),IF(VLOOKUP(Q$1,INDIRECT("'"&amp;$A16&amp;"'!$A$12:$Z$41"),MATCH("Points (Auto-generate)",INDIRECT("'"&amp;$A16&amp;"'!$A$12:$Z$12"),0),0)="","?",VLOOKUP(Q$1,INDIRECT("'"&amp;$A16&amp;"'!$A$12:$Z$41"),MATCH("Points (Auto-generate)",INDIRECT("'"&amp;$A16&amp;"'!$A$12:$Z$12"),0),0)),"ER"))</f>
        <v>?</v>
      </c>
      <c r="R16" s="86" t="str">
        <f aca="true">IF($H16=0,"NA",IF($A16=INDIRECT("'"&amp;$A16&amp;"'!$B$1"),IF(VLOOKUP(R$1,INDIRECT("'"&amp;$A16&amp;"'!$A$12:$Z$41"),MATCH("Points (Auto-generate)",INDIRECT("'"&amp;$A16&amp;"'!$A$12:$Z$12"),0),0)="","?",VLOOKUP(R$1,INDIRECT("'"&amp;$A16&amp;"'!$A$12:$Z$41"),MATCH("Points (Auto-generate)",INDIRECT("'"&amp;$A16&amp;"'!$A$12:$Z$12"),0),0)),"ER"))</f>
        <v>?</v>
      </c>
      <c r="S16" s="86" t="str">
        <f aca="true">IF($H16=0,"NA",IF($A16=INDIRECT("'"&amp;$A16&amp;"'!$B$1"),IF(VLOOKUP(S$1,INDIRECT("'"&amp;$A16&amp;"'!$A$12:$Z$41"),MATCH("Points (Auto-generate)",INDIRECT("'"&amp;$A16&amp;"'!$A$12:$Z$12"),0),0)="","?",VLOOKUP(S$1,INDIRECT("'"&amp;$A16&amp;"'!$A$12:$Z$41"),MATCH("Points (Auto-generate)",INDIRECT("'"&amp;$A16&amp;"'!$A$12:$Z$12"),0),0)),"ER"))</f>
        <v>?</v>
      </c>
      <c r="T16" s="86" t="str">
        <f aca="true">IF($H16=0,"NA",IF($A16=INDIRECT("'"&amp;$A16&amp;"'!$B$1"),IF(VLOOKUP(T$1,INDIRECT("'"&amp;$A16&amp;"'!$A$12:$Z$41"),MATCH("Points (Auto-generate)",INDIRECT("'"&amp;$A16&amp;"'!$A$12:$Z$12"),0),0)="","?",VLOOKUP(T$1,INDIRECT("'"&amp;$A16&amp;"'!$A$12:$Z$41"),MATCH("Points (Auto-generate)",INDIRECT("'"&amp;$A16&amp;"'!$A$12:$Z$12"),0),0)),"ER"))</f>
        <v>?</v>
      </c>
      <c r="U16" s="86" t="str">
        <f aca="true">IF($H16=0,"NA",IF($A16=INDIRECT("'"&amp;$A16&amp;"'!$B$1"),IF(VLOOKUP(U$1,INDIRECT("'"&amp;$A16&amp;"'!$A$12:$Z$41"),MATCH("Points (Auto-generate)",INDIRECT("'"&amp;$A16&amp;"'!$A$12:$Z$12"),0),0)="","?",VLOOKUP(U$1,INDIRECT("'"&amp;$A16&amp;"'!$A$12:$Z$41"),MATCH("Points (Auto-generate)",INDIRECT("'"&amp;$A16&amp;"'!$A$12:$Z$12"),0),0)),"ER"))</f>
        <v>?</v>
      </c>
      <c r="V16" s="86" t="str">
        <f aca="true">IF($H16=0,"NA",IF($A16=INDIRECT("'"&amp;$A16&amp;"'!$B$1"),IF(VLOOKUP(V$1,INDIRECT("'"&amp;$A16&amp;"'!$A$12:$Z$41"),MATCH("Points (Auto-generate)",INDIRECT("'"&amp;$A16&amp;"'!$A$12:$Z$12"),0),0)="","?",VLOOKUP(V$1,INDIRECT("'"&amp;$A16&amp;"'!$A$12:$Z$41"),MATCH("Points (Auto-generate)",INDIRECT("'"&amp;$A16&amp;"'!$A$12:$Z$12"),0),0)),"ER"))</f>
        <v>?</v>
      </c>
      <c r="W16" s="86" t="str">
        <f aca="true">IF($H16=0,"NA",IF($A16=INDIRECT("'"&amp;$A16&amp;"'!$B$1"),IF(VLOOKUP(W$1,INDIRECT("'"&amp;$A16&amp;"'!$A$12:$Z$41"),MATCH("Points (Auto-generate)",INDIRECT("'"&amp;$A16&amp;"'!$A$12:$Z$12"),0),0)="","?",VLOOKUP(W$1,INDIRECT("'"&amp;$A16&amp;"'!$A$12:$Z$41"),MATCH("Points (Auto-generate)",INDIRECT("'"&amp;$A16&amp;"'!$A$12:$Z$12"),0),0)),"ER"))</f>
        <v>?</v>
      </c>
      <c r="X16" s="86" t="str">
        <f aca="true">IF($H16=0,"NA",IF($A16=INDIRECT("'"&amp;$A16&amp;"'!$B$1"),IF(VLOOKUP(X$1,INDIRECT("'"&amp;$A16&amp;"'!$A$12:$Z$41"),MATCH("Points (Auto-generate)",INDIRECT("'"&amp;$A16&amp;"'!$A$12:$Z$12"),0),0)="","?",VLOOKUP(X$1,INDIRECT("'"&amp;$A16&amp;"'!$A$12:$Z$41"),MATCH("Points (Auto-generate)",INDIRECT("'"&amp;$A16&amp;"'!$A$12:$Z$12"),0),0)),"ER"))</f>
        <v>?</v>
      </c>
      <c r="Y16" s="86" t="str">
        <f aca="true">IF($H16=0,"NA",IF($A16=INDIRECT("'"&amp;$A16&amp;"'!$B$1"),IF(VLOOKUP(Y$1,INDIRECT("'"&amp;$A16&amp;"'!$A$12:$Z$41"),MATCH("Points (Auto-generate)",INDIRECT("'"&amp;$A16&amp;"'!$A$12:$Z$12"),0),0)="","?",VLOOKUP(Y$1,INDIRECT("'"&amp;$A16&amp;"'!$A$12:$Z$41"),MATCH("Points (Auto-generate)",INDIRECT("'"&amp;$A16&amp;"'!$A$12:$Z$12"),0),0)),"ER"))</f>
        <v>?</v>
      </c>
      <c r="Z16" s="86" t="str">
        <f aca="true">IF($H16=0,"NA",IF($A16=INDIRECT("'"&amp;$A16&amp;"'!$B$1"),IF(VLOOKUP(Z$1,INDIRECT("'"&amp;$A16&amp;"'!$A$12:$Z$41"),MATCH("Points (Auto-generate)",INDIRECT("'"&amp;$A16&amp;"'!$A$12:$Z$12"),0),0)="","?",VLOOKUP(Z$1,INDIRECT("'"&amp;$A16&amp;"'!$A$12:$Z$41"),MATCH("Points (Auto-generate)",INDIRECT("'"&amp;$A16&amp;"'!$A$12:$Z$12"),0),0)),"ER"))</f>
        <v>?</v>
      </c>
      <c r="AA16" s="86" t="str">
        <f aca="true">IF($H16=0,"NA",IF($A16=INDIRECT("'"&amp;$A16&amp;"'!$B$1"),IF(VLOOKUP(AA$1,INDIRECT("'"&amp;$A16&amp;"'!$A$12:$Z$41"),MATCH("Points (Auto-generate)",INDIRECT("'"&amp;$A16&amp;"'!$A$12:$Z$12"),0),0)="","?",VLOOKUP(AA$1,INDIRECT("'"&amp;$A16&amp;"'!$A$12:$Z$41"),MATCH("Points (Auto-generate)",INDIRECT("'"&amp;$A16&amp;"'!$A$12:$Z$12"),0),0)),"ER"))</f>
        <v>?</v>
      </c>
      <c r="AB16" s="86" t="str">
        <f aca="true">IF($H16=0,"NA",IF($A16=INDIRECT("'"&amp;$A16&amp;"'!$B$1"),IF(VLOOKUP(AB$1,INDIRECT("'"&amp;$A16&amp;"'!$A$12:$Z$41"),MATCH("Points (Auto-generate)",INDIRECT("'"&amp;$A16&amp;"'!$A$12:$Z$12"),0),0)="","?",VLOOKUP(AB$1,INDIRECT("'"&amp;$A16&amp;"'!$A$12:$Z$41"),MATCH("Points (Auto-generate)",INDIRECT("'"&amp;$A16&amp;"'!$A$12:$Z$12"),0),0)),"ER"))</f>
        <v>?</v>
      </c>
      <c r="AC16" s="86" t="str">
        <f aca="true">IF($H16=0,"NA",IF($A16=INDIRECT("'"&amp;$A16&amp;"'!$B$1"),IF(VLOOKUP(AC$1,INDIRECT("'"&amp;$A16&amp;"'!$A$12:$Z$41"),MATCH("Points (Auto-generate)",INDIRECT("'"&amp;$A16&amp;"'!$A$12:$Z$12"),0),0)="","?",VLOOKUP(AC$1,INDIRECT("'"&amp;$A16&amp;"'!$A$12:$Z$41"),MATCH("Points (Auto-generate)",INDIRECT("'"&amp;$A16&amp;"'!$A$12:$Z$12"),0),0)),"ER"))</f>
        <v>?</v>
      </c>
      <c r="AD16" s="86" t="str">
        <f aca="true">IF($H16=0,"NA",IF($A16=INDIRECT("'"&amp;$A16&amp;"'!$B$1"),IF(VLOOKUP(AD$1,INDIRECT("'"&amp;$A16&amp;"'!$A$12:$Z$41"),MATCH("Points (Auto-generate)",INDIRECT("'"&amp;$A16&amp;"'!$A$12:$Z$12"),0),0)="","?",VLOOKUP(AD$1,INDIRECT("'"&amp;$A16&amp;"'!$A$12:$Z$41"),MATCH("Points (Auto-generate)",INDIRECT("'"&amp;$A16&amp;"'!$A$12:$Z$12"),0),0)),"ER"))</f>
        <v>?</v>
      </c>
      <c r="AE16" s="86" t="str">
        <f aca="true">IF($H16=0,"NA",IF($A16=INDIRECT("'"&amp;$A16&amp;"'!$B$1"),IF(VLOOKUP(AE$1,INDIRECT("'"&amp;$A16&amp;"'!$A$12:$Z$41"),MATCH("Points (Auto-generate)",INDIRECT("'"&amp;$A16&amp;"'!$A$12:$Z$12"),0),0)="","?",VLOOKUP(AE$1,INDIRECT("'"&amp;$A16&amp;"'!$A$12:$Z$41"),MATCH("Points (Auto-generate)",INDIRECT("'"&amp;$A16&amp;"'!$A$12:$Z$12"),0),0)),"ER"))</f>
        <v>?</v>
      </c>
      <c r="AF16" s="86" t="str">
        <f aca="true">IF($H16=0,"NA",IF($A16=INDIRECT("'"&amp;$A16&amp;"'!$B$1"),IF(VLOOKUP(AF$1,INDIRECT("'"&amp;$A16&amp;"'!$A$12:$Z$41"),MATCH("Points (Auto-generate)",INDIRECT("'"&amp;$A16&amp;"'!$A$12:$Z$12"),0),0)="","?",VLOOKUP(AF$1,INDIRECT("'"&amp;$A16&amp;"'!$A$12:$Z$41"),MATCH("Points (Auto-generate)",INDIRECT("'"&amp;$A16&amp;"'!$A$12:$Z$12"),0),0)),"ER"))</f>
        <v>?</v>
      </c>
      <c r="AG16" s="86" t="str">
        <f aca="true">IF($H16=0,"NA",IF($A16=INDIRECT("'"&amp;$A16&amp;"'!$B$1"),IF(VLOOKUP(AG$1,INDIRECT("'"&amp;$A16&amp;"'!$A$12:$Z$41"),MATCH("Points (Auto-generate)",INDIRECT("'"&amp;$A16&amp;"'!$A$12:$Z$12"),0),0)="","?",VLOOKUP(AG$1,INDIRECT("'"&amp;$A16&amp;"'!$A$12:$Z$41"),MATCH("Points (Auto-generate)",INDIRECT("'"&amp;$A16&amp;"'!$A$12:$Z$12"),0),0)),"ER"))</f>
        <v>?</v>
      </c>
      <c r="AH16" s="86" t="str">
        <f aca="true">IF($H16=0,"NA",IF($A16=INDIRECT("'"&amp;$A16&amp;"'!$B$1"),IF(VLOOKUP(AH$1,INDIRECT("'"&amp;$A16&amp;"'!$A$12:$Z$41"),MATCH("Points (Auto-generate)",INDIRECT("'"&amp;$A16&amp;"'!$A$12:$Z$12"),0),0)="","?",VLOOKUP(AH$1,INDIRECT("'"&amp;$A16&amp;"'!$A$12:$Z$41"),MATCH("Points (Auto-generate)",INDIRECT("'"&amp;$A16&amp;"'!$A$12:$Z$12"),0),0)),"ER"))</f>
        <v>?</v>
      </c>
      <c r="AI16" s="86" t="str">
        <f aca="true">IF($H16=0,"NA",IF($A16=INDIRECT("'"&amp;$A16&amp;"'!$B$1"),IF(VLOOKUP(AI$1,INDIRECT("'"&amp;$A16&amp;"'!$A$12:$Z$41"),MATCH("Points (Auto-generate)",INDIRECT("'"&amp;$A16&amp;"'!$A$12:$Z$12"),0),0)="","?",VLOOKUP(AI$1,INDIRECT("'"&amp;$A16&amp;"'!$A$12:$Z$41"),MATCH("Points (Auto-generate)",INDIRECT("'"&amp;$A16&amp;"'!$A$12:$Z$12"),0),0)),"ER"))</f>
        <v>?</v>
      </c>
      <c r="AJ16" s="86" t="str">
        <f aca="true">IF($H16=0,"NA",IF($A16=INDIRECT("'"&amp;$A16&amp;"'!$B$1"),IF(VLOOKUP(AJ$1,INDIRECT("'"&amp;$A16&amp;"'!$A$12:$Z$41"),MATCH("Points (Auto-generate)",INDIRECT("'"&amp;$A16&amp;"'!$A$12:$Z$12"),0),0)="","?",VLOOKUP(AJ$1,INDIRECT("'"&amp;$A16&amp;"'!$A$12:$Z$41"),MATCH("Points (Auto-generate)",INDIRECT("'"&amp;$A16&amp;"'!$A$12:$Z$12"),0),0)),"ER"))</f>
        <v>?</v>
      </c>
      <c r="AK16" s="86" t="str">
        <f aca="true">IF($H16=0,"NA",IF($A16=INDIRECT("'"&amp;$A16&amp;"'!$B$1"),IF(VLOOKUP(AK$1,INDIRECT("'"&amp;$A16&amp;"'!$A$12:$Z$41"),MATCH("Points (Auto-generate)",INDIRECT("'"&amp;$A16&amp;"'!$A$12:$Z$12"),0),0)="","?",VLOOKUP(AK$1,INDIRECT("'"&amp;$A16&amp;"'!$A$12:$Z$41"),MATCH("Points (Auto-generate)",INDIRECT("'"&amp;$A16&amp;"'!$A$12:$Z$12"),0),0)),"ER"))</f>
        <v>?</v>
      </c>
    </row>
    <row r="17" customFormat="false" ht="25.5" hidden="false" customHeight="true" outlineLevel="0" collapsed="false">
      <c r="A17" s="82" t="s">
        <v>87</v>
      </c>
      <c r="B17" s="83" t="str">
        <f aca="false">IF(ISBLANK($A17),"NO_CODE",VLOOKUP($A17,'UPD Questions_290926 '!$E$1:$N$300,MATCH(B$1,'UPD Questions_290926 '!$E$1:$N$1,0),0)&amp;"")</f>
        <v>Planning </v>
      </c>
      <c r="C17" s="84" t="str">
        <f aca="false">IF(ISBLANK($A17),"NO_CODE",VLOOKUP($A17,'UPD Questions_290926 '!$E$1:$N$300,MATCH(C$1,'UPD Questions_290926 '!$E$1:$N$1,0),0)&amp;"")</f>
        <v>Legal and institutional planning architecture</v>
      </c>
      <c r="D17" s="83" t="str">
        <f aca="false">IF(ISBLANK($A17),"NO_CODE",VLOOKUP($A17,'UPD Questions_290926 '!$E$1:$N$300,MATCH(D$1,'UPD Questions_290926 '!$E$1:$N$1,0),0)&amp;"")</f>
        <v>Metropolitan and district planning institutions</v>
      </c>
      <c r="E17" s="83" t="str">
        <f aca="false">IF(ISBLANK($A17),"NO_CODE",VLOOKUP($A17,'UPD Questions_290926 '!$E$1:$N$300,MATCH(E$1,'UPD Questions_290926 '!$E$1:$N$1,0),0)&amp;"")</f>
        <v>SQ</v>
      </c>
      <c r="F17" s="83" t="str">
        <f aca="false">IF(ISBLANK($A17),"NO_CODE",VLOOKUP($A17,'UPD Questions_290926 '!$E$1:$N$300,MATCH(F$1,'UPD Questions_290926 '!$E$1:$N$1,0),0)&amp;"")</f>
        <v>Have they met at least once in the past two years?</v>
      </c>
      <c r="G17" s="83" t="str">
        <f aca="false">IF(ISBLANK($A17),"NO_CODE",VLOOKUP($A17,'UPD Questions_290926 '!$E$1:$N$300,MATCH(G$1,'UPD Questions_290926 '!$E$1:$N$1,0),0)&amp;"")</f>
        <v>Implementation</v>
      </c>
      <c r="H17" s="85" t="n">
        <f aca="false">IF(ISBLANK($A17),"NO_CODE",VLOOKUP($A17,'UPD Questions_290926 '!$E$1:$N$300,MATCH(H$1,'UPD Questions_290926 '!$E$1:$N$1,0),0))</f>
        <v>5</v>
      </c>
      <c r="I17" s="86" t="str">
        <f aca="true">IF($H17=0,"NA",IF($A17=INDIRECT("'"&amp;$A17&amp;"'!$B$1"),IF(VLOOKUP(I$1,INDIRECT("'"&amp;$A17&amp;"'!$A$12:$Z$41"),MATCH("Points (Auto-generate)",INDIRECT("'"&amp;$A17&amp;"'!$A$12:$Z$12"),0),0)="","?",VLOOKUP(I$1,INDIRECT("'"&amp;$A17&amp;"'!$A$12:$Z$41"),MATCH("Points (Auto-generate)",INDIRECT("'"&amp;$A17&amp;"'!$A$12:$Z$12"),0),0)),"ER"))</f>
        <v>?</v>
      </c>
      <c r="J17" s="86" t="str">
        <f aca="true">IF($H17=0,"NA",IF($A17=INDIRECT("'"&amp;$A17&amp;"'!$B$1"),IF(VLOOKUP(J$1,INDIRECT("'"&amp;$A17&amp;"'!$A$12:$Z$41"),MATCH("Points (Auto-generate)",INDIRECT("'"&amp;$A17&amp;"'!$A$12:$Z$12"),0),0)="","?",VLOOKUP(J$1,INDIRECT("'"&amp;$A17&amp;"'!$A$12:$Z$41"),MATCH("Points (Auto-generate)",INDIRECT("'"&amp;$A17&amp;"'!$A$12:$Z$12"),0),0)),"ER"))</f>
        <v>?</v>
      </c>
      <c r="K17" s="86" t="str">
        <f aca="true">IF($H17=0,"NA",IF($A17=INDIRECT("'"&amp;$A17&amp;"'!$B$1"),IF(VLOOKUP(K$1,INDIRECT("'"&amp;$A17&amp;"'!$A$12:$Z$41"),MATCH("Points (Auto-generate)",INDIRECT("'"&amp;$A17&amp;"'!$A$12:$Z$12"),0),0)="","?",VLOOKUP(K$1,INDIRECT("'"&amp;$A17&amp;"'!$A$12:$Z$41"),MATCH("Points (Auto-generate)",INDIRECT("'"&amp;$A17&amp;"'!$A$12:$Z$12"),0),0)),"ER"))</f>
        <v>?</v>
      </c>
      <c r="L17" s="86" t="str">
        <f aca="true">IF($H17=0,"NA",IF($A17=INDIRECT("'"&amp;$A17&amp;"'!$B$1"),IF(VLOOKUP(L$1,INDIRECT("'"&amp;$A17&amp;"'!$A$12:$Z$41"),MATCH("Points (Auto-generate)",INDIRECT("'"&amp;$A17&amp;"'!$A$12:$Z$12"),0),0)="","?",VLOOKUP(L$1,INDIRECT("'"&amp;$A17&amp;"'!$A$12:$Z$41"),MATCH("Points (Auto-generate)",INDIRECT("'"&amp;$A17&amp;"'!$A$12:$Z$12"),0),0)),"ER"))</f>
        <v>?</v>
      </c>
      <c r="M17" s="86" t="str">
        <f aca="true">IF($H17=0,"NA",IF($A17=INDIRECT("'"&amp;$A17&amp;"'!$B$1"),IF(VLOOKUP(M$1,INDIRECT("'"&amp;$A17&amp;"'!$A$12:$Z$41"),MATCH("Points (Auto-generate)",INDIRECT("'"&amp;$A17&amp;"'!$A$12:$Z$12"),0),0)="","?",VLOOKUP(M$1,INDIRECT("'"&amp;$A17&amp;"'!$A$12:$Z$41"),MATCH("Points (Auto-generate)",INDIRECT("'"&amp;$A17&amp;"'!$A$12:$Z$12"),0),0)),"ER"))</f>
        <v>?</v>
      </c>
      <c r="N17" s="86" t="str">
        <f aca="true">IF($H17=0,"NA",IF($A17=INDIRECT("'"&amp;$A17&amp;"'!$B$1"),IF(VLOOKUP(N$1,INDIRECT("'"&amp;$A17&amp;"'!$A$12:$Z$41"),MATCH("Points (Auto-generate)",INDIRECT("'"&amp;$A17&amp;"'!$A$12:$Z$12"),0),0)="","?",VLOOKUP(N$1,INDIRECT("'"&amp;$A17&amp;"'!$A$12:$Z$41"),MATCH("Points (Auto-generate)",INDIRECT("'"&amp;$A17&amp;"'!$A$12:$Z$12"),0),0)),"ER"))</f>
        <v>?</v>
      </c>
      <c r="O17" s="86" t="str">
        <f aca="true">IF($H17=0,"NA",IF($A17=INDIRECT("'"&amp;$A17&amp;"'!$B$1"),IF(VLOOKUP(O$1,INDIRECT("'"&amp;$A17&amp;"'!$A$12:$Z$41"),MATCH("Points (Auto-generate)",INDIRECT("'"&amp;$A17&amp;"'!$A$12:$Z$12"),0),0)="","?",VLOOKUP(O$1,INDIRECT("'"&amp;$A17&amp;"'!$A$12:$Z$41"),MATCH("Points (Auto-generate)",INDIRECT("'"&amp;$A17&amp;"'!$A$12:$Z$12"),0),0)),"ER"))</f>
        <v>?</v>
      </c>
      <c r="P17" s="86" t="str">
        <f aca="true">IF($H17=0,"NA",IF($A17=INDIRECT("'"&amp;$A17&amp;"'!$B$1"),IF(VLOOKUP(P$1,INDIRECT("'"&amp;$A17&amp;"'!$A$12:$Z$41"),MATCH("Points (Auto-generate)",INDIRECT("'"&amp;$A17&amp;"'!$A$12:$Z$12"),0),0)="","?",VLOOKUP(P$1,INDIRECT("'"&amp;$A17&amp;"'!$A$12:$Z$41"),MATCH("Points (Auto-generate)",INDIRECT("'"&amp;$A17&amp;"'!$A$12:$Z$12"),0),0)),"ER"))</f>
        <v>?</v>
      </c>
      <c r="Q17" s="86" t="str">
        <f aca="true">IF($H17=0,"NA",IF($A17=INDIRECT("'"&amp;$A17&amp;"'!$B$1"),IF(VLOOKUP(Q$1,INDIRECT("'"&amp;$A17&amp;"'!$A$12:$Z$41"),MATCH("Points (Auto-generate)",INDIRECT("'"&amp;$A17&amp;"'!$A$12:$Z$12"),0),0)="","?",VLOOKUP(Q$1,INDIRECT("'"&amp;$A17&amp;"'!$A$12:$Z$41"),MATCH("Points (Auto-generate)",INDIRECT("'"&amp;$A17&amp;"'!$A$12:$Z$12"),0),0)),"ER"))</f>
        <v>?</v>
      </c>
      <c r="R17" s="86" t="str">
        <f aca="true">IF($H17=0,"NA",IF($A17=INDIRECT("'"&amp;$A17&amp;"'!$B$1"),IF(VLOOKUP(R$1,INDIRECT("'"&amp;$A17&amp;"'!$A$12:$Z$41"),MATCH("Points (Auto-generate)",INDIRECT("'"&amp;$A17&amp;"'!$A$12:$Z$12"),0),0)="","?",VLOOKUP(R$1,INDIRECT("'"&amp;$A17&amp;"'!$A$12:$Z$41"),MATCH("Points (Auto-generate)",INDIRECT("'"&amp;$A17&amp;"'!$A$12:$Z$12"),0),0)),"ER"))</f>
        <v>?</v>
      </c>
      <c r="S17" s="86" t="str">
        <f aca="true">IF($H17=0,"NA",IF($A17=INDIRECT("'"&amp;$A17&amp;"'!$B$1"),IF(VLOOKUP(S$1,INDIRECT("'"&amp;$A17&amp;"'!$A$12:$Z$41"),MATCH("Points (Auto-generate)",INDIRECT("'"&amp;$A17&amp;"'!$A$12:$Z$12"),0),0)="","?",VLOOKUP(S$1,INDIRECT("'"&amp;$A17&amp;"'!$A$12:$Z$41"),MATCH("Points (Auto-generate)",INDIRECT("'"&amp;$A17&amp;"'!$A$12:$Z$12"),0),0)),"ER"))</f>
        <v>?</v>
      </c>
      <c r="T17" s="86" t="str">
        <f aca="true">IF($H17=0,"NA",IF($A17=INDIRECT("'"&amp;$A17&amp;"'!$B$1"),IF(VLOOKUP(T$1,INDIRECT("'"&amp;$A17&amp;"'!$A$12:$Z$41"),MATCH("Points (Auto-generate)",INDIRECT("'"&amp;$A17&amp;"'!$A$12:$Z$12"),0),0)="","?",VLOOKUP(T$1,INDIRECT("'"&amp;$A17&amp;"'!$A$12:$Z$41"),MATCH("Points (Auto-generate)",INDIRECT("'"&amp;$A17&amp;"'!$A$12:$Z$12"),0),0)),"ER"))</f>
        <v>?</v>
      </c>
      <c r="U17" s="86" t="str">
        <f aca="true">IF($H17=0,"NA",IF($A17=INDIRECT("'"&amp;$A17&amp;"'!$B$1"),IF(VLOOKUP(U$1,INDIRECT("'"&amp;$A17&amp;"'!$A$12:$Z$41"),MATCH("Points (Auto-generate)",INDIRECT("'"&amp;$A17&amp;"'!$A$12:$Z$12"),0),0)="","?",VLOOKUP(U$1,INDIRECT("'"&amp;$A17&amp;"'!$A$12:$Z$41"),MATCH("Points (Auto-generate)",INDIRECT("'"&amp;$A17&amp;"'!$A$12:$Z$12"),0),0)),"ER"))</f>
        <v>?</v>
      </c>
      <c r="V17" s="86" t="str">
        <f aca="true">IF($H17=0,"NA",IF($A17=INDIRECT("'"&amp;$A17&amp;"'!$B$1"),IF(VLOOKUP(V$1,INDIRECT("'"&amp;$A17&amp;"'!$A$12:$Z$41"),MATCH("Points (Auto-generate)",INDIRECT("'"&amp;$A17&amp;"'!$A$12:$Z$12"),0),0)="","?",VLOOKUP(V$1,INDIRECT("'"&amp;$A17&amp;"'!$A$12:$Z$41"),MATCH("Points (Auto-generate)",INDIRECT("'"&amp;$A17&amp;"'!$A$12:$Z$12"),0),0)),"ER"))</f>
        <v>?</v>
      </c>
      <c r="W17" s="86" t="str">
        <f aca="true">IF($H17=0,"NA",IF($A17=INDIRECT("'"&amp;$A17&amp;"'!$B$1"),IF(VLOOKUP(W$1,INDIRECT("'"&amp;$A17&amp;"'!$A$12:$Z$41"),MATCH("Points (Auto-generate)",INDIRECT("'"&amp;$A17&amp;"'!$A$12:$Z$12"),0),0)="","?",VLOOKUP(W$1,INDIRECT("'"&amp;$A17&amp;"'!$A$12:$Z$41"),MATCH("Points (Auto-generate)",INDIRECT("'"&amp;$A17&amp;"'!$A$12:$Z$12"),0),0)),"ER"))</f>
        <v>?</v>
      </c>
      <c r="X17" s="86" t="str">
        <f aca="true">IF($H17=0,"NA",IF($A17=INDIRECT("'"&amp;$A17&amp;"'!$B$1"),IF(VLOOKUP(X$1,INDIRECT("'"&amp;$A17&amp;"'!$A$12:$Z$41"),MATCH("Points (Auto-generate)",INDIRECT("'"&amp;$A17&amp;"'!$A$12:$Z$12"),0),0)="","?",VLOOKUP(X$1,INDIRECT("'"&amp;$A17&amp;"'!$A$12:$Z$41"),MATCH("Points (Auto-generate)",INDIRECT("'"&amp;$A17&amp;"'!$A$12:$Z$12"),0),0)),"ER"))</f>
        <v>?</v>
      </c>
      <c r="Y17" s="86" t="str">
        <f aca="true">IF($H17=0,"NA",IF($A17=INDIRECT("'"&amp;$A17&amp;"'!$B$1"),IF(VLOOKUP(Y$1,INDIRECT("'"&amp;$A17&amp;"'!$A$12:$Z$41"),MATCH("Points (Auto-generate)",INDIRECT("'"&amp;$A17&amp;"'!$A$12:$Z$12"),0),0)="","?",VLOOKUP(Y$1,INDIRECT("'"&amp;$A17&amp;"'!$A$12:$Z$41"),MATCH("Points (Auto-generate)",INDIRECT("'"&amp;$A17&amp;"'!$A$12:$Z$12"),0),0)),"ER"))</f>
        <v>?</v>
      </c>
      <c r="Z17" s="86" t="str">
        <f aca="true">IF($H17=0,"NA",IF($A17=INDIRECT("'"&amp;$A17&amp;"'!$B$1"),IF(VLOOKUP(Z$1,INDIRECT("'"&amp;$A17&amp;"'!$A$12:$Z$41"),MATCH("Points (Auto-generate)",INDIRECT("'"&amp;$A17&amp;"'!$A$12:$Z$12"),0),0)="","?",VLOOKUP(Z$1,INDIRECT("'"&amp;$A17&amp;"'!$A$12:$Z$41"),MATCH("Points (Auto-generate)",INDIRECT("'"&amp;$A17&amp;"'!$A$12:$Z$12"),0),0)),"ER"))</f>
        <v>?</v>
      </c>
      <c r="AA17" s="86" t="str">
        <f aca="true">IF($H17=0,"NA",IF($A17=INDIRECT("'"&amp;$A17&amp;"'!$B$1"),IF(VLOOKUP(AA$1,INDIRECT("'"&amp;$A17&amp;"'!$A$12:$Z$41"),MATCH("Points (Auto-generate)",INDIRECT("'"&amp;$A17&amp;"'!$A$12:$Z$12"),0),0)="","?",VLOOKUP(AA$1,INDIRECT("'"&amp;$A17&amp;"'!$A$12:$Z$41"),MATCH("Points (Auto-generate)",INDIRECT("'"&amp;$A17&amp;"'!$A$12:$Z$12"),0),0)),"ER"))</f>
        <v>?</v>
      </c>
      <c r="AB17" s="86" t="str">
        <f aca="true">IF($H17=0,"NA",IF($A17=INDIRECT("'"&amp;$A17&amp;"'!$B$1"),IF(VLOOKUP(AB$1,INDIRECT("'"&amp;$A17&amp;"'!$A$12:$Z$41"),MATCH("Points (Auto-generate)",INDIRECT("'"&amp;$A17&amp;"'!$A$12:$Z$12"),0),0)="","?",VLOOKUP(AB$1,INDIRECT("'"&amp;$A17&amp;"'!$A$12:$Z$41"),MATCH("Points (Auto-generate)",INDIRECT("'"&amp;$A17&amp;"'!$A$12:$Z$12"),0),0)),"ER"))</f>
        <v>?</v>
      </c>
      <c r="AC17" s="86" t="str">
        <f aca="true">IF($H17=0,"NA",IF($A17=INDIRECT("'"&amp;$A17&amp;"'!$B$1"),IF(VLOOKUP(AC$1,INDIRECT("'"&amp;$A17&amp;"'!$A$12:$Z$41"),MATCH("Points (Auto-generate)",INDIRECT("'"&amp;$A17&amp;"'!$A$12:$Z$12"),0),0)="","?",VLOOKUP(AC$1,INDIRECT("'"&amp;$A17&amp;"'!$A$12:$Z$41"),MATCH("Points (Auto-generate)",INDIRECT("'"&amp;$A17&amp;"'!$A$12:$Z$12"),0),0)),"ER"))</f>
        <v>?</v>
      </c>
      <c r="AD17" s="86" t="str">
        <f aca="true">IF($H17=0,"NA",IF($A17=INDIRECT("'"&amp;$A17&amp;"'!$B$1"),IF(VLOOKUP(AD$1,INDIRECT("'"&amp;$A17&amp;"'!$A$12:$Z$41"),MATCH("Points (Auto-generate)",INDIRECT("'"&amp;$A17&amp;"'!$A$12:$Z$12"),0),0)="","?",VLOOKUP(AD$1,INDIRECT("'"&amp;$A17&amp;"'!$A$12:$Z$41"),MATCH("Points (Auto-generate)",INDIRECT("'"&amp;$A17&amp;"'!$A$12:$Z$12"),0),0)),"ER"))</f>
        <v>?</v>
      </c>
      <c r="AE17" s="86" t="str">
        <f aca="true">IF($H17=0,"NA",IF($A17=INDIRECT("'"&amp;$A17&amp;"'!$B$1"),IF(VLOOKUP(AE$1,INDIRECT("'"&amp;$A17&amp;"'!$A$12:$Z$41"),MATCH("Points (Auto-generate)",INDIRECT("'"&amp;$A17&amp;"'!$A$12:$Z$12"),0),0)="","?",VLOOKUP(AE$1,INDIRECT("'"&amp;$A17&amp;"'!$A$12:$Z$41"),MATCH("Points (Auto-generate)",INDIRECT("'"&amp;$A17&amp;"'!$A$12:$Z$12"),0),0)),"ER"))</f>
        <v>?</v>
      </c>
      <c r="AF17" s="86" t="str">
        <f aca="true">IF($H17=0,"NA",IF($A17=INDIRECT("'"&amp;$A17&amp;"'!$B$1"),IF(VLOOKUP(AF$1,INDIRECT("'"&amp;$A17&amp;"'!$A$12:$Z$41"),MATCH("Points (Auto-generate)",INDIRECT("'"&amp;$A17&amp;"'!$A$12:$Z$12"),0),0)="","?",VLOOKUP(AF$1,INDIRECT("'"&amp;$A17&amp;"'!$A$12:$Z$41"),MATCH("Points (Auto-generate)",INDIRECT("'"&amp;$A17&amp;"'!$A$12:$Z$12"),0),0)),"ER"))</f>
        <v>?</v>
      </c>
      <c r="AG17" s="86" t="str">
        <f aca="true">IF($H17=0,"NA",IF($A17=INDIRECT("'"&amp;$A17&amp;"'!$B$1"),IF(VLOOKUP(AG$1,INDIRECT("'"&amp;$A17&amp;"'!$A$12:$Z$41"),MATCH("Points (Auto-generate)",INDIRECT("'"&amp;$A17&amp;"'!$A$12:$Z$12"),0),0)="","?",VLOOKUP(AG$1,INDIRECT("'"&amp;$A17&amp;"'!$A$12:$Z$41"),MATCH("Points (Auto-generate)",INDIRECT("'"&amp;$A17&amp;"'!$A$12:$Z$12"),0),0)),"ER"))</f>
        <v>?</v>
      </c>
      <c r="AH17" s="86" t="str">
        <f aca="true">IF($H17=0,"NA",IF($A17=INDIRECT("'"&amp;$A17&amp;"'!$B$1"),IF(VLOOKUP(AH$1,INDIRECT("'"&amp;$A17&amp;"'!$A$12:$Z$41"),MATCH("Points (Auto-generate)",INDIRECT("'"&amp;$A17&amp;"'!$A$12:$Z$12"),0),0)="","?",VLOOKUP(AH$1,INDIRECT("'"&amp;$A17&amp;"'!$A$12:$Z$41"),MATCH("Points (Auto-generate)",INDIRECT("'"&amp;$A17&amp;"'!$A$12:$Z$12"),0),0)),"ER"))</f>
        <v>?</v>
      </c>
      <c r="AI17" s="86" t="str">
        <f aca="true">IF($H17=0,"NA",IF($A17=INDIRECT("'"&amp;$A17&amp;"'!$B$1"),IF(VLOOKUP(AI$1,INDIRECT("'"&amp;$A17&amp;"'!$A$12:$Z$41"),MATCH("Points (Auto-generate)",INDIRECT("'"&amp;$A17&amp;"'!$A$12:$Z$12"),0),0)="","?",VLOOKUP(AI$1,INDIRECT("'"&amp;$A17&amp;"'!$A$12:$Z$41"),MATCH("Points (Auto-generate)",INDIRECT("'"&amp;$A17&amp;"'!$A$12:$Z$12"),0),0)),"ER"))</f>
        <v>?</v>
      </c>
      <c r="AJ17" s="86" t="str">
        <f aca="true">IF($H17=0,"NA",IF($A17=INDIRECT("'"&amp;$A17&amp;"'!$B$1"),IF(VLOOKUP(AJ$1,INDIRECT("'"&amp;$A17&amp;"'!$A$12:$Z$41"),MATCH("Points (Auto-generate)",INDIRECT("'"&amp;$A17&amp;"'!$A$12:$Z$12"),0),0)="","?",VLOOKUP(AJ$1,INDIRECT("'"&amp;$A17&amp;"'!$A$12:$Z$41"),MATCH("Points (Auto-generate)",INDIRECT("'"&amp;$A17&amp;"'!$A$12:$Z$12"),0),0)),"ER"))</f>
        <v>?</v>
      </c>
      <c r="AK17" s="86" t="str">
        <f aca="true">IF($H17=0,"NA",IF($A17=INDIRECT("'"&amp;$A17&amp;"'!$B$1"),IF(VLOOKUP(AK$1,INDIRECT("'"&amp;$A17&amp;"'!$A$12:$Z$41"),MATCH("Points (Auto-generate)",INDIRECT("'"&amp;$A17&amp;"'!$A$12:$Z$12"),0),0)="","?",VLOOKUP(AK$1,INDIRECT("'"&amp;$A17&amp;"'!$A$12:$Z$41"),MATCH("Points (Auto-generate)",INDIRECT("'"&amp;$A17&amp;"'!$A$12:$Z$12"),0),0)),"ER"))</f>
        <v>?</v>
      </c>
    </row>
    <row r="18" customFormat="false" ht="25.5" hidden="false" customHeight="true" outlineLevel="0" collapsed="false">
      <c r="A18" s="82" t="s">
        <v>90</v>
      </c>
      <c r="B18" s="83" t="str">
        <f aca="false">IF(ISBLANK($A18),"NO_CODE",VLOOKUP($A18,'UPD Questions_290926 '!$E$1:$N$300,MATCH(B$1,'UPD Questions_290926 '!$E$1:$N$1,0),0)&amp;"")</f>
        <v>Planning </v>
      </c>
      <c r="C18" s="84" t="str">
        <f aca="false">IF(ISBLANK($A18),"NO_CODE",VLOOKUP($A18,'UPD Questions_290926 '!$E$1:$N$300,MATCH(C$1,'UPD Questions_290926 '!$E$1:$N$1,0),0)&amp;"")</f>
        <v>Legal and institutional planning architecture</v>
      </c>
      <c r="D18" s="83" t="str">
        <f aca="false">IF(ISBLANK($A18),"NO_CODE",VLOOKUP($A18,'UPD Questions_290926 '!$E$1:$N$300,MATCH(D$1,'UPD Questions_290926 '!$E$1:$N$1,0),0)&amp;"")</f>
        <v>Metropolitan and district planning institutions</v>
      </c>
      <c r="E18" s="83" t="str">
        <f aca="false">IF(ISBLANK($A18),"NO_CODE",VLOOKUP($A18,'UPD Questions_290926 '!$E$1:$N$300,MATCH(E$1,'UPD Questions_290926 '!$E$1:$N$1,0),0)&amp;"")</f>
        <v>MQ</v>
      </c>
      <c r="F18" s="83" t="str">
        <f aca="false">IF(ISBLANK($A18),"NO_CODE",VLOOKUP($A18,'UPD Questions_290926 '!$E$1:$N$300,MATCH(F$1,'UPD Questions_290926 '!$E$1:$N$1,0),0)&amp;"")</f>
        <v>Does the city (million-plus) have a Metropolitan Authority?</v>
      </c>
      <c r="G18" s="83" t="str">
        <f aca="false">IF(ISBLANK($A18),"NO_CODE",VLOOKUP($A18,'UPD Questions_290926 '!$E$1:$N$300,MATCH(G$1,'UPD Questions_290926 '!$E$1:$N$1,0),0)&amp;"")</f>
        <v>Law or Policy </v>
      </c>
      <c r="H18" s="85" t="n">
        <f aca="false">IF(ISBLANK($A18),"NO_CODE",VLOOKUP($A18,'UPD Questions_290926 '!$E$1:$N$300,MATCH(H$1,'UPD Questions_290926 '!$E$1:$N$1,0),0))</f>
        <v>10</v>
      </c>
      <c r="I18" s="86" t="str">
        <f aca="true">IF($H18=0,"NA",IF($A18=INDIRECT("'"&amp;$A18&amp;"'!$B$1"),IF(VLOOKUP(I$1,INDIRECT("'"&amp;$A18&amp;"'!$A$12:$Z$41"),MATCH("Points (Auto-generate)",INDIRECT("'"&amp;$A18&amp;"'!$A$12:$Z$12"),0),0)="","?",VLOOKUP(I$1,INDIRECT("'"&amp;$A18&amp;"'!$A$12:$Z$41"),MATCH("Points (Auto-generate)",INDIRECT("'"&amp;$A18&amp;"'!$A$12:$Z$12"),0),0)),"ER"))</f>
        <v>?</v>
      </c>
      <c r="J18" s="86" t="n">
        <f aca="true">IF($H18=0,"NA",IF($A18=INDIRECT("'"&amp;$A18&amp;"'!$B$1"),IF(VLOOKUP(J$1,INDIRECT("'"&amp;$A18&amp;"'!$A$12:$Z$41"),MATCH("Points (Auto-generate)",INDIRECT("'"&amp;$A18&amp;"'!$A$12:$Z$12"),0),0)="","?",VLOOKUP(J$1,INDIRECT("'"&amp;$A18&amp;"'!$A$12:$Z$41"),MATCH("Points (Auto-generate)",INDIRECT("'"&amp;$A18&amp;"'!$A$12:$Z$12"),0),0)),"ER"))</f>
        <v>10</v>
      </c>
      <c r="K18" s="86" t="str">
        <f aca="true">IF($H18=0,"NA",IF($A18=INDIRECT("'"&amp;$A18&amp;"'!$B$1"),IF(VLOOKUP(K$1,INDIRECT("'"&amp;$A18&amp;"'!$A$12:$Z$41"),MATCH("Points (Auto-generate)",INDIRECT("'"&amp;$A18&amp;"'!$A$12:$Z$12"),0),0)="","?",VLOOKUP(K$1,INDIRECT("'"&amp;$A18&amp;"'!$A$12:$Z$41"),MATCH("Points (Auto-generate)",INDIRECT("'"&amp;$A18&amp;"'!$A$12:$Z$12"),0),0)),"ER"))</f>
        <v>?</v>
      </c>
      <c r="L18" s="86" t="str">
        <f aca="true">IF($H18=0,"NA",IF($A18=INDIRECT("'"&amp;$A18&amp;"'!$B$1"),IF(VLOOKUP(L$1,INDIRECT("'"&amp;$A18&amp;"'!$A$12:$Z$41"),MATCH("Points (Auto-generate)",INDIRECT("'"&amp;$A18&amp;"'!$A$12:$Z$12"),0),0)="","?",VLOOKUP(L$1,INDIRECT("'"&amp;$A18&amp;"'!$A$12:$Z$41"),MATCH("Points (Auto-generate)",INDIRECT("'"&amp;$A18&amp;"'!$A$12:$Z$12"),0),0)),"ER"))</f>
        <v>?</v>
      </c>
      <c r="M18" s="86" t="str">
        <f aca="true">IF($H18=0,"NA",IF($A18=INDIRECT("'"&amp;$A18&amp;"'!$B$1"),IF(VLOOKUP(M$1,INDIRECT("'"&amp;$A18&amp;"'!$A$12:$Z$41"),MATCH("Points (Auto-generate)",INDIRECT("'"&amp;$A18&amp;"'!$A$12:$Z$12"),0),0)="","?",VLOOKUP(M$1,INDIRECT("'"&amp;$A18&amp;"'!$A$12:$Z$41"),MATCH("Points (Auto-generate)",INDIRECT("'"&amp;$A18&amp;"'!$A$12:$Z$12"),0),0)),"ER"))</f>
        <v>?</v>
      </c>
      <c r="N18" s="86" t="str">
        <f aca="true">IF($H18=0,"NA",IF($A18=INDIRECT("'"&amp;$A18&amp;"'!$B$1"),IF(VLOOKUP(N$1,INDIRECT("'"&amp;$A18&amp;"'!$A$12:$Z$41"),MATCH("Points (Auto-generate)",INDIRECT("'"&amp;$A18&amp;"'!$A$12:$Z$12"),0),0)="","?",VLOOKUP(N$1,INDIRECT("'"&amp;$A18&amp;"'!$A$12:$Z$41"),MATCH("Points (Auto-generate)",INDIRECT("'"&amp;$A18&amp;"'!$A$12:$Z$12"),0),0)),"ER"))</f>
        <v>?</v>
      </c>
      <c r="O18" s="86" t="str">
        <f aca="true">IF($H18=0,"NA",IF($A18=INDIRECT("'"&amp;$A18&amp;"'!$B$1"),IF(VLOOKUP(O$1,INDIRECT("'"&amp;$A18&amp;"'!$A$12:$Z$41"),MATCH("Points (Auto-generate)",INDIRECT("'"&amp;$A18&amp;"'!$A$12:$Z$12"),0),0)="","?",VLOOKUP(O$1,INDIRECT("'"&amp;$A18&amp;"'!$A$12:$Z$41"),MATCH("Points (Auto-generate)",INDIRECT("'"&amp;$A18&amp;"'!$A$12:$Z$12"),0),0)),"ER"))</f>
        <v>?</v>
      </c>
      <c r="P18" s="86" t="str">
        <f aca="true">IF($H18=0,"NA",IF($A18=INDIRECT("'"&amp;$A18&amp;"'!$B$1"),IF(VLOOKUP(P$1,INDIRECT("'"&amp;$A18&amp;"'!$A$12:$Z$41"),MATCH("Points (Auto-generate)",INDIRECT("'"&amp;$A18&amp;"'!$A$12:$Z$12"),0),0)="","?",VLOOKUP(P$1,INDIRECT("'"&amp;$A18&amp;"'!$A$12:$Z$41"),MATCH("Points (Auto-generate)",INDIRECT("'"&amp;$A18&amp;"'!$A$12:$Z$12"),0),0)),"ER"))</f>
        <v>?</v>
      </c>
      <c r="Q18" s="86" t="str">
        <f aca="true">IF($H18=0,"NA",IF($A18=INDIRECT("'"&amp;$A18&amp;"'!$B$1"),IF(VLOOKUP(Q$1,INDIRECT("'"&amp;$A18&amp;"'!$A$12:$Z$41"),MATCH("Points (Auto-generate)",INDIRECT("'"&amp;$A18&amp;"'!$A$12:$Z$12"),0),0)="","?",VLOOKUP(Q$1,INDIRECT("'"&amp;$A18&amp;"'!$A$12:$Z$41"),MATCH("Points (Auto-generate)",INDIRECT("'"&amp;$A18&amp;"'!$A$12:$Z$12"),0),0)),"ER"))</f>
        <v>?</v>
      </c>
      <c r="R18" s="86" t="str">
        <f aca="true">IF($H18=0,"NA",IF($A18=INDIRECT("'"&amp;$A18&amp;"'!$B$1"),IF(VLOOKUP(R$1,INDIRECT("'"&amp;$A18&amp;"'!$A$12:$Z$41"),MATCH("Points (Auto-generate)",INDIRECT("'"&amp;$A18&amp;"'!$A$12:$Z$12"),0),0)="","?",VLOOKUP(R$1,INDIRECT("'"&amp;$A18&amp;"'!$A$12:$Z$41"),MATCH("Points (Auto-generate)",INDIRECT("'"&amp;$A18&amp;"'!$A$12:$Z$12"),0),0)),"ER"))</f>
        <v>?</v>
      </c>
      <c r="S18" s="86" t="str">
        <f aca="true">IF($H18=0,"NA",IF($A18=INDIRECT("'"&amp;$A18&amp;"'!$B$1"),IF(VLOOKUP(S$1,INDIRECT("'"&amp;$A18&amp;"'!$A$12:$Z$41"),MATCH("Points (Auto-generate)",INDIRECT("'"&amp;$A18&amp;"'!$A$12:$Z$12"),0),0)="","?",VLOOKUP(S$1,INDIRECT("'"&amp;$A18&amp;"'!$A$12:$Z$41"),MATCH("Points (Auto-generate)",INDIRECT("'"&amp;$A18&amp;"'!$A$12:$Z$12"),0),0)),"ER"))</f>
        <v>?</v>
      </c>
      <c r="T18" s="86" t="str">
        <f aca="true">IF($H18=0,"NA",IF($A18=INDIRECT("'"&amp;$A18&amp;"'!$B$1"),IF(VLOOKUP(T$1,INDIRECT("'"&amp;$A18&amp;"'!$A$12:$Z$41"),MATCH("Points (Auto-generate)",INDIRECT("'"&amp;$A18&amp;"'!$A$12:$Z$12"),0),0)="","?",VLOOKUP(T$1,INDIRECT("'"&amp;$A18&amp;"'!$A$12:$Z$41"),MATCH("Points (Auto-generate)",INDIRECT("'"&amp;$A18&amp;"'!$A$12:$Z$12"),0),0)),"ER"))</f>
        <v>?</v>
      </c>
      <c r="U18" s="86" t="str">
        <f aca="true">IF($H18=0,"NA",IF($A18=INDIRECT("'"&amp;$A18&amp;"'!$B$1"),IF(VLOOKUP(U$1,INDIRECT("'"&amp;$A18&amp;"'!$A$12:$Z$41"),MATCH("Points (Auto-generate)",INDIRECT("'"&amp;$A18&amp;"'!$A$12:$Z$12"),0),0)="","?",VLOOKUP(U$1,INDIRECT("'"&amp;$A18&amp;"'!$A$12:$Z$41"),MATCH("Points (Auto-generate)",INDIRECT("'"&amp;$A18&amp;"'!$A$12:$Z$12"),0),0)),"ER"))</f>
        <v>?</v>
      </c>
      <c r="V18" s="86" t="str">
        <f aca="true">IF($H18=0,"NA",IF($A18=INDIRECT("'"&amp;$A18&amp;"'!$B$1"),IF(VLOOKUP(V$1,INDIRECT("'"&amp;$A18&amp;"'!$A$12:$Z$41"),MATCH("Points (Auto-generate)",INDIRECT("'"&amp;$A18&amp;"'!$A$12:$Z$12"),0),0)="","?",VLOOKUP(V$1,INDIRECT("'"&amp;$A18&amp;"'!$A$12:$Z$41"),MATCH("Points (Auto-generate)",INDIRECT("'"&amp;$A18&amp;"'!$A$12:$Z$12"),0),0)),"ER"))</f>
        <v>?</v>
      </c>
      <c r="W18" s="86" t="str">
        <f aca="true">IF($H18=0,"NA",IF($A18=INDIRECT("'"&amp;$A18&amp;"'!$B$1"),IF(VLOOKUP(W$1,INDIRECT("'"&amp;$A18&amp;"'!$A$12:$Z$41"),MATCH("Points (Auto-generate)",INDIRECT("'"&amp;$A18&amp;"'!$A$12:$Z$12"),0),0)="","?",VLOOKUP(W$1,INDIRECT("'"&amp;$A18&amp;"'!$A$12:$Z$41"),MATCH("Points (Auto-generate)",INDIRECT("'"&amp;$A18&amp;"'!$A$12:$Z$12"),0),0)),"ER"))</f>
        <v>?</v>
      </c>
      <c r="X18" s="86" t="str">
        <f aca="true">IF($H18=0,"NA",IF($A18=INDIRECT("'"&amp;$A18&amp;"'!$B$1"),IF(VLOOKUP(X$1,INDIRECT("'"&amp;$A18&amp;"'!$A$12:$Z$41"),MATCH("Points (Auto-generate)",INDIRECT("'"&amp;$A18&amp;"'!$A$12:$Z$12"),0),0)="","?",VLOOKUP(X$1,INDIRECT("'"&amp;$A18&amp;"'!$A$12:$Z$41"),MATCH("Points (Auto-generate)",INDIRECT("'"&amp;$A18&amp;"'!$A$12:$Z$12"),0),0)),"ER"))</f>
        <v>?</v>
      </c>
      <c r="Y18" s="86" t="str">
        <f aca="true">IF($H18=0,"NA",IF($A18=INDIRECT("'"&amp;$A18&amp;"'!$B$1"),IF(VLOOKUP(Y$1,INDIRECT("'"&amp;$A18&amp;"'!$A$12:$Z$41"),MATCH("Points (Auto-generate)",INDIRECT("'"&amp;$A18&amp;"'!$A$12:$Z$12"),0),0)="","?",VLOOKUP(Y$1,INDIRECT("'"&amp;$A18&amp;"'!$A$12:$Z$41"),MATCH("Points (Auto-generate)",INDIRECT("'"&amp;$A18&amp;"'!$A$12:$Z$12"),0),0)),"ER"))</f>
        <v>?</v>
      </c>
      <c r="Z18" s="86" t="str">
        <f aca="true">IF($H18=0,"NA",IF($A18=INDIRECT("'"&amp;$A18&amp;"'!$B$1"),IF(VLOOKUP(Z$1,INDIRECT("'"&amp;$A18&amp;"'!$A$12:$Z$41"),MATCH("Points (Auto-generate)",INDIRECT("'"&amp;$A18&amp;"'!$A$12:$Z$12"),0),0)="","?",VLOOKUP(Z$1,INDIRECT("'"&amp;$A18&amp;"'!$A$12:$Z$41"),MATCH("Points (Auto-generate)",INDIRECT("'"&amp;$A18&amp;"'!$A$12:$Z$12"),0),0)),"ER"))</f>
        <v>?</v>
      </c>
      <c r="AA18" s="86" t="str">
        <f aca="true">IF($H18=0,"NA",IF($A18=INDIRECT("'"&amp;$A18&amp;"'!$B$1"),IF(VLOOKUP(AA$1,INDIRECT("'"&amp;$A18&amp;"'!$A$12:$Z$41"),MATCH("Points (Auto-generate)",INDIRECT("'"&amp;$A18&amp;"'!$A$12:$Z$12"),0),0)="","?",VLOOKUP(AA$1,INDIRECT("'"&amp;$A18&amp;"'!$A$12:$Z$41"),MATCH("Points (Auto-generate)",INDIRECT("'"&amp;$A18&amp;"'!$A$12:$Z$12"),0),0)),"ER"))</f>
        <v>?</v>
      </c>
      <c r="AB18" s="86" t="str">
        <f aca="true">IF($H18=0,"NA",IF($A18=INDIRECT("'"&amp;$A18&amp;"'!$B$1"),IF(VLOOKUP(AB$1,INDIRECT("'"&amp;$A18&amp;"'!$A$12:$Z$41"),MATCH("Points (Auto-generate)",INDIRECT("'"&amp;$A18&amp;"'!$A$12:$Z$12"),0),0)="","?",VLOOKUP(AB$1,INDIRECT("'"&amp;$A18&amp;"'!$A$12:$Z$41"),MATCH("Points (Auto-generate)",INDIRECT("'"&amp;$A18&amp;"'!$A$12:$Z$12"),0),0)),"ER"))</f>
        <v>?</v>
      </c>
      <c r="AC18" s="86" t="str">
        <f aca="true">IF($H18=0,"NA",IF($A18=INDIRECT("'"&amp;$A18&amp;"'!$B$1"),IF(VLOOKUP(AC$1,INDIRECT("'"&amp;$A18&amp;"'!$A$12:$Z$41"),MATCH("Points (Auto-generate)",INDIRECT("'"&amp;$A18&amp;"'!$A$12:$Z$12"),0),0)="","?",VLOOKUP(AC$1,INDIRECT("'"&amp;$A18&amp;"'!$A$12:$Z$41"),MATCH("Points (Auto-generate)",INDIRECT("'"&amp;$A18&amp;"'!$A$12:$Z$12"),0),0)),"ER"))</f>
        <v>?</v>
      </c>
      <c r="AD18" s="86" t="str">
        <f aca="true">IF($H18=0,"NA",IF($A18=INDIRECT("'"&amp;$A18&amp;"'!$B$1"),IF(VLOOKUP(AD$1,INDIRECT("'"&amp;$A18&amp;"'!$A$12:$Z$41"),MATCH("Points (Auto-generate)",INDIRECT("'"&amp;$A18&amp;"'!$A$12:$Z$12"),0),0)="","?",VLOOKUP(AD$1,INDIRECT("'"&amp;$A18&amp;"'!$A$12:$Z$41"),MATCH("Points (Auto-generate)",INDIRECT("'"&amp;$A18&amp;"'!$A$12:$Z$12"),0),0)),"ER"))</f>
        <v>?</v>
      </c>
      <c r="AE18" s="86" t="str">
        <f aca="true">IF($H18=0,"NA",IF($A18=INDIRECT("'"&amp;$A18&amp;"'!$B$1"),IF(VLOOKUP(AE$1,INDIRECT("'"&amp;$A18&amp;"'!$A$12:$Z$41"),MATCH("Points (Auto-generate)",INDIRECT("'"&amp;$A18&amp;"'!$A$12:$Z$12"),0),0)="","?",VLOOKUP(AE$1,INDIRECT("'"&amp;$A18&amp;"'!$A$12:$Z$41"),MATCH("Points (Auto-generate)",INDIRECT("'"&amp;$A18&amp;"'!$A$12:$Z$12"),0),0)),"ER"))</f>
        <v>?</v>
      </c>
      <c r="AF18" s="86" t="str">
        <f aca="true">IF($H18=0,"NA",IF($A18=INDIRECT("'"&amp;$A18&amp;"'!$B$1"),IF(VLOOKUP(AF$1,INDIRECT("'"&amp;$A18&amp;"'!$A$12:$Z$41"),MATCH("Points (Auto-generate)",INDIRECT("'"&amp;$A18&amp;"'!$A$12:$Z$12"),0),0)="","?",VLOOKUP(AF$1,INDIRECT("'"&amp;$A18&amp;"'!$A$12:$Z$41"),MATCH("Points (Auto-generate)",INDIRECT("'"&amp;$A18&amp;"'!$A$12:$Z$12"),0),0)),"ER"))</f>
        <v>?</v>
      </c>
      <c r="AG18" s="86" t="str">
        <f aca="true">IF($H18=0,"NA",IF($A18=INDIRECT("'"&amp;$A18&amp;"'!$B$1"),IF(VLOOKUP(AG$1,INDIRECT("'"&amp;$A18&amp;"'!$A$12:$Z$41"),MATCH("Points (Auto-generate)",INDIRECT("'"&amp;$A18&amp;"'!$A$12:$Z$12"),0),0)="","?",VLOOKUP(AG$1,INDIRECT("'"&amp;$A18&amp;"'!$A$12:$Z$41"),MATCH("Points (Auto-generate)",INDIRECT("'"&amp;$A18&amp;"'!$A$12:$Z$12"),0),0)),"ER"))</f>
        <v>?</v>
      </c>
      <c r="AH18" s="86" t="str">
        <f aca="true">IF($H18=0,"NA",IF($A18=INDIRECT("'"&amp;$A18&amp;"'!$B$1"),IF(VLOOKUP(AH$1,INDIRECT("'"&amp;$A18&amp;"'!$A$12:$Z$41"),MATCH("Points (Auto-generate)",INDIRECT("'"&amp;$A18&amp;"'!$A$12:$Z$12"),0),0)="","?",VLOOKUP(AH$1,INDIRECT("'"&amp;$A18&amp;"'!$A$12:$Z$41"),MATCH("Points (Auto-generate)",INDIRECT("'"&amp;$A18&amp;"'!$A$12:$Z$12"),0),0)),"ER"))</f>
        <v>?</v>
      </c>
      <c r="AI18" s="86" t="str">
        <f aca="true">IF($H18=0,"NA",IF($A18=INDIRECT("'"&amp;$A18&amp;"'!$B$1"),IF(VLOOKUP(AI$1,INDIRECT("'"&amp;$A18&amp;"'!$A$12:$Z$41"),MATCH("Points (Auto-generate)",INDIRECT("'"&amp;$A18&amp;"'!$A$12:$Z$12"),0),0)="","?",VLOOKUP(AI$1,INDIRECT("'"&amp;$A18&amp;"'!$A$12:$Z$41"),MATCH("Points (Auto-generate)",INDIRECT("'"&amp;$A18&amp;"'!$A$12:$Z$12"),0),0)),"ER"))</f>
        <v>?</v>
      </c>
      <c r="AJ18" s="86" t="str">
        <f aca="true">IF($H18=0,"NA",IF($A18=INDIRECT("'"&amp;$A18&amp;"'!$B$1"),IF(VLOOKUP(AJ$1,INDIRECT("'"&amp;$A18&amp;"'!$A$12:$Z$41"),MATCH("Points (Auto-generate)",INDIRECT("'"&amp;$A18&amp;"'!$A$12:$Z$12"),0),0)="","?",VLOOKUP(AJ$1,INDIRECT("'"&amp;$A18&amp;"'!$A$12:$Z$41"),MATCH("Points (Auto-generate)",INDIRECT("'"&amp;$A18&amp;"'!$A$12:$Z$12"),0),0)),"ER"))</f>
        <v>?</v>
      </c>
      <c r="AK18" s="86" t="str">
        <f aca="true">IF($H18=0,"NA",IF($A18=INDIRECT("'"&amp;$A18&amp;"'!$B$1"),IF(VLOOKUP(AK$1,INDIRECT("'"&amp;$A18&amp;"'!$A$12:$Z$41"),MATCH("Points (Auto-generate)",INDIRECT("'"&amp;$A18&amp;"'!$A$12:$Z$12"),0),0)="","?",VLOOKUP(AK$1,INDIRECT("'"&amp;$A18&amp;"'!$A$12:$Z$41"),MATCH("Points (Auto-generate)",INDIRECT("'"&amp;$A18&amp;"'!$A$12:$Z$12"),0),0)),"ER"))</f>
        <v>?</v>
      </c>
    </row>
    <row r="19" customFormat="false" ht="14.25" hidden="false" customHeight="false" outlineLevel="0" collapsed="false">
      <c r="A19" s="82" t="s">
        <v>95</v>
      </c>
      <c r="B19" s="83" t="str">
        <f aca="false">IF(ISBLANK($A19),"NO_CODE",VLOOKUP($A19,'UPD Questions_290926 '!$E$1:$N$300,MATCH(B$1,'UPD Questions_290926 '!$E$1:$N$1,0),0)&amp;"")</f>
        <v>Planning </v>
      </c>
      <c r="C19" s="83" t="str">
        <f aca="false">IF(ISBLANK($A19),"NO_CODE",VLOOKUP($A19,'UPD Questions_290926 '!$E$1:$N$300,MATCH(C$1,'UPD Questions_290926 '!$E$1:$N$1,0),0)&amp;"")</f>
        <v>Municipal/City Plan preparation, participation and review</v>
      </c>
      <c r="D19" s="83" t="str">
        <f aca="false">IF(ISBLANK($A19),"NO_CODE",VLOOKUP($A19,'UPD Questions_290926 '!$E$1:$N$300,MATCH(D$1,'UPD Questions_290926 '!$E$1:$N$1,0),0)&amp;"")</f>
        <v>Inter-agency participation</v>
      </c>
      <c r="E19" s="83" t="str">
        <f aca="false">IF(ISBLANK($A19),"NO_CODE",VLOOKUP($A19,'UPD Questions_290926 '!$E$1:$N$300,MATCH(E$1,'UPD Questions_290926 '!$E$1:$N$1,0),0)&amp;"")</f>
        <v>MQ</v>
      </c>
      <c r="F19" s="83" t="str">
        <f aca="false">IF(ISBLANK($A19),"NO_CODE",VLOOKUP($A19,'UPD Questions_290926 '!$E$1:$N$300,MATCH(F$1,'UPD Questions_290926 '!$E$1:$N$1,0),0)&amp;"")</f>
        <v>Does the law mandate participation of all parastatals/ agencies /ULGs in creation of Spatial plans (metro/municipal/ward)?</v>
      </c>
      <c r="G19" s="83" t="str">
        <f aca="false">IF(ISBLANK($A19),"NO_CODE",VLOOKUP($A19,'UPD Questions_290926 '!$E$1:$N$300,MATCH(G$1,'UPD Questions_290926 '!$E$1:$N$1,0),0)&amp;"")</f>
        <v>Law or Policy</v>
      </c>
      <c r="H19" s="85" t="n">
        <f aca="false">IF(ISBLANK($A19),"NO_CODE",VLOOKUP($A19,'UPD Questions_290926 '!$E$1:$N$300,MATCH(H$1,'UPD Questions_290926 '!$E$1:$N$1,0),0))</f>
        <v>10</v>
      </c>
      <c r="I19" s="86" t="str">
        <f aca="true">IF($H19=0,"NA",IF($A19=INDIRECT("'"&amp;$A19&amp;"'!$B$1"),IF(VLOOKUP(I$1,INDIRECT("'"&amp;$A19&amp;"'!$A$12:$Z$41"),MATCH("Points (Auto-generate)",INDIRECT("'"&amp;$A19&amp;"'!$A$12:$Z$12"),0),0)="","?",VLOOKUP(I$1,INDIRECT("'"&amp;$A19&amp;"'!$A$12:$Z$41"),MATCH("Points (Auto-generate)",INDIRECT("'"&amp;$A19&amp;"'!$A$12:$Z$12"),0),0)),"ER"))</f>
        <v>?</v>
      </c>
      <c r="J19" s="86" t="n">
        <f aca="true">IF($H19=0,"NA",IF($A19=INDIRECT("'"&amp;$A19&amp;"'!$B$1"),IF(VLOOKUP(J$1,INDIRECT("'"&amp;$A19&amp;"'!$A$12:$Z$41"),MATCH("Points (Auto-generate)",INDIRECT("'"&amp;$A19&amp;"'!$A$12:$Z$12"),0),0)="","?",VLOOKUP(J$1,INDIRECT("'"&amp;$A19&amp;"'!$A$12:$Z$41"),MATCH("Points (Auto-generate)",INDIRECT("'"&amp;$A19&amp;"'!$A$12:$Z$12"),0),0)),"ER"))</f>
        <v>10</v>
      </c>
      <c r="K19" s="86" t="str">
        <f aca="true">IF($H19=0,"NA",IF($A19=INDIRECT("'"&amp;$A19&amp;"'!$B$1"),IF(VLOOKUP(K$1,INDIRECT("'"&amp;$A19&amp;"'!$A$12:$Z$41"),MATCH("Points (Auto-generate)",INDIRECT("'"&amp;$A19&amp;"'!$A$12:$Z$12"),0),0)="","?",VLOOKUP(K$1,INDIRECT("'"&amp;$A19&amp;"'!$A$12:$Z$41"),MATCH("Points (Auto-generate)",INDIRECT("'"&amp;$A19&amp;"'!$A$12:$Z$12"),0),0)),"ER"))</f>
        <v>?</v>
      </c>
      <c r="L19" s="86" t="str">
        <f aca="true">IF($H19=0,"NA",IF($A19=INDIRECT("'"&amp;$A19&amp;"'!$B$1"),IF(VLOOKUP(L$1,INDIRECT("'"&amp;$A19&amp;"'!$A$12:$Z$41"),MATCH("Points (Auto-generate)",INDIRECT("'"&amp;$A19&amp;"'!$A$12:$Z$12"),0),0)="","?",VLOOKUP(L$1,INDIRECT("'"&amp;$A19&amp;"'!$A$12:$Z$41"),MATCH("Points (Auto-generate)",INDIRECT("'"&amp;$A19&amp;"'!$A$12:$Z$12"),0),0)),"ER"))</f>
        <v>?</v>
      </c>
      <c r="M19" s="86" t="str">
        <f aca="true">IF($H19=0,"NA",IF($A19=INDIRECT("'"&amp;$A19&amp;"'!$B$1"),IF(VLOOKUP(M$1,INDIRECT("'"&amp;$A19&amp;"'!$A$12:$Z$41"),MATCH("Points (Auto-generate)",INDIRECT("'"&amp;$A19&amp;"'!$A$12:$Z$12"),0),0)="","?",VLOOKUP(M$1,INDIRECT("'"&amp;$A19&amp;"'!$A$12:$Z$41"),MATCH("Points (Auto-generate)",INDIRECT("'"&amp;$A19&amp;"'!$A$12:$Z$12"),0),0)),"ER"))</f>
        <v>?</v>
      </c>
      <c r="N19" s="86" t="str">
        <f aca="true">IF($H19=0,"NA",IF($A19=INDIRECT("'"&amp;$A19&amp;"'!$B$1"),IF(VLOOKUP(N$1,INDIRECT("'"&amp;$A19&amp;"'!$A$12:$Z$41"),MATCH("Points (Auto-generate)",INDIRECT("'"&amp;$A19&amp;"'!$A$12:$Z$12"),0),0)="","?",VLOOKUP(N$1,INDIRECT("'"&amp;$A19&amp;"'!$A$12:$Z$41"),MATCH("Points (Auto-generate)",INDIRECT("'"&amp;$A19&amp;"'!$A$12:$Z$12"),0),0)),"ER"))</f>
        <v>?</v>
      </c>
      <c r="O19" s="86" t="str">
        <f aca="true">IF($H19=0,"NA",IF($A19=INDIRECT("'"&amp;$A19&amp;"'!$B$1"),IF(VLOOKUP(O$1,INDIRECT("'"&amp;$A19&amp;"'!$A$12:$Z$41"),MATCH("Points (Auto-generate)",INDIRECT("'"&amp;$A19&amp;"'!$A$12:$Z$12"),0),0)="","?",VLOOKUP(O$1,INDIRECT("'"&amp;$A19&amp;"'!$A$12:$Z$41"),MATCH("Points (Auto-generate)",INDIRECT("'"&amp;$A19&amp;"'!$A$12:$Z$12"),0),0)),"ER"))</f>
        <v>?</v>
      </c>
      <c r="P19" s="86" t="str">
        <f aca="true">IF($H19=0,"NA",IF($A19=INDIRECT("'"&amp;$A19&amp;"'!$B$1"),IF(VLOOKUP(P$1,INDIRECT("'"&amp;$A19&amp;"'!$A$12:$Z$41"),MATCH("Points (Auto-generate)",INDIRECT("'"&amp;$A19&amp;"'!$A$12:$Z$12"),0),0)="","?",VLOOKUP(P$1,INDIRECT("'"&amp;$A19&amp;"'!$A$12:$Z$41"),MATCH("Points (Auto-generate)",INDIRECT("'"&amp;$A19&amp;"'!$A$12:$Z$12"),0),0)),"ER"))</f>
        <v>?</v>
      </c>
      <c r="Q19" s="86" t="str">
        <f aca="true">IF($H19=0,"NA",IF($A19=INDIRECT("'"&amp;$A19&amp;"'!$B$1"),IF(VLOOKUP(Q$1,INDIRECT("'"&amp;$A19&amp;"'!$A$12:$Z$41"),MATCH("Points (Auto-generate)",INDIRECT("'"&amp;$A19&amp;"'!$A$12:$Z$12"),0),0)="","?",VLOOKUP(Q$1,INDIRECT("'"&amp;$A19&amp;"'!$A$12:$Z$41"),MATCH("Points (Auto-generate)",INDIRECT("'"&amp;$A19&amp;"'!$A$12:$Z$12"),0),0)),"ER"))</f>
        <v>?</v>
      </c>
      <c r="R19" s="86" t="str">
        <f aca="true">IF($H19=0,"NA",IF($A19=INDIRECT("'"&amp;$A19&amp;"'!$B$1"),IF(VLOOKUP(R$1,INDIRECT("'"&amp;$A19&amp;"'!$A$12:$Z$41"),MATCH("Points (Auto-generate)",INDIRECT("'"&amp;$A19&amp;"'!$A$12:$Z$12"),0),0)="","?",VLOOKUP(R$1,INDIRECT("'"&amp;$A19&amp;"'!$A$12:$Z$41"),MATCH("Points (Auto-generate)",INDIRECT("'"&amp;$A19&amp;"'!$A$12:$Z$12"),0),0)),"ER"))</f>
        <v>?</v>
      </c>
      <c r="S19" s="86" t="str">
        <f aca="true">IF($H19=0,"NA",IF($A19=INDIRECT("'"&amp;$A19&amp;"'!$B$1"),IF(VLOOKUP(S$1,INDIRECT("'"&amp;$A19&amp;"'!$A$12:$Z$41"),MATCH("Points (Auto-generate)",INDIRECT("'"&amp;$A19&amp;"'!$A$12:$Z$12"),0),0)="","?",VLOOKUP(S$1,INDIRECT("'"&amp;$A19&amp;"'!$A$12:$Z$41"),MATCH("Points (Auto-generate)",INDIRECT("'"&amp;$A19&amp;"'!$A$12:$Z$12"),0),0)),"ER"))</f>
        <v>?</v>
      </c>
      <c r="T19" s="86" t="str">
        <f aca="true">IF($H19=0,"NA",IF($A19=INDIRECT("'"&amp;$A19&amp;"'!$B$1"),IF(VLOOKUP(T$1,INDIRECT("'"&amp;$A19&amp;"'!$A$12:$Z$41"),MATCH("Points (Auto-generate)",INDIRECT("'"&amp;$A19&amp;"'!$A$12:$Z$12"),0),0)="","?",VLOOKUP(T$1,INDIRECT("'"&amp;$A19&amp;"'!$A$12:$Z$41"),MATCH("Points (Auto-generate)",INDIRECT("'"&amp;$A19&amp;"'!$A$12:$Z$12"),0),0)),"ER"))</f>
        <v>?</v>
      </c>
      <c r="U19" s="86" t="str">
        <f aca="true">IF($H19=0,"NA",IF($A19=INDIRECT("'"&amp;$A19&amp;"'!$B$1"),IF(VLOOKUP(U$1,INDIRECT("'"&amp;$A19&amp;"'!$A$12:$Z$41"),MATCH("Points (Auto-generate)",INDIRECT("'"&amp;$A19&amp;"'!$A$12:$Z$12"),0),0)="","?",VLOOKUP(U$1,INDIRECT("'"&amp;$A19&amp;"'!$A$12:$Z$41"),MATCH("Points (Auto-generate)",INDIRECT("'"&amp;$A19&amp;"'!$A$12:$Z$12"),0),0)),"ER"))</f>
        <v>?</v>
      </c>
      <c r="V19" s="86" t="str">
        <f aca="true">IF($H19=0,"NA",IF($A19=INDIRECT("'"&amp;$A19&amp;"'!$B$1"),IF(VLOOKUP(V$1,INDIRECT("'"&amp;$A19&amp;"'!$A$12:$Z$41"),MATCH("Points (Auto-generate)",INDIRECT("'"&amp;$A19&amp;"'!$A$12:$Z$12"),0),0)="","?",VLOOKUP(V$1,INDIRECT("'"&amp;$A19&amp;"'!$A$12:$Z$41"),MATCH("Points (Auto-generate)",INDIRECT("'"&amp;$A19&amp;"'!$A$12:$Z$12"),0),0)),"ER"))</f>
        <v>?</v>
      </c>
      <c r="W19" s="86" t="str">
        <f aca="true">IF($H19=0,"NA",IF($A19=INDIRECT("'"&amp;$A19&amp;"'!$B$1"),IF(VLOOKUP(W$1,INDIRECT("'"&amp;$A19&amp;"'!$A$12:$Z$41"),MATCH("Points (Auto-generate)",INDIRECT("'"&amp;$A19&amp;"'!$A$12:$Z$12"),0),0)="","?",VLOOKUP(W$1,INDIRECT("'"&amp;$A19&amp;"'!$A$12:$Z$41"),MATCH("Points (Auto-generate)",INDIRECT("'"&amp;$A19&amp;"'!$A$12:$Z$12"),0),0)),"ER"))</f>
        <v>?</v>
      </c>
      <c r="X19" s="86" t="str">
        <f aca="true">IF($H19=0,"NA",IF($A19=INDIRECT("'"&amp;$A19&amp;"'!$B$1"),IF(VLOOKUP(X$1,INDIRECT("'"&amp;$A19&amp;"'!$A$12:$Z$41"),MATCH("Points (Auto-generate)",INDIRECT("'"&amp;$A19&amp;"'!$A$12:$Z$12"),0),0)="","?",VLOOKUP(X$1,INDIRECT("'"&amp;$A19&amp;"'!$A$12:$Z$41"),MATCH("Points (Auto-generate)",INDIRECT("'"&amp;$A19&amp;"'!$A$12:$Z$12"),0),0)),"ER"))</f>
        <v>?</v>
      </c>
      <c r="Y19" s="86" t="str">
        <f aca="true">IF($H19=0,"NA",IF($A19=INDIRECT("'"&amp;$A19&amp;"'!$B$1"),IF(VLOOKUP(Y$1,INDIRECT("'"&amp;$A19&amp;"'!$A$12:$Z$41"),MATCH("Points (Auto-generate)",INDIRECT("'"&amp;$A19&amp;"'!$A$12:$Z$12"),0),0)="","?",VLOOKUP(Y$1,INDIRECT("'"&amp;$A19&amp;"'!$A$12:$Z$41"),MATCH("Points (Auto-generate)",INDIRECT("'"&amp;$A19&amp;"'!$A$12:$Z$12"),0),0)),"ER"))</f>
        <v>?</v>
      </c>
      <c r="Z19" s="86" t="str">
        <f aca="true">IF($H19=0,"NA",IF($A19=INDIRECT("'"&amp;$A19&amp;"'!$B$1"),IF(VLOOKUP(Z$1,INDIRECT("'"&amp;$A19&amp;"'!$A$12:$Z$41"),MATCH("Points (Auto-generate)",INDIRECT("'"&amp;$A19&amp;"'!$A$12:$Z$12"),0),0)="","?",VLOOKUP(Z$1,INDIRECT("'"&amp;$A19&amp;"'!$A$12:$Z$41"),MATCH("Points (Auto-generate)",INDIRECT("'"&amp;$A19&amp;"'!$A$12:$Z$12"),0),0)),"ER"))</f>
        <v>?</v>
      </c>
      <c r="AA19" s="86" t="str">
        <f aca="true">IF($H19=0,"NA",IF($A19=INDIRECT("'"&amp;$A19&amp;"'!$B$1"),IF(VLOOKUP(AA$1,INDIRECT("'"&amp;$A19&amp;"'!$A$12:$Z$41"),MATCH("Points (Auto-generate)",INDIRECT("'"&amp;$A19&amp;"'!$A$12:$Z$12"),0),0)="","?",VLOOKUP(AA$1,INDIRECT("'"&amp;$A19&amp;"'!$A$12:$Z$41"),MATCH("Points (Auto-generate)",INDIRECT("'"&amp;$A19&amp;"'!$A$12:$Z$12"),0),0)),"ER"))</f>
        <v>?</v>
      </c>
      <c r="AB19" s="86" t="str">
        <f aca="true">IF($H19=0,"NA",IF($A19=INDIRECT("'"&amp;$A19&amp;"'!$B$1"),IF(VLOOKUP(AB$1,INDIRECT("'"&amp;$A19&amp;"'!$A$12:$Z$41"),MATCH("Points (Auto-generate)",INDIRECT("'"&amp;$A19&amp;"'!$A$12:$Z$12"),0),0)="","?",VLOOKUP(AB$1,INDIRECT("'"&amp;$A19&amp;"'!$A$12:$Z$41"),MATCH("Points (Auto-generate)",INDIRECT("'"&amp;$A19&amp;"'!$A$12:$Z$12"),0),0)),"ER"))</f>
        <v>?</v>
      </c>
      <c r="AC19" s="86" t="str">
        <f aca="true">IF($H19=0,"NA",IF($A19=INDIRECT("'"&amp;$A19&amp;"'!$B$1"),IF(VLOOKUP(AC$1,INDIRECT("'"&amp;$A19&amp;"'!$A$12:$Z$41"),MATCH("Points (Auto-generate)",INDIRECT("'"&amp;$A19&amp;"'!$A$12:$Z$12"),0),0)="","?",VLOOKUP(AC$1,INDIRECT("'"&amp;$A19&amp;"'!$A$12:$Z$41"),MATCH("Points (Auto-generate)",INDIRECT("'"&amp;$A19&amp;"'!$A$12:$Z$12"),0),0)),"ER"))</f>
        <v>?</v>
      </c>
      <c r="AD19" s="86" t="str">
        <f aca="true">IF($H19=0,"NA",IF($A19=INDIRECT("'"&amp;$A19&amp;"'!$B$1"),IF(VLOOKUP(AD$1,INDIRECT("'"&amp;$A19&amp;"'!$A$12:$Z$41"),MATCH("Points (Auto-generate)",INDIRECT("'"&amp;$A19&amp;"'!$A$12:$Z$12"),0),0)="","?",VLOOKUP(AD$1,INDIRECT("'"&amp;$A19&amp;"'!$A$12:$Z$41"),MATCH("Points (Auto-generate)",INDIRECT("'"&amp;$A19&amp;"'!$A$12:$Z$12"),0),0)),"ER"))</f>
        <v>?</v>
      </c>
      <c r="AE19" s="86" t="str">
        <f aca="true">IF($H19=0,"NA",IF($A19=INDIRECT("'"&amp;$A19&amp;"'!$B$1"),IF(VLOOKUP(AE$1,INDIRECT("'"&amp;$A19&amp;"'!$A$12:$Z$41"),MATCH("Points (Auto-generate)",INDIRECT("'"&amp;$A19&amp;"'!$A$12:$Z$12"),0),0)="","?",VLOOKUP(AE$1,INDIRECT("'"&amp;$A19&amp;"'!$A$12:$Z$41"),MATCH("Points (Auto-generate)",INDIRECT("'"&amp;$A19&amp;"'!$A$12:$Z$12"),0),0)),"ER"))</f>
        <v>?</v>
      </c>
      <c r="AF19" s="86" t="str">
        <f aca="true">IF($H19=0,"NA",IF($A19=INDIRECT("'"&amp;$A19&amp;"'!$B$1"),IF(VLOOKUP(AF$1,INDIRECT("'"&amp;$A19&amp;"'!$A$12:$Z$41"),MATCH("Points (Auto-generate)",INDIRECT("'"&amp;$A19&amp;"'!$A$12:$Z$12"),0),0)="","?",VLOOKUP(AF$1,INDIRECT("'"&amp;$A19&amp;"'!$A$12:$Z$41"),MATCH("Points (Auto-generate)",INDIRECT("'"&amp;$A19&amp;"'!$A$12:$Z$12"),0),0)),"ER"))</f>
        <v>?</v>
      </c>
      <c r="AG19" s="86" t="str">
        <f aca="true">IF($H19=0,"NA",IF($A19=INDIRECT("'"&amp;$A19&amp;"'!$B$1"),IF(VLOOKUP(AG$1,INDIRECT("'"&amp;$A19&amp;"'!$A$12:$Z$41"),MATCH("Points (Auto-generate)",INDIRECT("'"&amp;$A19&amp;"'!$A$12:$Z$12"),0),0)="","?",VLOOKUP(AG$1,INDIRECT("'"&amp;$A19&amp;"'!$A$12:$Z$41"),MATCH("Points (Auto-generate)",INDIRECT("'"&amp;$A19&amp;"'!$A$12:$Z$12"),0),0)),"ER"))</f>
        <v>?</v>
      </c>
      <c r="AH19" s="86" t="str">
        <f aca="true">IF($H19=0,"NA",IF($A19=INDIRECT("'"&amp;$A19&amp;"'!$B$1"),IF(VLOOKUP(AH$1,INDIRECT("'"&amp;$A19&amp;"'!$A$12:$Z$41"),MATCH("Points (Auto-generate)",INDIRECT("'"&amp;$A19&amp;"'!$A$12:$Z$12"),0),0)="","?",VLOOKUP(AH$1,INDIRECT("'"&amp;$A19&amp;"'!$A$12:$Z$41"),MATCH("Points (Auto-generate)",INDIRECT("'"&amp;$A19&amp;"'!$A$12:$Z$12"),0),0)),"ER"))</f>
        <v>?</v>
      </c>
      <c r="AI19" s="86" t="str">
        <f aca="true">IF($H19=0,"NA",IF($A19=INDIRECT("'"&amp;$A19&amp;"'!$B$1"),IF(VLOOKUP(AI$1,INDIRECT("'"&amp;$A19&amp;"'!$A$12:$Z$41"),MATCH("Points (Auto-generate)",INDIRECT("'"&amp;$A19&amp;"'!$A$12:$Z$12"),0),0)="","?",VLOOKUP(AI$1,INDIRECT("'"&amp;$A19&amp;"'!$A$12:$Z$41"),MATCH("Points (Auto-generate)",INDIRECT("'"&amp;$A19&amp;"'!$A$12:$Z$12"),0),0)),"ER"))</f>
        <v>?</v>
      </c>
      <c r="AJ19" s="86" t="str">
        <f aca="true">IF($H19=0,"NA",IF($A19=INDIRECT("'"&amp;$A19&amp;"'!$B$1"),IF(VLOOKUP(AJ$1,INDIRECT("'"&amp;$A19&amp;"'!$A$12:$Z$41"),MATCH("Points (Auto-generate)",INDIRECT("'"&amp;$A19&amp;"'!$A$12:$Z$12"),0),0)="","?",VLOOKUP(AJ$1,INDIRECT("'"&amp;$A19&amp;"'!$A$12:$Z$41"),MATCH("Points (Auto-generate)",INDIRECT("'"&amp;$A19&amp;"'!$A$12:$Z$12"),0),0)),"ER"))</f>
        <v>?</v>
      </c>
      <c r="AK19" s="86" t="str">
        <f aca="true">IF($H19=0,"NA",IF($A19=INDIRECT("'"&amp;$A19&amp;"'!$B$1"),IF(VLOOKUP(AK$1,INDIRECT("'"&amp;$A19&amp;"'!$A$12:$Z$41"),MATCH("Points (Auto-generate)",INDIRECT("'"&amp;$A19&amp;"'!$A$12:$Z$12"),0),0)="","?",VLOOKUP(AK$1,INDIRECT("'"&amp;$A19&amp;"'!$A$12:$Z$41"),MATCH("Points (Auto-generate)",INDIRECT("'"&amp;$A19&amp;"'!$A$12:$Z$12"),0),0)),"ER"))</f>
        <v>?</v>
      </c>
    </row>
    <row r="20" customFormat="false" ht="14.25" hidden="false" customHeight="false" outlineLevel="0" collapsed="false">
      <c r="A20" s="82" t="s">
        <v>100</v>
      </c>
      <c r="B20" s="83" t="str">
        <f aca="false">IF(ISBLANK($A20),"NO_CODE",VLOOKUP($A20,'UPD Questions_290926 '!$E$1:$N$300,MATCH(B$1,'UPD Questions_290926 '!$E$1:$N$1,0),0)&amp;"")</f>
        <v>Planning </v>
      </c>
      <c r="C20" s="83" t="str">
        <f aca="false">IF(ISBLANK($A20),"NO_CODE",VLOOKUP($A20,'UPD Questions_290926 '!$E$1:$N$300,MATCH(C$1,'UPD Questions_290926 '!$E$1:$N$1,0),0)&amp;"")</f>
        <v>Municipal/City Plan preparation, participation and review</v>
      </c>
      <c r="D20" s="83" t="str">
        <f aca="false">IF(ISBLANK($A20),"NO_CODE",VLOOKUP($A20,'UPD Questions_290926 '!$E$1:$N$300,MATCH(D$1,'UPD Questions_290926 '!$E$1:$N$1,0),0)&amp;"")</f>
        <v>Public participation and scrutiny</v>
      </c>
      <c r="E20" s="83" t="str">
        <f aca="false">IF(ISBLANK($A20),"NO_CODE",VLOOKUP($A20,'UPD Questions_290926 '!$E$1:$N$300,MATCH(E$1,'UPD Questions_290926 '!$E$1:$N$1,0),0)&amp;"")</f>
        <v>MQ</v>
      </c>
      <c r="F20" s="83" t="str">
        <f aca="false">IF(ISBLANK($A20),"NO_CODE",VLOOKUP($A20,'UPD Questions_290926 '!$E$1:$N$300,MATCH(F$1,'UPD Questions_290926 '!$E$1:$N$1,0),0)&amp;"")</f>
        <v>Does the law mandate public participation in preparation of the municipal plan through Area Sabhas / Ward Sabhas and other means?</v>
      </c>
      <c r="G20" s="83" t="str">
        <f aca="false">IF(ISBLANK($A20),"NO_CODE",VLOOKUP($A20,'UPD Questions_290926 '!$E$1:$N$300,MATCH(G$1,'UPD Questions_290926 '!$E$1:$N$1,0),0)&amp;"")</f>
        <v>Law or Policy</v>
      </c>
      <c r="H20" s="85" t="n">
        <f aca="false">IF(ISBLANK($A20),"NO_CODE",VLOOKUP($A20,'UPD Questions_290926 '!$E$1:$N$300,MATCH(H$1,'UPD Questions_290926 '!$E$1:$N$1,0),0))</f>
        <v>10</v>
      </c>
      <c r="I20" s="86" t="str">
        <f aca="true">IF($H20=0,"NA",IF($A20=INDIRECT("'"&amp;$A20&amp;"'!$B$1"),IF(VLOOKUP(I$1,INDIRECT("'"&amp;$A20&amp;"'!$A$12:$Z$41"),MATCH("Points (Auto-generate)",INDIRECT("'"&amp;$A20&amp;"'!$A$12:$Z$12"),0),0)="","?",VLOOKUP(I$1,INDIRECT("'"&amp;$A20&amp;"'!$A$12:$Z$41"),MATCH("Points (Auto-generate)",INDIRECT("'"&amp;$A20&amp;"'!$A$12:$Z$12"),0),0)),"ER"))</f>
        <v>?</v>
      </c>
      <c r="J20" s="86" t="str">
        <f aca="true">IF($H20=0,"NA",IF($A20=INDIRECT("'"&amp;$A20&amp;"'!$B$1"),IF(VLOOKUP(J$1,INDIRECT("'"&amp;$A20&amp;"'!$A$12:$Z$41"),MATCH("Points (Auto-generate)",INDIRECT("'"&amp;$A20&amp;"'!$A$12:$Z$12"),0),0)="","?",VLOOKUP(J$1,INDIRECT("'"&amp;$A20&amp;"'!$A$12:$Z$41"),MATCH("Points (Auto-generate)",INDIRECT("'"&amp;$A20&amp;"'!$A$12:$Z$12"),0),0)),"ER"))</f>
        <v>?</v>
      </c>
      <c r="K20" s="86" t="str">
        <f aca="true">IF($H20=0,"NA",IF($A20=INDIRECT("'"&amp;$A20&amp;"'!$B$1"),IF(VLOOKUP(K$1,INDIRECT("'"&amp;$A20&amp;"'!$A$12:$Z$41"),MATCH("Points (Auto-generate)",INDIRECT("'"&amp;$A20&amp;"'!$A$12:$Z$12"),0),0)="","?",VLOOKUP(K$1,INDIRECT("'"&amp;$A20&amp;"'!$A$12:$Z$41"),MATCH("Points (Auto-generate)",INDIRECT("'"&amp;$A20&amp;"'!$A$12:$Z$12"),0),0)),"ER"))</f>
        <v>?</v>
      </c>
      <c r="L20" s="86" t="str">
        <f aca="true">IF($H20=0,"NA",IF($A20=INDIRECT("'"&amp;$A20&amp;"'!$B$1"),IF(VLOOKUP(L$1,INDIRECT("'"&amp;$A20&amp;"'!$A$12:$Z$41"),MATCH("Points (Auto-generate)",INDIRECT("'"&amp;$A20&amp;"'!$A$12:$Z$12"),0),0)="","?",VLOOKUP(L$1,INDIRECT("'"&amp;$A20&amp;"'!$A$12:$Z$41"),MATCH("Points (Auto-generate)",INDIRECT("'"&amp;$A20&amp;"'!$A$12:$Z$12"),0),0)),"ER"))</f>
        <v>?</v>
      </c>
      <c r="M20" s="86" t="str">
        <f aca="true">IF($H20=0,"NA",IF($A20=INDIRECT("'"&amp;$A20&amp;"'!$B$1"),IF(VLOOKUP(M$1,INDIRECT("'"&amp;$A20&amp;"'!$A$12:$Z$41"),MATCH("Points (Auto-generate)",INDIRECT("'"&amp;$A20&amp;"'!$A$12:$Z$12"),0),0)="","?",VLOOKUP(M$1,INDIRECT("'"&amp;$A20&amp;"'!$A$12:$Z$41"),MATCH("Points (Auto-generate)",INDIRECT("'"&amp;$A20&amp;"'!$A$12:$Z$12"),0),0)),"ER"))</f>
        <v>?</v>
      </c>
      <c r="N20" s="86" t="str">
        <f aca="true">IF($H20=0,"NA",IF($A20=INDIRECT("'"&amp;$A20&amp;"'!$B$1"),IF(VLOOKUP(N$1,INDIRECT("'"&amp;$A20&amp;"'!$A$12:$Z$41"),MATCH("Points (Auto-generate)",INDIRECT("'"&amp;$A20&amp;"'!$A$12:$Z$12"),0),0)="","?",VLOOKUP(N$1,INDIRECT("'"&amp;$A20&amp;"'!$A$12:$Z$41"),MATCH("Points (Auto-generate)",INDIRECT("'"&amp;$A20&amp;"'!$A$12:$Z$12"),0),0)),"ER"))</f>
        <v>?</v>
      </c>
      <c r="O20" s="86" t="str">
        <f aca="true">IF($H20=0,"NA",IF($A20=INDIRECT("'"&amp;$A20&amp;"'!$B$1"),IF(VLOOKUP(O$1,INDIRECT("'"&amp;$A20&amp;"'!$A$12:$Z$41"),MATCH("Points (Auto-generate)",INDIRECT("'"&amp;$A20&amp;"'!$A$12:$Z$12"),0),0)="","?",VLOOKUP(O$1,INDIRECT("'"&amp;$A20&amp;"'!$A$12:$Z$41"),MATCH("Points (Auto-generate)",INDIRECT("'"&amp;$A20&amp;"'!$A$12:$Z$12"),0),0)),"ER"))</f>
        <v>?</v>
      </c>
      <c r="P20" s="86" t="str">
        <f aca="true">IF($H20=0,"NA",IF($A20=INDIRECT("'"&amp;$A20&amp;"'!$B$1"),IF(VLOOKUP(P$1,INDIRECT("'"&amp;$A20&amp;"'!$A$12:$Z$41"),MATCH("Points (Auto-generate)",INDIRECT("'"&amp;$A20&amp;"'!$A$12:$Z$12"),0),0)="","?",VLOOKUP(P$1,INDIRECT("'"&amp;$A20&amp;"'!$A$12:$Z$41"),MATCH("Points (Auto-generate)",INDIRECT("'"&amp;$A20&amp;"'!$A$12:$Z$12"),0),0)),"ER"))</f>
        <v>?</v>
      </c>
      <c r="Q20" s="86" t="str">
        <f aca="true">IF($H20=0,"NA",IF($A20=INDIRECT("'"&amp;$A20&amp;"'!$B$1"),IF(VLOOKUP(Q$1,INDIRECT("'"&amp;$A20&amp;"'!$A$12:$Z$41"),MATCH("Points (Auto-generate)",INDIRECT("'"&amp;$A20&amp;"'!$A$12:$Z$12"),0),0)="","?",VLOOKUP(Q$1,INDIRECT("'"&amp;$A20&amp;"'!$A$12:$Z$41"),MATCH("Points (Auto-generate)",INDIRECT("'"&amp;$A20&amp;"'!$A$12:$Z$12"),0),0)),"ER"))</f>
        <v>?</v>
      </c>
      <c r="R20" s="86" t="str">
        <f aca="true">IF($H20=0,"NA",IF($A20=INDIRECT("'"&amp;$A20&amp;"'!$B$1"),IF(VLOOKUP(R$1,INDIRECT("'"&amp;$A20&amp;"'!$A$12:$Z$41"),MATCH("Points (Auto-generate)",INDIRECT("'"&amp;$A20&amp;"'!$A$12:$Z$12"),0),0)="","?",VLOOKUP(R$1,INDIRECT("'"&amp;$A20&amp;"'!$A$12:$Z$41"),MATCH("Points (Auto-generate)",INDIRECT("'"&amp;$A20&amp;"'!$A$12:$Z$12"),0),0)),"ER"))</f>
        <v>?</v>
      </c>
      <c r="S20" s="86" t="str">
        <f aca="true">IF($H20=0,"NA",IF($A20=INDIRECT("'"&amp;$A20&amp;"'!$B$1"),IF(VLOOKUP(S$1,INDIRECT("'"&amp;$A20&amp;"'!$A$12:$Z$41"),MATCH("Points (Auto-generate)",INDIRECT("'"&amp;$A20&amp;"'!$A$12:$Z$12"),0),0)="","?",VLOOKUP(S$1,INDIRECT("'"&amp;$A20&amp;"'!$A$12:$Z$41"),MATCH("Points (Auto-generate)",INDIRECT("'"&amp;$A20&amp;"'!$A$12:$Z$12"),0),0)),"ER"))</f>
        <v>?</v>
      </c>
      <c r="T20" s="86" t="str">
        <f aca="true">IF($H20=0,"NA",IF($A20=INDIRECT("'"&amp;$A20&amp;"'!$B$1"),IF(VLOOKUP(T$1,INDIRECT("'"&amp;$A20&amp;"'!$A$12:$Z$41"),MATCH("Points (Auto-generate)",INDIRECT("'"&amp;$A20&amp;"'!$A$12:$Z$12"),0),0)="","?",VLOOKUP(T$1,INDIRECT("'"&amp;$A20&amp;"'!$A$12:$Z$41"),MATCH("Points (Auto-generate)",INDIRECT("'"&amp;$A20&amp;"'!$A$12:$Z$12"),0),0)),"ER"))</f>
        <v>?</v>
      </c>
      <c r="U20" s="86" t="str">
        <f aca="true">IF($H20=0,"NA",IF($A20=INDIRECT("'"&amp;$A20&amp;"'!$B$1"),IF(VLOOKUP(U$1,INDIRECT("'"&amp;$A20&amp;"'!$A$12:$Z$41"),MATCH("Points (Auto-generate)",INDIRECT("'"&amp;$A20&amp;"'!$A$12:$Z$12"),0),0)="","?",VLOOKUP(U$1,INDIRECT("'"&amp;$A20&amp;"'!$A$12:$Z$41"),MATCH("Points (Auto-generate)",INDIRECT("'"&amp;$A20&amp;"'!$A$12:$Z$12"),0),0)),"ER"))</f>
        <v>?</v>
      </c>
      <c r="V20" s="86" t="str">
        <f aca="true">IF($H20=0,"NA",IF($A20=INDIRECT("'"&amp;$A20&amp;"'!$B$1"),IF(VLOOKUP(V$1,INDIRECT("'"&amp;$A20&amp;"'!$A$12:$Z$41"),MATCH("Points (Auto-generate)",INDIRECT("'"&amp;$A20&amp;"'!$A$12:$Z$12"),0),0)="","?",VLOOKUP(V$1,INDIRECT("'"&amp;$A20&amp;"'!$A$12:$Z$41"),MATCH("Points (Auto-generate)",INDIRECT("'"&amp;$A20&amp;"'!$A$12:$Z$12"),0),0)),"ER"))</f>
        <v>?</v>
      </c>
      <c r="W20" s="86" t="str">
        <f aca="true">IF($H20=0,"NA",IF($A20=INDIRECT("'"&amp;$A20&amp;"'!$B$1"),IF(VLOOKUP(W$1,INDIRECT("'"&amp;$A20&amp;"'!$A$12:$Z$41"),MATCH("Points (Auto-generate)",INDIRECT("'"&amp;$A20&amp;"'!$A$12:$Z$12"),0),0)="","?",VLOOKUP(W$1,INDIRECT("'"&amp;$A20&amp;"'!$A$12:$Z$41"),MATCH("Points (Auto-generate)",INDIRECT("'"&amp;$A20&amp;"'!$A$12:$Z$12"),0),0)),"ER"))</f>
        <v>?</v>
      </c>
      <c r="X20" s="86" t="str">
        <f aca="true">IF($H20=0,"NA",IF($A20=INDIRECT("'"&amp;$A20&amp;"'!$B$1"),IF(VLOOKUP(X$1,INDIRECT("'"&amp;$A20&amp;"'!$A$12:$Z$41"),MATCH("Points (Auto-generate)",INDIRECT("'"&amp;$A20&amp;"'!$A$12:$Z$12"),0),0)="","?",VLOOKUP(X$1,INDIRECT("'"&amp;$A20&amp;"'!$A$12:$Z$41"),MATCH("Points (Auto-generate)",INDIRECT("'"&amp;$A20&amp;"'!$A$12:$Z$12"),0),0)),"ER"))</f>
        <v>?</v>
      </c>
      <c r="Y20" s="86" t="str">
        <f aca="true">IF($H20=0,"NA",IF($A20=INDIRECT("'"&amp;$A20&amp;"'!$B$1"),IF(VLOOKUP(Y$1,INDIRECT("'"&amp;$A20&amp;"'!$A$12:$Z$41"),MATCH("Points (Auto-generate)",INDIRECT("'"&amp;$A20&amp;"'!$A$12:$Z$12"),0),0)="","?",VLOOKUP(Y$1,INDIRECT("'"&amp;$A20&amp;"'!$A$12:$Z$41"),MATCH("Points (Auto-generate)",INDIRECT("'"&amp;$A20&amp;"'!$A$12:$Z$12"),0),0)),"ER"))</f>
        <v>?</v>
      </c>
      <c r="Z20" s="86" t="str">
        <f aca="true">IF($H20=0,"NA",IF($A20=INDIRECT("'"&amp;$A20&amp;"'!$B$1"),IF(VLOOKUP(Z$1,INDIRECT("'"&amp;$A20&amp;"'!$A$12:$Z$41"),MATCH("Points (Auto-generate)",INDIRECT("'"&amp;$A20&amp;"'!$A$12:$Z$12"),0),0)="","?",VLOOKUP(Z$1,INDIRECT("'"&amp;$A20&amp;"'!$A$12:$Z$41"),MATCH("Points (Auto-generate)",INDIRECT("'"&amp;$A20&amp;"'!$A$12:$Z$12"),0),0)),"ER"))</f>
        <v>?</v>
      </c>
      <c r="AA20" s="86" t="str">
        <f aca="true">IF($H20=0,"NA",IF($A20=INDIRECT("'"&amp;$A20&amp;"'!$B$1"),IF(VLOOKUP(AA$1,INDIRECT("'"&amp;$A20&amp;"'!$A$12:$Z$41"),MATCH("Points (Auto-generate)",INDIRECT("'"&amp;$A20&amp;"'!$A$12:$Z$12"),0),0)="","?",VLOOKUP(AA$1,INDIRECT("'"&amp;$A20&amp;"'!$A$12:$Z$41"),MATCH("Points (Auto-generate)",INDIRECT("'"&amp;$A20&amp;"'!$A$12:$Z$12"),0),0)),"ER"))</f>
        <v>?</v>
      </c>
      <c r="AB20" s="86" t="str">
        <f aca="true">IF($H20=0,"NA",IF($A20=INDIRECT("'"&amp;$A20&amp;"'!$B$1"),IF(VLOOKUP(AB$1,INDIRECT("'"&amp;$A20&amp;"'!$A$12:$Z$41"),MATCH("Points (Auto-generate)",INDIRECT("'"&amp;$A20&amp;"'!$A$12:$Z$12"),0),0)="","?",VLOOKUP(AB$1,INDIRECT("'"&amp;$A20&amp;"'!$A$12:$Z$41"),MATCH("Points (Auto-generate)",INDIRECT("'"&amp;$A20&amp;"'!$A$12:$Z$12"),0),0)),"ER"))</f>
        <v>?</v>
      </c>
      <c r="AC20" s="86" t="str">
        <f aca="true">IF($H20=0,"NA",IF($A20=INDIRECT("'"&amp;$A20&amp;"'!$B$1"),IF(VLOOKUP(AC$1,INDIRECT("'"&amp;$A20&amp;"'!$A$12:$Z$41"),MATCH("Points (Auto-generate)",INDIRECT("'"&amp;$A20&amp;"'!$A$12:$Z$12"),0),0)="","?",VLOOKUP(AC$1,INDIRECT("'"&amp;$A20&amp;"'!$A$12:$Z$41"),MATCH("Points (Auto-generate)",INDIRECT("'"&amp;$A20&amp;"'!$A$12:$Z$12"),0),0)),"ER"))</f>
        <v>?</v>
      </c>
      <c r="AD20" s="86" t="str">
        <f aca="true">IF($H20=0,"NA",IF($A20=INDIRECT("'"&amp;$A20&amp;"'!$B$1"),IF(VLOOKUP(AD$1,INDIRECT("'"&amp;$A20&amp;"'!$A$12:$Z$41"),MATCH("Points (Auto-generate)",INDIRECT("'"&amp;$A20&amp;"'!$A$12:$Z$12"),0),0)="","?",VLOOKUP(AD$1,INDIRECT("'"&amp;$A20&amp;"'!$A$12:$Z$41"),MATCH("Points (Auto-generate)",INDIRECT("'"&amp;$A20&amp;"'!$A$12:$Z$12"),0),0)),"ER"))</f>
        <v>?</v>
      </c>
      <c r="AE20" s="86" t="str">
        <f aca="true">IF($H20=0,"NA",IF($A20=INDIRECT("'"&amp;$A20&amp;"'!$B$1"),IF(VLOOKUP(AE$1,INDIRECT("'"&amp;$A20&amp;"'!$A$12:$Z$41"),MATCH("Points (Auto-generate)",INDIRECT("'"&amp;$A20&amp;"'!$A$12:$Z$12"),0),0)="","?",VLOOKUP(AE$1,INDIRECT("'"&amp;$A20&amp;"'!$A$12:$Z$41"),MATCH("Points (Auto-generate)",INDIRECT("'"&amp;$A20&amp;"'!$A$12:$Z$12"),0),0)),"ER"))</f>
        <v>?</v>
      </c>
      <c r="AF20" s="86" t="str">
        <f aca="true">IF($H20=0,"NA",IF($A20=INDIRECT("'"&amp;$A20&amp;"'!$B$1"),IF(VLOOKUP(AF$1,INDIRECT("'"&amp;$A20&amp;"'!$A$12:$Z$41"),MATCH("Points (Auto-generate)",INDIRECT("'"&amp;$A20&amp;"'!$A$12:$Z$12"),0),0)="","?",VLOOKUP(AF$1,INDIRECT("'"&amp;$A20&amp;"'!$A$12:$Z$41"),MATCH("Points (Auto-generate)",INDIRECT("'"&amp;$A20&amp;"'!$A$12:$Z$12"),0),0)),"ER"))</f>
        <v>?</v>
      </c>
      <c r="AG20" s="86" t="str">
        <f aca="true">IF($H20=0,"NA",IF($A20=INDIRECT("'"&amp;$A20&amp;"'!$B$1"),IF(VLOOKUP(AG$1,INDIRECT("'"&amp;$A20&amp;"'!$A$12:$Z$41"),MATCH("Points (Auto-generate)",INDIRECT("'"&amp;$A20&amp;"'!$A$12:$Z$12"),0),0)="","?",VLOOKUP(AG$1,INDIRECT("'"&amp;$A20&amp;"'!$A$12:$Z$41"),MATCH("Points (Auto-generate)",INDIRECT("'"&amp;$A20&amp;"'!$A$12:$Z$12"),0),0)),"ER"))</f>
        <v>?</v>
      </c>
      <c r="AH20" s="86" t="str">
        <f aca="true">IF($H20=0,"NA",IF($A20=INDIRECT("'"&amp;$A20&amp;"'!$B$1"),IF(VLOOKUP(AH$1,INDIRECT("'"&amp;$A20&amp;"'!$A$12:$Z$41"),MATCH("Points (Auto-generate)",INDIRECT("'"&amp;$A20&amp;"'!$A$12:$Z$12"),0),0)="","?",VLOOKUP(AH$1,INDIRECT("'"&amp;$A20&amp;"'!$A$12:$Z$41"),MATCH("Points (Auto-generate)",INDIRECT("'"&amp;$A20&amp;"'!$A$12:$Z$12"),0),0)),"ER"))</f>
        <v>?</v>
      </c>
      <c r="AI20" s="86" t="str">
        <f aca="true">IF($H20=0,"NA",IF($A20=INDIRECT("'"&amp;$A20&amp;"'!$B$1"),IF(VLOOKUP(AI$1,INDIRECT("'"&amp;$A20&amp;"'!$A$12:$Z$41"),MATCH("Points (Auto-generate)",INDIRECT("'"&amp;$A20&amp;"'!$A$12:$Z$12"),0),0)="","?",VLOOKUP(AI$1,INDIRECT("'"&amp;$A20&amp;"'!$A$12:$Z$41"),MATCH("Points (Auto-generate)",INDIRECT("'"&amp;$A20&amp;"'!$A$12:$Z$12"),0),0)),"ER"))</f>
        <v>?</v>
      </c>
      <c r="AJ20" s="86" t="str">
        <f aca="true">IF($H20=0,"NA",IF($A20=INDIRECT("'"&amp;$A20&amp;"'!$B$1"),IF(VLOOKUP(AJ$1,INDIRECT("'"&amp;$A20&amp;"'!$A$12:$Z$41"),MATCH("Points (Auto-generate)",INDIRECT("'"&amp;$A20&amp;"'!$A$12:$Z$12"),0),0)="","?",VLOOKUP(AJ$1,INDIRECT("'"&amp;$A20&amp;"'!$A$12:$Z$41"),MATCH("Points (Auto-generate)",INDIRECT("'"&amp;$A20&amp;"'!$A$12:$Z$12"),0),0)),"ER"))</f>
        <v>?</v>
      </c>
      <c r="AK20" s="86" t="str">
        <f aca="true">IF($H20=0,"NA",IF($A20=INDIRECT("'"&amp;$A20&amp;"'!$B$1"),IF(VLOOKUP(AK$1,INDIRECT("'"&amp;$A20&amp;"'!$A$12:$Z$41"),MATCH("Points (Auto-generate)",INDIRECT("'"&amp;$A20&amp;"'!$A$12:$Z$12"),0),0)="","?",VLOOKUP(AK$1,INDIRECT("'"&amp;$A20&amp;"'!$A$12:$Z$41"),MATCH("Points (Auto-generate)",INDIRECT("'"&amp;$A20&amp;"'!$A$12:$Z$12"),0),0)),"ER"))</f>
        <v>?</v>
      </c>
    </row>
    <row r="21" customFormat="false" ht="14.25" hidden="false" customHeight="false" outlineLevel="0" collapsed="false">
      <c r="A21" s="82" t="s">
        <v>427</v>
      </c>
      <c r="B21" s="83" t="str">
        <f aca="false">IF(ISBLANK($A21),"NO_CODE",VLOOKUP($A21,'UPD Questions_290926 '!$E$1:$N$300,MATCH(B$1,'UPD Questions_290926 '!$E$1:$N$1,0),0)&amp;"")</f>
        <v>Planning </v>
      </c>
      <c r="C21" s="83" t="str">
        <f aca="false">IF(ISBLANK($A21),"NO_CODE",VLOOKUP($A21,'UPD Questions_290926 '!$E$1:$N$300,MATCH(C$1,'UPD Questions_290926 '!$E$1:$N$1,0),0)&amp;"")</f>
        <v>Municipal/City Plan preparation, participation and review</v>
      </c>
      <c r="D21" s="83" t="str">
        <f aca="false">IF(ISBLANK($A21),"NO_CODE",VLOOKUP($A21,'UPD Questions_290926 '!$E$1:$N$300,MATCH(D$1,'UPD Questions_290926 '!$E$1:$N$1,0),0)&amp;"")</f>
        <v>Public participation and scrutiny</v>
      </c>
      <c r="E21" s="83" t="str">
        <f aca="false">IF(ISBLANK($A21),"NO_CODE",VLOOKUP($A21,'UPD Questions_290926 '!$E$1:$N$300,MATCH(E$1,'UPD Questions_290926 '!$E$1:$N$1,0),0)&amp;"")</f>
        <v>MQ</v>
      </c>
      <c r="F21" s="83" t="str">
        <f aca="false">IF(ISBLANK($A21),"NO_CODE",VLOOKUP($A21,'UPD Questions_290926 '!$E$1:$N$300,MATCH(F$1,'UPD Questions_290926 '!$E$1:$N$1,0),0)&amp;"")</f>
        <v>Is there public scrutiny for (including objections and responses) municipal/city plan?</v>
      </c>
      <c r="G21" s="83" t="str">
        <f aca="false">IF(ISBLANK($A21),"NO_CODE",VLOOKUP($A21,'UPD Questions_290926 '!$E$1:$N$300,MATCH(G$1,'UPD Questions_290926 '!$E$1:$N$1,0),0)&amp;"")</f>
        <v>Law/Policy &amp; Implementation</v>
      </c>
      <c r="H21" s="85" t="n">
        <f aca="false">IF(ISBLANK($A21),"NO_CODE",VLOOKUP($A21,'UPD Questions_290926 '!$E$1:$N$300,MATCH(H$1,'UPD Questions_290926 '!$E$1:$N$1,0),0))</f>
        <v>10</v>
      </c>
      <c r="I21" s="86" t="str">
        <f aca="false">IF(OR(I22="ER",I23="ER"),"ER",IF(OR(I22="?",I23="?"),"?",IF(AND(I22="NA",I23="NA"),"NA",SUM(I22,I23)/((I22&lt;&gt;"NA")*$H$22+(I23&lt;&gt;"NA")*$H$23)*$H21)))</f>
        <v>?</v>
      </c>
      <c r="J21" s="86" t="str">
        <f aca="false">IF(OR(J22="ER",J23="ER"),"ER",IF(OR(J22="?",J23="?"),"?",IF(AND(J22="NA",J23="NA"),"NA",SUM(J22,J23)/((J22&lt;&gt;"NA")*$H$22+(J23&lt;&gt;"NA")*$H$23)*$H21)))</f>
        <v>?</v>
      </c>
      <c r="K21" s="86" t="str">
        <f aca="false">IF(OR(K22="ER",K23="ER"),"ER",IF(OR(K22="?",K23="?"),"?",IF(AND(K22="NA",K23="NA"),"NA",SUM(K22,K23)/((K22&lt;&gt;"NA")*$H$22+(K23&lt;&gt;"NA")*$H$23)*$H21)))</f>
        <v>?</v>
      </c>
      <c r="L21" s="86" t="str">
        <f aca="false">IF(OR(L22="ER",L23="ER"),"ER",IF(OR(L22="?",L23="?"),"?",IF(AND(L22="NA",L23="NA"),"NA",SUM(L22,L23)/((L22&lt;&gt;"NA")*$H$22+(L23&lt;&gt;"NA")*$H$23)*$H21)))</f>
        <v>?</v>
      </c>
      <c r="M21" s="86" t="str">
        <f aca="false">IF(OR(M22="ER",M23="ER"),"ER",IF(OR(M22="?",M23="?"),"?",IF(AND(M22="NA",M23="NA"),"NA",SUM(M22,M23)/((M22&lt;&gt;"NA")*$H$22+(M23&lt;&gt;"NA")*$H$23)*$H21)))</f>
        <v>?</v>
      </c>
      <c r="N21" s="86" t="str">
        <f aca="false">IF(OR(N22="ER",N23="ER"),"ER",IF(OR(N22="?",N23="?"),"?",IF(AND(N22="NA",N23="NA"),"NA",SUM(N22,N23)/((N22&lt;&gt;"NA")*$H$22+(N23&lt;&gt;"NA")*$H$23)*$H21)))</f>
        <v>?</v>
      </c>
      <c r="O21" s="86" t="str">
        <f aca="false">IF(OR(O22="ER",O23="ER"),"ER",IF(OR(O22="?",O23="?"),"?",IF(AND(O22="NA",O23="NA"),"NA",SUM(O22,O23)/((O22&lt;&gt;"NA")*$H$22+(O23&lt;&gt;"NA")*$H$23)*$H21)))</f>
        <v>?</v>
      </c>
      <c r="P21" s="86" t="str">
        <f aca="false">IF(OR(P22="ER",P23="ER"),"ER",IF(OR(P22="?",P23="?"),"?",IF(AND(P22="NA",P23="NA"),"NA",SUM(P22,P23)/((P22&lt;&gt;"NA")*$H$22+(P23&lt;&gt;"NA")*$H$23)*$H21)))</f>
        <v>?</v>
      </c>
      <c r="Q21" s="86" t="str">
        <f aca="false">IF(OR(Q22="ER",Q23="ER"),"ER",IF(OR(Q22="?",Q23="?"),"?",IF(AND(Q22="NA",Q23="NA"),"NA",SUM(Q22,Q23)/((Q22&lt;&gt;"NA")*$H$22+(Q23&lt;&gt;"NA")*$H$23)*$H21)))</f>
        <v>?</v>
      </c>
      <c r="R21" s="86" t="str">
        <f aca="false">IF(OR(R22="ER",R23="ER"),"ER",IF(OR(R22="?",R23="?"),"?",IF(AND(R22="NA",R23="NA"),"NA",SUM(R22,R23)/((R22&lt;&gt;"NA")*$H$22+(R23&lt;&gt;"NA")*$H$23)*$H21)))</f>
        <v>?</v>
      </c>
      <c r="S21" s="86" t="str">
        <f aca="false">IF(OR(S22="ER",S23="ER"),"ER",IF(OR(S22="?",S23="?"),"?",IF(AND(S22="NA",S23="NA"),"NA",SUM(S22,S23)/((S22&lt;&gt;"NA")*$H$22+(S23&lt;&gt;"NA")*$H$23)*$H21)))</f>
        <v>?</v>
      </c>
      <c r="T21" s="86" t="str">
        <f aca="false">IF(OR(T22="ER",T23="ER"),"ER",IF(OR(T22="?",T23="?"),"?",IF(AND(T22="NA",T23="NA"),"NA",SUM(T22,T23)/((T22&lt;&gt;"NA")*$H$22+(T23&lt;&gt;"NA")*$H$23)*$H21)))</f>
        <v>?</v>
      </c>
      <c r="U21" s="86" t="str">
        <f aca="false">IF(OR(U22="ER",U23="ER"),"ER",IF(OR(U22="?",U23="?"),"?",IF(AND(U22="NA",U23="NA"),"NA",SUM(U22,U23)/((U22&lt;&gt;"NA")*$H$22+(U23&lt;&gt;"NA")*$H$23)*$H21)))</f>
        <v>?</v>
      </c>
      <c r="V21" s="86" t="str">
        <f aca="false">IF(OR(V22="ER",V23="ER"),"ER",IF(OR(V22="?",V23="?"),"?",IF(AND(V22="NA",V23="NA"),"NA",SUM(V22,V23)/((V22&lt;&gt;"NA")*$H$22+(V23&lt;&gt;"NA")*$H$23)*$H21)))</f>
        <v>?</v>
      </c>
      <c r="W21" s="86" t="str">
        <f aca="false">IF(OR(W22="ER",W23="ER"),"ER",IF(OR(W22="?",W23="?"),"?",IF(AND(W22="NA",W23="NA"),"NA",SUM(W22,W23)/((W22&lt;&gt;"NA")*$H$22+(W23&lt;&gt;"NA")*$H$23)*$H21)))</f>
        <v>?</v>
      </c>
      <c r="X21" s="86" t="str">
        <f aca="false">IF(OR(X22="ER",X23="ER"),"ER",IF(OR(X22="?",X23="?"),"?",IF(AND(X22="NA",X23="NA"),"NA",SUM(X22,X23)/((X22&lt;&gt;"NA")*$H$22+(X23&lt;&gt;"NA")*$H$23)*$H21)))</f>
        <v>?</v>
      </c>
      <c r="Y21" s="86" t="str">
        <f aca="false">IF(OR(Y22="ER",Y23="ER"),"ER",IF(OR(Y22="?",Y23="?"),"?",IF(AND(Y22="NA",Y23="NA"),"NA",SUM(Y22,Y23)/((Y22&lt;&gt;"NA")*$H$22+(Y23&lt;&gt;"NA")*$H$23)*$H21)))</f>
        <v>?</v>
      </c>
      <c r="Z21" s="86" t="str">
        <f aca="false">IF(OR(Z22="ER",Z23="ER"),"ER",IF(OR(Z22="?",Z23="?"),"?",IF(AND(Z22="NA",Z23="NA"),"NA",SUM(Z22,Z23)/((Z22&lt;&gt;"NA")*$H$22+(Z23&lt;&gt;"NA")*$H$23)*$H21)))</f>
        <v>?</v>
      </c>
      <c r="AA21" s="86" t="str">
        <f aca="false">IF(OR(AA22="ER",AA23="ER"),"ER",IF(OR(AA22="?",AA23="?"),"?",IF(AND(AA22="NA",AA23="NA"),"NA",SUM(AA22,AA23)/((AA22&lt;&gt;"NA")*$H$22+(AA23&lt;&gt;"NA")*$H$23)*$H21)))</f>
        <v>?</v>
      </c>
      <c r="AB21" s="86" t="str">
        <f aca="false">IF(OR(AB22="ER",AB23="ER"),"ER",IF(OR(AB22="?",AB23="?"),"?",IF(AND(AB22="NA",AB23="NA"),"NA",SUM(AB22,AB23)/((AB22&lt;&gt;"NA")*$H$22+(AB23&lt;&gt;"NA")*$H$23)*$H21)))</f>
        <v>?</v>
      </c>
      <c r="AC21" s="86" t="str">
        <f aca="false">IF(OR(AC22="ER",AC23="ER"),"ER",IF(OR(AC22="?",AC23="?"),"?",IF(AND(AC22="NA",AC23="NA"),"NA",SUM(AC22,AC23)/((AC22&lt;&gt;"NA")*$H$22+(AC23&lt;&gt;"NA")*$H$23)*$H21)))</f>
        <v>?</v>
      </c>
      <c r="AD21" s="86" t="str">
        <f aca="false">IF(OR(AD22="ER",AD23="ER"),"ER",IF(OR(AD22="?",AD23="?"),"?",IF(AND(AD22="NA",AD23="NA"),"NA",SUM(AD22,AD23)/((AD22&lt;&gt;"NA")*$H$22+(AD23&lt;&gt;"NA")*$H$23)*$H21)))</f>
        <v>?</v>
      </c>
      <c r="AE21" s="86" t="str">
        <f aca="false">IF(OR(AE22="ER",AE23="ER"),"ER",IF(OR(AE22="?",AE23="?"),"?",IF(AND(AE22="NA",AE23="NA"),"NA",SUM(AE22,AE23)/((AE22&lt;&gt;"NA")*$H$22+(AE23&lt;&gt;"NA")*$H$23)*$H21)))</f>
        <v>?</v>
      </c>
      <c r="AF21" s="86" t="str">
        <f aca="false">IF(OR(AF22="ER",AF23="ER"),"ER",IF(OR(AF22="?",AF23="?"),"?",IF(AND(AF22="NA",AF23="NA"),"NA",SUM(AF22,AF23)/((AF22&lt;&gt;"NA")*$H$22+(AF23&lt;&gt;"NA")*$H$23)*$H21)))</f>
        <v>?</v>
      </c>
      <c r="AG21" s="86" t="str">
        <f aca="false">IF(OR(AG22="ER",AG23="ER"),"ER",IF(OR(AG22="?",AG23="?"),"?",IF(AND(AG22="NA",AG23="NA"),"NA",SUM(AG22,AG23)/((AG22&lt;&gt;"NA")*$H$22+(AG23&lt;&gt;"NA")*$H$23)*$H21)))</f>
        <v>?</v>
      </c>
      <c r="AH21" s="86" t="str">
        <f aca="false">IF(OR(AH22="ER",AH23="ER"),"ER",IF(OR(AH22="?",AH23="?"),"?",IF(AND(AH22="NA",AH23="NA"),"NA",SUM(AH22,AH23)/((AH22&lt;&gt;"NA")*$H$22+(AH23&lt;&gt;"NA")*$H$23)*$H21)))</f>
        <v>?</v>
      </c>
      <c r="AI21" s="86" t="str">
        <f aca="false">IF(OR(AI22="ER",AI23="ER"),"ER",IF(OR(AI22="?",AI23="?"),"?",IF(AND(AI22="NA",AI23="NA"),"NA",SUM(AI22,AI23)/((AI22&lt;&gt;"NA")*$H$22+(AI23&lt;&gt;"NA")*$H$23)*$H21)))</f>
        <v>?</v>
      </c>
      <c r="AJ21" s="86" t="str">
        <f aca="false">IF(OR(AJ22="ER",AJ23="ER"),"ER",IF(OR(AJ22="?",AJ23="?"),"?",IF(AND(AJ22="NA",AJ23="NA"),"NA",SUM(AJ22,AJ23)/((AJ22&lt;&gt;"NA")*$H$22+(AJ23&lt;&gt;"NA")*$H$23)*$H21)))</f>
        <v>?</v>
      </c>
      <c r="AK21" s="86" t="str">
        <f aca="false">IF(OR(AK22="ER",AK23="ER"),"ER",IF(OR(AK22="?",AK23="?"),"?",IF(AND(AK22="NA",AK23="NA"),"NA",SUM(AK22,AK23)/((AK22&lt;&gt;"NA")*$H$22+(AK23&lt;&gt;"NA")*$H$23)*$H21)))</f>
        <v>?</v>
      </c>
    </row>
    <row r="22" customFormat="false" ht="14.25" hidden="false" customHeight="false" outlineLevel="0" collapsed="false">
      <c r="A22" s="82" t="s">
        <v>106</v>
      </c>
      <c r="B22" s="83" t="str">
        <f aca="false">IF(ISBLANK($A22),"NO_CODE",VLOOKUP($A22,'UPD Questions_290926 '!$E$1:$N$300,MATCH(B$1,'UPD Questions_290926 '!$E$1:$N$1,0),0)&amp;"")</f>
        <v>Planning </v>
      </c>
      <c r="C22" s="83" t="str">
        <f aca="false">IF(ISBLANK($A22),"NO_CODE",VLOOKUP($A22,'UPD Questions_290926 '!$E$1:$N$300,MATCH(C$1,'UPD Questions_290926 '!$E$1:$N$1,0),0)&amp;"")</f>
        <v>Municipal/City Plan preparation, participation and review</v>
      </c>
      <c r="D22" s="83" t="str">
        <f aca="false">IF(ISBLANK($A22),"NO_CODE",VLOOKUP($A22,'UPD Questions_290926 '!$E$1:$N$300,MATCH(D$1,'UPD Questions_290926 '!$E$1:$N$1,0),0)&amp;"")</f>
        <v>Public participation and scrutiny</v>
      </c>
      <c r="E22" s="83" t="str">
        <f aca="false">IF(ISBLANK($A22),"NO_CODE",VLOOKUP($A22,'UPD Questions_290926 '!$E$1:$N$300,MATCH(E$1,'UPD Questions_290926 '!$E$1:$N$1,0),0)&amp;"")</f>
        <v>SQ</v>
      </c>
      <c r="F22" s="83" t="str">
        <f aca="false">IF(ISBLANK($A22),"NO_CODE",VLOOKUP($A22,'UPD Questions_290926 '!$E$1:$N$300,MATCH(F$1,'UPD Questions_290926 '!$E$1:$N$1,0),0)&amp;"")</f>
        <v>Does the law mandate public scrutiny for (including objections and responses) municipal/city plan through Area Sabhas / Ward Sabhas and other means?</v>
      </c>
      <c r="G22" s="83" t="str">
        <f aca="false">IF(ISBLANK($A22),"NO_CODE",VLOOKUP($A22,'UPD Questions_290926 '!$E$1:$N$300,MATCH(G$1,'UPD Questions_290926 '!$E$1:$N$1,0),0)&amp;"")</f>
        <v>Law/Policy</v>
      </c>
      <c r="H22" s="85" t="n">
        <f aca="false">IF(ISBLANK($A22),"NO_CODE",VLOOKUP($A22,'UPD Questions_290926 '!$E$1:$N$300,MATCH(H$1,'UPD Questions_290926 '!$E$1:$N$1,0),0))</f>
        <v>5</v>
      </c>
      <c r="I22" s="86" t="str">
        <f aca="true">IF($H22=0,"NA",IF($A22=INDIRECT("'"&amp;$A22&amp;"'!$B$1"),IF(VLOOKUP(I$1,INDIRECT("'"&amp;$A22&amp;"'!$A$12:$Z$41"),MATCH("Points (Auto-generate)",INDIRECT("'"&amp;$A22&amp;"'!$A$12:$Z$12"),0),0)="","?",VLOOKUP(I$1,INDIRECT("'"&amp;$A22&amp;"'!$A$12:$Z$41"),MATCH("Points (Auto-generate)",INDIRECT("'"&amp;$A22&amp;"'!$A$12:$Z$12"),0),0)),"ER"))</f>
        <v>?</v>
      </c>
      <c r="J22" s="86" t="str">
        <f aca="true">IF($H22=0,"NA",IF($A22=INDIRECT("'"&amp;$A22&amp;"'!$B$1"),IF(VLOOKUP(J$1,INDIRECT("'"&amp;$A22&amp;"'!$A$12:$Z$41"),MATCH("Points (Auto-generate)",INDIRECT("'"&amp;$A22&amp;"'!$A$12:$Z$12"),0),0)="","?",VLOOKUP(J$1,INDIRECT("'"&amp;$A22&amp;"'!$A$12:$Z$41"),MATCH("Points (Auto-generate)",INDIRECT("'"&amp;$A22&amp;"'!$A$12:$Z$12"),0),0)),"ER"))</f>
        <v>?</v>
      </c>
      <c r="K22" s="86" t="str">
        <f aca="true">IF($H22=0,"NA",IF($A22=INDIRECT("'"&amp;$A22&amp;"'!$B$1"),IF(VLOOKUP(K$1,INDIRECT("'"&amp;$A22&amp;"'!$A$12:$Z$41"),MATCH("Points (Auto-generate)",INDIRECT("'"&amp;$A22&amp;"'!$A$12:$Z$12"),0),0)="","?",VLOOKUP(K$1,INDIRECT("'"&amp;$A22&amp;"'!$A$12:$Z$41"),MATCH("Points (Auto-generate)",INDIRECT("'"&amp;$A22&amp;"'!$A$12:$Z$12"),0),0)),"ER"))</f>
        <v>?</v>
      </c>
      <c r="L22" s="86" t="str">
        <f aca="true">IF($H22=0,"NA",IF($A22=INDIRECT("'"&amp;$A22&amp;"'!$B$1"),IF(VLOOKUP(L$1,INDIRECT("'"&amp;$A22&amp;"'!$A$12:$Z$41"),MATCH("Points (Auto-generate)",INDIRECT("'"&amp;$A22&amp;"'!$A$12:$Z$12"),0),0)="","?",VLOOKUP(L$1,INDIRECT("'"&amp;$A22&amp;"'!$A$12:$Z$41"),MATCH("Points (Auto-generate)",INDIRECT("'"&amp;$A22&amp;"'!$A$12:$Z$12"),0),0)),"ER"))</f>
        <v>?</v>
      </c>
      <c r="M22" s="86" t="str">
        <f aca="true">IF($H22=0,"NA",IF($A22=INDIRECT("'"&amp;$A22&amp;"'!$B$1"),IF(VLOOKUP(M$1,INDIRECT("'"&amp;$A22&amp;"'!$A$12:$Z$41"),MATCH("Points (Auto-generate)",INDIRECT("'"&amp;$A22&amp;"'!$A$12:$Z$12"),0),0)="","?",VLOOKUP(M$1,INDIRECT("'"&amp;$A22&amp;"'!$A$12:$Z$41"),MATCH("Points (Auto-generate)",INDIRECT("'"&amp;$A22&amp;"'!$A$12:$Z$12"),0),0)),"ER"))</f>
        <v>?</v>
      </c>
      <c r="N22" s="86" t="str">
        <f aca="true">IF($H22=0,"NA",IF($A22=INDIRECT("'"&amp;$A22&amp;"'!$B$1"),IF(VLOOKUP(N$1,INDIRECT("'"&amp;$A22&amp;"'!$A$12:$Z$41"),MATCH("Points (Auto-generate)",INDIRECT("'"&amp;$A22&amp;"'!$A$12:$Z$12"),0),0)="","?",VLOOKUP(N$1,INDIRECT("'"&amp;$A22&amp;"'!$A$12:$Z$41"),MATCH("Points (Auto-generate)",INDIRECT("'"&amp;$A22&amp;"'!$A$12:$Z$12"),0),0)),"ER"))</f>
        <v>?</v>
      </c>
      <c r="O22" s="86" t="str">
        <f aca="true">IF($H22=0,"NA",IF($A22=INDIRECT("'"&amp;$A22&amp;"'!$B$1"),IF(VLOOKUP(O$1,INDIRECT("'"&amp;$A22&amp;"'!$A$12:$Z$41"),MATCH("Points (Auto-generate)",INDIRECT("'"&amp;$A22&amp;"'!$A$12:$Z$12"),0),0)="","?",VLOOKUP(O$1,INDIRECT("'"&amp;$A22&amp;"'!$A$12:$Z$41"),MATCH("Points (Auto-generate)",INDIRECT("'"&amp;$A22&amp;"'!$A$12:$Z$12"),0),0)),"ER"))</f>
        <v>?</v>
      </c>
      <c r="P22" s="86" t="str">
        <f aca="true">IF($H22=0,"NA",IF($A22=INDIRECT("'"&amp;$A22&amp;"'!$B$1"),IF(VLOOKUP(P$1,INDIRECT("'"&amp;$A22&amp;"'!$A$12:$Z$41"),MATCH("Points (Auto-generate)",INDIRECT("'"&amp;$A22&amp;"'!$A$12:$Z$12"),0),0)="","?",VLOOKUP(P$1,INDIRECT("'"&amp;$A22&amp;"'!$A$12:$Z$41"),MATCH("Points (Auto-generate)",INDIRECT("'"&amp;$A22&amp;"'!$A$12:$Z$12"),0),0)),"ER"))</f>
        <v>?</v>
      </c>
      <c r="Q22" s="86" t="str">
        <f aca="true">IF($H22=0,"NA",IF($A22=INDIRECT("'"&amp;$A22&amp;"'!$B$1"),IF(VLOOKUP(Q$1,INDIRECT("'"&amp;$A22&amp;"'!$A$12:$Z$41"),MATCH("Points (Auto-generate)",INDIRECT("'"&amp;$A22&amp;"'!$A$12:$Z$12"),0),0)="","?",VLOOKUP(Q$1,INDIRECT("'"&amp;$A22&amp;"'!$A$12:$Z$41"),MATCH("Points (Auto-generate)",INDIRECT("'"&amp;$A22&amp;"'!$A$12:$Z$12"),0),0)),"ER"))</f>
        <v>?</v>
      </c>
      <c r="R22" s="86" t="str">
        <f aca="true">IF($H22=0,"NA",IF($A22=INDIRECT("'"&amp;$A22&amp;"'!$B$1"),IF(VLOOKUP(R$1,INDIRECT("'"&amp;$A22&amp;"'!$A$12:$Z$41"),MATCH("Points (Auto-generate)",INDIRECT("'"&amp;$A22&amp;"'!$A$12:$Z$12"),0),0)="","?",VLOOKUP(R$1,INDIRECT("'"&amp;$A22&amp;"'!$A$12:$Z$41"),MATCH("Points (Auto-generate)",INDIRECT("'"&amp;$A22&amp;"'!$A$12:$Z$12"),0),0)),"ER"))</f>
        <v>?</v>
      </c>
      <c r="S22" s="86" t="str">
        <f aca="true">IF($H22=0,"NA",IF($A22=INDIRECT("'"&amp;$A22&amp;"'!$B$1"),IF(VLOOKUP(S$1,INDIRECT("'"&amp;$A22&amp;"'!$A$12:$Z$41"),MATCH("Points (Auto-generate)",INDIRECT("'"&amp;$A22&amp;"'!$A$12:$Z$12"),0),0)="","?",VLOOKUP(S$1,INDIRECT("'"&amp;$A22&amp;"'!$A$12:$Z$41"),MATCH("Points (Auto-generate)",INDIRECT("'"&amp;$A22&amp;"'!$A$12:$Z$12"),0),0)),"ER"))</f>
        <v>?</v>
      </c>
      <c r="T22" s="86" t="str">
        <f aca="true">IF($H22=0,"NA",IF($A22=INDIRECT("'"&amp;$A22&amp;"'!$B$1"),IF(VLOOKUP(T$1,INDIRECT("'"&amp;$A22&amp;"'!$A$12:$Z$41"),MATCH("Points (Auto-generate)",INDIRECT("'"&amp;$A22&amp;"'!$A$12:$Z$12"),0),0)="","?",VLOOKUP(T$1,INDIRECT("'"&amp;$A22&amp;"'!$A$12:$Z$41"),MATCH("Points (Auto-generate)",INDIRECT("'"&amp;$A22&amp;"'!$A$12:$Z$12"),0),0)),"ER"))</f>
        <v>?</v>
      </c>
      <c r="U22" s="86" t="str">
        <f aca="true">IF($H22=0,"NA",IF($A22=INDIRECT("'"&amp;$A22&amp;"'!$B$1"),IF(VLOOKUP(U$1,INDIRECT("'"&amp;$A22&amp;"'!$A$12:$Z$41"),MATCH("Points (Auto-generate)",INDIRECT("'"&amp;$A22&amp;"'!$A$12:$Z$12"),0),0)="","?",VLOOKUP(U$1,INDIRECT("'"&amp;$A22&amp;"'!$A$12:$Z$41"),MATCH("Points (Auto-generate)",INDIRECT("'"&amp;$A22&amp;"'!$A$12:$Z$12"),0),0)),"ER"))</f>
        <v>?</v>
      </c>
      <c r="V22" s="86" t="str">
        <f aca="true">IF($H22=0,"NA",IF($A22=INDIRECT("'"&amp;$A22&amp;"'!$B$1"),IF(VLOOKUP(V$1,INDIRECT("'"&amp;$A22&amp;"'!$A$12:$Z$41"),MATCH("Points (Auto-generate)",INDIRECT("'"&amp;$A22&amp;"'!$A$12:$Z$12"),0),0)="","?",VLOOKUP(V$1,INDIRECT("'"&amp;$A22&amp;"'!$A$12:$Z$41"),MATCH("Points (Auto-generate)",INDIRECT("'"&amp;$A22&amp;"'!$A$12:$Z$12"),0),0)),"ER"))</f>
        <v>?</v>
      </c>
      <c r="W22" s="86" t="str">
        <f aca="true">IF($H22=0,"NA",IF($A22=INDIRECT("'"&amp;$A22&amp;"'!$B$1"),IF(VLOOKUP(W$1,INDIRECT("'"&amp;$A22&amp;"'!$A$12:$Z$41"),MATCH("Points (Auto-generate)",INDIRECT("'"&amp;$A22&amp;"'!$A$12:$Z$12"),0),0)="","?",VLOOKUP(W$1,INDIRECT("'"&amp;$A22&amp;"'!$A$12:$Z$41"),MATCH("Points (Auto-generate)",INDIRECT("'"&amp;$A22&amp;"'!$A$12:$Z$12"),0),0)),"ER"))</f>
        <v>?</v>
      </c>
      <c r="X22" s="86" t="str">
        <f aca="true">IF($H22=0,"NA",IF($A22=INDIRECT("'"&amp;$A22&amp;"'!$B$1"),IF(VLOOKUP(X$1,INDIRECT("'"&amp;$A22&amp;"'!$A$12:$Z$41"),MATCH("Points (Auto-generate)",INDIRECT("'"&amp;$A22&amp;"'!$A$12:$Z$12"),0),0)="","?",VLOOKUP(X$1,INDIRECT("'"&amp;$A22&amp;"'!$A$12:$Z$41"),MATCH("Points (Auto-generate)",INDIRECT("'"&amp;$A22&amp;"'!$A$12:$Z$12"),0),0)),"ER"))</f>
        <v>?</v>
      </c>
      <c r="Y22" s="86" t="str">
        <f aca="true">IF($H22=0,"NA",IF($A22=INDIRECT("'"&amp;$A22&amp;"'!$B$1"),IF(VLOOKUP(Y$1,INDIRECT("'"&amp;$A22&amp;"'!$A$12:$Z$41"),MATCH("Points (Auto-generate)",INDIRECT("'"&amp;$A22&amp;"'!$A$12:$Z$12"),0),0)="","?",VLOOKUP(Y$1,INDIRECT("'"&amp;$A22&amp;"'!$A$12:$Z$41"),MATCH("Points (Auto-generate)",INDIRECT("'"&amp;$A22&amp;"'!$A$12:$Z$12"),0),0)),"ER"))</f>
        <v>?</v>
      </c>
      <c r="Z22" s="86" t="str">
        <f aca="true">IF($H22=0,"NA",IF($A22=INDIRECT("'"&amp;$A22&amp;"'!$B$1"),IF(VLOOKUP(Z$1,INDIRECT("'"&amp;$A22&amp;"'!$A$12:$Z$41"),MATCH("Points (Auto-generate)",INDIRECT("'"&amp;$A22&amp;"'!$A$12:$Z$12"),0),0)="","?",VLOOKUP(Z$1,INDIRECT("'"&amp;$A22&amp;"'!$A$12:$Z$41"),MATCH("Points (Auto-generate)",INDIRECT("'"&amp;$A22&amp;"'!$A$12:$Z$12"),0),0)),"ER"))</f>
        <v>?</v>
      </c>
      <c r="AA22" s="86" t="str">
        <f aca="true">IF($H22=0,"NA",IF($A22=INDIRECT("'"&amp;$A22&amp;"'!$B$1"),IF(VLOOKUP(AA$1,INDIRECT("'"&amp;$A22&amp;"'!$A$12:$Z$41"),MATCH("Points (Auto-generate)",INDIRECT("'"&amp;$A22&amp;"'!$A$12:$Z$12"),0),0)="","?",VLOOKUP(AA$1,INDIRECT("'"&amp;$A22&amp;"'!$A$12:$Z$41"),MATCH("Points (Auto-generate)",INDIRECT("'"&amp;$A22&amp;"'!$A$12:$Z$12"),0),0)),"ER"))</f>
        <v>?</v>
      </c>
      <c r="AB22" s="86" t="str">
        <f aca="true">IF($H22=0,"NA",IF($A22=INDIRECT("'"&amp;$A22&amp;"'!$B$1"),IF(VLOOKUP(AB$1,INDIRECT("'"&amp;$A22&amp;"'!$A$12:$Z$41"),MATCH("Points (Auto-generate)",INDIRECT("'"&amp;$A22&amp;"'!$A$12:$Z$12"),0),0)="","?",VLOOKUP(AB$1,INDIRECT("'"&amp;$A22&amp;"'!$A$12:$Z$41"),MATCH("Points (Auto-generate)",INDIRECT("'"&amp;$A22&amp;"'!$A$12:$Z$12"),0),0)),"ER"))</f>
        <v>?</v>
      </c>
      <c r="AC22" s="86" t="str">
        <f aca="true">IF($H22=0,"NA",IF($A22=INDIRECT("'"&amp;$A22&amp;"'!$B$1"),IF(VLOOKUP(AC$1,INDIRECT("'"&amp;$A22&amp;"'!$A$12:$Z$41"),MATCH("Points (Auto-generate)",INDIRECT("'"&amp;$A22&amp;"'!$A$12:$Z$12"),0),0)="","?",VLOOKUP(AC$1,INDIRECT("'"&amp;$A22&amp;"'!$A$12:$Z$41"),MATCH("Points (Auto-generate)",INDIRECT("'"&amp;$A22&amp;"'!$A$12:$Z$12"),0),0)),"ER"))</f>
        <v>?</v>
      </c>
      <c r="AD22" s="86" t="str">
        <f aca="true">IF($H22=0,"NA",IF($A22=INDIRECT("'"&amp;$A22&amp;"'!$B$1"),IF(VLOOKUP(AD$1,INDIRECT("'"&amp;$A22&amp;"'!$A$12:$Z$41"),MATCH("Points (Auto-generate)",INDIRECT("'"&amp;$A22&amp;"'!$A$12:$Z$12"),0),0)="","?",VLOOKUP(AD$1,INDIRECT("'"&amp;$A22&amp;"'!$A$12:$Z$41"),MATCH("Points (Auto-generate)",INDIRECT("'"&amp;$A22&amp;"'!$A$12:$Z$12"),0),0)),"ER"))</f>
        <v>?</v>
      </c>
      <c r="AE22" s="86" t="str">
        <f aca="true">IF($H22=0,"NA",IF($A22=INDIRECT("'"&amp;$A22&amp;"'!$B$1"),IF(VLOOKUP(AE$1,INDIRECT("'"&amp;$A22&amp;"'!$A$12:$Z$41"),MATCH("Points (Auto-generate)",INDIRECT("'"&amp;$A22&amp;"'!$A$12:$Z$12"),0),0)="","?",VLOOKUP(AE$1,INDIRECT("'"&amp;$A22&amp;"'!$A$12:$Z$41"),MATCH("Points (Auto-generate)",INDIRECT("'"&amp;$A22&amp;"'!$A$12:$Z$12"),0),0)),"ER"))</f>
        <v>?</v>
      </c>
      <c r="AF22" s="86" t="str">
        <f aca="true">IF($H22=0,"NA",IF($A22=INDIRECT("'"&amp;$A22&amp;"'!$B$1"),IF(VLOOKUP(AF$1,INDIRECT("'"&amp;$A22&amp;"'!$A$12:$Z$41"),MATCH("Points (Auto-generate)",INDIRECT("'"&amp;$A22&amp;"'!$A$12:$Z$12"),0),0)="","?",VLOOKUP(AF$1,INDIRECT("'"&amp;$A22&amp;"'!$A$12:$Z$41"),MATCH("Points (Auto-generate)",INDIRECT("'"&amp;$A22&amp;"'!$A$12:$Z$12"),0),0)),"ER"))</f>
        <v>?</v>
      </c>
      <c r="AG22" s="86" t="str">
        <f aca="true">IF($H22=0,"NA",IF($A22=INDIRECT("'"&amp;$A22&amp;"'!$B$1"),IF(VLOOKUP(AG$1,INDIRECT("'"&amp;$A22&amp;"'!$A$12:$Z$41"),MATCH("Points (Auto-generate)",INDIRECT("'"&amp;$A22&amp;"'!$A$12:$Z$12"),0),0)="","?",VLOOKUP(AG$1,INDIRECT("'"&amp;$A22&amp;"'!$A$12:$Z$41"),MATCH("Points (Auto-generate)",INDIRECT("'"&amp;$A22&amp;"'!$A$12:$Z$12"),0),0)),"ER"))</f>
        <v>?</v>
      </c>
      <c r="AH22" s="86" t="str">
        <f aca="true">IF($H22=0,"NA",IF($A22=INDIRECT("'"&amp;$A22&amp;"'!$B$1"),IF(VLOOKUP(AH$1,INDIRECT("'"&amp;$A22&amp;"'!$A$12:$Z$41"),MATCH("Points (Auto-generate)",INDIRECT("'"&amp;$A22&amp;"'!$A$12:$Z$12"),0),0)="","?",VLOOKUP(AH$1,INDIRECT("'"&amp;$A22&amp;"'!$A$12:$Z$41"),MATCH("Points (Auto-generate)",INDIRECT("'"&amp;$A22&amp;"'!$A$12:$Z$12"),0),0)),"ER"))</f>
        <v>?</v>
      </c>
      <c r="AI22" s="86" t="str">
        <f aca="true">IF($H22=0,"NA",IF($A22=INDIRECT("'"&amp;$A22&amp;"'!$B$1"),IF(VLOOKUP(AI$1,INDIRECT("'"&amp;$A22&amp;"'!$A$12:$Z$41"),MATCH("Points (Auto-generate)",INDIRECT("'"&amp;$A22&amp;"'!$A$12:$Z$12"),0),0)="","?",VLOOKUP(AI$1,INDIRECT("'"&amp;$A22&amp;"'!$A$12:$Z$41"),MATCH("Points (Auto-generate)",INDIRECT("'"&amp;$A22&amp;"'!$A$12:$Z$12"),0),0)),"ER"))</f>
        <v>?</v>
      </c>
      <c r="AJ22" s="86" t="str">
        <f aca="true">IF($H22=0,"NA",IF($A22=INDIRECT("'"&amp;$A22&amp;"'!$B$1"),IF(VLOOKUP(AJ$1,INDIRECT("'"&amp;$A22&amp;"'!$A$12:$Z$41"),MATCH("Points (Auto-generate)",INDIRECT("'"&amp;$A22&amp;"'!$A$12:$Z$12"),0),0)="","?",VLOOKUP(AJ$1,INDIRECT("'"&amp;$A22&amp;"'!$A$12:$Z$41"),MATCH("Points (Auto-generate)",INDIRECT("'"&amp;$A22&amp;"'!$A$12:$Z$12"),0),0)),"ER"))</f>
        <v>?</v>
      </c>
      <c r="AK22" s="86" t="str">
        <f aca="true">IF($H22=0,"NA",IF($A22=INDIRECT("'"&amp;$A22&amp;"'!$B$1"),IF(VLOOKUP(AK$1,INDIRECT("'"&amp;$A22&amp;"'!$A$12:$Z$41"),MATCH("Points (Auto-generate)",INDIRECT("'"&amp;$A22&amp;"'!$A$12:$Z$12"),0),0)="","?",VLOOKUP(AK$1,INDIRECT("'"&amp;$A22&amp;"'!$A$12:$Z$41"),MATCH("Points (Auto-generate)",INDIRECT("'"&amp;$A22&amp;"'!$A$12:$Z$12"),0),0)),"ER"))</f>
        <v>?</v>
      </c>
    </row>
    <row r="23" customFormat="false" ht="14.25" hidden="false" customHeight="false" outlineLevel="0" collapsed="false">
      <c r="A23" s="82" t="s">
        <v>111</v>
      </c>
      <c r="B23" s="83" t="str">
        <f aca="false">IF(ISBLANK($A23),"NO_CODE",VLOOKUP($A23,'UPD Questions_290926 '!$E$1:$N$300,MATCH(B$1,'UPD Questions_290926 '!$E$1:$N$1,0),0)&amp;"")</f>
        <v>Planning </v>
      </c>
      <c r="C23" s="83" t="str">
        <f aca="false">IF(ISBLANK($A23),"NO_CODE",VLOOKUP($A23,'UPD Questions_290926 '!$E$1:$N$300,MATCH(C$1,'UPD Questions_290926 '!$E$1:$N$1,0),0)&amp;"")</f>
        <v>Municipal/City Plan preparation, participation and review</v>
      </c>
      <c r="D23" s="83" t="str">
        <f aca="false">IF(ISBLANK($A23),"NO_CODE",VLOOKUP($A23,'UPD Questions_290926 '!$E$1:$N$300,MATCH(D$1,'UPD Questions_290926 '!$E$1:$N$1,0),0)&amp;"")</f>
        <v>Public participation and scrutiny</v>
      </c>
      <c r="E23" s="83" t="str">
        <f aca="false">IF(ISBLANK($A23),"NO_CODE",VLOOKUP($A23,'UPD Questions_290926 '!$E$1:$N$300,MATCH(E$1,'UPD Questions_290926 '!$E$1:$N$1,0),0)&amp;"")</f>
        <v>SQ</v>
      </c>
      <c r="F23" s="83" t="str">
        <f aca="false">IF(ISBLANK($A23),"NO_CODE",VLOOKUP($A23,'UPD Questions_290926 '!$E$1:$N$300,MATCH(F$1,'UPD Questions_290926 '!$E$1:$N$1,0),0)&amp;"")</f>
        <v>Was the public scrutiny undertaken for (including objections and responses) municipal/city plan?</v>
      </c>
      <c r="G23" s="83" t="str">
        <f aca="false">IF(ISBLANK($A23),"NO_CODE",VLOOKUP($A23,'UPD Questions_290926 '!$E$1:$N$300,MATCH(G$1,'UPD Questions_290926 '!$E$1:$N$1,0),0)&amp;"")</f>
        <v>Implementation</v>
      </c>
      <c r="H23" s="85" t="n">
        <f aca="false">IF(ISBLANK($A23),"NO_CODE",VLOOKUP($A23,'UPD Questions_290926 '!$E$1:$N$300,MATCH(H$1,'UPD Questions_290926 '!$E$1:$N$1,0),0))</f>
        <v>5</v>
      </c>
      <c r="I23" s="86" t="str">
        <f aca="true">IF($H23=0,"NA",IF($A23=INDIRECT("'"&amp;$A23&amp;"'!$B$1"),IF(VLOOKUP(I$1,INDIRECT("'"&amp;$A23&amp;"'!$A$12:$Z$41"),MATCH("Points (Auto-generate)",INDIRECT("'"&amp;$A23&amp;"'!$A$12:$Z$12"),0),0)="","?",VLOOKUP(I$1,INDIRECT("'"&amp;$A23&amp;"'!$A$12:$Z$41"),MATCH("Points (Auto-generate)",INDIRECT("'"&amp;$A23&amp;"'!$A$12:$Z$12"),0),0)),"ER"))</f>
        <v>?</v>
      </c>
      <c r="J23" s="86" t="str">
        <f aca="true">IF($H23=0,"NA",IF($A23=INDIRECT("'"&amp;$A23&amp;"'!$B$1"),IF(VLOOKUP(J$1,INDIRECT("'"&amp;$A23&amp;"'!$A$12:$Z$41"),MATCH("Points (Auto-generate)",INDIRECT("'"&amp;$A23&amp;"'!$A$12:$Z$12"),0),0)="","?",VLOOKUP(J$1,INDIRECT("'"&amp;$A23&amp;"'!$A$12:$Z$41"),MATCH("Points (Auto-generate)",INDIRECT("'"&amp;$A23&amp;"'!$A$12:$Z$12"),0),0)),"ER"))</f>
        <v>?</v>
      </c>
      <c r="K23" s="86" t="str">
        <f aca="true">IF($H23=0,"NA",IF($A23=INDIRECT("'"&amp;$A23&amp;"'!$B$1"),IF(VLOOKUP(K$1,INDIRECT("'"&amp;$A23&amp;"'!$A$12:$Z$41"),MATCH("Points (Auto-generate)",INDIRECT("'"&amp;$A23&amp;"'!$A$12:$Z$12"),0),0)="","?",VLOOKUP(K$1,INDIRECT("'"&amp;$A23&amp;"'!$A$12:$Z$41"),MATCH("Points (Auto-generate)",INDIRECT("'"&amp;$A23&amp;"'!$A$12:$Z$12"),0),0)),"ER"))</f>
        <v>?</v>
      </c>
      <c r="L23" s="86" t="str">
        <f aca="true">IF($H23=0,"NA",IF($A23=INDIRECT("'"&amp;$A23&amp;"'!$B$1"),IF(VLOOKUP(L$1,INDIRECT("'"&amp;$A23&amp;"'!$A$12:$Z$41"),MATCH("Points (Auto-generate)",INDIRECT("'"&amp;$A23&amp;"'!$A$12:$Z$12"),0),0)="","?",VLOOKUP(L$1,INDIRECT("'"&amp;$A23&amp;"'!$A$12:$Z$41"),MATCH("Points (Auto-generate)",INDIRECT("'"&amp;$A23&amp;"'!$A$12:$Z$12"),0),0)),"ER"))</f>
        <v>?</v>
      </c>
      <c r="M23" s="86" t="str">
        <f aca="true">IF($H23=0,"NA",IF($A23=INDIRECT("'"&amp;$A23&amp;"'!$B$1"),IF(VLOOKUP(M$1,INDIRECT("'"&amp;$A23&amp;"'!$A$12:$Z$41"),MATCH("Points (Auto-generate)",INDIRECT("'"&amp;$A23&amp;"'!$A$12:$Z$12"),0),0)="","?",VLOOKUP(M$1,INDIRECT("'"&amp;$A23&amp;"'!$A$12:$Z$41"),MATCH("Points (Auto-generate)",INDIRECT("'"&amp;$A23&amp;"'!$A$12:$Z$12"),0),0)),"ER"))</f>
        <v>?</v>
      </c>
      <c r="N23" s="86" t="str">
        <f aca="true">IF($H23=0,"NA",IF($A23=INDIRECT("'"&amp;$A23&amp;"'!$B$1"),IF(VLOOKUP(N$1,INDIRECT("'"&amp;$A23&amp;"'!$A$12:$Z$41"),MATCH("Points (Auto-generate)",INDIRECT("'"&amp;$A23&amp;"'!$A$12:$Z$12"),0),0)="","?",VLOOKUP(N$1,INDIRECT("'"&amp;$A23&amp;"'!$A$12:$Z$41"),MATCH("Points (Auto-generate)",INDIRECT("'"&amp;$A23&amp;"'!$A$12:$Z$12"),0),0)),"ER"))</f>
        <v>?</v>
      </c>
      <c r="O23" s="86" t="str">
        <f aca="true">IF($H23=0,"NA",IF($A23=INDIRECT("'"&amp;$A23&amp;"'!$B$1"),IF(VLOOKUP(O$1,INDIRECT("'"&amp;$A23&amp;"'!$A$12:$Z$41"),MATCH("Points (Auto-generate)",INDIRECT("'"&amp;$A23&amp;"'!$A$12:$Z$12"),0),0)="","?",VLOOKUP(O$1,INDIRECT("'"&amp;$A23&amp;"'!$A$12:$Z$41"),MATCH("Points (Auto-generate)",INDIRECT("'"&amp;$A23&amp;"'!$A$12:$Z$12"),0),0)),"ER"))</f>
        <v>?</v>
      </c>
      <c r="P23" s="86" t="str">
        <f aca="true">IF($H23=0,"NA",IF($A23=INDIRECT("'"&amp;$A23&amp;"'!$B$1"),IF(VLOOKUP(P$1,INDIRECT("'"&amp;$A23&amp;"'!$A$12:$Z$41"),MATCH("Points (Auto-generate)",INDIRECT("'"&amp;$A23&amp;"'!$A$12:$Z$12"),0),0)="","?",VLOOKUP(P$1,INDIRECT("'"&amp;$A23&amp;"'!$A$12:$Z$41"),MATCH("Points (Auto-generate)",INDIRECT("'"&amp;$A23&amp;"'!$A$12:$Z$12"),0),0)),"ER"))</f>
        <v>?</v>
      </c>
      <c r="Q23" s="86" t="str">
        <f aca="true">IF($H23=0,"NA",IF($A23=INDIRECT("'"&amp;$A23&amp;"'!$B$1"),IF(VLOOKUP(Q$1,INDIRECT("'"&amp;$A23&amp;"'!$A$12:$Z$41"),MATCH("Points (Auto-generate)",INDIRECT("'"&amp;$A23&amp;"'!$A$12:$Z$12"),0),0)="","?",VLOOKUP(Q$1,INDIRECT("'"&amp;$A23&amp;"'!$A$12:$Z$41"),MATCH("Points (Auto-generate)",INDIRECT("'"&amp;$A23&amp;"'!$A$12:$Z$12"),0),0)),"ER"))</f>
        <v>?</v>
      </c>
      <c r="R23" s="86" t="str">
        <f aca="true">IF($H23=0,"NA",IF($A23=INDIRECT("'"&amp;$A23&amp;"'!$B$1"),IF(VLOOKUP(R$1,INDIRECT("'"&amp;$A23&amp;"'!$A$12:$Z$41"),MATCH("Points (Auto-generate)",INDIRECT("'"&amp;$A23&amp;"'!$A$12:$Z$12"),0),0)="","?",VLOOKUP(R$1,INDIRECT("'"&amp;$A23&amp;"'!$A$12:$Z$41"),MATCH("Points (Auto-generate)",INDIRECT("'"&amp;$A23&amp;"'!$A$12:$Z$12"),0),0)),"ER"))</f>
        <v>?</v>
      </c>
      <c r="S23" s="86" t="str">
        <f aca="true">IF($H23=0,"NA",IF($A23=INDIRECT("'"&amp;$A23&amp;"'!$B$1"),IF(VLOOKUP(S$1,INDIRECT("'"&amp;$A23&amp;"'!$A$12:$Z$41"),MATCH("Points (Auto-generate)",INDIRECT("'"&amp;$A23&amp;"'!$A$12:$Z$12"),0),0)="","?",VLOOKUP(S$1,INDIRECT("'"&amp;$A23&amp;"'!$A$12:$Z$41"),MATCH("Points (Auto-generate)",INDIRECT("'"&amp;$A23&amp;"'!$A$12:$Z$12"),0),0)),"ER"))</f>
        <v>?</v>
      </c>
      <c r="T23" s="86" t="str">
        <f aca="true">IF($H23=0,"NA",IF($A23=INDIRECT("'"&amp;$A23&amp;"'!$B$1"),IF(VLOOKUP(T$1,INDIRECT("'"&amp;$A23&amp;"'!$A$12:$Z$41"),MATCH("Points (Auto-generate)",INDIRECT("'"&amp;$A23&amp;"'!$A$12:$Z$12"),0),0)="","?",VLOOKUP(T$1,INDIRECT("'"&amp;$A23&amp;"'!$A$12:$Z$41"),MATCH("Points (Auto-generate)",INDIRECT("'"&amp;$A23&amp;"'!$A$12:$Z$12"),0),0)),"ER"))</f>
        <v>?</v>
      </c>
      <c r="U23" s="86" t="str">
        <f aca="true">IF($H23=0,"NA",IF($A23=INDIRECT("'"&amp;$A23&amp;"'!$B$1"),IF(VLOOKUP(U$1,INDIRECT("'"&amp;$A23&amp;"'!$A$12:$Z$41"),MATCH("Points (Auto-generate)",INDIRECT("'"&amp;$A23&amp;"'!$A$12:$Z$12"),0),0)="","?",VLOOKUP(U$1,INDIRECT("'"&amp;$A23&amp;"'!$A$12:$Z$41"),MATCH("Points (Auto-generate)",INDIRECT("'"&amp;$A23&amp;"'!$A$12:$Z$12"),0),0)),"ER"))</f>
        <v>?</v>
      </c>
      <c r="V23" s="86" t="str">
        <f aca="true">IF($H23=0,"NA",IF($A23=INDIRECT("'"&amp;$A23&amp;"'!$B$1"),IF(VLOOKUP(V$1,INDIRECT("'"&amp;$A23&amp;"'!$A$12:$Z$41"),MATCH("Points (Auto-generate)",INDIRECT("'"&amp;$A23&amp;"'!$A$12:$Z$12"),0),0)="","?",VLOOKUP(V$1,INDIRECT("'"&amp;$A23&amp;"'!$A$12:$Z$41"),MATCH("Points (Auto-generate)",INDIRECT("'"&amp;$A23&amp;"'!$A$12:$Z$12"),0),0)),"ER"))</f>
        <v>?</v>
      </c>
      <c r="W23" s="86" t="str">
        <f aca="true">IF($H23=0,"NA",IF($A23=INDIRECT("'"&amp;$A23&amp;"'!$B$1"),IF(VLOOKUP(W$1,INDIRECT("'"&amp;$A23&amp;"'!$A$12:$Z$41"),MATCH("Points (Auto-generate)",INDIRECT("'"&amp;$A23&amp;"'!$A$12:$Z$12"),0),0)="","?",VLOOKUP(W$1,INDIRECT("'"&amp;$A23&amp;"'!$A$12:$Z$41"),MATCH("Points (Auto-generate)",INDIRECT("'"&amp;$A23&amp;"'!$A$12:$Z$12"),0),0)),"ER"))</f>
        <v>?</v>
      </c>
      <c r="X23" s="86" t="str">
        <f aca="true">IF($H23=0,"NA",IF($A23=INDIRECT("'"&amp;$A23&amp;"'!$B$1"),IF(VLOOKUP(X$1,INDIRECT("'"&amp;$A23&amp;"'!$A$12:$Z$41"),MATCH("Points (Auto-generate)",INDIRECT("'"&amp;$A23&amp;"'!$A$12:$Z$12"),0),0)="","?",VLOOKUP(X$1,INDIRECT("'"&amp;$A23&amp;"'!$A$12:$Z$41"),MATCH("Points (Auto-generate)",INDIRECT("'"&amp;$A23&amp;"'!$A$12:$Z$12"),0),0)),"ER"))</f>
        <v>?</v>
      </c>
      <c r="Y23" s="86" t="str">
        <f aca="true">IF($H23=0,"NA",IF($A23=INDIRECT("'"&amp;$A23&amp;"'!$B$1"),IF(VLOOKUP(Y$1,INDIRECT("'"&amp;$A23&amp;"'!$A$12:$Z$41"),MATCH("Points (Auto-generate)",INDIRECT("'"&amp;$A23&amp;"'!$A$12:$Z$12"),0),0)="","?",VLOOKUP(Y$1,INDIRECT("'"&amp;$A23&amp;"'!$A$12:$Z$41"),MATCH("Points (Auto-generate)",INDIRECT("'"&amp;$A23&amp;"'!$A$12:$Z$12"),0),0)),"ER"))</f>
        <v>?</v>
      </c>
      <c r="Z23" s="86" t="str">
        <f aca="true">IF($H23=0,"NA",IF($A23=INDIRECT("'"&amp;$A23&amp;"'!$B$1"),IF(VLOOKUP(Z$1,INDIRECT("'"&amp;$A23&amp;"'!$A$12:$Z$41"),MATCH("Points (Auto-generate)",INDIRECT("'"&amp;$A23&amp;"'!$A$12:$Z$12"),0),0)="","?",VLOOKUP(Z$1,INDIRECT("'"&amp;$A23&amp;"'!$A$12:$Z$41"),MATCH("Points (Auto-generate)",INDIRECT("'"&amp;$A23&amp;"'!$A$12:$Z$12"),0),0)),"ER"))</f>
        <v>?</v>
      </c>
      <c r="AA23" s="86" t="str">
        <f aca="true">IF($H23=0,"NA",IF($A23=INDIRECT("'"&amp;$A23&amp;"'!$B$1"),IF(VLOOKUP(AA$1,INDIRECT("'"&amp;$A23&amp;"'!$A$12:$Z$41"),MATCH("Points (Auto-generate)",INDIRECT("'"&amp;$A23&amp;"'!$A$12:$Z$12"),0),0)="","?",VLOOKUP(AA$1,INDIRECT("'"&amp;$A23&amp;"'!$A$12:$Z$41"),MATCH("Points (Auto-generate)",INDIRECT("'"&amp;$A23&amp;"'!$A$12:$Z$12"),0),0)),"ER"))</f>
        <v>?</v>
      </c>
      <c r="AB23" s="86" t="str">
        <f aca="true">IF($H23=0,"NA",IF($A23=INDIRECT("'"&amp;$A23&amp;"'!$B$1"),IF(VLOOKUP(AB$1,INDIRECT("'"&amp;$A23&amp;"'!$A$12:$Z$41"),MATCH("Points (Auto-generate)",INDIRECT("'"&amp;$A23&amp;"'!$A$12:$Z$12"),0),0)="","?",VLOOKUP(AB$1,INDIRECT("'"&amp;$A23&amp;"'!$A$12:$Z$41"),MATCH("Points (Auto-generate)",INDIRECT("'"&amp;$A23&amp;"'!$A$12:$Z$12"),0),0)),"ER"))</f>
        <v>?</v>
      </c>
      <c r="AC23" s="86" t="str">
        <f aca="true">IF($H23=0,"NA",IF($A23=INDIRECT("'"&amp;$A23&amp;"'!$B$1"),IF(VLOOKUP(AC$1,INDIRECT("'"&amp;$A23&amp;"'!$A$12:$Z$41"),MATCH("Points (Auto-generate)",INDIRECT("'"&amp;$A23&amp;"'!$A$12:$Z$12"),0),0)="","?",VLOOKUP(AC$1,INDIRECT("'"&amp;$A23&amp;"'!$A$12:$Z$41"),MATCH("Points (Auto-generate)",INDIRECT("'"&amp;$A23&amp;"'!$A$12:$Z$12"),0),0)),"ER"))</f>
        <v>?</v>
      </c>
      <c r="AD23" s="86" t="str">
        <f aca="true">IF($H23=0,"NA",IF($A23=INDIRECT("'"&amp;$A23&amp;"'!$B$1"),IF(VLOOKUP(AD$1,INDIRECT("'"&amp;$A23&amp;"'!$A$12:$Z$41"),MATCH("Points (Auto-generate)",INDIRECT("'"&amp;$A23&amp;"'!$A$12:$Z$12"),0),0)="","?",VLOOKUP(AD$1,INDIRECT("'"&amp;$A23&amp;"'!$A$12:$Z$41"),MATCH("Points (Auto-generate)",INDIRECT("'"&amp;$A23&amp;"'!$A$12:$Z$12"),0),0)),"ER"))</f>
        <v>?</v>
      </c>
      <c r="AE23" s="86" t="str">
        <f aca="true">IF($H23=0,"NA",IF($A23=INDIRECT("'"&amp;$A23&amp;"'!$B$1"),IF(VLOOKUP(AE$1,INDIRECT("'"&amp;$A23&amp;"'!$A$12:$Z$41"),MATCH("Points (Auto-generate)",INDIRECT("'"&amp;$A23&amp;"'!$A$12:$Z$12"),0),0)="","?",VLOOKUP(AE$1,INDIRECT("'"&amp;$A23&amp;"'!$A$12:$Z$41"),MATCH("Points (Auto-generate)",INDIRECT("'"&amp;$A23&amp;"'!$A$12:$Z$12"),0),0)),"ER"))</f>
        <v>?</v>
      </c>
      <c r="AF23" s="86" t="str">
        <f aca="true">IF($H23=0,"NA",IF($A23=INDIRECT("'"&amp;$A23&amp;"'!$B$1"),IF(VLOOKUP(AF$1,INDIRECT("'"&amp;$A23&amp;"'!$A$12:$Z$41"),MATCH("Points (Auto-generate)",INDIRECT("'"&amp;$A23&amp;"'!$A$12:$Z$12"),0),0)="","?",VLOOKUP(AF$1,INDIRECT("'"&amp;$A23&amp;"'!$A$12:$Z$41"),MATCH("Points (Auto-generate)",INDIRECT("'"&amp;$A23&amp;"'!$A$12:$Z$12"),0),0)),"ER"))</f>
        <v>?</v>
      </c>
      <c r="AG23" s="86" t="str">
        <f aca="true">IF($H23=0,"NA",IF($A23=INDIRECT("'"&amp;$A23&amp;"'!$B$1"),IF(VLOOKUP(AG$1,INDIRECT("'"&amp;$A23&amp;"'!$A$12:$Z$41"),MATCH("Points (Auto-generate)",INDIRECT("'"&amp;$A23&amp;"'!$A$12:$Z$12"),0),0)="","?",VLOOKUP(AG$1,INDIRECT("'"&amp;$A23&amp;"'!$A$12:$Z$41"),MATCH("Points (Auto-generate)",INDIRECT("'"&amp;$A23&amp;"'!$A$12:$Z$12"),0),0)),"ER"))</f>
        <v>?</v>
      </c>
      <c r="AH23" s="86" t="str">
        <f aca="true">IF($H23=0,"NA",IF($A23=INDIRECT("'"&amp;$A23&amp;"'!$B$1"),IF(VLOOKUP(AH$1,INDIRECT("'"&amp;$A23&amp;"'!$A$12:$Z$41"),MATCH("Points (Auto-generate)",INDIRECT("'"&amp;$A23&amp;"'!$A$12:$Z$12"),0),0)="","?",VLOOKUP(AH$1,INDIRECT("'"&amp;$A23&amp;"'!$A$12:$Z$41"),MATCH("Points (Auto-generate)",INDIRECT("'"&amp;$A23&amp;"'!$A$12:$Z$12"),0),0)),"ER"))</f>
        <v>?</v>
      </c>
      <c r="AI23" s="86" t="str">
        <f aca="true">IF($H23=0,"NA",IF($A23=INDIRECT("'"&amp;$A23&amp;"'!$B$1"),IF(VLOOKUP(AI$1,INDIRECT("'"&amp;$A23&amp;"'!$A$12:$Z$41"),MATCH("Points (Auto-generate)",INDIRECT("'"&amp;$A23&amp;"'!$A$12:$Z$12"),0),0)="","?",VLOOKUP(AI$1,INDIRECT("'"&amp;$A23&amp;"'!$A$12:$Z$41"),MATCH("Points (Auto-generate)",INDIRECT("'"&amp;$A23&amp;"'!$A$12:$Z$12"),0),0)),"ER"))</f>
        <v>?</v>
      </c>
      <c r="AJ23" s="86" t="str">
        <f aca="true">IF($H23=0,"NA",IF($A23=INDIRECT("'"&amp;$A23&amp;"'!$B$1"),IF(VLOOKUP(AJ$1,INDIRECT("'"&amp;$A23&amp;"'!$A$12:$Z$41"),MATCH("Points (Auto-generate)",INDIRECT("'"&amp;$A23&amp;"'!$A$12:$Z$12"),0),0)="","?",VLOOKUP(AJ$1,INDIRECT("'"&amp;$A23&amp;"'!$A$12:$Z$41"),MATCH("Points (Auto-generate)",INDIRECT("'"&amp;$A23&amp;"'!$A$12:$Z$12"),0),0)),"ER"))</f>
        <v>?</v>
      </c>
      <c r="AK23" s="86" t="str">
        <f aca="true">IF($H23=0,"NA",IF($A23=INDIRECT("'"&amp;$A23&amp;"'!$B$1"),IF(VLOOKUP(AK$1,INDIRECT("'"&amp;$A23&amp;"'!$A$12:$Z$41"),MATCH("Points (Auto-generate)",INDIRECT("'"&amp;$A23&amp;"'!$A$12:$Z$12"),0),0)="","?",VLOOKUP(AK$1,INDIRECT("'"&amp;$A23&amp;"'!$A$12:$Z$41"),MATCH("Points (Auto-generate)",INDIRECT("'"&amp;$A23&amp;"'!$A$12:$Z$12"),0),0)),"ER"))</f>
        <v>?</v>
      </c>
    </row>
    <row r="24" customFormat="false" ht="14.25" hidden="false" customHeight="false" outlineLevel="0" collapsed="false">
      <c r="A24" s="82" t="s">
        <v>114</v>
      </c>
      <c r="B24" s="83" t="str">
        <f aca="false">IF(ISBLANK($A24),"NO_CODE",VLOOKUP($A24,'UPD Questions_290926 '!$E$1:$N$300,MATCH(B$1,'UPD Questions_290926 '!$E$1:$N$1,0),0)&amp;"")</f>
        <v>Planning </v>
      </c>
      <c r="C24" s="83" t="str">
        <f aca="false">IF(ISBLANK($A24),"NO_CODE",VLOOKUP($A24,'UPD Questions_290926 '!$E$1:$N$300,MATCH(C$1,'UPD Questions_290926 '!$E$1:$N$1,0),0)&amp;"")</f>
        <v>Municipal/City Plan preparation, participation and review</v>
      </c>
      <c r="D24" s="83" t="str">
        <f aca="false">IF(ISBLANK($A24),"NO_CODE",VLOOKUP($A24,'UPD Questions_290926 '!$E$1:$N$300,MATCH(D$1,'UPD Questions_290926 '!$E$1:$N$1,0),0)&amp;"")</f>
        <v>Plan modification and implementation review</v>
      </c>
      <c r="E24" s="83" t="str">
        <f aca="false">IF(ISBLANK($A24),"NO_CODE",VLOOKUP($A24,'UPD Questions_290926 '!$E$1:$N$300,MATCH(E$1,'UPD Questions_290926 '!$E$1:$N$1,0),0)&amp;"")</f>
        <v>MQ</v>
      </c>
      <c r="F24" s="83" t="str">
        <f aca="false">IF(ISBLANK($A24),"NO_CODE",VLOOKUP($A24,'UPD Questions_290926 '!$E$1:$N$300,MATCH(F$1,'UPD Questions_290926 '!$E$1:$N$1,0),0)&amp;"")</f>
        <v>Does the law mandate periodic review and revision of the notified municipal/city plan, including corresponding revisions to the Development Control Regulations (DCRs)?</v>
      </c>
      <c r="G24" s="83" t="str">
        <f aca="false">IF(ISBLANK($A24),"NO_CODE",VLOOKUP($A24,'UPD Questions_290926 '!$E$1:$N$300,MATCH(G$1,'UPD Questions_290926 '!$E$1:$N$1,0),0)&amp;"")</f>
        <v>Law or Policy</v>
      </c>
      <c r="H24" s="85" t="n">
        <f aca="false">IF(ISBLANK($A24),"NO_CODE",VLOOKUP($A24,'UPD Questions_290926 '!$E$1:$N$300,MATCH(H$1,'UPD Questions_290926 '!$E$1:$N$1,0),0))</f>
        <v>10</v>
      </c>
      <c r="I24" s="86" t="str">
        <f aca="true">IF($H24=0,"NA",IF($A24=INDIRECT("'"&amp;$A24&amp;"'!$B$1"),IF(VLOOKUP(I$1,INDIRECT("'"&amp;$A24&amp;"'!$A$12:$Z$41"),MATCH("Points (Auto-generate)",INDIRECT("'"&amp;$A24&amp;"'!$A$12:$Z$12"),0),0)="","?",VLOOKUP(I$1,INDIRECT("'"&amp;$A24&amp;"'!$A$12:$Z$41"),MATCH("Points (Auto-generate)",INDIRECT("'"&amp;$A24&amp;"'!$A$12:$Z$12"),0),0)),"ER"))</f>
        <v>?</v>
      </c>
      <c r="J24" s="86" t="str">
        <f aca="true">IF($H24=0,"NA",IF($A24=INDIRECT("'"&amp;$A24&amp;"'!$B$1"),IF(VLOOKUP(J$1,INDIRECT("'"&amp;$A24&amp;"'!$A$12:$Z$41"),MATCH("Points (Auto-generate)",INDIRECT("'"&amp;$A24&amp;"'!$A$12:$Z$12"),0),0)="","?",VLOOKUP(J$1,INDIRECT("'"&amp;$A24&amp;"'!$A$12:$Z$41"),MATCH("Points (Auto-generate)",INDIRECT("'"&amp;$A24&amp;"'!$A$12:$Z$12"),0),0)),"ER"))</f>
        <v>?</v>
      </c>
      <c r="K24" s="86" t="str">
        <f aca="true">IF($H24=0,"NA",IF($A24=INDIRECT("'"&amp;$A24&amp;"'!$B$1"),IF(VLOOKUP(K$1,INDIRECT("'"&amp;$A24&amp;"'!$A$12:$Z$41"),MATCH("Points (Auto-generate)",INDIRECT("'"&amp;$A24&amp;"'!$A$12:$Z$12"),0),0)="","?",VLOOKUP(K$1,INDIRECT("'"&amp;$A24&amp;"'!$A$12:$Z$41"),MATCH("Points (Auto-generate)",INDIRECT("'"&amp;$A24&amp;"'!$A$12:$Z$12"),0),0)),"ER"))</f>
        <v>?</v>
      </c>
      <c r="L24" s="86" t="str">
        <f aca="true">IF($H24=0,"NA",IF($A24=INDIRECT("'"&amp;$A24&amp;"'!$B$1"),IF(VLOOKUP(L$1,INDIRECT("'"&amp;$A24&amp;"'!$A$12:$Z$41"),MATCH("Points (Auto-generate)",INDIRECT("'"&amp;$A24&amp;"'!$A$12:$Z$12"),0),0)="","?",VLOOKUP(L$1,INDIRECT("'"&amp;$A24&amp;"'!$A$12:$Z$41"),MATCH("Points (Auto-generate)",INDIRECT("'"&amp;$A24&amp;"'!$A$12:$Z$12"),0),0)),"ER"))</f>
        <v>?</v>
      </c>
      <c r="M24" s="86" t="str">
        <f aca="true">IF($H24=0,"NA",IF($A24=INDIRECT("'"&amp;$A24&amp;"'!$B$1"),IF(VLOOKUP(M$1,INDIRECT("'"&amp;$A24&amp;"'!$A$12:$Z$41"),MATCH("Points (Auto-generate)",INDIRECT("'"&amp;$A24&amp;"'!$A$12:$Z$12"),0),0)="","?",VLOOKUP(M$1,INDIRECT("'"&amp;$A24&amp;"'!$A$12:$Z$41"),MATCH("Points (Auto-generate)",INDIRECT("'"&amp;$A24&amp;"'!$A$12:$Z$12"),0),0)),"ER"))</f>
        <v>?</v>
      </c>
      <c r="N24" s="86" t="str">
        <f aca="true">IF($H24=0,"NA",IF($A24=INDIRECT("'"&amp;$A24&amp;"'!$B$1"),IF(VLOOKUP(N$1,INDIRECT("'"&amp;$A24&amp;"'!$A$12:$Z$41"),MATCH("Points (Auto-generate)",INDIRECT("'"&amp;$A24&amp;"'!$A$12:$Z$12"),0),0)="","?",VLOOKUP(N$1,INDIRECT("'"&amp;$A24&amp;"'!$A$12:$Z$41"),MATCH("Points (Auto-generate)",INDIRECT("'"&amp;$A24&amp;"'!$A$12:$Z$12"),0),0)),"ER"))</f>
        <v>?</v>
      </c>
      <c r="O24" s="86" t="str">
        <f aca="true">IF($H24=0,"NA",IF($A24=INDIRECT("'"&amp;$A24&amp;"'!$B$1"),IF(VLOOKUP(O$1,INDIRECT("'"&amp;$A24&amp;"'!$A$12:$Z$41"),MATCH("Points (Auto-generate)",INDIRECT("'"&amp;$A24&amp;"'!$A$12:$Z$12"),0),0)="","?",VLOOKUP(O$1,INDIRECT("'"&amp;$A24&amp;"'!$A$12:$Z$41"),MATCH("Points (Auto-generate)",INDIRECT("'"&amp;$A24&amp;"'!$A$12:$Z$12"),0),0)),"ER"))</f>
        <v>?</v>
      </c>
      <c r="P24" s="86" t="str">
        <f aca="true">IF($H24=0,"NA",IF($A24=INDIRECT("'"&amp;$A24&amp;"'!$B$1"),IF(VLOOKUP(P$1,INDIRECT("'"&amp;$A24&amp;"'!$A$12:$Z$41"),MATCH("Points (Auto-generate)",INDIRECT("'"&amp;$A24&amp;"'!$A$12:$Z$12"),0),0)="","?",VLOOKUP(P$1,INDIRECT("'"&amp;$A24&amp;"'!$A$12:$Z$41"),MATCH("Points (Auto-generate)",INDIRECT("'"&amp;$A24&amp;"'!$A$12:$Z$12"),0),0)),"ER"))</f>
        <v>?</v>
      </c>
      <c r="Q24" s="86" t="str">
        <f aca="true">IF($H24=0,"NA",IF($A24=INDIRECT("'"&amp;$A24&amp;"'!$B$1"),IF(VLOOKUP(Q$1,INDIRECT("'"&amp;$A24&amp;"'!$A$12:$Z$41"),MATCH("Points (Auto-generate)",INDIRECT("'"&amp;$A24&amp;"'!$A$12:$Z$12"),0),0)="","?",VLOOKUP(Q$1,INDIRECT("'"&amp;$A24&amp;"'!$A$12:$Z$41"),MATCH("Points (Auto-generate)",INDIRECT("'"&amp;$A24&amp;"'!$A$12:$Z$12"),0),0)),"ER"))</f>
        <v>?</v>
      </c>
      <c r="R24" s="86" t="str">
        <f aca="true">IF($H24=0,"NA",IF($A24=INDIRECT("'"&amp;$A24&amp;"'!$B$1"),IF(VLOOKUP(R$1,INDIRECT("'"&amp;$A24&amp;"'!$A$12:$Z$41"),MATCH("Points (Auto-generate)",INDIRECT("'"&amp;$A24&amp;"'!$A$12:$Z$12"),0),0)="","?",VLOOKUP(R$1,INDIRECT("'"&amp;$A24&amp;"'!$A$12:$Z$41"),MATCH("Points (Auto-generate)",INDIRECT("'"&amp;$A24&amp;"'!$A$12:$Z$12"),0),0)),"ER"))</f>
        <v>?</v>
      </c>
      <c r="S24" s="86" t="str">
        <f aca="true">IF($H24=0,"NA",IF($A24=INDIRECT("'"&amp;$A24&amp;"'!$B$1"),IF(VLOOKUP(S$1,INDIRECT("'"&amp;$A24&amp;"'!$A$12:$Z$41"),MATCH("Points (Auto-generate)",INDIRECT("'"&amp;$A24&amp;"'!$A$12:$Z$12"),0),0)="","?",VLOOKUP(S$1,INDIRECT("'"&amp;$A24&amp;"'!$A$12:$Z$41"),MATCH("Points (Auto-generate)",INDIRECT("'"&amp;$A24&amp;"'!$A$12:$Z$12"),0),0)),"ER"))</f>
        <v>?</v>
      </c>
      <c r="T24" s="86" t="str">
        <f aca="true">IF($H24=0,"NA",IF($A24=INDIRECT("'"&amp;$A24&amp;"'!$B$1"),IF(VLOOKUP(T$1,INDIRECT("'"&amp;$A24&amp;"'!$A$12:$Z$41"),MATCH("Points (Auto-generate)",INDIRECT("'"&amp;$A24&amp;"'!$A$12:$Z$12"),0),0)="","?",VLOOKUP(T$1,INDIRECT("'"&amp;$A24&amp;"'!$A$12:$Z$41"),MATCH("Points (Auto-generate)",INDIRECT("'"&amp;$A24&amp;"'!$A$12:$Z$12"),0),0)),"ER"))</f>
        <v>?</v>
      </c>
      <c r="U24" s="86" t="str">
        <f aca="true">IF($H24=0,"NA",IF($A24=INDIRECT("'"&amp;$A24&amp;"'!$B$1"),IF(VLOOKUP(U$1,INDIRECT("'"&amp;$A24&amp;"'!$A$12:$Z$41"),MATCH("Points (Auto-generate)",INDIRECT("'"&amp;$A24&amp;"'!$A$12:$Z$12"),0),0)="","?",VLOOKUP(U$1,INDIRECT("'"&amp;$A24&amp;"'!$A$12:$Z$41"),MATCH("Points (Auto-generate)",INDIRECT("'"&amp;$A24&amp;"'!$A$12:$Z$12"),0),0)),"ER"))</f>
        <v>?</v>
      </c>
      <c r="V24" s="86" t="str">
        <f aca="true">IF($H24=0,"NA",IF($A24=INDIRECT("'"&amp;$A24&amp;"'!$B$1"),IF(VLOOKUP(V$1,INDIRECT("'"&amp;$A24&amp;"'!$A$12:$Z$41"),MATCH("Points (Auto-generate)",INDIRECT("'"&amp;$A24&amp;"'!$A$12:$Z$12"),0),0)="","?",VLOOKUP(V$1,INDIRECT("'"&amp;$A24&amp;"'!$A$12:$Z$41"),MATCH("Points (Auto-generate)",INDIRECT("'"&amp;$A24&amp;"'!$A$12:$Z$12"),0),0)),"ER"))</f>
        <v>?</v>
      </c>
      <c r="W24" s="86" t="str">
        <f aca="true">IF($H24=0,"NA",IF($A24=INDIRECT("'"&amp;$A24&amp;"'!$B$1"),IF(VLOOKUP(W$1,INDIRECT("'"&amp;$A24&amp;"'!$A$12:$Z$41"),MATCH("Points (Auto-generate)",INDIRECT("'"&amp;$A24&amp;"'!$A$12:$Z$12"),0),0)="","?",VLOOKUP(W$1,INDIRECT("'"&amp;$A24&amp;"'!$A$12:$Z$41"),MATCH("Points (Auto-generate)",INDIRECT("'"&amp;$A24&amp;"'!$A$12:$Z$12"),0),0)),"ER"))</f>
        <v>?</v>
      </c>
      <c r="X24" s="86" t="str">
        <f aca="true">IF($H24=0,"NA",IF($A24=INDIRECT("'"&amp;$A24&amp;"'!$B$1"),IF(VLOOKUP(X$1,INDIRECT("'"&amp;$A24&amp;"'!$A$12:$Z$41"),MATCH("Points (Auto-generate)",INDIRECT("'"&amp;$A24&amp;"'!$A$12:$Z$12"),0),0)="","?",VLOOKUP(X$1,INDIRECT("'"&amp;$A24&amp;"'!$A$12:$Z$41"),MATCH("Points (Auto-generate)",INDIRECT("'"&amp;$A24&amp;"'!$A$12:$Z$12"),0),0)),"ER"))</f>
        <v>?</v>
      </c>
      <c r="Y24" s="86" t="str">
        <f aca="true">IF($H24=0,"NA",IF($A24=INDIRECT("'"&amp;$A24&amp;"'!$B$1"),IF(VLOOKUP(Y$1,INDIRECT("'"&amp;$A24&amp;"'!$A$12:$Z$41"),MATCH("Points (Auto-generate)",INDIRECT("'"&amp;$A24&amp;"'!$A$12:$Z$12"),0),0)="","?",VLOOKUP(Y$1,INDIRECT("'"&amp;$A24&amp;"'!$A$12:$Z$41"),MATCH("Points (Auto-generate)",INDIRECT("'"&amp;$A24&amp;"'!$A$12:$Z$12"),0),0)),"ER"))</f>
        <v>?</v>
      </c>
      <c r="Z24" s="86" t="str">
        <f aca="true">IF($H24=0,"NA",IF($A24=INDIRECT("'"&amp;$A24&amp;"'!$B$1"),IF(VLOOKUP(Z$1,INDIRECT("'"&amp;$A24&amp;"'!$A$12:$Z$41"),MATCH("Points (Auto-generate)",INDIRECT("'"&amp;$A24&amp;"'!$A$12:$Z$12"),0),0)="","?",VLOOKUP(Z$1,INDIRECT("'"&amp;$A24&amp;"'!$A$12:$Z$41"),MATCH("Points (Auto-generate)",INDIRECT("'"&amp;$A24&amp;"'!$A$12:$Z$12"),0),0)),"ER"))</f>
        <v>?</v>
      </c>
      <c r="AA24" s="86" t="str">
        <f aca="true">IF($H24=0,"NA",IF($A24=INDIRECT("'"&amp;$A24&amp;"'!$B$1"),IF(VLOOKUP(AA$1,INDIRECT("'"&amp;$A24&amp;"'!$A$12:$Z$41"),MATCH("Points (Auto-generate)",INDIRECT("'"&amp;$A24&amp;"'!$A$12:$Z$12"),0),0)="","?",VLOOKUP(AA$1,INDIRECT("'"&amp;$A24&amp;"'!$A$12:$Z$41"),MATCH("Points (Auto-generate)",INDIRECT("'"&amp;$A24&amp;"'!$A$12:$Z$12"),0),0)),"ER"))</f>
        <v>?</v>
      </c>
      <c r="AB24" s="86" t="str">
        <f aca="true">IF($H24=0,"NA",IF($A24=INDIRECT("'"&amp;$A24&amp;"'!$B$1"),IF(VLOOKUP(AB$1,INDIRECT("'"&amp;$A24&amp;"'!$A$12:$Z$41"),MATCH("Points (Auto-generate)",INDIRECT("'"&amp;$A24&amp;"'!$A$12:$Z$12"),0),0)="","?",VLOOKUP(AB$1,INDIRECT("'"&amp;$A24&amp;"'!$A$12:$Z$41"),MATCH("Points (Auto-generate)",INDIRECT("'"&amp;$A24&amp;"'!$A$12:$Z$12"),0),0)),"ER"))</f>
        <v>?</v>
      </c>
      <c r="AC24" s="86" t="str">
        <f aca="true">IF($H24=0,"NA",IF($A24=INDIRECT("'"&amp;$A24&amp;"'!$B$1"),IF(VLOOKUP(AC$1,INDIRECT("'"&amp;$A24&amp;"'!$A$12:$Z$41"),MATCH("Points (Auto-generate)",INDIRECT("'"&amp;$A24&amp;"'!$A$12:$Z$12"),0),0)="","?",VLOOKUP(AC$1,INDIRECT("'"&amp;$A24&amp;"'!$A$12:$Z$41"),MATCH("Points (Auto-generate)",INDIRECT("'"&amp;$A24&amp;"'!$A$12:$Z$12"),0),0)),"ER"))</f>
        <v>?</v>
      </c>
      <c r="AD24" s="86" t="str">
        <f aca="true">IF($H24=0,"NA",IF($A24=INDIRECT("'"&amp;$A24&amp;"'!$B$1"),IF(VLOOKUP(AD$1,INDIRECT("'"&amp;$A24&amp;"'!$A$12:$Z$41"),MATCH("Points (Auto-generate)",INDIRECT("'"&amp;$A24&amp;"'!$A$12:$Z$12"),0),0)="","?",VLOOKUP(AD$1,INDIRECT("'"&amp;$A24&amp;"'!$A$12:$Z$41"),MATCH("Points (Auto-generate)",INDIRECT("'"&amp;$A24&amp;"'!$A$12:$Z$12"),0),0)),"ER"))</f>
        <v>?</v>
      </c>
      <c r="AE24" s="86" t="str">
        <f aca="true">IF($H24=0,"NA",IF($A24=INDIRECT("'"&amp;$A24&amp;"'!$B$1"),IF(VLOOKUP(AE$1,INDIRECT("'"&amp;$A24&amp;"'!$A$12:$Z$41"),MATCH("Points (Auto-generate)",INDIRECT("'"&amp;$A24&amp;"'!$A$12:$Z$12"),0),0)="","?",VLOOKUP(AE$1,INDIRECT("'"&amp;$A24&amp;"'!$A$12:$Z$41"),MATCH("Points (Auto-generate)",INDIRECT("'"&amp;$A24&amp;"'!$A$12:$Z$12"),0),0)),"ER"))</f>
        <v>?</v>
      </c>
      <c r="AF24" s="86" t="str">
        <f aca="true">IF($H24=0,"NA",IF($A24=INDIRECT("'"&amp;$A24&amp;"'!$B$1"),IF(VLOOKUP(AF$1,INDIRECT("'"&amp;$A24&amp;"'!$A$12:$Z$41"),MATCH("Points (Auto-generate)",INDIRECT("'"&amp;$A24&amp;"'!$A$12:$Z$12"),0),0)="","?",VLOOKUP(AF$1,INDIRECT("'"&amp;$A24&amp;"'!$A$12:$Z$41"),MATCH("Points (Auto-generate)",INDIRECT("'"&amp;$A24&amp;"'!$A$12:$Z$12"),0),0)),"ER"))</f>
        <v>?</v>
      </c>
      <c r="AG24" s="86" t="str">
        <f aca="true">IF($H24=0,"NA",IF($A24=INDIRECT("'"&amp;$A24&amp;"'!$B$1"),IF(VLOOKUP(AG$1,INDIRECT("'"&amp;$A24&amp;"'!$A$12:$Z$41"),MATCH("Points (Auto-generate)",INDIRECT("'"&amp;$A24&amp;"'!$A$12:$Z$12"),0),0)="","?",VLOOKUP(AG$1,INDIRECT("'"&amp;$A24&amp;"'!$A$12:$Z$41"),MATCH("Points (Auto-generate)",INDIRECT("'"&amp;$A24&amp;"'!$A$12:$Z$12"),0),0)),"ER"))</f>
        <v>?</v>
      </c>
      <c r="AH24" s="86" t="str">
        <f aca="true">IF($H24=0,"NA",IF($A24=INDIRECT("'"&amp;$A24&amp;"'!$B$1"),IF(VLOOKUP(AH$1,INDIRECT("'"&amp;$A24&amp;"'!$A$12:$Z$41"),MATCH("Points (Auto-generate)",INDIRECT("'"&amp;$A24&amp;"'!$A$12:$Z$12"),0),0)="","?",VLOOKUP(AH$1,INDIRECT("'"&amp;$A24&amp;"'!$A$12:$Z$41"),MATCH("Points (Auto-generate)",INDIRECT("'"&amp;$A24&amp;"'!$A$12:$Z$12"),0),0)),"ER"))</f>
        <v>?</v>
      </c>
      <c r="AI24" s="86" t="str">
        <f aca="true">IF($H24=0,"NA",IF($A24=INDIRECT("'"&amp;$A24&amp;"'!$B$1"),IF(VLOOKUP(AI$1,INDIRECT("'"&amp;$A24&amp;"'!$A$12:$Z$41"),MATCH("Points (Auto-generate)",INDIRECT("'"&amp;$A24&amp;"'!$A$12:$Z$12"),0),0)="","?",VLOOKUP(AI$1,INDIRECT("'"&amp;$A24&amp;"'!$A$12:$Z$41"),MATCH("Points (Auto-generate)",INDIRECT("'"&amp;$A24&amp;"'!$A$12:$Z$12"),0),0)),"ER"))</f>
        <v>?</v>
      </c>
      <c r="AJ24" s="86" t="str">
        <f aca="true">IF($H24=0,"NA",IF($A24=INDIRECT("'"&amp;$A24&amp;"'!$B$1"),IF(VLOOKUP(AJ$1,INDIRECT("'"&amp;$A24&amp;"'!$A$12:$Z$41"),MATCH("Points (Auto-generate)",INDIRECT("'"&amp;$A24&amp;"'!$A$12:$Z$12"),0),0)="","?",VLOOKUP(AJ$1,INDIRECT("'"&amp;$A24&amp;"'!$A$12:$Z$41"),MATCH("Points (Auto-generate)",INDIRECT("'"&amp;$A24&amp;"'!$A$12:$Z$12"),0),0)),"ER"))</f>
        <v>?</v>
      </c>
      <c r="AK24" s="86" t="str">
        <f aca="true">IF($H24=0,"NA",IF($A24=INDIRECT("'"&amp;$A24&amp;"'!$B$1"),IF(VLOOKUP(AK$1,INDIRECT("'"&amp;$A24&amp;"'!$A$12:$Z$41"),MATCH("Points (Auto-generate)",INDIRECT("'"&amp;$A24&amp;"'!$A$12:$Z$12"),0),0)="","?",VLOOKUP(AK$1,INDIRECT("'"&amp;$A24&amp;"'!$A$12:$Z$41"),MATCH("Points (Auto-generate)",INDIRECT("'"&amp;$A24&amp;"'!$A$12:$Z$12"),0),0)),"ER"))</f>
        <v>?</v>
      </c>
    </row>
    <row r="25" customFormat="false" ht="14.25" hidden="false" customHeight="false" outlineLevel="0" collapsed="false">
      <c r="A25" s="82" t="s">
        <v>441</v>
      </c>
      <c r="B25" s="83" t="str">
        <f aca="false">IF(ISBLANK($A25),"NO_CODE",VLOOKUP($A25,'UPD Questions_290926 '!$E$1:$N$300,MATCH(B$1,'UPD Questions_290926 '!$E$1:$N$1,0),0)&amp;"")</f>
        <v>Planning </v>
      </c>
      <c r="C25" s="83" t="str">
        <f aca="false">IF(ISBLANK($A25),"NO_CODE",VLOOKUP($A25,'UPD Questions_290926 '!$E$1:$N$300,MATCH(C$1,'UPD Questions_290926 '!$E$1:$N$1,0),0)&amp;"")</f>
        <v>Municipal/City Plan objectives and contents</v>
      </c>
      <c r="D25" s="83" t="str">
        <f aca="false">IF(ISBLANK($A25),"NO_CODE",VLOOKUP($A25,'UPD Questions_290926 '!$E$1:$N$300,MATCH(D$1,'UPD Questions_290926 '!$E$1:$N$1,0),0)&amp;"")</f>
        <v>Statutory requirements for plan content</v>
      </c>
      <c r="E25" s="83" t="str">
        <f aca="false">IF(ISBLANK($A25),"NO_CODE",VLOOKUP($A25,'UPD Questions_290926 '!$E$1:$N$300,MATCH(E$1,'UPD Questions_290926 '!$E$1:$N$1,0),0)&amp;"")</f>
        <v>MQ</v>
      </c>
      <c r="F25" s="83" t="str">
        <f aca="false">IF(ISBLANK($A25),"NO_CODE",VLOOKUP($A25,'UPD Questions_290926 '!$E$1:$N$300,MATCH(F$1,'UPD Questions_290926 '!$E$1:$N$1,0),0)&amp;"")</f>
        <v>Does the T&amp;CP Act mandate the planning for:  </v>
      </c>
      <c r="G25" s="83" t="str">
        <f aca="false">IF(ISBLANK($A25),"NO_CODE",VLOOKUP($A25,'UPD Questions_290926 '!$E$1:$N$300,MATCH(G$1,'UPD Questions_290926 '!$E$1:$N$1,0),0)&amp;"")</f>
        <v>NA- question already covered in ASICS 2017</v>
      </c>
      <c r="H25" s="85" t="n">
        <f aca="false">IF(ISBLANK($A25),"NO_CODE",VLOOKUP($A25,'UPD Questions_290926 '!$E$1:$N$300,MATCH(H$1,'UPD Questions_290926 '!$E$1:$N$1,0),0))</f>
        <v>10</v>
      </c>
      <c r="I25" s="86" t="str">
        <f aca="false">IF(OR(I26="ER",I27="ER",I28="ER",I29="ER",I30="ER",I31="ER"),"ER",IF(OR(I26="?",I27="?",I28="?",I29="?",I30="?",I31="?"),"?",IF(AND(I26="NA",I27="NA",I28="NA",I29="NA",I30="NA",I31="NA"),"NA",SUM(I26,I27,I28,I29,I30,I31)/((I26&lt;&gt;"NA")*$H$26+(I27&lt;&gt;"NA")*$H$27+(I28&lt;&gt;"NA")*$H$28+(I29&lt;&gt;"NA")*$H$29+(I30&lt;&gt;"NA")*$H$30+(I31&lt;&gt;"NA")*$H$31)*$H25)))</f>
        <v>?</v>
      </c>
      <c r="J25" s="86" t="str">
        <f aca="false">IF(OR(J26="ER",J27="ER",J28="ER",J29="ER",J30="ER",J31="ER"),"ER",IF(OR(J26="?",J27="?",J28="?",J29="?",J30="?",J31="?"),"?",IF(AND(J26="NA",J27="NA",J28="NA",J29="NA",J30="NA",J31="NA"),"NA",SUM(J26,J27,J28,J29,J30,J31)/((J26&lt;&gt;"NA")*$H$26+(J27&lt;&gt;"NA")*$H$27+(J28&lt;&gt;"NA")*$H$28+(J29&lt;&gt;"NA")*$H$29+(J30&lt;&gt;"NA")*$H$30+(J31&lt;&gt;"NA")*$H$31)*$H25)))</f>
        <v>?</v>
      </c>
      <c r="K25" s="86" t="str">
        <f aca="false">IF(OR(K26="ER",K27="ER",K28="ER",K29="ER",K30="ER",K31="ER"),"ER",IF(OR(K26="?",K27="?",K28="?",K29="?",K30="?",K31="?"),"?",IF(AND(K26="NA",K27="NA",K28="NA",K29="NA",K30="NA",K31="NA"),"NA",SUM(K26,K27,K28,K29,K30,K31)/((K26&lt;&gt;"NA")*$H$26+(K27&lt;&gt;"NA")*$H$27+(K28&lt;&gt;"NA")*$H$28+(K29&lt;&gt;"NA")*$H$29+(K30&lt;&gt;"NA")*$H$30+(K31&lt;&gt;"NA")*$H$31)*$H25)))</f>
        <v>?</v>
      </c>
      <c r="L25" s="86" t="str">
        <f aca="false">IF(OR(L26="ER",L27="ER",L28="ER",L29="ER",L30="ER",L31="ER"),"ER",IF(OR(L26="?",L27="?",L28="?",L29="?",L30="?",L31="?"),"?",IF(AND(L26="NA",L27="NA",L28="NA",L29="NA",L30="NA",L31="NA"),"NA",SUM(L26,L27,L28,L29,L30,L31)/((L26&lt;&gt;"NA")*$H$26+(L27&lt;&gt;"NA")*$H$27+(L28&lt;&gt;"NA")*$H$28+(L29&lt;&gt;"NA")*$H$29+(L30&lt;&gt;"NA")*$H$30+(L31&lt;&gt;"NA")*$H$31)*$H25)))</f>
        <v>?</v>
      </c>
      <c r="M25" s="86" t="str">
        <f aca="false">IF(OR(M26="ER",M27="ER",M28="ER",M29="ER",M30="ER",M31="ER"),"ER",IF(OR(M26="?",M27="?",M28="?",M29="?",M30="?",M31="?"),"?",IF(AND(M26="NA",M27="NA",M28="NA",M29="NA",M30="NA",M31="NA"),"NA",SUM(M26,M27,M28,M29,M30,M31)/((M26&lt;&gt;"NA")*$H$26+(M27&lt;&gt;"NA")*$H$27+(M28&lt;&gt;"NA")*$H$28+(M29&lt;&gt;"NA")*$H$29+(M30&lt;&gt;"NA")*$H$30+(M31&lt;&gt;"NA")*$H$31)*$H25)))</f>
        <v>?</v>
      </c>
      <c r="N25" s="86" t="str">
        <f aca="false">IF(OR(N26="ER",N27="ER",N28="ER",N29="ER",N30="ER",N31="ER"),"ER",IF(OR(N26="?",N27="?",N28="?",N29="?",N30="?",N31="?"),"?",IF(AND(N26="NA",N27="NA",N28="NA",N29="NA",N30="NA",N31="NA"),"NA",SUM(N26,N27,N28,N29,N30,N31)/((N26&lt;&gt;"NA")*$H$26+(N27&lt;&gt;"NA")*$H$27+(N28&lt;&gt;"NA")*$H$28+(N29&lt;&gt;"NA")*$H$29+(N30&lt;&gt;"NA")*$H$30+(N31&lt;&gt;"NA")*$H$31)*$H25)))</f>
        <v>?</v>
      </c>
      <c r="O25" s="86" t="str">
        <f aca="false">IF(OR(O26="ER",O27="ER",O28="ER",O29="ER",O30="ER",O31="ER"),"ER",IF(OR(O26="?",O27="?",O28="?",O29="?",O30="?",O31="?"),"?",IF(AND(O26="NA",O27="NA",O28="NA",O29="NA",O30="NA",O31="NA"),"NA",SUM(O26,O27,O28,O29,O30,O31)/((O26&lt;&gt;"NA")*$H$26+(O27&lt;&gt;"NA")*$H$27+(O28&lt;&gt;"NA")*$H$28+(O29&lt;&gt;"NA")*$H$29+(O30&lt;&gt;"NA")*$H$30+(O31&lt;&gt;"NA")*$H$31)*$H25)))</f>
        <v>?</v>
      </c>
      <c r="P25" s="86" t="str">
        <f aca="false">IF(OR(P26="ER",P27="ER",P28="ER",P29="ER",P30="ER",P31="ER"),"ER",IF(OR(P26="?",P27="?",P28="?",P29="?",P30="?",P31="?"),"?",IF(AND(P26="NA",P27="NA",P28="NA",P29="NA",P30="NA",P31="NA"),"NA",SUM(P26,P27,P28,P29,P30,P31)/((P26&lt;&gt;"NA")*$H$26+(P27&lt;&gt;"NA")*$H$27+(P28&lt;&gt;"NA")*$H$28+(P29&lt;&gt;"NA")*$H$29+(P30&lt;&gt;"NA")*$H$30+(P31&lt;&gt;"NA")*$H$31)*$H25)))</f>
        <v>?</v>
      </c>
      <c r="Q25" s="86" t="str">
        <f aca="false">IF(OR(Q26="ER",Q27="ER",Q28="ER",Q29="ER",Q30="ER",Q31="ER"),"ER",IF(OR(Q26="?",Q27="?",Q28="?",Q29="?",Q30="?",Q31="?"),"?",IF(AND(Q26="NA",Q27="NA",Q28="NA",Q29="NA",Q30="NA",Q31="NA"),"NA",SUM(Q26,Q27,Q28,Q29,Q30,Q31)/((Q26&lt;&gt;"NA")*$H$26+(Q27&lt;&gt;"NA")*$H$27+(Q28&lt;&gt;"NA")*$H$28+(Q29&lt;&gt;"NA")*$H$29+(Q30&lt;&gt;"NA")*$H$30+(Q31&lt;&gt;"NA")*$H$31)*$H25)))</f>
        <v>?</v>
      </c>
      <c r="R25" s="86" t="str">
        <f aca="false">IF(OR(R26="ER",R27="ER",R28="ER",R29="ER",R30="ER",R31="ER"),"ER",IF(OR(R26="?",R27="?",R28="?",R29="?",R30="?",R31="?"),"?",IF(AND(R26="NA",R27="NA",R28="NA",R29="NA",R30="NA",R31="NA"),"NA",SUM(R26,R27,R28,R29,R30,R31)/((R26&lt;&gt;"NA")*$H$26+(R27&lt;&gt;"NA")*$H$27+(R28&lt;&gt;"NA")*$H$28+(R29&lt;&gt;"NA")*$H$29+(R30&lt;&gt;"NA")*$H$30+(R31&lt;&gt;"NA")*$H$31)*$H25)))</f>
        <v>?</v>
      </c>
      <c r="S25" s="86" t="str">
        <f aca="false">IF(OR(S26="ER",S27="ER",S28="ER",S29="ER",S30="ER",S31="ER"),"ER",IF(OR(S26="?",S27="?",S28="?",S29="?",S30="?",S31="?"),"?",IF(AND(S26="NA",S27="NA",S28="NA",S29="NA",S30="NA",S31="NA"),"NA",SUM(S26,S27,S28,S29,S30,S31)/((S26&lt;&gt;"NA")*$H$26+(S27&lt;&gt;"NA")*$H$27+(S28&lt;&gt;"NA")*$H$28+(S29&lt;&gt;"NA")*$H$29+(S30&lt;&gt;"NA")*$H$30+(S31&lt;&gt;"NA")*$H$31)*$H25)))</f>
        <v>?</v>
      </c>
      <c r="T25" s="86" t="str">
        <f aca="false">IF(OR(T26="ER",T27="ER",T28="ER",T29="ER",T30="ER",T31="ER"),"ER",IF(OR(T26="?",T27="?",T28="?",T29="?",T30="?",T31="?"),"?",IF(AND(T26="NA",T27="NA",T28="NA",T29="NA",T30="NA",T31="NA"),"NA",SUM(T26,T27,T28,T29,T30,T31)/((T26&lt;&gt;"NA")*$H$26+(T27&lt;&gt;"NA")*$H$27+(T28&lt;&gt;"NA")*$H$28+(T29&lt;&gt;"NA")*$H$29+(T30&lt;&gt;"NA")*$H$30+(T31&lt;&gt;"NA")*$H$31)*$H25)))</f>
        <v>?</v>
      </c>
      <c r="U25" s="86" t="str">
        <f aca="false">IF(OR(U26="ER",U27="ER",U28="ER",U29="ER",U30="ER",U31="ER"),"ER",IF(OR(U26="?",U27="?",U28="?",U29="?",U30="?",U31="?"),"?",IF(AND(U26="NA",U27="NA",U28="NA",U29="NA",U30="NA",U31="NA"),"NA",SUM(U26,U27,U28,U29,U30,U31)/((U26&lt;&gt;"NA")*$H$26+(U27&lt;&gt;"NA")*$H$27+(U28&lt;&gt;"NA")*$H$28+(U29&lt;&gt;"NA")*$H$29+(U30&lt;&gt;"NA")*$H$30+(U31&lt;&gt;"NA")*$H$31)*$H25)))</f>
        <v>?</v>
      </c>
      <c r="V25" s="86" t="str">
        <f aca="false">IF(OR(V26="ER",V27="ER",V28="ER",V29="ER",V30="ER",V31="ER"),"ER",IF(OR(V26="?",V27="?",V28="?",V29="?",V30="?",V31="?"),"?",IF(AND(V26="NA",V27="NA",V28="NA",V29="NA",V30="NA",V31="NA"),"NA",SUM(V26,V27,V28,V29,V30,V31)/((V26&lt;&gt;"NA")*$H$26+(V27&lt;&gt;"NA")*$H$27+(V28&lt;&gt;"NA")*$H$28+(V29&lt;&gt;"NA")*$H$29+(V30&lt;&gt;"NA")*$H$30+(V31&lt;&gt;"NA")*$H$31)*$H25)))</f>
        <v>?</v>
      </c>
      <c r="W25" s="86" t="str">
        <f aca="false">IF(OR(W26="ER",W27="ER",W28="ER",W29="ER",W30="ER",W31="ER"),"ER",IF(OR(W26="?",W27="?",W28="?",W29="?",W30="?",W31="?"),"?",IF(AND(W26="NA",W27="NA",W28="NA",W29="NA",W30="NA",W31="NA"),"NA",SUM(W26,W27,W28,W29,W30,W31)/((W26&lt;&gt;"NA")*$H$26+(W27&lt;&gt;"NA")*$H$27+(W28&lt;&gt;"NA")*$H$28+(W29&lt;&gt;"NA")*$H$29+(W30&lt;&gt;"NA")*$H$30+(W31&lt;&gt;"NA")*$H$31)*$H25)))</f>
        <v>?</v>
      </c>
      <c r="X25" s="86" t="str">
        <f aca="false">IF(OR(X26="ER",X27="ER",X28="ER",X29="ER",X30="ER",X31="ER"),"ER",IF(OR(X26="?",X27="?",X28="?",X29="?",X30="?",X31="?"),"?",IF(AND(X26="NA",X27="NA",X28="NA",X29="NA",X30="NA",X31="NA"),"NA",SUM(X26,X27,X28,X29,X30,X31)/((X26&lt;&gt;"NA")*$H$26+(X27&lt;&gt;"NA")*$H$27+(X28&lt;&gt;"NA")*$H$28+(X29&lt;&gt;"NA")*$H$29+(X30&lt;&gt;"NA")*$H$30+(X31&lt;&gt;"NA")*$H$31)*$H25)))</f>
        <v>?</v>
      </c>
      <c r="Y25" s="86" t="str">
        <f aca="false">IF(OR(Y26="ER",Y27="ER",Y28="ER",Y29="ER",Y30="ER",Y31="ER"),"ER",IF(OR(Y26="?",Y27="?",Y28="?",Y29="?",Y30="?",Y31="?"),"?",IF(AND(Y26="NA",Y27="NA",Y28="NA",Y29="NA",Y30="NA",Y31="NA"),"NA",SUM(Y26,Y27,Y28,Y29,Y30,Y31)/((Y26&lt;&gt;"NA")*$H$26+(Y27&lt;&gt;"NA")*$H$27+(Y28&lt;&gt;"NA")*$H$28+(Y29&lt;&gt;"NA")*$H$29+(Y30&lt;&gt;"NA")*$H$30+(Y31&lt;&gt;"NA")*$H$31)*$H25)))</f>
        <v>?</v>
      </c>
      <c r="Z25" s="86" t="str">
        <f aca="false">IF(OR(Z26="ER",Z27="ER",Z28="ER",Z29="ER",Z30="ER",Z31="ER"),"ER",IF(OR(Z26="?",Z27="?",Z28="?",Z29="?",Z30="?",Z31="?"),"?",IF(AND(Z26="NA",Z27="NA",Z28="NA",Z29="NA",Z30="NA",Z31="NA"),"NA",SUM(Z26,Z27,Z28,Z29,Z30,Z31)/((Z26&lt;&gt;"NA")*$H$26+(Z27&lt;&gt;"NA")*$H$27+(Z28&lt;&gt;"NA")*$H$28+(Z29&lt;&gt;"NA")*$H$29+(Z30&lt;&gt;"NA")*$H$30+(Z31&lt;&gt;"NA")*$H$31)*$H25)))</f>
        <v>?</v>
      </c>
      <c r="AA25" s="86" t="str">
        <f aca="false">IF(OR(AA26="ER",AA27="ER",AA28="ER",AA29="ER",AA30="ER",AA31="ER"),"ER",IF(OR(AA26="?",AA27="?",AA28="?",AA29="?",AA30="?",AA31="?"),"?",IF(AND(AA26="NA",AA27="NA",AA28="NA",AA29="NA",AA30="NA",AA31="NA"),"NA",SUM(AA26,AA27,AA28,AA29,AA30,AA31)/((AA26&lt;&gt;"NA")*$H$26+(AA27&lt;&gt;"NA")*$H$27+(AA28&lt;&gt;"NA")*$H$28+(AA29&lt;&gt;"NA")*$H$29+(AA30&lt;&gt;"NA")*$H$30+(AA31&lt;&gt;"NA")*$H$31)*$H25)))</f>
        <v>?</v>
      </c>
      <c r="AB25" s="86" t="str">
        <f aca="false">IF(OR(AB26="ER",AB27="ER",AB28="ER",AB29="ER",AB30="ER",AB31="ER"),"ER",IF(OR(AB26="?",AB27="?",AB28="?",AB29="?",AB30="?",AB31="?"),"?",IF(AND(AB26="NA",AB27="NA",AB28="NA",AB29="NA",AB30="NA",AB31="NA"),"NA",SUM(AB26,AB27,AB28,AB29,AB30,AB31)/((AB26&lt;&gt;"NA")*$H$26+(AB27&lt;&gt;"NA")*$H$27+(AB28&lt;&gt;"NA")*$H$28+(AB29&lt;&gt;"NA")*$H$29+(AB30&lt;&gt;"NA")*$H$30+(AB31&lt;&gt;"NA")*$H$31)*$H25)))</f>
        <v>?</v>
      </c>
      <c r="AC25" s="86" t="str">
        <f aca="false">IF(OR(AC26="ER",AC27="ER",AC28="ER",AC29="ER",AC30="ER",AC31="ER"),"ER",IF(OR(AC26="?",AC27="?",AC28="?",AC29="?",AC30="?",AC31="?"),"?",IF(AND(AC26="NA",AC27="NA",AC28="NA",AC29="NA",AC30="NA",AC31="NA"),"NA",SUM(AC26,AC27,AC28,AC29,AC30,AC31)/((AC26&lt;&gt;"NA")*$H$26+(AC27&lt;&gt;"NA")*$H$27+(AC28&lt;&gt;"NA")*$H$28+(AC29&lt;&gt;"NA")*$H$29+(AC30&lt;&gt;"NA")*$H$30+(AC31&lt;&gt;"NA")*$H$31)*$H25)))</f>
        <v>?</v>
      </c>
      <c r="AD25" s="86" t="str">
        <f aca="false">IF(OR(AD26="ER",AD27="ER",AD28="ER",AD29="ER",AD30="ER",AD31="ER"),"ER",IF(OR(AD26="?",AD27="?",AD28="?",AD29="?",AD30="?",AD31="?"),"?",IF(AND(AD26="NA",AD27="NA",AD28="NA",AD29="NA",AD30="NA",AD31="NA"),"NA",SUM(AD26,AD27,AD28,AD29,AD30,AD31)/((AD26&lt;&gt;"NA")*$H$26+(AD27&lt;&gt;"NA")*$H$27+(AD28&lt;&gt;"NA")*$H$28+(AD29&lt;&gt;"NA")*$H$29+(AD30&lt;&gt;"NA")*$H$30+(AD31&lt;&gt;"NA")*$H$31)*$H25)))</f>
        <v>?</v>
      </c>
      <c r="AE25" s="86" t="str">
        <f aca="false">IF(OR(AE26="ER",AE27="ER",AE28="ER",AE29="ER",AE30="ER",AE31="ER"),"ER",IF(OR(AE26="?",AE27="?",AE28="?",AE29="?",AE30="?",AE31="?"),"?",IF(AND(AE26="NA",AE27="NA",AE28="NA",AE29="NA",AE30="NA",AE31="NA"),"NA",SUM(AE26,AE27,AE28,AE29,AE30,AE31)/((AE26&lt;&gt;"NA")*$H$26+(AE27&lt;&gt;"NA")*$H$27+(AE28&lt;&gt;"NA")*$H$28+(AE29&lt;&gt;"NA")*$H$29+(AE30&lt;&gt;"NA")*$H$30+(AE31&lt;&gt;"NA")*$H$31)*$H25)))</f>
        <v>?</v>
      </c>
      <c r="AF25" s="86" t="str">
        <f aca="false">IF(OR(AF26="ER",AF27="ER",AF28="ER",AF29="ER",AF30="ER",AF31="ER"),"ER",IF(OR(AF26="?",AF27="?",AF28="?",AF29="?",AF30="?",AF31="?"),"?",IF(AND(AF26="NA",AF27="NA",AF28="NA",AF29="NA",AF30="NA",AF31="NA"),"NA",SUM(AF26,AF27,AF28,AF29,AF30,AF31)/((AF26&lt;&gt;"NA")*$H$26+(AF27&lt;&gt;"NA")*$H$27+(AF28&lt;&gt;"NA")*$H$28+(AF29&lt;&gt;"NA")*$H$29+(AF30&lt;&gt;"NA")*$H$30+(AF31&lt;&gt;"NA")*$H$31)*$H25)))</f>
        <v>?</v>
      </c>
      <c r="AG25" s="86" t="str">
        <f aca="false">IF(OR(AG26="ER",AG27="ER",AG28="ER",AG29="ER",AG30="ER",AG31="ER"),"ER",IF(OR(AG26="?",AG27="?",AG28="?",AG29="?",AG30="?",AG31="?"),"?",IF(AND(AG26="NA",AG27="NA",AG28="NA",AG29="NA",AG30="NA",AG31="NA"),"NA",SUM(AG26,AG27,AG28,AG29,AG30,AG31)/((AG26&lt;&gt;"NA")*$H$26+(AG27&lt;&gt;"NA")*$H$27+(AG28&lt;&gt;"NA")*$H$28+(AG29&lt;&gt;"NA")*$H$29+(AG30&lt;&gt;"NA")*$H$30+(AG31&lt;&gt;"NA")*$H$31)*$H25)))</f>
        <v>?</v>
      </c>
      <c r="AH25" s="86" t="str">
        <f aca="false">IF(OR(AH26="ER",AH27="ER",AH28="ER",AH29="ER",AH30="ER",AH31="ER"),"ER",IF(OR(AH26="?",AH27="?",AH28="?",AH29="?",AH30="?",AH31="?"),"?",IF(AND(AH26="NA",AH27="NA",AH28="NA",AH29="NA",AH30="NA",AH31="NA"),"NA",SUM(AH26,AH27,AH28,AH29,AH30,AH31)/((AH26&lt;&gt;"NA")*$H$26+(AH27&lt;&gt;"NA")*$H$27+(AH28&lt;&gt;"NA")*$H$28+(AH29&lt;&gt;"NA")*$H$29+(AH30&lt;&gt;"NA")*$H$30+(AH31&lt;&gt;"NA")*$H$31)*$H25)))</f>
        <v>?</v>
      </c>
      <c r="AI25" s="86" t="str">
        <f aca="false">IF(OR(AI26="ER",AI27="ER",AI28="ER",AI29="ER",AI30="ER",AI31="ER"),"ER",IF(OR(AI26="?",AI27="?",AI28="?",AI29="?",AI30="?",AI31="?"),"?",IF(AND(AI26="NA",AI27="NA",AI28="NA",AI29="NA",AI30="NA",AI31="NA"),"NA",SUM(AI26,AI27,AI28,AI29,AI30,AI31)/((AI26&lt;&gt;"NA")*$H$26+(AI27&lt;&gt;"NA")*$H$27+(AI28&lt;&gt;"NA")*$H$28+(AI29&lt;&gt;"NA")*$H$29+(AI30&lt;&gt;"NA")*$H$30+(AI31&lt;&gt;"NA")*$H$31)*$H25)))</f>
        <v>?</v>
      </c>
      <c r="AJ25" s="86" t="str">
        <f aca="false">IF(OR(AJ26="ER",AJ27="ER",AJ28="ER",AJ29="ER",AJ30="ER",AJ31="ER"),"ER",IF(OR(AJ26="?",AJ27="?",AJ28="?",AJ29="?",AJ30="?",AJ31="?"),"?",IF(AND(AJ26="NA",AJ27="NA",AJ28="NA",AJ29="NA",AJ30="NA",AJ31="NA"),"NA",SUM(AJ26,AJ27,AJ28,AJ29,AJ30,AJ31)/((AJ26&lt;&gt;"NA")*$H$26+(AJ27&lt;&gt;"NA")*$H$27+(AJ28&lt;&gt;"NA")*$H$28+(AJ29&lt;&gt;"NA")*$H$29+(AJ30&lt;&gt;"NA")*$H$30+(AJ31&lt;&gt;"NA")*$H$31)*$H25)))</f>
        <v>?</v>
      </c>
      <c r="AK25" s="86" t="str">
        <f aca="false">IF(OR(AK26="ER",AK27="ER",AK28="ER",AK29="ER",AK30="ER",AK31="ER"),"ER",IF(OR(AK26="?",AK27="?",AK28="?",AK29="?",AK30="?",AK31="?"),"?",IF(AND(AK26="NA",AK27="NA",AK28="NA",AK29="NA",AK30="NA",AK31="NA"),"NA",SUM(AK26,AK27,AK28,AK29,AK30,AK31)/((AK26&lt;&gt;"NA")*$H$26+(AK27&lt;&gt;"NA")*$H$27+(AK28&lt;&gt;"NA")*$H$28+(AK29&lt;&gt;"NA")*$H$29+(AK30&lt;&gt;"NA")*$H$30+(AK31&lt;&gt;"NA")*$H$31)*$H25)))</f>
        <v>?</v>
      </c>
    </row>
    <row r="26" customFormat="false" ht="14.25" hidden="false" customHeight="false" outlineLevel="0" collapsed="false">
      <c r="A26" s="82" t="s">
        <v>120</v>
      </c>
      <c r="B26" s="83" t="str">
        <f aca="false">IF(ISBLANK($A26),"NO_CODE",VLOOKUP($A26,'UPD Questions_290926 '!$E$1:$N$300,MATCH(B$1,'UPD Questions_290926 '!$E$1:$N$1,0),0)&amp;"")</f>
        <v>Planning </v>
      </c>
      <c r="C26" s="83" t="str">
        <f aca="false">IF(ISBLANK($A26),"NO_CODE",VLOOKUP($A26,'UPD Questions_290926 '!$E$1:$N$300,MATCH(C$1,'UPD Questions_290926 '!$E$1:$N$1,0),0)&amp;"")</f>
        <v>Municipal/City Plan objectives and contents</v>
      </c>
      <c r="D26" s="83" t="str">
        <f aca="false">IF(ISBLANK($A26),"NO_CODE",VLOOKUP($A26,'UPD Questions_290926 '!$E$1:$N$300,MATCH(D$1,'UPD Questions_290926 '!$E$1:$N$1,0),0)&amp;"")</f>
        <v>Statutory requirements for plan content</v>
      </c>
      <c r="E26" s="83" t="str">
        <f aca="false">IF(ISBLANK($A26),"NO_CODE",VLOOKUP($A26,'UPD Questions_290926 '!$E$1:$N$300,MATCH(E$1,'UPD Questions_290926 '!$E$1:$N$1,0),0)&amp;"")</f>
        <v>SQ</v>
      </c>
      <c r="F26" s="83" t="str">
        <f aca="false">IF(ISBLANK($A26),"NO_CODE",VLOOKUP($A26,'UPD Questions_290926 '!$E$1:$N$300,MATCH(F$1,'UPD Questions_290926 '!$E$1:$N$1,0),0)&amp;"")</f>
        <v>a) Water Supply/ Sewerage, Sanitation and Solid Waste Management </v>
      </c>
      <c r="G26" s="83" t="str">
        <f aca="false">IF(ISBLANK($A26),"NO_CODE",VLOOKUP($A26,'UPD Questions_290926 '!$E$1:$N$300,MATCH(G$1,'UPD Questions_290926 '!$E$1:$N$1,0),0)&amp;"")</f>
        <v>Law/Policy</v>
      </c>
      <c r="H26" s="85" t="n">
        <f aca="false">IF(ISBLANK($A26),"NO_CODE",VLOOKUP($A26,'UPD Questions_290926 '!$E$1:$N$300,MATCH(H$1,'UPD Questions_290926 '!$E$1:$N$1,0),0))</f>
        <v>1.67</v>
      </c>
      <c r="I26" s="86" t="str">
        <f aca="true">IF($H26=0,"NA",IF($A26=INDIRECT("'"&amp;$A26&amp;"'!$B$1"),IF(VLOOKUP(I$1,INDIRECT("'"&amp;$A26&amp;"'!$A$12:$Z$41"),MATCH("Points (Auto-generate)",INDIRECT("'"&amp;$A26&amp;"'!$A$12:$Z$12"),0),0)="","?",VLOOKUP(I$1,INDIRECT("'"&amp;$A26&amp;"'!$A$12:$Z$41"),MATCH("Points (Auto-generate)",INDIRECT("'"&amp;$A26&amp;"'!$A$12:$Z$12"),0),0)),"ER"))</f>
        <v>?</v>
      </c>
      <c r="J26" s="86" t="str">
        <f aca="true">IF($H26=0,"NA",IF($A26=INDIRECT("'"&amp;$A26&amp;"'!$B$1"),IF(VLOOKUP(J$1,INDIRECT("'"&amp;$A26&amp;"'!$A$12:$Z$41"),MATCH("Points (Auto-generate)",INDIRECT("'"&amp;$A26&amp;"'!$A$12:$Z$12"),0),0)="","?",VLOOKUP(J$1,INDIRECT("'"&amp;$A26&amp;"'!$A$12:$Z$41"),MATCH("Points (Auto-generate)",INDIRECT("'"&amp;$A26&amp;"'!$A$12:$Z$12"),0),0)),"ER"))</f>
        <v>?</v>
      </c>
      <c r="K26" s="86" t="str">
        <f aca="true">IF($H26=0,"NA",IF($A26=INDIRECT("'"&amp;$A26&amp;"'!$B$1"),IF(VLOOKUP(K$1,INDIRECT("'"&amp;$A26&amp;"'!$A$12:$Z$41"),MATCH("Points (Auto-generate)",INDIRECT("'"&amp;$A26&amp;"'!$A$12:$Z$12"),0),0)="","?",VLOOKUP(K$1,INDIRECT("'"&amp;$A26&amp;"'!$A$12:$Z$41"),MATCH("Points (Auto-generate)",INDIRECT("'"&amp;$A26&amp;"'!$A$12:$Z$12"),0),0)),"ER"))</f>
        <v>?</v>
      </c>
      <c r="L26" s="86" t="str">
        <f aca="true">IF($H26=0,"NA",IF($A26=INDIRECT("'"&amp;$A26&amp;"'!$B$1"),IF(VLOOKUP(L$1,INDIRECT("'"&amp;$A26&amp;"'!$A$12:$Z$41"),MATCH("Points (Auto-generate)",INDIRECT("'"&amp;$A26&amp;"'!$A$12:$Z$12"),0),0)="","?",VLOOKUP(L$1,INDIRECT("'"&amp;$A26&amp;"'!$A$12:$Z$41"),MATCH("Points (Auto-generate)",INDIRECT("'"&amp;$A26&amp;"'!$A$12:$Z$12"),0),0)),"ER"))</f>
        <v>?</v>
      </c>
      <c r="M26" s="86" t="str">
        <f aca="true">IF($H26=0,"NA",IF($A26=INDIRECT("'"&amp;$A26&amp;"'!$B$1"),IF(VLOOKUP(M$1,INDIRECT("'"&amp;$A26&amp;"'!$A$12:$Z$41"),MATCH("Points (Auto-generate)",INDIRECT("'"&amp;$A26&amp;"'!$A$12:$Z$12"),0),0)="","?",VLOOKUP(M$1,INDIRECT("'"&amp;$A26&amp;"'!$A$12:$Z$41"),MATCH("Points (Auto-generate)",INDIRECT("'"&amp;$A26&amp;"'!$A$12:$Z$12"),0),0)),"ER"))</f>
        <v>?</v>
      </c>
      <c r="N26" s="86" t="str">
        <f aca="true">IF($H26=0,"NA",IF($A26=INDIRECT("'"&amp;$A26&amp;"'!$B$1"),IF(VLOOKUP(N$1,INDIRECT("'"&amp;$A26&amp;"'!$A$12:$Z$41"),MATCH("Points (Auto-generate)",INDIRECT("'"&amp;$A26&amp;"'!$A$12:$Z$12"),0),0)="","?",VLOOKUP(N$1,INDIRECT("'"&amp;$A26&amp;"'!$A$12:$Z$41"),MATCH("Points (Auto-generate)",INDIRECT("'"&amp;$A26&amp;"'!$A$12:$Z$12"),0),0)),"ER"))</f>
        <v>?</v>
      </c>
      <c r="O26" s="86" t="str">
        <f aca="true">IF($H26=0,"NA",IF($A26=INDIRECT("'"&amp;$A26&amp;"'!$B$1"),IF(VLOOKUP(O$1,INDIRECT("'"&amp;$A26&amp;"'!$A$12:$Z$41"),MATCH("Points (Auto-generate)",INDIRECT("'"&amp;$A26&amp;"'!$A$12:$Z$12"),0),0)="","?",VLOOKUP(O$1,INDIRECT("'"&amp;$A26&amp;"'!$A$12:$Z$41"),MATCH("Points (Auto-generate)",INDIRECT("'"&amp;$A26&amp;"'!$A$12:$Z$12"),0),0)),"ER"))</f>
        <v>?</v>
      </c>
      <c r="P26" s="86" t="str">
        <f aca="true">IF($H26=0,"NA",IF($A26=INDIRECT("'"&amp;$A26&amp;"'!$B$1"),IF(VLOOKUP(P$1,INDIRECT("'"&amp;$A26&amp;"'!$A$12:$Z$41"),MATCH("Points (Auto-generate)",INDIRECT("'"&amp;$A26&amp;"'!$A$12:$Z$12"),0),0)="","?",VLOOKUP(P$1,INDIRECT("'"&amp;$A26&amp;"'!$A$12:$Z$41"),MATCH("Points (Auto-generate)",INDIRECT("'"&amp;$A26&amp;"'!$A$12:$Z$12"),0),0)),"ER"))</f>
        <v>?</v>
      </c>
      <c r="Q26" s="86" t="str">
        <f aca="true">IF($H26=0,"NA",IF($A26=INDIRECT("'"&amp;$A26&amp;"'!$B$1"),IF(VLOOKUP(Q$1,INDIRECT("'"&amp;$A26&amp;"'!$A$12:$Z$41"),MATCH("Points (Auto-generate)",INDIRECT("'"&amp;$A26&amp;"'!$A$12:$Z$12"),0),0)="","?",VLOOKUP(Q$1,INDIRECT("'"&amp;$A26&amp;"'!$A$12:$Z$41"),MATCH("Points (Auto-generate)",INDIRECT("'"&amp;$A26&amp;"'!$A$12:$Z$12"),0),0)),"ER"))</f>
        <v>?</v>
      </c>
      <c r="R26" s="86" t="str">
        <f aca="true">IF($H26=0,"NA",IF($A26=INDIRECT("'"&amp;$A26&amp;"'!$B$1"),IF(VLOOKUP(R$1,INDIRECT("'"&amp;$A26&amp;"'!$A$12:$Z$41"),MATCH("Points (Auto-generate)",INDIRECT("'"&amp;$A26&amp;"'!$A$12:$Z$12"),0),0)="","?",VLOOKUP(R$1,INDIRECT("'"&amp;$A26&amp;"'!$A$12:$Z$41"),MATCH("Points (Auto-generate)",INDIRECT("'"&amp;$A26&amp;"'!$A$12:$Z$12"),0),0)),"ER"))</f>
        <v>?</v>
      </c>
      <c r="S26" s="86" t="str">
        <f aca="true">IF($H26=0,"NA",IF($A26=INDIRECT("'"&amp;$A26&amp;"'!$B$1"),IF(VLOOKUP(S$1,INDIRECT("'"&amp;$A26&amp;"'!$A$12:$Z$41"),MATCH("Points (Auto-generate)",INDIRECT("'"&amp;$A26&amp;"'!$A$12:$Z$12"),0),0)="","?",VLOOKUP(S$1,INDIRECT("'"&amp;$A26&amp;"'!$A$12:$Z$41"),MATCH("Points (Auto-generate)",INDIRECT("'"&amp;$A26&amp;"'!$A$12:$Z$12"),0),0)),"ER"))</f>
        <v>?</v>
      </c>
      <c r="T26" s="86" t="str">
        <f aca="true">IF($H26=0,"NA",IF($A26=INDIRECT("'"&amp;$A26&amp;"'!$B$1"),IF(VLOOKUP(T$1,INDIRECT("'"&amp;$A26&amp;"'!$A$12:$Z$41"),MATCH("Points (Auto-generate)",INDIRECT("'"&amp;$A26&amp;"'!$A$12:$Z$12"),0),0)="","?",VLOOKUP(T$1,INDIRECT("'"&amp;$A26&amp;"'!$A$12:$Z$41"),MATCH("Points (Auto-generate)",INDIRECT("'"&amp;$A26&amp;"'!$A$12:$Z$12"),0),0)),"ER"))</f>
        <v>?</v>
      </c>
      <c r="U26" s="86" t="str">
        <f aca="true">IF($H26=0,"NA",IF($A26=INDIRECT("'"&amp;$A26&amp;"'!$B$1"),IF(VLOOKUP(U$1,INDIRECT("'"&amp;$A26&amp;"'!$A$12:$Z$41"),MATCH("Points (Auto-generate)",INDIRECT("'"&amp;$A26&amp;"'!$A$12:$Z$12"),0),0)="","?",VLOOKUP(U$1,INDIRECT("'"&amp;$A26&amp;"'!$A$12:$Z$41"),MATCH("Points (Auto-generate)",INDIRECT("'"&amp;$A26&amp;"'!$A$12:$Z$12"),0),0)),"ER"))</f>
        <v>?</v>
      </c>
      <c r="V26" s="86" t="str">
        <f aca="true">IF($H26=0,"NA",IF($A26=INDIRECT("'"&amp;$A26&amp;"'!$B$1"),IF(VLOOKUP(V$1,INDIRECT("'"&amp;$A26&amp;"'!$A$12:$Z$41"),MATCH("Points (Auto-generate)",INDIRECT("'"&amp;$A26&amp;"'!$A$12:$Z$12"),0),0)="","?",VLOOKUP(V$1,INDIRECT("'"&amp;$A26&amp;"'!$A$12:$Z$41"),MATCH("Points (Auto-generate)",INDIRECT("'"&amp;$A26&amp;"'!$A$12:$Z$12"),0),0)),"ER"))</f>
        <v>?</v>
      </c>
      <c r="W26" s="86" t="str">
        <f aca="true">IF($H26=0,"NA",IF($A26=INDIRECT("'"&amp;$A26&amp;"'!$B$1"),IF(VLOOKUP(W$1,INDIRECT("'"&amp;$A26&amp;"'!$A$12:$Z$41"),MATCH("Points (Auto-generate)",INDIRECT("'"&amp;$A26&amp;"'!$A$12:$Z$12"),0),0)="","?",VLOOKUP(W$1,INDIRECT("'"&amp;$A26&amp;"'!$A$12:$Z$41"),MATCH("Points (Auto-generate)",INDIRECT("'"&amp;$A26&amp;"'!$A$12:$Z$12"),0),0)),"ER"))</f>
        <v>?</v>
      </c>
      <c r="X26" s="86" t="str">
        <f aca="true">IF($H26=0,"NA",IF($A26=INDIRECT("'"&amp;$A26&amp;"'!$B$1"),IF(VLOOKUP(X$1,INDIRECT("'"&amp;$A26&amp;"'!$A$12:$Z$41"),MATCH("Points (Auto-generate)",INDIRECT("'"&amp;$A26&amp;"'!$A$12:$Z$12"),0),0)="","?",VLOOKUP(X$1,INDIRECT("'"&amp;$A26&amp;"'!$A$12:$Z$41"),MATCH("Points (Auto-generate)",INDIRECT("'"&amp;$A26&amp;"'!$A$12:$Z$12"),0),0)),"ER"))</f>
        <v>?</v>
      </c>
      <c r="Y26" s="86" t="str">
        <f aca="true">IF($H26=0,"NA",IF($A26=INDIRECT("'"&amp;$A26&amp;"'!$B$1"),IF(VLOOKUP(Y$1,INDIRECT("'"&amp;$A26&amp;"'!$A$12:$Z$41"),MATCH("Points (Auto-generate)",INDIRECT("'"&amp;$A26&amp;"'!$A$12:$Z$12"),0),0)="","?",VLOOKUP(Y$1,INDIRECT("'"&amp;$A26&amp;"'!$A$12:$Z$41"),MATCH("Points (Auto-generate)",INDIRECT("'"&amp;$A26&amp;"'!$A$12:$Z$12"),0),0)),"ER"))</f>
        <v>?</v>
      </c>
      <c r="Z26" s="86" t="str">
        <f aca="true">IF($H26=0,"NA",IF($A26=INDIRECT("'"&amp;$A26&amp;"'!$B$1"),IF(VLOOKUP(Z$1,INDIRECT("'"&amp;$A26&amp;"'!$A$12:$Z$41"),MATCH("Points (Auto-generate)",INDIRECT("'"&amp;$A26&amp;"'!$A$12:$Z$12"),0),0)="","?",VLOOKUP(Z$1,INDIRECT("'"&amp;$A26&amp;"'!$A$12:$Z$41"),MATCH("Points (Auto-generate)",INDIRECT("'"&amp;$A26&amp;"'!$A$12:$Z$12"),0),0)),"ER"))</f>
        <v>?</v>
      </c>
      <c r="AA26" s="86" t="str">
        <f aca="true">IF($H26=0,"NA",IF($A26=INDIRECT("'"&amp;$A26&amp;"'!$B$1"),IF(VLOOKUP(AA$1,INDIRECT("'"&amp;$A26&amp;"'!$A$12:$Z$41"),MATCH("Points (Auto-generate)",INDIRECT("'"&amp;$A26&amp;"'!$A$12:$Z$12"),0),0)="","?",VLOOKUP(AA$1,INDIRECT("'"&amp;$A26&amp;"'!$A$12:$Z$41"),MATCH("Points (Auto-generate)",INDIRECT("'"&amp;$A26&amp;"'!$A$12:$Z$12"),0),0)),"ER"))</f>
        <v>?</v>
      </c>
      <c r="AB26" s="86" t="str">
        <f aca="true">IF($H26=0,"NA",IF($A26=INDIRECT("'"&amp;$A26&amp;"'!$B$1"),IF(VLOOKUP(AB$1,INDIRECT("'"&amp;$A26&amp;"'!$A$12:$Z$41"),MATCH("Points (Auto-generate)",INDIRECT("'"&amp;$A26&amp;"'!$A$12:$Z$12"),0),0)="","?",VLOOKUP(AB$1,INDIRECT("'"&amp;$A26&amp;"'!$A$12:$Z$41"),MATCH("Points (Auto-generate)",INDIRECT("'"&amp;$A26&amp;"'!$A$12:$Z$12"),0),0)),"ER"))</f>
        <v>?</v>
      </c>
      <c r="AC26" s="86" t="str">
        <f aca="true">IF($H26=0,"NA",IF($A26=INDIRECT("'"&amp;$A26&amp;"'!$B$1"),IF(VLOOKUP(AC$1,INDIRECT("'"&amp;$A26&amp;"'!$A$12:$Z$41"),MATCH("Points (Auto-generate)",INDIRECT("'"&amp;$A26&amp;"'!$A$12:$Z$12"),0),0)="","?",VLOOKUP(AC$1,INDIRECT("'"&amp;$A26&amp;"'!$A$12:$Z$41"),MATCH("Points (Auto-generate)",INDIRECT("'"&amp;$A26&amp;"'!$A$12:$Z$12"),0),0)),"ER"))</f>
        <v>?</v>
      </c>
      <c r="AD26" s="86" t="str">
        <f aca="true">IF($H26=0,"NA",IF($A26=INDIRECT("'"&amp;$A26&amp;"'!$B$1"),IF(VLOOKUP(AD$1,INDIRECT("'"&amp;$A26&amp;"'!$A$12:$Z$41"),MATCH("Points (Auto-generate)",INDIRECT("'"&amp;$A26&amp;"'!$A$12:$Z$12"),0),0)="","?",VLOOKUP(AD$1,INDIRECT("'"&amp;$A26&amp;"'!$A$12:$Z$41"),MATCH("Points (Auto-generate)",INDIRECT("'"&amp;$A26&amp;"'!$A$12:$Z$12"),0),0)),"ER"))</f>
        <v>?</v>
      </c>
      <c r="AE26" s="86" t="str">
        <f aca="true">IF($H26=0,"NA",IF($A26=INDIRECT("'"&amp;$A26&amp;"'!$B$1"),IF(VLOOKUP(AE$1,INDIRECT("'"&amp;$A26&amp;"'!$A$12:$Z$41"),MATCH("Points (Auto-generate)",INDIRECT("'"&amp;$A26&amp;"'!$A$12:$Z$12"),0),0)="","?",VLOOKUP(AE$1,INDIRECT("'"&amp;$A26&amp;"'!$A$12:$Z$41"),MATCH("Points (Auto-generate)",INDIRECT("'"&amp;$A26&amp;"'!$A$12:$Z$12"),0),0)),"ER"))</f>
        <v>?</v>
      </c>
      <c r="AF26" s="86" t="str">
        <f aca="true">IF($H26=0,"NA",IF($A26=INDIRECT("'"&amp;$A26&amp;"'!$B$1"),IF(VLOOKUP(AF$1,INDIRECT("'"&amp;$A26&amp;"'!$A$12:$Z$41"),MATCH("Points (Auto-generate)",INDIRECT("'"&amp;$A26&amp;"'!$A$12:$Z$12"),0),0)="","?",VLOOKUP(AF$1,INDIRECT("'"&amp;$A26&amp;"'!$A$12:$Z$41"),MATCH("Points (Auto-generate)",INDIRECT("'"&amp;$A26&amp;"'!$A$12:$Z$12"),0),0)),"ER"))</f>
        <v>?</v>
      </c>
      <c r="AG26" s="86" t="str">
        <f aca="true">IF($H26=0,"NA",IF($A26=INDIRECT("'"&amp;$A26&amp;"'!$B$1"),IF(VLOOKUP(AG$1,INDIRECT("'"&amp;$A26&amp;"'!$A$12:$Z$41"),MATCH("Points (Auto-generate)",INDIRECT("'"&amp;$A26&amp;"'!$A$12:$Z$12"),0),0)="","?",VLOOKUP(AG$1,INDIRECT("'"&amp;$A26&amp;"'!$A$12:$Z$41"),MATCH("Points (Auto-generate)",INDIRECT("'"&amp;$A26&amp;"'!$A$12:$Z$12"),0),0)),"ER"))</f>
        <v>?</v>
      </c>
      <c r="AH26" s="86" t="str">
        <f aca="true">IF($H26=0,"NA",IF($A26=INDIRECT("'"&amp;$A26&amp;"'!$B$1"),IF(VLOOKUP(AH$1,INDIRECT("'"&amp;$A26&amp;"'!$A$12:$Z$41"),MATCH("Points (Auto-generate)",INDIRECT("'"&amp;$A26&amp;"'!$A$12:$Z$12"),0),0)="","?",VLOOKUP(AH$1,INDIRECT("'"&amp;$A26&amp;"'!$A$12:$Z$41"),MATCH("Points (Auto-generate)",INDIRECT("'"&amp;$A26&amp;"'!$A$12:$Z$12"),0),0)),"ER"))</f>
        <v>?</v>
      </c>
      <c r="AI26" s="86" t="str">
        <f aca="true">IF($H26=0,"NA",IF($A26=INDIRECT("'"&amp;$A26&amp;"'!$B$1"),IF(VLOOKUP(AI$1,INDIRECT("'"&amp;$A26&amp;"'!$A$12:$Z$41"),MATCH("Points (Auto-generate)",INDIRECT("'"&amp;$A26&amp;"'!$A$12:$Z$12"),0),0)="","?",VLOOKUP(AI$1,INDIRECT("'"&amp;$A26&amp;"'!$A$12:$Z$41"),MATCH("Points (Auto-generate)",INDIRECT("'"&amp;$A26&amp;"'!$A$12:$Z$12"),0),0)),"ER"))</f>
        <v>?</v>
      </c>
      <c r="AJ26" s="86" t="str">
        <f aca="true">IF($H26=0,"NA",IF($A26=INDIRECT("'"&amp;$A26&amp;"'!$B$1"),IF(VLOOKUP(AJ$1,INDIRECT("'"&amp;$A26&amp;"'!$A$12:$Z$41"),MATCH("Points (Auto-generate)",INDIRECT("'"&amp;$A26&amp;"'!$A$12:$Z$12"),0),0)="","?",VLOOKUP(AJ$1,INDIRECT("'"&amp;$A26&amp;"'!$A$12:$Z$41"),MATCH("Points (Auto-generate)",INDIRECT("'"&amp;$A26&amp;"'!$A$12:$Z$12"),0),0)),"ER"))</f>
        <v>?</v>
      </c>
      <c r="AK26" s="86" t="str">
        <f aca="true">IF($H26=0,"NA",IF($A26=INDIRECT("'"&amp;$A26&amp;"'!$B$1"),IF(VLOOKUP(AK$1,INDIRECT("'"&amp;$A26&amp;"'!$A$12:$Z$41"),MATCH("Points (Auto-generate)",INDIRECT("'"&amp;$A26&amp;"'!$A$12:$Z$12"),0),0)="","?",VLOOKUP(AK$1,INDIRECT("'"&amp;$A26&amp;"'!$A$12:$Z$41"),MATCH("Points (Auto-generate)",INDIRECT("'"&amp;$A26&amp;"'!$A$12:$Z$12"),0),0)),"ER"))</f>
        <v>?</v>
      </c>
    </row>
    <row r="27" customFormat="false" ht="14.25" hidden="false" customHeight="false" outlineLevel="0" collapsed="false">
      <c r="A27" s="82" t="s">
        <v>127</v>
      </c>
      <c r="B27" s="83" t="str">
        <f aca="false">IF(ISBLANK($A27),"NO_CODE",VLOOKUP($A27,'UPD Questions_290926 '!$E$1:$N$300,MATCH(B$1,'UPD Questions_290926 '!$E$1:$N$1,0),0)&amp;"")</f>
        <v>Planning </v>
      </c>
      <c r="C27" s="83" t="str">
        <f aca="false">IF(ISBLANK($A27),"NO_CODE",VLOOKUP($A27,'UPD Questions_290926 '!$E$1:$N$300,MATCH(C$1,'UPD Questions_290926 '!$E$1:$N$1,0),0)&amp;"")</f>
        <v>Municipal/City Plan objectives and contents</v>
      </c>
      <c r="D27" s="83" t="str">
        <f aca="false">IF(ISBLANK($A27),"NO_CODE",VLOOKUP($A27,'UPD Questions_290926 '!$E$1:$N$300,MATCH(D$1,'UPD Questions_290926 '!$E$1:$N$1,0),0)&amp;"")</f>
        <v>Statutory requirements for plan content</v>
      </c>
      <c r="E27" s="83" t="str">
        <f aca="false">IF(ISBLANK($A27),"NO_CODE",VLOOKUP($A27,'UPD Questions_290926 '!$E$1:$N$300,MATCH(E$1,'UPD Questions_290926 '!$E$1:$N$1,0),0)&amp;"")</f>
        <v>SQ</v>
      </c>
      <c r="F27" s="83" t="str">
        <f aca="false">IF(ISBLANK($A27),"NO_CODE",VLOOKUP($A27,'UPD Questions_290926 '!$E$1:$N$300,MATCH(F$1,'UPD Questions_290926 '!$E$1:$N$1,0),0)&amp;"")</f>
        <v>b) Disaster Resilience</v>
      </c>
      <c r="G27" s="83" t="str">
        <f aca="false">IF(ISBLANK($A27),"NO_CODE",VLOOKUP($A27,'UPD Questions_290926 '!$E$1:$N$300,MATCH(G$1,'UPD Questions_290926 '!$E$1:$N$1,0),0)&amp;"")</f>
        <v>Law/Policy</v>
      </c>
      <c r="H27" s="85" t="n">
        <f aca="false">IF(ISBLANK($A27),"NO_CODE",VLOOKUP($A27,'UPD Questions_290926 '!$E$1:$N$300,MATCH(H$1,'UPD Questions_290926 '!$E$1:$N$1,0),0))</f>
        <v>1.67</v>
      </c>
      <c r="I27" s="86" t="str">
        <f aca="true">IF($H27=0,"NA",IF($A27=INDIRECT("'"&amp;$A27&amp;"'!$B$1"),IF(VLOOKUP(I$1,INDIRECT("'"&amp;$A27&amp;"'!$A$12:$Z$41"),MATCH("Points (Auto-generate)",INDIRECT("'"&amp;$A27&amp;"'!$A$12:$Z$12"),0),0)="","?",VLOOKUP(I$1,INDIRECT("'"&amp;$A27&amp;"'!$A$12:$Z$41"),MATCH("Points (Auto-generate)",INDIRECT("'"&amp;$A27&amp;"'!$A$12:$Z$12"),0),0)),"ER"))</f>
        <v>?</v>
      </c>
      <c r="J27" s="86" t="n">
        <f aca="true">IF($H27=0,"NA",IF($A27=INDIRECT("'"&amp;$A27&amp;"'!$B$1"),IF(VLOOKUP(J$1,INDIRECT("'"&amp;$A27&amp;"'!$A$12:$Z$41"),MATCH("Points (Auto-generate)",INDIRECT("'"&amp;$A27&amp;"'!$A$12:$Z$12"),0),0)="","?",VLOOKUP(J$1,INDIRECT("'"&amp;$A27&amp;"'!$A$12:$Z$41"),MATCH("Points (Auto-generate)",INDIRECT("'"&amp;$A27&amp;"'!$A$12:$Z$12"),0),0)),"ER"))</f>
        <v>1.67</v>
      </c>
      <c r="K27" s="86" t="str">
        <f aca="true">IF($H27=0,"NA",IF($A27=INDIRECT("'"&amp;$A27&amp;"'!$B$1"),IF(VLOOKUP(K$1,INDIRECT("'"&amp;$A27&amp;"'!$A$12:$Z$41"),MATCH("Points (Auto-generate)",INDIRECT("'"&amp;$A27&amp;"'!$A$12:$Z$12"),0),0)="","?",VLOOKUP(K$1,INDIRECT("'"&amp;$A27&amp;"'!$A$12:$Z$41"),MATCH("Points (Auto-generate)",INDIRECT("'"&amp;$A27&amp;"'!$A$12:$Z$12"),0),0)),"ER"))</f>
        <v>?</v>
      </c>
      <c r="L27" s="86" t="str">
        <f aca="true">IF($H27=0,"NA",IF($A27=INDIRECT("'"&amp;$A27&amp;"'!$B$1"),IF(VLOOKUP(L$1,INDIRECT("'"&amp;$A27&amp;"'!$A$12:$Z$41"),MATCH("Points (Auto-generate)",INDIRECT("'"&amp;$A27&amp;"'!$A$12:$Z$12"),0),0)="","?",VLOOKUP(L$1,INDIRECT("'"&amp;$A27&amp;"'!$A$12:$Z$41"),MATCH("Points (Auto-generate)",INDIRECT("'"&amp;$A27&amp;"'!$A$12:$Z$12"),0),0)),"ER"))</f>
        <v>?</v>
      </c>
      <c r="M27" s="86" t="str">
        <f aca="true">IF($H27=0,"NA",IF($A27=INDIRECT("'"&amp;$A27&amp;"'!$B$1"),IF(VLOOKUP(M$1,INDIRECT("'"&amp;$A27&amp;"'!$A$12:$Z$41"),MATCH("Points (Auto-generate)",INDIRECT("'"&amp;$A27&amp;"'!$A$12:$Z$12"),0),0)="","?",VLOOKUP(M$1,INDIRECT("'"&amp;$A27&amp;"'!$A$12:$Z$41"),MATCH("Points (Auto-generate)",INDIRECT("'"&amp;$A27&amp;"'!$A$12:$Z$12"),0),0)),"ER"))</f>
        <v>?</v>
      </c>
      <c r="N27" s="86" t="str">
        <f aca="true">IF($H27=0,"NA",IF($A27=INDIRECT("'"&amp;$A27&amp;"'!$B$1"),IF(VLOOKUP(N$1,INDIRECT("'"&amp;$A27&amp;"'!$A$12:$Z$41"),MATCH("Points (Auto-generate)",INDIRECT("'"&amp;$A27&amp;"'!$A$12:$Z$12"),0),0)="","?",VLOOKUP(N$1,INDIRECT("'"&amp;$A27&amp;"'!$A$12:$Z$41"),MATCH("Points (Auto-generate)",INDIRECT("'"&amp;$A27&amp;"'!$A$12:$Z$12"),0),0)),"ER"))</f>
        <v>?</v>
      </c>
      <c r="O27" s="86" t="str">
        <f aca="true">IF($H27=0,"NA",IF($A27=INDIRECT("'"&amp;$A27&amp;"'!$B$1"),IF(VLOOKUP(O$1,INDIRECT("'"&amp;$A27&amp;"'!$A$12:$Z$41"),MATCH("Points (Auto-generate)",INDIRECT("'"&amp;$A27&amp;"'!$A$12:$Z$12"),0),0)="","?",VLOOKUP(O$1,INDIRECT("'"&amp;$A27&amp;"'!$A$12:$Z$41"),MATCH("Points (Auto-generate)",INDIRECT("'"&amp;$A27&amp;"'!$A$12:$Z$12"),0),0)),"ER"))</f>
        <v>?</v>
      </c>
      <c r="P27" s="86" t="str">
        <f aca="true">IF($H27=0,"NA",IF($A27=INDIRECT("'"&amp;$A27&amp;"'!$B$1"),IF(VLOOKUP(P$1,INDIRECT("'"&amp;$A27&amp;"'!$A$12:$Z$41"),MATCH("Points (Auto-generate)",INDIRECT("'"&amp;$A27&amp;"'!$A$12:$Z$12"),0),0)="","?",VLOOKUP(P$1,INDIRECT("'"&amp;$A27&amp;"'!$A$12:$Z$41"),MATCH("Points (Auto-generate)",INDIRECT("'"&amp;$A27&amp;"'!$A$12:$Z$12"),0),0)),"ER"))</f>
        <v>?</v>
      </c>
      <c r="Q27" s="86" t="str">
        <f aca="true">IF($H27=0,"NA",IF($A27=INDIRECT("'"&amp;$A27&amp;"'!$B$1"),IF(VLOOKUP(Q$1,INDIRECT("'"&amp;$A27&amp;"'!$A$12:$Z$41"),MATCH("Points (Auto-generate)",INDIRECT("'"&amp;$A27&amp;"'!$A$12:$Z$12"),0),0)="","?",VLOOKUP(Q$1,INDIRECT("'"&amp;$A27&amp;"'!$A$12:$Z$41"),MATCH("Points (Auto-generate)",INDIRECT("'"&amp;$A27&amp;"'!$A$12:$Z$12"),0),0)),"ER"))</f>
        <v>?</v>
      </c>
      <c r="R27" s="86" t="str">
        <f aca="true">IF($H27=0,"NA",IF($A27=INDIRECT("'"&amp;$A27&amp;"'!$B$1"),IF(VLOOKUP(R$1,INDIRECT("'"&amp;$A27&amp;"'!$A$12:$Z$41"),MATCH("Points (Auto-generate)",INDIRECT("'"&amp;$A27&amp;"'!$A$12:$Z$12"),0),0)="","?",VLOOKUP(R$1,INDIRECT("'"&amp;$A27&amp;"'!$A$12:$Z$41"),MATCH("Points (Auto-generate)",INDIRECT("'"&amp;$A27&amp;"'!$A$12:$Z$12"),0),0)),"ER"))</f>
        <v>?</v>
      </c>
      <c r="S27" s="86" t="str">
        <f aca="true">IF($H27=0,"NA",IF($A27=INDIRECT("'"&amp;$A27&amp;"'!$B$1"),IF(VLOOKUP(S$1,INDIRECT("'"&amp;$A27&amp;"'!$A$12:$Z$41"),MATCH("Points (Auto-generate)",INDIRECT("'"&amp;$A27&amp;"'!$A$12:$Z$12"),0),0)="","?",VLOOKUP(S$1,INDIRECT("'"&amp;$A27&amp;"'!$A$12:$Z$41"),MATCH("Points (Auto-generate)",INDIRECT("'"&amp;$A27&amp;"'!$A$12:$Z$12"),0),0)),"ER"))</f>
        <v>?</v>
      </c>
      <c r="T27" s="86" t="str">
        <f aca="true">IF($H27=0,"NA",IF($A27=INDIRECT("'"&amp;$A27&amp;"'!$B$1"),IF(VLOOKUP(T$1,INDIRECT("'"&amp;$A27&amp;"'!$A$12:$Z$41"),MATCH("Points (Auto-generate)",INDIRECT("'"&amp;$A27&amp;"'!$A$12:$Z$12"),0),0)="","?",VLOOKUP(T$1,INDIRECT("'"&amp;$A27&amp;"'!$A$12:$Z$41"),MATCH("Points (Auto-generate)",INDIRECT("'"&amp;$A27&amp;"'!$A$12:$Z$12"),0),0)),"ER"))</f>
        <v>?</v>
      </c>
      <c r="U27" s="86" t="str">
        <f aca="true">IF($H27=0,"NA",IF($A27=INDIRECT("'"&amp;$A27&amp;"'!$B$1"),IF(VLOOKUP(U$1,INDIRECT("'"&amp;$A27&amp;"'!$A$12:$Z$41"),MATCH("Points (Auto-generate)",INDIRECT("'"&amp;$A27&amp;"'!$A$12:$Z$12"),0),0)="","?",VLOOKUP(U$1,INDIRECT("'"&amp;$A27&amp;"'!$A$12:$Z$41"),MATCH("Points (Auto-generate)",INDIRECT("'"&amp;$A27&amp;"'!$A$12:$Z$12"),0),0)),"ER"))</f>
        <v>?</v>
      </c>
      <c r="V27" s="86" t="str">
        <f aca="true">IF($H27=0,"NA",IF($A27=INDIRECT("'"&amp;$A27&amp;"'!$B$1"),IF(VLOOKUP(V$1,INDIRECT("'"&amp;$A27&amp;"'!$A$12:$Z$41"),MATCH("Points (Auto-generate)",INDIRECT("'"&amp;$A27&amp;"'!$A$12:$Z$12"),0),0)="","?",VLOOKUP(V$1,INDIRECT("'"&amp;$A27&amp;"'!$A$12:$Z$41"),MATCH("Points (Auto-generate)",INDIRECT("'"&amp;$A27&amp;"'!$A$12:$Z$12"),0),0)),"ER"))</f>
        <v>?</v>
      </c>
      <c r="W27" s="86" t="str">
        <f aca="true">IF($H27=0,"NA",IF($A27=INDIRECT("'"&amp;$A27&amp;"'!$B$1"),IF(VLOOKUP(W$1,INDIRECT("'"&amp;$A27&amp;"'!$A$12:$Z$41"),MATCH("Points (Auto-generate)",INDIRECT("'"&amp;$A27&amp;"'!$A$12:$Z$12"),0),0)="","?",VLOOKUP(W$1,INDIRECT("'"&amp;$A27&amp;"'!$A$12:$Z$41"),MATCH("Points (Auto-generate)",INDIRECT("'"&amp;$A27&amp;"'!$A$12:$Z$12"),0),0)),"ER"))</f>
        <v>?</v>
      </c>
      <c r="X27" s="86" t="str">
        <f aca="true">IF($H27=0,"NA",IF($A27=INDIRECT("'"&amp;$A27&amp;"'!$B$1"),IF(VLOOKUP(X$1,INDIRECT("'"&amp;$A27&amp;"'!$A$12:$Z$41"),MATCH("Points (Auto-generate)",INDIRECT("'"&amp;$A27&amp;"'!$A$12:$Z$12"),0),0)="","?",VLOOKUP(X$1,INDIRECT("'"&amp;$A27&amp;"'!$A$12:$Z$41"),MATCH("Points (Auto-generate)",INDIRECT("'"&amp;$A27&amp;"'!$A$12:$Z$12"),0),0)),"ER"))</f>
        <v>?</v>
      </c>
      <c r="Y27" s="86" t="str">
        <f aca="true">IF($H27=0,"NA",IF($A27=INDIRECT("'"&amp;$A27&amp;"'!$B$1"),IF(VLOOKUP(Y$1,INDIRECT("'"&amp;$A27&amp;"'!$A$12:$Z$41"),MATCH("Points (Auto-generate)",INDIRECT("'"&amp;$A27&amp;"'!$A$12:$Z$12"),0),0)="","?",VLOOKUP(Y$1,INDIRECT("'"&amp;$A27&amp;"'!$A$12:$Z$41"),MATCH("Points (Auto-generate)",INDIRECT("'"&amp;$A27&amp;"'!$A$12:$Z$12"),0),0)),"ER"))</f>
        <v>?</v>
      </c>
      <c r="Z27" s="86" t="str">
        <f aca="true">IF($H27=0,"NA",IF($A27=INDIRECT("'"&amp;$A27&amp;"'!$B$1"),IF(VLOOKUP(Z$1,INDIRECT("'"&amp;$A27&amp;"'!$A$12:$Z$41"),MATCH("Points (Auto-generate)",INDIRECT("'"&amp;$A27&amp;"'!$A$12:$Z$12"),0),0)="","?",VLOOKUP(Z$1,INDIRECT("'"&amp;$A27&amp;"'!$A$12:$Z$41"),MATCH("Points (Auto-generate)",INDIRECT("'"&amp;$A27&amp;"'!$A$12:$Z$12"),0),0)),"ER"))</f>
        <v>?</v>
      </c>
      <c r="AA27" s="86" t="str">
        <f aca="true">IF($H27=0,"NA",IF($A27=INDIRECT("'"&amp;$A27&amp;"'!$B$1"),IF(VLOOKUP(AA$1,INDIRECT("'"&amp;$A27&amp;"'!$A$12:$Z$41"),MATCH("Points (Auto-generate)",INDIRECT("'"&amp;$A27&amp;"'!$A$12:$Z$12"),0),0)="","?",VLOOKUP(AA$1,INDIRECT("'"&amp;$A27&amp;"'!$A$12:$Z$41"),MATCH("Points (Auto-generate)",INDIRECT("'"&amp;$A27&amp;"'!$A$12:$Z$12"),0),0)),"ER"))</f>
        <v>?</v>
      </c>
      <c r="AB27" s="86" t="str">
        <f aca="true">IF($H27=0,"NA",IF($A27=INDIRECT("'"&amp;$A27&amp;"'!$B$1"),IF(VLOOKUP(AB$1,INDIRECT("'"&amp;$A27&amp;"'!$A$12:$Z$41"),MATCH("Points (Auto-generate)",INDIRECT("'"&amp;$A27&amp;"'!$A$12:$Z$12"),0),0)="","?",VLOOKUP(AB$1,INDIRECT("'"&amp;$A27&amp;"'!$A$12:$Z$41"),MATCH("Points (Auto-generate)",INDIRECT("'"&amp;$A27&amp;"'!$A$12:$Z$12"),0),0)),"ER"))</f>
        <v>?</v>
      </c>
      <c r="AC27" s="86" t="str">
        <f aca="true">IF($H27=0,"NA",IF($A27=INDIRECT("'"&amp;$A27&amp;"'!$B$1"),IF(VLOOKUP(AC$1,INDIRECT("'"&amp;$A27&amp;"'!$A$12:$Z$41"),MATCH("Points (Auto-generate)",INDIRECT("'"&amp;$A27&amp;"'!$A$12:$Z$12"),0),0)="","?",VLOOKUP(AC$1,INDIRECT("'"&amp;$A27&amp;"'!$A$12:$Z$41"),MATCH("Points (Auto-generate)",INDIRECT("'"&amp;$A27&amp;"'!$A$12:$Z$12"),0),0)),"ER"))</f>
        <v>?</v>
      </c>
      <c r="AD27" s="86" t="str">
        <f aca="true">IF($H27=0,"NA",IF($A27=INDIRECT("'"&amp;$A27&amp;"'!$B$1"),IF(VLOOKUP(AD$1,INDIRECT("'"&amp;$A27&amp;"'!$A$12:$Z$41"),MATCH("Points (Auto-generate)",INDIRECT("'"&amp;$A27&amp;"'!$A$12:$Z$12"),0),0)="","?",VLOOKUP(AD$1,INDIRECT("'"&amp;$A27&amp;"'!$A$12:$Z$41"),MATCH("Points (Auto-generate)",INDIRECT("'"&amp;$A27&amp;"'!$A$12:$Z$12"),0),0)),"ER"))</f>
        <v>?</v>
      </c>
      <c r="AE27" s="86" t="str">
        <f aca="true">IF($H27=0,"NA",IF($A27=INDIRECT("'"&amp;$A27&amp;"'!$B$1"),IF(VLOOKUP(AE$1,INDIRECT("'"&amp;$A27&amp;"'!$A$12:$Z$41"),MATCH("Points (Auto-generate)",INDIRECT("'"&amp;$A27&amp;"'!$A$12:$Z$12"),0),0)="","?",VLOOKUP(AE$1,INDIRECT("'"&amp;$A27&amp;"'!$A$12:$Z$41"),MATCH("Points (Auto-generate)",INDIRECT("'"&amp;$A27&amp;"'!$A$12:$Z$12"),0),0)),"ER"))</f>
        <v>?</v>
      </c>
      <c r="AF27" s="86" t="str">
        <f aca="true">IF($H27=0,"NA",IF($A27=INDIRECT("'"&amp;$A27&amp;"'!$B$1"),IF(VLOOKUP(AF$1,INDIRECT("'"&amp;$A27&amp;"'!$A$12:$Z$41"),MATCH("Points (Auto-generate)",INDIRECT("'"&amp;$A27&amp;"'!$A$12:$Z$12"),0),0)="","?",VLOOKUP(AF$1,INDIRECT("'"&amp;$A27&amp;"'!$A$12:$Z$41"),MATCH("Points (Auto-generate)",INDIRECT("'"&amp;$A27&amp;"'!$A$12:$Z$12"),0),0)),"ER"))</f>
        <v>?</v>
      </c>
      <c r="AG27" s="86" t="str">
        <f aca="true">IF($H27=0,"NA",IF($A27=INDIRECT("'"&amp;$A27&amp;"'!$B$1"),IF(VLOOKUP(AG$1,INDIRECT("'"&amp;$A27&amp;"'!$A$12:$Z$41"),MATCH("Points (Auto-generate)",INDIRECT("'"&amp;$A27&amp;"'!$A$12:$Z$12"),0),0)="","?",VLOOKUP(AG$1,INDIRECT("'"&amp;$A27&amp;"'!$A$12:$Z$41"),MATCH("Points (Auto-generate)",INDIRECT("'"&amp;$A27&amp;"'!$A$12:$Z$12"),0),0)),"ER"))</f>
        <v>?</v>
      </c>
      <c r="AH27" s="86" t="str">
        <f aca="true">IF($H27=0,"NA",IF($A27=INDIRECT("'"&amp;$A27&amp;"'!$B$1"),IF(VLOOKUP(AH$1,INDIRECT("'"&amp;$A27&amp;"'!$A$12:$Z$41"),MATCH("Points (Auto-generate)",INDIRECT("'"&amp;$A27&amp;"'!$A$12:$Z$12"),0),0)="","?",VLOOKUP(AH$1,INDIRECT("'"&amp;$A27&amp;"'!$A$12:$Z$41"),MATCH("Points (Auto-generate)",INDIRECT("'"&amp;$A27&amp;"'!$A$12:$Z$12"),0),0)),"ER"))</f>
        <v>?</v>
      </c>
      <c r="AI27" s="86" t="str">
        <f aca="true">IF($H27=0,"NA",IF($A27=INDIRECT("'"&amp;$A27&amp;"'!$B$1"),IF(VLOOKUP(AI$1,INDIRECT("'"&amp;$A27&amp;"'!$A$12:$Z$41"),MATCH("Points (Auto-generate)",INDIRECT("'"&amp;$A27&amp;"'!$A$12:$Z$12"),0),0)="","?",VLOOKUP(AI$1,INDIRECT("'"&amp;$A27&amp;"'!$A$12:$Z$41"),MATCH("Points (Auto-generate)",INDIRECT("'"&amp;$A27&amp;"'!$A$12:$Z$12"),0),0)),"ER"))</f>
        <v>?</v>
      </c>
      <c r="AJ27" s="86" t="str">
        <f aca="true">IF($H27=0,"NA",IF($A27=INDIRECT("'"&amp;$A27&amp;"'!$B$1"),IF(VLOOKUP(AJ$1,INDIRECT("'"&amp;$A27&amp;"'!$A$12:$Z$41"),MATCH("Points (Auto-generate)",INDIRECT("'"&amp;$A27&amp;"'!$A$12:$Z$12"),0),0)="","?",VLOOKUP(AJ$1,INDIRECT("'"&amp;$A27&amp;"'!$A$12:$Z$41"),MATCH("Points (Auto-generate)",INDIRECT("'"&amp;$A27&amp;"'!$A$12:$Z$12"),0),0)),"ER"))</f>
        <v>?</v>
      </c>
      <c r="AK27" s="86" t="str">
        <f aca="true">IF($H27=0,"NA",IF($A27=INDIRECT("'"&amp;$A27&amp;"'!$B$1"),IF(VLOOKUP(AK$1,INDIRECT("'"&amp;$A27&amp;"'!$A$12:$Z$41"),MATCH("Points (Auto-generate)",INDIRECT("'"&amp;$A27&amp;"'!$A$12:$Z$12"),0),0)="","?",VLOOKUP(AK$1,INDIRECT("'"&amp;$A27&amp;"'!$A$12:$Z$41"),MATCH("Points (Auto-generate)",INDIRECT("'"&amp;$A27&amp;"'!$A$12:$Z$12"),0),0)),"ER"))</f>
        <v>?</v>
      </c>
    </row>
    <row r="28" customFormat="false" ht="14.25" hidden="false" customHeight="false" outlineLevel="0" collapsed="false">
      <c r="A28" s="82" t="s">
        <v>132</v>
      </c>
      <c r="B28" s="83" t="str">
        <f aca="false">IF(ISBLANK($A28),"NO_CODE",VLOOKUP($A28,'UPD Questions_290926 '!$E$1:$N$300,MATCH(B$1,'UPD Questions_290926 '!$E$1:$N$1,0),0)&amp;"")</f>
        <v>Planning </v>
      </c>
      <c r="C28" s="83" t="str">
        <f aca="false">IF(ISBLANK($A28),"NO_CODE",VLOOKUP($A28,'UPD Questions_290926 '!$E$1:$N$300,MATCH(C$1,'UPD Questions_290926 '!$E$1:$N$1,0),0)&amp;"")</f>
        <v>Municipal/City Plan objectives and contents</v>
      </c>
      <c r="D28" s="83" t="str">
        <f aca="false">IF(ISBLANK($A28),"NO_CODE",VLOOKUP($A28,'UPD Questions_290926 '!$E$1:$N$300,MATCH(D$1,'UPD Questions_290926 '!$E$1:$N$1,0),0)&amp;"")</f>
        <v>Statutory requirements for plan content</v>
      </c>
      <c r="E28" s="83" t="str">
        <f aca="false">IF(ISBLANK($A28),"NO_CODE",VLOOKUP($A28,'UPD Questions_290926 '!$E$1:$N$300,MATCH(E$1,'UPD Questions_290926 '!$E$1:$N$1,0),0)&amp;"")</f>
        <v>SQ</v>
      </c>
      <c r="F28" s="83" t="str">
        <f aca="false">IF(ISBLANK($A28),"NO_CODE",VLOOKUP($A28,'UPD Questions_290926 '!$E$1:$N$300,MATCH(F$1,'UPD Questions_290926 '!$E$1:$N$1,0),0)&amp;"")</f>
        <v>c) Comprehensive mobility</v>
      </c>
      <c r="G28" s="83" t="str">
        <f aca="false">IF(ISBLANK($A28),"NO_CODE",VLOOKUP($A28,'UPD Questions_290926 '!$E$1:$N$300,MATCH(G$1,'UPD Questions_290926 '!$E$1:$N$1,0),0)&amp;"")</f>
        <v>Law/Policy</v>
      </c>
      <c r="H28" s="85" t="n">
        <f aca="false">IF(ISBLANK($A28),"NO_CODE",VLOOKUP($A28,'UPD Questions_290926 '!$E$1:$N$300,MATCH(H$1,'UPD Questions_290926 '!$E$1:$N$1,0),0))</f>
        <v>1.67</v>
      </c>
      <c r="I28" s="86" t="str">
        <f aca="true">IF($H28=0,"NA",IF($A28=INDIRECT("'"&amp;$A28&amp;"'!$B$1"),IF(VLOOKUP(I$1,INDIRECT("'"&amp;$A28&amp;"'!$A$12:$Z$41"),MATCH("Points (Auto-generate)",INDIRECT("'"&amp;$A28&amp;"'!$A$12:$Z$12"),0),0)="","?",VLOOKUP(I$1,INDIRECT("'"&amp;$A28&amp;"'!$A$12:$Z$41"),MATCH("Points (Auto-generate)",INDIRECT("'"&amp;$A28&amp;"'!$A$12:$Z$12"),0),0)),"ER"))</f>
        <v>?</v>
      </c>
      <c r="J28" s="86" t="n">
        <f aca="true">IF($H28=0,"NA",IF($A28=INDIRECT("'"&amp;$A28&amp;"'!$B$1"),IF(VLOOKUP(J$1,INDIRECT("'"&amp;$A28&amp;"'!$A$12:$Z$41"),MATCH("Points (Auto-generate)",INDIRECT("'"&amp;$A28&amp;"'!$A$12:$Z$12"),0),0)="","?",VLOOKUP(J$1,INDIRECT("'"&amp;$A28&amp;"'!$A$12:$Z$41"),MATCH("Points (Auto-generate)",INDIRECT("'"&amp;$A28&amp;"'!$A$12:$Z$12"),0),0)),"ER"))</f>
        <v>1.67</v>
      </c>
      <c r="K28" s="86" t="str">
        <f aca="true">IF($H28=0,"NA",IF($A28=INDIRECT("'"&amp;$A28&amp;"'!$B$1"),IF(VLOOKUP(K$1,INDIRECT("'"&amp;$A28&amp;"'!$A$12:$Z$41"),MATCH("Points (Auto-generate)",INDIRECT("'"&amp;$A28&amp;"'!$A$12:$Z$12"),0),0)="","?",VLOOKUP(K$1,INDIRECT("'"&amp;$A28&amp;"'!$A$12:$Z$41"),MATCH("Points (Auto-generate)",INDIRECT("'"&amp;$A28&amp;"'!$A$12:$Z$12"),0),0)),"ER"))</f>
        <v>?</v>
      </c>
      <c r="L28" s="86" t="str">
        <f aca="true">IF($H28=0,"NA",IF($A28=INDIRECT("'"&amp;$A28&amp;"'!$B$1"),IF(VLOOKUP(L$1,INDIRECT("'"&amp;$A28&amp;"'!$A$12:$Z$41"),MATCH("Points (Auto-generate)",INDIRECT("'"&amp;$A28&amp;"'!$A$12:$Z$12"),0),0)="","?",VLOOKUP(L$1,INDIRECT("'"&amp;$A28&amp;"'!$A$12:$Z$41"),MATCH("Points (Auto-generate)",INDIRECT("'"&amp;$A28&amp;"'!$A$12:$Z$12"),0),0)),"ER"))</f>
        <v>?</v>
      </c>
      <c r="M28" s="86" t="str">
        <f aca="true">IF($H28=0,"NA",IF($A28=INDIRECT("'"&amp;$A28&amp;"'!$B$1"),IF(VLOOKUP(M$1,INDIRECT("'"&amp;$A28&amp;"'!$A$12:$Z$41"),MATCH("Points (Auto-generate)",INDIRECT("'"&amp;$A28&amp;"'!$A$12:$Z$12"),0),0)="","?",VLOOKUP(M$1,INDIRECT("'"&amp;$A28&amp;"'!$A$12:$Z$41"),MATCH("Points (Auto-generate)",INDIRECT("'"&amp;$A28&amp;"'!$A$12:$Z$12"),0),0)),"ER"))</f>
        <v>?</v>
      </c>
      <c r="N28" s="86" t="str">
        <f aca="true">IF($H28=0,"NA",IF($A28=INDIRECT("'"&amp;$A28&amp;"'!$B$1"),IF(VLOOKUP(N$1,INDIRECT("'"&amp;$A28&amp;"'!$A$12:$Z$41"),MATCH("Points (Auto-generate)",INDIRECT("'"&amp;$A28&amp;"'!$A$12:$Z$12"),0),0)="","?",VLOOKUP(N$1,INDIRECT("'"&amp;$A28&amp;"'!$A$12:$Z$41"),MATCH("Points (Auto-generate)",INDIRECT("'"&amp;$A28&amp;"'!$A$12:$Z$12"),0),0)),"ER"))</f>
        <v>?</v>
      </c>
      <c r="O28" s="86" t="str">
        <f aca="true">IF($H28=0,"NA",IF($A28=INDIRECT("'"&amp;$A28&amp;"'!$B$1"),IF(VLOOKUP(O$1,INDIRECT("'"&amp;$A28&amp;"'!$A$12:$Z$41"),MATCH("Points (Auto-generate)",INDIRECT("'"&amp;$A28&amp;"'!$A$12:$Z$12"),0),0)="","?",VLOOKUP(O$1,INDIRECT("'"&amp;$A28&amp;"'!$A$12:$Z$41"),MATCH("Points (Auto-generate)",INDIRECT("'"&amp;$A28&amp;"'!$A$12:$Z$12"),0),0)),"ER"))</f>
        <v>?</v>
      </c>
      <c r="P28" s="86" t="str">
        <f aca="true">IF($H28=0,"NA",IF($A28=INDIRECT("'"&amp;$A28&amp;"'!$B$1"),IF(VLOOKUP(P$1,INDIRECT("'"&amp;$A28&amp;"'!$A$12:$Z$41"),MATCH("Points (Auto-generate)",INDIRECT("'"&amp;$A28&amp;"'!$A$12:$Z$12"),0),0)="","?",VLOOKUP(P$1,INDIRECT("'"&amp;$A28&amp;"'!$A$12:$Z$41"),MATCH("Points (Auto-generate)",INDIRECT("'"&amp;$A28&amp;"'!$A$12:$Z$12"),0),0)),"ER"))</f>
        <v>?</v>
      </c>
      <c r="Q28" s="86" t="str">
        <f aca="true">IF($H28=0,"NA",IF($A28=INDIRECT("'"&amp;$A28&amp;"'!$B$1"),IF(VLOOKUP(Q$1,INDIRECT("'"&amp;$A28&amp;"'!$A$12:$Z$41"),MATCH("Points (Auto-generate)",INDIRECT("'"&amp;$A28&amp;"'!$A$12:$Z$12"),0),0)="","?",VLOOKUP(Q$1,INDIRECT("'"&amp;$A28&amp;"'!$A$12:$Z$41"),MATCH("Points (Auto-generate)",INDIRECT("'"&amp;$A28&amp;"'!$A$12:$Z$12"),0),0)),"ER"))</f>
        <v>?</v>
      </c>
      <c r="R28" s="86" t="str">
        <f aca="true">IF($H28=0,"NA",IF($A28=INDIRECT("'"&amp;$A28&amp;"'!$B$1"),IF(VLOOKUP(R$1,INDIRECT("'"&amp;$A28&amp;"'!$A$12:$Z$41"),MATCH("Points (Auto-generate)",INDIRECT("'"&amp;$A28&amp;"'!$A$12:$Z$12"),0),0)="","?",VLOOKUP(R$1,INDIRECT("'"&amp;$A28&amp;"'!$A$12:$Z$41"),MATCH("Points (Auto-generate)",INDIRECT("'"&amp;$A28&amp;"'!$A$12:$Z$12"),0),0)),"ER"))</f>
        <v>?</v>
      </c>
      <c r="S28" s="86" t="str">
        <f aca="true">IF($H28=0,"NA",IF($A28=INDIRECT("'"&amp;$A28&amp;"'!$B$1"),IF(VLOOKUP(S$1,INDIRECT("'"&amp;$A28&amp;"'!$A$12:$Z$41"),MATCH("Points (Auto-generate)",INDIRECT("'"&amp;$A28&amp;"'!$A$12:$Z$12"),0),0)="","?",VLOOKUP(S$1,INDIRECT("'"&amp;$A28&amp;"'!$A$12:$Z$41"),MATCH("Points (Auto-generate)",INDIRECT("'"&amp;$A28&amp;"'!$A$12:$Z$12"),0),0)),"ER"))</f>
        <v>?</v>
      </c>
      <c r="T28" s="86" t="str">
        <f aca="true">IF($H28=0,"NA",IF($A28=INDIRECT("'"&amp;$A28&amp;"'!$B$1"),IF(VLOOKUP(T$1,INDIRECT("'"&amp;$A28&amp;"'!$A$12:$Z$41"),MATCH("Points (Auto-generate)",INDIRECT("'"&amp;$A28&amp;"'!$A$12:$Z$12"),0),0)="","?",VLOOKUP(T$1,INDIRECT("'"&amp;$A28&amp;"'!$A$12:$Z$41"),MATCH("Points (Auto-generate)",INDIRECT("'"&amp;$A28&amp;"'!$A$12:$Z$12"),0),0)),"ER"))</f>
        <v>?</v>
      </c>
      <c r="U28" s="86" t="str">
        <f aca="true">IF($H28=0,"NA",IF($A28=INDIRECT("'"&amp;$A28&amp;"'!$B$1"),IF(VLOOKUP(U$1,INDIRECT("'"&amp;$A28&amp;"'!$A$12:$Z$41"),MATCH("Points (Auto-generate)",INDIRECT("'"&amp;$A28&amp;"'!$A$12:$Z$12"),0),0)="","?",VLOOKUP(U$1,INDIRECT("'"&amp;$A28&amp;"'!$A$12:$Z$41"),MATCH("Points (Auto-generate)",INDIRECT("'"&amp;$A28&amp;"'!$A$12:$Z$12"),0),0)),"ER"))</f>
        <v>?</v>
      </c>
      <c r="V28" s="86" t="str">
        <f aca="true">IF($H28=0,"NA",IF($A28=INDIRECT("'"&amp;$A28&amp;"'!$B$1"),IF(VLOOKUP(V$1,INDIRECT("'"&amp;$A28&amp;"'!$A$12:$Z$41"),MATCH("Points (Auto-generate)",INDIRECT("'"&amp;$A28&amp;"'!$A$12:$Z$12"),0),0)="","?",VLOOKUP(V$1,INDIRECT("'"&amp;$A28&amp;"'!$A$12:$Z$41"),MATCH("Points (Auto-generate)",INDIRECT("'"&amp;$A28&amp;"'!$A$12:$Z$12"),0),0)),"ER"))</f>
        <v>?</v>
      </c>
      <c r="W28" s="86" t="str">
        <f aca="true">IF($H28=0,"NA",IF($A28=INDIRECT("'"&amp;$A28&amp;"'!$B$1"),IF(VLOOKUP(W$1,INDIRECT("'"&amp;$A28&amp;"'!$A$12:$Z$41"),MATCH("Points (Auto-generate)",INDIRECT("'"&amp;$A28&amp;"'!$A$12:$Z$12"),0),0)="","?",VLOOKUP(W$1,INDIRECT("'"&amp;$A28&amp;"'!$A$12:$Z$41"),MATCH("Points (Auto-generate)",INDIRECT("'"&amp;$A28&amp;"'!$A$12:$Z$12"),0),0)),"ER"))</f>
        <v>?</v>
      </c>
      <c r="X28" s="86" t="str">
        <f aca="true">IF($H28=0,"NA",IF($A28=INDIRECT("'"&amp;$A28&amp;"'!$B$1"),IF(VLOOKUP(X$1,INDIRECT("'"&amp;$A28&amp;"'!$A$12:$Z$41"),MATCH("Points (Auto-generate)",INDIRECT("'"&amp;$A28&amp;"'!$A$12:$Z$12"),0),0)="","?",VLOOKUP(X$1,INDIRECT("'"&amp;$A28&amp;"'!$A$12:$Z$41"),MATCH("Points (Auto-generate)",INDIRECT("'"&amp;$A28&amp;"'!$A$12:$Z$12"),0),0)),"ER"))</f>
        <v>?</v>
      </c>
      <c r="Y28" s="86" t="str">
        <f aca="true">IF($H28=0,"NA",IF($A28=INDIRECT("'"&amp;$A28&amp;"'!$B$1"),IF(VLOOKUP(Y$1,INDIRECT("'"&amp;$A28&amp;"'!$A$12:$Z$41"),MATCH("Points (Auto-generate)",INDIRECT("'"&amp;$A28&amp;"'!$A$12:$Z$12"),0),0)="","?",VLOOKUP(Y$1,INDIRECT("'"&amp;$A28&amp;"'!$A$12:$Z$41"),MATCH("Points (Auto-generate)",INDIRECT("'"&amp;$A28&amp;"'!$A$12:$Z$12"),0),0)),"ER"))</f>
        <v>?</v>
      </c>
      <c r="Z28" s="86" t="str">
        <f aca="true">IF($H28=0,"NA",IF($A28=INDIRECT("'"&amp;$A28&amp;"'!$B$1"),IF(VLOOKUP(Z$1,INDIRECT("'"&amp;$A28&amp;"'!$A$12:$Z$41"),MATCH("Points (Auto-generate)",INDIRECT("'"&amp;$A28&amp;"'!$A$12:$Z$12"),0),0)="","?",VLOOKUP(Z$1,INDIRECT("'"&amp;$A28&amp;"'!$A$12:$Z$41"),MATCH("Points (Auto-generate)",INDIRECT("'"&amp;$A28&amp;"'!$A$12:$Z$12"),0),0)),"ER"))</f>
        <v>?</v>
      </c>
      <c r="AA28" s="86" t="str">
        <f aca="true">IF($H28=0,"NA",IF($A28=INDIRECT("'"&amp;$A28&amp;"'!$B$1"),IF(VLOOKUP(AA$1,INDIRECT("'"&amp;$A28&amp;"'!$A$12:$Z$41"),MATCH("Points (Auto-generate)",INDIRECT("'"&amp;$A28&amp;"'!$A$12:$Z$12"),0),0)="","?",VLOOKUP(AA$1,INDIRECT("'"&amp;$A28&amp;"'!$A$12:$Z$41"),MATCH("Points (Auto-generate)",INDIRECT("'"&amp;$A28&amp;"'!$A$12:$Z$12"),0),0)),"ER"))</f>
        <v>?</v>
      </c>
      <c r="AB28" s="86" t="str">
        <f aca="true">IF($H28=0,"NA",IF($A28=INDIRECT("'"&amp;$A28&amp;"'!$B$1"),IF(VLOOKUP(AB$1,INDIRECT("'"&amp;$A28&amp;"'!$A$12:$Z$41"),MATCH("Points (Auto-generate)",INDIRECT("'"&amp;$A28&amp;"'!$A$12:$Z$12"),0),0)="","?",VLOOKUP(AB$1,INDIRECT("'"&amp;$A28&amp;"'!$A$12:$Z$41"),MATCH("Points (Auto-generate)",INDIRECT("'"&amp;$A28&amp;"'!$A$12:$Z$12"),0),0)),"ER"))</f>
        <v>?</v>
      </c>
      <c r="AC28" s="86" t="str">
        <f aca="true">IF($H28=0,"NA",IF($A28=INDIRECT("'"&amp;$A28&amp;"'!$B$1"),IF(VLOOKUP(AC$1,INDIRECT("'"&amp;$A28&amp;"'!$A$12:$Z$41"),MATCH("Points (Auto-generate)",INDIRECT("'"&amp;$A28&amp;"'!$A$12:$Z$12"),0),0)="","?",VLOOKUP(AC$1,INDIRECT("'"&amp;$A28&amp;"'!$A$12:$Z$41"),MATCH("Points (Auto-generate)",INDIRECT("'"&amp;$A28&amp;"'!$A$12:$Z$12"),0),0)),"ER"))</f>
        <v>?</v>
      </c>
      <c r="AD28" s="86" t="str">
        <f aca="true">IF($H28=0,"NA",IF($A28=INDIRECT("'"&amp;$A28&amp;"'!$B$1"),IF(VLOOKUP(AD$1,INDIRECT("'"&amp;$A28&amp;"'!$A$12:$Z$41"),MATCH("Points (Auto-generate)",INDIRECT("'"&amp;$A28&amp;"'!$A$12:$Z$12"),0),0)="","?",VLOOKUP(AD$1,INDIRECT("'"&amp;$A28&amp;"'!$A$12:$Z$41"),MATCH("Points (Auto-generate)",INDIRECT("'"&amp;$A28&amp;"'!$A$12:$Z$12"),0),0)),"ER"))</f>
        <v>?</v>
      </c>
      <c r="AE28" s="86" t="str">
        <f aca="true">IF($H28=0,"NA",IF($A28=INDIRECT("'"&amp;$A28&amp;"'!$B$1"),IF(VLOOKUP(AE$1,INDIRECT("'"&amp;$A28&amp;"'!$A$12:$Z$41"),MATCH("Points (Auto-generate)",INDIRECT("'"&amp;$A28&amp;"'!$A$12:$Z$12"),0),0)="","?",VLOOKUP(AE$1,INDIRECT("'"&amp;$A28&amp;"'!$A$12:$Z$41"),MATCH("Points (Auto-generate)",INDIRECT("'"&amp;$A28&amp;"'!$A$12:$Z$12"),0),0)),"ER"))</f>
        <v>?</v>
      </c>
      <c r="AF28" s="86" t="str">
        <f aca="true">IF($H28=0,"NA",IF($A28=INDIRECT("'"&amp;$A28&amp;"'!$B$1"),IF(VLOOKUP(AF$1,INDIRECT("'"&amp;$A28&amp;"'!$A$12:$Z$41"),MATCH("Points (Auto-generate)",INDIRECT("'"&amp;$A28&amp;"'!$A$12:$Z$12"),0),0)="","?",VLOOKUP(AF$1,INDIRECT("'"&amp;$A28&amp;"'!$A$12:$Z$41"),MATCH("Points (Auto-generate)",INDIRECT("'"&amp;$A28&amp;"'!$A$12:$Z$12"),0),0)),"ER"))</f>
        <v>?</v>
      </c>
      <c r="AG28" s="86" t="str">
        <f aca="true">IF($H28=0,"NA",IF($A28=INDIRECT("'"&amp;$A28&amp;"'!$B$1"),IF(VLOOKUP(AG$1,INDIRECT("'"&amp;$A28&amp;"'!$A$12:$Z$41"),MATCH("Points (Auto-generate)",INDIRECT("'"&amp;$A28&amp;"'!$A$12:$Z$12"),0),0)="","?",VLOOKUP(AG$1,INDIRECT("'"&amp;$A28&amp;"'!$A$12:$Z$41"),MATCH("Points (Auto-generate)",INDIRECT("'"&amp;$A28&amp;"'!$A$12:$Z$12"),0),0)),"ER"))</f>
        <v>?</v>
      </c>
      <c r="AH28" s="86" t="str">
        <f aca="true">IF($H28=0,"NA",IF($A28=INDIRECT("'"&amp;$A28&amp;"'!$B$1"),IF(VLOOKUP(AH$1,INDIRECT("'"&amp;$A28&amp;"'!$A$12:$Z$41"),MATCH("Points (Auto-generate)",INDIRECT("'"&amp;$A28&amp;"'!$A$12:$Z$12"),0),0)="","?",VLOOKUP(AH$1,INDIRECT("'"&amp;$A28&amp;"'!$A$12:$Z$41"),MATCH("Points (Auto-generate)",INDIRECT("'"&amp;$A28&amp;"'!$A$12:$Z$12"),0),0)),"ER"))</f>
        <v>?</v>
      </c>
      <c r="AI28" s="86" t="str">
        <f aca="true">IF($H28=0,"NA",IF($A28=INDIRECT("'"&amp;$A28&amp;"'!$B$1"),IF(VLOOKUP(AI$1,INDIRECT("'"&amp;$A28&amp;"'!$A$12:$Z$41"),MATCH("Points (Auto-generate)",INDIRECT("'"&amp;$A28&amp;"'!$A$12:$Z$12"),0),0)="","?",VLOOKUP(AI$1,INDIRECT("'"&amp;$A28&amp;"'!$A$12:$Z$41"),MATCH("Points (Auto-generate)",INDIRECT("'"&amp;$A28&amp;"'!$A$12:$Z$12"),0),0)),"ER"))</f>
        <v>?</v>
      </c>
      <c r="AJ28" s="86" t="str">
        <f aca="true">IF($H28=0,"NA",IF($A28=INDIRECT("'"&amp;$A28&amp;"'!$B$1"),IF(VLOOKUP(AJ$1,INDIRECT("'"&amp;$A28&amp;"'!$A$12:$Z$41"),MATCH("Points (Auto-generate)",INDIRECT("'"&amp;$A28&amp;"'!$A$12:$Z$12"),0),0)="","?",VLOOKUP(AJ$1,INDIRECT("'"&amp;$A28&amp;"'!$A$12:$Z$41"),MATCH("Points (Auto-generate)",INDIRECT("'"&amp;$A28&amp;"'!$A$12:$Z$12"),0),0)),"ER"))</f>
        <v>?</v>
      </c>
      <c r="AK28" s="86" t="str">
        <f aca="true">IF($H28=0,"NA",IF($A28=INDIRECT("'"&amp;$A28&amp;"'!$B$1"),IF(VLOOKUP(AK$1,INDIRECT("'"&amp;$A28&amp;"'!$A$12:$Z$41"),MATCH("Points (Auto-generate)",INDIRECT("'"&amp;$A28&amp;"'!$A$12:$Z$12"),0),0)="","?",VLOOKUP(AK$1,INDIRECT("'"&amp;$A28&amp;"'!$A$12:$Z$41"),MATCH("Points (Auto-generate)",INDIRECT("'"&amp;$A28&amp;"'!$A$12:$Z$12"),0),0)),"ER"))</f>
        <v>?</v>
      </c>
    </row>
    <row r="29" customFormat="false" ht="14.25" hidden="false" customHeight="false" outlineLevel="0" collapsed="false">
      <c r="A29" s="82" t="s">
        <v>137</v>
      </c>
      <c r="B29" s="83" t="str">
        <f aca="false">IF(ISBLANK($A29),"NO_CODE",VLOOKUP($A29,'UPD Questions_290926 '!$E$1:$N$300,MATCH(B$1,'UPD Questions_290926 '!$E$1:$N$1,0),0)&amp;"")</f>
        <v>Planning </v>
      </c>
      <c r="C29" s="83" t="str">
        <f aca="false">IF(ISBLANK($A29),"NO_CODE",VLOOKUP($A29,'UPD Questions_290926 '!$E$1:$N$300,MATCH(C$1,'UPD Questions_290926 '!$E$1:$N$1,0),0)&amp;"")</f>
        <v>Municipal/City Plan objectives and contents</v>
      </c>
      <c r="D29" s="83" t="str">
        <f aca="false">IF(ISBLANK($A29),"NO_CODE",VLOOKUP($A29,'UPD Questions_290926 '!$E$1:$N$300,MATCH(D$1,'UPD Questions_290926 '!$E$1:$N$1,0),0)&amp;"")</f>
        <v>Statutory requirements for plan content</v>
      </c>
      <c r="E29" s="83" t="str">
        <f aca="false">IF(ISBLANK($A29),"NO_CODE",VLOOKUP($A29,'UPD Questions_290926 '!$E$1:$N$300,MATCH(E$1,'UPD Questions_290926 '!$E$1:$N$1,0),0)&amp;"")</f>
        <v>SQ</v>
      </c>
      <c r="F29" s="83" t="str">
        <f aca="false">IF(ISBLANK($A29),"NO_CODE",VLOOKUP($A29,'UPD Questions_290926 '!$E$1:$N$300,MATCH(F$1,'UPD Questions_290926 '!$E$1:$N$1,0),0)&amp;"")</f>
        <v>d) Sustainability/Climate/Environmental conservation</v>
      </c>
      <c r="G29" s="83" t="str">
        <f aca="false">IF(ISBLANK($A29),"NO_CODE",VLOOKUP($A29,'UPD Questions_290926 '!$E$1:$N$300,MATCH(G$1,'UPD Questions_290926 '!$E$1:$N$1,0),0)&amp;"")</f>
        <v>Law/Policy</v>
      </c>
      <c r="H29" s="85" t="n">
        <f aca="false">IF(ISBLANK($A29),"NO_CODE",VLOOKUP($A29,'UPD Questions_290926 '!$E$1:$N$300,MATCH(H$1,'UPD Questions_290926 '!$E$1:$N$1,0),0))</f>
        <v>1.67</v>
      </c>
      <c r="I29" s="86" t="str">
        <f aca="true">IF($H29=0,"NA",IF($A29=INDIRECT("'"&amp;$A29&amp;"'!$B$1"),IF(VLOOKUP(I$1,INDIRECT("'"&amp;$A29&amp;"'!$A$12:$Z$41"),MATCH("Points (Auto-generate)",INDIRECT("'"&amp;$A29&amp;"'!$A$12:$Z$12"),0),0)="","?",VLOOKUP(I$1,INDIRECT("'"&amp;$A29&amp;"'!$A$12:$Z$41"),MATCH("Points (Auto-generate)",INDIRECT("'"&amp;$A29&amp;"'!$A$12:$Z$12"),0),0)),"ER"))</f>
        <v>?</v>
      </c>
      <c r="J29" s="86" t="n">
        <f aca="true">IF($H29=0,"NA",IF($A29=INDIRECT("'"&amp;$A29&amp;"'!$B$1"),IF(VLOOKUP(J$1,INDIRECT("'"&amp;$A29&amp;"'!$A$12:$Z$41"),MATCH("Points (Auto-generate)",INDIRECT("'"&amp;$A29&amp;"'!$A$12:$Z$12"),0),0)="","?",VLOOKUP(J$1,INDIRECT("'"&amp;$A29&amp;"'!$A$12:$Z$41"),MATCH("Points (Auto-generate)",INDIRECT("'"&amp;$A29&amp;"'!$A$12:$Z$12"),0),0)),"ER"))</f>
        <v>1.67</v>
      </c>
      <c r="K29" s="86" t="str">
        <f aca="true">IF($H29=0,"NA",IF($A29=INDIRECT("'"&amp;$A29&amp;"'!$B$1"),IF(VLOOKUP(K$1,INDIRECT("'"&amp;$A29&amp;"'!$A$12:$Z$41"),MATCH("Points (Auto-generate)",INDIRECT("'"&amp;$A29&amp;"'!$A$12:$Z$12"),0),0)="","?",VLOOKUP(K$1,INDIRECT("'"&amp;$A29&amp;"'!$A$12:$Z$41"),MATCH("Points (Auto-generate)",INDIRECT("'"&amp;$A29&amp;"'!$A$12:$Z$12"),0),0)),"ER"))</f>
        <v>?</v>
      </c>
      <c r="L29" s="86" t="str">
        <f aca="true">IF($H29=0,"NA",IF($A29=INDIRECT("'"&amp;$A29&amp;"'!$B$1"),IF(VLOOKUP(L$1,INDIRECT("'"&amp;$A29&amp;"'!$A$12:$Z$41"),MATCH("Points (Auto-generate)",INDIRECT("'"&amp;$A29&amp;"'!$A$12:$Z$12"),0),0)="","?",VLOOKUP(L$1,INDIRECT("'"&amp;$A29&amp;"'!$A$12:$Z$41"),MATCH("Points (Auto-generate)",INDIRECT("'"&amp;$A29&amp;"'!$A$12:$Z$12"),0),0)),"ER"))</f>
        <v>?</v>
      </c>
      <c r="M29" s="86" t="str">
        <f aca="true">IF($H29=0,"NA",IF($A29=INDIRECT("'"&amp;$A29&amp;"'!$B$1"),IF(VLOOKUP(M$1,INDIRECT("'"&amp;$A29&amp;"'!$A$12:$Z$41"),MATCH("Points (Auto-generate)",INDIRECT("'"&amp;$A29&amp;"'!$A$12:$Z$12"),0),0)="","?",VLOOKUP(M$1,INDIRECT("'"&amp;$A29&amp;"'!$A$12:$Z$41"),MATCH("Points (Auto-generate)",INDIRECT("'"&amp;$A29&amp;"'!$A$12:$Z$12"),0),0)),"ER"))</f>
        <v>?</v>
      </c>
      <c r="N29" s="86" t="str">
        <f aca="true">IF($H29=0,"NA",IF($A29=INDIRECT("'"&amp;$A29&amp;"'!$B$1"),IF(VLOOKUP(N$1,INDIRECT("'"&amp;$A29&amp;"'!$A$12:$Z$41"),MATCH("Points (Auto-generate)",INDIRECT("'"&amp;$A29&amp;"'!$A$12:$Z$12"),0),0)="","?",VLOOKUP(N$1,INDIRECT("'"&amp;$A29&amp;"'!$A$12:$Z$41"),MATCH("Points (Auto-generate)",INDIRECT("'"&amp;$A29&amp;"'!$A$12:$Z$12"),0),0)),"ER"))</f>
        <v>?</v>
      </c>
      <c r="O29" s="86" t="str">
        <f aca="true">IF($H29=0,"NA",IF($A29=INDIRECT("'"&amp;$A29&amp;"'!$B$1"),IF(VLOOKUP(O$1,INDIRECT("'"&amp;$A29&amp;"'!$A$12:$Z$41"),MATCH("Points (Auto-generate)",INDIRECT("'"&amp;$A29&amp;"'!$A$12:$Z$12"),0),0)="","?",VLOOKUP(O$1,INDIRECT("'"&amp;$A29&amp;"'!$A$12:$Z$41"),MATCH("Points (Auto-generate)",INDIRECT("'"&amp;$A29&amp;"'!$A$12:$Z$12"),0),0)),"ER"))</f>
        <v>?</v>
      </c>
      <c r="P29" s="86" t="str">
        <f aca="true">IF($H29=0,"NA",IF($A29=INDIRECT("'"&amp;$A29&amp;"'!$B$1"),IF(VLOOKUP(P$1,INDIRECT("'"&amp;$A29&amp;"'!$A$12:$Z$41"),MATCH("Points (Auto-generate)",INDIRECT("'"&amp;$A29&amp;"'!$A$12:$Z$12"),0),0)="","?",VLOOKUP(P$1,INDIRECT("'"&amp;$A29&amp;"'!$A$12:$Z$41"),MATCH("Points (Auto-generate)",INDIRECT("'"&amp;$A29&amp;"'!$A$12:$Z$12"),0),0)),"ER"))</f>
        <v>?</v>
      </c>
      <c r="Q29" s="86" t="str">
        <f aca="true">IF($H29=0,"NA",IF($A29=INDIRECT("'"&amp;$A29&amp;"'!$B$1"),IF(VLOOKUP(Q$1,INDIRECT("'"&amp;$A29&amp;"'!$A$12:$Z$41"),MATCH("Points (Auto-generate)",INDIRECT("'"&amp;$A29&amp;"'!$A$12:$Z$12"),0),0)="","?",VLOOKUP(Q$1,INDIRECT("'"&amp;$A29&amp;"'!$A$12:$Z$41"),MATCH("Points (Auto-generate)",INDIRECT("'"&amp;$A29&amp;"'!$A$12:$Z$12"),0),0)),"ER"))</f>
        <v>?</v>
      </c>
      <c r="R29" s="86" t="str">
        <f aca="true">IF($H29=0,"NA",IF($A29=INDIRECT("'"&amp;$A29&amp;"'!$B$1"),IF(VLOOKUP(R$1,INDIRECT("'"&amp;$A29&amp;"'!$A$12:$Z$41"),MATCH("Points (Auto-generate)",INDIRECT("'"&amp;$A29&amp;"'!$A$12:$Z$12"),0),0)="","?",VLOOKUP(R$1,INDIRECT("'"&amp;$A29&amp;"'!$A$12:$Z$41"),MATCH("Points (Auto-generate)",INDIRECT("'"&amp;$A29&amp;"'!$A$12:$Z$12"),0),0)),"ER"))</f>
        <v>?</v>
      </c>
      <c r="S29" s="86" t="str">
        <f aca="true">IF($H29=0,"NA",IF($A29=INDIRECT("'"&amp;$A29&amp;"'!$B$1"),IF(VLOOKUP(S$1,INDIRECT("'"&amp;$A29&amp;"'!$A$12:$Z$41"),MATCH("Points (Auto-generate)",INDIRECT("'"&amp;$A29&amp;"'!$A$12:$Z$12"),0),0)="","?",VLOOKUP(S$1,INDIRECT("'"&amp;$A29&amp;"'!$A$12:$Z$41"),MATCH("Points (Auto-generate)",INDIRECT("'"&amp;$A29&amp;"'!$A$12:$Z$12"),0),0)),"ER"))</f>
        <v>?</v>
      </c>
      <c r="T29" s="86" t="str">
        <f aca="true">IF($H29=0,"NA",IF($A29=INDIRECT("'"&amp;$A29&amp;"'!$B$1"),IF(VLOOKUP(T$1,INDIRECT("'"&amp;$A29&amp;"'!$A$12:$Z$41"),MATCH("Points (Auto-generate)",INDIRECT("'"&amp;$A29&amp;"'!$A$12:$Z$12"),0),0)="","?",VLOOKUP(T$1,INDIRECT("'"&amp;$A29&amp;"'!$A$12:$Z$41"),MATCH("Points (Auto-generate)",INDIRECT("'"&amp;$A29&amp;"'!$A$12:$Z$12"),0),0)),"ER"))</f>
        <v>?</v>
      </c>
      <c r="U29" s="86" t="str">
        <f aca="true">IF($H29=0,"NA",IF($A29=INDIRECT("'"&amp;$A29&amp;"'!$B$1"),IF(VLOOKUP(U$1,INDIRECT("'"&amp;$A29&amp;"'!$A$12:$Z$41"),MATCH("Points (Auto-generate)",INDIRECT("'"&amp;$A29&amp;"'!$A$12:$Z$12"),0),0)="","?",VLOOKUP(U$1,INDIRECT("'"&amp;$A29&amp;"'!$A$12:$Z$41"),MATCH("Points (Auto-generate)",INDIRECT("'"&amp;$A29&amp;"'!$A$12:$Z$12"),0),0)),"ER"))</f>
        <v>?</v>
      </c>
      <c r="V29" s="86" t="str">
        <f aca="true">IF($H29=0,"NA",IF($A29=INDIRECT("'"&amp;$A29&amp;"'!$B$1"),IF(VLOOKUP(V$1,INDIRECT("'"&amp;$A29&amp;"'!$A$12:$Z$41"),MATCH("Points (Auto-generate)",INDIRECT("'"&amp;$A29&amp;"'!$A$12:$Z$12"),0),0)="","?",VLOOKUP(V$1,INDIRECT("'"&amp;$A29&amp;"'!$A$12:$Z$41"),MATCH("Points (Auto-generate)",INDIRECT("'"&amp;$A29&amp;"'!$A$12:$Z$12"),0),0)),"ER"))</f>
        <v>?</v>
      </c>
      <c r="W29" s="86" t="str">
        <f aca="true">IF($H29=0,"NA",IF($A29=INDIRECT("'"&amp;$A29&amp;"'!$B$1"),IF(VLOOKUP(W$1,INDIRECT("'"&amp;$A29&amp;"'!$A$12:$Z$41"),MATCH("Points (Auto-generate)",INDIRECT("'"&amp;$A29&amp;"'!$A$12:$Z$12"),0),0)="","?",VLOOKUP(W$1,INDIRECT("'"&amp;$A29&amp;"'!$A$12:$Z$41"),MATCH("Points (Auto-generate)",INDIRECT("'"&amp;$A29&amp;"'!$A$12:$Z$12"),0),0)),"ER"))</f>
        <v>?</v>
      </c>
      <c r="X29" s="86" t="str">
        <f aca="true">IF($H29=0,"NA",IF($A29=INDIRECT("'"&amp;$A29&amp;"'!$B$1"),IF(VLOOKUP(X$1,INDIRECT("'"&amp;$A29&amp;"'!$A$12:$Z$41"),MATCH("Points (Auto-generate)",INDIRECT("'"&amp;$A29&amp;"'!$A$12:$Z$12"),0),0)="","?",VLOOKUP(X$1,INDIRECT("'"&amp;$A29&amp;"'!$A$12:$Z$41"),MATCH("Points (Auto-generate)",INDIRECT("'"&amp;$A29&amp;"'!$A$12:$Z$12"),0),0)),"ER"))</f>
        <v>?</v>
      </c>
      <c r="Y29" s="86" t="str">
        <f aca="true">IF($H29=0,"NA",IF($A29=INDIRECT("'"&amp;$A29&amp;"'!$B$1"),IF(VLOOKUP(Y$1,INDIRECT("'"&amp;$A29&amp;"'!$A$12:$Z$41"),MATCH("Points (Auto-generate)",INDIRECT("'"&amp;$A29&amp;"'!$A$12:$Z$12"),0),0)="","?",VLOOKUP(Y$1,INDIRECT("'"&amp;$A29&amp;"'!$A$12:$Z$41"),MATCH("Points (Auto-generate)",INDIRECT("'"&amp;$A29&amp;"'!$A$12:$Z$12"),0),0)),"ER"))</f>
        <v>?</v>
      </c>
      <c r="Z29" s="86" t="str">
        <f aca="true">IF($H29=0,"NA",IF($A29=INDIRECT("'"&amp;$A29&amp;"'!$B$1"),IF(VLOOKUP(Z$1,INDIRECT("'"&amp;$A29&amp;"'!$A$12:$Z$41"),MATCH("Points (Auto-generate)",INDIRECT("'"&amp;$A29&amp;"'!$A$12:$Z$12"),0),0)="","?",VLOOKUP(Z$1,INDIRECT("'"&amp;$A29&amp;"'!$A$12:$Z$41"),MATCH("Points (Auto-generate)",INDIRECT("'"&amp;$A29&amp;"'!$A$12:$Z$12"),0),0)),"ER"))</f>
        <v>?</v>
      </c>
      <c r="AA29" s="86" t="str">
        <f aca="true">IF($H29=0,"NA",IF($A29=INDIRECT("'"&amp;$A29&amp;"'!$B$1"),IF(VLOOKUP(AA$1,INDIRECT("'"&amp;$A29&amp;"'!$A$12:$Z$41"),MATCH("Points (Auto-generate)",INDIRECT("'"&amp;$A29&amp;"'!$A$12:$Z$12"),0),0)="","?",VLOOKUP(AA$1,INDIRECT("'"&amp;$A29&amp;"'!$A$12:$Z$41"),MATCH("Points (Auto-generate)",INDIRECT("'"&amp;$A29&amp;"'!$A$12:$Z$12"),0),0)),"ER"))</f>
        <v>?</v>
      </c>
      <c r="AB29" s="86" t="str">
        <f aca="true">IF($H29=0,"NA",IF($A29=INDIRECT("'"&amp;$A29&amp;"'!$B$1"),IF(VLOOKUP(AB$1,INDIRECT("'"&amp;$A29&amp;"'!$A$12:$Z$41"),MATCH("Points (Auto-generate)",INDIRECT("'"&amp;$A29&amp;"'!$A$12:$Z$12"),0),0)="","?",VLOOKUP(AB$1,INDIRECT("'"&amp;$A29&amp;"'!$A$12:$Z$41"),MATCH("Points (Auto-generate)",INDIRECT("'"&amp;$A29&amp;"'!$A$12:$Z$12"),0),0)),"ER"))</f>
        <v>?</v>
      </c>
      <c r="AC29" s="86" t="str">
        <f aca="true">IF($H29=0,"NA",IF($A29=INDIRECT("'"&amp;$A29&amp;"'!$B$1"),IF(VLOOKUP(AC$1,INDIRECT("'"&amp;$A29&amp;"'!$A$12:$Z$41"),MATCH("Points (Auto-generate)",INDIRECT("'"&amp;$A29&amp;"'!$A$12:$Z$12"),0),0)="","?",VLOOKUP(AC$1,INDIRECT("'"&amp;$A29&amp;"'!$A$12:$Z$41"),MATCH("Points (Auto-generate)",INDIRECT("'"&amp;$A29&amp;"'!$A$12:$Z$12"),0),0)),"ER"))</f>
        <v>?</v>
      </c>
      <c r="AD29" s="86" t="str">
        <f aca="true">IF($H29=0,"NA",IF($A29=INDIRECT("'"&amp;$A29&amp;"'!$B$1"),IF(VLOOKUP(AD$1,INDIRECT("'"&amp;$A29&amp;"'!$A$12:$Z$41"),MATCH("Points (Auto-generate)",INDIRECT("'"&amp;$A29&amp;"'!$A$12:$Z$12"),0),0)="","?",VLOOKUP(AD$1,INDIRECT("'"&amp;$A29&amp;"'!$A$12:$Z$41"),MATCH("Points (Auto-generate)",INDIRECT("'"&amp;$A29&amp;"'!$A$12:$Z$12"),0),0)),"ER"))</f>
        <v>?</v>
      </c>
      <c r="AE29" s="86" t="str">
        <f aca="true">IF($H29=0,"NA",IF($A29=INDIRECT("'"&amp;$A29&amp;"'!$B$1"),IF(VLOOKUP(AE$1,INDIRECT("'"&amp;$A29&amp;"'!$A$12:$Z$41"),MATCH("Points (Auto-generate)",INDIRECT("'"&amp;$A29&amp;"'!$A$12:$Z$12"),0),0)="","?",VLOOKUP(AE$1,INDIRECT("'"&amp;$A29&amp;"'!$A$12:$Z$41"),MATCH("Points (Auto-generate)",INDIRECT("'"&amp;$A29&amp;"'!$A$12:$Z$12"),0),0)),"ER"))</f>
        <v>?</v>
      </c>
      <c r="AF29" s="86" t="str">
        <f aca="true">IF($H29=0,"NA",IF($A29=INDIRECT("'"&amp;$A29&amp;"'!$B$1"),IF(VLOOKUP(AF$1,INDIRECT("'"&amp;$A29&amp;"'!$A$12:$Z$41"),MATCH("Points (Auto-generate)",INDIRECT("'"&amp;$A29&amp;"'!$A$12:$Z$12"),0),0)="","?",VLOOKUP(AF$1,INDIRECT("'"&amp;$A29&amp;"'!$A$12:$Z$41"),MATCH("Points (Auto-generate)",INDIRECT("'"&amp;$A29&amp;"'!$A$12:$Z$12"),0),0)),"ER"))</f>
        <v>?</v>
      </c>
      <c r="AG29" s="86" t="str">
        <f aca="true">IF($H29=0,"NA",IF($A29=INDIRECT("'"&amp;$A29&amp;"'!$B$1"),IF(VLOOKUP(AG$1,INDIRECT("'"&amp;$A29&amp;"'!$A$12:$Z$41"),MATCH("Points (Auto-generate)",INDIRECT("'"&amp;$A29&amp;"'!$A$12:$Z$12"),0),0)="","?",VLOOKUP(AG$1,INDIRECT("'"&amp;$A29&amp;"'!$A$12:$Z$41"),MATCH("Points (Auto-generate)",INDIRECT("'"&amp;$A29&amp;"'!$A$12:$Z$12"),0),0)),"ER"))</f>
        <v>?</v>
      </c>
      <c r="AH29" s="86" t="str">
        <f aca="true">IF($H29=0,"NA",IF($A29=INDIRECT("'"&amp;$A29&amp;"'!$B$1"),IF(VLOOKUP(AH$1,INDIRECT("'"&amp;$A29&amp;"'!$A$12:$Z$41"),MATCH("Points (Auto-generate)",INDIRECT("'"&amp;$A29&amp;"'!$A$12:$Z$12"),0),0)="","?",VLOOKUP(AH$1,INDIRECT("'"&amp;$A29&amp;"'!$A$12:$Z$41"),MATCH("Points (Auto-generate)",INDIRECT("'"&amp;$A29&amp;"'!$A$12:$Z$12"),0),0)),"ER"))</f>
        <v>?</v>
      </c>
      <c r="AI29" s="86" t="str">
        <f aca="true">IF($H29=0,"NA",IF($A29=INDIRECT("'"&amp;$A29&amp;"'!$B$1"),IF(VLOOKUP(AI$1,INDIRECT("'"&amp;$A29&amp;"'!$A$12:$Z$41"),MATCH("Points (Auto-generate)",INDIRECT("'"&amp;$A29&amp;"'!$A$12:$Z$12"),0),0)="","?",VLOOKUP(AI$1,INDIRECT("'"&amp;$A29&amp;"'!$A$12:$Z$41"),MATCH("Points (Auto-generate)",INDIRECT("'"&amp;$A29&amp;"'!$A$12:$Z$12"),0),0)),"ER"))</f>
        <v>?</v>
      </c>
      <c r="AJ29" s="86" t="str">
        <f aca="true">IF($H29=0,"NA",IF($A29=INDIRECT("'"&amp;$A29&amp;"'!$B$1"),IF(VLOOKUP(AJ$1,INDIRECT("'"&amp;$A29&amp;"'!$A$12:$Z$41"),MATCH("Points (Auto-generate)",INDIRECT("'"&amp;$A29&amp;"'!$A$12:$Z$12"),0),0)="","?",VLOOKUP(AJ$1,INDIRECT("'"&amp;$A29&amp;"'!$A$12:$Z$41"),MATCH("Points (Auto-generate)",INDIRECT("'"&amp;$A29&amp;"'!$A$12:$Z$12"),0),0)),"ER"))</f>
        <v>?</v>
      </c>
      <c r="AK29" s="86" t="str">
        <f aca="true">IF($H29=0,"NA",IF($A29=INDIRECT("'"&amp;$A29&amp;"'!$B$1"),IF(VLOOKUP(AK$1,INDIRECT("'"&amp;$A29&amp;"'!$A$12:$Z$41"),MATCH("Points (Auto-generate)",INDIRECT("'"&amp;$A29&amp;"'!$A$12:$Z$12"),0),0)="","?",VLOOKUP(AK$1,INDIRECT("'"&amp;$A29&amp;"'!$A$12:$Z$41"),MATCH("Points (Auto-generate)",INDIRECT("'"&amp;$A29&amp;"'!$A$12:$Z$12"),0),0)),"ER"))</f>
        <v>?</v>
      </c>
    </row>
    <row r="30" customFormat="false" ht="14.25" hidden="false" customHeight="false" outlineLevel="0" collapsed="false">
      <c r="A30" s="82" t="s">
        <v>142</v>
      </c>
      <c r="B30" s="83" t="str">
        <f aca="false">IF(ISBLANK($A30),"NO_CODE",VLOOKUP($A30,'UPD Questions_290926 '!$E$1:$N$300,MATCH(B$1,'UPD Questions_290926 '!$E$1:$N$1,0),0)&amp;"")</f>
        <v>Planning </v>
      </c>
      <c r="C30" s="83" t="str">
        <f aca="false">IF(ISBLANK($A30),"NO_CODE",VLOOKUP($A30,'UPD Questions_290926 '!$E$1:$N$300,MATCH(C$1,'UPD Questions_290926 '!$E$1:$N$1,0),0)&amp;"")</f>
        <v>Municipal/City Plan objectives and contents</v>
      </c>
      <c r="D30" s="83" t="str">
        <f aca="false">IF(ISBLANK($A30),"NO_CODE",VLOOKUP($A30,'UPD Questions_290926 '!$E$1:$N$300,MATCH(D$1,'UPD Questions_290926 '!$E$1:$N$1,0),0)&amp;"")</f>
        <v>Statutory requirements for plan content</v>
      </c>
      <c r="E30" s="83" t="str">
        <f aca="false">IF(ISBLANK($A30),"NO_CODE",VLOOKUP($A30,'UPD Questions_290926 '!$E$1:$N$300,MATCH(E$1,'UPD Questions_290926 '!$E$1:$N$1,0),0)&amp;"")</f>
        <v>SQ</v>
      </c>
      <c r="F30" s="83" t="str">
        <f aca="false">IF(ISBLANK($A30),"NO_CODE",VLOOKUP($A30,'UPD Questions_290926 '!$E$1:$N$300,MATCH(F$1,'UPD Questions_290926 '!$E$1:$N$1,0),0)&amp;"")</f>
        <v>e) Heritage conservation</v>
      </c>
      <c r="G30" s="83" t="str">
        <f aca="false">IF(ISBLANK($A30),"NO_CODE",VLOOKUP($A30,'UPD Questions_290926 '!$E$1:$N$300,MATCH(G$1,'UPD Questions_290926 '!$E$1:$N$1,0),0)&amp;"")</f>
        <v>Law/Policy</v>
      </c>
      <c r="H30" s="85" t="n">
        <f aca="false">IF(ISBLANK($A30),"NO_CODE",VLOOKUP($A30,'UPD Questions_290926 '!$E$1:$N$300,MATCH(H$1,'UPD Questions_290926 '!$E$1:$N$1,0),0))</f>
        <v>1.67</v>
      </c>
      <c r="I30" s="86" t="str">
        <f aca="true">IF($H30=0,"NA",IF($A30=INDIRECT("'"&amp;$A30&amp;"'!$B$1"),IF(VLOOKUP(I$1,INDIRECT("'"&amp;$A30&amp;"'!$A$12:$Z$41"),MATCH("Points (Auto-generate)",INDIRECT("'"&amp;$A30&amp;"'!$A$12:$Z$12"),0),0)="","?",VLOOKUP(I$1,INDIRECT("'"&amp;$A30&amp;"'!$A$12:$Z$41"),MATCH("Points (Auto-generate)",INDIRECT("'"&amp;$A30&amp;"'!$A$12:$Z$12"),0),0)),"ER"))</f>
        <v>?</v>
      </c>
      <c r="J30" s="86" t="n">
        <f aca="true">IF($H30=0,"NA",IF($A30=INDIRECT("'"&amp;$A30&amp;"'!$B$1"),IF(VLOOKUP(J$1,INDIRECT("'"&amp;$A30&amp;"'!$A$12:$Z$41"),MATCH("Points (Auto-generate)",INDIRECT("'"&amp;$A30&amp;"'!$A$12:$Z$12"),0),0)="","?",VLOOKUP(J$1,INDIRECT("'"&amp;$A30&amp;"'!$A$12:$Z$41"),MATCH("Points (Auto-generate)",INDIRECT("'"&amp;$A30&amp;"'!$A$12:$Z$12"),0),0)),"ER"))</f>
        <v>1.67</v>
      </c>
      <c r="K30" s="86" t="str">
        <f aca="true">IF($H30=0,"NA",IF($A30=INDIRECT("'"&amp;$A30&amp;"'!$B$1"),IF(VLOOKUP(K$1,INDIRECT("'"&amp;$A30&amp;"'!$A$12:$Z$41"),MATCH("Points (Auto-generate)",INDIRECT("'"&amp;$A30&amp;"'!$A$12:$Z$12"),0),0)="","?",VLOOKUP(K$1,INDIRECT("'"&amp;$A30&amp;"'!$A$12:$Z$41"),MATCH("Points (Auto-generate)",INDIRECT("'"&amp;$A30&amp;"'!$A$12:$Z$12"),0),0)),"ER"))</f>
        <v>?</v>
      </c>
      <c r="L30" s="86" t="str">
        <f aca="true">IF($H30=0,"NA",IF($A30=INDIRECT("'"&amp;$A30&amp;"'!$B$1"),IF(VLOOKUP(L$1,INDIRECT("'"&amp;$A30&amp;"'!$A$12:$Z$41"),MATCH("Points (Auto-generate)",INDIRECT("'"&amp;$A30&amp;"'!$A$12:$Z$12"),0),0)="","?",VLOOKUP(L$1,INDIRECT("'"&amp;$A30&amp;"'!$A$12:$Z$41"),MATCH("Points (Auto-generate)",INDIRECT("'"&amp;$A30&amp;"'!$A$12:$Z$12"),0),0)),"ER"))</f>
        <v>?</v>
      </c>
      <c r="M30" s="86" t="str">
        <f aca="true">IF($H30=0,"NA",IF($A30=INDIRECT("'"&amp;$A30&amp;"'!$B$1"),IF(VLOOKUP(M$1,INDIRECT("'"&amp;$A30&amp;"'!$A$12:$Z$41"),MATCH("Points (Auto-generate)",INDIRECT("'"&amp;$A30&amp;"'!$A$12:$Z$12"),0),0)="","?",VLOOKUP(M$1,INDIRECT("'"&amp;$A30&amp;"'!$A$12:$Z$41"),MATCH("Points (Auto-generate)",INDIRECT("'"&amp;$A30&amp;"'!$A$12:$Z$12"),0),0)),"ER"))</f>
        <v>?</v>
      </c>
      <c r="N30" s="86" t="str">
        <f aca="true">IF($H30=0,"NA",IF($A30=INDIRECT("'"&amp;$A30&amp;"'!$B$1"),IF(VLOOKUP(N$1,INDIRECT("'"&amp;$A30&amp;"'!$A$12:$Z$41"),MATCH("Points (Auto-generate)",INDIRECT("'"&amp;$A30&amp;"'!$A$12:$Z$12"),0),0)="","?",VLOOKUP(N$1,INDIRECT("'"&amp;$A30&amp;"'!$A$12:$Z$41"),MATCH("Points (Auto-generate)",INDIRECT("'"&amp;$A30&amp;"'!$A$12:$Z$12"),0),0)),"ER"))</f>
        <v>?</v>
      </c>
      <c r="O30" s="86" t="str">
        <f aca="true">IF($H30=0,"NA",IF($A30=INDIRECT("'"&amp;$A30&amp;"'!$B$1"),IF(VLOOKUP(O$1,INDIRECT("'"&amp;$A30&amp;"'!$A$12:$Z$41"),MATCH("Points (Auto-generate)",INDIRECT("'"&amp;$A30&amp;"'!$A$12:$Z$12"),0),0)="","?",VLOOKUP(O$1,INDIRECT("'"&amp;$A30&amp;"'!$A$12:$Z$41"),MATCH("Points (Auto-generate)",INDIRECT("'"&amp;$A30&amp;"'!$A$12:$Z$12"),0),0)),"ER"))</f>
        <v>?</v>
      </c>
      <c r="P30" s="86" t="str">
        <f aca="true">IF($H30=0,"NA",IF($A30=INDIRECT("'"&amp;$A30&amp;"'!$B$1"),IF(VLOOKUP(P$1,INDIRECT("'"&amp;$A30&amp;"'!$A$12:$Z$41"),MATCH("Points (Auto-generate)",INDIRECT("'"&amp;$A30&amp;"'!$A$12:$Z$12"),0),0)="","?",VLOOKUP(P$1,INDIRECT("'"&amp;$A30&amp;"'!$A$12:$Z$41"),MATCH("Points (Auto-generate)",INDIRECT("'"&amp;$A30&amp;"'!$A$12:$Z$12"),0),0)),"ER"))</f>
        <v>?</v>
      </c>
      <c r="Q30" s="86" t="str">
        <f aca="true">IF($H30=0,"NA",IF($A30=INDIRECT("'"&amp;$A30&amp;"'!$B$1"),IF(VLOOKUP(Q$1,INDIRECT("'"&amp;$A30&amp;"'!$A$12:$Z$41"),MATCH("Points (Auto-generate)",INDIRECT("'"&amp;$A30&amp;"'!$A$12:$Z$12"),0),0)="","?",VLOOKUP(Q$1,INDIRECT("'"&amp;$A30&amp;"'!$A$12:$Z$41"),MATCH("Points (Auto-generate)",INDIRECT("'"&amp;$A30&amp;"'!$A$12:$Z$12"),0),0)),"ER"))</f>
        <v>?</v>
      </c>
      <c r="R30" s="86" t="str">
        <f aca="true">IF($H30=0,"NA",IF($A30=INDIRECT("'"&amp;$A30&amp;"'!$B$1"),IF(VLOOKUP(R$1,INDIRECT("'"&amp;$A30&amp;"'!$A$12:$Z$41"),MATCH("Points (Auto-generate)",INDIRECT("'"&amp;$A30&amp;"'!$A$12:$Z$12"),0),0)="","?",VLOOKUP(R$1,INDIRECT("'"&amp;$A30&amp;"'!$A$12:$Z$41"),MATCH("Points (Auto-generate)",INDIRECT("'"&amp;$A30&amp;"'!$A$12:$Z$12"),0),0)),"ER"))</f>
        <v>?</v>
      </c>
      <c r="S30" s="86" t="str">
        <f aca="true">IF($H30=0,"NA",IF($A30=INDIRECT("'"&amp;$A30&amp;"'!$B$1"),IF(VLOOKUP(S$1,INDIRECT("'"&amp;$A30&amp;"'!$A$12:$Z$41"),MATCH("Points (Auto-generate)",INDIRECT("'"&amp;$A30&amp;"'!$A$12:$Z$12"),0),0)="","?",VLOOKUP(S$1,INDIRECT("'"&amp;$A30&amp;"'!$A$12:$Z$41"),MATCH("Points (Auto-generate)",INDIRECT("'"&amp;$A30&amp;"'!$A$12:$Z$12"),0),0)),"ER"))</f>
        <v>?</v>
      </c>
      <c r="T30" s="86" t="str">
        <f aca="true">IF($H30=0,"NA",IF($A30=INDIRECT("'"&amp;$A30&amp;"'!$B$1"),IF(VLOOKUP(T$1,INDIRECT("'"&amp;$A30&amp;"'!$A$12:$Z$41"),MATCH("Points (Auto-generate)",INDIRECT("'"&amp;$A30&amp;"'!$A$12:$Z$12"),0),0)="","?",VLOOKUP(T$1,INDIRECT("'"&amp;$A30&amp;"'!$A$12:$Z$41"),MATCH("Points (Auto-generate)",INDIRECT("'"&amp;$A30&amp;"'!$A$12:$Z$12"),0),0)),"ER"))</f>
        <v>?</v>
      </c>
      <c r="U30" s="86" t="str">
        <f aca="true">IF($H30=0,"NA",IF($A30=INDIRECT("'"&amp;$A30&amp;"'!$B$1"),IF(VLOOKUP(U$1,INDIRECT("'"&amp;$A30&amp;"'!$A$12:$Z$41"),MATCH("Points (Auto-generate)",INDIRECT("'"&amp;$A30&amp;"'!$A$12:$Z$12"),0),0)="","?",VLOOKUP(U$1,INDIRECT("'"&amp;$A30&amp;"'!$A$12:$Z$41"),MATCH("Points (Auto-generate)",INDIRECT("'"&amp;$A30&amp;"'!$A$12:$Z$12"),0),0)),"ER"))</f>
        <v>?</v>
      </c>
      <c r="V30" s="86" t="str">
        <f aca="true">IF($H30=0,"NA",IF($A30=INDIRECT("'"&amp;$A30&amp;"'!$B$1"),IF(VLOOKUP(V$1,INDIRECT("'"&amp;$A30&amp;"'!$A$12:$Z$41"),MATCH("Points (Auto-generate)",INDIRECT("'"&amp;$A30&amp;"'!$A$12:$Z$12"),0),0)="","?",VLOOKUP(V$1,INDIRECT("'"&amp;$A30&amp;"'!$A$12:$Z$41"),MATCH("Points (Auto-generate)",INDIRECT("'"&amp;$A30&amp;"'!$A$12:$Z$12"),0),0)),"ER"))</f>
        <v>?</v>
      </c>
      <c r="W30" s="86" t="str">
        <f aca="true">IF($H30=0,"NA",IF($A30=INDIRECT("'"&amp;$A30&amp;"'!$B$1"),IF(VLOOKUP(W$1,INDIRECT("'"&amp;$A30&amp;"'!$A$12:$Z$41"),MATCH("Points (Auto-generate)",INDIRECT("'"&amp;$A30&amp;"'!$A$12:$Z$12"),0),0)="","?",VLOOKUP(W$1,INDIRECT("'"&amp;$A30&amp;"'!$A$12:$Z$41"),MATCH("Points (Auto-generate)",INDIRECT("'"&amp;$A30&amp;"'!$A$12:$Z$12"),0),0)),"ER"))</f>
        <v>?</v>
      </c>
      <c r="X30" s="86" t="str">
        <f aca="true">IF($H30=0,"NA",IF($A30=INDIRECT("'"&amp;$A30&amp;"'!$B$1"),IF(VLOOKUP(X$1,INDIRECT("'"&amp;$A30&amp;"'!$A$12:$Z$41"),MATCH("Points (Auto-generate)",INDIRECT("'"&amp;$A30&amp;"'!$A$12:$Z$12"),0),0)="","?",VLOOKUP(X$1,INDIRECT("'"&amp;$A30&amp;"'!$A$12:$Z$41"),MATCH("Points (Auto-generate)",INDIRECT("'"&amp;$A30&amp;"'!$A$12:$Z$12"),0),0)),"ER"))</f>
        <v>?</v>
      </c>
      <c r="Y30" s="86" t="str">
        <f aca="true">IF($H30=0,"NA",IF($A30=INDIRECT("'"&amp;$A30&amp;"'!$B$1"),IF(VLOOKUP(Y$1,INDIRECT("'"&amp;$A30&amp;"'!$A$12:$Z$41"),MATCH("Points (Auto-generate)",INDIRECT("'"&amp;$A30&amp;"'!$A$12:$Z$12"),0),0)="","?",VLOOKUP(Y$1,INDIRECT("'"&amp;$A30&amp;"'!$A$12:$Z$41"),MATCH("Points (Auto-generate)",INDIRECT("'"&amp;$A30&amp;"'!$A$12:$Z$12"),0),0)),"ER"))</f>
        <v>?</v>
      </c>
      <c r="Z30" s="86" t="str">
        <f aca="true">IF($H30=0,"NA",IF($A30=INDIRECT("'"&amp;$A30&amp;"'!$B$1"),IF(VLOOKUP(Z$1,INDIRECT("'"&amp;$A30&amp;"'!$A$12:$Z$41"),MATCH("Points (Auto-generate)",INDIRECT("'"&amp;$A30&amp;"'!$A$12:$Z$12"),0),0)="","?",VLOOKUP(Z$1,INDIRECT("'"&amp;$A30&amp;"'!$A$12:$Z$41"),MATCH("Points (Auto-generate)",INDIRECT("'"&amp;$A30&amp;"'!$A$12:$Z$12"),0),0)),"ER"))</f>
        <v>?</v>
      </c>
      <c r="AA30" s="86" t="str">
        <f aca="true">IF($H30=0,"NA",IF($A30=INDIRECT("'"&amp;$A30&amp;"'!$B$1"),IF(VLOOKUP(AA$1,INDIRECT("'"&amp;$A30&amp;"'!$A$12:$Z$41"),MATCH("Points (Auto-generate)",INDIRECT("'"&amp;$A30&amp;"'!$A$12:$Z$12"),0),0)="","?",VLOOKUP(AA$1,INDIRECT("'"&amp;$A30&amp;"'!$A$12:$Z$41"),MATCH("Points (Auto-generate)",INDIRECT("'"&amp;$A30&amp;"'!$A$12:$Z$12"),0),0)),"ER"))</f>
        <v>?</v>
      </c>
      <c r="AB30" s="86" t="str">
        <f aca="true">IF($H30=0,"NA",IF($A30=INDIRECT("'"&amp;$A30&amp;"'!$B$1"),IF(VLOOKUP(AB$1,INDIRECT("'"&amp;$A30&amp;"'!$A$12:$Z$41"),MATCH("Points (Auto-generate)",INDIRECT("'"&amp;$A30&amp;"'!$A$12:$Z$12"),0),0)="","?",VLOOKUP(AB$1,INDIRECT("'"&amp;$A30&amp;"'!$A$12:$Z$41"),MATCH("Points (Auto-generate)",INDIRECT("'"&amp;$A30&amp;"'!$A$12:$Z$12"),0),0)),"ER"))</f>
        <v>?</v>
      </c>
      <c r="AC30" s="86" t="str">
        <f aca="true">IF($H30=0,"NA",IF($A30=INDIRECT("'"&amp;$A30&amp;"'!$B$1"),IF(VLOOKUP(AC$1,INDIRECT("'"&amp;$A30&amp;"'!$A$12:$Z$41"),MATCH("Points (Auto-generate)",INDIRECT("'"&amp;$A30&amp;"'!$A$12:$Z$12"),0),0)="","?",VLOOKUP(AC$1,INDIRECT("'"&amp;$A30&amp;"'!$A$12:$Z$41"),MATCH("Points (Auto-generate)",INDIRECT("'"&amp;$A30&amp;"'!$A$12:$Z$12"),0),0)),"ER"))</f>
        <v>?</v>
      </c>
      <c r="AD30" s="86" t="str">
        <f aca="true">IF($H30=0,"NA",IF($A30=INDIRECT("'"&amp;$A30&amp;"'!$B$1"),IF(VLOOKUP(AD$1,INDIRECT("'"&amp;$A30&amp;"'!$A$12:$Z$41"),MATCH("Points (Auto-generate)",INDIRECT("'"&amp;$A30&amp;"'!$A$12:$Z$12"),0),0)="","?",VLOOKUP(AD$1,INDIRECT("'"&amp;$A30&amp;"'!$A$12:$Z$41"),MATCH("Points (Auto-generate)",INDIRECT("'"&amp;$A30&amp;"'!$A$12:$Z$12"),0),0)),"ER"))</f>
        <v>?</v>
      </c>
      <c r="AE30" s="86" t="str">
        <f aca="true">IF($H30=0,"NA",IF($A30=INDIRECT("'"&amp;$A30&amp;"'!$B$1"),IF(VLOOKUP(AE$1,INDIRECT("'"&amp;$A30&amp;"'!$A$12:$Z$41"),MATCH("Points (Auto-generate)",INDIRECT("'"&amp;$A30&amp;"'!$A$12:$Z$12"),0),0)="","?",VLOOKUP(AE$1,INDIRECT("'"&amp;$A30&amp;"'!$A$12:$Z$41"),MATCH("Points (Auto-generate)",INDIRECT("'"&amp;$A30&amp;"'!$A$12:$Z$12"),0),0)),"ER"))</f>
        <v>?</v>
      </c>
      <c r="AF30" s="86" t="str">
        <f aca="true">IF($H30=0,"NA",IF($A30=INDIRECT("'"&amp;$A30&amp;"'!$B$1"),IF(VLOOKUP(AF$1,INDIRECT("'"&amp;$A30&amp;"'!$A$12:$Z$41"),MATCH("Points (Auto-generate)",INDIRECT("'"&amp;$A30&amp;"'!$A$12:$Z$12"),0),0)="","?",VLOOKUP(AF$1,INDIRECT("'"&amp;$A30&amp;"'!$A$12:$Z$41"),MATCH("Points (Auto-generate)",INDIRECT("'"&amp;$A30&amp;"'!$A$12:$Z$12"),0),0)),"ER"))</f>
        <v>?</v>
      </c>
      <c r="AG30" s="86" t="str">
        <f aca="true">IF($H30=0,"NA",IF($A30=INDIRECT("'"&amp;$A30&amp;"'!$B$1"),IF(VLOOKUP(AG$1,INDIRECT("'"&amp;$A30&amp;"'!$A$12:$Z$41"),MATCH("Points (Auto-generate)",INDIRECT("'"&amp;$A30&amp;"'!$A$12:$Z$12"),0),0)="","?",VLOOKUP(AG$1,INDIRECT("'"&amp;$A30&amp;"'!$A$12:$Z$41"),MATCH("Points (Auto-generate)",INDIRECT("'"&amp;$A30&amp;"'!$A$12:$Z$12"),0),0)),"ER"))</f>
        <v>?</v>
      </c>
      <c r="AH30" s="86" t="str">
        <f aca="true">IF($H30=0,"NA",IF($A30=INDIRECT("'"&amp;$A30&amp;"'!$B$1"),IF(VLOOKUP(AH$1,INDIRECT("'"&amp;$A30&amp;"'!$A$12:$Z$41"),MATCH("Points (Auto-generate)",INDIRECT("'"&amp;$A30&amp;"'!$A$12:$Z$12"),0),0)="","?",VLOOKUP(AH$1,INDIRECT("'"&amp;$A30&amp;"'!$A$12:$Z$41"),MATCH("Points (Auto-generate)",INDIRECT("'"&amp;$A30&amp;"'!$A$12:$Z$12"),0),0)),"ER"))</f>
        <v>?</v>
      </c>
      <c r="AI30" s="86" t="str">
        <f aca="true">IF($H30=0,"NA",IF($A30=INDIRECT("'"&amp;$A30&amp;"'!$B$1"),IF(VLOOKUP(AI$1,INDIRECT("'"&amp;$A30&amp;"'!$A$12:$Z$41"),MATCH("Points (Auto-generate)",INDIRECT("'"&amp;$A30&amp;"'!$A$12:$Z$12"),0),0)="","?",VLOOKUP(AI$1,INDIRECT("'"&amp;$A30&amp;"'!$A$12:$Z$41"),MATCH("Points (Auto-generate)",INDIRECT("'"&amp;$A30&amp;"'!$A$12:$Z$12"),0),0)),"ER"))</f>
        <v>?</v>
      </c>
      <c r="AJ30" s="86" t="str">
        <f aca="true">IF($H30=0,"NA",IF($A30=INDIRECT("'"&amp;$A30&amp;"'!$B$1"),IF(VLOOKUP(AJ$1,INDIRECT("'"&amp;$A30&amp;"'!$A$12:$Z$41"),MATCH("Points (Auto-generate)",INDIRECT("'"&amp;$A30&amp;"'!$A$12:$Z$12"),0),0)="","?",VLOOKUP(AJ$1,INDIRECT("'"&amp;$A30&amp;"'!$A$12:$Z$41"),MATCH("Points (Auto-generate)",INDIRECT("'"&amp;$A30&amp;"'!$A$12:$Z$12"),0),0)),"ER"))</f>
        <v>?</v>
      </c>
      <c r="AK30" s="86" t="str">
        <f aca="true">IF($H30=0,"NA",IF($A30=INDIRECT("'"&amp;$A30&amp;"'!$B$1"),IF(VLOOKUP(AK$1,INDIRECT("'"&amp;$A30&amp;"'!$A$12:$Z$41"),MATCH("Points (Auto-generate)",INDIRECT("'"&amp;$A30&amp;"'!$A$12:$Z$12"),0),0)="","?",VLOOKUP(AK$1,INDIRECT("'"&amp;$A30&amp;"'!$A$12:$Z$41"),MATCH("Points (Auto-generate)",INDIRECT("'"&amp;$A30&amp;"'!$A$12:$Z$12"),0),0)),"ER"))</f>
        <v>?</v>
      </c>
    </row>
    <row r="31" customFormat="false" ht="14.25" hidden="false" customHeight="false" outlineLevel="0" collapsed="false">
      <c r="A31" s="82" t="s">
        <v>147</v>
      </c>
      <c r="B31" s="83" t="str">
        <f aca="false">IF(ISBLANK($A31),"NO_CODE",VLOOKUP($A31,'UPD Questions_290926 '!$E$1:$N$300,MATCH(B$1,'UPD Questions_290926 '!$E$1:$N$1,0),0)&amp;"")</f>
        <v>Planning </v>
      </c>
      <c r="C31" s="83" t="str">
        <f aca="false">IF(ISBLANK($A31),"NO_CODE",VLOOKUP($A31,'UPD Questions_290926 '!$E$1:$N$300,MATCH(C$1,'UPD Questions_290926 '!$E$1:$N$1,0),0)&amp;"")</f>
        <v>Municipal/City Plan objectives and contents</v>
      </c>
      <c r="D31" s="83" t="str">
        <f aca="false">IF(ISBLANK($A31),"NO_CODE",VLOOKUP($A31,'UPD Questions_290926 '!$E$1:$N$300,MATCH(D$1,'UPD Questions_290926 '!$E$1:$N$1,0),0)&amp;"")</f>
        <v>Statutory requirements for plan content</v>
      </c>
      <c r="E31" s="83" t="str">
        <f aca="false">IF(ISBLANK($A31),"NO_CODE",VLOOKUP($A31,'UPD Questions_290926 '!$E$1:$N$300,MATCH(E$1,'UPD Questions_290926 '!$E$1:$N$1,0),0)&amp;"")</f>
        <v>SQ</v>
      </c>
      <c r="F31" s="83" t="str">
        <f aca="false">IF(ISBLANK($A31),"NO_CODE",VLOOKUP($A31,'UPD Questions_290926 '!$E$1:$N$300,MATCH(F$1,'UPD Questions_290926 '!$E$1:$N$1,0),0)&amp;"")</f>
        <v>f) Social Development        </v>
      </c>
      <c r="G31" s="83" t="str">
        <f aca="false">IF(ISBLANK($A31),"NO_CODE",VLOOKUP($A31,'UPD Questions_290926 '!$E$1:$N$300,MATCH(G$1,'UPD Questions_290926 '!$E$1:$N$1,0),0)&amp;"")</f>
        <v>Law/Policy</v>
      </c>
      <c r="H31" s="85" t="n">
        <f aca="false">IF(ISBLANK($A31),"NO_CODE",VLOOKUP($A31,'UPD Questions_290926 '!$E$1:$N$300,MATCH(H$1,'UPD Questions_290926 '!$E$1:$N$1,0),0))</f>
        <v>1.67</v>
      </c>
      <c r="I31" s="86" t="str">
        <f aca="true">IF($H31=0,"NA",IF($A31=INDIRECT("'"&amp;$A31&amp;"'!$B$1"),IF(VLOOKUP(I$1,INDIRECT("'"&amp;$A31&amp;"'!$A$12:$Z$41"),MATCH("Points (Auto-generate)",INDIRECT("'"&amp;$A31&amp;"'!$A$12:$Z$12"),0),0)="","?",VLOOKUP(I$1,INDIRECT("'"&amp;$A31&amp;"'!$A$12:$Z$41"),MATCH("Points (Auto-generate)",INDIRECT("'"&amp;$A31&amp;"'!$A$12:$Z$12"),0),0)),"ER"))</f>
        <v>?</v>
      </c>
      <c r="J31" s="86" t="str">
        <f aca="true">IF($H31=0,"NA",IF($A31=INDIRECT("'"&amp;$A31&amp;"'!$B$1"),IF(VLOOKUP(J$1,INDIRECT("'"&amp;$A31&amp;"'!$A$12:$Z$41"),MATCH("Points (Auto-generate)",INDIRECT("'"&amp;$A31&amp;"'!$A$12:$Z$12"),0),0)="","?",VLOOKUP(J$1,INDIRECT("'"&amp;$A31&amp;"'!$A$12:$Z$41"),MATCH("Points (Auto-generate)",INDIRECT("'"&amp;$A31&amp;"'!$A$12:$Z$12"),0),0)),"ER"))</f>
        <v>?</v>
      </c>
      <c r="K31" s="86" t="str">
        <f aca="true">IF($H31=0,"NA",IF($A31=INDIRECT("'"&amp;$A31&amp;"'!$B$1"),IF(VLOOKUP(K$1,INDIRECT("'"&amp;$A31&amp;"'!$A$12:$Z$41"),MATCH("Points (Auto-generate)",INDIRECT("'"&amp;$A31&amp;"'!$A$12:$Z$12"),0),0)="","?",VLOOKUP(K$1,INDIRECT("'"&amp;$A31&amp;"'!$A$12:$Z$41"),MATCH("Points (Auto-generate)",INDIRECT("'"&amp;$A31&amp;"'!$A$12:$Z$12"),0),0)),"ER"))</f>
        <v>?</v>
      </c>
      <c r="L31" s="86" t="str">
        <f aca="true">IF($H31=0,"NA",IF($A31=INDIRECT("'"&amp;$A31&amp;"'!$B$1"),IF(VLOOKUP(L$1,INDIRECT("'"&amp;$A31&amp;"'!$A$12:$Z$41"),MATCH("Points (Auto-generate)",INDIRECT("'"&amp;$A31&amp;"'!$A$12:$Z$12"),0),0)="","?",VLOOKUP(L$1,INDIRECT("'"&amp;$A31&amp;"'!$A$12:$Z$41"),MATCH("Points (Auto-generate)",INDIRECT("'"&amp;$A31&amp;"'!$A$12:$Z$12"),0),0)),"ER"))</f>
        <v>?</v>
      </c>
      <c r="M31" s="86" t="str">
        <f aca="true">IF($H31=0,"NA",IF($A31=INDIRECT("'"&amp;$A31&amp;"'!$B$1"),IF(VLOOKUP(M$1,INDIRECT("'"&amp;$A31&amp;"'!$A$12:$Z$41"),MATCH("Points (Auto-generate)",INDIRECT("'"&amp;$A31&amp;"'!$A$12:$Z$12"),0),0)="","?",VLOOKUP(M$1,INDIRECT("'"&amp;$A31&amp;"'!$A$12:$Z$41"),MATCH("Points (Auto-generate)",INDIRECT("'"&amp;$A31&amp;"'!$A$12:$Z$12"),0),0)),"ER"))</f>
        <v>?</v>
      </c>
      <c r="N31" s="86" t="str">
        <f aca="true">IF($H31=0,"NA",IF($A31=INDIRECT("'"&amp;$A31&amp;"'!$B$1"),IF(VLOOKUP(N$1,INDIRECT("'"&amp;$A31&amp;"'!$A$12:$Z$41"),MATCH("Points (Auto-generate)",INDIRECT("'"&amp;$A31&amp;"'!$A$12:$Z$12"),0),0)="","?",VLOOKUP(N$1,INDIRECT("'"&amp;$A31&amp;"'!$A$12:$Z$41"),MATCH("Points (Auto-generate)",INDIRECT("'"&amp;$A31&amp;"'!$A$12:$Z$12"),0),0)),"ER"))</f>
        <v>?</v>
      </c>
      <c r="O31" s="86" t="str">
        <f aca="true">IF($H31=0,"NA",IF($A31=INDIRECT("'"&amp;$A31&amp;"'!$B$1"),IF(VLOOKUP(O$1,INDIRECT("'"&amp;$A31&amp;"'!$A$12:$Z$41"),MATCH("Points (Auto-generate)",INDIRECT("'"&amp;$A31&amp;"'!$A$12:$Z$12"),0),0)="","?",VLOOKUP(O$1,INDIRECT("'"&amp;$A31&amp;"'!$A$12:$Z$41"),MATCH("Points (Auto-generate)",INDIRECT("'"&amp;$A31&amp;"'!$A$12:$Z$12"),0),0)),"ER"))</f>
        <v>?</v>
      </c>
      <c r="P31" s="86" t="str">
        <f aca="true">IF($H31=0,"NA",IF($A31=INDIRECT("'"&amp;$A31&amp;"'!$B$1"),IF(VLOOKUP(P$1,INDIRECT("'"&amp;$A31&amp;"'!$A$12:$Z$41"),MATCH("Points (Auto-generate)",INDIRECT("'"&amp;$A31&amp;"'!$A$12:$Z$12"),0),0)="","?",VLOOKUP(P$1,INDIRECT("'"&amp;$A31&amp;"'!$A$12:$Z$41"),MATCH("Points (Auto-generate)",INDIRECT("'"&amp;$A31&amp;"'!$A$12:$Z$12"),0),0)),"ER"))</f>
        <v>?</v>
      </c>
      <c r="Q31" s="86" t="str">
        <f aca="true">IF($H31=0,"NA",IF($A31=INDIRECT("'"&amp;$A31&amp;"'!$B$1"),IF(VLOOKUP(Q$1,INDIRECT("'"&amp;$A31&amp;"'!$A$12:$Z$41"),MATCH("Points (Auto-generate)",INDIRECT("'"&amp;$A31&amp;"'!$A$12:$Z$12"),0),0)="","?",VLOOKUP(Q$1,INDIRECT("'"&amp;$A31&amp;"'!$A$12:$Z$41"),MATCH("Points (Auto-generate)",INDIRECT("'"&amp;$A31&amp;"'!$A$12:$Z$12"),0),0)),"ER"))</f>
        <v>?</v>
      </c>
      <c r="R31" s="86" t="str">
        <f aca="true">IF($H31=0,"NA",IF($A31=INDIRECT("'"&amp;$A31&amp;"'!$B$1"),IF(VLOOKUP(R$1,INDIRECT("'"&amp;$A31&amp;"'!$A$12:$Z$41"),MATCH("Points (Auto-generate)",INDIRECT("'"&amp;$A31&amp;"'!$A$12:$Z$12"),0),0)="","?",VLOOKUP(R$1,INDIRECT("'"&amp;$A31&amp;"'!$A$12:$Z$41"),MATCH("Points (Auto-generate)",INDIRECT("'"&amp;$A31&amp;"'!$A$12:$Z$12"),0),0)),"ER"))</f>
        <v>?</v>
      </c>
      <c r="S31" s="86" t="str">
        <f aca="true">IF($H31=0,"NA",IF($A31=INDIRECT("'"&amp;$A31&amp;"'!$B$1"),IF(VLOOKUP(S$1,INDIRECT("'"&amp;$A31&amp;"'!$A$12:$Z$41"),MATCH("Points (Auto-generate)",INDIRECT("'"&amp;$A31&amp;"'!$A$12:$Z$12"),0),0)="","?",VLOOKUP(S$1,INDIRECT("'"&amp;$A31&amp;"'!$A$12:$Z$41"),MATCH("Points (Auto-generate)",INDIRECT("'"&amp;$A31&amp;"'!$A$12:$Z$12"),0),0)),"ER"))</f>
        <v>?</v>
      </c>
      <c r="T31" s="86" t="str">
        <f aca="true">IF($H31=0,"NA",IF($A31=INDIRECT("'"&amp;$A31&amp;"'!$B$1"),IF(VLOOKUP(T$1,INDIRECT("'"&amp;$A31&amp;"'!$A$12:$Z$41"),MATCH("Points (Auto-generate)",INDIRECT("'"&amp;$A31&amp;"'!$A$12:$Z$12"),0),0)="","?",VLOOKUP(T$1,INDIRECT("'"&amp;$A31&amp;"'!$A$12:$Z$41"),MATCH("Points (Auto-generate)",INDIRECT("'"&amp;$A31&amp;"'!$A$12:$Z$12"),0),0)),"ER"))</f>
        <v>?</v>
      </c>
      <c r="U31" s="86" t="str">
        <f aca="true">IF($H31=0,"NA",IF($A31=INDIRECT("'"&amp;$A31&amp;"'!$B$1"),IF(VLOOKUP(U$1,INDIRECT("'"&amp;$A31&amp;"'!$A$12:$Z$41"),MATCH("Points (Auto-generate)",INDIRECT("'"&amp;$A31&amp;"'!$A$12:$Z$12"),0),0)="","?",VLOOKUP(U$1,INDIRECT("'"&amp;$A31&amp;"'!$A$12:$Z$41"),MATCH("Points (Auto-generate)",INDIRECT("'"&amp;$A31&amp;"'!$A$12:$Z$12"),0),0)),"ER"))</f>
        <v>?</v>
      </c>
      <c r="V31" s="86" t="str">
        <f aca="true">IF($H31=0,"NA",IF($A31=INDIRECT("'"&amp;$A31&amp;"'!$B$1"),IF(VLOOKUP(V$1,INDIRECT("'"&amp;$A31&amp;"'!$A$12:$Z$41"),MATCH("Points (Auto-generate)",INDIRECT("'"&amp;$A31&amp;"'!$A$12:$Z$12"),0),0)="","?",VLOOKUP(V$1,INDIRECT("'"&amp;$A31&amp;"'!$A$12:$Z$41"),MATCH("Points (Auto-generate)",INDIRECT("'"&amp;$A31&amp;"'!$A$12:$Z$12"),0),0)),"ER"))</f>
        <v>?</v>
      </c>
      <c r="W31" s="86" t="str">
        <f aca="true">IF($H31=0,"NA",IF($A31=INDIRECT("'"&amp;$A31&amp;"'!$B$1"),IF(VLOOKUP(W$1,INDIRECT("'"&amp;$A31&amp;"'!$A$12:$Z$41"),MATCH("Points (Auto-generate)",INDIRECT("'"&amp;$A31&amp;"'!$A$12:$Z$12"),0),0)="","?",VLOOKUP(W$1,INDIRECT("'"&amp;$A31&amp;"'!$A$12:$Z$41"),MATCH("Points (Auto-generate)",INDIRECT("'"&amp;$A31&amp;"'!$A$12:$Z$12"),0),0)),"ER"))</f>
        <v>?</v>
      </c>
      <c r="X31" s="86" t="str">
        <f aca="true">IF($H31=0,"NA",IF($A31=INDIRECT("'"&amp;$A31&amp;"'!$B$1"),IF(VLOOKUP(X$1,INDIRECT("'"&amp;$A31&amp;"'!$A$12:$Z$41"),MATCH("Points (Auto-generate)",INDIRECT("'"&amp;$A31&amp;"'!$A$12:$Z$12"),0),0)="","?",VLOOKUP(X$1,INDIRECT("'"&amp;$A31&amp;"'!$A$12:$Z$41"),MATCH("Points (Auto-generate)",INDIRECT("'"&amp;$A31&amp;"'!$A$12:$Z$12"),0),0)),"ER"))</f>
        <v>?</v>
      </c>
      <c r="Y31" s="86" t="str">
        <f aca="true">IF($H31=0,"NA",IF($A31=INDIRECT("'"&amp;$A31&amp;"'!$B$1"),IF(VLOOKUP(Y$1,INDIRECT("'"&amp;$A31&amp;"'!$A$12:$Z$41"),MATCH("Points (Auto-generate)",INDIRECT("'"&amp;$A31&amp;"'!$A$12:$Z$12"),0),0)="","?",VLOOKUP(Y$1,INDIRECT("'"&amp;$A31&amp;"'!$A$12:$Z$41"),MATCH("Points (Auto-generate)",INDIRECT("'"&amp;$A31&amp;"'!$A$12:$Z$12"),0),0)),"ER"))</f>
        <v>?</v>
      </c>
      <c r="Z31" s="86" t="str">
        <f aca="true">IF($H31=0,"NA",IF($A31=INDIRECT("'"&amp;$A31&amp;"'!$B$1"),IF(VLOOKUP(Z$1,INDIRECT("'"&amp;$A31&amp;"'!$A$12:$Z$41"),MATCH("Points (Auto-generate)",INDIRECT("'"&amp;$A31&amp;"'!$A$12:$Z$12"),0),0)="","?",VLOOKUP(Z$1,INDIRECT("'"&amp;$A31&amp;"'!$A$12:$Z$41"),MATCH("Points (Auto-generate)",INDIRECT("'"&amp;$A31&amp;"'!$A$12:$Z$12"),0),0)),"ER"))</f>
        <v>?</v>
      </c>
      <c r="AA31" s="86" t="str">
        <f aca="true">IF($H31=0,"NA",IF($A31=INDIRECT("'"&amp;$A31&amp;"'!$B$1"),IF(VLOOKUP(AA$1,INDIRECT("'"&amp;$A31&amp;"'!$A$12:$Z$41"),MATCH("Points (Auto-generate)",INDIRECT("'"&amp;$A31&amp;"'!$A$12:$Z$12"),0),0)="","?",VLOOKUP(AA$1,INDIRECT("'"&amp;$A31&amp;"'!$A$12:$Z$41"),MATCH("Points (Auto-generate)",INDIRECT("'"&amp;$A31&amp;"'!$A$12:$Z$12"),0),0)),"ER"))</f>
        <v>?</v>
      </c>
      <c r="AB31" s="86" t="str">
        <f aca="true">IF($H31=0,"NA",IF($A31=INDIRECT("'"&amp;$A31&amp;"'!$B$1"),IF(VLOOKUP(AB$1,INDIRECT("'"&amp;$A31&amp;"'!$A$12:$Z$41"),MATCH("Points (Auto-generate)",INDIRECT("'"&amp;$A31&amp;"'!$A$12:$Z$12"),0),0)="","?",VLOOKUP(AB$1,INDIRECT("'"&amp;$A31&amp;"'!$A$12:$Z$41"),MATCH("Points (Auto-generate)",INDIRECT("'"&amp;$A31&amp;"'!$A$12:$Z$12"),0),0)),"ER"))</f>
        <v>?</v>
      </c>
      <c r="AC31" s="86" t="str">
        <f aca="true">IF($H31=0,"NA",IF($A31=INDIRECT("'"&amp;$A31&amp;"'!$B$1"),IF(VLOOKUP(AC$1,INDIRECT("'"&amp;$A31&amp;"'!$A$12:$Z$41"),MATCH("Points (Auto-generate)",INDIRECT("'"&amp;$A31&amp;"'!$A$12:$Z$12"),0),0)="","?",VLOOKUP(AC$1,INDIRECT("'"&amp;$A31&amp;"'!$A$12:$Z$41"),MATCH("Points (Auto-generate)",INDIRECT("'"&amp;$A31&amp;"'!$A$12:$Z$12"),0),0)),"ER"))</f>
        <v>?</v>
      </c>
      <c r="AD31" s="86" t="str">
        <f aca="true">IF($H31=0,"NA",IF($A31=INDIRECT("'"&amp;$A31&amp;"'!$B$1"),IF(VLOOKUP(AD$1,INDIRECT("'"&amp;$A31&amp;"'!$A$12:$Z$41"),MATCH("Points (Auto-generate)",INDIRECT("'"&amp;$A31&amp;"'!$A$12:$Z$12"),0),0)="","?",VLOOKUP(AD$1,INDIRECT("'"&amp;$A31&amp;"'!$A$12:$Z$41"),MATCH("Points (Auto-generate)",INDIRECT("'"&amp;$A31&amp;"'!$A$12:$Z$12"),0),0)),"ER"))</f>
        <v>?</v>
      </c>
      <c r="AE31" s="86" t="str">
        <f aca="true">IF($H31=0,"NA",IF($A31=INDIRECT("'"&amp;$A31&amp;"'!$B$1"),IF(VLOOKUP(AE$1,INDIRECT("'"&amp;$A31&amp;"'!$A$12:$Z$41"),MATCH("Points (Auto-generate)",INDIRECT("'"&amp;$A31&amp;"'!$A$12:$Z$12"),0),0)="","?",VLOOKUP(AE$1,INDIRECT("'"&amp;$A31&amp;"'!$A$12:$Z$41"),MATCH("Points (Auto-generate)",INDIRECT("'"&amp;$A31&amp;"'!$A$12:$Z$12"),0),0)),"ER"))</f>
        <v>?</v>
      </c>
      <c r="AF31" s="86" t="str">
        <f aca="true">IF($H31=0,"NA",IF($A31=INDIRECT("'"&amp;$A31&amp;"'!$B$1"),IF(VLOOKUP(AF$1,INDIRECT("'"&amp;$A31&amp;"'!$A$12:$Z$41"),MATCH("Points (Auto-generate)",INDIRECT("'"&amp;$A31&amp;"'!$A$12:$Z$12"),0),0)="","?",VLOOKUP(AF$1,INDIRECT("'"&amp;$A31&amp;"'!$A$12:$Z$41"),MATCH("Points (Auto-generate)",INDIRECT("'"&amp;$A31&amp;"'!$A$12:$Z$12"),0),0)),"ER"))</f>
        <v>?</v>
      </c>
      <c r="AG31" s="86" t="str">
        <f aca="true">IF($H31=0,"NA",IF($A31=INDIRECT("'"&amp;$A31&amp;"'!$B$1"),IF(VLOOKUP(AG$1,INDIRECT("'"&amp;$A31&amp;"'!$A$12:$Z$41"),MATCH("Points (Auto-generate)",INDIRECT("'"&amp;$A31&amp;"'!$A$12:$Z$12"),0),0)="","?",VLOOKUP(AG$1,INDIRECT("'"&amp;$A31&amp;"'!$A$12:$Z$41"),MATCH("Points (Auto-generate)",INDIRECT("'"&amp;$A31&amp;"'!$A$12:$Z$12"),0),0)),"ER"))</f>
        <v>?</v>
      </c>
      <c r="AH31" s="86" t="str">
        <f aca="true">IF($H31=0,"NA",IF($A31=INDIRECT("'"&amp;$A31&amp;"'!$B$1"),IF(VLOOKUP(AH$1,INDIRECT("'"&amp;$A31&amp;"'!$A$12:$Z$41"),MATCH("Points (Auto-generate)",INDIRECT("'"&amp;$A31&amp;"'!$A$12:$Z$12"),0),0)="","?",VLOOKUP(AH$1,INDIRECT("'"&amp;$A31&amp;"'!$A$12:$Z$41"),MATCH("Points (Auto-generate)",INDIRECT("'"&amp;$A31&amp;"'!$A$12:$Z$12"),0),0)),"ER"))</f>
        <v>?</v>
      </c>
      <c r="AI31" s="86" t="str">
        <f aca="true">IF($H31=0,"NA",IF($A31=INDIRECT("'"&amp;$A31&amp;"'!$B$1"),IF(VLOOKUP(AI$1,INDIRECT("'"&amp;$A31&amp;"'!$A$12:$Z$41"),MATCH("Points (Auto-generate)",INDIRECT("'"&amp;$A31&amp;"'!$A$12:$Z$12"),0),0)="","?",VLOOKUP(AI$1,INDIRECT("'"&amp;$A31&amp;"'!$A$12:$Z$41"),MATCH("Points (Auto-generate)",INDIRECT("'"&amp;$A31&amp;"'!$A$12:$Z$12"),0),0)),"ER"))</f>
        <v>?</v>
      </c>
      <c r="AJ31" s="86" t="str">
        <f aca="true">IF($H31=0,"NA",IF($A31=INDIRECT("'"&amp;$A31&amp;"'!$B$1"),IF(VLOOKUP(AJ$1,INDIRECT("'"&amp;$A31&amp;"'!$A$12:$Z$41"),MATCH("Points (Auto-generate)",INDIRECT("'"&amp;$A31&amp;"'!$A$12:$Z$12"),0),0)="","?",VLOOKUP(AJ$1,INDIRECT("'"&amp;$A31&amp;"'!$A$12:$Z$41"),MATCH("Points (Auto-generate)",INDIRECT("'"&amp;$A31&amp;"'!$A$12:$Z$12"),0),0)),"ER"))</f>
        <v>?</v>
      </c>
      <c r="AK31" s="86" t="str">
        <f aca="true">IF($H31=0,"NA",IF($A31=INDIRECT("'"&amp;$A31&amp;"'!$B$1"),IF(VLOOKUP(AK$1,INDIRECT("'"&amp;$A31&amp;"'!$A$12:$Z$41"),MATCH("Points (Auto-generate)",INDIRECT("'"&amp;$A31&amp;"'!$A$12:$Z$12"),0),0)="","?",VLOOKUP(AK$1,INDIRECT("'"&amp;$A31&amp;"'!$A$12:$Z$41"),MATCH("Points (Auto-generate)",INDIRECT("'"&amp;$A31&amp;"'!$A$12:$Z$12"),0),0)),"ER"))</f>
        <v>?</v>
      </c>
    </row>
    <row r="32" customFormat="false" ht="14.25" hidden="false" customHeight="false" outlineLevel="0" collapsed="false">
      <c r="A32" s="82" t="s">
        <v>466</v>
      </c>
      <c r="B32" s="83" t="str">
        <f aca="false">IF(ISBLANK($A32),"NO_CODE",VLOOKUP($A32,'UPD Questions_290926 '!$E$1:$N$300,MATCH(B$1,'UPD Questions_290926 '!$E$1:$N$1,0),0)&amp;"")</f>
        <v>Implementation</v>
      </c>
      <c r="C32" s="83" t="str">
        <f aca="false">IF(ISBLANK($A32),"NO_CODE",VLOOKUP($A32,'UPD Questions_290926 '!$E$1:$N$300,MATCH(C$1,'UPD Questions_290926 '!$E$1:$N$1,0),0)&amp;"")</f>
        <v>Municipal/City Plan status, hierarchy and coordination</v>
      </c>
      <c r="D32" s="83" t="str">
        <f aca="false">IF(ISBLANK($A32),"NO_CODE",VLOOKUP($A32,'UPD Questions_290926 '!$E$1:$N$300,MATCH(D$1,'UPD Questions_290926 '!$E$1:$N$1,0),0)&amp;"")</f>
        <v>Existence of Municipal/City Plans at each level</v>
      </c>
      <c r="E32" s="83" t="str">
        <f aca="false">IF(ISBLANK($A32),"NO_CODE",VLOOKUP($A32,'UPD Questions_290926 '!$E$1:$N$300,MATCH(E$1,'UPD Questions_290926 '!$E$1:$N$1,0),0)&amp;"")</f>
        <v>MQ</v>
      </c>
      <c r="F32" s="83" t="str">
        <f aca="false">IF(ISBLANK($A32),"NO_CODE",VLOOKUP($A32,'UPD Questions_290926 '!$E$1:$N$300,MATCH(F$1,'UPD Questions_290926 '!$E$1:$N$1,0),0)&amp;"")</f>
        <v>Are the spatial plans at the Metropolitan/Regional, Municipal and Ward(s) /Local level notified?</v>
      </c>
      <c r="G32" s="83" t="str">
        <f aca="false">IF(ISBLANK($A32),"NO_CODE",VLOOKUP($A32,'UPD Questions_290926 '!$E$1:$N$300,MATCH(G$1,'UPD Questions_290926 '!$E$1:$N$1,0),0)&amp;"")</f>
        <v>Implementation</v>
      </c>
      <c r="H32" s="85" t="n">
        <f aca="false">IF(ISBLANK($A32),"NO_CODE",VLOOKUP($A32,'UPD Questions_290926 '!$E$1:$N$300,MATCH(H$1,'UPD Questions_290926 '!$E$1:$N$1,0),0))</f>
        <v>10</v>
      </c>
      <c r="I32" s="86" t="str">
        <f aca="false">IF(OR(I33="ER",I34="ER",I35="ER"),"ER",IF(OR(I33="?",I34="?",I35="?"),"?",IF(AND(I33="NA",I34="NA",I35="NA"),"NA",SUM(I33,I34,I35)/((I33&lt;&gt;"NA")*$H$33+(I34&lt;&gt;"NA")*$H$34+(I35&lt;&gt;"NA")*$H$35)*$H32)))</f>
        <v>?</v>
      </c>
      <c r="J32" s="86" t="str">
        <f aca="false">IF(OR(J33="ER",J34="ER",J35="ER"),"ER",IF(OR(J33="?",J34="?",J35="?"),"?",IF(AND(J33="NA",J34="NA",J35="NA"),"NA",SUM(J33,J34,J35)/((J33&lt;&gt;"NA")*$H$33+(J34&lt;&gt;"NA")*$H$34+(J35&lt;&gt;"NA")*$H$35)*$H32)))</f>
        <v>?</v>
      </c>
      <c r="K32" s="86" t="str">
        <f aca="false">IF(OR(K33="ER",K34="ER",K35="ER"),"ER",IF(OR(K33="?",K34="?",K35="?"),"?",IF(AND(K33="NA",K34="NA",K35="NA"),"NA",SUM(K33,K34,K35)/((K33&lt;&gt;"NA")*$H$33+(K34&lt;&gt;"NA")*$H$34+(K35&lt;&gt;"NA")*$H$35)*$H32)))</f>
        <v>?</v>
      </c>
      <c r="L32" s="86" t="str">
        <f aca="false">IF(OR(L33="ER",L34="ER",L35="ER"),"ER",IF(OR(L33="?",L34="?",L35="?"),"?",IF(AND(L33="NA",L34="NA",L35="NA"),"NA",SUM(L33,L34,L35)/((L33&lt;&gt;"NA")*$H$33+(L34&lt;&gt;"NA")*$H$34+(L35&lt;&gt;"NA")*$H$35)*$H32)))</f>
        <v>?</v>
      </c>
      <c r="M32" s="86" t="str">
        <f aca="false">IF(OR(M33="ER",M34="ER",M35="ER"),"ER",IF(OR(M33="?",M34="?",M35="?"),"?",IF(AND(M33="NA",M34="NA",M35="NA"),"NA",SUM(M33,M34,M35)/((M33&lt;&gt;"NA")*$H$33+(M34&lt;&gt;"NA")*$H$34+(M35&lt;&gt;"NA")*$H$35)*$H32)))</f>
        <v>?</v>
      </c>
      <c r="N32" s="86" t="str">
        <f aca="false">IF(OR(N33="ER",N34="ER",N35="ER"),"ER",IF(OR(N33="?",N34="?",N35="?"),"?",IF(AND(N33="NA",N34="NA",N35="NA"),"NA",SUM(N33,N34,N35)/((N33&lt;&gt;"NA")*$H$33+(N34&lt;&gt;"NA")*$H$34+(N35&lt;&gt;"NA")*$H$35)*$H32)))</f>
        <v>?</v>
      </c>
      <c r="O32" s="86" t="str">
        <f aca="false">IF(OR(O33="ER",O34="ER",O35="ER"),"ER",IF(OR(O33="?",O34="?",O35="?"),"?",IF(AND(O33="NA",O34="NA",O35="NA"),"NA",SUM(O33,O34,O35)/((O33&lt;&gt;"NA")*$H$33+(O34&lt;&gt;"NA")*$H$34+(O35&lt;&gt;"NA")*$H$35)*$H32)))</f>
        <v>?</v>
      </c>
      <c r="P32" s="86" t="str">
        <f aca="false">IF(OR(P33="ER",P34="ER",P35="ER"),"ER",IF(OR(P33="?",P34="?",P35="?"),"?",IF(AND(P33="NA",P34="NA",P35="NA"),"NA",SUM(P33,P34,P35)/((P33&lt;&gt;"NA")*$H$33+(P34&lt;&gt;"NA")*$H$34+(P35&lt;&gt;"NA")*$H$35)*$H32)))</f>
        <v>?</v>
      </c>
      <c r="Q32" s="86" t="str">
        <f aca="false">IF(OR(Q33="ER",Q34="ER",Q35="ER"),"ER",IF(OR(Q33="?",Q34="?",Q35="?"),"?",IF(AND(Q33="NA",Q34="NA",Q35="NA"),"NA",SUM(Q33,Q34,Q35)/((Q33&lt;&gt;"NA")*$H$33+(Q34&lt;&gt;"NA")*$H$34+(Q35&lt;&gt;"NA")*$H$35)*$H32)))</f>
        <v>?</v>
      </c>
      <c r="R32" s="86" t="str">
        <f aca="false">IF(OR(R33="ER",R34="ER",R35="ER"),"ER",IF(OR(R33="?",R34="?",R35="?"),"?",IF(AND(R33="NA",R34="NA",R35="NA"),"NA",SUM(R33,R34,R35)/((R33&lt;&gt;"NA")*$H$33+(R34&lt;&gt;"NA")*$H$34+(R35&lt;&gt;"NA")*$H$35)*$H32)))</f>
        <v>?</v>
      </c>
      <c r="S32" s="86" t="str">
        <f aca="false">IF(OR(S33="ER",S34="ER",S35="ER"),"ER",IF(OR(S33="?",S34="?",S35="?"),"?",IF(AND(S33="NA",S34="NA",S35="NA"),"NA",SUM(S33,S34,S35)/((S33&lt;&gt;"NA")*$H$33+(S34&lt;&gt;"NA")*$H$34+(S35&lt;&gt;"NA")*$H$35)*$H32)))</f>
        <v>?</v>
      </c>
      <c r="T32" s="86" t="str">
        <f aca="false">IF(OR(T33="ER",T34="ER",T35="ER"),"ER",IF(OR(T33="?",T34="?",T35="?"),"?",IF(AND(T33="NA",T34="NA",T35="NA"),"NA",SUM(T33,T34,T35)/((T33&lt;&gt;"NA")*$H$33+(T34&lt;&gt;"NA")*$H$34+(T35&lt;&gt;"NA")*$H$35)*$H32)))</f>
        <v>?</v>
      </c>
      <c r="U32" s="86" t="str">
        <f aca="false">IF(OR(U33="ER",U34="ER",U35="ER"),"ER",IF(OR(U33="?",U34="?",U35="?"),"?",IF(AND(U33="NA",U34="NA",U35="NA"),"NA",SUM(U33,U34,U35)/((U33&lt;&gt;"NA")*$H$33+(U34&lt;&gt;"NA")*$H$34+(U35&lt;&gt;"NA")*$H$35)*$H32)))</f>
        <v>?</v>
      </c>
      <c r="V32" s="86" t="str">
        <f aca="false">IF(OR(V33="ER",V34="ER",V35="ER"),"ER",IF(OR(V33="?",V34="?",V35="?"),"?",IF(AND(V33="NA",V34="NA",V35="NA"),"NA",SUM(V33,V34,V35)/((V33&lt;&gt;"NA")*$H$33+(V34&lt;&gt;"NA")*$H$34+(V35&lt;&gt;"NA")*$H$35)*$H32)))</f>
        <v>?</v>
      </c>
      <c r="W32" s="86" t="str">
        <f aca="false">IF(OR(W33="ER",W34="ER",W35="ER"),"ER",IF(OR(W33="?",W34="?",W35="?"),"?",IF(AND(W33="NA",W34="NA",W35="NA"),"NA",SUM(W33,W34,W35)/((W33&lt;&gt;"NA")*$H$33+(W34&lt;&gt;"NA")*$H$34+(W35&lt;&gt;"NA")*$H$35)*$H32)))</f>
        <v>?</v>
      </c>
      <c r="X32" s="86" t="str">
        <f aca="false">IF(OR(X33="ER",X34="ER",X35="ER"),"ER",IF(OR(X33="?",X34="?",X35="?"),"?",IF(AND(X33="NA",X34="NA",X35="NA"),"NA",SUM(X33,X34,X35)/((X33&lt;&gt;"NA")*$H$33+(X34&lt;&gt;"NA")*$H$34+(X35&lt;&gt;"NA")*$H$35)*$H32)))</f>
        <v>?</v>
      </c>
      <c r="Y32" s="86" t="str">
        <f aca="false">IF(OR(Y33="ER",Y34="ER",Y35="ER"),"ER",IF(OR(Y33="?",Y34="?",Y35="?"),"?",IF(AND(Y33="NA",Y34="NA",Y35="NA"),"NA",SUM(Y33,Y34,Y35)/((Y33&lt;&gt;"NA")*$H$33+(Y34&lt;&gt;"NA")*$H$34+(Y35&lt;&gt;"NA")*$H$35)*$H32)))</f>
        <v>?</v>
      </c>
      <c r="Z32" s="86" t="str">
        <f aca="false">IF(OR(Z33="ER",Z34="ER",Z35="ER"),"ER",IF(OR(Z33="?",Z34="?",Z35="?"),"?",IF(AND(Z33="NA",Z34="NA",Z35="NA"),"NA",SUM(Z33,Z34,Z35)/((Z33&lt;&gt;"NA")*$H$33+(Z34&lt;&gt;"NA")*$H$34+(Z35&lt;&gt;"NA")*$H$35)*$H32)))</f>
        <v>?</v>
      </c>
      <c r="AA32" s="86" t="str">
        <f aca="false">IF(OR(AA33="ER",AA34="ER",AA35="ER"),"ER",IF(OR(AA33="?",AA34="?",AA35="?"),"?",IF(AND(AA33="NA",AA34="NA",AA35="NA"),"NA",SUM(AA33,AA34,AA35)/((AA33&lt;&gt;"NA")*$H$33+(AA34&lt;&gt;"NA")*$H$34+(AA35&lt;&gt;"NA")*$H$35)*$H32)))</f>
        <v>?</v>
      </c>
      <c r="AB32" s="86" t="str">
        <f aca="false">IF(OR(AB33="ER",AB34="ER",AB35="ER"),"ER",IF(OR(AB33="?",AB34="?",AB35="?"),"?",IF(AND(AB33="NA",AB34="NA",AB35="NA"),"NA",SUM(AB33,AB34,AB35)/((AB33&lt;&gt;"NA")*$H$33+(AB34&lt;&gt;"NA")*$H$34+(AB35&lt;&gt;"NA")*$H$35)*$H32)))</f>
        <v>?</v>
      </c>
      <c r="AC32" s="86" t="str">
        <f aca="false">IF(OR(AC33="ER",AC34="ER",AC35="ER"),"ER",IF(OR(AC33="?",AC34="?",AC35="?"),"?",IF(AND(AC33="NA",AC34="NA",AC35="NA"),"NA",SUM(AC33,AC34,AC35)/((AC33&lt;&gt;"NA")*$H$33+(AC34&lt;&gt;"NA")*$H$34+(AC35&lt;&gt;"NA")*$H$35)*$H32)))</f>
        <v>?</v>
      </c>
      <c r="AD32" s="86" t="str">
        <f aca="false">IF(OR(AD33="ER",AD34="ER",AD35="ER"),"ER",IF(OR(AD33="?",AD34="?",AD35="?"),"?",IF(AND(AD33="NA",AD34="NA",AD35="NA"),"NA",SUM(AD33,AD34,AD35)/((AD33&lt;&gt;"NA")*$H$33+(AD34&lt;&gt;"NA")*$H$34+(AD35&lt;&gt;"NA")*$H$35)*$H32)))</f>
        <v>?</v>
      </c>
      <c r="AE32" s="86" t="str">
        <f aca="false">IF(OR(AE33="ER",AE34="ER",AE35="ER"),"ER",IF(OR(AE33="?",AE34="?",AE35="?"),"?",IF(AND(AE33="NA",AE34="NA",AE35="NA"),"NA",SUM(AE33,AE34,AE35)/((AE33&lt;&gt;"NA")*$H$33+(AE34&lt;&gt;"NA")*$H$34+(AE35&lt;&gt;"NA")*$H$35)*$H32)))</f>
        <v>?</v>
      </c>
      <c r="AF32" s="86" t="str">
        <f aca="false">IF(OR(AF33="ER",AF34="ER",AF35="ER"),"ER",IF(OR(AF33="?",AF34="?",AF35="?"),"?",IF(AND(AF33="NA",AF34="NA",AF35="NA"),"NA",SUM(AF33,AF34,AF35)/((AF33&lt;&gt;"NA")*$H$33+(AF34&lt;&gt;"NA")*$H$34+(AF35&lt;&gt;"NA")*$H$35)*$H32)))</f>
        <v>?</v>
      </c>
      <c r="AG32" s="86" t="str">
        <f aca="false">IF(OR(AG33="ER",AG34="ER",AG35="ER"),"ER",IF(OR(AG33="?",AG34="?",AG35="?"),"?",IF(AND(AG33="NA",AG34="NA",AG35="NA"),"NA",SUM(AG33,AG34,AG35)/((AG33&lt;&gt;"NA")*$H$33+(AG34&lt;&gt;"NA")*$H$34+(AG35&lt;&gt;"NA")*$H$35)*$H32)))</f>
        <v>?</v>
      </c>
      <c r="AH32" s="86" t="str">
        <f aca="false">IF(OR(AH33="ER",AH34="ER",AH35="ER"),"ER",IF(OR(AH33="?",AH34="?",AH35="?"),"?",IF(AND(AH33="NA",AH34="NA",AH35="NA"),"NA",SUM(AH33,AH34,AH35)/((AH33&lt;&gt;"NA")*$H$33+(AH34&lt;&gt;"NA")*$H$34+(AH35&lt;&gt;"NA")*$H$35)*$H32)))</f>
        <v>?</v>
      </c>
      <c r="AI32" s="86" t="str">
        <f aca="false">IF(OR(AI33="ER",AI34="ER",AI35="ER"),"ER",IF(OR(AI33="?",AI34="?",AI35="?"),"?",IF(AND(AI33="NA",AI34="NA",AI35="NA"),"NA",SUM(AI33,AI34,AI35)/((AI33&lt;&gt;"NA")*$H$33+(AI34&lt;&gt;"NA")*$H$34+(AI35&lt;&gt;"NA")*$H$35)*$H32)))</f>
        <v>?</v>
      </c>
      <c r="AJ32" s="86" t="str">
        <f aca="false">IF(OR(AJ33="ER",AJ34="ER",AJ35="ER"),"ER",IF(OR(AJ33="?",AJ34="?",AJ35="?"),"?",IF(AND(AJ33="NA",AJ34="NA",AJ35="NA"),"NA",SUM(AJ33,AJ34,AJ35)/((AJ33&lt;&gt;"NA")*$H$33+(AJ34&lt;&gt;"NA")*$H$34+(AJ35&lt;&gt;"NA")*$H$35)*$H32)))</f>
        <v>?</v>
      </c>
      <c r="AK32" s="86" t="str">
        <f aca="false">IF(OR(AK33="ER",AK34="ER",AK35="ER"),"ER",IF(OR(AK33="?",AK34="?",AK35="?"),"?",IF(AND(AK33="NA",AK34="NA",AK35="NA"),"NA",SUM(AK33,AK34,AK35)/((AK33&lt;&gt;"NA")*$H$33+(AK34&lt;&gt;"NA")*$H$34+(AK35&lt;&gt;"NA")*$H$35)*$H32)))</f>
        <v>?</v>
      </c>
    </row>
    <row r="33" customFormat="false" ht="14.25" hidden="false" customHeight="false" outlineLevel="0" collapsed="false">
      <c r="A33" s="82" t="s">
        <v>153</v>
      </c>
      <c r="B33" s="83" t="str">
        <f aca="false">IF(ISBLANK($A33),"NO_CODE",VLOOKUP($A33,'UPD Questions_290926 '!$E$1:$N$300,MATCH(B$1,'UPD Questions_290926 '!$E$1:$N$1,0),0)&amp;"")</f>
        <v>Implementation</v>
      </c>
      <c r="C33" s="83" t="str">
        <f aca="false">IF(ISBLANK($A33),"NO_CODE",VLOOKUP($A33,'UPD Questions_290926 '!$E$1:$N$300,MATCH(C$1,'UPD Questions_290926 '!$E$1:$N$1,0),0)&amp;"")</f>
        <v>Municipal/City Plan status, hierarchy and coordination</v>
      </c>
      <c r="D33" s="83" t="str">
        <f aca="false">IF(ISBLANK($A33),"NO_CODE",VLOOKUP($A33,'UPD Questions_290926 '!$E$1:$N$300,MATCH(D$1,'UPD Questions_290926 '!$E$1:$N$1,0),0)&amp;"")</f>
        <v>Existence of Municipal/City Plans at each level</v>
      </c>
      <c r="E33" s="83" t="str">
        <f aca="false">IF(ISBLANK($A33),"NO_CODE",VLOOKUP($A33,'UPD Questions_290926 '!$E$1:$N$300,MATCH(E$1,'UPD Questions_290926 '!$E$1:$N$1,0),0)&amp;"")</f>
        <v>SQ</v>
      </c>
      <c r="F33" s="83" t="str">
        <f aca="false">IF(ISBLANK($A33),"NO_CODE",VLOOKUP($A33,'UPD Questions_290926 '!$E$1:$N$300,MATCH(F$1,'UPD Questions_290926 '!$E$1:$N$1,0),0)&amp;"")</f>
        <v>Is there a Metropolitan/Regional Plan?</v>
      </c>
      <c r="G33" s="83" t="str">
        <f aca="false">IF(ISBLANK($A33),"NO_CODE",VLOOKUP($A33,'UPD Questions_290926 '!$E$1:$N$300,MATCH(G$1,'UPD Questions_290926 '!$E$1:$N$1,0),0)&amp;"")</f>
        <v>Implementation</v>
      </c>
      <c r="H33" s="85" t="n">
        <f aca="false">IF(ISBLANK($A33),"NO_CODE",VLOOKUP($A33,'UPD Questions_290926 '!$E$1:$N$300,MATCH(H$1,'UPD Questions_290926 '!$E$1:$N$1,0),0))</f>
        <v>3.33</v>
      </c>
      <c r="I33" s="86" t="str">
        <f aca="true">IF($H33=0,"NA",IF($A33=INDIRECT("'"&amp;$A33&amp;"'!$B$1"),IF(VLOOKUP(I$1,INDIRECT("'"&amp;$A33&amp;"'!$A$12:$Z$41"),MATCH("Points (Auto-generate)",INDIRECT("'"&amp;$A33&amp;"'!$A$12:$Z$12"),0),0)="","?",VLOOKUP(I$1,INDIRECT("'"&amp;$A33&amp;"'!$A$12:$Z$41"),MATCH("Points (Auto-generate)",INDIRECT("'"&amp;$A33&amp;"'!$A$12:$Z$12"),0),0)),"ER"))</f>
        <v>?</v>
      </c>
      <c r="J33" s="86" t="str">
        <f aca="true">IF($H33=0,"NA",IF($A33=INDIRECT("'"&amp;$A33&amp;"'!$B$1"),IF(VLOOKUP(J$1,INDIRECT("'"&amp;$A33&amp;"'!$A$12:$Z$41"),MATCH("Points (Auto-generate)",INDIRECT("'"&amp;$A33&amp;"'!$A$12:$Z$12"),0),0)="","?",VLOOKUP(J$1,INDIRECT("'"&amp;$A33&amp;"'!$A$12:$Z$41"),MATCH("Points (Auto-generate)",INDIRECT("'"&amp;$A33&amp;"'!$A$12:$Z$12"),0),0)),"ER"))</f>
        <v>?</v>
      </c>
      <c r="K33" s="86" t="str">
        <f aca="true">IF($H33=0,"NA",IF($A33=INDIRECT("'"&amp;$A33&amp;"'!$B$1"),IF(VLOOKUP(K$1,INDIRECT("'"&amp;$A33&amp;"'!$A$12:$Z$41"),MATCH("Points (Auto-generate)",INDIRECT("'"&amp;$A33&amp;"'!$A$12:$Z$12"),0),0)="","?",VLOOKUP(K$1,INDIRECT("'"&amp;$A33&amp;"'!$A$12:$Z$41"),MATCH("Points (Auto-generate)",INDIRECT("'"&amp;$A33&amp;"'!$A$12:$Z$12"),0),0)),"ER"))</f>
        <v>?</v>
      </c>
      <c r="L33" s="86" t="str">
        <f aca="true">IF($H33=0,"NA",IF($A33=INDIRECT("'"&amp;$A33&amp;"'!$B$1"),IF(VLOOKUP(L$1,INDIRECT("'"&amp;$A33&amp;"'!$A$12:$Z$41"),MATCH("Points (Auto-generate)",INDIRECT("'"&amp;$A33&amp;"'!$A$12:$Z$12"),0),0)="","?",VLOOKUP(L$1,INDIRECT("'"&amp;$A33&amp;"'!$A$12:$Z$41"),MATCH("Points (Auto-generate)",INDIRECT("'"&amp;$A33&amp;"'!$A$12:$Z$12"),0),0)),"ER"))</f>
        <v>?</v>
      </c>
      <c r="M33" s="86" t="str">
        <f aca="true">IF($H33=0,"NA",IF($A33=INDIRECT("'"&amp;$A33&amp;"'!$B$1"),IF(VLOOKUP(M$1,INDIRECT("'"&amp;$A33&amp;"'!$A$12:$Z$41"),MATCH("Points (Auto-generate)",INDIRECT("'"&amp;$A33&amp;"'!$A$12:$Z$12"),0),0)="","?",VLOOKUP(M$1,INDIRECT("'"&amp;$A33&amp;"'!$A$12:$Z$41"),MATCH("Points (Auto-generate)",INDIRECT("'"&amp;$A33&amp;"'!$A$12:$Z$12"),0),0)),"ER"))</f>
        <v>?</v>
      </c>
      <c r="N33" s="86" t="str">
        <f aca="true">IF($H33=0,"NA",IF($A33=INDIRECT("'"&amp;$A33&amp;"'!$B$1"),IF(VLOOKUP(N$1,INDIRECT("'"&amp;$A33&amp;"'!$A$12:$Z$41"),MATCH("Points (Auto-generate)",INDIRECT("'"&amp;$A33&amp;"'!$A$12:$Z$12"),0),0)="","?",VLOOKUP(N$1,INDIRECT("'"&amp;$A33&amp;"'!$A$12:$Z$41"),MATCH("Points (Auto-generate)",INDIRECT("'"&amp;$A33&amp;"'!$A$12:$Z$12"),0),0)),"ER"))</f>
        <v>?</v>
      </c>
      <c r="O33" s="86" t="str">
        <f aca="true">IF($H33=0,"NA",IF($A33=INDIRECT("'"&amp;$A33&amp;"'!$B$1"),IF(VLOOKUP(O$1,INDIRECT("'"&amp;$A33&amp;"'!$A$12:$Z$41"),MATCH("Points (Auto-generate)",INDIRECT("'"&amp;$A33&amp;"'!$A$12:$Z$12"),0),0)="","?",VLOOKUP(O$1,INDIRECT("'"&amp;$A33&amp;"'!$A$12:$Z$41"),MATCH("Points (Auto-generate)",INDIRECT("'"&amp;$A33&amp;"'!$A$12:$Z$12"),0),0)),"ER"))</f>
        <v>?</v>
      </c>
      <c r="P33" s="86" t="str">
        <f aca="true">IF($H33=0,"NA",IF($A33=INDIRECT("'"&amp;$A33&amp;"'!$B$1"),IF(VLOOKUP(P$1,INDIRECT("'"&amp;$A33&amp;"'!$A$12:$Z$41"),MATCH("Points (Auto-generate)",INDIRECT("'"&amp;$A33&amp;"'!$A$12:$Z$12"),0),0)="","?",VLOOKUP(P$1,INDIRECT("'"&amp;$A33&amp;"'!$A$12:$Z$41"),MATCH("Points (Auto-generate)",INDIRECT("'"&amp;$A33&amp;"'!$A$12:$Z$12"),0),0)),"ER"))</f>
        <v>?</v>
      </c>
      <c r="Q33" s="86" t="str">
        <f aca="true">IF($H33=0,"NA",IF($A33=INDIRECT("'"&amp;$A33&amp;"'!$B$1"),IF(VLOOKUP(Q$1,INDIRECT("'"&amp;$A33&amp;"'!$A$12:$Z$41"),MATCH("Points (Auto-generate)",INDIRECT("'"&amp;$A33&amp;"'!$A$12:$Z$12"),0),0)="","?",VLOOKUP(Q$1,INDIRECT("'"&amp;$A33&amp;"'!$A$12:$Z$41"),MATCH("Points (Auto-generate)",INDIRECT("'"&amp;$A33&amp;"'!$A$12:$Z$12"),0),0)),"ER"))</f>
        <v>?</v>
      </c>
      <c r="R33" s="86" t="str">
        <f aca="true">IF($H33=0,"NA",IF($A33=INDIRECT("'"&amp;$A33&amp;"'!$B$1"),IF(VLOOKUP(R$1,INDIRECT("'"&amp;$A33&amp;"'!$A$12:$Z$41"),MATCH("Points (Auto-generate)",INDIRECT("'"&amp;$A33&amp;"'!$A$12:$Z$12"),0),0)="","?",VLOOKUP(R$1,INDIRECT("'"&amp;$A33&amp;"'!$A$12:$Z$41"),MATCH("Points (Auto-generate)",INDIRECT("'"&amp;$A33&amp;"'!$A$12:$Z$12"),0),0)),"ER"))</f>
        <v>?</v>
      </c>
      <c r="S33" s="86" t="str">
        <f aca="true">IF($H33=0,"NA",IF($A33=INDIRECT("'"&amp;$A33&amp;"'!$B$1"),IF(VLOOKUP(S$1,INDIRECT("'"&amp;$A33&amp;"'!$A$12:$Z$41"),MATCH("Points (Auto-generate)",INDIRECT("'"&amp;$A33&amp;"'!$A$12:$Z$12"),0),0)="","?",VLOOKUP(S$1,INDIRECT("'"&amp;$A33&amp;"'!$A$12:$Z$41"),MATCH("Points (Auto-generate)",INDIRECT("'"&amp;$A33&amp;"'!$A$12:$Z$12"),0),0)),"ER"))</f>
        <v>?</v>
      </c>
      <c r="T33" s="86" t="str">
        <f aca="true">IF($H33=0,"NA",IF($A33=INDIRECT("'"&amp;$A33&amp;"'!$B$1"),IF(VLOOKUP(T$1,INDIRECT("'"&amp;$A33&amp;"'!$A$12:$Z$41"),MATCH("Points (Auto-generate)",INDIRECT("'"&amp;$A33&amp;"'!$A$12:$Z$12"),0),0)="","?",VLOOKUP(T$1,INDIRECT("'"&amp;$A33&amp;"'!$A$12:$Z$41"),MATCH("Points (Auto-generate)",INDIRECT("'"&amp;$A33&amp;"'!$A$12:$Z$12"),0),0)),"ER"))</f>
        <v>?</v>
      </c>
      <c r="U33" s="86" t="str">
        <f aca="true">IF($H33=0,"NA",IF($A33=INDIRECT("'"&amp;$A33&amp;"'!$B$1"),IF(VLOOKUP(U$1,INDIRECT("'"&amp;$A33&amp;"'!$A$12:$Z$41"),MATCH("Points (Auto-generate)",INDIRECT("'"&amp;$A33&amp;"'!$A$12:$Z$12"),0),0)="","?",VLOOKUP(U$1,INDIRECT("'"&amp;$A33&amp;"'!$A$12:$Z$41"),MATCH("Points (Auto-generate)",INDIRECT("'"&amp;$A33&amp;"'!$A$12:$Z$12"),0),0)),"ER"))</f>
        <v>?</v>
      </c>
      <c r="V33" s="86" t="str">
        <f aca="true">IF($H33=0,"NA",IF($A33=INDIRECT("'"&amp;$A33&amp;"'!$B$1"),IF(VLOOKUP(V$1,INDIRECT("'"&amp;$A33&amp;"'!$A$12:$Z$41"),MATCH("Points (Auto-generate)",INDIRECT("'"&amp;$A33&amp;"'!$A$12:$Z$12"),0),0)="","?",VLOOKUP(V$1,INDIRECT("'"&amp;$A33&amp;"'!$A$12:$Z$41"),MATCH("Points (Auto-generate)",INDIRECT("'"&amp;$A33&amp;"'!$A$12:$Z$12"),0),0)),"ER"))</f>
        <v>?</v>
      </c>
      <c r="W33" s="86" t="str">
        <f aca="true">IF($H33=0,"NA",IF($A33=INDIRECT("'"&amp;$A33&amp;"'!$B$1"),IF(VLOOKUP(W$1,INDIRECT("'"&amp;$A33&amp;"'!$A$12:$Z$41"),MATCH("Points (Auto-generate)",INDIRECT("'"&amp;$A33&amp;"'!$A$12:$Z$12"),0),0)="","?",VLOOKUP(W$1,INDIRECT("'"&amp;$A33&amp;"'!$A$12:$Z$41"),MATCH("Points (Auto-generate)",INDIRECT("'"&amp;$A33&amp;"'!$A$12:$Z$12"),0),0)),"ER"))</f>
        <v>?</v>
      </c>
      <c r="X33" s="86" t="str">
        <f aca="true">IF($H33=0,"NA",IF($A33=INDIRECT("'"&amp;$A33&amp;"'!$B$1"),IF(VLOOKUP(X$1,INDIRECT("'"&amp;$A33&amp;"'!$A$12:$Z$41"),MATCH("Points (Auto-generate)",INDIRECT("'"&amp;$A33&amp;"'!$A$12:$Z$12"),0),0)="","?",VLOOKUP(X$1,INDIRECT("'"&amp;$A33&amp;"'!$A$12:$Z$41"),MATCH("Points (Auto-generate)",INDIRECT("'"&amp;$A33&amp;"'!$A$12:$Z$12"),0),0)),"ER"))</f>
        <v>?</v>
      </c>
      <c r="Y33" s="86" t="str">
        <f aca="true">IF($H33=0,"NA",IF($A33=INDIRECT("'"&amp;$A33&amp;"'!$B$1"),IF(VLOOKUP(Y$1,INDIRECT("'"&amp;$A33&amp;"'!$A$12:$Z$41"),MATCH("Points (Auto-generate)",INDIRECT("'"&amp;$A33&amp;"'!$A$12:$Z$12"),0),0)="","?",VLOOKUP(Y$1,INDIRECT("'"&amp;$A33&amp;"'!$A$12:$Z$41"),MATCH("Points (Auto-generate)",INDIRECT("'"&amp;$A33&amp;"'!$A$12:$Z$12"),0),0)),"ER"))</f>
        <v>?</v>
      </c>
      <c r="Z33" s="86" t="str">
        <f aca="true">IF($H33=0,"NA",IF($A33=INDIRECT("'"&amp;$A33&amp;"'!$B$1"),IF(VLOOKUP(Z$1,INDIRECT("'"&amp;$A33&amp;"'!$A$12:$Z$41"),MATCH("Points (Auto-generate)",INDIRECT("'"&amp;$A33&amp;"'!$A$12:$Z$12"),0),0)="","?",VLOOKUP(Z$1,INDIRECT("'"&amp;$A33&amp;"'!$A$12:$Z$41"),MATCH("Points (Auto-generate)",INDIRECT("'"&amp;$A33&amp;"'!$A$12:$Z$12"),0),0)),"ER"))</f>
        <v>?</v>
      </c>
      <c r="AA33" s="86" t="str">
        <f aca="true">IF($H33=0,"NA",IF($A33=INDIRECT("'"&amp;$A33&amp;"'!$B$1"),IF(VLOOKUP(AA$1,INDIRECT("'"&amp;$A33&amp;"'!$A$12:$Z$41"),MATCH("Points (Auto-generate)",INDIRECT("'"&amp;$A33&amp;"'!$A$12:$Z$12"),0),0)="","?",VLOOKUP(AA$1,INDIRECT("'"&amp;$A33&amp;"'!$A$12:$Z$41"),MATCH("Points (Auto-generate)",INDIRECT("'"&amp;$A33&amp;"'!$A$12:$Z$12"),0),0)),"ER"))</f>
        <v>?</v>
      </c>
      <c r="AB33" s="86" t="str">
        <f aca="true">IF($H33=0,"NA",IF($A33=INDIRECT("'"&amp;$A33&amp;"'!$B$1"),IF(VLOOKUP(AB$1,INDIRECT("'"&amp;$A33&amp;"'!$A$12:$Z$41"),MATCH("Points (Auto-generate)",INDIRECT("'"&amp;$A33&amp;"'!$A$12:$Z$12"),0),0)="","?",VLOOKUP(AB$1,INDIRECT("'"&amp;$A33&amp;"'!$A$12:$Z$41"),MATCH("Points (Auto-generate)",INDIRECT("'"&amp;$A33&amp;"'!$A$12:$Z$12"),0),0)),"ER"))</f>
        <v>?</v>
      </c>
      <c r="AC33" s="86" t="str">
        <f aca="true">IF($H33=0,"NA",IF($A33=INDIRECT("'"&amp;$A33&amp;"'!$B$1"),IF(VLOOKUP(AC$1,INDIRECT("'"&amp;$A33&amp;"'!$A$12:$Z$41"),MATCH("Points (Auto-generate)",INDIRECT("'"&amp;$A33&amp;"'!$A$12:$Z$12"),0),0)="","?",VLOOKUP(AC$1,INDIRECT("'"&amp;$A33&amp;"'!$A$12:$Z$41"),MATCH("Points (Auto-generate)",INDIRECT("'"&amp;$A33&amp;"'!$A$12:$Z$12"),0),0)),"ER"))</f>
        <v>?</v>
      </c>
      <c r="AD33" s="86" t="str">
        <f aca="true">IF($H33=0,"NA",IF($A33=INDIRECT("'"&amp;$A33&amp;"'!$B$1"),IF(VLOOKUP(AD$1,INDIRECT("'"&amp;$A33&amp;"'!$A$12:$Z$41"),MATCH("Points (Auto-generate)",INDIRECT("'"&amp;$A33&amp;"'!$A$12:$Z$12"),0),0)="","?",VLOOKUP(AD$1,INDIRECT("'"&amp;$A33&amp;"'!$A$12:$Z$41"),MATCH("Points (Auto-generate)",INDIRECT("'"&amp;$A33&amp;"'!$A$12:$Z$12"),0),0)),"ER"))</f>
        <v>?</v>
      </c>
      <c r="AE33" s="86" t="str">
        <f aca="true">IF($H33=0,"NA",IF($A33=INDIRECT("'"&amp;$A33&amp;"'!$B$1"),IF(VLOOKUP(AE$1,INDIRECT("'"&amp;$A33&amp;"'!$A$12:$Z$41"),MATCH("Points (Auto-generate)",INDIRECT("'"&amp;$A33&amp;"'!$A$12:$Z$12"),0),0)="","?",VLOOKUP(AE$1,INDIRECT("'"&amp;$A33&amp;"'!$A$12:$Z$41"),MATCH("Points (Auto-generate)",INDIRECT("'"&amp;$A33&amp;"'!$A$12:$Z$12"),0),0)),"ER"))</f>
        <v>?</v>
      </c>
      <c r="AF33" s="86" t="str">
        <f aca="true">IF($H33=0,"NA",IF($A33=INDIRECT("'"&amp;$A33&amp;"'!$B$1"),IF(VLOOKUP(AF$1,INDIRECT("'"&amp;$A33&amp;"'!$A$12:$Z$41"),MATCH("Points (Auto-generate)",INDIRECT("'"&amp;$A33&amp;"'!$A$12:$Z$12"),0),0)="","?",VLOOKUP(AF$1,INDIRECT("'"&amp;$A33&amp;"'!$A$12:$Z$41"),MATCH("Points (Auto-generate)",INDIRECT("'"&amp;$A33&amp;"'!$A$12:$Z$12"),0),0)),"ER"))</f>
        <v>?</v>
      </c>
      <c r="AG33" s="86" t="str">
        <f aca="true">IF($H33=0,"NA",IF($A33=INDIRECT("'"&amp;$A33&amp;"'!$B$1"),IF(VLOOKUP(AG$1,INDIRECT("'"&amp;$A33&amp;"'!$A$12:$Z$41"),MATCH("Points (Auto-generate)",INDIRECT("'"&amp;$A33&amp;"'!$A$12:$Z$12"),0),0)="","?",VLOOKUP(AG$1,INDIRECT("'"&amp;$A33&amp;"'!$A$12:$Z$41"),MATCH("Points (Auto-generate)",INDIRECT("'"&amp;$A33&amp;"'!$A$12:$Z$12"),0),0)),"ER"))</f>
        <v>?</v>
      </c>
      <c r="AH33" s="86" t="str">
        <f aca="true">IF($H33=0,"NA",IF($A33=INDIRECT("'"&amp;$A33&amp;"'!$B$1"),IF(VLOOKUP(AH$1,INDIRECT("'"&amp;$A33&amp;"'!$A$12:$Z$41"),MATCH("Points (Auto-generate)",INDIRECT("'"&amp;$A33&amp;"'!$A$12:$Z$12"),0),0)="","?",VLOOKUP(AH$1,INDIRECT("'"&amp;$A33&amp;"'!$A$12:$Z$41"),MATCH("Points (Auto-generate)",INDIRECT("'"&amp;$A33&amp;"'!$A$12:$Z$12"),0),0)),"ER"))</f>
        <v>?</v>
      </c>
      <c r="AI33" s="86" t="str">
        <f aca="true">IF($H33=0,"NA",IF($A33=INDIRECT("'"&amp;$A33&amp;"'!$B$1"),IF(VLOOKUP(AI$1,INDIRECT("'"&amp;$A33&amp;"'!$A$12:$Z$41"),MATCH("Points (Auto-generate)",INDIRECT("'"&amp;$A33&amp;"'!$A$12:$Z$12"),0),0)="","?",VLOOKUP(AI$1,INDIRECT("'"&amp;$A33&amp;"'!$A$12:$Z$41"),MATCH("Points (Auto-generate)",INDIRECT("'"&amp;$A33&amp;"'!$A$12:$Z$12"),0),0)),"ER"))</f>
        <v>?</v>
      </c>
      <c r="AJ33" s="86" t="str">
        <f aca="true">IF($H33=0,"NA",IF($A33=INDIRECT("'"&amp;$A33&amp;"'!$B$1"),IF(VLOOKUP(AJ$1,INDIRECT("'"&amp;$A33&amp;"'!$A$12:$Z$41"),MATCH("Points (Auto-generate)",INDIRECT("'"&amp;$A33&amp;"'!$A$12:$Z$12"),0),0)="","?",VLOOKUP(AJ$1,INDIRECT("'"&amp;$A33&amp;"'!$A$12:$Z$41"),MATCH("Points (Auto-generate)",INDIRECT("'"&amp;$A33&amp;"'!$A$12:$Z$12"),0),0)),"ER"))</f>
        <v>?</v>
      </c>
      <c r="AK33" s="86" t="str">
        <f aca="true">IF($H33=0,"NA",IF($A33=INDIRECT("'"&amp;$A33&amp;"'!$B$1"),IF(VLOOKUP(AK$1,INDIRECT("'"&amp;$A33&amp;"'!$A$12:$Z$41"),MATCH("Points (Auto-generate)",INDIRECT("'"&amp;$A33&amp;"'!$A$12:$Z$12"),0),0)="","?",VLOOKUP(AK$1,INDIRECT("'"&amp;$A33&amp;"'!$A$12:$Z$41"),MATCH("Points (Auto-generate)",INDIRECT("'"&amp;$A33&amp;"'!$A$12:$Z$12"),0),0)),"ER"))</f>
        <v>?</v>
      </c>
    </row>
    <row r="34" customFormat="false" ht="14.25" hidden="false" customHeight="false" outlineLevel="0" collapsed="false">
      <c r="A34" s="82" t="s">
        <v>156</v>
      </c>
      <c r="B34" s="83" t="str">
        <f aca="false">IF(ISBLANK($A34),"NO_CODE",VLOOKUP($A34,'UPD Questions_290926 '!$E$1:$N$300,MATCH(B$1,'UPD Questions_290926 '!$E$1:$N$1,0),0)&amp;"")</f>
        <v>Implementation</v>
      </c>
      <c r="C34" s="83" t="str">
        <f aca="false">IF(ISBLANK($A34),"NO_CODE",VLOOKUP($A34,'UPD Questions_290926 '!$E$1:$N$300,MATCH(C$1,'UPD Questions_290926 '!$E$1:$N$1,0),0)&amp;"")</f>
        <v>Municipal/City Plan status, hierarchy and coordination</v>
      </c>
      <c r="D34" s="83" t="str">
        <f aca="false">IF(ISBLANK($A34),"NO_CODE",VLOOKUP($A34,'UPD Questions_290926 '!$E$1:$N$300,MATCH(D$1,'UPD Questions_290926 '!$E$1:$N$1,0),0)&amp;"")</f>
        <v>Existence of Municipal/City Plans at each level</v>
      </c>
      <c r="E34" s="83" t="str">
        <f aca="false">IF(ISBLANK($A34),"NO_CODE",VLOOKUP($A34,'UPD Questions_290926 '!$E$1:$N$300,MATCH(E$1,'UPD Questions_290926 '!$E$1:$N$1,0),0)&amp;"")</f>
        <v>SQ</v>
      </c>
      <c r="F34" s="83" t="str">
        <f aca="false">IF(ISBLANK($A34),"NO_CODE",VLOOKUP($A34,'UPD Questions_290926 '!$E$1:$N$300,MATCH(F$1,'UPD Questions_290926 '!$E$1:$N$1,0),0)&amp;"")</f>
        <v>Is there Municipal/City Plan?</v>
      </c>
      <c r="G34" s="83" t="str">
        <f aca="false">IF(ISBLANK($A34),"NO_CODE",VLOOKUP($A34,'UPD Questions_290926 '!$E$1:$N$300,MATCH(G$1,'UPD Questions_290926 '!$E$1:$N$1,0),0)&amp;"")</f>
        <v>Implementation</v>
      </c>
      <c r="H34" s="85" t="n">
        <f aca="false">IF(ISBLANK($A34),"NO_CODE",VLOOKUP($A34,'UPD Questions_290926 '!$E$1:$N$300,MATCH(H$1,'UPD Questions_290926 '!$E$1:$N$1,0),0))</f>
        <v>3.33</v>
      </c>
      <c r="I34" s="86" t="str">
        <f aca="true">IF($H34=0,"NA",IF($A34=INDIRECT("'"&amp;$A34&amp;"'!$B$1"),IF(VLOOKUP(I$1,INDIRECT("'"&amp;$A34&amp;"'!$A$12:$Z$41"),MATCH("Points (Auto-generate)",INDIRECT("'"&amp;$A34&amp;"'!$A$12:$Z$12"),0),0)="","?",VLOOKUP(I$1,INDIRECT("'"&amp;$A34&amp;"'!$A$12:$Z$41"),MATCH("Points (Auto-generate)",INDIRECT("'"&amp;$A34&amp;"'!$A$12:$Z$12"),0),0)),"ER"))</f>
        <v>?</v>
      </c>
      <c r="J34" s="86" t="str">
        <f aca="true">IF($H34=0,"NA",IF($A34=INDIRECT("'"&amp;$A34&amp;"'!$B$1"),IF(VLOOKUP(J$1,INDIRECT("'"&amp;$A34&amp;"'!$A$12:$Z$41"),MATCH("Points (Auto-generate)",INDIRECT("'"&amp;$A34&amp;"'!$A$12:$Z$12"),0),0)="","?",VLOOKUP(J$1,INDIRECT("'"&amp;$A34&amp;"'!$A$12:$Z$41"),MATCH("Points (Auto-generate)",INDIRECT("'"&amp;$A34&amp;"'!$A$12:$Z$12"),0),0)),"ER"))</f>
        <v>?</v>
      </c>
      <c r="K34" s="86" t="str">
        <f aca="true">IF($H34=0,"NA",IF($A34=INDIRECT("'"&amp;$A34&amp;"'!$B$1"),IF(VLOOKUP(K$1,INDIRECT("'"&amp;$A34&amp;"'!$A$12:$Z$41"),MATCH("Points (Auto-generate)",INDIRECT("'"&amp;$A34&amp;"'!$A$12:$Z$12"),0),0)="","?",VLOOKUP(K$1,INDIRECT("'"&amp;$A34&amp;"'!$A$12:$Z$41"),MATCH("Points (Auto-generate)",INDIRECT("'"&amp;$A34&amp;"'!$A$12:$Z$12"),0),0)),"ER"))</f>
        <v>?</v>
      </c>
      <c r="L34" s="86" t="str">
        <f aca="true">IF($H34=0,"NA",IF($A34=INDIRECT("'"&amp;$A34&amp;"'!$B$1"),IF(VLOOKUP(L$1,INDIRECT("'"&amp;$A34&amp;"'!$A$12:$Z$41"),MATCH("Points (Auto-generate)",INDIRECT("'"&amp;$A34&amp;"'!$A$12:$Z$12"),0),0)="","?",VLOOKUP(L$1,INDIRECT("'"&amp;$A34&amp;"'!$A$12:$Z$41"),MATCH("Points (Auto-generate)",INDIRECT("'"&amp;$A34&amp;"'!$A$12:$Z$12"),0),0)),"ER"))</f>
        <v>?</v>
      </c>
      <c r="M34" s="86" t="str">
        <f aca="true">IF($H34=0,"NA",IF($A34=INDIRECT("'"&amp;$A34&amp;"'!$B$1"),IF(VLOOKUP(M$1,INDIRECT("'"&amp;$A34&amp;"'!$A$12:$Z$41"),MATCH("Points (Auto-generate)",INDIRECT("'"&amp;$A34&amp;"'!$A$12:$Z$12"),0),0)="","?",VLOOKUP(M$1,INDIRECT("'"&amp;$A34&amp;"'!$A$12:$Z$41"),MATCH("Points (Auto-generate)",INDIRECT("'"&amp;$A34&amp;"'!$A$12:$Z$12"),0),0)),"ER"))</f>
        <v>?</v>
      </c>
      <c r="N34" s="86" t="str">
        <f aca="true">IF($H34=0,"NA",IF($A34=INDIRECT("'"&amp;$A34&amp;"'!$B$1"),IF(VLOOKUP(N$1,INDIRECT("'"&amp;$A34&amp;"'!$A$12:$Z$41"),MATCH("Points (Auto-generate)",INDIRECT("'"&amp;$A34&amp;"'!$A$12:$Z$12"),0),0)="","?",VLOOKUP(N$1,INDIRECT("'"&amp;$A34&amp;"'!$A$12:$Z$41"),MATCH("Points (Auto-generate)",INDIRECT("'"&amp;$A34&amp;"'!$A$12:$Z$12"),0),0)),"ER"))</f>
        <v>?</v>
      </c>
      <c r="O34" s="86" t="str">
        <f aca="true">IF($H34=0,"NA",IF($A34=INDIRECT("'"&amp;$A34&amp;"'!$B$1"),IF(VLOOKUP(O$1,INDIRECT("'"&amp;$A34&amp;"'!$A$12:$Z$41"),MATCH("Points (Auto-generate)",INDIRECT("'"&amp;$A34&amp;"'!$A$12:$Z$12"),0),0)="","?",VLOOKUP(O$1,INDIRECT("'"&amp;$A34&amp;"'!$A$12:$Z$41"),MATCH("Points (Auto-generate)",INDIRECT("'"&amp;$A34&amp;"'!$A$12:$Z$12"),0),0)),"ER"))</f>
        <v>?</v>
      </c>
      <c r="P34" s="86" t="str">
        <f aca="true">IF($H34=0,"NA",IF($A34=INDIRECT("'"&amp;$A34&amp;"'!$B$1"),IF(VLOOKUP(P$1,INDIRECT("'"&amp;$A34&amp;"'!$A$12:$Z$41"),MATCH("Points (Auto-generate)",INDIRECT("'"&amp;$A34&amp;"'!$A$12:$Z$12"),0),0)="","?",VLOOKUP(P$1,INDIRECT("'"&amp;$A34&amp;"'!$A$12:$Z$41"),MATCH("Points (Auto-generate)",INDIRECT("'"&amp;$A34&amp;"'!$A$12:$Z$12"),0),0)),"ER"))</f>
        <v>?</v>
      </c>
      <c r="Q34" s="86" t="str">
        <f aca="true">IF($H34=0,"NA",IF($A34=INDIRECT("'"&amp;$A34&amp;"'!$B$1"),IF(VLOOKUP(Q$1,INDIRECT("'"&amp;$A34&amp;"'!$A$12:$Z$41"),MATCH("Points (Auto-generate)",INDIRECT("'"&amp;$A34&amp;"'!$A$12:$Z$12"),0),0)="","?",VLOOKUP(Q$1,INDIRECT("'"&amp;$A34&amp;"'!$A$12:$Z$41"),MATCH("Points (Auto-generate)",INDIRECT("'"&amp;$A34&amp;"'!$A$12:$Z$12"),0),0)),"ER"))</f>
        <v>?</v>
      </c>
      <c r="R34" s="86" t="str">
        <f aca="true">IF($H34=0,"NA",IF($A34=INDIRECT("'"&amp;$A34&amp;"'!$B$1"),IF(VLOOKUP(R$1,INDIRECT("'"&amp;$A34&amp;"'!$A$12:$Z$41"),MATCH("Points (Auto-generate)",INDIRECT("'"&amp;$A34&amp;"'!$A$12:$Z$12"),0),0)="","?",VLOOKUP(R$1,INDIRECT("'"&amp;$A34&amp;"'!$A$12:$Z$41"),MATCH("Points (Auto-generate)",INDIRECT("'"&amp;$A34&amp;"'!$A$12:$Z$12"),0),0)),"ER"))</f>
        <v>?</v>
      </c>
      <c r="S34" s="86" t="str">
        <f aca="true">IF($H34=0,"NA",IF($A34=INDIRECT("'"&amp;$A34&amp;"'!$B$1"),IF(VLOOKUP(S$1,INDIRECT("'"&amp;$A34&amp;"'!$A$12:$Z$41"),MATCH("Points (Auto-generate)",INDIRECT("'"&amp;$A34&amp;"'!$A$12:$Z$12"),0),0)="","?",VLOOKUP(S$1,INDIRECT("'"&amp;$A34&amp;"'!$A$12:$Z$41"),MATCH("Points (Auto-generate)",INDIRECT("'"&amp;$A34&amp;"'!$A$12:$Z$12"),0),0)),"ER"))</f>
        <v>?</v>
      </c>
      <c r="T34" s="86" t="str">
        <f aca="true">IF($H34=0,"NA",IF($A34=INDIRECT("'"&amp;$A34&amp;"'!$B$1"),IF(VLOOKUP(T$1,INDIRECT("'"&amp;$A34&amp;"'!$A$12:$Z$41"),MATCH("Points (Auto-generate)",INDIRECT("'"&amp;$A34&amp;"'!$A$12:$Z$12"),0),0)="","?",VLOOKUP(T$1,INDIRECT("'"&amp;$A34&amp;"'!$A$12:$Z$41"),MATCH("Points (Auto-generate)",INDIRECT("'"&amp;$A34&amp;"'!$A$12:$Z$12"),0),0)),"ER"))</f>
        <v>?</v>
      </c>
      <c r="U34" s="86" t="str">
        <f aca="true">IF($H34=0,"NA",IF($A34=INDIRECT("'"&amp;$A34&amp;"'!$B$1"),IF(VLOOKUP(U$1,INDIRECT("'"&amp;$A34&amp;"'!$A$12:$Z$41"),MATCH("Points (Auto-generate)",INDIRECT("'"&amp;$A34&amp;"'!$A$12:$Z$12"),0),0)="","?",VLOOKUP(U$1,INDIRECT("'"&amp;$A34&amp;"'!$A$12:$Z$41"),MATCH("Points (Auto-generate)",INDIRECT("'"&amp;$A34&amp;"'!$A$12:$Z$12"),0),0)),"ER"))</f>
        <v>?</v>
      </c>
      <c r="V34" s="86" t="str">
        <f aca="true">IF($H34=0,"NA",IF($A34=INDIRECT("'"&amp;$A34&amp;"'!$B$1"),IF(VLOOKUP(V$1,INDIRECT("'"&amp;$A34&amp;"'!$A$12:$Z$41"),MATCH("Points (Auto-generate)",INDIRECT("'"&amp;$A34&amp;"'!$A$12:$Z$12"),0),0)="","?",VLOOKUP(V$1,INDIRECT("'"&amp;$A34&amp;"'!$A$12:$Z$41"),MATCH("Points (Auto-generate)",INDIRECT("'"&amp;$A34&amp;"'!$A$12:$Z$12"),0),0)),"ER"))</f>
        <v>?</v>
      </c>
      <c r="W34" s="86" t="str">
        <f aca="true">IF($H34=0,"NA",IF($A34=INDIRECT("'"&amp;$A34&amp;"'!$B$1"),IF(VLOOKUP(W$1,INDIRECT("'"&amp;$A34&amp;"'!$A$12:$Z$41"),MATCH("Points (Auto-generate)",INDIRECT("'"&amp;$A34&amp;"'!$A$12:$Z$12"),0),0)="","?",VLOOKUP(W$1,INDIRECT("'"&amp;$A34&amp;"'!$A$12:$Z$41"),MATCH("Points (Auto-generate)",INDIRECT("'"&amp;$A34&amp;"'!$A$12:$Z$12"),0),0)),"ER"))</f>
        <v>?</v>
      </c>
      <c r="X34" s="86" t="str">
        <f aca="true">IF($H34=0,"NA",IF($A34=INDIRECT("'"&amp;$A34&amp;"'!$B$1"),IF(VLOOKUP(X$1,INDIRECT("'"&amp;$A34&amp;"'!$A$12:$Z$41"),MATCH("Points (Auto-generate)",INDIRECT("'"&amp;$A34&amp;"'!$A$12:$Z$12"),0),0)="","?",VLOOKUP(X$1,INDIRECT("'"&amp;$A34&amp;"'!$A$12:$Z$41"),MATCH("Points (Auto-generate)",INDIRECT("'"&amp;$A34&amp;"'!$A$12:$Z$12"),0),0)),"ER"))</f>
        <v>?</v>
      </c>
      <c r="Y34" s="86" t="str">
        <f aca="true">IF($H34=0,"NA",IF($A34=INDIRECT("'"&amp;$A34&amp;"'!$B$1"),IF(VLOOKUP(Y$1,INDIRECT("'"&amp;$A34&amp;"'!$A$12:$Z$41"),MATCH("Points (Auto-generate)",INDIRECT("'"&amp;$A34&amp;"'!$A$12:$Z$12"),0),0)="","?",VLOOKUP(Y$1,INDIRECT("'"&amp;$A34&amp;"'!$A$12:$Z$41"),MATCH("Points (Auto-generate)",INDIRECT("'"&amp;$A34&amp;"'!$A$12:$Z$12"),0),0)),"ER"))</f>
        <v>?</v>
      </c>
      <c r="Z34" s="86" t="str">
        <f aca="true">IF($H34=0,"NA",IF($A34=INDIRECT("'"&amp;$A34&amp;"'!$B$1"),IF(VLOOKUP(Z$1,INDIRECT("'"&amp;$A34&amp;"'!$A$12:$Z$41"),MATCH("Points (Auto-generate)",INDIRECT("'"&amp;$A34&amp;"'!$A$12:$Z$12"),0),0)="","?",VLOOKUP(Z$1,INDIRECT("'"&amp;$A34&amp;"'!$A$12:$Z$41"),MATCH("Points (Auto-generate)",INDIRECT("'"&amp;$A34&amp;"'!$A$12:$Z$12"),0),0)),"ER"))</f>
        <v>?</v>
      </c>
      <c r="AA34" s="86" t="str">
        <f aca="true">IF($H34=0,"NA",IF($A34=INDIRECT("'"&amp;$A34&amp;"'!$B$1"),IF(VLOOKUP(AA$1,INDIRECT("'"&amp;$A34&amp;"'!$A$12:$Z$41"),MATCH("Points (Auto-generate)",INDIRECT("'"&amp;$A34&amp;"'!$A$12:$Z$12"),0),0)="","?",VLOOKUP(AA$1,INDIRECT("'"&amp;$A34&amp;"'!$A$12:$Z$41"),MATCH("Points (Auto-generate)",INDIRECT("'"&amp;$A34&amp;"'!$A$12:$Z$12"),0),0)),"ER"))</f>
        <v>?</v>
      </c>
      <c r="AB34" s="86" t="str">
        <f aca="true">IF($H34=0,"NA",IF($A34=INDIRECT("'"&amp;$A34&amp;"'!$B$1"),IF(VLOOKUP(AB$1,INDIRECT("'"&amp;$A34&amp;"'!$A$12:$Z$41"),MATCH("Points (Auto-generate)",INDIRECT("'"&amp;$A34&amp;"'!$A$12:$Z$12"),0),0)="","?",VLOOKUP(AB$1,INDIRECT("'"&amp;$A34&amp;"'!$A$12:$Z$41"),MATCH("Points (Auto-generate)",INDIRECT("'"&amp;$A34&amp;"'!$A$12:$Z$12"),0),0)),"ER"))</f>
        <v>?</v>
      </c>
      <c r="AC34" s="86" t="str">
        <f aca="true">IF($H34=0,"NA",IF($A34=INDIRECT("'"&amp;$A34&amp;"'!$B$1"),IF(VLOOKUP(AC$1,INDIRECT("'"&amp;$A34&amp;"'!$A$12:$Z$41"),MATCH("Points (Auto-generate)",INDIRECT("'"&amp;$A34&amp;"'!$A$12:$Z$12"),0),0)="","?",VLOOKUP(AC$1,INDIRECT("'"&amp;$A34&amp;"'!$A$12:$Z$41"),MATCH("Points (Auto-generate)",INDIRECT("'"&amp;$A34&amp;"'!$A$12:$Z$12"),0),0)),"ER"))</f>
        <v>?</v>
      </c>
      <c r="AD34" s="86" t="str">
        <f aca="true">IF($H34=0,"NA",IF($A34=INDIRECT("'"&amp;$A34&amp;"'!$B$1"),IF(VLOOKUP(AD$1,INDIRECT("'"&amp;$A34&amp;"'!$A$12:$Z$41"),MATCH("Points (Auto-generate)",INDIRECT("'"&amp;$A34&amp;"'!$A$12:$Z$12"),0),0)="","?",VLOOKUP(AD$1,INDIRECT("'"&amp;$A34&amp;"'!$A$12:$Z$41"),MATCH("Points (Auto-generate)",INDIRECT("'"&amp;$A34&amp;"'!$A$12:$Z$12"),0),0)),"ER"))</f>
        <v>?</v>
      </c>
      <c r="AE34" s="86" t="str">
        <f aca="true">IF($H34=0,"NA",IF($A34=INDIRECT("'"&amp;$A34&amp;"'!$B$1"),IF(VLOOKUP(AE$1,INDIRECT("'"&amp;$A34&amp;"'!$A$12:$Z$41"),MATCH("Points (Auto-generate)",INDIRECT("'"&amp;$A34&amp;"'!$A$12:$Z$12"),0),0)="","?",VLOOKUP(AE$1,INDIRECT("'"&amp;$A34&amp;"'!$A$12:$Z$41"),MATCH("Points (Auto-generate)",INDIRECT("'"&amp;$A34&amp;"'!$A$12:$Z$12"),0),0)),"ER"))</f>
        <v>?</v>
      </c>
      <c r="AF34" s="86" t="str">
        <f aca="true">IF($H34=0,"NA",IF($A34=INDIRECT("'"&amp;$A34&amp;"'!$B$1"),IF(VLOOKUP(AF$1,INDIRECT("'"&amp;$A34&amp;"'!$A$12:$Z$41"),MATCH("Points (Auto-generate)",INDIRECT("'"&amp;$A34&amp;"'!$A$12:$Z$12"),0),0)="","?",VLOOKUP(AF$1,INDIRECT("'"&amp;$A34&amp;"'!$A$12:$Z$41"),MATCH("Points (Auto-generate)",INDIRECT("'"&amp;$A34&amp;"'!$A$12:$Z$12"),0),0)),"ER"))</f>
        <v>?</v>
      </c>
      <c r="AG34" s="86" t="str">
        <f aca="true">IF($H34=0,"NA",IF($A34=INDIRECT("'"&amp;$A34&amp;"'!$B$1"),IF(VLOOKUP(AG$1,INDIRECT("'"&amp;$A34&amp;"'!$A$12:$Z$41"),MATCH("Points (Auto-generate)",INDIRECT("'"&amp;$A34&amp;"'!$A$12:$Z$12"),0),0)="","?",VLOOKUP(AG$1,INDIRECT("'"&amp;$A34&amp;"'!$A$12:$Z$41"),MATCH("Points (Auto-generate)",INDIRECT("'"&amp;$A34&amp;"'!$A$12:$Z$12"),0),0)),"ER"))</f>
        <v>?</v>
      </c>
      <c r="AH34" s="86" t="str">
        <f aca="true">IF($H34=0,"NA",IF($A34=INDIRECT("'"&amp;$A34&amp;"'!$B$1"),IF(VLOOKUP(AH$1,INDIRECT("'"&amp;$A34&amp;"'!$A$12:$Z$41"),MATCH("Points (Auto-generate)",INDIRECT("'"&amp;$A34&amp;"'!$A$12:$Z$12"),0),0)="","?",VLOOKUP(AH$1,INDIRECT("'"&amp;$A34&amp;"'!$A$12:$Z$41"),MATCH("Points (Auto-generate)",INDIRECT("'"&amp;$A34&amp;"'!$A$12:$Z$12"),0),0)),"ER"))</f>
        <v>?</v>
      </c>
      <c r="AI34" s="86" t="str">
        <f aca="true">IF($H34=0,"NA",IF($A34=INDIRECT("'"&amp;$A34&amp;"'!$B$1"),IF(VLOOKUP(AI$1,INDIRECT("'"&amp;$A34&amp;"'!$A$12:$Z$41"),MATCH("Points (Auto-generate)",INDIRECT("'"&amp;$A34&amp;"'!$A$12:$Z$12"),0),0)="","?",VLOOKUP(AI$1,INDIRECT("'"&amp;$A34&amp;"'!$A$12:$Z$41"),MATCH("Points (Auto-generate)",INDIRECT("'"&amp;$A34&amp;"'!$A$12:$Z$12"),0),0)),"ER"))</f>
        <v>?</v>
      </c>
      <c r="AJ34" s="86" t="str">
        <f aca="true">IF($H34=0,"NA",IF($A34=INDIRECT("'"&amp;$A34&amp;"'!$B$1"),IF(VLOOKUP(AJ$1,INDIRECT("'"&amp;$A34&amp;"'!$A$12:$Z$41"),MATCH("Points (Auto-generate)",INDIRECT("'"&amp;$A34&amp;"'!$A$12:$Z$12"),0),0)="","?",VLOOKUP(AJ$1,INDIRECT("'"&amp;$A34&amp;"'!$A$12:$Z$41"),MATCH("Points (Auto-generate)",INDIRECT("'"&amp;$A34&amp;"'!$A$12:$Z$12"),0),0)),"ER"))</f>
        <v>?</v>
      </c>
      <c r="AK34" s="86" t="str">
        <f aca="true">IF($H34=0,"NA",IF($A34=INDIRECT("'"&amp;$A34&amp;"'!$B$1"),IF(VLOOKUP(AK$1,INDIRECT("'"&amp;$A34&amp;"'!$A$12:$Z$41"),MATCH("Points (Auto-generate)",INDIRECT("'"&amp;$A34&amp;"'!$A$12:$Z$12"),0),0)="","?",VLOOKUP(AK$1,INDIRECT("'"&amp;$A34&amp;"'!$A$12:$Z$41"),MATCH("Points (Auto-generate)",INDIRECT("'"&amp;$A34&amp;"'!$A$12:$Z$12"),0),0)),"ER"))</f>
        <v>?</v>
      </c>
    </row>
    <row r="35" customFormat="false" ht="14.25" hidden="false" customHeight="false" outlineLevel="0" collapsed="false">
      <c r="A35" s="82" t="s">
        <v>159</v>
      </c>
      <c r="B35" s="83" t="str">
        <f aca="false">IF(ISBLANK($A35),"NO_CODE",VLOOKUP($A35,'UPD Questions_290926 '!$E$1:$N$300,MATCH(B$1,'UPD Questions_290926 '!$E$1:$N$1,0),0)&amp;"")</f>
        <v>Implementation</v>
      </c>
      <c r="C35" s="83" t="str">
        <f aca="false">IF(ISBLANK($A35),"NO_CODE",VLOOKUP($A35,'UPD Questions_290926 '!$E$1:$N$300,MATCH(C$1,'UPD Questions_290926 '!$E$1:$N$1,0),0)&amp;"")</f>
        <v>Municipal/City Plan status, hierarchy and coordination</v>
      </c>
      <c r="D35" s="83" t="str">
        <f aca="false">IF(ISBLANK($A35),"NO_CODE",VLOOKUP($A35,'UPD Questions_290926 '!$E$1:$N$300,MATCH(D$1,'UPD Questions_290926 '!$E$1:$N$1,0),0)&amp;"")</f>
        <v>Existence of Municipal/City Plans at each level</v>
      </c>
      <c r="E35" s="83" t="str">
        <f aca="false">IF(ISBLANK($A35),"NO_CODE",VLOOKUP($A35,'UPD Questions_290926 '!$E$1:$N$300,MATCH(E$1,'UPD Questions_290926 '!$E$1:$N$1,0),0)&amp;"")</f>
        <v>SQ</v>
      </c>
      <c r="F35" s="83" t="str">
        <f aca="false">IF(ISBLANK($A35),"NO_CODE",VLOOKUP($A35,'UPD Questions_290926 '!$E$1:$N$300,MATCH(F$1,'UPD Questions_290926 '!$E$1:$N$1,0),0)&amp;"")</f>
        <v>Is there a Ward(s) /Local area/ neighbourhood Plan?</v>
      </c>
      <c r="G35" s="83" t="str">
        <f aca="false">IF(ISBLANK($A35),"NO_CODE",VLOOKUP($A35,'UPD Questions_290926 '!$E$1:$N$300,MATCH(G$1,'UPD Questions_290926 '!$E$1:$N$1,0),0)&amp;"")</f>
        <v>Implementation</v>
      </c>
      <c r="H35" s="85" t="n">
        <f aca="false">IF(ISBLANK($A35),"NO_CODE",VLOOKUP($A35,'UPD Questions_290926 '!$E$1:$N$300,MATCH(H$1,'UPD Questions_290926 '!$E$1:$N$1,0),0))</f>
        <v>3.33</v>
      </c>
      <c r="I35" s="86" t="str">
        <f aca="true">IF($H35=0,"NA",IF($A35=INDIRECT("'"&amp;$A35&amp;"'!$B$1"),IF(VLOOKUP(I$1,INDIRECT("'"&amp;$A35&amp;"'!$A$12:$Z$41"),MATCH("Points (Auto-generate)",INDIRECT("'"&amp;$A35&amp;"'!$A$12:$Z$12"),0),0)="","?",VLOOKUP(I$1,INDIRECT("'"&amp;$A35&amp;"'!$A$12:$Z$41"),MATCH("Points (Auto-generate)",INDIRECT("'"&amp;$A35&amp;"'!$A$12:$Z$12"),0),0)),"ER"))</f>
        <v>?</v>
      </c>
      <c r="J35" s="86" t="str">
        <f aca="true">IF($H35=0,"NA",IF($A35=INDIRECT("'"&amp;$A35&amp;"'!$B$1"),IF(VLOOKUP(J$1,INDIRECT("'"&amp;$A35&amp;"'!$A$12:$Z$41"),MATCH("Points (Auto-generate)",INDIRECT("'"&amp;$A35&amp;"'!$A$12:$Z$12"),0),0)="","?",VLOOKUP(J$1,INDIRECT("'"&amp;$A35&amp;"'!$A$12:$Z$41"),MATCH("Points (Auto-generate)",INDIRECT("'"&amp;$A35&amp;"'!$A$12:$Z$12"),0),0)),"ER"))</f>
        <v>?</v>
      </c>
      <c r="K35" s="86" t="str">
        <f aca="true">IF($H35=0,"NA",IF($A35=INDIRECT("'"&amp;$A35&amp;"'!$B$1"),IF(VLOOKUP(K$1,INDIRECT("'"&amp;$A35&amp;"'!$A$12:$Z$41"),MATCH("Points (Auto-generate)",INDIRECT("'"&amp;$A35&amp;"'!$A$12:$Z$12"),0),0)="","?",VLOOKUP(K$1,INDIRECT("'"&amp;$A35&amp;"'!$A$12:$Z$41"),MATCH("Points (Auto-generate)",INDIRECT("'"&amp;$A35&amp;"'!$A$12:$Z$12"),0),0)),"ER"))</f>
        <v>?</v>
      </c>
      <c r="L35" s="86" t="str">
        <f aca="true">IF($H35=0,"NA",IF($A35=INDIRECT("'"&amp;$A35&amp;"'!$B$1"),IF(VLOOKUP(L$1,INDIRECT("'"&amp;$A35&amp;"'!$A$12:$Z$41"),MATCH("Points (Auto-generate)",INDIRECT("'"&amp;$A35&amp;"'!$A$12:$Z$12"),0),0)="","?",VLOOKUP(L$1,INDIRECT("'"&amp;$A35&amp;"'!$A$12:$Z$41"),MATCH("Points (Auto-generate)",INDIRECT("'"&amp;$A35&amp;"'!$A$12:$Z$12"),0),0)),"ER"))</f>
        <v>?</v>
      </c>
      <c r="M35" s="86" t="str">
        <f aca="true">IF($H35=0,"NA",IF($A35=INDIRECT("'"&amp;$A35&amp;"'!$B$1"),IF(VLOOKUP(M$1,INDIRECT("'"&amp;$A35&amp;"'!$A$12:$Z$41"),MATCH("Points (Auto-generate)",INDIRECT("'"&amp;$A35&amp;"'!$A$12:$Z$12"),0),0)="","?",VLOOKUP(M$1,INDIRECT("'"&amp;$A35&amp;"'!$A$12:$Z$41"),MATCH("Points (Auto-generate)",INDIRECT("'"&amp;$A35&amp;"'!$A$12:$Z$12"),0),0)),"ER"))</f>
        <v>?</v>
      </c>
      <c r="N35" s="86" t="str">
        <f aca="true">IF($H35=0,"NA",IF($A35=INDIRECT("'"&amp;$A35&amp;"'!$B$1"),IF(VLOOKUP(N$1,INDIRECT("'"&amp;$A35&amp;"'!$A$12:$Z$41"),MATCH("Points (Auto-generate)",INDIRECT("'"&amp;$A35&amp;"'!$A$12:$Z$12"),0),0)="","?",VLOOKUP(N$1,INDIRECT("'"&amp;$A35&amp;"'!$A$12:$Z$41"),MATCH("Points (Auto-generate)",INDIRECT("'"&amp;$A35&amp;"'!$A$12:$Z$12"),0),0)),"ER"))</f>
        <v>?</v>
      </c>
      <c r="O35" s="86" t="str">
        <f aca="true">IF($H35=0,"NA",IF($A35=INDIRECT("'"&amp;$A35&amp;"'!$B$1"),IF(VLOOKUP(O$1,INDIRECT("'"&amp;$A35&amp;"'!$A$12:$Z$41"),MATCH("Points (Auto-generate)",INDIRECT("'"&amp;$A35&amp;"'!$A$12:$Z$12"),0),0)="","?",VLOOKUP(O$1,INDIRECT("'"&amp;$A35&amp;"'!$A$12:$Z$41"),MATCH("Points (Auto-generate)",INDIRECT("'"&amp;$A35&amp;"'!$A$12:$Z$12"),0),0)),"ER"))</f>
        <v>?</v>
      </c>
      <c r="P35" s="86" t="str">
        <f aca="true">IF($H35=0,"NA",IF($A35=INDIRECT("'"&amp;$A35&amp;"'!$B$1"),IF(VLOOKUP(P$1,INDIRECT("'"&amp;$A35&amp;"'!$A$12:$Z$41"),MATCH("Points (Auto-generate)",INDIRECT("'"&amp;$A35&amp;"'!$A$12:$Z$12"),0),0)="","?",VLOOKUP(P$1,INDIRECT("'"&amp;$A35&amp;"'!$A$12:$Z$41"),MATCH("Points (Auto-generate)",INDIRECT("'"&amp;$A35&amp;"'!$A$12:$Z$12"),0),0)),"ER"))</f>
        <v>?</v>
      </c>
      <c r="Q35" s="86" t="str">
        <f aca="true">IF($H35=0,"NA",IF($A35=INDIRECT("'"&amp;$A35&amp;"'!$B$1"),IF(VLOOKUP(Q$1,INDIRECT("'"&amp;$A35&amp;"'!$A$12:$Z$41"),MATCH("Points (Auto-generate)",INDIRECT("'"&amp;$A35&amp;"'!$A$12:$Z$12"),0),0)="","?",VLOOKUP(Q$1,INDIRECT("'"&amp;$A35&amp;"'!$A$12:$Z$41"),MATCH("Points (Auto-generate)",INDIRECT("'"&amp;$A35&amp;"'!$A$12:$Z$12"),0),0)),"ER"))</f>
        <v>?</v>
      </c>
      <c r="R35" s="86" t="str">
        <f aca="true">IF($H35=0,"NA",IF($A35=INDIRECT("'"&amp;$A35&amp;"'!$B$1"),IF(VLOOKUP(R$1,INDIRECT("'"&amp;$A35&amp;"'!$A$12:$Z$41"),MATCH("Points (Auto-generate)",INDIRECT("'"&amp;$A35&amp;"'!$A$12:$Z$12"),0),0)="","?",VLOOKUP(R$1,INDIRECT("'"&amp;$A35&amp;"'!$A$12:$Z$41"),MATCH("Points (Auto-generate)",INDIRECT("'"&amp;$A35&amp;"'!$A$12:$Z$12"),0),0)),"ER"))</f>
        <v>?</v>
      </c>
      <c r="S35" s="86" t="str">
        <f aca="true">IF($H35=0,"NA",IF($A35=INDIRECT("'"&amp;$A35&amp;"'!$B$1"),IF(VLOOKUP(S$1,INDIRECT("'"&amp;$A35&amp;"'!$A$12:$Z$41"),MATCH("Points (Auto-generate)",INDIRECT("'"&amp;$A35&amp;"'!$A$12:$Z$12"),0),0)="","?",VLOOKUP(S$1,INDIRECT("'"&amp;$A35&amp;"'!$A$12:$Z$41"),MATCH("Points (Auto-generate)",INDIRECT("'"&amp;$A35&amp;"'!$A$12:$Z$12"),0),0)),"ER"))</f>
        <v>?</v>
      </c>
      <c r="T35" s="86" t="str">
        <f aca="true">IF($H35=0,"NA",IF($A35=INDIRECT("'"&amp;$A35&amp;"'!$B$1"),IF(VLOOKUP(T$1,INDIRECT("'"&amp;$A35&amp;"'!$A$12:$Z$41"),MATCH("Points (Auto-generate)",INDIRECT("'"&amp;$A35&amp;"'!$A$12:$Z$12"),0),0)="","?",VLOOKUP(T$1,INDIRECT("'"&amp;$A35&amp;"'!$A$12:$Z$41"),MATCH("Points (Auto-generate)",INDIRECT("'"&amp;$A35&amp;"'!$A$12:$Z$12"),0),0)),"ER"))</f>
        <v>?</v>
      </c>
      <c r="U35" s="86" t="str">
        <f aca="true">IF($H35=0,"NA",IF($A35=INDIRECT("'"&amp;$A35&amp;"'!$B$1"),IF(VLOOKUP(U$1,INDIRECT("'"&amp;$A35&amp;"'!$A$12:$Z$41"),MATCH("Points (Auto-generate)",INDIRECT("'"&amp;$A35&amp;"'!$A$12:$Z$12"),0),0)="","?",VLOOKUP(U$1,INDIRECT("'"&amp;$A35&amp;"'!$A$12:$Z$41"),MATCH("Points (Auto-generate)",INDIRECT("'"&amp;$A35&amp;"'!$A$12:$Z$12"),0),0)),"ER"))</f>
        <v>?</v>
      </c>
      <c r="V35" s="86" t="str">
        <f aca="true">IF($H35=0,"NA",IF($A35=INDIRECT("'"&amp;$A35&amp;"'!$B$1"),IF(VLOOKUP(V$1,INDIRECT("'"&amp;$A35&amp;"'!$A$12:$Z$41"),MATCH("Points (Auto-generate)",INDIRECT("'"&amp;$A35&amp;"'!$A$12:$Z$12"),0),0)="","?",VLOOKUP(V$1,INDIRECT("'"&amp;$A35&amp;"'!$A$12:$Z$41"),MATCH("Points (Auto-generate)",INDIRECT("'"&amp;$A35&amp;"'!$A$12:$Z$12"),0),0)),"ER"))</f>
        <v>?</v>
      </c>
      <c r="W35" s="86" t="str">
        <f aca="true">IF($H35=0,"NA",IF($A35=INDIRECT("'"&amp;$A35&amp;"'!$B$1"),IF(VLOOKUP(W$1,INDIRECT("'"&amp;$A35&amp;"'!$A$12:$Z$41"),MATCH("Points (Auto-generate)",INDIRECT("'"&amp;$A35&amp;"'!$A$12:$Z$12"),0),0)="","?",VLOOKUP(W$1,INDIRECT("'"&amp;$A35&amp;"'!$A$12:$Z$41"),MATCH("Points (Auto-generate)",INDIRECT("'"&amp;$A35&amp;"'!$A$12:$Z$12"),0),0)),"ER"))</f>
        <v>?</v>
      </c>
      <c r="X35" s="86" t="str">
        <f aca="true">IF($H35=0,"NA",IF($A35=INDIRECT("'"&amp;$A35&amp;"'!$B$1"),IF(VLOOKUP(X$1,INDIRECT("'"&amp;$A35&amp;"'!$A$12:$Z$41"),MATCH("Points (Auto-generate)",INDIRECT("'"&amp;$A35&amp;"'!$A$12:$Z$12"),0),0)="","?",VLOOKUP(X$1,INDIRECT("'"&amp;$A35&amp;"'!$A$12:$Z$41"),MATCH("Points (Auto-generate)",INDIRECT("'"&amp;$A35&amp;"'!$A$12:$Z$12"),0),0)),"ER"))</f>
        <v>?</v>
      </c>
      <c r="Y35" s="86" t="str">
        <f aca="true">IF($H35=0,"NA",IF($A35=INDIRECT("'"&amp;$A35&amp;"'!$B$1"),IF(VLOOKUP(Y$1,INDIRECT("'"&amp;$A35&amp;"'!$A$12:$Z$41"),MATCH("Points (Auto-generate)",INDIRECT("'"&amp;$A35&amp;"'!$A$12:$Z$12"),0),0)="","?",VLOOKUP(Y$1,INDIRECT("'"&amp;$A35&amp;"'!$A$12:$Z$41"),MATCH("Points (Auto-generate)",INDIRECT("'"&amp;$A35&amp;"'!$A$12:$Z$12"),0),0)),"ER"))</f>
        <v>?</v>
      </c>
      <c r="Z35" s="86" t="str">
        <f aca="true">IF($H35=0,"NA",IF($A35=INDIRECT("'"&amp;$A35&amp;"'!$B$1"),IF(VLOOKUP(Z$1,INDIRECT("'"&amp;$A35&amp;"'!$A$12:$Z$41"),MATCH("Points (Auto-generate)",INDIRECT("'"&amp;$A35&amp;"'!$A$12:$Z$12"),0),0)="","?",VLOOKUP(Z$1,INDIRECT("'"&amp;$A35&amp;"'!$A$12:$Z$41"),MATCH("Points (Auto-generate)",INDIRECT("'"&amp;$A35&amp;"'!$A$12:$Z$12"),0),0)),"ER"))</f>
        <v>?</v>
      </c>
      <c r="AA35" s="86" t="str">
        <f aca="true">IF($H35=0,"NA",IF($A35=INDIRECT("'"&amp;$A35&amp;"'!$B$1"),IF(VLOOKUP(AA$1,INDIRECT("'"&amp;$A35&amp;"'!$A$12:$Z$41"),MATCH("Points (Auto-generate)",INDIRECT("'"&amp;$A35&amp;"'!$A$12:$Z$12"),0),0)="","?",VLOOKUP(AA$1,INDIRECT("'"&amp;$A35&amp;"'!$A$12:$Z$41"),MATCH("Points (Auto-generate)",INDIRECT("'"&amp;$A35&amp;"'!$A$12:$Z$12"),0),0)),"ER"))</f>
        <v>?</v>
      </c>
      <c r="AB35" s="86" t="str">
        <f aca="true">IF($H35=0,"NA",IF($A35=INDIRECT("'"&amp;$A35&amp;"'!$B$1"),IF(VLOOKUP(AB$1,INDIRECT("'"&amp;$A35&amp;"'!$A$12:$Z$41"),MATCH("Points (Auto-generate)",INDIRECT("'"&amp;$A35&amp;"'!$A$12:$Z$12"),0),0)="","?",VLOOKUP(AB$1,INDIRECT("'"&amp;$A35&amp;"'!$A$12:$Z$41"),MATCH("Points (Auto-generate)",INDIRECT("'"&amp;$A35&amp;"'!$A$12:$Z$12"),0),0)),"ER"))</f>
        <v>?</v>
      </c>
      <c r="AC35" s="86" t="str">
        <f aca="true">IF($H35=0,"NA",IF($A35=INDIRECT("'"&amp;$A35&amp;"'!$B$1"),IF(VLOOKUP(AC$1,INDIRECT("'"&amp;$A35&amp;"'!$A$12:$Z$41"),MATCH("Points (Auto-generate)",INDIRECT("'"&amp;$A35&amp;"'!$A$12:$Z$12"),0),0)="","?",VLOOKUP(AC$1,INDIRECT("'"&amp;$A35&amp;"'!$A$12:$Z$41"),MATCH("Points (Auto-generate)",INDIRECT("'"&amp;$A35&amp;"'!$A$12:$Z$12"),0),0)),"ER"))</f>
        <v>?</v>
      </c>
      <c r="AD35" s="86" t="str">
        <f aca="true">IF($H35=0,"NA",IF($A35=INDIRECT("'"&amp;$A35&amp;"'!$B$1"),IF(VLOOKUP(AD$1,INDIRECT("'"&amp;$A35&amp;"'!$A$12:$Z$41"),MATCH("Points (Auto-generate)",INDIRECT("'"&amp;$A35&amp;"'!$A$12:$Z$12"),0),0)="","?",VLOOKUP(AD$1,INDIRECT("'"&amp;$A35&amp;"'!$A$12:$Z$41"),MATCH("Points (Auto-generate)",INDIRECT("'"&amp;$A35&amp;"'!$A$12:$Z$12"),0),0)),"ER"))</f>
        <v>?</v>
      </c>
      <c r="AE35" s="86" t="str">
        <f aca="true">IF($H35=0,"NA",IF($A35=INDIRECT("'"&amp;$A35&amp;"'!$B$1"),IF(VLOOKUP(AE$1,INDIRECT("'"&amp;$A35&amp;"'!$A$12:$Z$41"),MATCH("Points (Auto-generate)",INDIRECT("'"&amp;$A35&amp;"'!$A$12:$Z$12"),0),0)="","?",VLOOKUP(AE$1,INDIRECT("'"&amp;$A35&amp;"'!$A$12:$Z$41"),MATCH("Points (Auto-generate)",INDIRECT("'"&amp;$A35&amp;"'!$A$12:$Z$12"),0),0)),"ER"))</f>
        <v>?</v>
      </c>
      <c r="AF35" s="86" t="str">
        <f aca="true">IF($H35=0,"NA",IF($A35=INDIRECT("'"&amp;$A35&amp;"'!$B$1"),IF(VLOOKUP(AF$1,INDIRECT("'"&amp;$A35&amp;"'!$A$12:$Z$41"),MATCH("Points (Auto-generate)",INDIRECT("'"&amp;$A35&amp;"'!$A$12:$Z$12"),0),0)="","?",VLOOKUP(AF$1,INDIRECT("'"&amp;$A35&amp;"'!$A$12:$Z$41"),MATCH("Points (Auto-generate)",INDIRECT("'"&amp;$A35&amp;"'!$A$12:$Z$12"),0),0)),"ER"))</f>
        <v>?</v>
      </c>
      <c r="AG35" s="86" t="str">
        <f aca="true">IF($H35=0,"NA",IF($A35=INDIRECT("'"&amp;$A35&amp;"'!$B$1"),IF(VLOOKUP(AG$1,INDIRECT("'"&amp;$A35&amp;"'!$A$12:$Z$41"),MATCH("Points (Auto-generate)",INDIRECT("'"&amp;$A35&amp;"'!$A$12:$Z$12"),0),0)="","?",VLOOKUP(AG$1,INDIRECT("'"&amp;$A35&amp;"'!$A$12:$Z$41"),MATCH("Points (Auto-generate)",INDIRECT("'"&amp;$A35&amp;"'!$A$12:$Z$12"),0),0)),"ER"))</f>
        <v>?</v>
      </c>
      <c r="AH35" s="86" t="str">
        <f aca="true">IF($H35=0,"NA",IF($A35=INDIRECT("'"&amp;$A35&amp;"'!$B$1"),IF(VLOOKUP(AH$1,INDIRECT("'"&amp;$A35&amp;"'!$A$12:$Z$41"),MATCH("Points (Auto-generate)",INDIRECT("'"&amp;$A35&amp;"'!$A$12:$Z$12"),0),0)="","?",VLOOKUP(AH$1,INDIRECT("'"&amp;$A35&amp;"'!$A$12:$Z$41"),MATCH("Points (Auto-generate)",INDIRECT("'"&amp;$A35&amp;"'!$A$12:$Z$12"),0),0)),"ER"))</f>
        <v>?</v>
      </c>
      <c r="AI35" s="86" t="str">
        <f aca="true">IF($H35=0,"NA",IF($A35=INDIRECT("'"&amp;$A35&amp;"'!$B$1"),IF(VLOOKUP(AI$1,INDIRECT("'"&amp;$A35&amp;"'!$A$12:$Z$41"),MATCH("Points (Auto-generate)",INDIRECT("'"&amp;$A35&amp;"'!$A$12:$Z$12"),0),0)="","?",VLOOKUP(AI$1,INDIRECT("'"&amp;$A35&amp;"'!$A$12:$Z$41"),MATCH("Points (Auto-generate)",INDIRECT("'"&amp;$A35&amp;"'!$A$12:$Z$12"),0),0)),"ER"))</f>
        <v>?</v>
      </c>
      <c r="AJ35" s="86" t="str">
        <f aca="true">IF($H35=0,"NA",IF($A35=INDIRECT("'"&amp;$A35&amp;"'!$B$1"),IF(VLOOKUP(AJ$1,INDIRECT("'"&amp;$A35&amp;"'!$A$12:$Z$41"),MATCH("Points (Auto-generate)",INDIRECT("'"&amp;$A35&amp;"'!$A$12:$Z$12"),0),0)="","?",VLOOKUP(AJ$1,INDIRECT("'"&amp;$A35&amp;"'!$A$12:$Z$41"),MATCH("Points (Auto-generate)",INDIRECT("'"&amp;$A35&amp;"'!$A$12:$Z$12"),0),0)),"ER"))</f>
        <v>?</v>
      </c>
      <c r="AK35" s="86" t="str">
        <f aca="true">IF($H35=0,"NA",IF($A35=INDIRECT("'"&amp;$A35&amp;"'!$B$1"),IF(VLOOKUP(AK$1,INDIRECT("'"&amp;$A35&amp;"'!$A$12:$Z$41"),MATCH("Points (Auto-generate)",INDIRECT("'"&amp;$A35&amp;"'!$A$12:$Z$12"),0),0)="","?",VLOOKUP(AK$1,INDIRECT("'"&amp;$A35&amp;"'!$A$12:$Z$41"),MATCH("Points (Auto-generate)",INDIRECT("'"&amp;$A35&amp;"'!$A$12:$Z$12"),0),0)),"ER"))</f>
        <v>?</v>
      </c>
    </row>
    <row r="36" customFormat="false" ht="14.25" hidden="false" customHeight="false" outlineLevel="0" collapsed="false">
      <c r="A36" s="82" t="s">
        <v>162</v>
      </c>
      <c r="B36" s="83" t="str">
        <f aca="false">IF(ISBLANK($A36),"NO_CODE",VLOOKUP($A36,'UPD Questions_290926 '!$E$1:$N$300,MATCH(B$1,'UPD Questions_290926 '!$E$1:$N$1,0),0)&amp;"")</f>
        <v>Implementation</v>
      </c>
      <c r="C36" s="83" t="str">
        <f aca="false">IF(ISBLANK($A36),"NO_CODE",VLOOKUP($A36,'UPD Questions_290926 '!$E$1:$N$300,MATCH(C$1,'UPD Questions_290926 '!$E$1:$N$1,0),0)&amp;"")</f>
        <v>Municipal/City Plan status, hierarchy and coordination</v>
      </c>
      <c r="D36" s="83" t="str">
        <f aca="false">IF(ISBLANK($A36),"NO_CODE",VLOOKUP($A36,'UPD Questions_290926 '!$E$1:$N$300,MATCH(D$1,'UPD Questions_290926 '!$E$1:$N$1,0),0)&amp;"")</f>
        <v>Validity of Municipal/City Plans</v>
      </c>
      <c r="E36" s="83" t="str">
        <f aca="false">IF(ISBLANK($A36),"NO_CODE",VLOOKUP($A36,'UPD Questions_290926 '!$E$1:$N$300,MATCH(E$1,'UPD Questions_290926 '!$E$1:$N$1,0),0)&amp;"")</f>
        <v>MQ</v>
      </c>
      <c r="F36" s="83" t="str">
        <f aca="false">IF(ISBLANK($A36),"NO_CODE",VLOOKUP($A36,'UPD Questions_290926 '!$E$1:$N$300,MATCH(F$1,'UPD Questions_290926 '!$E$1:$N$1,0),0)&amp;"")</f>
        <v>Does the city have a municipal/city plan that is currently in force and within its prescribed validity period?</v>
      </c>
      <c r="G36" s="83" t="str">
        <f aca="false">IF(ISBLANK($A36),"NO_CODE",VLOOKUP($A36,'UPD Questions_290926 '!$E$1:$N$300,MATCH(G$1,'UPD Questions_290926 '!$E$1:$N$1,0),0)&amp;"")</f>
        <v>Implementation</v>
      </c>
      <c r="H36" s="85" t="n">
        <f aca="false">IF(ISBLANK($A36),"NO_CODE",VLOOKUP($A36,'UPD Questions_290926 '!$E$1:$N$300,MATCH(H$1,'UPD Questions_290926 '!$E$1:$N$1,0),0))</f>
        <v>10</v>
      </c>
      <c r="I36" s="86" t="str">
        <f aca="true">IF($H36=0,"NA",IF($A36=INDIRECT("'"&amp;$A36&amp;"'!$B$1"),IF(VLOOKUP(I$1,INDIRECT("'"&amp;$A36&amp;"'!$A$12:$Z$41"),MATCH("Points (Auto-generate)",INDIRECT("'"&amp;$A36&amp;"'!$A$12:$Z$12"),0),0)="","?",VLOOKUP(I$1,INDIRECT("'"&amp;$A36&amp;"'!$A$12:$Z$41"),MATCH("Points (Auto-generate)",INDIRECT("'"&amp;$A36&amp;"'!$A$12:$Z$12"),0),0)),"ER"))</f>
        <v>?</v>
      </c>
      <c r="J36" s="86" t="str">
        <f aca="true">IF($H36=0,"NA",IF($A36=INDIRECT("'"&amp;$A36&amp;"'!$B$1"),IF(VLOOKUP(J$1,INDIRECT("'"&amp;$A36&amp;"'!$A$12:$Z$41"),MATCH("Points (Auto-generate)",INDIRECT("'"&amp;$A36&amp;"'!$A$12:$Z$12"),0),0)="","?",VLOOKUP(J$1,INDIRECT("'"&amp;$A36&amp;"'!$A$12:$Z$41"),MATCH("Points (Auto-generate)",INDIRECT("'"&amp;$A36&amp;"'!$A$12:$Z$12"),0),0)),"ER"))</f>
        <v>?</v>
      </c>
      <c r="K36" s="86" t="str">
        <f aca="true">IF($H36=0,"NA",IF($A36=INDIRECT("'"&amp;$A36&amp;"'!$B$1"),IF(VLOOKUP(K$1,INDIRECT("'"&amp;$A36&amp;"'!$A$12:$Z$41"),MATCH("Points (Auto-generate)",INDIRECT("'"&amp;$A36&amp;"'!$A$12:$Z$12"),0),0)="","?",VLOOKUP(K$1,INDIRECT("'"&amp;$A36&amp;"'!$A$12:$Z$41"),MATCH("Points (Auto-generate)",INDIRECT("'"&amp;$A36&amp;"'!$A$12:$Z$12"),0),0)),"ER"))</f>
        <v>?</v>
      </c>
      <c r="L36" s="86" t="str">
        <f aca="true">IF($H36=0,"NA",IF($A36=INDIRECT("'"&amp;$A36&amp;"'!$B$1"),IF(VLOOKUP(L$1,INDIRECT("'"&amp;$A36&amp;"'!$A$12:$Z$41"),MATCH("Points (Auto-generate)",INDIRECT("'"&amp;$A36&amp;"'!$A$12:$Z$12"),0),0)="","?",VLOOKUP(L$1,INDIRECT("'"&amp;$A36&amp;"'!$A$12:$Z$41"),MATCH("Points (Auto-generate)",INDIRECT("'"&amp;$A36&amp;"'!$A$12:$Z$12"),0),0)),"ER"))</f>
        <v>?</v>
      </c>
      <c r="M36" s="86" t="str">
        <f aca="true">IF($H36=0,"NA",IF($A36=INDIRECT("'"&amp;$A36&amp;"'!$B$1"),IF(VLOOKUP(M$1,INDIRECT("'"&amp;$A36&amp;"'!$A$12:$Z$41"),MATCH("Points (Auto-generate)",INDIRECT("'"&amp;$A36&amp;"'!$A$12:$Z$12"),0),0)="","?",VLOOKUP(M$1,INDIRECT("'"&amp;$A36&amp;"'!$A$12:$Z$41"),MATCH("Points (Auto-generate)",INDIRECT("'"&amp;$A36&amp;"'!$A$12:$Z$12"),0),0)),"ER"))</f>
        <v>?</v>
      </c>
      <c r="N36" s="86" t="str">
        <f aca="true">IF($H36=0,"NA",IF($A36=INDIRECT("'"&amp;$A36&amp;"'!$B$1"),IF(VLOOKUP(N$1,INDIRECT("'"&amp;$A36&amp;"'!$A$12:$Z$41"),MATCH("Points (Auto-generate)",INDIRECT("'"&amp;$A36&amp;"'!$A$12:$Z$12"),0),0)="","?",VLOOKUP(N$1,INDIRECT("'"&amp;$A36&amp;"'!$A$12:$Z$41"),MATCH("Points (Auto-generate)",INDIRECT("'"&amp;$A36&amp;"'!$A$12:$Z$12"),0),0)),"ER"))</f>
        <v>?</v>
      </c>
      <c r="O36" s="86" t="str">
        <f aca="true">IF($H36=0,"NA",IF($A36=INDIRECT("'"&amp;$A36&amp;"'!$B$1"),IF(VLOOKUP(O$1,INDIRECT("'"&amp;$A36&amp;"'!$A$12:$Z$41"),MATCH("Points (Auto-generate)",INDIRECT("'"&amp;$A36&amp;"'!$A$12:$Z$12"),0),0)="","?",VLOOKUP(O$1,INDIRECT("'"&amp;$A36&amp;"'!$A$12:$Z$41"),MATCH("Points (Auto-generate)",INDIRECT("'"&amp;$A36&amp;"'!$A$12:$Z$12"),0),0)),"ER"))</f>
        <v>?</v>
      </c>
      <c r="P36" s="86" t="str">
        <f aca="true">IF($H36=0,"NA",IF($A36=INDIRECT("'"&amp;$A36&amp;"'!$B$1"),IF(VLOOKUP(P$1,INDIRECT("'"&amp;$A36&amp;"'!$A$12:$Z$41"),MATCH("Points (Auto-generate)",INDIRECT("'"&amp;$A36&amp;"'!$A$12:$Z$12"),0),0)="","?",VLOOKUP(P$1,INDIRECT("'"&amp;$A36&amp;"'!$A$12:$Z$41"),MATCH("Points (Auto-generate)",INDIRECT("'"&amp;$A36&amp;"'!$A$12:$Z$12"),0),0)),"ER"))</f>
        <v>?</v>
      </c>
      <c r="Q36" s="86" t="str">
        <f aca="true">IF($H36=0,"NA",IF($A36=INDIRECT("'"&amp;$A36&amp;"'!$B$1"),IF(VLOOKUP(Q$1,INDIRECT("'"&amp;$A36&amp;"'!$A$12:$Z$41"),MATCH("Points (Auto-generate)",INDIRECT("'"&amp;$A36&amp;"'!$A$12:$Z$12"),0),0)="","?",VLOOKUP(Q$1,INDIRECT("'"&amp;$A36&amp;"'!$A$12:$Z$41"),MATCH("Points (Auto-generate)",INDIRECT("'"&amp;$A36&amp;"'!$A$12:$Z$12"),0),0)),"ER"))</f>
        <v>?</v>
      </c>
      <c r="R36" s="86" t="str">
        <f aca="true">IF($H36=0,"NA",IF($A36=INDIRECT("'"&amp;$A36&amp;"'!$B$1"),IF(VLOOKUP(R$1,INDIRECT("'"&amp;$A36&amp;"'!$A$12:$Z$41"),MATCH("Points (Auto-generate)",INDIRECT("'"&amp;$A36&amp;"'!$A$12:$Z$12"),0),0)="","?",VLOOKUP(R$1,INDIRECT("'"&amp;$A36&amp;"'!$A$12:$Z$41"),MATCH("Points (Auto-generate)",INDIRECT("'"&amp;$A36&amp;"'!$A$12:$Z$12"),0),0)),"ER"))</f>
        <v>?</v>
      </c>
      <c r="S36" s="86" t="str">
        <f aca="true">IF($H36=0,"NA",IF($A36=INDIRECT("'"&amp;$A36&amp;"'!$B$1"),IF(VLOOKUP(S$1,INDIRECT("'"&amp;$A36&amp;"'!$A$12:$Z$41"),MATCH("Points (Auto-generate)",INDIRECT("'"&amp;$A36&amp;"'!$A$12:$Z$12"),0),0)="","?",VLOOKUP(S$1,INDIRECT("'"&amp;$A36&amp;"'!$A$12:$Z$41"),MATCH("Points (Auto-generate)",INDIRECT("'"&amp;$A36&amp;"'!$A$12:$Z$12"),0),0)),"ER"))</f>
        <v>?</v>
      </c>
      <c r="T36" s="86" t="str">
        <f aca="true">IF($H36=0,"NA",IF($A36=INDIRECT("'"&amp;$A36&amp;"'!$B$1"),IF(VLOOKUP(T$1,INDIRECT("'"&amp;$A36&amp;"'!$A$12:$Z$41"),MATCH("Points (Auto-generate)",INDIRECT("'"&amp;$A36&amp;"'!$A$12:$Z$12"),0),0)="","?",VLOOKUP(T$1,INDIRECT("'"&amp;$A36&amp;"'!$A$12:$Z$41"),MATCH("Points (Auto-generate)",INDIRECT("'"&amp;$A36&amp;"'!$A$12:$Z$12"),0),0)),"ER"))</f>
        <v>?</v>
      </c>
      <c r="U36" s="86" t="str">
        <f aca="true">IF($H36=0,"NA",IF($A36=INDIRECT("'"&amp;$A36&amp;"'!$B$1"),IF(VLOOKUP(U$1,INDIRECT("'"&amp;$A36&amp;"'!$A$12:$Z$41"),MATCH("Points (Auto-generate)",INDIRECT("'"&amp;$A36&amp;"'!$A$12:$Z$12"),0),0)="","?",VLOOKUP(U$1,INDIRECT("'"&amp;$A36&amp;"'!$A$12:$Z$41"),MATCH("Points (Auto-generate)",INDIRECT("'"&amp;$A36&amp;"'!$A$12:$Z$12"),0),0)),"ER"))</f>
        <v>?</v>
      </c>
      <c r="V36" s="86" t="str">
        <f aca="true">IF($H36=0,"NA",IF($A36=INDIRECT("'"&amp;$A36&amp;"'!$B$1"),IF(VLOOKUP(V$1,INDIRECT("'"&amp;$A36&amp;"'!$A$12:$Z$41"),MATCH("Points (Auto-generate)",INDIRECT("'"&amp;$A36&amp;"'!$A$12:$Z$12"),0),0)="","?",VLOOKUP(V$1,INDIRECT("'"&amp;$A36&amp;"'!$A$12:$Z$41"),MATCH("Points (Auto-generate)",INDIRECT("'"&amp;$A36&amp;"'!$A$12:$Z$12"),0),0)),"ER"))</f>
        <v>?</v>
      </c>
      <c r="W36" s="86" t="str">
        <f aca="true">IF($H36=0,"NA",IF($A36=INDIRECT("'"&amp;$A36&amp;"'!$B$1"),IF(VLOOKUP(W$1,INDIRECT("'"&amp;$A36&amp;"'!$A$12:$Z$41"),MATCH("Points (Auto-generate)",INDIRECT("'"&amp;$A36&amp;"'!$A$12:$Z$12"),0),0)="","?",VLOOKUP(W$1,INDIRECT("'"&amp;$A36&amp;"'!$A$12:$Z$41"),MATCH("Points (Auto-generate)",INDIRECT("'"&amp;$A36&amp;"'!$A$12:$Z$12"),0),0)),"ER"))</f>
        <v>?</v>
      </c>
      <c r="X36" s="86" t="str">
        <f aca="true">IF($H36=0,"NA",IF($A36=INDIRECT("'"&amp;$A36&amp;"'!$B$1"),IF(VLOOKUP(X$1,INDIRECT("'"&amp;$A36&amp;"'!$A$12:$Z$41"),MATCH("Points (Auto-generate)",INDIRECT("'"&amp;$A36&amp;"'!$A$12:$Z$12"),0),0)="","?",VLOOKUP(X$1,INDIRECT("'"&amp;$A36&amp;"'!$A$12:$Z$41"),MATCH("Points (Auto-generate)",INDIRECT("'"&amp;$A36&amp;"'!$A$12:$Z$12"),0),0)),"ER"))</f>
        <v>?</v>
      </c>
      <c r="Y36" s="86" t="str">
        <f aca="true">IF($H36=0,"NA",IF($A36=INDIRECT("'"&amp;$A36&amp;"'!$B$1"),IF(VLOOKUP(Y$1,INDIRECT("'"&amp;$A36&amp;"'!$A$12:$Z$41"),MATCH("Points (Auto-generate)",INDIRECT("'"&amp;$A36&amp;"'!$A$12:$Z$12"),0),0)="","?",VLOOKUP(Y$1,INDIRECT("'"&amp;$A36&amp;"'!$A$12:$Z$41"),MATCH("Points (Auto-generate)",INDIRECT("'"&amp;$A36&amp;"'!$A$12:$Z$12"),0),0)),"ER"))</f>
        <v>?</v>
      </c>
      <c r="Z36" s="86" t="str">
        <f aca="true">IF($H36=0,"NA",IF($A36=INDIRECT("'"&amp;$A36&amp;"'!$B$1"),IF(VLOOKUP(Z$1,INDIRECT("'"&amp;$A36&amp;"'!$A$12:$Z$41"),MATCH("Points (Auto-generate)",INDIRECT("'"&amp;$A36&amp;"'!$A$12:$Z$12"),0),0)="","?",VLOOKUP(Z$1,INDIRECT("'"&amp;$A36&amp;"'!$A$12:$Z$41"),MATCH("Points (Auto-generate)",INDIRECT("'"&amp;$A36&amp;"'!$A$12:$Z$12"),0),0)),"ER"))</f>
        <v>?</v>
      </c>
      <c r="AA36" s="86" t="str">
        <f aca="true">IF($H36=0,"NA",IF($A36=INDIRECT("'"&amp;$A36&amp;"'!$B$1"),IF(VLOOKUP(AA$1,INDIRECT("'"&amp;$A36&amp;"'!$A$12:$Z$41"),MATCH("Points (Auto-generate)",INDIRECT("'"&amp;$A36&amp;"'!$A$12:$Z$12"),0),0)="","?",VLOOKUP(AA$1,INDIRECT("'"&amp;$A36&amp;"'!$A$12:$Z$41"),MATCH("Points (Auto-generate)",INDIRECT("'"&amp;$A36&amp;"'!$A$12:$Z$12"),0),0)),"ER"))</f>
        <v>?</v>
      </c>
      <c r="AB36" s="86" t="str">
        <f aca="true">IF($H36=0,"NA",IF($A36=INDIRECT("'"&amp;$A36&amp;"'!$B$1"),IF(VLOOKUP(AB$1,INDIRECT("'"&amp;$A36&amp;"'!$A$12:$Z$41"),MATCH("Points (Auto-generate)",INDIRECT("'"&amp;$A36&amp;"'!$A$12:$Z$12"),0),0)="","?",VLOOKUP(AB$1,INDIRECT("'"&amp;$A36&amp;"'!$A$12:$Z$41"),MATCH("Points (Auto-generate)",INDIRECT("'"&amp;$A36&amp;"'!$A$12:$Z$12"),0),0)),"ER"))</f>
        <v>?</v>
      </c>
      <c r="AC36" s="86" t="str">
        <f aca="true">IF($H36=0,"NA",IF($A36=INDIRECT("'"&amp;$A36&amp;"'!$B$1"),IF(VLOOKUP(AC$1,INDIRECT("'"&amp;$A36&amp;"'!$A$12:$Z$41"),MATCH("Points (Auto-generate)",INDIRECT("'"&amp;$A36&amp;"'!$A$12:$Z$12"),0),0)="","?",VLOOKUP(AC$1,INDIRECT("'"&amp;$A36&amp;"'!$A$12:$Z$41"),MATCH("Points (Auto-generate)",INDIRECT("'"&amp;$A36&amp;"'!$A$12:$Z$12"),0),0)),"ER"))</f>
        <v>?</v>
      </c>
      <c r="AD36" s="86" t="str">
        <f aca="true">IF($H36=0,"NA",IF($A36=INDIRECT("'"&amp;$A36&amp;"'!$B$1"),IF(VLOOKUP(AD$1,INDIRECT("'"&amp;$A36&amp;"'!$A$12:$Z$41"),MATCH("Points (Auto-generate)",INDIRECT("'"&amp;$A36&amp;"'!$A$12:$Z$12"),0),0)="","?",VLOOKUP(AD$1,INDIRECT("'"&amp;$A36&amp;"'!$A$12:$Z$41"),MATCH("Points (Auto-generate)",INDIRECT("'"&amp;$A36&amp;"'!$A$12:$Z$12"),0),0)),"ER"))</f>
        <v>?</v>
      </c>
      <c r="AE36" s="86" t="str">
        <f aca="true">IF($H36=0,"NA",IF($A36=INDIRECT("'"&amp;$A36&amp;"'!$B$1"),IF(VLOOKUP(AE$1,INDIRECT("'"&amp;$A36&amp;"'!$A$12:$Z$41"),MATCH("Points (Auto-generate)",INDIRECT("'"&amp;$A36&amp;"'!$A$12:$Z$12"),0),0)="","?",VLOOKUP(AE$1,INDIRECT("'"&amp;$A36&amp;"'!$A$12:$Z$41"),MATCH("Points (Auto-generate)",INDIRECT("'"&amp;$A36&amp;"'!$A$12:$Z$12"),0),0)),"ER"))</f>
        <v>?</v>
      </c>
      <c r="AF36" s="86" t="str">
        <f aca="true">IF($H36=0,"NA",IF($A36=INDIRECT("'"&amp;$A36&amp;"'!$B$1"),IF(VLOOKUP(AF$1,INDIRECT("'"&amp;$A36&amp;"'!$A$12:$Z$41"),MATCH("Points (Auto-generate)",INDIRECT("'"&amp;$A36&amp;"'!$A$12:$Z$12"),0),0)="","?",VLOOKUP(AF$1,INDIRECT("'"&amp;$A36&amp;"'!$A$12:$Z$41"),MATCH("Points (Auto-generate)",INDIRECT("'"&amp;$A36&amp;"'!$A$12:$Z$12"),0),0)),"ER"))</f>
        <v>?</v>
      </c>
      <c r="AG36" s="86" t="str">
        <f aca="true">IF($H36=0,"NA",IF($A36=INDIRECT("'"&amp;$A36&amp;"'!$B$1"),IF(VLOOKUP(AG$1,INDIRECT("'"&amp;$A36&amp;"'!$A$12:$Z$41"),MATCH("Points (Auto-generate)",INDIRECT("'"&amp;$A36&amp;"'!$A$12:$Z$12"),0),0)="","?",VLOOKUP(AG$1,INDIRECT("'"&amp;$A36&amp;"'!$A$12:$Z$41"),MATCH("Points (Auto-generate)",INDIRECT("'"&amp;$A36&amp;"'!$A$12:$Z$12"),0),0)),"ER"))</f>
        <v>?</v>
      </c>
      <c r="AH36" s="86" t="str">
        <f aca="true">IF($H36=0,"NA",IF($A36=INDIRECT("'"&amp;$A36&amp;"'!$B$1"),IF(VLOOKUP(AH$1,INDIRECT("'"&amp;$A36&amp;"'!$A$12:$Z$41"),MATCH("Points (Auto-generate)",INDIRECT("'"&amp;$A36&amp;"'!$A$12:$Z$12"),0),0)="","?",VLOOKUP(AH$1,INDIRECT("'"&amp;$A36&amp;"'!$A$12:$Z$41"),MATCH("Points (Auto-generate)",INDIRECT("'"&amp;$A36&amp;"'!$A$12:$Z$12"),0),0)),"ER"))</f>
        <v>?</v>
      </c>
      <c r="AI36" s="86" t="str">
        <f aca="true">IF($H36=0,"NA",IF($A36=INDIRECT("'"&amp;$A36&amp;"'!$B$1"),IF(VLOOKUP(AI$1,INDIRECT("'"&amp;$A36&amp;"'!$A$12:$Z$41"),MATCH("Points (Auto-generate)",INDIRECT("'"&amp;$A36&amp;"'!$A$12:$Z$12"),0),0)="","?",VLOOKUP(AI$1,INDIRECT("'"&amp;$A36&amp;"'!$A$12:$Z$41"),MATCH("Points (Auto-generate)",INDIRECT("'"&amp;$A36&amp;"'!$A$12:$Z$12"),0),0)),"ER"))</f>
        <v>?</v>
      </c>
      <c r="AJ36" s="86" t="str">
        <f aca="true">IF($H36=0,"NA",IF($A36=INDIRECT("'"&amp;$A36&amp;"'!$B$1"),IF(VLOOKUP(AJ$1,INDIRECT("'"&amp;$A36&amp;"'!$A$12:$Z$41"),MATCH("Points (Auto-generate)",INDIRECT("'"&amp;$A36&amp;"'!$A$12:$Z$12"),0),0)="","?",VLOOKUP(AJ$1,INDIRECT("'"&amp;$A36&amp;"'!$A$12:$Z$41"),MATCH("Points (Auto-generate)",INDIRECT("'"&amp;$A36&amp;"'!$A$12:$Z$12"),0),0)),"ER"))</f>
        <v>?</v>
      </c>
      <c r="AK36" s="86" t="str">
        <f aca="true">IF($H36=0,"NA",IF($A36=INDIRECT("'"&amp;$A36&amp;"'!$B$1"),IF(VLOOKUP(AK$1,INDIRECT("'"&amp;$A36&amp;"'!$A$12:$Z$41"),MATCH("Points (Auto-generate)",INDIRECT("'"&amp;$A36&amp;"'!$A$12:$Z$12"),0),0)="","?",VLOOKUP(AK$1,INDIRECT("'"&amp;$A36&amp;"'!$A$12:$Z$41"),MATCH("Points (Auto-generate)",INDIRECT("'"&amp;$A36&amp;"'!$A$12:$Z$12"),0),0)),"ER"))</f>
        <v>?</v>
      </c>
    </row>
    <row r="37" customFormat="false" ht="14.25" hidden="false" customHeight="false" outlineLevel="0" collapsed="false">
      <c r="A37" s="82" t="s">
        <v>399</v>
      </c>
      <c r="B37" s="83" t="str">
        <f aca="false">IF(ISBLANK($A37),"NO_CODE",VLOOKUP($A37,'UPD Questions_290926 '!$E$1:$N$300,MATCH(B$1,'UPD Questions_290926 '!$E$1:$N$1,0),0)&amp;"")</f>
        <v>Implementation</v>
      </c>
      <c r="C37" s="83" t="str">
        <f aca="false">IF(ISBLANK($A37),"NO_CODE",VLOOKUP($A37,'UPD Questions_290926 '!$E$1:$N$300,MATCH(C$1,'UPD Questions_290926 '!$E$1:$N$1,0),0)&amp;"")</f>
        <v>Municipal/City Plan status, hierarchy and coordination</v>
      </c>
      <c r="D37" s="83" t="str">
        <f aca="false">IF(ISBLANK($A37),"NO_CODE",VLOOKUP($A37,'UPD Questions_290926 '!$E$1:$N$300,MATCH(D$1,'UPD Questions_290926 '!$E$1:$N$1,0),0)&amp;"")</f>
        <v>Alignment across planning levels</v>
      </c>
      <c r="E37" s="83" t="str">
        <f aca="false">IF(ISBLANK($A37),"NO_CODE",VLOOKUP($A37,'UPD Questions_290926 '!$E$1:$N$300,MATCH(E$1,'UPD Questions_290926 '!$E$1:$N$1,0),0)&amp;"")</f>
        <v>MQ</v>
      </c>
      <c r="F37" s="83" t="str">
        <f aca="false">IF(ISBLANK($A37),"NO_CODE",VLOOKUP($A37,'UPD Questions_290926 '!$E$1:$N$300,MATCH(F$1,'UPD Questions_290926 '!$E$1:$N$1,0),0)&amp;"")</f>
        <v> Are the spatial plans at the Metropolitan/Regional, Municipal and Ward(s) /Local level in a concurrent or nested timeline of validity?</v>
      </c>
      <c r="G37" s="83" t="str">
        <f aca="false">IF(ISBLANK($A37),"NO_CODE",VLOOKUP($A37,'UPD Questions_290926 '!$E$1:$N$300,MATCH(G$1,'UPD Questions_290926 '!$E$1:$N$1,0),0)&amp;"")</f>
        <v>Implementation</v>
      </c>
      <c r="H37" s="85" t="n">
        <f aca="false">IF(ISBLANK($A37),"NO_CODE",VLOOKUP($A37,'UPD Questions_290926 '!$E$1:$N$300,MATCH(H$1,'UPD Questions_290926 '!$E$1:$N$1,0),0))</f>
        <v>10</v>
      </c>
      <c r="I37" s="86" t="str">
        <f aca="false">IF(OR(I38="ER",I39="ER"),"ER",IF(OR(I38="?",I39="?"),"?",IF(AND(I38="NA",I39="NA"),"NA",SUM(I38,I39)/((I38&lt;&gt;"NA")*$H$38+(I39&lt;&gt;"NA")*$H$39)*$H37)))</f>
        <v>?</v>
      </c>
      <c r="J37" s="86" t="str">
        <f aca="false">IF(OR(J38="ER",J39="ER"),"ER",IF(OR(J38="?",J39="?"),"?",IF(AND(J38="NA",J39="NA"),"NA",SUM(J38,J39)/((J38&lt;&gt;"NA")*$H$38+(J39&lt;&gt;"NA")*$H$39)*$H37)))</f>
        <v>?</v>
      </c>
      <c r="K37" s="86" t="str">
        <f aca="false">IF(OR(K38="ER",K39="ER"),"ER",IF(OR(K38="?",K39="?"),"?",IF(AND(K38="NA",K39="NA"),"NA",SUM(K38,K39)/((K38&lt;&gt;"NA")*$H$38+(K39&lt;&gt;"NA")*$H$39)*$H37)))</f>
        <v>?</v>
      </c>
      <c r="L37" s="86" t="str">
        <f aca="false">IF(OR(L38="ER",L39="ER"),"ER",IF(OR(L38="?",L39="?"),"?",IF(AND(L38="NA",L39="NA"),"NA",SUM(L38,L39)/((L38&lt;&gt;"NA")*$H$38+(L39&lt;&gt;"NA")*$H$39)*$H37)))</f>
        <v>?</v>
      </c>
      <c r="M37" s="86" t="str">
        <f aca="false">IF(OR(M38="ER",M39="ER"),"ER",IF(OR(M38="?",M39="?"),"?",IF(AND(M38="NA",M39="NA"),"NA",SUM(M38,M39)/((M38&lt;&gt;"NA")*$H$38+(M39&lt;&gt;"NA")*$H$39)*$H37)))</f>
        <v>?</v>
      </c>
      <c r="N37" s="86" t="str">
        <f aca="false">IF(OR(N38="ER",N39="ER"),"ER",IF(OR(N38="?",N39="?"),"?",IF(AND(N38="NA",N39="NA"),"NA",SUM(N38,N39)/((N38&lt;&gt;"NA")*$H$38+(N39&lt;&gt;"NA")*$H$39)*$H37)))</f>
        <v>?</v>
      </c>
      <c r="O37" s="86" t="str">
        <f aca="false">IF(OR(O38="ER",O39="ER"),"ER",IF(OR(O38="?",O39="?"),"?",IF(AND(O38="NA",O39="NA"),"NA",SUM(O38,O39)/((O38&lt;&gt;"NA")*$H$38+(O39&lt;&gt;"NA")*$H$39)*$H37)))</f>
        <v>?</v>
      </c>
      <c r="P37" s="86" t="str">
        <f aca="false">IF(OR(P38="ER",P39="ER"),"ER",IF(OR(P38="?",P39="?"),"?",IF(AND(P38="NA",P39="NA"),"NA",SUM(P38,P39)/((P38&lt;&gt;"NA")*$H$38+(P39&lt;&gt;"NA")*$H$39)*$H37)))</f>
        <v>?</v>
      </c>
      <c r="Q37" s="86" t="str">
        <f aca="false">IF(OR(Q38="ER",Q39="ER"),"ER",IF(OR(Q38="?",Q39="?"),"?",IF(AND(Q38="NA",Q39="NA"),"NA",SUM(Q38,Q39)/((Q38&lt;&gt;"NA")*$H$38+(Q39&lt;&gt;"NA")*$H$39)*$H37)))</f>
        <v>?</v>
      </c>
      <c r="R37" s="86" t="str">
        <f aca="false">IF(OR(R38="ER",R39="ER"),"ER",IF(OR(R38="?",R39="?"),"?",IF(AND(R38="NA",R39="NA"),"NA",SUM(R38,R39)/((R38&lt;&gt;"NA")*$H$38+(R39&lt;&gt;"NA")*$H$39)*$H37)))</f>
        <v>?</v>
      </c>
      <c r="S37" s="86" t="str">
        <f aca="false">IF(OR(S38="ER",S39="ER"),"ER",IF(OR(S38="?",S39="?"),"?",IF(AND(S38="NA",S39="NA"),"NA",SUM(S38,S39)/((S38&lt;&gt;"NA")*$H$38+(S39&lt;&gt;"NA")*$H$39)*$H37)))</f>
        <v>?</v>
      </c>
      <c r="T37" s="86" t="str">
        <f aca="false">IF(OR(T38="ER",T39="ER"),"ER",IF(OR(T38="?",T39="?"),"?",IF(AND(T38="NA",T39="NA"),"NA",SUM(T38,T39)/((T38&lt;&gt;"NA")*$H$38+(T39&lt;&gt;"NA")*$H$39)*$H37)))</f>
        <v>?</v>
      </c>
      <c r="U37" s="86" t="str">
        <f aca="false">IF(OR(U38="ER",U39="ER"),"ER",IF(OR(U38="?",U39="?"),"?",IF(AND(U38="NA",U39="NA"),"NA",SUM(U38,U39)/((U38&lt;&gt;"NA")*$H$38+(U39&lt;&gt;"NA")*$H$39)*$H37)))</f>
        <v>?</v>
      </c>
      <c r="V37" s="86" t="str">
        <f aca="false">IF(OR(V38="ER",V39="ER"),"ER",IF(OR(V38="?",V39="?"),"?",IF(AND(V38="NA",V39="NA"),"NA",SUM(V38,V39)/((V38&lt;&gt;"NA")*$H$38+(V39&lt;&gt;"NA")*$H$39)*$H37)))</f>
        <v>?</v>
      </c>
      <c r="W37" s="86" t="str">
        <f aca="false">IF(OR(W38="ER",W39="ER"),"ER",IF(OR(W38="?",W39="?"),"?",IF(AND(W38="NA",W39="NA"),"NA",SUM(W38,W39)/((W38&lt;&gt;"NA")*$H$38+(W39&lt;&gt;"NA")*$H$39)*$H37)))</f>
        <v>?</v>
      </c>
      <c r="X37" s="86" t="str">
        <f aca="false">IF(OR(X38="ER",X39="ER"),"ER",IF(OR(X38="?",X39="?"),"?",IF(AND(X38="NA",X39="NA"),"NA",SUM(X38,X39)/((X38&lt;&gt;"NA")*$H$38+(X39&lt;&gt;"NA")*$H$39)*$H37)))</f>
        <v>?</v>
      </c>
      <c r="Y37" s="86" t="str">
        <f aca="false">IF(OR(Y38="ER",Y39="ER"),"ER",IF(OR(Y38="?",Y39="?"),"?",IF(AND(Y38="NA",Y39="NA"),"NA",SUM(Y38,Y39)/((Y38&lt;&gt;"NA")*$H$38+(Y39&lt;&gt;"NA")*$H$39)*$H37)))</f>
        <v>?</v>
      </c>
      <c r="Z37" s="86" t="str">
        <f aca="false">IF(OR(Z38="ER",Z39="ER"),"ER",IF(OR(Z38="?",Z39="?"),"?",IF(AND(Z38="NA",Z39="NA"),"NA",SUM(Z38,Z39)/((Z38&lt;&gt;"NA")*$H$38+(Z39&lt;&gt;"NA")*$H$39)*$H37)))</f>
        <v>?</v>
      </c>
      <c r="AA37" s="86" t="str">
        <f aca="false">IF(OR(AA38="ER",AA39="ER"),"ER",IF(OR(AA38="?",AA39="?"),"?",IF(AND(AA38="NA",AA39="NA"),"NA",SUM(AA38,AA39)/((AA38&lt;&gt;"NA")*$H$38+(AA39&lt;&gt;"NA")*$H$39)*$H37)))</f>
        <v>?</v>
      </c>
      <c r="AB37" s="86" t="str">
        <f aca="false">IF(OR(AB38="ER",AB39="ER"),"ER",IF(OR(AB38="?",AB39="?"),"?",IF(AND(AB38="NA",AB39="NA"),"NA",SUM(AB38,AB39)/((AB38&lt;&gt;"NA")*$H$38+(AB39&lt;&gt;"NA")*$H$39)*$H37)))</f>
        <v>?</v>
      </c>
      <c r="AC37" s="86" t="str">
        <f aca="false">IF(OR(AC38="ER",AC39="ER"),"ER",IF(OR(AC38="?",AC39="?"),"?",IF(AND(AC38="NA",AC39="NA"),"NA",SUM(AC38,AC39)/((AC38&lt;&gt;"NA")*$H$38+(AC39&lt;&gt;"NA")*$H$39)*$H37)))</f>
        <v>?</v>
      </c>
      <c r="AD37" s="86" t="str">
        <f aca="false">IF(OR(AD38="ER",AD39="ER"),"ER",IF(OR(AD38="?",AD39="?"),"?",IF(AND(AD38="NA",AD39="NA"),"NA",SUM(AD38,AD39)/((AD38&lt;&gt;"NA")*$H$38+(AD39&lt;&gt;"NA")*$H$39)*$H37)))</f>
        <v>?</v>
      </c>
      <c r="AE37" s="86" t="str">
        <f aca="false">IF(OR(AE38="ER",AE39="ER"),"ER",IF(OR(AE38="?",AE39="?"),"?",IF(AND(AE38="NA",AE39="NA"),"NA",SUM(AE38,AE39)/((AE38&lt;&gt;"NA")*$H$38+(AE39&lt;&gt;"NA")*$H$39)*$H37)))</f>
        <v>?</v>
      </c>
      <c r="AF37" s="86" t="str">
        <f aca="false">IF(OR(AF38="ER",AF39="ER"),"ER",IF(OR(AF38="?",AF39="?"),"?",IF(AND(AF38="NA",AF39="NA"),"NA",SUM(AF38,AF39)/((AF38&lt;&gt;"NA")*$H$38+(AF39&lt;&gt;"NA")*$H$39)*$H37)))</f>
        <v>?</v>
      </c>
      <c r="AG37" s="86" t="str">
        <f aca="false">IF(OR(AG38="ER",AG39="ER"),"ER",IF(OR(AG38="?",AG39="?"),"?",IF(AND(AG38="NA",AG39="NA"),"NA",SUM(AG38,AG39)/((AG38&lt;&gt;"NA")*$H$38+(AG39&lt;&gt;"NA")*$H$39)*$H37)))</f>
        <v>?</v>
      </c>
      <c r="AH37" s="86" t="str">
        <f aca="false">IF(OR(AH38="ER",AH39="ER"),"ER",IF(OR(AH38="?",AH39="?"),"?",IF(AND(AH38="NA",AH39="NA"),"NA",SUM(AH38,AH39)/((AH38&lt;&gt;"NA")*$H$38+(AH39&lt;&gt;"NA")*$H$39)*$H37)))</f>
        <v>?</v>
      </c>
      <c r="AI37" s="86" t="str">
        <f aca="false">IF(OR(AI38="ER",AI39="ER"),"ER",IF(OR(AI38="?",AI39="?"),"?",IF(AND(AI38="NA",AI39="NA"),"NA",SUM(AI38,AI39)/((AI38&lt;&gt;"NA")*$H$38+(AI39&lt;&gt;"NA")*$H$39)*$H37)))</f>
        <v>?</v>
      </c>
      <c r="AJ37" s="86" t="str">
        <f aca="false">IF(OR(AJ38="ER",AJ39="ER"),"ER",IF(OR(AJ38="?",AJ39="?"),"?",IF(AND(AJ38="NA",AJ39="NA"),"NA",SUM(AJ38,AJ39)/((AJ38&lt;&gt;"NA")*$H$38+(AJ39&lt;&gt;"NA")*$H$39)*$H37)))</f>
        <v>?</v>
      </c>
      <c r="AK37" s="86" t="str">
        <f aca="false">IF(OR(AK38="ER",AK39="ER"),"ER",IF(OR(AK38="?",AK39="?"),"?",IF(AND(AK38="NA",AK39="NA"),"NA",SUM(AK38,AK39)/((AK38&lt;&gt;"NA")*$H$38+(AK39&lt;&gt;"NA")*$H$39)*$H37)))</f>
        <v>?</v>
      </c>
    </row>
    <row r="38" customFormat="false" ht="14.25" hidden="false" customHeight="false" outlineLevel="0" collapsed="false">
      <c r="A38" s="82" t="s">
        <v>165</v>
      </c>
      <c r="B38" s="83" t="str">
        <f aca="false">IF(ISBLANK($A38),"NO_CODE",VLOOKUP($A38,'UPD Questions_290926 '!$E$1:$N$300,MATCH(B$1,'UPD Questions_290926 '!$E$1:$N$1,0),0)&amp;"")</f>
        <v>Implementation</v>
      </c>
      <c r="C38" s="83" t="str">
        <f aca="false">IF(ISBLANK($A38),"NO_CODE",VLOOKUP($A38,'UPD Questions_290926 '!$E$1:$N$300,MATCH(C$1,'UPD Questions_290926 '!$E$1:$N$1,0),0)&amp;"")</f>
        <v>Municipal/City Plan status, hierarchy and coordination</v>
      </c>
      <c r="D38" s="83" t="str">
        <f aca="false">IF(ISBLANK($A38),"NO_CODE",VLOOKUP($A38,'UPD Questions_290926 '!$E$1:$N$300,MATCH(D$1,'UPD Questions_290926 '!$E$1:$N$1,0),0)&amp;"")</f>
        <v>Alignment across planning levels</v>
      </c>
      <c r="E38" s="83" t="str">
        <f aca="false">IF(ISBLANK($A38),"NO_CODE",VLOOKUP($A38,'UPD Questions_290926 '!$E$1:$N$300,MATCH(E$1,'UPD Questions_290926 '!$E$1:$N$1,0),0)&amp;"")</f>
        <v>SQ</v>
      </c>
      <c r="F38" s="83" t="str">
        <f aca="false">IF(ISBLANK($A38),"NO_CODE",VLOOKUP($A38,'UPD Questions_290926 '!$E$1:$N$300,MATCH(F$1,'UPD Questions_290926 '!$E$1:$N$1,0),0)&amp;"")</f>
        <v>Is the Metropolitan/Regional plan in a concurrent or nested timeline of validity with municipal plan?</v>
      </c>
      <c r="G38" s="83" t="str">
        <f aca="false">IF(ISBLANK($A38),"NO_CODE",VLOOKUP($A38,'UPD Questions_290926 '!$E$1:$N$300,MATCH(G$1,'UPD Questions_290926 '!$E$1:$N$1,0),0)&amp;"")</f>
        <v>Implementation</v>
      </c>
      <c r="H38" s="85" t="n">
        <f aca="false">IF(ISBLANK($A38),"NO_CODE",VLOOKUP($A38,'UPD Questions_290926 '!$E$1:$N$300,MATCH(H$1,'UPD Questions_290926 '!$E$1:$N$1,0),0))</f>
        <v>5</v>
      </c>
      <c r="I38" s="86" t="str">
        <f aca="true">IF($H38=0,"NA",IF($A38=INDIRECT("'"&amp;$A38&amp;"'!$B$1"),IF(VLOOKUP(I$1,INDIRECT("'"&amp;$A38&amp;"'!$A$12:$Z$41"),MATCH("Points (Auto-generate)",INDIRECT("'"&amp;$A38&amp;"'!$A$12:$Z$12"),0),0)="","?",VLOOKUP(I$1,INDIRECT("'"&amp;$A38&amp;"'!$A$12:$Z$41"),MATCH("Points (Auto-generate)",INDIRECT("'"&amp;$A38&amp;"'!$A$12:$Z$12"),0),0)),"ER"))</f>
        <v>?</v>
      </c>
      <c r="J38" s="86" t="str">
        <f aca="true">IF($H38=0,"NA",IF($A38=INDIRECT("'"&amp;$A38&amp;"'!$B$1"),IF(VLOOKUP(J$1,INDIRECT("'"&amp;$A38&amp;"'!$A$12:$Z$41"),MATCH("Points (Auto-generate)",INDIRECT("'"&amp;$A38&amp;"'!$A$12:$Z$12"),0),0)="","?",VLOOKUP(J$1,INDIRECT("'"&amp;$A38&amp;"'!$A$12:$Z$41"),MATCH("Points (Auto-generate)",INDIRECT("'"&amp;$A38&amp;"'!$A$12:$Z$12"),0),0)),"ER"))</f>
        <v>?</v>
      </c>
      <c r="K38" s="86" t="str">
        <f aca="true">IF($H38=0,"NA",IF($A38=INDIRECT("'"&amp;$A38&amp;"'!$B$1"),IF(VLOOKUP(K$1,INDIRECT("'"&amp;$A38&amp;"'!$A$12:$Z$41"),MATCH("Points (Auto-generate)",INDIRECT("'"&amp;$A38&amp;"'!$A$12:$Z$12"),0),0)="","?",VLOOKUP(K$1,INDIRECT("'"&amp;$A38&amp;"'!$A$12:$Z$41"),MATCH("Points (Auto-generate)",INDIRECT("'"&amp;$A38&amp;"'!$A$12:$Z$12"),0),0)),"ER"))</f>
        <v>?</v>
      </c>
      <c r="L38" s="86" t="str">
        <f aca="true">IF($H38=0,"NA",IF($A38=INDIRECT("'"&amp;$A38&amp;"'!$B$1"),IF(VLOOKUP(L$1,INDIRECT("'"&amp;$A38&amp;"'!$A$12:$Z$41"),MATCH("Points (Auto-generate)",INDIRECT("'"&amp;$A38&amp;"'!$A$12:$Z$12"),0),0)="","?",VLOOKUP(L$1,INDIRECT("'"&amp;$A38&amp;"'!$A$12:$Z$41"),MATCH("Points (Auto-generate)",INDIRECT("'"&amp;$A38&amp;"'!$A$12:$Z$12"),0),0)),"ER"))</f>
        <v>?</v>
      </c>
      <c r="M38" s="86" t="str">
        <f aca="true">IF($H38=0,"NA",IF($A38=INDIRECT("'"&amp;$A38&amp;"'!$B$1"),IF(VLOOKUP(M$1,INDIRECT("'"&amp;$A38&amp;"'!$A$12:$Z$41"),MATCH("Points (Auto-generate)",INDIRECT("'"&amp;$A38&amp;"'!$A$12:$Z$12"),0),0)="","?",VLOOKUP(M$1,INDIRECT("'"&amp;$A38&amp;"'!$A$12:$Z$41"),MATCH("Points (Auto-generate)",INDIRECT("'"&amp;$A38&amp;"'!$A$12:$Z$12"),0),0)),"ER"))</f>
        <v>?</v>
      </c>
      <c r="N38" s="86" t="str">
        <f aca="true">IF($H38=0,"NA",IF($A38=INDIRECT("'"&amp;$A38&amp;"'!$B$1"),IF(VLOOKUP(N$1,INDIRECT("'"&amp;$A38&amp;"'!$A$12:$Z$41"),MATCH("Points (Auto-generate)",INDIRECT("'"&amp;$A38&amp;"'!$A$12:$Z$12"),0),0)="","?",VLOOKUP(N$1,INDIRECT("'"&amp;$A38&amp;"'!$A$12:$Z$41"),MATCH("Points (Auto-generate)",INDIRECT("'"&amp;$A38&amp;"'!$A$12:$Z$12"),0),0)),"ER"))</f>
        <v>?</v>
      </c>
      <c r="O38" s="86" t="str">
        <f aca="true">IF($H38=0,"NA",IF($A38=INDIRECT("'"&amp;$A38&amp;"'!$B$1"),IF(VLOOKUP(O$1,INDIRECT("'"&amp;$A38&amp;"'!$A$12:$Z$41"),MATCH("Points (Auto-generate)",INDIRECT("'"&amp;$A38&amp;"'!$A$12:$Z$12"),0),0)="","?",VLOOKUP(O$1,INDIRECT("'"&amp;$A38&amp;"'!$A$12:$Z$41"),MATCH("Points (Auto-generate)",INDIRECT("'"&amp;$A38&amp;"'!$A$12:$Z$12"),0),0)),"ER"))</f>
        <v>?</v>
      </c>
      <c r="P38" s="86" t="str">
        <f aca="true">IF($H38=0,"NA",IF($A38=INDIRECT("'"&amp;$A38&amp;"'!$B$1"),IF(VLOOKUP(P$1,INDIRECT("'"&amp;$A38&amp;"'!$A$12:$Z$41"),MATCH("Points (Auto-generate)",INDIRECT("'"&amp;$A38&amp;"'!$A$12:$Z$12"),0),0)="","?",VLOOKUP(P$1,INDIRECT("'"&amp;$A38&amp;"'!$A$12:$Z$41"),MATCH("Points (Auto-generate)",INDIRECT("'"&amp;$A38&amp;"'!$A$12:$Z$12"),0),0)),"ER"))</f>
        <v>?</v>
      </c>
      <c r="Q38" s="86" t="str">
        <f aca="true">IF($H38=0,"NA",IF($A38=INDIRECT("'"&amp;$A38&amp;"'!$B$1"),IF(VLOOKUP(Q$1,INDIRECT("'"&amp;$A38&amp;"'!$A$12:$Z$41"),MATCH("Points (Auto-generate)",INDIRECT("'"&amp;$A38&amp;"'!$A$12:$Z$12"),0),0)="","?",VLOOKUP(Q$1,INDIRECT("'"&amp;$A38&amp;"'!$A$12:$Z$41"),MATCH("Points (Auto-generate)",INDIRECT("'"&amp;$A38&amp;"'!$A$12:$Z$12"),0),0)),"ER"))</f>
        <v>?</v>
      </c>
      <c r="R38" s="86" t="str">
        <f aca="true">IF($H38=0,"NA",IF($A38=INDIRECT("'"&amp;$A38&amp;"'!$B$1"),IF(VLOOKUP(R$1,INDIRECT("'"&amp;$A38&amp;"'!$A$12:$Z$41"),MATCH("Points (Auto-generate)",INDIRECT("'"&amp;$A38&amp;"'!$A$12:$Z$12"),0),0)="","?",VLOOKUP(R$1,INDIRECT("'"&amp;$A38&amp;"'!$A$12:$Z$41"),MATCH("Points (Auto-generate)",INDIRECT("'"&amp;$A38&amp;"'!$A$12:$Z$12"),0),0)),"ER"))</f>
        <v>?</v>
      </c>
      <c r="S38" s="86" t="str">
        <f aca="true">IF($H38=0,"NA",IF($A38=INDIRECT("'"&amp;$A38&amp;"'!$B$1"),IF(VLOOKUP(S$1,INDIRECT("'"&amp;$A38&amp;"'!$A$12:$Z$41"),MATCH("Points (Auto-generate)",INDIRECT("'"&amp;$A38&amp;"'!$A$12:$Z$12"),0),0)="","?",VLOOKUP(S$1,INDIRECT("'"&amp;$A38&amp;"'!$A$12:$Z$41"),MATCH("Points (Auto-generate)",INDIRECT("'"&amp;$A38&amp;"'!$A$12:$Z$12"),0),0)),"ER"))</f>
        <v>?</v>
      </c>
      <c r="T38" s="86" t="str">
        <f aca="true">IF($H38=0,"NA",IF($A38=INDIRECT("'"&amp;$A38&amp;"'!$B$1"),IF(VLOOKUP(T$1,INDIRECT("'"&amp;$A38&amp;"'!$A$12:$Z$41"),MATCH("Points (Auto-generate)",INDIRECT("'"&amp;$A38&amp;"'!$A$12:$Z$12"),0),0)="","?",VLOOKUP(T$1,INDIRECT("'"&amp;$A38&amp;"'!$A$12:$Z$41"),MATCH("Points (Auto-generate)",INDIRECT("'"&amp;$A38&amp;"'!$A$12:$Z$12"),0),0)),"ER"))</f>
        <v>?</v>
      </c>
      <c r="U38" s="86" t="str">
        <f aca="true">IF($H38=0,"NA",IF($A38=INDIRECT("'"&amp;$A38&amp;"'!$B$1"),IF(VLOOKUP(U$1,INDIRECT("'"&amp;$A38&amp;"'!$A$12:$Z$41"),MATCH("Points (Auto-generate)",INDIRECT("'"&amp;$A38&amp;"'!$A$12:$Z$12"),0),0)="","?",VLOOKUP(U$1,INDIRECT("'"&amp;$A38&amp;"'!$A$12:$Z$41"),MATCH("Points (Auto-generate)",INDIRECT("'"&amp;$A38&amp;"'!$A$12:$Z$12"),0),0)),"ER"))</f>
        <v>?</v>
      </c>
      <c r="V38" s="86" t="str">
        <f aca="true">IF($H38=0,"NA",IF($A38=INDIRECT("'"&amp;$A38&amp;"'!$B$1"),IF(VLOOKUP(V$1,INDIRECT("'"&amp;$A38&amp;"'!$A$12:$Z$41"),MATCH("Points (Auto-generate)",INDIRECT("'"&amp;$A38&amp;"'!$A$12:$Z$12"),0),0)="","?",VLOOKUP(V$1,INDIRECT("'"&amp;$A38&amp;"'!$A$12:$Z$41"),MATCH("Points (Auto-generate)",INDIRECT("'"&amp;$A38&amp;"'!$A$12:$Z$12"),0),0)),"ER"))</f>
        <v>?</v>
      </c>
      <c r="W38" s="86" t="str">
        <f aca="true">IF($H38=0,"NA",IF($A38=INDIRECT("'"&amp;$A38&amp;"'!$B$1"),IF(VLOOKUP(W$1,INDIRECT("'"&amp;$A38&amp;"'!$A$12:$Z$41"),MATCH("Points (Auto-generate)",INDIRECT("'"&amp;$A38&amp;"'!$A$12:$Z$12"),0),0)="","?",VLOOKUP(W$1,INDIRECT("'"&amp;$A38&amp;"'!$A$12:$Z$41"),MATCH("Points (Auto-generate)",INDIRECT("'"&amp;$A38&amp;"'!$A$12:$Z$12"),0),0)),"ER"))</f>
        <v>?</v>
      </c>
      <c r="X38" s="86" t="str">
        <f aca="true">IF($H38=0,"NA",IF($A38=INDIRECT("'"&amp;$A38&amp;"'!$B$1"),IF(VLOOKUP(X$1,INDIRECT("'"&amp;$A38&amp;"'!$A$12:$Z$41"),MATCH("Points (Auto-generate)",INDIRECT("'"&amp;$A38&amp;"'!$A$12:$Z$12"),0),0)="","?",VLOOKUP(X$1,INDIRECT("'"&amp;$A38&amp;"'!$A$12:$Z$41"),MATCH("Points (Auto-generate)",INDIRECT("'"&amp;$A38&amp;"'!$A$12:$Z$12"),0),0)),"ER"))</f>
        <v>?</v>
      </c>
      <c r="Y38" s="86" t="str">
        <f aca="true">IF($H38=0,"NA",IF($A38=INDIRECT("'"&amp;$A38&amp;"'!$B$1"),IF(VLOOKUP(Y$1,INDIRECT("'"&amp;$A38&amp;"'!$A$12:$Z$41"),MATCH("Points (Auto-generate)",INDIRECT("'"&amp;$A38&amp;"'!$A$12:$Z$12"),0),0)="","?",VLOOKUP(Y$1,INDIRECT("'"&amp;$A38&amp;"'!$A$12:$Z$41"),MATCH("Points (Auto-generate)",INDIRECT("'"&amp;$A38&amp;"'!$A$12:$Z$12"),0),0)),"ER"))</f>
        <v>?</v>
      </c>
      <c r="Z38" s="86" t="str">
        <f aca="true">IF($H38=0,"NA",IF($A38=INDIRECT("'"&amp;$A38&amp;"'!$B$1"),IF(VLOOKUP(Z$1,INDIRECT("'"&amp;$A38&amp;"'!$A$12:$Z$41"),MATCH("Points (Auto-generate)",INDIRECT("'"&amp;$A38&amp;"'!$A$12:$Z$12"),0),0)="","?",VLOOKUP(Z$1,INDIRECT("'"&amp;$A38&amp;"'!$A$12:$Z$41"),MATCH("Points (Auto-generate)",INDIRECT("'"&amp;$A38&amp;"'!$A$12:$Z$12"),0),0)),"ER"))</f>
        <v>?</v>
      </c>
      <c r="AA38" s="86" t="str">
        <f aca="true">IF($H38=0,"NA",IF($A38=INDIRECT("'"&amp;$A38&amp;"'!$B$1"),IF(VLOOKUP(AA$1,INDIRECT("'"&amp;$A38&amp;"'!$A$12:$Z$41"),MATCH("Points (Auto-generate)",INDIRECT("'"&amp;$A38&amp;"'!$A$12:$Z$12"),0),0)="","?",VLOOKUP(AA$1,INDIRECT("'"&amp;$A38&amp;"'!$A$12:$Z$41"),MATCH("Points (Auto-generate)",INDIRECT("'"&amp;$A38&amp;"'!$A$12:$Z$12"),0),0)),"ER"))</f>
        <v>?</v>
      </c>
      <c r="AB38" s="86" t="str">
        <f aca="true">IF($H38=0,"NA",IF($A38=INDIRECT("'"&amp;$A38&amp;"'!$B$1"),IF(VLOOKUP(AB$1,INDIRECT("'"&amp;$A38&amp;"'!$A$12:$Z$41"),MATCH("Points (Auto-generate)",INDIRECT("'"&amp;$A38&amp;"'!$A$12:$Z$12"),0),0)="","?",VLOOKUP(AB$1,INDIRECT("'"&amp;$A38&amp;"'!$A$12:$Z$41"),MATCH("Points (Auto-generate)",INDIRECT("'"&amp;$A38&amp;"'!$A$12:$Z$12"),0),0)),"ER"))</f>
        <v>?</v>
      </c>
      <c r="AC38" s="86" t="str">
        <f aca="true">IF($H38=0,"NA",IF($A38=INDIRECT("'"&amp;$A38&amp;"'!$B$1"),IF(VLOOKUP(AC$1,INDIRECT("'"&amp;$A38&amp;"'!$A$12:$Z$41"),MATCH("Points (Auto-generate)",INDIRECT("'"&amp;$A38&amp;"'!$A$12:$Z$12"),0),0)="","?",VLOOKUP(AC$1,INDIRECT("'"&amp;$A38&amp;"'!$A$12:$Z$41"),MATCH("Points (Auto-generate)",INDIRECT("'"&amp;$A38&amp;"'!$A$12:$Z$12"),0),0)),"ER"))</f>
        <v>?</v>
      </c>
      <c r="AD38" s="86" t="str">
        <f aca="true">IF($H38=0,"NA",IF($A38=INDIRECT("'"&amp;$A38&amp;"'!$B$1"),IF(VLOOKUP(AD$1,INDIRECT("'"&amp;$A38&amp;"'!$A$12:$Z$41"),MATCH("Points (Auto-generate)",INDIRECT("'"&amp;$A38&amp;"'!$A$12:$Z$12"),0),0)="","?",VLOOKUP(AD$1,INDIRECT("'"&amp;$A38&amp;"'!$A$12:$Z$41"),MATCH("Points (Auto-generate)",INDIRECT("'"&amp;$A38&amp;"'!$A$12:$Z$12"),0),0)),"ER"))</f>
        <v>?</v>
      </c>
      <c r="AE38" s="86" t="str">
        <f aca="true">IF($H38=0,"NA",IF($A38=INDIRECT("'"&amp;$A38&amp;"'!$B$1"),IF(VLOOKUP(AE$1,INDIRECT("'"&amp;$A38&amp;"'!$A$12:$Z$41"),MATCH("Points (Auto-generate)",INDIRECT("'"&amp;$A38&amp;"'!$A$12:$Z$12"),0),0)="","?",VLOOKUP(AE$1,INDIRECT("'"&amp;$A38&amp;"'!$A$12:$Z$41"),MATCH("Points (Auto-generate)",INDIRECT("'"&amp;$A38&amp;"'!$A$12:$Z$12"),0),0)),"ER"))</f>
        <v>?</v>
      </c>
      <c r="AF38" s="86" t="str">
        <f aca="true">IF($H38=0,"NA",IF($A38=INDIRECT("'"&amp;$A38&amp;"'!$B$1"),IF(VLOOKUP(AF$1,INDIRECT("'"&amp;$A38&amp;"'!$A$12:$Z$41"),MATCH("Points (Auto-generate)",INDIRECT("'"&amp;$A38&amp;"'!$A$12:$Z$12"),0),0)="","?",VLOOKUP(AF$1,INDIRECT("'"&amp;$A38&amp;"'!$A$12:$Z$41"),MATCH("Points (Auto-generate)",INDIRECT("'"&amp;$A38&amp;"'!$A$12:$Z$12"),0),0)),"ER"))</f>
        <v>?</v>
      </c>
      <c r="AG38" s="86" t="str">
        <f aca="true">IF($H38=0,"NA",IF($A38=INDIRECT("'"&amp;$A38&amp;"'!$B$1"),IF(VLOOKUP(AG$1,INDIRECT("'"&amp;$A38&amp;"'!$A$12:$Z$41"),MATCH("Points (Auto-generate)",INDIRECT("'"&amp;$A38&amp;"'!$A$12:$Z$12"),0),0)="","?",VLOOKUP(AG$1,INDIRECT("'"&amp;$A38&amp;"'!$A$12:$Z$41"),MATCH("Points (Auto-generate)",INDIRECT("'"&amp;$A38&amp;"'!$A$12:$Z$12"),0),0)),"ER"))</f>
        <v>?</v>
      </c>
      <c r="AH38" s="86" t="str">
        <f aca="true">IF($H38=0,"NA",IF($A38=INDIRECT("'"&amp;$A38&amp;"'!$B$1"),IF(VLOOKUP(AH$1,INDIRECT("'"&amp;$A38&amp;"'!$A$12:$Z$41"),MATCH("Points (Auto-generate)",INDIRECT("'"&amp;$A38&amp;"'!$A$12:$Z$12"),0),0)="","?",VLOOKUP(AH$1,INDIRECT("'"&amp;$A38&amp;"'!$A$12:$Z$41"),MATCH("Points (Auto-generate)",INDIRECT("'"&amp;$A38&amp;"'!$A$12:$Z$12"),0),0)),"ER"))</f>
        <v>?</v>
      </c>
      <c r="AI38" s="86" t="str">
        <f aca="true">IF($H38=0,"NA",IF($A38=INDIRECT("'"&amp;$A38&amp;"'!$B$1"),IF(VLOOKUP(AI$1,INDIRECT("'"&amp;$A38&amp;"'!$A$12:$Z$41"),MATCH("Points (Auto-generate)",INDIRECT("'"&amp;$A38&amp;"'!$A$12:$Z$12"),0),0)="","?",VLOOKUP(AI$1,INDIRECT("'"&amp;$A38&amp;"'!$A$12:$Z$41"),MATCH("Points (Auto-generate)",INDIRECT("'"&amp;$A38&amp;"'!$A$12:$Z$12"),0),0)),"ER"))</f>
        <v>?</v>
      </c>
      <c r="AJ38" s="86" t="str">
        <f aca="true">IF($H38=0,"NA",IF($A38=INDIRECT("'"&amp;$A38&amp;"'!$B$1"),IF(VLOOKUP(AJ$1,INDIRECT("'"&amp;$A38&amp;"'!$A$12:$Z$41"),MATCH("Points (Auto-generate)",INDIRECT("'"&amp;$A38&amp;"'!$A$12:$Z$12"),0),0)="","?",VLOOKUP(AJ$1,INDIRECT("'"&amp;$A38&amp;"'!$A$12:$Z$41"),MATCH("Points (Auto-generate)",INDIRECT("'"&amp;$A38&amp;"'!$A$12:$Z$12"),0),0)),"ER"))</f>
        <v>?</v>
      </c>
      <c r="AK38" s="86" t="str">
        <f aca="true">IF($H38=0,"NA",IF($A38=INDIRECT("'"&amp;$A38&amp;"'!$B$1"),IF(VLOOKUP(AK$1,INDIRECT("'"&amp;$A38&amp;"'!$A$12:$Z$41"),MATCH("Points (Auto-generate)",INDIRECT("'"&amp;$A38&amp;"'!$A$12:$Z$12"),0),0)="","?",VLOOKUP(AK$1,INDIRECT("'"&amp;$A38&amp;"'!$A$12:$Z$41"),MATCH("Points (Auto-generate)",INDIRECT("'"&amp;$A38&amp;"'!$A$12:$Z$12"),0),0)),"ER"))</f>
        <v>?</v>
      </c>
    </row>
    <row r="39" customFormat="false" ht="14.25" hidden="false" customHeight="false" outlineLevel="0" collapsed="false">
      <c r="A39" s="82" t="s">
        <v>168</v>
      </c>
      <c r="B39" s="83" t="str">
        <f aca="false">IF(ISBLANK($A39),"NO_CODE",VLOOKUP($A39,'UPD Questions_290926 '!$E$1:$N$300,MATCH(B$1,'UPD Questions_290926 '!$E$1:$N$1,0),0)&amp;"")</f>
        <v>Implementation</v>
      </c>
      <c r="C39" s="83" t="str">
        <f aca="false">IF(ISBLANK($A39),"NO_CODE",VLOOKUP($A39,'UPD Questions_290926 '!$E$1:$N$300,MATCH(C$1,'UPD Questions_290926 '!$E$1:$N$1,0),0)&amp;"")</f>
        <v>Municipal/City Plan status, hierarchy and coordination</v>
      </c>
      <c r="D39" s="83" t="str">
        <f aca="false">IF(ISBLANK($A39),"NO_CODE",VLOOKUP($A39,'UPD Questions_290926 '!$E$1:$N$300,MATCH(D$1,'UPD Questions_290926 '!$E$1:$N$1,0),0)&amp;"")</f>
        <v>Alignment across planning levels</v>
      </c>
      <c r="E39" s="83" t="str">
        <f aca="false">IF(ISBLANK($A39),"NO_CODE",VLOOKUP($A39,'UPD Questions_290926 '!$E$1:$N$300,MATCH(E$1,'UPD Questions_290926 '!$E$1:$N$1,0),0)&amp;"")</f>
        <v>SQ</v>
      </c>
      <c r="F39" s="83" t="str">
        <f aca="false">IF(ISBLANK($A39),"NO_CODE",VLOOKUP($A39,'UPD Questions_290926 '!$E$1:$N$300,MATCH(F$1,'UPD Questions_290926 '!$E$1:$N$1,0),0)&amp;"")</f>
        <v>Is the Municipal municipal/city plan in a concurrent or nested timeline of validity with Ward municipal/city plan?</v>
      </c>
      <c r="G39" s="83" t="str">
        <f aca="false">IF(ISBLANK($A39),"NO_CODE",VLOOKUP($A39,'UPD Questions_290926 '!$E$1:$N$300,MATCH(G$1,'UPD Questions_290926 '!$E$1:$N$1,0),0)&amp;"")</f>
        <v>Implementation</v>
      </c>
      <c r="H39" s="85" t="n">
        <f aca="false">IF(ISBLANK($A39),"NO_CODE",VLOOKUP($A39,'UPD Questions_290926 '!$E$1:$N$300,MATCH(H$1,'UPD Questions_290926 '!$E$1:$N$1,0),0))</f>
        <v>5</v>
      </c>
      <c r="I39" s="86" t="str">
        <f aca="true">IF($H39=0,"NA",IF($A39=INDIRECT("'"&amp;$A39&amp;"'!$B$1"),IF(VLOOKUP(I$1,INDIRECT("'"&amp;$A39&amp;"'!$A$12:$Z$41"),MATCH("Points (Auto-generate)",INDIRECT("'"&amp;$A39&amp;"'!$A$12:$Z$12"),0),0)="","?",VLOOKUP(I$1,INDIRECT("'"&amp;$A39&amp;"'!$A$12:$Z$41"),MATCH("Points (Auto-generate)",INDIRECT("'"&amp;$A39&amp;"'!$A$12:$Z$12"),0),0)),"ER"))</f>
        <v>?</v>
      </c>
      <c r="J39" s="86" t="str">
        <f aca="true">IF($H39=0,"NA",IF($A39=INDIRECT("'"&amp;$A39&amp;"'!$B$1"),IF(VLOOKUP(J$1,INDIRECT("'"&amp;$A39&amp;"'!$A$12:$Z$41"),MATCH("Points (Auto-generate)",INDIRECT("'"&amp;$A39&amp;"'!$A$12:$Z$12"),0),0)="","?",VLOOKUP(J$1,INDIRECT("'"&amp;$A39&amp;"'!$A$12:$Z$41"),MATCH("Points (Auto-generate)",INDIRECT("'"&amp;$A39&amp;"'!$A$12:$Z$12"),0),0)),"ER"))</f>
        <v>?</v>
      </c>
      <c r="K39" s="86" t="str">
        <f aca="true">IF($H39=0,"NA",IF($A39=INDIRECT("'"&amp;$A39&amp;"'!$B$1"),IF(VLOOKUP(K$1,INDIRECT("'"&amp;$A39&amp;"'!$A$12:$Z$41"),MATCH("Points (Auto-generate)",INDIRECT("'"&amp;$A39&amp;"'!$A$12:$Z$12"),0),0)="","?",VLOOKUP(K$1,INDIRECT("'"&amp;$A39&amp;"'!$A$12:$Z$41"),MATCH("Points (Auto-generate)",INDIRECT("'"&amp;$A39&amp;"'!$A$12:$Z$12"),0),0)),"ER"))</f>
        <v>?</v>
      </c>
      <c r="L39" s="86" t="str">
        <f aca="true">IF($H39=0,"NA",IF($A39=INDIRECT("'"&amp;$A39&amp;"'!$B$1"),IF(VLOOKUP(L$1,INDIRECT("'"&amp;$A39&amp;"'!$A$12:$Z$41"),MATCH("Points (Auto-generate)",INDIRECT("'"&amp;$A39&amp;"'!$A$12:$Z$12"),0),0)="","?",VLOOKUP(L$1,INDIRECT("'"&amp;$A39&amp;"'!$A$12:$Z$41"),MATCH("Points (Auto-generate)",INDIRECT("'"&amp;$A39&amp;"'!$A$12:$Z$12"),0),0)),"ER"))</f>
        <v>?</v>
      </c>
      <c r="M39" s="86" t="str">
        <f aca="true">IF($H39=0,"NA",IF($A39=INDIRECT("'"&amp;$A39&amp;"'!$B$1"),IF(VLOOKUP(M$1,INDIRECT("'"&amp;$A39&amp;"'!$A$12:$Z$41"),MATCH("Points (Auto-generate)",INDIRECT("'"&amp;$A39&amp;"'!$A$12:$Z$12"),0),0)="","?",VLOOKUP(M$1,INDIRECT("'"&amp;$A39&amp;"'!$A$12:$Z$41"),MATCH("Points (Auto-generate)",INDIRECT("'"&amp;$A39&amp;"'!$A$12:$Z$12"),0),0)),"ER"))</f>
        <v>?</v>
      </c>
      <c r="N39" s="86" t="str">
        <f aca="true">IF($H39=0,"NA",IF($A39=INDIRECT("'"&amp;$A39&amp;"'!$B$1"),IF(VLOOKUP(N$1,INDIRECT("'"&amp;$A39&amp;"'!$A$12:$Z$41"),MATCH("Points (Auto-generate)",INDIRECT("'"&amp;$A39&amp;"'!$A$12:$Z$12"),0),0)="","?",VLOOKUP(N$1,INDIRECT("'"&amp;$A39&amp;"'!$A$12:$Z$41"),MATCH("Points (Auto-generate)",INDIRECT("'"&amp;$A39&amp;"'!$A$12:$Z$12"),0),0)),"ER"))</f>
        <v>?</v>
      </c>
      <c r="O39" s="86" t="str">
        <f aca="true">IF($H39=0,"NA",IF($A39=INDIRECT("'"&amp;$A39&amp;"'!$B$1"),IF(VLOOKUP(O$1,INDIRECT("'"&amp;$A39&amp;"'!$A$12:$Z$41"),MATCH("Points (Auto-generate)",INDIRECT("'"&amp;$A39&amp;"'!$A$12:$Z$12"),0),0)="","?",VLOOKUP(O$1,INDIRECT("'"&amp;$A39&amp;"'!$A$12:$Z$41"),MATCH("Points (Auto-generate)",INDIRECT("'"&amp;$A39&amp;"'!$A$12:$Z$12"),0),0)),"ER"))</f>
        <v>?</v>
      </c>
      <c r="P39" s="86" t="str">
        <f aca="true">IF($H39=0,"NA",IF($A39=INDIRECT("'"&amp;$A39&amp;"'!$B$1"),IF(VLOOKUP(P$1,INDIRECT("'"&amp;$A39&amp;"'!$A$12:$Z$41"),MATCH("Points (Auto-generate)",INDIRECT("'"&amp;$A39&amp;"'!$A$12:$Z$12"),0),0)="","?",VLOOKUP(P$1,INDIRECT("'"&amp;$A39&amp;"'!$A$12:$Z$41"),MATCH("Points (Auto-generate)",INDIRECT("'"&amp;$A39&amp;"'!$A$12:$Z$12"),0),0)),"ER"))</f>
        <v>?</v>
      </c>
      <c r="Q39" s="86" t="str">
        <f aca="true">IF($H39=0,"NA",IF($A39=INDIRECT("'"&amp;$A39&amp;"'!$B$1"),IF(VLOOKUP(Q$1,INDIRECT("'"&amp;$A39&amp;"'!$A$12:$Z$41"),MATCH("Points (Auto-generate)",INDIRECT("'"&amp;$A39&amp;"'!$A$12:$Z$12"),0),0)="","?",VLOOKUP(Q$1,INDIRECT("'"&amp;$A39&amp;"'!$A$12:$Z$41"),MATCH("Points (Auto-generate)",INDIRECT("'"&amp;$A39&amp;"'!$A$12:$Z$12"),0),0)),"ER"))</f>
        <v>?</v>
      </c>
      <c r="R39" s="86" t="str">
        <f aca="true">IF($H39=0,"NA",IF($A39=INDIRECT("'"&amp;$A39&amp;"'!$B$1"),IF(VLOOKUP(R$1,INDIRECT("'"&amp;$A39&amp;"'!$A$12:$Z$41"),MATCH("Points (Auto-generate)",INDIRECT("'"&amp;$A39&amp;"'!$A$12:$Z$12"),0),0)="","?",VLOOKUP(R$1,INDIRECT("'"&amp;$A39&amp;"'!$A$12:$Z$41"),MATCH("Points (Auto-generate)",INDIRECT("'"&amp;$A39&amp;"'!$A$12:$Z$12"),0),0)),"ER"))</f>
        <v>?</v>
      </c>
      <c r="S39" s="86" t="str">
        <f aca="true">IF($H39=0,"NA",IF($A39=INDIRECT("'"&amp;$A39&amp;"'!$B$1"),IF(VLOOKUP(S$1,INDIRECT("'"&amp;$A39&amp;"'!$A$12:$Z$41"),MATCH("Points (Auto-generate)",INDIRECT("'"&amp;$A39&amp;"'!$A$12:$Z$12"),0),0)="","?",VLOOKUP(S$1,INDIRECT("'"&amp;$A39&amp;"'!$A$12:$Z$41"),MATCH("Points (Auto-generate)",INDIRECT("'"&amp;$A39&amp;"'!$A$12:$Z$12"),0),0)),"ER"))</f>
        <v>?</v>
      </c>
      <c r="T39" s="86" t="str">
        <f aca="true">IF($H39=0,"NA",IF($A39=INDIRECT("'"&amp;$A39&amp;"'!$B$1"),IF(VLOOKUP(T$1,INDIRECT("'"&amp;$A39&amp;"'!$A$12:$Z$41"),MATCH("Points (Auto-generate)",INDIRECT("'"&amp;$A39&amp;"'!$A$12:$Z$12"),0),0)="","?",VLOOKUP(T$1,INDIRECT("'"&amp;$A39&amp;"'!$A$12:$Z$41"),MATCH("Points (Auto-generate)",INDIRECT("'"&amp;$A39&amp;"'!$A$12:$Z$12"),0),0)),"ER"))</f>
        <v>?</v>
      </c>
      <c r="U39" s="86" t="str">
        <f aca="true">IF($H39=0,"NA",IF($A39=INDIRECT("'"&amp;$A39&amp;"'!$B$1"),IF(VLOOKUP(U$1,INDIRECT("'"&amp;$A39&amp;"'!$A$12:$Z$41"),MATCH("Points (Auto-generate)",INDIRECT("'"&amp;$A39&amp;"'!$A$12:$Z$12"),0),0)="","?",VLOOKUP(U$1,INDIRECT("'"&amp;$A39&amp;"'!$A$12:$Z$41"),MATCH("Points (Auto-generate)",INDIRECT("'"&amp;$A39&amp;"'!$A$12:$Z$12"),0),0)),"ER"))</f>
        <v>?</v>
      </c>
      <c r="V39" s="86" t="str">
        <f aca="true">IF($H39=0,"NA",IF($A39=INDIRECT("'"&amp;$A39&amp;"'!$B$1"),IF(VLOOKUP(V$1,INDIRECT("'"&amp;$A39&amp;"'!$A$12:$Z$41"),MATCH("Points (Auto-generate)",INDIRECT("'"&amp;$A39&amp;"'!$A$12:$Z$12"),0),0)="","?",VLOOKUP(V$1,INDIRECT("'"&amp;$A39&amp;"'!$A$12:$Z$41"),MATCH("Points (Auto-generate)",INDIRECT("'"&amp;$A39&amp;"'!$A$12:$Z$12"),0),0)),"ER"))</f>
        <v>?</v>
      </c>
      <c r="W39" s="86" t="str">
        <f aca="true">IF($H39=0,"NA",IF($A39=INDIRECT("'"&amp;$A39&amp;"'!$B$1"),IF(VLOOKUP(W$1,INDIRECT("'"&amp;$A39&amp;"'!$A$12:$Z$41"),MATCH("Points (Auto-generate)",INDIRECT("'"&amp;$A39&amp;"'!$A$12:$Z$12"),0),0)="","?",VLOOKUP(W$1,INDIRECT("'"&amp;$A39&amp;"'!$A$12:$Z$41"),MATCH("Points (Auto-generate)",INDIRECT("'"&amp;$A39&amp;"'!$A$12:$Z$12"),0),0)),"ER"))</f>
        <v>?</v>
      </c>
      <c r="X39" s="86" t="str">
        <f aca="true">IF($H39=0,"NA",IF($A39=INDIRECT("'"&amp;$A39&amp;"'!$B$1"),IF(VLOOKUP(X$1,INDIRECT("'"&amp;$A39&amp;"'!$A$12:$Z$41"),MATCH("Points (Auto-generate)",INDIRECT("'"&amp;$A39&amp;"'!$A$12:$Z$12"),0),0)="","?",VLOOKUP(X$1,INDIRECT("'"&amp;$A39&amp;"'!$A$12:$Z$41"),MATCH("Points (Auto-generate)",INDIRECT("'"&amp;$A39&amp;"'!$A$12:$Z$12"),0),0)),"ER"))</f>
        <v>?</v>
      </c>
      <c r="Y39" s="86" t="str">
        <f aca="true">IF($H39=0,"NA",IF($A39=INDIRECT("'"&amp;$A39&amp;"'!$B$1"),IF(VLOOKUP(Y$1,INDIRECT("'"&amp;$A39&amp;"'!$A$12:$Z$41"),MATCH("Points (Auto-generate)",INDIRECT("'"&amp;$A39&amp;"'!$A$12:$Z$12"),0),0)="","?",VLOOKUP(Y$1,INDIRECT("'"&amp;$A39&amp;"'!$A$12:$Z$41"),MATCH("Points (Auto-generate)",INDIRECT("'"&amp;$A39&amp;"'!$A$12:$Z$12"),0),0)),"ER"))</f>
        <v>?</v>
      </c>
      <c r="Z39" s="86" t="str">
        <f aca="true">IF($H39=0,"NA",IF($A39=INDIRECT("'"&amp;$A39&amp;"'!$B$1"),IF(VLOOKUP(Z$1,INDIRECT("'"&amp;$A39&amp;"'!$A$12:$Z$41"),MATCH("Points (Auto-generate)",INDIRECT("'"&amp;$A39&amp;"'!$A$12:$Z$12"),0),0)="","?",VLOOKUP(Z$1,INDIRECT("'"&amp;$A39&amp;"'!$A$12:$Z$41"),MATCH("Points (Auto-generate)",INDIRECT("'"&amp;$A39&amp;"'!$A$12:$Z$12"),0),0)),"ER"))</f>
        <v>?</v>
      </c>
      <c r="AA39" s="86" t="str">
        <f aca="true">IF($H39=0,"NA",IF($A39=INDIRECT("'"&amp;$A39&amp;"'!$B$1"),IF(VLOOKUP(AA$1,INDIRECT("'"&amp;$A39&amp;"'!$A$12:$Z$41"),MATCH("Points (Auto-generate)",INDIRECT("'"&amp;$A39&amp;"'!$A$12:$Z$12"),0),0)="","?",VLOOKUP(AA$1,INDIRECT("'"&amp;$A39&amp;"'!$A$12:$Z$41"),MATCH("Points (Auto-generate)",INDIRECT("'"&amp;$A39&amp;"'!$A$12:$Z$12"),0),0)),"ER"))</f>
        <v>?</v>
      </c>
      <c r="AB39" s="86" t="str">
        <f aca="true">IF($H39=0,"NA",IF($A39=INDIRECT("'"&amp;$A39&amp;"'!$B$1"),IF(VLOOKUP(AB$1,INDIRECT("'"&amp;$A39&amp;"'!$A$12:$Z$41"),MATCH("Points (Auto-generate)",INDIRECT("'"&amp;$A39&amp;"'!$A$12:$Z$12"),0),0)="","?",VLOOKUP(AB$1,INDIRECT("'"&amp;$A39&amp;"'!$A$12:$Z$41"),MATCH("Points (Auto-generate)",INDIRECT("'"&amp;$A39&amp;"'!$A$12:$Z$12"),0),0)),"ER"))</f>
        <v>?</v>
      </c>
      <c r="AC39" s="86" t="str">
        <f aca="true">IF($H39=0,"NA",IF($A39=INDIRECT("'"&amp;$A39&amp;"'!$B$1"),IF(VLOOKUP(AC$1,INDIRECT("'"&amp;$A39&amp;"'!$A$12:$Z$41"),MATCH("Points (Auto-generate)",INDIRECT("'"&amp;$A39&amp;"'!$A$12:$Z$12"),0),0)="","?",VLOOKUP(AC$1,INDIRECT("'"&amp;$A39&amp;"'!$A$12:$Z$41"),MATCH("Points (Auto-generate)",INDIRECT("'"&amp;$A39&amp;"'!$A$12:$Z$12"),0),0)),"ER"))</f>
        <v>?</v>
      </c>
      <c r="AD39" s="86" t="str">
        <f aca="true">IF($H39=0,"NA",IF($A39=INDIRECT("'"&amp;$A39&amp;"'!$B$1"),IF(VLOOKUP(AD$1,INDIRECT("'"&amp;$A39&amp;"'!$A$12:$Z$41"),MATCH("Points (Auto-generate)",INDIRECT("'"&amp;$A39&amp;"'!$A$12:$Z$12"),0),0)="","?",VLOOKUP(AD$1,INDIRECT("'"&amp;$A39&amp;"'!$A$12:$Z$41"),MATCH("Points (Auto-generate)",INDIRECT("'"&amp;$A39&amp;"'!$A$12:$Z$12"),0),0)),"ER"))</f>
        <v>?</v>
      </c>
      <c r="AE39" s="86" t="str">
        <f aca="true">IF($H39=0,"NA",IF($A39=INDIRECT("'"&amp;$A39&amp;"'!$B$1"),IF(VLOOKUP(AE$1,INDIRECT("'"&amp;$A39&amp;"'!$A$12:$Z$41"),MATCH("Points (Auto-generate)",INDIRECT("'"&amp;$A39&amp;"'!$A$12:$Z$12"),0),0)="","?",VLOOKUP(AE$1,INDIRECT("'"&amp;$A39&amp;"'!$A$12:$Z$41"),MATCH("Points (Auto-generate)",INDIRECT("'"&amp;$A39&amp;"'!$A$12:$Z$12"),0),0)),"ER"))</f>
        <v>?</v>
      </c>
      <c r="AF39" s="86" t="str">
        <f aca="true">IF($H39=0,"NA",IF($A39=INDIRECT("'"&amp;$A39&amp;"'!$B$1"),IF(VLOOKUP(AF$1,INDIRECT("'"&amp;$A39&amp;"'!$A$12:$Z$41"),MATCH("Points (Auto-generate)",INDIRECT("'"&amp;$A39&amp;"'!$A$12:$Z$12"),0),0)="","?",VLOOKUP(AF$1,INDIRECT("'"&amp;$A39&amp;"'!$A$12:$Z$41"),MATCH("Points (Auto-generate)",INDIRECT("'"&amp;$A39&amp;"'!$A$12:$Z$12"),0),0)),"ER"))</f>
        <v>?</v>
      </c>
      <c r="AG39" s="86" t="str">
        <f aca="true">IF($H39=0,"NA",IF($A39=INDIRECT("'"&amp;$A39&amp;"'!$B$1"),IF(VLOOKUP(AG$1,INDIRECT("'"&amp;$A39&amp;"'!$A$12:$Z$41"),MATCH("Points (Auto-generate)",INDIRECT("'"&amp;$A39&amp;"'!$A$12:$Z$12"),0),0)="","?",VLOOKUP(AG$1,INDIRECT("'"&amp;$A39&amp;"'!$A$12:$Z$41"),MATCH("Points (Auto-generate)",INDIRECT("'"&amp;$A39&amp;"'!$A$12:$Z$12"),0),0)),"ER"))</f>
        <v>?</v>
      </c>
      <c r="AH39" s="86" t="str">
        <f aca="true">IF($H39=0,"NA",IF($A39=INDIRECT("'"&amp;$A39&amp;"'!$B$1"),IF(VLOOKUP(AH$1,INDIRECT("'"&amp;$A39&amp;"'!$A$12:$Z$41"),MATCH("Points (Auto-generate)",INDIRECT("'"&amp;$A39&amp;"'!$A$12:$Z$12"),0),0)="","?",VLOOKUP(AH$1,INDIRECT("'"&amp;$A39&amp;"'!$A$12:$Z$41"),MATCH("Points (Auto-generate)",INDIRECT("'"&amp;$A39&amp;"'!$A$12:$Z$12"),0),0)),"ER"))</f>
        <v>?</v>
      </c>
      <c r="AI39" s="86" t="str">
        <f aca="true">IF($H39=0,"NA",IF($A39=INDIRECT("'"&amp;$A39&amp;"'!$B$1"),IF(VLOOKUP(AI$1,INDIRECT("'"&amp;$A39&amp;"'!$A$12:$Z$41"),MATCH("Points (Auto-generate)",INDIRECT("'"&amp;$A39&amp;"'!$A$12:$Z$12"),0),0)="","?",VLOOKUP(AI$1,INDIRECT("'"&amp;$A39&amp;"'!$A$12:$Z$41"),MATCH("Points (Auto-generate)",INDIRECT("'"&amp;$A39&amp;"'!$A$12:$Z$12"),0),0)),"ER"))</f>
        <v>?</v>
      </c>
      <c r="AJ39" s="86" t="str">
        <f aca="true">IF($H39=0,"NA",IF($A39=INDIRECT("'"&amp;$A39&amp;"'!$B$1"),IF(VLOOKUP(AJ$1,INDIRECT("'"&amp;$A39&amp;"'!$A$12:$Z$41"),MATCH("Points (Auto-generate)",INDIRECT("'"&amp;$A39&amp;"'!$A$12:$Z$12"),0),0)="","?",VLOOKUP(AJ$1,INDIRECT("'"&amp;$A39&amp;"'!$A$12:$Z$41"),MATCH("Points (Auto-generate)",INDIRECT("'"&amp;$A39&amp;"'!$A$12:$Z$12"),0),0)),"ER"))</f>
        <v>?</v>
      </c>
      <c r="AK39" s="86" t="str">
        <f aca="true">IF($H39=0,"NA",IF($A39=INDIRECT("'"&amp;$A39&amp;"'!$B$1"),IF(VLOOKUP(AK$1,INDIRECT("'"&amp;$A39&amp;"'!$A$12:$Z$41"),MATCH("Points (Auto-generate)",INDIRECT("'"&amp;$A39&amp;"'!$A$12:$Z$12"),0),0)="","?",VLOOKUP(AK$1,INDIRECT("'"&amp;$A39&amp;"'!$A$12:$Z$41"),MATCH("Points (Auto-generate)",INDIRECT("'"&amp;$A39&amp;"'!$A$12:$Z$12"),0),0)),"ER"))</f>
        <v>?</v>
      </c>
    </row>
    <row r="40" customFormat="false" ht="14.25" hidden="false" customHeight="false" outlineLevel="0" collapsed="false">
      <c r="A40" s="82" t="s">
        <v>171</v>
      </c>
      <c r="B40" s="83" t="str">
        <f aca="false">IF(ISBLANK($A40),"NO_CODE",VLOOKUP($A40,'UPD Questions_290926 '!$E$1:$N$300,MATCH(B$1,'UPD Questions_290926 '!$E$1:$N$1,0),0)&amp;"")</f>
        <v>Implementation</v>
      </c>
      <c r="C40" s="83" t="str">
        <f aca="false">IF(ISBLANK($A40),"NO_CODE",VLOOKUP($A40,'UPD Questions_290926 '!$E$1:$N$300,MATCH(C$1,'UPD Questions_290926 '!$E$1:$N$1,0),0)&amp;"")</f>
        <v>Municipal/City Plan status, hierarchy and coordination</v>
      </c>
      <c r="D40" s="83" t="str">
        <f aca="false">IF(ISBLANK($A40),"NO_CODE",VLOOKUP($A40,'UPD Questions_290926 '!$E$1:$N$300,MATCH(D$1,'UPD Questions_290926 '!$E$1:$N$1,0),0)&amp;"")</f>
        <v>Inter-agency coordination and integration</v>
      </c>
      <c r="E40" s="83" t="str">
        <f aca="false">IF(ISBLANK($A40),"NO_CODE",VLOOKUP($A40,'UPD Questions_290926 '!$E$1:$N$300,MATCH(E$1,'UPD Questions_290926 '!$E$1:$N$1,0),0)&amp;"")</f>
        <v>MQ</v>
      </c>
      <c r="F40" s="83" t="str">
        <f aca="false">IF(ISBLANK($A40),"NO_CODE",VLOOKUP($A40,'UPD Questions_290926 '!$E$1:$N$300,MATCH(F$1,'UPD Questions_290926 '!$E$1:$N$1,0),0)&amp;"")</f>
        <v>Do the municipal/city plans at each level, integrate the plans and priorities of various sectoral public departments and agencies? </v>
      </c>
      <c r="G40" s="83" t="str">
        <f aca="false">IF(ISBLANK($A40),"NO_CODE",VLOOKUP($A40,'UPD Questions_290926 '!$E$1:$N$300,MATCH(G$1,'UPD Questions_290926 '!$E$1:$N$1,0),0)&amp;"")</f>
        <v>Implementation</v>
      </c>
      <c r="H40" s="85" t="n">
        <f aca="false">IF(ISBLANK($A40),"NO_CODE",VLOOKUP($A40,'UPD Questions_290926 '!$E$1:$N$300,MATCH(H$1,'UPD Questions_290926 '!$E$1:$N$1,0),0))</f>
        <v>10</v>
      </c>
      <c r="I40" s="86" t="str">
        <f aca="true">IF($H40=0,"NA",IF($A40=INDIRECT("'"&amp;$A40&amp;"'!$B$1"),IF(VLOOKUP(I$1,INDIRECT("'"&amp;$A40&amp;"'!$A$12:$Z$41"),MATCH("Points (Auto-generate)",INDIRECT("'"&amp;$A40&amp;"'!$A$12:$Z$12"),0),0)="","?",VLOOKUP(I$1,INDIRECT("'"&amp;$A40&amp;"'!$A$12:$Z$41"),MATCH("Points (Auto-generate)",INDIRECT("'"&amp;$A40&amp;"'!$A$12:$Z$12"),0),0)),"ER"))</f>
        <v>?</v>
      </c>
      <c r="J40" s="86" t="n">
        <f aca="true">IF($H40=0,"NA",IF($A40=INDIRECT("'"&amp;$A40&amp;"'!$B$1"),IF(VLOOKUP(J$1,INDIRECT("'"&amp;$A40&amp;"'!$A$12:$Z$41"),MATCH("Points (Auto-generate)",INDIRECT("'"&amp;$A40&amp;"'!$A$12:$Z$12"),0),0)="","?",VLOOKUP(J$1,INDIRECT("'"&amp;$A40&amp;"'!$A$12:$Z$41"),MATCH("Points (Auto-generate)",INDIRECT("'"&amp;$A40&amp;"'!$A$12:$Z$12"),0),0)),"ER"))</f>
        <v>0</v>
      </c>
      <c r="K40" s="86" t="str">
        <f aca="true">IF($H40=0,"NA",IF($A40=INDIRECT("'"&amp;$A40&amp;"'!$B$1"),IF(VLOOKUP(K$1,INDIRECT("'"&amp;$A40&amp;"'!$A$12:$Z$41"),MATCH("Points (Auto-generate)",INDIRECT("'"&amp;$A40&amp;"'!$A$12:$Z$12"),0),0)="","?",VLOOKUP(K$1,INDIRECT("'"&amp;$A40&amp;"'!$A$12:$Z$41"),MATCH("Points (Auto-generate)",INDIRECT("'"&amp;$A40&amp;"'!$A$12:$Z$12"),0),0)),"ER"))</f>
        <v>?</v>
      </c>
      <c r="L40" s="86" t="str">
        <f aca="true">IF($H40=0,"NA",IF($A40=INDIRECT("'"&amp;$A40&amp;"'!$B$1"),IF(VLOOKUP(L$1,INDIRECT("'"&amp;$A40&amp;"'!$A$12:$Z$41"),MATCH("Points (Auto-generate)",INDIRECT("'"&amp;$A40&amp;"'!$A$12:$Z$12"),0),0)="","?",VLOOKUP(L$1,INDIRECT("'"&amp;$A40&amp;"'!$A$12:$Z$41"),MATCH("Points (Auto-generate)",INDIRECT("'"&amp;$A40&amp;"'!$A$12:$Z$12"),0),0)),"ER"))</f>
        <v>?</v>
      </c>
      <c r="M40" s="86" t="str">
        <f aca="true">IF($H40=0,"NA",IF($A40=INDIRECT("'"&amp;$A40&amp;"'!$B$1"),IF(VLOOKUP(M$1,INDIRECT("'"&amp;$A40&amp;"'!$A$12:$Z$41"),MATCH("Points (Auto-generate)",INDIRECT("'"&amp;$A40&amp;"'!$A$12:$Z$12"),0),0)="","?",VLOOKUP(M$1,INDIRECT("'"&amp;$A40&amp;"'!$A$12:$Z$41"),MATCH("Points (Auto-generate)",INDIRECT("'"&amp;$A40&amp;"'!$A$12:$Z$12"),0),0)),"ER"))</f>
        <v>?</v>
      </c>
      <c r="N40" s="86" t="str">
        <f aca="true">IF($H40=0,"NA",IF($A40=INDIRECT("'"&amp;$A40&amp;"'!$B$1"),IF(VLOOKUP(N$1,INDIRECT("'"&amp;$A40&amp;"'!$A$12:$Z$41"),MATCH("Points (Auto-generate)",INDIRECT("'"&amp;$A40&amp;"'!$A$12:$Z$12"),0),0)="","?",VLOOKUP(N$1,INDIRECT("'"&amp;$A40&amp;"'!$A$12:$Z$41"),MATCH("Points (Auto-generate)",INDIRECT("'"&amp;$A40&amp;"'!$A$12:$Z$12"),0),0)),"ER"))</f>
        <v>?</v>
      </c>
      <c r="O40" s="86" t="str">
        <f aca="true">IF($H40=0,"NA",IF($A40=INDIRECT("'"&amp;$A40&amp;"'!$B$1"),IF(VLOOKUP(O$1,INDIRECT("'"&amp;$A40&amp;"'!$A$12:$Z$41"),MATCH("Points (Auto-generate)",INDIRECT("'"&amp;$A40&amp;"'!$A$12:$Z$12"),0),0)="","?",VLOOKUP(O$1,INDIRECT("'"&amp;$A40&amp;"'!$A$12:$Z$41"),MATCH("Points (Auto-generate)",INDIRECT("'"&amp;$A40&amp;"'!$A$12:$Z$12"),0),0)),"ER"))</f>
        <v>?</v>
      </c>
      <c r="P40" s="86" t="str">
        <f aca="true">IF($H40=0,"NA",IF($A40=INDIRECT("'"&amp;$A40&amp;"'!$B$1"),IF(VLOOKUP(P$1,INDIRECT("'"&amp;$A40&amp;"'!$A$12:$Z$41"),MATCH("Points (Auto-generate)",INDIRECT("'"&amp;$A40&amp;"'!$A$12:$Z$12"),0),0)="","?",VLOOKUP(P$1,INDIRECT("'"&amp;$A40&amp;"'!$A$12:$Z$41"),MATCH("Points (Auto-generate)",INDIRECT("'"&amp;$A40&amp;"'!$A$12:$Z$12"),0),0)),"ER"))</f>
        <v>?</v>
      </c>
      <c r="Q40" s="86" t="str">
        <f aca="true">IF($H40=0,"NA",IF($A40=INDIRECT("'"&amp;$A40&amp;"'!$B$1"),IF(VLOOKUP(Q$1,INDIRECT("'"&amp;$A40&amp;"'!$A$12:$Z$41"),MATCH("Points (Auto-generate)",INDIRECT("'"&amp;$A40&amp;"'!$A$12:$Z$12"),0),0)="","?",VLOOKUP(Q$1,INDIRECT("'"&amp;$A40&amp;"'!$A$12:$Z$41"),MATCH("Points (Auto-generate)",INDIRECT("'"&amp;$A40&amp;"'!$A$12:$Z$12"),0),0)),"ER"))</f>
        <v>?</v>
      </c>
      <c r="R40" s="86" t="str">
        <f aca="true">IF($H40=0,"NA",IF($A40=INDIRECT("'"&amp;$A40&amp;"'!$B$1"),IF(VLOOKUP(R$1,INDIRECT("'"&amp;$A40&amp;"'!$A$12:$Z$41"),MATCH("Points (Auto-generate)",INDIRECT("'"&amp;$A40&amp;"'!$A$12:$Z$12"),0),0)="","?",VLOOKUP(R$1,INDIRECT("'"&amp;$A40&amp;"'!$A$12:$Z$41"),MATCH("Points (Auto-generate)",INDIRECT("'"&amp;$A40&amp;"'!$A$12:$Z$12"),0),0)),"ER"))</f>
        <v>?</v>
      </c>
      <c r="S40" s="86" t="str">
        <f aca="true">IF($H40=0,"NA",IF($A40=INDIRECT("'"&amp;$A40&amp;"'!$B$1"),IF(VLOOKUP(S$1,INDIRECT("'"&amp;$A40&amp;"'!$A$12:$Z$41"),MATCH("Points (Auto-generate)",INDIRECT("'"&amp;$A40&amp;"'!$A$12:$Z$12"),0),0)="","?",VLOOKUP(S$1,INDIRECT("'"&amp;$A40&amp;"'!$A$12:$Z$41"),MATCH("Points (Auto-generate)",INDIRECT("'"&amp;$A40&amp;"'!$A$12:$Z$12"),0),0)),"ER"))</f>
        <v>?</v>
      </c>
      <c r="T40" s="86" t="str">
        <f aca="true">IF($H40=0,"NA",IF($A40=INDIRECT("'"&amp;$A40&amp;"'!$B$1"),IF(VLOOKUP(T$1,INDIRECT("'"&amp;$A40&amp;"'!$A$12:$Z$41"),MATCH("Points (Auto-generate)",INDIRECT("'"&amp;$A40&amp;"'!$A$12:$Z$12"),0),0)="","?",VLOOKUP(T$1,INDIRECT("'"&amp;$A40&amp;"'!$A$12:$Z$41"),MATCH("Points (Auto-generate)",INDIRECT("'"&amp;$A40&amp;"'!$A$12:$Z$12"),0),0)),"ER"))</f>
        <v>?</v>
      </c>
      <c r="U40" s="86" t="str">
        <f aca="true">IF($H40=0,"NA",IF($A40=INDIRECT("'"&amp;$A40&amp;"'!$B$1"),IF(VLOOKUP(U$1,INDIRECT("'"&amp;$A40&amp;"'!$A$12:$Z$41"),MATCH("Points (Auto-generate)",INDIRECT("'"&amp;$A40&amp;"'!$A$12:$Z$12"),0),0)="","?",VLOOKUP(U$1,INDIRECT("'"&amp;$A40&amp;"'!$A$12:$Z$41"),MATCH("Points (Auto-generate)",INDIRECT("'"&amp;$A40&amp;"'!$A$12:$Z$12"),0),0)),"ER"))</f>
        <v>?</v>
      </c>
      <c r="V40" s="86" t="str">
        <f aca="true">IF($H40=0,"NA",IF($A40=INDIRECT("'"&amp;$A40&amp;"'!$B$1"),IF(VLOOKUP(V$1,INDIRECT("'"&amp;$A40&amp;"'!$A$12:$Z$41"),MATCH("Points (Auto-generate)",INDIRECT("'"&amp;$A40&amp;"'!$A$12:$Z$12"),0),0)="","?",VLOOKUP(V$1,INDIRECT("'"&amp;$A40&amp;"'!$A$12:$Z$41"),MATCH("Points (Auto-generate)",INDIRECT("'"&amp;$A40&amp;"'!$A$12:$Z$12"),0),0)),"ER"))</f>
        <v>?</v>
      </c>
      <c r="W40" s="86" t="str">
        <f aca="true">IF($H40=0,"NA",IF($A40=INDIRECT("'"&amp;$A40&amp;"'!$B$1"),IF(VLOOKUP(W$1,INDIRECT("'"&amp;$A40&amp;"'!$A$12:$Z$41"),MATCH("Points (Auto-generate)",INDIRECT("'"&amp;$A40&amp;"'!$A$12:$Z$12"),0),0)="","?",VLOOKUP(W$1,INDIRECT("'"&amp;$A40&amp;"'!$A$12:$Z$41"),MATCH("Points (Auto-generate)",INDIRECT("'"&amp;$A40&amp;"'!$A$12:$Z$12"),0),0)),"ER"))</f>
        <v>?</v>
      </c>
      <c r="X40" s="86" t="str">
        <f aca="true">IF($H40=0,"NA",IF($A40=INDIRECT("'"&amp;$A40&amp;"'!$B$1"),IF(VLOOKUP(X$1,INDIRECT("'"&amp;$A40&amp;"'!$A$12:$Z$41"),MATCH("Points (Auto-generate)",INDIRECT("'"&amp;$A40&amp;"'!$A$12:$Z$12"),0),0)="","?",VLOOKUP(X$1,INDIRECT("'"&amp;$A40&amp;"'!$A$12:$Z$41"),MATCH("Points (Auto-generate)",INDIRECT("'"&amp;$A40&amp;"'!$A$12:$Z$12"),0),0)),"ER"))</f>
        <v>?</v>
      </c>
      <c r="Y40" s="86" t="str">
        <f aca="true">IF($H40=0,"NA",IF($A40=INDIRECT("'"&amp;$A40&amp;"'!$B$1"),IF(VLOOKUP(Y$1,INDIRECT("'"&amp;$A40&amp;"'!$A$12:$Z$41"),MATCH("Points (Auto-generate)",INDIRECT("'"&amp;$A40&amp;"'!$A$12:$Z$12"),0),0)="","?",VLOOKUP(Y$1,INDIRECT("'"&amp;$A40&amp;"'!$A$12:$Z$41"),MATCH("Points (Auto-generate)",INDIRECT("'"&amp;$A40&amp;"'!$A$12:$Z$12"),0),0)),"ER"))</f>
        <v>?</v>
      </c>
      <c r="Z40" s="86" t="str">
        <f aca="true">IF($H40=0,"NA",IF($A40=INDIRECT("'"&amp;$A40&amp;"'!$B$1"),IF(VLOOKUP(Z$1,INDIRECT("'"&amp;$A40&amp;"'!$A$12:$Z$41"),MATCH("Points (Auto-generate)",INDIRECT("'"&amp;$A40&amp;"'!$A$12:$Z$12"),0),0)="","?",VLOOKUP(Z$1,INDIRECT("'"&amp;$A40&amp;"'!$A$12:$Z$41"),MATCH("Points (Auto-generate)",INDIRECT("'"&amp;$A40&amp;"'!$A$12:$Z$12"),0),0)),"ER"))</f>
        <v>?</v>
      </c>
      <c r="AA40" s="86" t="str">
        <f aca="true">IF($H40=0,"NA",IF($A40=INDIRECT("'"&amp;$A40&amp;"'!$B$1"),IF(VLOOKUP(AA$1,INDIRECT("'"&amp;$A40&amp;"'!$A$12:$Z$41"),MATCH("Points (Auto-generate)",INDIRECT("'"&amp;$A40&amp;"'!$A$12:$Z$12"),0),0)="","?",VLOOKUP(AA$1,INDIRECT("'"&amp;$A40&amp;"'!$A$12:$Z$41"),MATCH("Points (Auto-generate)",INDIRECT("'"&amp;$A40&amp;"'!$A$12:$Z$12"),0),0)),"ER"))</f>
        <v>?</v>
      </c>
      <c r="AB40" s="86" t="str">
        <f aca="true">IF($H40=0,"NA",IF($A40=INDIRECT("'"&amp;$A40&amp;"'!$B$1"),IF(VLOOKUP(AB$1,INDIRECT("'"&amp;$A40&amp;"'!$A$12:$Z$41"),MATCH("Points (Auto-generate)",INDIRECT("'"&amp;$A40&amp;"'!$A$12:$Z$12"),0),0)="","?",VLOOKUP(AB$1,INDIRECT("'"&amp;$A40&amp;"'!$A$12:$Z$41"),MATCH("Points (Auto-generate)",INDIRECT("'"&amp;$A40&amp;"'!$A$12:$Z$12"),0),0)),"ER"))</f>
        <v>?</v>
      </c>
      <c r="AC40" s="86" t="str">
        <f aca="true">IF($H40=0,"NA",IF($A40=INDIRECT("'"&amp;$A40&amp;"'!$B$1"),IF(VLOOKUP(AC$1,INDIRECT("'"&amp;$A40&amp;"'!$A$12:$Z$41"),MATCH("Points (Auto-generate)",INDIRECT("'"&amp;$A40&amp;"'!$A$12:$Z$12"),0),0)="","?",VLOOKUP(AC$1,INDIRECT("'"&amp;$A40&amp;"'!$A$12:$Z$41"),MATCH("Points (Auto-generate)",INDIRECT("'"&amp;$A40&amp;"'!$A$12:$Z$12"),0),0)),"ER"))</f>
        <v>?</v>
      </c>
      <c r="AD40" s="86" t="str">
        <f aca="true">IF($H40=0,"NA",IF($A40=INDIRECT("'"&amp;$A40&amp;"'!$B$1"),IF(VLOOKUP(AD$1,INDIRECT("'"&amp;$A40&amp;"'!$A$12:$Z$41"),MATCH("Points (Auto-generate)",INDIRECT("'"&amp;$A40&amp;"'!$A$12:$Z$12"),0),0)="","?",VLOOKUP(AD$1,INDIRECT("'"&amp;$A40&amp;"'!$A$12:$Z$41"),MATCH("Points (Auto-generate)",INDIRECT("'"&amp;$A40&amp;"'!$A$12:$Z$12"),0),0)),"ER"))</f>
        <v>?</v>
      </c>
      <c r="AE40" s="86" t="str">
        <f aca="true">IF($H40=0,"NA",IF($A40=INDIRECT("'"&amp;$A40&amp;"'!$B$1"),IF(VLOOKUP(AE$1,INDIRECT("'"&amp;$A40&amp;"'!$A$12:$Z$41"),MATCH("Points (Auto-generate)",INDIRECT("'"&amp;$A40&amp;"'!$A$12:$Z$12"),0),0)="","?",VLOOKUP(AE$1,INDIRECT("'"&amp;$A40&amp;"'!$A$12:$Z$41"),MATCH("Points (Auto-generate)",INDIRECT("'"&amp;$A40&amp;"'!$A$12:$Z$12"),0),0)),"ER"))</f>
        <v>?</v>
      </c>
      <c r="AF40" s="86" t="str">
        <f aca="true">IF($H40=0,"NA",IF($A40=INDIRECT("'"&amp;$A40&amp;"'!$B$1"),IF(VLOOKUP(AF$1,INDIRECT("'"&amp;$A40&amp;"'!$A$12:$Z$41"),MATCH("Points (Auto-generate)",INDIRECT("'"&amp;$A40&amp;"'!$A$12:$Z$12"),0),0)="","?",VLOOKUP(AF$1,INDIRECT("'"&amp;$A40&amp;"'!$A$12:$Z$41"),MATCH("Points (Auto-generate)",INDIRECT("'"&amp;$A40&amp;"'!$A$12:$Z$12"),0),0)),"ER"))</f>
        <v>?</v>
      </c>
      <c r="AG40" s="86" t="str">
        <f aca="true">IF($H40=0,"NA",IF($A40=INDIRECT("'"&amp;$A40&amp;"'!$B$1"),IF(VLOOKUP(AG$1,INDIRECT("'"&amp;$A40&amp;"'!$A$12:$Z$41"),MATCH("Points (Auto-generate)",INDIRECT("'"&amp;$A40&amp;"'!$A$12:$Z$12"),0),0)="","?",VLOOKUP(AG$1,INDIRECT("'"&amp;$A40&amp;"'!$A$12:$Z$41"),MATCH("Points (Auto-generate)",INDIRECT("'"&amp;$A40&amp;"'!$A$12:$Z$12"),0),0)),"ER"))</f>
        <v>?</v>
      </c>
      <c r="AH40" s="86" t="str">
        <f aca="true">IF($H40=0,"NA",IF($A40=INDIRECT("'"&amp;$A40&amp;"'!$B$1"),IF(VLOOKUP(AH$1,INDIRECT("'"&amp;$A40&amp;"'!$A$12:$Z$41"),MATCH("Points (Auto-generate)",INDIRECT("'"&amp;$A40&amp;"'!$A$12:$Z$12"),0),0)="","?",VLOOKUP(AH$1,INDIRECT("'"&amp;$A40&amp;"'!$A$12:$Z$41"),MATCH("Points (Auto-generate)",INDIRECT("'"&amp;$A40&amp;"'!$A$12:$Z$12"),0),0)),"ER"))</f>
        <v>?</v>
      </c>
      <c r="AI40" s="86" t="str">
        <f aca="true">IF($H40=0,"NA",IF($A40=INDIRECT("'"&amp;$A40&amp;"'!$B$1"),IF(VLOOKUP(AI$1,INDIRECT("'"&amp;$A40&amp;"'!$A$12:$Z$41"),MATCH("Points (Auto-generate)",INDIRECT("'"&amp;$A40&amp;"'!$A$12:$Z$12"),0),0)="","?",VLOOKUP(AI$1,INDIRECT("'"&amp;$A40&amp;"'!$A$12:$Z$41"),MATCH("Points (Auto-generate)",INDIRECT("'"&amp;$A40&amp;"'!$A$12:$Z$12"),0),0)),"ER"))</f>
        <v>?</v>
      </c>
      <c r="AJ40" s="86" t="str">
        <f aca="true">IF($H40=0,"NA",IF($A40=INDIRECT("'"&amp;$A40&amp;"'!$B$1"),IF(VLOOKUP(AJ$1,INDIRECT("'"&amp;$A40&amp;"'!$A$12:$Z$41"),MATCH("Points (Auto-generate)",INDIRECT("'"&amp;$A40&amp;"'!$A$12:$Z$12"),0),0)="","?",VLOOKUP(AJ$1,INDIRECT("'"&amp;$A40&amp;"'!$A$12:$Z$41"),MATCH("Points (Auto-generate)",INDIRECT("'"&amp;$A40&amp;"'!$A$12:$Z$12"),0),0)),"ER"))</f>
        <v>?</v>
      </c>
      <c r="AK40" s="86" t="str">
        <f aca="true">IF($H40=0,"NA",IF($A40=INDIRECT("'"&amp;$A40&amp;"'!$B$1"),IF(VLOOKUP(AK$1,INDIRECT("'"&amp;$A40&amp;"'!$A$12:$Z$41"),MATCH("Points (Auto-generate)",INDIRECT("'"&amp;$A40&amp;"'!$A$12:$Z$12"),0),0)="","?",VLOOKUP(AK$1,INDIRECT("'"&amp;$A40&amp;"'!$A$12:$Z$41"),MATCH("Points (Auto-generate)",INDIRECT("'"&amp;$A40&amp;"'!$A$12:$Z$12"),0),0)),"ER"))</f>
        <v>?</v>
      </c>
    </row>
    <row r="41" customFormat="false" ht="14.25" hidden="false" customHeight="false" outlineLevel="0" collapsed="false">
      <c r="A41" s="82" t="s">
        <v>174</v>
      </c>
      <c r="B41" s="83" t="str">
        <f aca="false">IF(ISBLANK($A41),"NO_CODE",VLOOKUP($A41,'UPD Questions_290926 '!$E$1:$N$300,MATCH(B$1,'UPD Questions_290926 '!$E$1:$N$1,0),0)&amp;"")</f>
        <v>Implementation</v>
      </c>
      <c r="C41" s="83" t="str">
        <f aca="false">IF(ISBLANK($A41),"NO_CODE",VLOOKUP($A41,'UPD Questions_290926 '!$E$1:$N$300,MATCH(C$1,'UPD Questions_290926 '!$E$1:$N$1,0),0)&amp;"")</f>
        <v>Municipal/City Plan status, hierarchy and coordination</v>
      </c>
      <c r="D41" s="83" t="str">
        <f aca="false">IF(ISBLANK($A41),"NO_CODE",VLOOKUP($A41,'UPD Questions_290926 '!$E$1:$N$300,MATCH(D$1,'UPD Questions_290926 '!$E$1:$N$1,0),0)&amp;"")</f>
        <v>Objectives of the Municipal/City Plan</v>
      </c>
      <c r="E41" s="83" t="str">
        <f aca="false">IF(ISBLANK($A41),"NO_CODE",VLOOKUP($A41,'UPD Questions_290926 '!$E$1:$N$300,MATCH(E$1,'UPD Questions_290926 '!$E$1:$N$1,0),0)&amp;"")</f>
        <v>MQ</v>
      </c>
      <c r="F41" s="83" t="str">
        <f aca="false">IF(ISBLANK($A41),"NO_CODE",VLOOKUP($A41,'UPD Questions_290926 '!$E$1:$N$300,MATCH(F$1,'UPD Questions_290926 '!$E$1:$N$1,0),0)&amp;"")</f>
        <v>Does the municipal/city plan include objectives on jobs and economy?</v>
      </c>
      <c r="G41" s="83" t="str">
        <f aca="false">IF(ISBLANK($A41),"NO_CODE",VLOOKUP($A41,'UPD Questions_290926 '!$E$1:$N$300,MATCH(G$1,'UPD Questions_290926 '!$E$1:$N$1,0),0)&amp;"")</f>
        <v>Implementation</v>
      </c>
      <c r="H41" s="85" t="n">
        <f aca="false">IF(ISBLANK($A41),"NO_CODE",VLOOKUP($A41,'UPD Questions_290926 '!$E$1:$N$300,MATCH(H$1,'UPD Questions_290926 '!$E$1:$N$1,0),0))</f>
        <v>10</v>
      </c>
      <c r="I41" s="86" t="str">
        <f aca="true">IF($H41=0,"NA",IF($A41=INDIRECT("'"&amp;$A41&amp;"'!$B$1"),IF(VLOOKUP(I$1,INDIRECT("'"&amp;$A41&amp;"'!$A$12:$Z$41"),MATCH("Points (Auto-generate)",INDIRECT("'"&amp;$A41&amp;"'!$A$12:$Z$12"),0),0)="","?",VLOOKUP(I$1,INDIRECT("'"&amp;$A41&amp;"'!$A$12:$Z$41"),MATCH("Points (Auto-generate)",INDIRECT("'"&amp;$A41&amp;"'!$A$12:$Z$12"),0),0)),"ER"))</f>
        <v>?</v>
      </c>
      <c r="J41" s="86" t="n">
        <f aca="true">IF($H41=0,"NA",IF($A41=INDIRECT("'"&amp;$A41&amp;"'!$B$1"),IF(VLOOKUP(J$1,INDIRECT("'"&amp;$A41&amp;"'!$A$12:$Z$41"),MATCH("Points (Auto-generate)",INDIRECT("'"&amp;$A41&amp;"'!$A$12:$Z$12"),0),0)="","?",VLOOKUP(J$1,INDIRECT("'"&amp;$A41&amp;"'!$A$12:$Z$41"),MATCH("Points (Auto-generate)",INDIRECT("'"&amp;$A41&amp;"'!$A$12:$Z$12"),0),0)),"ER"))</f>
        <v>0</v>
      </c>
      <c r="K41" s="86" t="str">
        <f aca="true">IF($H41=0,"NA",IF($A41=INDIRECT("'"&amp;$A41&amp;"'!$B$1"),IF(VLOOKUP(K$1,INDIRECT("'"&amp;$A41&amp;"'!$A$12:$Z$41"),MATCH("Points (Auto-generate)",INDIRECT("'"&amp;$A41&amp;"'!$A$12:$Z$12"),0),0)="","?",VLOOKUP(K$1,INDIRECT("'"&amp;$A41&amp;"'!$A$12:$Z$41"),MATCH("Points (Auto-generate)",INDIRECT("'"&amp;$A41&amp;"'!$A$12:$Z$12"),0),0)),"ER"))</f>
        <v>?</v>
      </c>
      <c r="L41" s="86" t="str">
        <f aca="true">IF($H41=0,"NA",IF($A41=INDIRECT("'"&amp;$A41&amp;"'!$B$1"),IF(VLOOKUP(L$1,INDIRECT("'"&amp;$A41&amp;"'!$A$12:$Z$41"),MATCH("Points (Auto-generate)",INDIRECT("'"&amp;$A41&amp;"'!$A$12:$Z$12"),0),0)="","?",VLOOKUP(L$1,INDIRECT("'"&amp;$A41&amp;"'!$A$12:$Z$41"),MATCH("Points (Auto-generate)",INDIRECT("'"&amp;$A41&amp;"'!$A$12:$Z$12"),0),0)),"ER"))</f>
        <v>?</v>
      </c>
      <c r="M41" s="86" t="str">
        <f aca="true">IF($H41=0,"NA",IF($A41=INDIRECT("'"&amp;$A41&amp;"'!$B$1"),IF(VLOOKUP(M$1,INDIRECT("'"&amp;$A41&amp;"'!$A$12:$Z$41"),MATCH("Points (Auto-generate)",INDIRECT("'"&amp;$A41&amp;"'!$A$12:$Z$12"),0),0)="","?",VLOOKUP(M$1,INDIRECT("'"&amp;$A41&amp;"'!$A$12:$Z$41"),MATCH("Points (Auto-generate)",INDIRECT("'"&amp;$A41&amp;"'!$A$12:$Z$12"),0),0)),"ER"))</f>
        <v>?</v>
      </c>
      <c r="N41" s="86" t="str">
        <f aca="true">IF($H41=0,"NA",IF($A41=INDIRECT("'"&amp;$A41&amp;"'!$B$1"),IF(VLOOKUP(N$1,INDIRECT("'"&amp;$A41&amp;"'!$A$12:$Z$41"),MATCH("Points (Auto-generate)",INDIRECT("'"&amp;$A41&amp;"'!$A$12:$Z$12"),0),0)="","?",VLOOKUP(N$1,INDIRECT("'"&amp;$A41&amp;"'!$A$12:$Z$41"),MATCH("Points (Auto-generate)",INDIRECT("'"&amp;$A41&amp;"'!$A$12:$Z$12"),0),0)),"ER"))</f>
        <v>?</v>
      </c>
      <c r="O41" s="86" t="str">
        <f aca="true">IF($H41=0,"NA",IF($A41=INDIRECT("'"&amp;$A41&amp;"'!$B$1"),IF(VLOOKUP(O$1,INDIRECT("'"&amp;$A41&amp;"'!$A$12:$Z$41"),MATCH("Points (Auto-generate)",INDIRECT("'"&amp;$A41&amp;"'!$A$12:$Z$12"),0),0)="","?",VLOOKUP(O$1,INDIRECT("'"&amp;$A41&amp;"'!$A$12:$Z$41"),MATCH("Points (Auto-generate)",INDIRECT("'"&amp;$A41&amp;"'!$A$12:$Z$12"),0),0)),"ER"))</f>
        <v>?</v>
      </c>
      <c r="P41" s="86" t="str">
        <f aca="true">IF($H41=0,"NA",IF($A41=INDIRECT("'"&amp;$A41&amp;"'!$B$1"),IF(VLOOKUP(P$1,INDIRECT("'"&amp;$A41&amp;"'!$A$12:$Z$41"),MATCH("Points (Auto-generate)",INDIRECT("'"&amp;$A41&amp;"'!$A$12:$Z$12"),0),0)="","?",VLOOKUP(P$1,INDIRECT("'"&amp;$A41&amp;"'!$A$12:$Z$41"),MATCH("Points (Auto-generate)",INDIRECT("'"&amp;$A41&amp;"'!$A$12:$Z$12"),0),0)),"ER"))</f>
        <v>?</v>
      </c>
      <c r="Q41" s="86" t="str">
        <f aca="true">IF($H41=0,"NA",IF($A41=INDIRECT("'"&amp;$A41&amp;"'!$B$1"),IF(VLOOKUP(Q$1,INDIRECT("'"&amp;$A41&amp;"'!$A$12:$Z$41"),MATCH("Points (Auto-generate)",INDIRECT("'"&amp;$A41&amp;"'!$A$12:$Z$12"),0),0)="","?",VLOOKUP(Q$1,INDIRECT("'"&amp;$A41&amp;"'!$A$12:$Z$41"),MATCH("Points (Auto-generate)",INDIRECT("'"&amp;$A41&amp;"'!$A$12:$Z$12"),0),0)),"ER"))</f>
        <v>?</v>
      </c>
      <c r="R41" s="86" t="str">
        <f aca="true">IF($H41=0,"NA",IF($A41=INDIRECT("'"&amp;$A41&amp;"'!$B$1"),IF(VLOOKUP(R$1,INDIRECT("'"&amp;$A41&amp;"'!$A$12:$Z$41"),MATCH("Points (Auto-generate)",INDIRECT("'"&amp;$A41&amp;"'!$A$12:$Z$12"),0),0)="","?",VLOOKUP(R$1,INDIRECT("'"&amp;$A41&amp;"'!$A$12:$Z$41"),MATCH("Points (Auto-generate)",INDIRECT("'"&amp;$A41&amp;"'!$A$12:$Z$12"),0),0)),"ER"))</f>
        <v>?</v>
      </c>
      <c r="S41" s="86" t="str">
        <f aca="true">IF($H41=0,"NA",IF($A41=INDIRECT("'"&amp;$A41&amp;"'!$B$1"),IF(VLOOKUP(S$1,INDIRECT("'"&amp;$A41&amp;"'!$A$12:$Z$41"),MATCH("Points (Auto-generate)",INDIRECT("'"&amp;$A41&amp;"'!$A$12:$Z$12"),0),0)="","?",VLOOKUP(S$1,INDIRECT("'"&amp;$A41&amp;"'!$A$12:$Z$41"),MATCH("Points (Auto-generate)",INDIRECT("'"&amp;$A41&amp;"'!$A$12:$Z$12"),0),0)),"ER"))</f>
        <v>?</v>
      </c>
      <c r="T41" s="86" t="str">
        <f aca="true">IF($H41=0,"NA",IF($A41=INDIRECT("'"&amp;$A41&amp;"'!$B$1"),IF(VLOOKUP(T$1,INDIRECT("'"&amp;$A41&amp;"'!$A$12:$Z$41"),MATCH("Points (Auto-generate)",INDIRECT("'"&amp;$A41&amp;"'!$A$12:$Z$12"),0),0)="","?",VLOOKUP(T$1,INDIRECT("'"&amp;$A41&amp;"'!$A$12:$Z$41"),MATCH("Points (Auto-generate)",INDIRECT("'"&amp;$A41&amp;"'!$A$12:$Z$12"),0),0)),"ER"))</f>
        <v>?</v>
      </c>
      <c r="U41" s="86" t="str">
        <f aca="true">IF($H41=0,"NA",IF($A41=INDIRECT("'"&amp;$A41&amp;"'!$B$1"),IF(VLOOKUP(U$1,INDIRECT("'"&amp;$A41&amp;"'!$A$12:$Z$41"),MATCH("Points (Auto-generate)",INDIRECT("'"&amp;$A41&amp;"'!$A$12:$Z$12"),0),0)="","?",VLOOKUP(U$1,INDIRECT("'"&amp;$A41&amp;"'!$A$12:$Z$41"),MATCH("Points (Auto-generate)",INDIRECT("'"&amp;$A41&amp;"'!$A$12:$Z$12"),0),0)),"ER"))</f>
        <v>?</v>
      </c>
      <c r="V41" s="86" t="str">
        <f aca="true">IF($H41=0,"NA",IF($A41=INDIRECT("'"&amp;$A41&amp;"'!$B$1"),IF(VLOOKUP(V$1,INDIRECT("'"&amp;$A41&amp;"'!$A$12:$Z$41"),MATCH("Points (Auto-generate)",INDIRECT("'"&amp;$A41&amp;"'!$A$12:$Z$12"),0),0)="","?",VLOOKUP(V$1,INDIRECT("'"&amp;$A41&amp;"'!$A$12:$Z$41"),MATCH("Points (Auto-generate)",INDIRECT("'"&amp;$A41&amp;"'!$A$12:$Z$12"),0),0)),"ER"))</f>
        <v>?</v>
      </c>
      <c r="W41" s="86" t="str">
        <f aca="true">IF($H41=0,"NA",IF($A41=INDIRECT("'"&amp;$A41&amp;"'!$B$1"),IF(VLOOKUP(W$1,INDIRECT("'"&amp;$A41&amp;"'!$A$12:$Z$41"),MATCH("Points (Auto-generate)",INDIRECT("'"&amp;$A41&amp;"'!$A$12:$Z$12"),0),0)="","?",VLOOKUP(W$1,INDIRECT("'"&amp;$A41&amp;"'!$A$12:$Z$41"),MATCH("Points (Auto-generate)",INDIRECT("'"&amp;$A41&amp;"'!$A$12:$Z$12"),0),0)),"ER"))</f>
        <v>?</v>
      </c>
      <c r="X41" s="86" t="str">
        <f aca="true">IF($H41=0,"NA",IF($A41=INDIRECT("'"&amp;$A41&amp;"'!$B$1"),IF(VLOOKUP(X$1,INDIRECT("'"&amp;$A41&amp;"'!$A$12:$Z$41"),MATCH("Points (Auto-generate)",INDIRECT("'"&amp;$A41&amp;"'!$A$12:$Z$12"),0),0)="","?",VLOOKUP(X$1,INDIRECT("'"&amp;$A41&amp;"'!$A$12:$Z$41"),MATCH("Points (Auto-generate)",INDIRECT("'"&amp;$A41&amp;"'!$A$12:$Z$12"),0),0)),"ER"))</f>
        <v>?</v>
      </c>
      <c r="Y41" s="86" t="str">
        <f aca="true">IF($H41=0,"NA",IF($A41=INDIRECT("'"&amp;$A41&amp;"'!$B$1"),IF(VLOOKUP(Y$1,INDIRECT("'"&amp;$A41&amp;"'!$A$12:$Z$41"),MATCH("Points (Auto-generate)",INDIRECT("'"&amp;$A41&amp;"'!$A$12:$Z$12"),0),0)="","?",VLOOKUP(Y$1,INDIRECT("'"&amp;$A41&amp;"'!$A$12:$Z$41"),MATCH("Points (Auto-generate)",INDIRECT("'"&amp;$A41&amp;"'!$A$12:$Z$12"),0),0)),"ER"))</f>
        <v>?</v>
      </c>
      <c r="Z41" s="86" t="str">
        <f aca="true">IF($H41=0,"NA",IF($A41=INDIRECT("'"&amp;$A41&amp;"'!$B$1"),IF(VLOOKUP(Z$1,INDIRECT("'"&amp;$A41&amp;"'!$A$12:$Z$41"),MATCH("Points (Auto-generate)",INDIRECT("'"&amp;$A41&amp;"'!$A$12:$Z$12"),0),0)="","?",VLOOKUP(Z$1,INDIRECT("'"&amp;$A41&amp;"'!$A$12:$Z$41"),MATCH("Points (Auto-generate)",INDIRECT("'"&amp;$A41&amp;"'!$A$12:$Z$12"),0),0)),"ER"))</f>
        <v>?</v>
      </c>
      <c r="AA41" s="86" t="str">
        <f aca="true">IF($H41=0,"NA",IF($A41=INDIRECT("'"&amp;$A41&amp;"'!$B$1"),IF(VLOOKUP(AA$1,INDIRECT("'"&amp;$A41&amp;"'!$A$12:$Z$41"),MATCH("Points (Auto-generate)",INDIRECT("'"&amp;$A41&amp;"'!$A$12:$Z$12"),0),0)="","?",VLOOKUP(AA$1,INDIRECT("'"&amp;$A41&amp;"'!$A$12:$Z$41"),MATCH("Points (Auto-generate)",INDIRECT("'"&amp;$A41&amp;"'!$A$12:$Z$12"),0),0)),"ER"))</f>
        <v>?</v>
      </c>
      <c r="AB41" s="86" t="str">
        <f aca="true">IF($H41=0,"NA",IF($A41=INDIRECT("'"&amp;$A41&amp;"'!$B$1"),IF(VLOOKUP(AB$1,INDIRECT("'"&amp;$A41&amp;"'!$A$12:$Z$41"),MATCH("Points (Auto-generate)",INDIRECT("'"&amp;$A41&amp;"'!$A$12:$Z$12"),0),0)="","?",VLOOKUP(AB$1,INDIRECT("'"&amp;$A41&amp;"'!$A$12:$Z$41"),MATCH("Points (Auto-generate)",INDIRECT("'"&amp;$A41&amp;"'!$A$12:$Z$12"),0),0)),"ER"))</f>
        <v>?</v>
      </c>
      <c r="AC41" s="86" t="str">
        <f aca="true">IF($H41=0,"NA",IF($A41=INDIRECT("'"&amp;$A41&amp;"'!$B$1"),IF(VLOOKUP(AC$1,INDIRECT("'"&amp;$A41&amp;"'!$A$12:$Z$41"),MATCH("Points (Auto-generate)",INDIRECT("'"&amp;$A41&amp;"'!$A$12:$Z$12"),0),0)="","?",VLOOKUP(AC$1,INDIRECT("'"&amp;$A41&amp;"'!$A$12:$Z$41"),MATCH("Points (Auto-generate)",INDIRECT("'"&amp;$A41&amp;"'!$A$12:$Z$12"),0),0)),"ER"))</f>
        <v>?</v>
      </c>
      <c r="AD41" s="86" t="str">
        <f aca="true">IF($H41=0,"NA",IF($A41=INDIRECT("'"&amp;$A41&amp;"'!$B$1"),IF(VLOOKUP(AD$1,INDIRECT("'"&amp;$A41&amp;"'!$A$12:$Z$41"),MATCH("Points (Auto-generate)",INDIRECT("'"&amp;$A41&amp;"'!$A$12:$Z$12"),0),0)="","?",VLOOKUP(AD$1,INDIRECT("'"&amp;$A41&amp;"'!$A$12:$Z$41"),MATCH("Points (Auto-generate)",INDIRECT("'"&amp;$A41&amp;"'!$A$12:$Z$12"),0),0)),"ER"))</f>
        <v>?</v>
      </c>
      <c r="AE41" s="86" t="str">
        <f aca="true">IF($H41=0,"NA",IF($A41=INDIRECT("'"&amp;$A41&amp;"'!$B$1"),IF(VLOOKUP(AE$1,INDIRECT("'"&amp;$A41&amp;"'!$A$12:$Z$41"),MATCH("Points (Auto-generate)",INDIRECT("'"&amp;$A41&amp;"'!$A$12:$Z$12"),0),0)="","?",VLOOKUP(AE$1,INDIRECT("'"&amp;$A41&amp;"'!$A$12:$Z$41"),MATCH("Points (Auto-generate)",INDIRECT("'"&amp;$A41&amp;"'!$A$12:$Z$12"),0),0)),"ER"))</f>
        <v>?</v>
      </c>
      <c r="AF41" s="86" t="str">
        <f aca="true">IF($H41=0,"NA",IF($A41=INDIRECT("'"&amp;$A41&amp;"'!$B$1"),IF(VLOOKUP(AF$1,INDIRECT("'"&amp;$A41&amp;"'!$A$12:$Z$41"),MATCH("Points (Auto-generate)",INDIRECT("'"&amp;$A41&amp;"'!$A$12:$Z$12"),0),0)="","?",VLOOKUP(AF$1,INDIRECT("'"&amp;$A41&amp;"'!$A$12:$Z$41"),MATCH("Points (Auto-generate)",INDIRECT("'"&amp;$A41&amp;"'!$A$12:$Z$12"),0),0)),"ER"))</f>
        <v>?</v>
      </c>
      <c r="AG41" s="86" t="str">
        <f aca="true">IF($H41=0,"NA",IF($A41=INDIRECT("'"&amp;$A41&amp;"'!$B$1"),IF(VLOOKUP(AG$1,INDIRECT("'"&amp;$A41&amp;"'!$A$12:$Z$41"),MATCH("Points (Auto-generate)",INDIRECT("'"&amp;$A41&amp;"'!$A$12:$Z$12"),0),0)="","?",VLOOKUP(AG$1,INDIRECT("'"&amp;$A41&amp;"'!$A$12:$Z$41"),MATCH("Points (Auto-generate)",INDIRECT("'"&amp;$A41&amp;"'!$A$12:$Z$12"),0),0)),"ER"))</f>
        <v>?</v>
      </c>
      <c r="AH41" s="86" t="str">
        <f aca="true">IF($H41=0,"NA",IF($A41=INDIRECT("'"&amp;$A41&amp;"'!$B$1"),IF(VLOOKUP(AH$1,INDIRECT("'"&amp;$A41&amp;"'!$A$12:$Z$41"),MATCH("Points (Auto-generate)",INDIRECT("'"&amp;$A41&amp;"'!$A$12:$Z$12"),0),0)="","?",VLOOKUP(AH$1,INDIRECT("'"&amp;$A41&amp;"'!$A$12:$Z$41"),MATCH("Points (Auto-generate)",INDIRECT("'"&amp;$A41&amp;"'!$A$12:$Z$12"),0),0)),"ER"))</f>
        <v>?</v>
      </c>
      <c r="AI41" s="86" t="str">
        <f aca="true">IF($H41=0,"NA",IF($A41=INDIRECT("'"&amp;$A41&amp;"'!$B$1"),IF(VLOOKUP(AI$1,INDIRECT("'"&amp;$A41&amp;"'!$A$12:$Z$41"),MATCH("Points (Auto-generate)",INDIRECT("'"&amp;$A41&amp;"'!$A$12:$Z$12"),0),0)="","?",VLOOKUP(AI$1,INDIRECT("'"&amp;$A41&amp;"'!$A$12:$Z$41"),MATCH("Points (Auto-generate)",INDIRECT("'"&amp;$A41&amp;"'!$A$12:$Z$12"),0),0)),"ER"))</f>
        <v>?</v>
      </c>
      <c r="AJ41" s="86" t="str">
        <f aca="true">IF($H41=0,"NA",IF($A41=INDIRECT("'"&amp;$A41&amp;"'!$B$1"),IF(VLOOKUP(AJ$1,INDIRECT("'"&amp;$A41&amp;"'!$A$12:$Z$41"),MATCH("Points (Auto-generate)",INDIRECT("'"&amp;$A41&amp;"'!$A$12:$Z$12"),0),0)="","?",VLOOKUP(AJ$1,INDIRECT("'"&amp;$A41&amp;"'!$A$12:$Z$41"),MATCH("Points (Auto-generate)",INDIRECT("'"&amp;$A41&amp;"'!$A$12:$Z$12"),0),0)),"ER"))</f>
        <v>?</v>
      </c>
      <c r="AK41" s="86" t="str">
        <f aca="true">IF($H41=0,"NA",IF($A41=INDIRECT("'"&amp;$A41&amp;"'!$B$1"),IF(VLOOKUP(AK$1,INDIRECT("'"&amp;$A41&amp;"'!$A$12:$Z$41"),MATCH("Points (Auto-generate)",INDIRECT("'"&amp;$A41&amp;"'!$A$12:$Z$12"),0),0)="","?",VLOOKUP(AK$1,INDIRECT("'"&amp;$A41&amp;"'!$A$12:$Z$41"),MATCH("Points (Auto-generate)",INDIRECT("'"&amp;$A41&amp;"'!$A$12:$Z$12"),0),0)),"ER"))</f>
        <v>?</v>
      </c>
    </row>
    <row r="42" customFormat="false" ht="14.25" hidden="false" customHeight="false" outlineLevel="0" collapsed="false">
      <c r="A42" s="82" t="s">
        <v>426</v>
      </c>
      <c r="B42" s="83" t="str">
        <f aca="false">IF(ISBLANK($A42),"NO_CODE",VLOOKUP($A42,'UPD Questions_290926 '!$E$1:$N$300,MATCH(B$1,'UPD Questions_290926 '!$E$1:$N$1,0),0)&amp;"")</f>
        <v>Implementation</v>
      </c>
      <c r="C42" s="83" t="str">
        <f aca="false">IF(ISBLANK($A42),"NO_CODE",VLOOKUP($A42,'UPD Questions_290926 '!$E$1:$N$300,MATCH(C$1,'UPD Questions_290926 '!$E$1:$N$1,0),0)&amp;"")</f>
        <v>Municipal/City Plan status, hierarchy and coordination</v>
      </c>
      <c r="D42" s="83" t="str">
        <f aca="false">IF(ISBLANK($A42),"NO_CODE",VLOOKUP($A42,'UPD Questions_290926 '!$E$1:$N$300,MATCH(D$1,'UPD Questions_290926 '!$E$1:$N$1,0),0)&amp;"")</f>
        <v>Objectives of the Municipal/City Plan</v>
      </c>
      <c r="E42" s="83" t="str">
        <f aca="false">IF(ISBLANK($A42),"NO_CODE",VLOOKUP($A42,'UPD Questions_290926 '!$E$1:$N$300,MATCH(E$1,'UPD Questions_290926 '!$E$1:$N$1,0),0)&amp;"")</f>
        <v>MQ</v>
      </c>
      <c r="F42" s="83" t="str">
        <f aca="false">IF(ISBLANK($A42),"NO_CODE",VLOOKUP($A42,'UPD Questions_290926 '!$E$1:$N$300,MATCH(F$1,'UPD Questions_290926 '!$E$1:$N$1,0),0)&amp;"")</f>
        <v>Does the municipal/city plan include objectives on environment and heritage conservation?</v>
      </c>
      <c r="G42" s="83" t="str">
        <f aca="false">IF(ISBLANK($A42),"NO_CODE",VLOOKUP($A42,'UPD Questions_290926 '!$E$1:$N$300,MATCH(G$1,'UPD Questions_290926 '!$E$1:$N$1,0),0)&amp;"")</f>
        <v>Implementation</v>
      </c>
      <c r="H42" s="85" t="n">
        <f aca="false">IF(ISBLANK($A42),"NO_CODE",VLOOKUP($A42,'UPD Questions_290926 '!$E$1:$N$300,MATCH(H$1,'UPD Questions_290926 '!$E$1:$N$1,0),0))</f>
        <v>10</v>
      </c>
      <c r="I42" s="86" t="str">
        <f aca="false">IF(OR(I43="ER",I44="ER"),"ER",IF(OR(I43="?",I44="?"),"?",IF(AND(I43="NA",I44="NA"),"NA",SUM(I43,I44)/((I43&lt;&gt;"NA")*$H$43+(I44&lt;&gt;"NA")*$H$44)*$H42)))</f>
        <v>?</v>
      </c>
      <c r="J42" s="86" t="n">
        <f aca="false">IF(OR(J43="ER",J44="ER"),"ER",IF(OR(J43="?",J44="?"),"?",IF(AND(J43="NA",J44="NA"),"NA",SUM(J43,J44)/((J43&lt;&gt;"NA")*$H$43+(J44&lt;&gt;"NA")*$H$44)*$H42)))</f>
        <v>0</v>
      </c>
      <c r="K42" s="86" t="str">
        <f aca="false">IF(OR(K43="ER",K44="ER"),"ER",IF(OR(K43="?",K44="?"),"?",IF(AND(K43="NA",K44="NA"),"NA",SUM(K43,K44)/((K43&lt;&gt;"NA")*$H$43+(K44&lt;&gt;"NA")*$H$44)*$H42)))</f>
        <v>?</v>
      </c>
      <c r="L42" s="86" t="str">
        <f aca="false">IF(OR(L43="ER",L44="ER"),"ER",IF(OR(L43="?",L44="?"),"?",IF(AND(L43="NA",L44="NA"),"NA",SUM(L43,L44)/((L43&lt;&gt;"NA")*$H$43+(L44&lt;&gt;"NA")*$H$44)*$H42)))</f>
        <v>?</v>
      </c>
      <c r="M42" s="86" t="str">
        <f aca="false">IF(OR(M43="ER",M44="ER"),"ER",IF(OR(M43="?",M44="?"),"?",IF(AND(M43="NA",M44="NA"),"NA",SUM(M43,M44)/((M43&lt;&gt;"NA")*$H$43+(M44&lt;&gt;"NA")*$H$44)*$H42)))</f>
        <v>?</v>
      </c>
      <c r="N42" s="86" t="str">
        <f aca="false">IF(OR(N43="ER",N44="ER"),"ER",IF(OR(N43="?",N44="?"),"?",IF(AND(N43="NA",N44="NA"),"NA",SUM(N43,N44)/((N43&lt;&gt;"NA")*$H$43+(N44&lt;&gt;"NA")*$H$44)*$H42)))</f>
        <v>?</v>
      </c>
      <c r="O42" s="86" t="str">
        <f aca="false">IF(OR(O43="ER",O44="ER"),"ER",IF(OR(O43="?",O44="?"),"?",IF(AND(O43="NA",O44="NA"),"NA",SUM(O43,O44)/((O43&lt;&gt;"NA")*$H$43+(O44&lt;&gt;"NA")*$H$44)*$H42)))</f>
        <v>?</v>
      </c>
      <c r="P42" s="86" t="str">
        <f aca="false">IF(OR(P43="ER",P44="ER"),"ER",IF(OR(P43="?",P44="?"),"?",IF(AND(P43="NA",P44="NA"),"NA",SUM(P43,P44)/((P43&lt;&gt;"NA")*$H$43+(P44&lt;&gt;"NA")*$H$44)*$H42)))</f>
        <v>?</v>
      </c>
      <c r="Q42" s="86" t="str">
        <f aca="false">IF(OR(Q43="ER",Q44="ER"),"ER",IF(OR(Q43="?",Q44="?"),"?",IF(AND(Q43="NA",Q44="NA"),"NA",SUM(Q43,Q44)/((Q43&lt;&gt;"NA")*$H$43+(Q44&lt;&gt;"NA")*$H$44)*$H42)))</f>
        <v>?</v>
      </c>
      <c r="R42" s="86" t="str">
        <f aca="false">IF(OR(R43="ER",R44="ER"),"ER",IF(OR(R43="?",R44="?"),"?",IF(AND(R43="NA",R44="NA"),"NA",SUM(R43,R44)/((R43&lt;&gt;"NA")*$H$43+(R44&lt;&gt;"NA")*$H$44)*$H42)))</f>
        <v>?</v>
      </c>
      <c r="S42" s="86" t="str">
        <f aca="false">IF(OR(S43="ER",S44="ER"),"ER",IF(OR(S43="?",S44="?"),"?",IF(AND(S43="NA",S44="NA"),"NA",SUM(S43,S44)/((S43&lt;&gt;"NA")*$H$43+(S44&lt;&gt;"NA")*$H$44)*$H42)))</f>
        <v>?</v>
      </c>
      <c r="T42" s="86" t="str">
        <f aca="false">IF(OR(T43="ER",T44="ER"),"ER",IF(OR(T43="?",T44="?"),"?",IF(AND(T43="NA",T44="NA"),"NA",SUM(T43,T44)/((T43&lt;&gt;"NA")*$H$43+(T44&lt;&gt;"NA")*$H$44)*$H42)))</f>
        <v>?</v>
      </c>
      <c r="U42" s="86" t="str">
        <f aca="false">IF(OR(U43="ER",U44="ER"),"ER",IF(OR(U43="?",U44="?"),"?",IF(AND(U43="NA",U44="NA"),"NA",SUM(U43,U44)/((U43&lt;&gt;"NA")*$H$43+(U44&lt;&gt;"NA")*$H$44)*$H42)))</f>
        <v>?</v>
      </c>
      <c r="V42" s="86" t="str">
        <f aca="false">IF(OR(V43="ER",V44="ER"),"ER",IF(OR(V43="?",V44="?"),"?",IF(AND(V43="NA",V44="NA"),"NA",SUM(V43,V44)/((V43&lt;&gt;"NA")*$H$43+(V44&lt;&gt;"NA")*$H$44)*$H42)))</f>
        <v>?</v>
      </c>
      <c r="W42" s="86" t="str">
        <f aca="false">IF(OR(W43="ER",W44="ER"),"ER",IF(OR(W43="?",W44="?"),"?",IF(AND(W43="NA",W44="NA"),"NA",SUM(W43,W44)/((W43&lt;&gt;"NA")*$H$43+(W44&lt;&gt;"NA")*$H$44)*$H42)))</f>
        <v>?</v>
      </c>
      <c r="X42" s="86" t="str">
        <f aca="false">IF(OR(X43="ER",X44="ER"),"ER",IF(OR(X43="?",X44="?"),"?",IF(AND(X43="NA",X44="NA"),"NA",SUM(X43,X44)/((X43&lt;&gt;"NA")*$H$43+(X44&lt;&gt;"NA")*$H$44)*$H42)))</f>
        <v>?</v>
      </c>
      <c r="Y42" s="86" t="str">
        <f aca="false">IF(OR(Y43="ER",Y44="ER"),"ER",IF(OR(Y43="?",Y44="?"),"?",IF(AND(Y43="NA",Y44="NA"),"NA",SUM(Y43,Y44)/((Y43&lt;&gt;"NA")*$H$43+(Y44&lt;&gt;"NA")*$H$44)*$H42)))</f>
        <v>?</v>
      </c>
      <c r="Z42" s="86" t="str">
        <f aca="false">IF(OR(Z43="ER",Z44="ER"),"ER",IF(OR(Z43="?",Z44="?"),"?",IF(AND(Z43="NA",Z44="NA"),"NA",SUM(Z43,Z44)/((Z43&lt;&gt;"NA")*$H$43+(Z44&lt;&gt;"NA")*$H$44)*$H42)))</f>
        <v>?</v>
      </c>
      <c r="AA42" s="86" t="str">
        <f aca="false">IF(OR(AA43="ER",AA44="ER"),"ER",IF(OR(AA43="?",AA44="?"),"?",IF(AND(AA43="NA",AA44="NA"),"NA",SUM(AA43,AA44)/((AA43&lt;&gt;"NA")*$H$43+(AA44&lt;&gt;"NA")*$H$44)*$H42)))</f>
        <v>?</v>
      </c>
      <c r="AB42" s="86" t="str">
        <f aca="false">IF(OR(AB43="ER",AB44="ER"),"ER",IF(OR(AB43="?",AB44="?"),"?",IF(AND(AB43="NA",AB44="NA"),"NA",SUM(AB43,AB44)/((AB43&lt;&gt;"NA")*$H$43+(AB44&lt;&gt;"NA")*$H$44)*$H42)))</f>
        <v>?</v>
      </c>
      <c r="AC42" s="86" t="str">
        <f aca="false">IF(OR(AC43="ER",AC44="ER"),"ER",IF(OR(AC43="?",AC44="?"),"?",IF(AND(AC43="NA",AC44="NA"),"NA",SUM(AC43,AC44)/((AC43&lt;&gt;"NA")*$H$43+(AC44&lt;&gt;"NA")*$H$44)*$H42)))</f>
        <v>?</v>
      </c>
      <c r="AD42" s="86" t="str">
        <f aca="false">IF(OR(AD43="ER",AD44="ER"),"ER",IF(OR(AD43="?",AD44="?"),"?",IF(AND(AD43="NA",AD44="NA"),"NA",SUM(AD43,AD44)/((AD43&lt;&gt;"NA")*$H$43+(AD44&lt;&gt;"NA")*$H$44)*$H42)))</f>
        <v>?</v>
      </c>
      <c r="AE42" s="86" t="str">
        <f aca="false">IF(OR(AE43="ER",AE44="ER"),"ER",IF(OR(AE43="?",AE44="?"),"?",IF(AND(AE43="NA",AE44="NA"),"NA",SUM(AE43,AE44)/((AE43&lt;&gt;"NA")*$H$43+(AE44&lt;&gt;"NA")*$H$44)*$H42)))</f>
        <v>?</v>
      </c>
      <c r="AF42" s="86" t="str">
        <f aca="false">IF(OR(AF43="ER",AF44="ER"),"ER",IF(OR(AF43="?",AF44="?"),"?",IF(AND(AF43="NA",AF44="NA"),"NA",SUM(AF43,AF44)/((AF43&lt;&gt;"NA")*$H$43+(AF44&lt;&gt;"NA")*$H$44)*$H42)))</f>
        <v>?</v>
      </c>
      <c r="AG42" s="86" t="str">
        <f aca="false">IF(OR(AG43="ER",AG44="ER"),"ER",IF(OR(AG43="?",AG44="?"),"?",IF(AND(AG43="NA",AG44="NA"),"NA",SUM(AG43,AG44)/((AG43&lt;&gt;"NA")*$H$43+(AG44&lt;&gt;"NA")*$H$44)*$H42)))</f>
        <v>?</v>
      </c>
      <c r="AH42" s="86" t="str">
        <f aca="false">IF(OR(AH43="ER",AH44="ER"),"ER",IF(OR(AH43="?",AH44="?"),"?",IF(AND(AH43="NA",AH44="NA"),"NA",SUM(AH43,AH44)/((AH43&lt;&gt;"NA")*$H$43+(AH44&lt;&gt;"NA")*$H$44)*$H42)))</f>
        <v>?</v>
      </c>
      <c r="AI42" s="86" t="str">
        <f aca="false">IF(OR(AI43="ER",AI44="ER"),"ER",IF(OR(AI43="?",AI44="?"),"?",IF(AND(AI43="NA",AI44="NA"),"NA",SUM(AI43,AI44)/((AI43&lt;&gt;"NA")*$H$43+(AI44&lt;&gt;"NA")*$H$44)*$H42)))</f>
        <v>?</v>
      </c>
      <c r="AJ42" s="86" t="str">
        <f aca="false">IF(OR(AJ43="ER",AJ44="ER"),"ER",IF(OR(AJ43="?",AJ44="?"),"?",IF(AND(AJ43="NA",AJ44="NA"),"NA",SUM(AJ43,AJ44)/((AJ43&lt;&gt;"NA")*$H$43+(AJ44&lt;&gt;"NA")*$H$44)*$H42)))</f>
        <v>?</v>
      </c>
      <c r="AK42" s="86" t="str">
        <f aca="false">IF(OR(AK43="ER",AK44="ER"),"ER",IF(OR(AK43="?",AK44="?"),"?",IF(AND(AK43="NA",AK44="NA"),"NA",SUM(AK43,AK44)/((AK43&lt;&gt;"NA")*$H$43+(AK44&lt;&gt;"NA")*$H$44)*$H42)))</f>
        <v>?</v>
      </c>
    </row>
    <row r="43" customFormat="false" ht="14.25" hidden="false" customHeight="false" outlineLevel="0" collapsed="false">
      <c r="A43" s="82" t="s">
        <v>177</v>
      </c>
      <c r="B43" s="83" t="str">
        <f aca="false">IF(ISBLANK($A43),"NO_CODE",VLOOKUP($A43,'UPD Questions_290926 '!$E$1:$N$300,MATCH(B$1,'UPD Questions_290926 '!$E$1:$N$1,0),0)&amp;"")</f>
        <v>Implementation</v>
      </c>
      <c r="C43" s="83" t="str">
        <f aca="false">IF(ISBLANK($A43),"NO_CODE",VLOOKUP($A43,'UPD Questions_290926 '!$E$1:$N$300,MATCH(C$1,'UPD Questions_290926 '!$E$1:$N$1,0),0)&amp;"")</f>
        <v>Municipal/City Plan status, hierarchy and coordination</v>
      </c>
      <c r="D43" s="83" t="str">
        <f aca="false">IF(ISBLANK($A43),"NO_CODE",VLOOKUP($A43,'UPD Questions_290926 '!$E$1:$N$300,MATCH(D$1,'UPD Questions_290926 '!$E$1:$N$1,0),0)&amp;"")</f>
        <v>Objectives of the Municipal/City Plan</v>
      </c>
      <c r="E43" s="83" t="str">
        <f aca="false">IF(ISBLANK($A43),"NO_CODE",VLOOKUP($A43,'UPD Questions_290926 '!$E$1:$N$300,MATCH(E$1,'UPD Questions_290926 '!$E$1:$N$1,0),0)&amp;"")</f>
        <v>SQ</v>
      </c>
      <c r="F43" s="83" t="str">
        <f aca="false">IF(ISBLANK($A43),"NO_CODE",VLOOKUP($A43,'UPD Questions_290926 '!$E$1:$N$300,MATCH(F$1,'UPD Questions_290926 '!$E$1:$N$1,0),0)&amp;"")</f>
        <v>a) Environmental Conservation </v>
      </c>
      <c r="G43" s="83" t="str">
        <f aca="false">IF(ISBLANK($A43),"NO_CODE",VLOOKUP($A43,'UPD Questions_290926 '!$E$1:$N$300,MATCH(G$1,'UPD Questions_290926 '!$E$1:$N$1,0),0)&amp;"")</f>
        <v>Implementation</v>
      </c>
      <c r="H43" s="85" t="n">
        <f aca="false">IF(ISBLANK($A43),"NO_CODE",VLOOKUP($A43,'UPD Questions_290926 '!$E$1:$N$300,MATCH(H$1,'UPD Questions_290926 '!$E$1:$N$1,0),0))</f>
        <v>5</v>
      </c>
      <c r="I43" s="86" t="str">
        <f aca="true">IF($H43=0,"NA",IF($A43=INDIRECT("'"&amp;$A43&amp;"'!$B$1"),IF(VLOOKUP(I$1,INDIRECT("'"&amp;$A43&amp;"'!$A$12:$Z$41"),MATCH("Points (Auto-generate)",INDIRECT("'"&amp;$A43&amp;"'!$A$12:$Z$12"),0),0)="","?",VLOOKUP(I$1,INDIRECT("'"&amp;$A43&amp;"'!$A$12:$Z$41"),MATCH("Points (Auto-generate)",INDIRECT("'"&amp;$A43&amp;"'!$A$12:$Z$12"),0),0)),"ER"))</f>
        <v>?</v>
      </c>
      <c r="J43" s="86" t="n">
        <f aca="true">IF($H43=0,"NA",IF($A43=INDIRECT("'"&amp;$A43&amp;"'!$B$1"),IF(VLOOKUP(J$1,INDIRECT("'"&amp;$A43&amp;"'!$A$12:$Z$41"),MATCH("Points (Auto-generate)",INDIRECT("'"&amp;$A43&amp;"'!$A$12:$Z$12"),0),0)="","?",VLOOKUP(J$1,INDIRECT("'"&amp;$A43&amp;"'!$A$12:$Z$41"),MATCH("Points (Auto-generate)",INDIRECT("'"&amp;$A43&amp;"'!$A$12:$Z$12"),0),0)),"ER"))</f>
        <v>0</v>
      </c>
      <c r="K43" s="86" t="str">
        <f aca="true">IF($H43=0,"NA",IF($A43=INDIRECT("'"&amp;$A43&amp;"'!$B$1"),IF(VLOOKUP(K$1,INDIRECT("'"&amp;$A43&amp;"'!$A$12:$Z$41"),MATCH("Points (Auto-generate)",INDIRECT("'"&amp;$A43&amp;"'!$A$12:$Z$12"),0),0)="","?",VLOOKUP(K$1,INDIRECT("'"&amp;$A43&amp;"'!$A$12:$Z$41"),MATCH("Points (Auto-generate)",INDIRECT("'"&amp;$A43&amp;"'!$A$12:$Z$12"),0),0)),"ER"))</f>
        <v>?</v>
      </c>
      <c r="L43" s="86" t="str">
        <f aca="true">IF($H43=0,"NA",IF($A43=INDIRECT("'"&amp;$A43&amp;"'!$B$1"),IF(VLOOKUP(L$1,INDIRECT("'"&amp;$A43&amp;"'!$A$12:$Z$41"),MATCH("Points (Auto-generate)",INDIRECT("'"&amp;$A43&amp;"'!$A$12:$Z$12"),0),0)="","?",VLOOKUP(L$1,INDIRECT("'"&amp;$A43&amp;"'!$A$12:$Z$41"),MATCH("Points (Auto-generate)",INDIRECT("'"&amp;$A43&amp;"'!$A$12:$Z$12"),0),0)),"ER"))</f>
        <v>?</v>
      </c>
      <c r="M43" s="86" t="str">
        <f aca="true">IF($H43=0,"NA",IF($A43=INDIRECT("'"&amp;$A43&amp;"'!$B$1"),IF(VLOOKUP(M$1,INDIRECT("'"&amp;$A43&amp;"'!$A$12:$Z$41"),MATCH("Points (Auto-generate)",INDIRECT("'"&amp;$A43&amp;"'!$A$12:$Z$12"),0),0)="","?",VLOOKUP(M$1,INDIRECT("'"&amp;$A43&amp;"'!$A$12:$Z$41"),MATCH("Points (Auto-generate)",INDIRECT("'"&amp;$A43&amp;"'!$A$12:$Z$12"),0),0)),"ER"))</f>
        <v>?</v>
      </c>
      <c r="N43" s="86" t="str">
        <f aca="true">IF($H43=0,"NA",IF($A43=INDIRECT("'"&amp;$A43&amp;"'!$B$1"),IF(VLOOKUP(N$1,INDIRECT("'"&amp;$A43&amp;"'!$A$12:$Z$41"),MATCH("Points (Auto-generate)",INDIRECT("'"&amp;$A43&amp;"'!$A$12:$Z$12"),0),0)="","?",VLOOKUP(N$1,INDIRECT("'"&amp;$A43&amp;"'!$A$12:$Z$41"),MATCH("Points (Auto-generate)",INDIRECT("'"&amp;$A43&amp;"'!$A$12:$Z$12"),0),0)),"ER"))</f>
        <v>?</v>
      </c>
      <c r="O43" s="86" t="str">
        <f aca="true">IF($H43=0,"NA",IF($A43=INDIRECT("'"&amp;$A43&amp;"'!$B$1"),IF(VLOOKUP(O$1,INDIRECT("'"&amp;$A43&amp;"'!$A$12:$Z$41"),MATCH("Points (Auto-generate)",INDIRECT("'"&amp;$A43&amp;"'!$A$12:$Z$12"),0),0)="","?",VLOOKUP(O$1,INDIRECT("'"&amp;$A43&amp;"'!$A$12:$Z$41"),MATCH("Points (Auto-generate)",INDIRECT("'"&amp;$A43&amp;"'!$A$12:$Z$12"),0),0)),"ER"))</f>
        <v>?</v>
      </c>
      <c r="P43" s="86" t="str">
        <f aca="true">IF($H43=0,"NA",IF($A43=INDIRECT("'"&amp;$A43&amp;"'!$B$1"),IF(VLOOKUP(P$1,INDIRECT("'"&amp;$A43&amp;"'!$A$12:$Z$41"),MATCH("Points (Auto-generate)",INDIRECT("'"&amp;$A43&amp;"'!$A$12:$Z$12"),0),0)="","?",VLOOKUP(P$1,INDIRECT("'"&amp;$A43&amp;"'!$A$12:$Z$41"),MATCH("Points (Auto-generate)",INDIRECT("'"&amp;$A43&amp;"'!$A$12:$Z$12"),0),0)),"ER"))</f>
        <v>?</v>
      </c>
      <c r="Q43" s="86" t="str">
        <f aca="true">IF($H43=0,"NA",IF($A43=INDIRECT("'"&amp;$A43&amp;"'!$B$1"),IF(VLOOKUP(Q$1,INDIRECT("'"&amp;$A43&amp;"'!$A$12:$Z$41"),MATCH("Points (Auto-generate)",INDIRECT("'"&amp;$A43&amp;"'!$A$12:$Z$12"),0),0)="","?",VLOOKUP(Q$1,INDIRECT("'"&amp;$A43&amp;"'!$A$12:$Z$41"),MATCH("Points (Auto-generate)",INDIRECT("'"&amp;$A43&amp;"'!$A$12:$Z$12"),0),0)),"ER"))</f>
        <v>?</v>
      </c>
      <c r="R43" s="86" t="str">
        <f aca="true">IF($H43=0,"NA",IF($A43=INDIRECT("'"&amp;$A43&amp;"'!$B$1"),IF(VLOOKUP(R$1,INDIRECT("'"&amp;$A43&amp;"'!$A$12:$Z$41"),MATCH("Points (Auto-generate)",INDIRECT("'"&amp;$A43&amp;"'!$A$12:$Z$12"),0),0)="","?",VLOOKUP(R$1,INDIRECT("'"&amp;$A43&amp;"'!$A$12:$Z$41"),MATCH("Points (Auto-generate)",INDIRECT("'"&amp;$A43&amp;"'!$A$12:$Z$12"),0),0)),"ER"))</f>
        <v>?</v>
      </c>
      <c r="S43" s="86" t="str">
        <f aca="true">IF($H43=0,"NA",IF($A43=INDIRECT("'"&amp;$A43&amp;"'!$B$1"),IF(VLOOKUP(S$1,INDIRECT("'"&amp;$A43&amp;"'!$A$12:$Z$41"),MATCH("Points (Auto-generate)",INDIRECT("'"&amp;$A43&amp;"'!$A$12:$Z$12"),0),0)="","?",VLOOKUP(S$1,INDIRECT("'"&amp;$A43&amp;"'!$A$12:$Z$41"),MATCH("Points (Auto-generate)",INDIRECT("'"&amp;$A43&amp;"'!$A$12:$Z$12"),0),0)),"ER"))</f>
        <v>?</v>
      </c>
      <c r="T43" s="86" t="str">
        <f aca="true">IF($H43=0,"NA",IF($A43=INDIRECT("'"&amp;$A43&amp;"'!$B$1"),IF(VLOOKUP(T$1,INDIRECT("'"&amp;$A43&amp;"'!$A$12:$Z$41"),MATCH("Points (Auto-generate)",INDIRECT("'"&amp;$A43&amp;"'!$A$12:$Z$12"),0),0)="","?",VLOOKUP(T$1,INDIRECT("'"&amp;$A43&amp;"'!$A$12:$Z$41"),MATCH("Points (Auto-generate)",INDIRECT("'"&amp;$A43&amp;"'!$A$12:$Z$12"),0),0)),"ER"))</f>
        <v>?</v>
      </c>
      <c r="U43" s="86" t="str">
        <f aca="true">IF($H43=0,"NA",IF($A43=INDIRECT("'"&amp;$A43&amp;"'!$B$1"),IF(VLOOKUP(U$1,INDIRECT("'"&amp;$A43&amp;"'!$A$12:$Z$41"),MATCH("Points (Auto-generate)",INDIRECT("'"&amp;$A43&amp;"'!$A$12:$Z$12"),0),0)="","?",VLOOKUP(U$1,INDIRECT("'"&amp;$A43&amp;"'!$A$12:$Z$41"),MATCH("Points (Auto-generate)",INDIRECT("'"&amp;$A43&amp;"'!$A$12:$Z$12"),0),0)),"ER"))</f>
        <v>?</v>
      </c>
      <c r="V43" s="86" t="str">
        <f aca="true">IF($H43=0,"NA",IF($A43=INDIRECT("'"&amp;$A43&amp;"'!$B$1"),IF(VLOOKUP(V$1,INDIRECT("'"&amp;$A43&amp;"'!$A$12:$Z$41"),MATCH("Points (Auto-generate)",INDIRECT("'"&amp;$A43&amp;"'!$A$12:$Z$12"),0),0)="","?",VLOOKUP(V$1,INDIRECT("'"&amp;$A43&amp;"'!$A$12:$Z$41"),MATCH("Points (Auto-generate)",INDIRECT("'"&amp;$A43&amp;"'!$A$12:$Z$12"),0),0)),"ER"))</f>
        <v>?</v>
      </c>
      <c r="W43" s="86" t="str">
        <f aca="true">IF($H43=0,"NA",IF($A43=INDIRECT("'"&amp;$A43&amp;"'!$B$1"),IF(VLOOKUP(W$1,INDIRECT("'"&amp;$A43&amp;"'!$A$12:$Z$41"),MATCH("Points (Auto-generate)",INDIRECT("'"&amp;$A43&amp;"'!$A$12:$Z$12"),0),0)="","?",VLOOKUP(W$1,INDIRECT("'"&amp;$A43&amp;"'!$A$12:$Z$41"),MATCH("Points (Auto-generate)",INDIRECT("'"&amp;$A43&amp;"'!$A$12:$Z$12"),0),0)),"ER"))</f>
        <v>?</v>
      </c>
      <c r="X43" s="86" t="str">
        <f aca="true">IF($H43=0,"NA",IF($A43=INDIRECT("'"&amp;$A43&amp;"'!$B$1"),IF(VLOOKUP(X$1,INDIRECT("'"&amp;$A43&amp;"'!$A$12:$Z$41"),MATCH("Points (Auto-generate)",INDIRECT("'"&amp;$A43&amp;"'!$A$12:$Z$12"),0),0)="","?",VLOOKUP(X$1,INDIRECT("'"&amp;$A43&amp;"'!$A$12:$Z$41"),MATCH("Points (Auto-generate)",INDIRECT("'"&amp;$A43&amp;"'!$A$12:$Z$12"),0),0)),"ER"))</f>
        <v>?</v>
      </c>
      <c r="Y43" s="86" t="str">
        <f aca="true">IF($H43=0,"NA",IF($A43=INDIRECT("'"&amp;$A43&amp;"'!$B$1"),IF(VLOOKUP(Y$1,INDIRECT("'"&amp;$A43&amp;"'!$A$12:$Z$41"),MATCH("Points (Auto-generate)",INDIRECT("'"&amp;$A43&amp;"'!$A$12:$Z$12"),0),0)="","?",VLOOKUP(Y$1,INDIRECT("'"&amp;$A43&amp;"'!$A$12:$Z$41"),MATCH("Points (Auto-generate)",INDIRECT("'"&amp;$A43&amp;"'!$A$12:$Z$12"),0),0)),"ER"))</f>
        <v>?</v>
      </c>
      <c r="Z43" s="86" t="str">
        <f aca="true">IF($H43=0,"NA",IF($A43=INDIRECT("'"&amp;$A43&amp;"'!$B$1"),IF(VLOOKUP(Z$1,INDIRECT("'"&amp;$A43&amp;"'!$A$12:$Z$41"),MATCH("Points (Auto-generate)",INDIRECT("'"&amp;$A43&amp;"'!$A$12:$Z$12"),0),0)="","?",VLOOKUP(Z$1,INDIRECT("'"&amp;$A43&amp;"'!$A$12:$Z$41"),MATCH("Points (Auto-generate)",INDIRECT("'"&amp;$A43&amp;"'!$A$12:$Z$12"),0),0)),"ER"))</f>
        <v>?</v>
      </c>
      <c r="AA43" s="86" t="str">
        <f aca="true">IF($H43=0,"NA",IF($A43=INDIRECT("'"&amp;$A43&amp;"'!$B$1"),IF(VLOOKUP(AA$1,INDIRECT("'"&amp;$A43&amp;"'!$A$12:$Z$41"),MATCH("Points (Auto-generate)",INDIRECT("'"&amp;$A43&amp;"'!$A$12:$Z$12"),0),0)="","?",VLOOKUP(AA$1,INDIRECT("'"&amp;$A43&amp;"'!$A$12:$Z$41"),MATCH("Points (Auto-generate)",INDIRECT("'"&amp;$A43&amp;"'!$A$12:$Z$12"),0),0)),"ER"))</f>
        <v>?</v>
      </c>
      <c r="AB43" s="86" t="str">
        <f aca="true">IF($H43=0,"NA",IF($A43=INDIRECT("'"&amp;$A43&amp;"'!$B$1"),IF(VLOOKUP(AB$1,INDIRECT("'"&amp;$A43&amp;"'!$A$12:$Z$41"),MATCH("Points (Auto-generate)",INDIRECT("'"&amp;$A43&amp;"'!$A$12:$Z$12"),0),0)="","?",VLOOKUP(AB$1,INDIRECT("'"&amp;$A43&amp;"'!$A$12:$Z$41"),MATCH("Points (Auto-generate)",INDIRECT("'"&amp;$A43&amp;"'!$A$12:$Z$12"),0),0)),"ER"))</f>
        <v>?</v>
      </c>
      <c r="AC43" s="86" t="str">
        <f aca="true">IF($H43=0,"NA",IF($A43=INDIRECT("'"&amp;$A43&amp;"'!$B$1"),IF(VLOOKUP(AC$1,INDIRECT("'"&amp;$A43&amp;"'!$A$12:$Z$41"),MATCH("Points (Auto-generate)",INDIRECT("'"&amp;$A43&amp;"'!$A$12:$Z$12"),0),0)="","?",VLOOKUP(AC$1,INDIRECT("'"&amp;$A43&amp;"'!$A$12:$Z$41"),MATCH("Points (Auto-generate)",INDIRECT("'"&amp;$A43&amp;"'!$A$12:$Z$12"),0),0)),"ER"))</f>
        <v>?</v>
      </c>
      <c r="AD43" s="86" t="str">
        <f aca="true">IF($H43=0,"NA",IF($A43=INDIRECT("'"&amp;$A43&amp;"'!$B$1"),IF(VLOOKUP(AD$1,INDIRECT("'"&amp;$A43&amp;"'!$A$12:$Z$41"),MATCH("Points (Auto-generate)",INDIRECT("'"&amp;$A43&amp;"'!$A$12:$Z$12"),0),0)="","?",VLOOKUP(AD$1,INDIRECT("'"&amp;$A43&amp;"'!$A$12:$Z$41"),MATCH("Points (Auto-generate)",INDIRECT("'"&amp;$A43&amp;"'!$A$12:$Z$12"),0),0)),"ER"))</f>
        <v>?</v>
      </c>
      <c r="AE43" s="86" t="str">
        <f aca="true">IF($H43=0,"NA",IF($A43=INDIRECT("'"&amp;$A43&amp;"'!$B$1"),IF(VLOOKUP(AE$1,INDIRECT("'"&amp;$A43&amp;"'!$A$12:$Z$41"),MATCH("Points (Auto-generate)",INDIRECT("'"&amp;$A43&amp;"'!$A$12:$Z$12"),0),0)="","?",VLOOKUP(AE$1,INDIRECT("'"&amp;$A43&amp;"'!$A$12:$Z$41"),MATCH("Points (Auto-generate)",INDIRECT("'"&amp;$A43&amp;"'!$A$12:$Z$12"),0),0)),"ER"))</f>
        <v>?</v>
      </c>
      <c r="AF43" s="86" t="str">
        <f aca="true">IF($H43=0,"NA",IF($A43=INDIRECT("'"&amp;$A43&amp;"'!$B$1"),IF(VLOOKUP(AF$1,INDIRECT("'"&amp;$A43&amp;"'!$A$12:$Z$41"),MATCH("Points (Auto-generate)",INDIRECT("'"&amp;$A43&amp;"'!$A$12:$Z$12"),0),0)="","?",VLOOKUP(AF$1,INDIRECT("'"&amp;$A43&amp;"'!$A$12:$Z$41"),MATCH("Points (Auto-generate)",INDIRECT("'"&amp;$A43&amp;"'!$A$12:$Z$12"),0),0)),"ER"))</f>
        <v>?</v>
      </c>
      <c r="AG43" s="86" t="str">
        <f aca="true">IF($H43=0,"NA",IF($A43=INDIRECT("'"&amp;$A43&amp;"'!$B$1"),IF(VLOOKUP(AG$1,INDIRECT("'"&amp;$A43&amp;"'!$A$12:$Z$41"),MATCH("Points (Auto-generate)",INDIRECT("'"&amp;$A43&amp;"'!$A$12:$Z$12"),0),0)="","?",VLOOKUP(AG$1,INDIRECT("'"&amp;$A43&amp;"'!$A$12:$Z$41"),MATCH("Points (Auto-generate)",INDIRECT("'"&amp;$A43&amp;"'!$A$12:$Z$12"),0),0)),"ER"))</f>
        <v>?</v>
      </c>
      <c r="AH43" s="86" t="str">
        <f aca="true">IF($H43=0,"NA",IF($A43=INDIRECT("'"&amp;$A43&amp;"'!$B$1"),IF(VLOOKUP(AH$1,INDIRECT("'"&amp;$A43&amp;"'!$A$12:$Z$41"),MATCH("Points (Auto-generate)",INDIRECT("'"&amp;$A43&amp;"'!$A$12:$Z$12"),0),0)="","?",VLOOKUP(AH$1,INDIRECT("'"&amp;$A43&amp;"'!$A$12:$Z$41"),MATCH("Points (Auto-generate)",INDIRECT("'"&amp;$A43&amp;"'!$A$12:$Z$12"),0),0)),"ER"))</f>
        <v>?</v>
      </c>
      <c r="AI43" s="86" t="str">
        <f aca="true">IF($H43=0,"NA",IF($A43=INDIRECT("'"&amp;$A43&amp;"'!$B$1"),IF(VLOOKUP(AI$1,INDIRECT("'"&amp;$A43&amp;"'!$A$12:$Z$41"),MATCH("Points (Auto-generate)",INDIRECT("'"&amp;$A43&amp;"'!$A$12:$Z$12"),0),0)="","?",VLOOKUP(AI$1,INDIRECT("'"&amp;$A43&amp;"'!$A$12:$Z$41"),MATCH("Points (Auto-generate)",INDIRECT("'"&amp;$A43&amp;"'!$A$12:$Z$12"),0),0)),"ER"))</f>
        <v>?</v>
      </c>
      <c r="AJ43" s="86" t="str">
        <f aca="true">IF($H43=0,"NA",IF($A43=INDIRECT("'"&amp;$A43&amp;"'!$B$1"),IF(VLOOKUP(AJ$1,INDIRECT("'"&amp;$A43&amp;"'!$A$12:$Z$41"),MATCH("Points (Auto-generate)",INDIRECT("'"&amp;$A43&amp;"'!$A$12:$Z$12"),0),0)="","?",VLOOKUP(AJ$1,INDIRECT("'"&amp;$A43&amp;"'!$A$12:$Z$41"),MATCH("Points (Auto-generate)",INDIRECT("'"&amp;$A43&amp;"'!$A$12:$Z$12"),0),0)),"ER"))</f>
        <v>?</v>
      </c>
      <c r="AK43" s="86" t="str">
        <f aca="true">IF($H43=0,"NA",IF($A43=INDIRECT("'"&amp;$A43&amp;"'!$B$1"),IF(VLOOKUP(AK$1,INDIRECT("'"&amp;$A43&amp;"'!$A$12:$Z$41"),MATCH("Points (Auto-generate)",INDIRECT("'"&amp;$A43&amp;"'!$A$12:$Z$12"),0),0)="","?",VLOOKUP(AK$1,INDIRECT("'"&amp;$A43&amp;"'!$A$12:$Z$41"),MATCH("Points (Auto-generate)",INDIRECT("'"&amp;$A43&amp;"'!$A$12:$Z$12"),0),0)),"ER"))</f>
        <v>?</v>
      </c>
    </row>
    <row r="44" customFormat="false" ht="14.25" hidden="false" customHeight="false" outlineLevel="0" collapsed="false">
      <c r="A44" s="82" t="s">
        <v>180</v>
      </c>
      <c r="B44" s="83" t="str">
        <f aca="false">IF(ISBLANK($A44),"NO_CODE",VLOOKUP($A44,'UPD Questions_290926 '!$E$1:$N$300,MATCH(B$1,'UPD Questions_290926 '!$E$1:$N$1,0),0)&amp;"")</f>
        <v>Implementation</v>
      </c>
      <c r="C44" s="83" t="str">
        <f aca="false">IF(ISBLANK($A44),"NO_CODE",VLOOKUP($A44,'UPD Questions_290926 '!$E$1:$N$300,MATCH(C$1,'UPD Questions_290926 '!$E$1:$N$1,0),0)&amp;"")</f>
        <v>Municipal/City Plan status, hierarchy and coordination</v>
      </c>
      <c r="D44" s="83" t="str">
        <f aca="false">IF(ISBLANK($A44),"NO_CODE",VLOOKUP($A44,'UPD Questions_290926 '!$E$1:$N$300,MATCH(D$1,'UPD Questions_290926 '!$E$1:$N$1,0),0)&amp;"")</f>
        <v>Objectives of the Municipal/City Plan</v>
      </c>
      <c r="E44" s="83" t="str">
        <f aca="false">IF(ISBLANK($A44),"NO_CODE",VLOOKUP($A44,'UPD Questions_290926 '!$E$1:$N$300,MATCH(E$1,'UPD Questions_290926 '!$E$1:$N$1,0),0)&amp;"")</f>
        <v>SQ</v>
      </c>
      <c r="F44" s="83" t="str">
        <f aca="false">IF(ISBLANK($A44),"NO_CODE",VLOOKUP($A44,'UPD Questions_290926 '!$E$1:$N$300,MATCH(F$1,'UPD Questions_290926 '!$E$1:$N$1,0),0)&amp;"")</f>
        <v>b) Heritage Conservation </v>
      </c>
      <c r="G44" s="83" t="str">
        <f aca="false">IF(ISBLANK($A44),"NO_CODE",VLOOKUP($A44,'UPD Questions_290926 '!$E$1:$N$300,MATCH(G$1,'UPD Questions_290926 '!$E$1:$N$1,0),0)&amp;"")</f>
        <v>Implementation</v>
      </c>
      <c r="H44" s="85" t="n">
        <f aca="false">IF(ISBLANK($A44),"NO_CODE",VLOOKUP($A44,'UPD Questions_290926 '!$E$1:$N$300,MATCH(H$1,'UPD Questions_290926 '!$E$1:$N$1,0),0))</f>
        <v>5</v>
      </c>
      <c r="I44" s="86" t="str">
        <f aca="true">IF($H44=0,"NA",IF($A44=INDIRECT("'"&amp;$A44&amp;"'!$B$1"),IF(VLOOKUP(I$1,INDIRECT("'"&amp;$A44&amp;"'!$A$12:$Z$41"),MATCH("Points (Auto-generate)",INDIRECT("'"&amp;$A44&amp;"'!$A$12:$Z$12"),0),0)="","?",VLOOKUP(I$1,INDIRECT("'"&amp;$A44&amp;"'!$A$12:$Z$41"),MATCH("Points (Auto-generate)",INDIRECT("'"&amp;$A44&amp;"'!$A$12:$Z$12"),0),0)),"ER"))</f>
        <v>?</v>
      </c>
      <c r="J44" s="86" t="n">
        <f aca="true">IF($H44=0,"NA",IF($A44=INDIRECT("'"&amp;$A44&amp;"'!$B$1"),IF(VLOOKUP(J$1,INDIRECT("'"&amp;$A44&amp;"'!$A$12:$Z$41"),MATCH("Points (Auto-generate)",INDIRECT("'"&amp;$A44&amp;"'!$A$12:$Z$12"),0),0)="","?",VLOOKUP(J$1,INDIRECT("'"&amp;$A44&amp;"'!$A$12:$Z$41"),MATCH("Points (Auto-generate)",INDIRECT("'"&amp;$A44&amp;"'!$A$12:$Z$12"),0),0)),"ER"))</f>
        <v>0</v>
      </c>
      <c r="K44" s="86" t="str">
        <f aca="true">IF($H44=0,"NA",IF($A44=INDIRECT("'"&amp;$A44&amp;"'!$B$1"),IF(VLOOKUP(K$1,INDIRECT("'"&amp;$A44&amp;"'!$A$12:$Z$41"),MATCH("Points (Auto-generate)",INDIRECT("'"&amp;$A44&amp;"'!$A$12:$Z$12"),0),0)="","?",VLOOKUP(K$1,INDIRECT("'"&amp;$A44&amp;"'!$A$12:$Z$41"),MATCH("Points (Auto-generate)",INDIRECT("'"&amp;$A44&amp;"'!$A$12:$Z$12"),0),0)),"ER"))</f>
        <v>?</v>
      </c>
      <c r="L44" s="86" t="str">
        <f aca="true">IF($H44=0,"NA",IF($A44=INDIRECT("'"&amp;$A44&amp;"'!$B$1"),IF(VLOOKUP(L$1,INDIRECT("'"&amp;$A44&amp;"'!$A$12:$Z$41"),MATCH("Points (Auto-generate)",INDIRECT("'"&amp;$A44&amp;"'!$A$12:$Z$12"),0),0)="","?",VLOOKUP(L$1,INDIRECT("'"&amp;$A44&amp;"'!$A$12:$Z$41"),MATCH("Points (Auto-generate)",INDIRECT("'"&amp;$A44&amp;"'!$A$12:$Z$12"),0),0)),"ER"))</f>
        <v>?</v>
      </c>
      <c r="M44" s="86" t="str">
        <f aca="true">IF($H44=0,"NA",IF($A44=INDIRECT("'"&amp;$A44&amp;"'!$B$1"),IF(VLOOKUP(M$1,INDIRECT("'"&amp;$A44&amp;"'!$A$12:$Z$41"),MATCH("Points (Auto-generate)",INDIRECT("'"&amp;$A44&amp;"'!$A$12:$Z$12"),0),0)="","?",VLOOKUP(M$1,INDIRECT("'"&amp;$A44&amp;"'!$A$12:$Z$41"),MATCH("Points (Auto-generate)",INDIRECT("'"&amp;$A44&amp;"'!$A$12:$Z$12"),0),0)),"ER"))</f>
        <v>?</v>
      </c>
      <c r="N44" s="86" t="str">
        <f aca="true">IF($H44=0,"NA",IF($A44=INDIRECT("'"&amp;$A44&amp;"'!$B$1"),IF(VLOOKUP(N$1,INDIRECT("'"&amp;$A44&amp;"'!$A$12:$Z$41"),MATCH("Points (Auto-generate)",INDIRECT("'"&amp;$A44&amp;"'!$A$12:$Z$12"),0),0)="","?",VLOOKUP(N$1,INDIRECT("'"&amp;$A44&amp;"'!$A$12:$Z$41"),MATCH("Points (Auto-generate)",INDIRECT("'"&amp;$A44&amp;"'!$A$12:$Z$12"),0),0)),"ER"))</f>
        <v>?</v>
      </c>
      <c r="O44" s="86" t="str">
        <f aca="true">IF($H44=0,"NA",IF($A44=INDIRECT("'"&amp;$A44&amp;"'!$B$1"),IF(VLOOKUP(O$1,INDIRECT("'"&amp;$A44&amp;"'!$A$12:$Z$41"),MATCH("Points (Auto-generate)",INDIRECT("'"&amp;$A44&amp;"'!$A$12:$Z$12"),0),0)="","?",VLOOKUP(O$1,INDIRECT("'"&amp;$A44&amp;"'!$A$12:$Z$41"),MATCH("Points (Auto-generate)",INDIRECT("'"&amp;$A44&amp;"'!$A$12:$Z$12"),0),0)),"ER"))</f>
        <v>?</v>
      </c>
      <c r="P44" s="86" t="str">
        <f aca="true">IF($H44=0,"NA",IF($A44=INDIRECT("'"&amp;$A44&amp;"'!$B$1"),IF(VLOOKUP(P$1,INDIRECT("'"&amp;$A44&amp;"'!$A$12:$Z$41"),MATCH("Points (Auto-generate)",INDIRECT("'"&amp;$A44&amp;"'!$A$12:$Z$12"),0),0)="","?",VLOOKUP(P$1,INDIRECT("'"&amp;$A44&amp;"'!$A$12:$Z$41"),MATCH("Points (Auto-generate)",INDIRECT("'"&amp;$A44&amp;"'!$A$12:$Z$12"),0),0)),"ER"))</f>
        <v>?</v>
      </c>
      <c r="Q44" s="86" t="str">
        <f aca="true">IF($H44=0,"NA",IF($A44=INDIRECT("'"&amp;$A44&amp;"'!$B$1"),IF(VLOOKUP(Q$1,INDIRECT("'"&amp;$A44&amp;"'!$A$12:$Z$41"),MATCH("Points (Auto-generate)",INDIRECT("'"&amp;$A44&amp;"'!$A$12:$Z$12"),0),0)="","?",VLOOKUP(Q$1,INDIRECT("'"&amp;$A44&amp;"'!$A$12:$Z$41"),MATCH("Points (Auto-generate)",INDIRECT("'"&amp;$A44&amp;"'!$A$12:$Z$12"),0),0)),"ER"))</f>
        <v>?</v>
      </c>
      <c r="R44" s="86" t="str">
        <f aca="true">IF($H44=0,"NA",IF($A44=INDIRECT("'"&amp;$A44&amp;"'!$B$1"),IF(VLOOKUP(R$1,INDIRECT("'"&amp;$A44&amp;"'!$A$12:$Z$41"),MATCH("Points (Auto-generate)",INDIRECT("'"&amp;$A44&amp;"'!$A$12:$Z$12"),0),0)="","?",VLOOKUP(R$1,INDIRECT("'"&amp;$A44&amp;"'!$A$12:$Z$41"),MATCH("Points (Auto-generate)",INDIRECT("'"&amp;$A44&amp;"'!$A$12:$Z$12"),0),0)),"ER"))</f>
        <v>?</v>
      </c>
      <c r="S44" s="86" t="str">
        <f aca="true">IF($H44=0,"NA",IF($A44=INDIRECT("'"&amp;$A44&amp;"'!$B$1"),IF(VLOOKUP(S$1,INDIRECT("'"&amp;$A44&amp;"'!$A$12:$Z$41"),MATCH("Points (Auto-generate)",INDIRECT("'"&amp;$A44&amp;"'!$A$12:$Z$12"),0),0)="","?",VLOOKUP(S$1,INDIRECT("'"&amp;$A44&amp;"'!$A$12:$Z$41"),MATCH("Points (Auto-generate)",INDIRECT("'"&amp;$A44&amp;"'!$A$12:$Z$12"),0),0)),"ER"))</f>
        <v>?</v>
      </c>
      <c r="T44" s="86" t="str">
        <f aca="true">IF($H44=0,"NA",IF($A44=INDIRECT("'"&amp;$A44&amp;"'!$B$1"),IF(VLOOKUP(T$1,INDIRECT("'"&amp;$A44&amp;"'!$A$12:$Z$41"),MATCH("Points (Auto-generate)",INDIRECT("'"&amp;$A44&amp;"'!$A$12:$Z$12"),0),0)="","?",VLOOKUP(T$1,INDIRECT("'"&amp;$A44&amp;"'!$A$12:$Z$41"),MATCH("Points (Auto-generate)",INDIRECT("'"&amp;$A44&amp;"'!$A$12:$Z$12"),0),0)),"ER"))</f>
        <v>?</v>
      </c>
      <c r="U44" s="86" t="str">
        <f aca="true">IF($H44=0,"NA",IF($A44=INDIRECT("'"&amp;$A44&amp;"'!$B$1"),IF(VLOOKUP(U$1,INDIRECT("'"&amp;$A44&amp;"'!$A$12:$Z$41"),MATCH("Points (Auto-generate)",INDIRECT("'"&amp;$A44&amp;"'!$A$12:$Z$12"),0),0)="","?",VLOOKUP(U$1,INDIRECT("'"&amp;$A44&amp;"'!$A$12:$Z$41"),MATCH("Points (Auto-generate)",INDIRECT("'"&amp;$A44&amp;"'!$A$12:$Z$12"),0),0)),"ER"))</f>
        <v>?</v>
      </c>
      <c r="V44" s="86" t="str">
        <f aca="true">IF($H44=0,"NA",IF($A44=INDIRECT("'"&amp;$A44&amp;"'!$B$1"),IF(VLOOKUP(V$1,INDIRECT("'"&amp;$A44&amp;"'!$A$12:$Z$41"),MATCH("Points (Auto-generate)",INDIRECT("'"&amp;$A44&amp;"'!$A$12:$Z$12"),0),0)="","?",VLOOKUP(V$1,INDIRECT("'"&amp;$A44&amp;"'!$A$12:$Z$41"),MATCH("Points (Auto-generate)",INDIRECT("'"&amp;$A44&amp;"'!$A$12:$Z$12"),0),0)),"ER"))</f>
        <v>?</v>
      </c>
      <c r="W44" s="86" t="str">
        <f aca="true">IF($H44=0,"NA",IF($A44=INDIRECT("'"&amp;$A44&amp;"'!$B$1"),IF(VLOOKUP(W$1,INDIRECT("'"&amp;$A44&amp;"'!$A$12:$Z$41"),MATCH("Points (Auto-generate)",INDIRECT("'"&amp;$A44&amp;"'!$A$12:$Z$12"),0),0)="","?",VLOOKUP(W$1,INDIRECT("'"&amp;$A44&amp;"'!$A$12:$Z$41"),MATCH("Points (Auto-generate)",INDIRECT("'"&amp;$A44&amp;"'!$A$12:$Z$12"),0),0)),"ER"))</f>
        <v>?</v>
      </c>
      <c r="X44" s="86" t="str">
        <f aca="true">IF($H44=0,"NA",IF($A44=INDIRECT("'"&amp;$A44&amp;"'!$B$1"),IF(VLOOKUP(X$1,INDIRECT("'"&amp;$A44&amp;"'!$A$12:$Z$41"),MATCH("Points (Auto-generate)",INDIRECT("'"&amp;$A44&amp;"'!$A$12:$Z$12"),0),0)="","?",VLOOKUP(X$1,INDIRECT("'"&amp;$A44&amp;"'!$A$12:$Z$41"),MATCH("Points (Auto-generate)",INDIRECT("'"&amp;$A44&amp;"'!$A$12:$Z$12"),0),0)),"ER"))</f>
        <v>?</v>
      </c>
      <c r="Y44" s="86" t="str">
        <f aca="true">IF($H44=0,"NA",IF($A44=INDIRECT("'"&amp;$A44&amp;"'!$B$1"),IF(VLOOKUP(Y$1,INDIRECT("'"&amp;$A44&amp;"'!$A$12:$Z$41"),MATCH("Points (Auto-generate)",INDIRECT("'"&amp;$A44&amp;"'!$A$12:$Z$12"),0),0)="","?",VLOOKUP(Y$1,INDIRECT("'"&amp;$A44&amp;"'!$A$12:$Z$41"),MATCH("Points (Auto-generate)",INDIRECT("'"&amp;$A44&amp;"'!$A$12:$Z$12"),0),0)),"ER"))</f>
        <v>?</v>
      </c>
      <c r="Z44" s="86" t="str">
        <f aca="true">IF($H44=0,"NA",IF($A44=INDIRECT("'"&amp;$A44&amp;"'!$B$1"),IF(VLOOKUP(Z$1,INDIRECT("'"&amp;$A44&amp;"'!$A$12:$Z$41"),MATCH("Points (Auto-generate)",INDIRECT("'"&amp;$A44&amp;"'!$A$12:$Z$12"),0),0)="","?",VLOOKUP(Z$1,INDIRECT("'"&amp;$A44&amp;"'!$A$12:$Z$41"),MATCH("Points (Auto-generate)",INDIRECT("'"&amp;$A44&amp;"'!$A$12:$Z$12"),0),0)),"ER"))</f>
        <v>?</v>
      </c>
      <c r="AA44" s="86" t="str">
        <f aca="true">IF($H44=0,"NA",IF($A44=INDIRECT("'"&amp;$A44&amp;"'!$B$1"),IF(VLOOKUP(AA$1,INDIRECT("'"&amp;$A44&amp;"'!$A$12:$Z$41"),MATCH("Points (Auto-generate)",INDIRECT("'"&amp;$A44&amp;"'!$A$12:$Z$12"),0),0)="","?",VLOOKUP(AA$1,INDIRECT("'"&amp;$A44&amp;"'!$A$12:$Z$41"),MATCH("Points (Auto-generate)",INDIRECT("'"&amp;$A44&amp;"'!$A$12:$Z$12"),0),0)),"ER"))</f>
        <v>?</v>
      </c>
      <c r="AB44" s="86" t="str">
        <f aca="true">IF($H44=0,"NA",IF($A44=INDIRECT("'"&amp;$A44&amp;"'!$B$1"),IF(VLOOKUP(AB$1,INDIRECT("'"&amp;$A44&amp;"'!$A$12:$Z$41"),MATCH("Points (Auto-generate)",INDIRECT("'"&amp;$A44&amp;"'!$A$12:$Z$12"),0),0)="","?",VLOOKUP(AB$1,INDIRECT("'"&amp;$A44&amp;"'!$A$12:$Z$41"),MATCH("Points (Auto-generate)",INDIRECT("'"&amp;$A44&amp;"'!$A$12:$Z$12"),0),0)),"ER"))</f>
        <v>?</v>
      </c>
      <c r="AC44" s="86" t="str">
        <f aca="true">IF($H44=0,"NA",IF($A44=INDIRECT("'"&amp;$A44&amp;"'!$B$1"),IF(VLOOKUP(AC$1,INDIRECT("'"&amp;$A44&amp;"'!$A$12:$Z$41"),MATCH("Points (Auto-generate)",INDIRECT("'"&amp;$A44&amp;"'!$A$12:$Z$12"),0),0)="","?",VLOOKUP(AC$1,INDIRECT("'"&amp;$A44&amp;"'!$A$12:$Z$41"),MATCH("Points (Auto-generate)",INDIRECT("'"&amp;$A44&amp;"'!$A$12:$Z$12"),0),0)),"ER"))</f>
        <v>?</v>
      </c>
      <c r="AD44" s="86" t="str">
        <f aca="true">IF($H44=0,"NA",IF($A44=INDIRECT("'"&amp;$A44&amp;"'!$B$1"),IF(VLOOKUP(AD$1,INDIRECT("'"&amp;$A44&amp;"'!$A$12:$Z$41"),MATCH("Points (Auto-generate)",INDIRECT("'"&amp;$A44&amp;"'!$A$12:$Z$12"),0),0)="","?",VLOOKUP(AD$1,INDIRECT("'"&amp;$A44&amp;"'!$A$12:$Z$41"),MATCH("Points (Auto-generate)",INDIRECT("'"&amp;$A44&amp;"'!$A$12:$Z$12"),0),0)),"ER"))</f>
        <v>?</v>
      </c>
      <c r="AE44" s="86" t="str">
        <f aca="true">IF($H44=0,"NA",IF($A44=INDIRECT("'"&amp;$A44&amp;"'!$B$1"),IF(VLOOKUP(AE$1,INDIRECT("'"&amp;$A44&amp;"'!$A$12:$Z$41"),MATCH("Points (Auto-generate)",INDIRECT("'"&amp;$A44&amp;"'!$A$12:$Z$12"),0),0)="","?",VLOOKUP(AE$1,INDIRECT("'"&amp;$A44&amp;"'!$A$12:$Z$41"),MATCH("Points (Auto-generate)",INDIRECT("'"&amp;$A44&amp;"'!$A$12:$Z$12"),0),0)),"ER"))</f>
        <v>?</v>
      </c>
      <c r="AF44" s="86" t="str">
        <f aca="true">IF($H44=0,"NA",IF($A44=INDIRECT("'"&amp;$A44&amp;"'!$B$1"),IF(VLOOKUP(AF$1,INDIRECT("'"&amp;$A44&amp;"'!$A$12:$Z$41"),MATCH("Points (Auto-generate)",INDIRECT("'"&amp;$A44&amp;"'!$A$12:$Z$12"),0),0)="","?",VLOOKUP(AF$1,INDIRECT("'"&amp;$A44&amp;"'!$A$12:$Z$41"),MATCH("Points (Auto-generate)",INDIRECT("'"&amp;$A44&amp;"'!$A$12:$Z$12"),0),0)),"ER"))</f>
        <v>?</v>
      </c>
      <c r="AG44" s="86" t="str">
        <f aca="true">IF($H44=0,"NA",IF($A44=INDIRECT("'"&amp;$A44&amp;"'!$B$1"),IF(VLOOKUP(AG$1,INDIRECT("'"&amp;$A44&amp;"'!$A$12:$Z$41"),MATCH("Points (Auto-generate)",INDIRECT("'"&amp;$A44&amp;"'!$A$12:$Z$12"),0),0)="","?",VLOOKUP(AG$1,INDIRECT("'"&amp;$A44&amp;"'!$A$12:$Z$41"),MATCH("Points (Auto-generate)",INDIRECT("'"&amp;$A44&amp;"'!$A$12:$Z$12"),0),0)),"ER"))</f>
        <v>?</v>
      </c>
      <c r="AH44" s="86" t="str">
        <f aca="true">IF($H44=0,"NA",IF($A44=INDIRECT("'"&amp;$A44&amp;"'!$B$1"),IF(VLOOKUP(AH$1,INDIRECT("'"&amp;$A44&amp;"'!$A$12:$Z$41"),MATCH("Points (Auto-generate)",INDIRECT("'"&amp;$A44&amp;"'!$A$12:$Z$12"),0),0)="","?",VLOOKUP(AH$1,INDIRECT("'"&amp;$A44&amp;"'!$A$12:$Z$41"),MATCH("Points (Auto-generate)",INDIRECT("'"&amp;$A44&amp;"'!$A$12:$Z$12"),0),0)),"ER"))</f>
        <v>?</v>
      </c>
      <c r="AI44" s="86" t="str">
        <f aca="true">IF($H44=0,"NA",IF($A44=INDIRECT("'"&amp;$A44&amp;"'!$B$1"),IF(VLOOKUP(AI$1,INDIRECT("'"&amp;$A44&amp;"'!$A$12:$Z$41"),MATCH("Points (Auto-generate)",INDIRECT("'"&amp;$A44&amp;"'!$A$12:$Z$12"),0),0)="","?",VLOOKUP(AI$1,INDIRECT("'"&amp;$A44&amp;"'!$A$12:$Z$41"),MATCH("Points (Auto-generate)",INDIRECT("'"&amp;$A44&amp;"'!$A$12:$Z$12"),0),0)),"ER"))</f>
        <v>?</v>
      </c>
      <c r="AJ44" s="86" t="str">
        <f aca="true">IF($H44=0,"NA",IF($A44=INDIRECT("'"&amp;$A44&amp;"'!$B$1"),IF(VLOOKUP(AJ$1,INDIRECT("'"&amp;$A44&amp;"'!$A$12:$Z$41"),MATCH("Points (Auto-generate)",INDIRECT("'"&amp;$A44&amp;"'!$A$12:$Z$12"),0),0)="","?",VLOOKUP(AJ$1,INDIRECT("'"&amp;$A44&amp;"'!$A$12:$Z$41"),MATCH("Points (Auto-generate)",INDIRECT("'"&amp;$A44&amp;"'!$A$12:$Z$12"),0),0)),"ER"))</f>
        <v>?</v>
      </c>
      <c r="AK44" s="86" t="str">
        <f aca="true">IF($H44=0,"NA",IF($A44=INDIRECT("'"&amp;$A44&amp;"'!$B$1"),IF(VLOOKUP(AK$1,INDIRECT("'"&amp;$A44&amp;"'!$A$12:$Z$41"),MATCH("Points (Auto-generate)",INDIRECT("'"&amp;$A44&amp;"'!$A$12:$Z$12"),0),0)="","?",VLOOKUP(AK$1,INDIRECT("'"&amp;$A44&amp;"'!$A$12:$Z$41"),MATCH("Points (Auto-generate)",INDIRECT("'"&amp;$A44&amp;"'!$A$12:$Z$12"),0),0)),"ER"))</f>
        <v>?</v>
      </c>
    </row>
    <row r="45" customFormat="false" ht="14.25" hidden="false" customHeight="false" outlineLevel="0" collapsed="false">
      <c r="A45" s="82" t="s">
        <v>515</v>
      </c>
      <c r="B45" s="83" t="str">
        <f aca="false">IF(ISBLANK($A45),"NO_CODE",VLOOKUP($A45,'UPD Questions_290926 '!$E$1:$N$300,MATCH(B$1,'UPD Questions_290926 '!$E$1:$N$1,0),0)&amp;"")</f>
        <v>Implementation</v>
      </c>
      <c r="C45" s="83" t="str">
        <f aca="false">IF(ISBLANK($A45),"NO_CODE",VLOOKUP($A45,'UPD Questions_290926 '!$E$1:$N$300,MATCH(C$1,'UPD Questions_290926 '!$E$1:$N$1,0),0)&amp;"")</f>
        <v>Municipal/City Plan status, hierarchy and coordination</v>
      </c>
      <c r="D45" s="83" t="str">
        <f aca="false">IF(ISBLANK($A45),"NO_CODE",VLOOKUP($A45,'UPD Questions_290926 '!$E$1:$N$300,MATCH(D$1,'UPD Questions_290926 '!$E$1:$N$1,0),0)&amp;"")</f>
        <v>Objectives of the Municipal/City Plan</v>
      </c>
      <c r="E45" s="83" t="str">
        <f aca="false">IF(ISBLANK($A45),"NO_CODE",VLOOKUP($A45,'UPD Questions_290926 '!$E$1:$N$300,MATCH(E$1,'UPD Questions_290926 '!$E$1:$N$1,0),0)&amp;"")</f>
        <v>MQ</v>
      </c>
      <c r="F45" s="83" t="str">
        <f aca="false">IF(ISBLANK($A45),"NO_CODE",VLOOKUP($A45,'UPD Questions_290926 '!$E$1:$N$300,MATCH(F$1,'UPD Questions_290926 '!$E$1:$N$1,0),0)&amp;"")</f>
        <v>Does the municipal/city plan include objectives on social development (health care, education)?</v>
      </c>
      <c r="G45" s="83" t="str">
        <f aca="false">IF(ISBLANK($A45),"NO_CODE",VLOOKUP($A45,'UPD Questions_290926 '!$E$1:$N$300,MATCH(G$1,'UPD Questions_290926 '!$E$1:$N$1,0),0)&amp;"")</f>
        <v>Implementation</v>
      </c>
      <c r="H45" s="85" t="n">
        <f aca="false">IF(ISBLANK($A45),"NO_CODE",VLOOKUP($A45,'UPD Questions_290926 '!$E$1:$N$300,MATCH(H$1,'UPD Questions_290926 '!$E$1:$N$1,0),0))</f>
        <v>10</v>
      </c>
      <c r="I45" s="86" t="str">
        <f aca="false">IF(OR(I46="ER",I47="ER",I48="ER"),"ER",IF(OR(I46="?",I47="?",I48="?"),"?",IF(AND(I46="NA",I47="NA",I48="NA"),"NA",SUM(I46,I47,I48)/((I46&lt;&gt;"NA")*$H$46+(I47&lt;&gt;"NA")*$H$47+(I48&lt;&gt;"NA")*$H$48)*$H45)))</f>
        <v>?</v>
      </c>
      <c r="J45" s="86" t="n">
        <f aca="false">IF(OR(J46="ER",J47="ER",J48="ER"),"ER",IF(OR(J46="?",J47="?",J48="?"),"?",IF(AND(J46="NA",J47="NA",J48="NA"),"NA",SUM(J46,J47,J48)/((J46&lt;&gt;"NA")*$H$46+(J47&lt;&gt;"NA")*$H$47+(J48&lt;&gt;"NA")*$H$48)*$H45)))</f>
        <v>0</v>
      </c>
      <c r="K45" s="86" t="str">
        <f aca="false">IF(OR(K46="ER",K47="ER",K48="ER"),"ER",IF(OR(K46="?",K47="?",K48="?"),"?",IF(AND(K46="NA",K47="NA",K48="NA"),"NA",SUM(K46,K47,K48)/((K46&lt;&gt;"NA")*$H$46+(K47&lt;&gt;"NA")*$H$47+(K48&lt;&gt;"NA")*$H$48)*$H45)))</f>
        <v>?</v>
      </c>
      <c r="L45" s="86" t="str">
        <f aca="false">IF(OR(L46="ER",L47="ER",L48="ER"),"ER",IF(OR(L46="?",L47="?",L48="?"),"?",IF(AND(L46="NA",L47="NA",L48="NA"),"NA",SUM(L46,L47,L48)/((L46&lt;&gt;"NA")*$H$46+(L47&lt;&gt;"NA")*$H$47+(L48&lt;&gt;"NA")*$H$48)*$H45)))</f>
        <v>?</v>
      </c>
      <c r="M45" s="86" t="str">
        <f aca="false">IF(OR(M46="ER",M47="ER",M48="ER"),"ER",IF(OR(M46="?",M47="?",M48="?"),"?",IF(AND(M46="NA",M47="NA",M48="NA"),"NA",SUM(M46,M47,M48)/((M46&lt;&gt;"NA")*$H$46+(M47&lt;&gt;"NA")*$H$47+(M48&lt;&gt;"NA")*$H$48)*$H45)))</f>
        <v>?</v>
      </c>
      <c r="N45" s="86" t="str">
        <f aca="false">IF(OR(N46="ER",N47="ER",N48="ER"),"ER",IF(OR(N46="?",N47="?",N48="?"),"?",IF(AND(N46="NA",N47="NA",N48="NA"),"NA",SUM(N46,N47,N48)/((N46&lt;&gt;"NA")*$H$46+(N47&lt;&gt;"NA")*$H$47+(N48&lt;&gt;"NA")*$H$48)*$H45)))</f>
        <v>?</v>
      </c>
      <c r="O45" s="86" t="str">
        <f aca="false">IF(OR(O46="ER",O47="ER",O48="ER"),"ER",IF(OR(O46="?",O47="?",O48="?"),"?",IF(AND(O46="NA",O47="NA",O48="NA"),"NA",SUM(O46,O47,O48)/((O46&lt;&gt;"NA")*$H$46+(O47&lt;&gt;"NA")*$H$47+(O48&lt;&gt;"NA")*$H$48)*$H45)))</f>
        <v>?</v>
      </c>
      <c r="P45" s="86" t="str">
        <f aca="false">IF(OR(P46="ER",P47="ER",P48="ER"),"ER",IF(OR(P46="?",P47="?",P48="?"),"?",IF(AND(P46="NA",P47="NA",P48="NA"),"NA",SUM(P46,P47,P48)/((P46&lt;&gt;"NA")*$H$46+(P47&lt;&gt;"NA")*$H$47+(P48&lt;&gt;"NA")*$H$48)*$H45)))</f>
        <v>?</v>
      </c>
      <c r="Q45" s="86" t="str">
        <f aca="false">IF(OR(Q46="ER",Q47="ER",Q48="ER"),"ER",IF(OR(Q46="?",Q47="?",Q48="?"),"?",IF(AND(Q46="NA",Q47="NA",Q48="NA"),"NA",SUM(Q46,Q47,Q48)/((Q46&lt;&gt;"NA")*$H$46+(Q47&lt;&gt;"NA")*$H$47+(Q48&lt;&gt;"NA")*$H$48)*$H45)))</f>
        <v>?</v>
      </c>
      <c r="R45" s="86" t="str">
        <f aca="false">IF(OR(R46="ER",R47="ER",R48="ER"),"ER",IF(OR(R46="?",R47="?",R48="?"),"?",IF(AND(R46="NA",R47="NA",R48="NA"),"NA",SUM(R46,R47,R48)/((R46&lt;&gt;"NA")*$H$46+(R47&lt;&gt;"NA")*$H$47+(R48&lt;&gt;"NA")*$H$48)*$H45)))</f>
        <v>?</v>
      </c>
      <c r="S45" s="86" t="str">
        <f aca="false">IF(OR(S46="ER",S47="ER",S48="ER"),"ER",IF(OR(S46="?",S47="?",S48="?"),"?",IF(AND(S46="NA",S47="NA",S48="NA"),"NA",SUM(S46,S47,S48)/((S46&lt;&gt;"NA")*$H$46+(S47&lt;&gt;"NA")*$H$47+(S48&lt;&gt;"NA")*$H$48)*$H45)))</f>
        <v>?</v>
      </c>
      <c r="T45" s="86" t="str">
        <f aca="false">IF(OR(T46="ER",T47="ER",T48="ER"),"ER",IF(OR(T46="?",T47="?",T48="?"),"?",IF(AND(T46="NA",T47="NA",T48="NA"),"NA",SUM(T46,T47,T48)/((T46&lt;&gt;"NA")*$H$46+(T47&lt;&gt;"NA")*$H$47+(T48&lt;&gt;"NA")*$H$48)*$H45)))</f>
        <v>?</v>
      </c>
      <c r="U45" s="86" t="str">
        <f aca="false">IF(OR(U46="ER",U47="ER",U48="ER"),"ER",IF(OR(U46="?",U47="?",U48="?"),"?",IF(AND(U46="NA",U47="NA",U48="NA"),"NA",SUM(U46,U47,U48)/((U46&lt;&gt;"NA")*$H$46+(U47&lt;&gt;"NA")*$H$47+(U48&lt;&gt;"NA")*$H$48)*$H45)))</f>
        <v>?</v>
      </c>
      <c r="V45" s="86" t="str">
        <f aca="false">IF(OR(V46="ER",V47="ER",V48="ER"),"ER",IF(OR(V46="?",V47="?",V48="?"),"?",IF(AND(V46="NA",V47="NA",V48="NA"),"NA",SUM(V46,V47,V48)/((V46&lt;&gt;"NA")*$H$46+(V47&lt;&gt;"NA")*$H$47+(V48&lt;&gt;"NA")*$H$48)*$H45)))</f>
        <v>?</v>
      </c>
      <c r="W45" s="86" t="str">
        <f aca="false">IF(OR(W46="ER",W47="ER",W48="ER"),"ER",IF(OR(W46="?",W47="?",W48="?"),"?",IF(AND(W46="NA",W47="NA",W48="NA"),"NA",SUM(W46,W47,W48)/((W46&lt;&gt;"NA")*$H$46+(W47&lt;&gt;"NA")*$H$47+(W48&lt;&gt;"NA")*$H$48)*$H45)))</f>
        <v>?</v>
      </c>
      <c r="X45" s="86" t="str">
        <f aca="false">IF(OR(X46="ER",X47="ER",X48="ER"),"ER",IF(OR(X46="?",X47="?",X48="?"),"?",IF(AND(X46="NA",X47="NA",X48="NA"),"NA",SUM(X46,X47,X48)/((X46&lt;&gt;"NA")*$H$46+(X47&lt;&gt;"NA")*$H$47+(X48&lt;&gt;"NA")*$H$48)*$H45)))</f>
        <v>?</v>
      </c>
      <c r="Y45" s="86" t="str">
        <f aca="false">IF(OR(Y46="ER",Y47="ER",Y48="ER"),"ER",IF(OR(Y46="?",Y47="?",Y48="?"),"?",IF(AND(Y46="NA",Y47="NA",Y48="NA"),"NA",SUM(Y46,Y47,Y48)/((Y46&lt;&gt;"NA")*$H$46+(Y47&lt;&gt;"NA")*$H$47+(Y48&lt;&gt;"NA")*$H$48)*$H45)))</f>
        <v>?</v>
      </c>
      <c r="Z45" s="86" t="str">
        <f aca="false">IF(OR(Z46="ER",Z47="ER",Z48="ER"),"ER",IF(OR(Z46="?",Z47="?",Z48="?"),"?",IF(AND(Z46="NA",Z47="NA",Z48="NA"),"NA",SUM(Z46,Z47,Z48)/((Z46&lt;&gt;"NA")*$H$46+(Z47&lt;&gt;"NA")*$H$47+(Z48&lt;&gt;"NA")*$H$48)*$H45)))</f>
        <v>?</v>
      </c>
      <c r="AA45" s="86" t="str">
        <f aca="false">IF(OR(AA46="ER",AA47="ER",AA48="ER"),"ER",IF(OR(AA46="?",AA47="?",AA48="?"),"?",IF(AND(AA46="NA",AA47="NA",AA48="NA"),"NA",SUM(AA46,AA47,AA48)/((AA46&lt;&gt;"NA")*$H$46+(AA47&lt;&gt;"NA")*$H$47+(AA48&lt;&gt;"NA")*$H$48)*$H45)))</f>
        <v>?</v>
      </c>
      <c r="AB45" s="86" t="str">
        <f aca="false">IF(OR(AB46="ER",AB47="ER",AB48="ER"),"ER",IF(OR(AB46="?",AB47="?",AB48="?"),"?",IF(AND(AB46="NA",AB47="NA",AB48="NA"),"NA",SUM(AB46,AB47,AB48)/((AB46&lt;&gt;"NA")*$H$46+(AB47&lt;&gt;"NA")*$H$47+(AB48&lt;&gt;"NA")*$H$48)*$H45)))</f>
        <v>?</v>
      </c>
      <c r="AC45" s="86" t="str">
        <f aca="false">IF(OR(AC46="ER",AC47="ER",AC48="ER"),"ER",IF(OR(AC46="?",AC47="?",AC48="?"),"?",IF(AND(AC46="NA",AC47="NA",AC48="NA"),"NA",SUM(AC46,AC47,AC48)/((AC46&lt;&gt;"NA")*$H$46+(AC47&lt;&gt;"NA")*$H$47+(AC48&lt;&gt;"NA")*$H$48)*$H45)))</f>
        <v>?</v>
      </c>
      <c r="AD45" s="86" t="str">
        <f aca="false">IF(OR(AD46="ER",AD47="ER",AD48="ER"),"ER",IF(OR(AD46="?",AD47="?",AD48="?"),"?",IF(AND(AD46="NA",AD47="NA",AD48="NA"),"NA",SUM(AD46,AD47,AD48)/((AD46&lt;&gt;"NA")*$H$46+(AD47&lt;&gt;"NA")*$H$47+(AD48&lt;&gt;"NA")*$H$48)*$H45)))</f>
        <v>?</v>
      </c>
      <c r="AE45" s="86" t="str">
        <f aca="false">IF(OR(AE46="ER",AE47="ER",AE48="ER"),"ER",IF(OR(AE46="?",AE47="?",AE48="?"),"?",IF(AND(AE46="NA",AE47="NA",AE48="NA"),"NA",SUM(AE46,AE47,AE48)/((AE46&lt;&gt;"NA")*$H$46+(AE47&lt;&gt;"NA")*$H$47+(AE48&lt;&gt;"NA")*$H$48)*$H45)))</f>
        <v>?</v>
      </c>
      <c r="AF45" s="86" t="str">
        <f aca="false">IF(OR(AF46="ER",AF47="ER",AF48="ER"),"ER",IF(OR(AF46="?",AF47="?",AF48="?"),"?",IF(AND(AF46="NA",AF47="NA",AF48="NA"),"NA",SUM(AF46,AF47,AF48)/((AF46&lt;&gt;"NA")*$H$46+(AF47&lt;&gt;"NA")*$H$47+(AF48&lt;&gt;"NA")*$H$48)*$H45)))</f>
        <v>?</v>
      </c>
      <c r="AG45" s="86" t="str">
        <f aca="false">IF(OR(AG46="ER",AG47="ER",AG48="ER"),"ER",IF(OR(AG46="?",AG47="?",AG48="?"),"?",IF(AND(AG46="NA",AG47="NA",AG48="NA"),"NA",SUM(AG46,AG47,AG48)/((AG46&lt;&gt;"NA")*$H$46+(AG47&lt;&gt;"NA")*$H$47+(AG48&lt;&gt;"NA")*$H$48)*$H45)))</f>
        <v>?</v>
      </c>
      <c r="AH45" s="86" t="str">
        <f aca="false">IF(OR(AH46="ER",AH47="ER",AH48="ER"),"ER",IF(OR(AH46="?",AH47="?",AH48="?"),"?",IF(AND(AH46="NA",AH47="NA",AH48="NA"),"NA",SUM(AH46,AH47,AH48)/((AH46&lt;&gt;"NA")*$H$46+(AH47&lt;&gt;"NA")*$H$47+(AH48&lt;&gt;"NA")*$H$48)*$H45)))</f>
        <v>?</v>
      </c>
      <c r="AI45" s="86" t="str">
        <f aca="false">IF(OR(AI46="ER",AI47="ER",AI48="ER"),"ER",IF(OR(AI46="?",AI47="?",AI48="?"),"?",IF(AND(AI46="NA",AI47="NA",AI48="NA"),"NA",SUM(AI46,AI47,AI48)/((AI46&lt;&gt;"NA")*$H$46+(AI47&lt;&gt;"NA")*$H$47+(AI48&lt;&gt;"NA")*$H$48)*$H45)))</f>
        <v>?</v>
      </c>
      <c r="AJ45" s="86" t="str">
        <f aca="false">IF(OR(AJ46="ER",AJ47="ER",AJ48="ER"),"ER",IF(OR(AJ46="?",AJ47="?",AJ48="?"),"?",IF(AND(AJ46="NA",AJ47="NA",AJ48="NA"),"NA",SUM(AJ46,AJ47,AJ48)/((AJ46&lt;&gt;"NA")*$H$46+(AJ47&lt;&gt;"NA")*$H$47+(AJ48&lt;&gt;"NA")*$H$48)*$H45)))</f>
        <v>?</v>
      </c>
      <c r="AK45" s="86" t="str">
        <f aca="false">IF(OR(AK46="ER",AK47="ER",AK48="ER"),"ER",IF(OR(AK46="?",AK47="?",AK48="?"),"?",IF(AND(AK46="NA",AK47="NA",AK48="NA"),"NA",SUM(AK46,AK47,AK48)/((AK46&lt;&gt;"NA")*$H$46+(AK47&lt;&gt;"NA")*$H$47+(AK48&lt;&gt;"NA")*$H$48)*$H45)))</f>
        <v>?</v>
      </c>
    </row>
    <row r="46" customFormat="false" ht="14.25" hidden="false" customHeight="false" outlineLevel="0" collapsed="false">
      <c r="A46" s="82" t="s">
        <v>183</v>
      </c>
      <c r="B46" s="83" t="str">
        <f aca="false">IF(ISBLANK($A46),"NO_CODE",VLOOKUP($A46,'UPD Questions_290926 '!$E$1:$N$300,MATCH(B$1,'UPD Questions_290926 '!$E$1:$N$1,0),0)&amp;"")</f>
        <v>Implementation</v>
      </c>
      <c r="C46" s="83" t="str">
        <f aca="false">IF(ISBLANK($A46),"NO_CODE",VLOOKUP($A46,'UPD Questions_290926 '!$E$1:$N$300,MATCH(C$1,'UPD Questions_290926 '!$E$1:$N$1,0),0)&amp;"")</f>
        <v>Municipal/City Plan status, hierarchy and coordination</v>
      </c>
      <c r="D46" s="83" t="str">
        <f aca="false">IF(ISBLANK($A46),"NO_CODE",VLOOKUP($A46,'UPD Questions_290926 '!$E$1:$N$300,MATCH(D$1,'UPD Questions_290926 '!$E$1:$N$1,0),0)&amp;"")</f>
        <v>Objectives of the Municipal/City Plan</v>
      </c>
      <c r="E46" s="83" t="str">
        <f aca="false">IF(ISBLANK($A46),"NO_CODE",VLOOKUP($A46,'UPD Questions_290926 '!$E$1:$N$300,MATCH(E$1,'UPD Questions_290926 '!$E$1:$N$1,0),0)&amp;"")</f>
        <v>SQ</v>
      </c>
      <c r="F46" s="83" t="str">
        <f aca="false">IF(ISBLANK($A46),"NO_CODE",VLOOKUP($A46,'UPD Questions_290926 '!$E$1:$N$300,MATCH(F$1,'UPD Questions_290926 '!$E$1:$N$1,0),0)&amp;"")</f>
        <v>a) Education </v>
      </c>
      <c r="G46" s="83" t="str">
        <f aca="false">IF(ISBLANK($A46),"NO_CODE",VLOOKUP($A46,'UPD Questions_290926 '!$E$1:$N$300,MATCH(G$1,'UPD Questions_290926 '!$E$1:$N$1,0),0)&amp;"")</f>
        <v>Implementation</v>
      </c>
      <c r="H46" s="85" t="n">
        <f aca="false">IF(ISBLANK($A46),"NO_CODE",VLOOKUP($A46,'UPD Questions_290926 '!$E$1:$N$300,MATCH(H$1,'UPD Questions_290926 '!$E$1:$N$1,0),0))</f>
        <v>3.33</v>
      </c>
      <c r="I46" s="86" t="str">
        <f aca="true">IF($H46=0,"NA",IF($A46=INDIRECT("'"&amp;$A46&amp;"'!$B$1"),IF(VLOOKUP(I$1,INDIRECT("'"&amp;$A46&amp;"'!$A$12:$Z$41"),MATCH("Points (Auto-generate)",INDIRECT("'"&amp;$A46&amp;"'!$A$12:$Z$12"),0),0)="","?",VLOOKUP(I$1,INDIRECT("'"&amp;$A46&amp;"'!$A$12:$Z$41"),MATCH("Points (Auto-generate)",INDIRECT("'"&amp;$A46&amp;"'!$A$12:$Z$12"),0),0)),"ER"))</f>
        <v>?</v>
      </c>
      <c r="J46" s="86" t="n">
        <f aca="true">IF($H46=0,"NA",IF($A46=INDIRECT("'"&amp;$A46&amp;"'!$B$1"),IF(VLOOKUP(J$1,INDIRECT("'"&amp;$A46&amp;"'!$A$12:$Z$41"),MATCH("Points (Auto-generate)",INDIRECT("'"&amp;$A46&amp;"'!$A$12:$Z$12"),0),0)="","?",VLOOKUP(J$1,INDIRECT("'"&amp;$A46&amp;"'!$A$12:$Z$41"),MATCH("Points (Auto-generate)",INDIRECT("'"&amp;$A46&amp;"'!$A$12:$Z$12"),0),0)),"ER"))</f>
        <v>0</v>
      </c>
      <c r="K46" s="86" t="str">
        <f aca="true">IF($H46=0,"NA",IF($A46=INDIRECT("'"&amp;$A46&amp;"'!$B$1"),IF(VLOOKUP(K$1,INDIRECT("'"&amp;$A46&amp;"'!$A$12:$Z$41"),MATCH("Points (Auto-generate)",INDIRECT("'"&amp;$A46&amp;"'!$A$12:$Z$12"),0),0)="","?",VLOOKUP(K$1,INDIRECT("'"&amp;$A46&amp;"'!$A$12:$Z$41"),MATCH("Points (Auto-generate)",INDIRECT("'"&amp;$A46&amp;"'!$A$12:$Z$12"),0),0)),"ER"))</f>
        <v>?</v>
      </c>
      <c r="L46" s="86" t="str">
        <f aca="true">IF($H46=0,"NA",IF($A46=INDIRECT("'"&amp;$A46&amp;"'!$B$1"),IF(VLOOKUP(L$1,INDIRECT("'"&amp;$A46&amp;"'!$A$12:$Z$41"),MATCH("Points (Auto-generate)",INDIRECT("'"&amp;$A46&amp;"'!$A$12:$Z$12"),0),0)="","?",VLOOKUP(L$1,INDIRECT("'"&amp;$A46&amp;"'!$A$12:$Z$41"),MATCH("Points (Auto-generate)",INDIRECT("'"&amp;$A46&amp;"'!$A$12:$Z$12"),0),0)),"ER"))</f>
        <v>?</v>
      </c>
      <c r="M46" s="86" t="str">
        <f aca="true">IF($H46=0,"NA",IF($A46=INDIRECT("'"&amp;$A46&amp;"'!$B$1"),IF(VLOOKUP(M$1,INDIRECT("'"&amp;$A46&amp;"'!$A$12:$Z$41"),MATCH("Points (Auto-generate)",INDIRECT("'"&amp;$A46&amp;"'!$A$12:$Z$12"),0),0)="","?",VLOOKUP(M$1,INDIRECT("'"&amp;$A46&amp;"'!$A$12:$Z$41"),MATCH("Points (Auto-generate)",INDIRECT("'"&amp;$A46&amp;"'!$A$12:$Z$12"),0),0)),"ER"))</f>
        <v>?</v>
      </c>
      <c r="N46" s="86" t="str">
        <f aca="true">IF($H46=0,"NA",IF($A46=INDIRECT("'"&amp;$A46&amp;"'!$B$1"),IF(VLOOKUP(N$1,INDIRECT("'"&amp;$A46&amp;"'!$A$12:$Z$41"),MATCH("Points (Auto-generate)",INDIRECT("'"&amp;$A46&amp;"'!$A$12:$Z$12"),0),0)="","?",VLOOKUP(N$1,INDIRECT("'"&amp;$A46&amp;"'!$A$12:$Z$41"),MATCH("Points (Auto-generate)",INDIRECT("'"&amp;$A46&amp;"'!$A$12:$Z$12"),0),0)),"ER"))</f>
        <v>?</v>
      </c>
      <c r="O46" s="86" t="str">
        <f aca="true">IF($H46=0,"NA",IF($A46=INDIRECT("'"&amp;$A46&amp;"'!$B$1"),IF(VLOOKUP(O$1,INDIRECT("'"&amp;$A46&amp;"'!$A$12:$Z$41"),MATCH("Points (Auto-generate)",INDIRECT("'"&amp;$A46&amp;"'!$A$12:$Z$12"),0),0)="","?",VLOOKUP(O$1,INDIRECT("'"&amp;$A46&amp;"'!$A$12:$Z$41"),MATCH("Points (Auto-generate)",INDIRECT("'"&amp;$A46&amp;"'!$A$12:$Z$12"),0),0)),"ER"))</f>
        <v>?</v>
      </c>
      <c r="P46" s="86" t="str">
        <f aca="true">IF($H46=0,"NA",IF($A46=INDIRECT("'"&amp;$A46&amp;"'!$B$1"),IF(VLOOKUP(P$1,INDIRECT("'"&amp;$A46&amp;"'!$A$12:$Z$41"),MATCH("Points (Auto-generate)",INDIRECT("'"&amp;$A46&amp;"'!$A$12:$Z$12"),0),0)="","?",VLOOKUP(P$1,INDIRECT("'"&amp;$A46&amp;"'!$A$12:$Z$41"),MATCH("Points (Auto-generate)",INDIRECT("'"&amp;$A46&amp;"'!$A$12:$Z$12"),0),0)),"ER"))</f>
        <v>?</v>
      </c>
      <c r="Q46" s="86" t="str">
        <f aca="true">IF($H46=0,"NA",IF($A46=INDIRECT("'"&amp;$A46&amp;"'!$B$1"),IF(VLOOKUP(Q$1,INDIRECT("'"&amp;$A46&amp;"'!$A$12:$Z$41"),MATCH("Points (Auto-generate)",INDIRECT("'"&amp;$A46&amp;"'!$A$12:$Z$12"),0),0)="","?",VLOOKUP(Q$1,INDIRECT("'"&amp;$A46&amp;"'!$A$12:$Z$41"),MATCH("Points (Auto-generate)",INDIRECT("'"&amp;$A46&amp;"'!$A$12:$Z$12"),0),0)),"ER"))</f>
        <v>?</v>
      </c>
      <c r="R46" s="86" t="str">
        <f aca="true">IF($H46=0,"NA",IF($A46=INDIRECT("'"&amp;$A46&amp;"'!$B$1"),IF(VLOOKUP(R$1,INDIRECT("'"&amp;$A46&amp;"'!$A$12:$Z$41"),MATCH("Points (Auto-generate)",INDIRECT("'"&amp;$A46&amp;"'!$A$12:$Z$12"),0),0)="","?",VLOOKUP(R$1,INDIRECT("'"&amp;$A46&amp;"'!$A$12:$Z$41"),MATCH("Points (Auto-generate)",INDIRECT("'"&amp;$A46&amp;"'!$A$12:$Z$12"),0),0)),"ER"))</f>
        <v>?</v>
      </c>
      <c r="S46" s="86" t="str">
        <f aca="true">IF($H46=0,"NA",IF($A46=INDIRECT("'"&amp;$A46&amp;"'!$B$1"),IF(VLOOKUP(S$1,INDIRECT("'"&amp;$A46&amp;"'!$A$12:$Z$41"),MATCH("Points (Auto-generate)",INDIRECT("'"&amp;$A46&amp;"'!$A$12:$Z$12"),0),0)="","?",VLOOKUP(S$1,INDIRECT("'"&amp;$A46&amp;"'!$A$12:$Z$41"),MATCH("Points (Auto-generate)",INDIRECT("'"&amp;$A46&amp;"'!$A$12:$Z$12"),0),0)),"ER"))</f>
        <v>?</v>
      </c>
      <c r="T46" s="86" t="str">
        <f aca="true">IF($H46=0,"NA",IF($A46=INDIRECT("'"&amp;$A46&amp;"'!$B$1"),IF(VLOOKUP(T$1,INDIRECT("'"&amp;$A46&amp;"'!$A$12:$Z$41"),MATCH("Points (Auto-generate)",INDIRECT("'"&amp;$A46&amp;"'!$A$12:$Z$12"),0),0)="","?",VLOOKUP(T$1,INDIRECT("'"&amp;$A46&amp;"'!$A$12:$Z$41"),MATCH("Points (Auto-generate)",INDIRECT("'"&amp;$A46&amp;"'!$A$12:$Z$12"),0),0)),"ER"))</f>
        <v>?</v>
      </c>
      <c r="U46" s="86" t="str">
        <f aca="true">IF($H46=0,"NA",IF($A46=INDIRECT("'"&amp;$A46&amp;"'!$B$1"),IF(VLOOKUP(U$1,INDIRECT("'"&amp;$A46&amp;"'!$A$12:$Z$41"),MATCH("Points (Auto-generate)",INDIRECT("'"&amp;$A46&amp;"'!$A$12:$Z$12"),0),0)="","?",VLOOKUP(U$1,INDIRECT("'"&amp;$A46&amp;"'!$A$12:$Z$41"),MATCH("Points (Auto-generate)",INDIRECT("'"&amp;$A46&amp;"'!$A$12:$Z$12"),0),0)),"ER"))</f>
        <v>?</v>
      </c>
      <c r="V46" s="86" t="str">
        <f aca="true">IF($H46=0,"NA",IF($A46=INDIRECT("'"&amp;$A46&amp;"'!$B$1"),IF(VLOOKUP(V$1,INDIRECT("'"&amp;$A46&amp;"'!$A$12:$Z$41"),MATCH("Points (Auto-generate)",INDIRECT("'"&amp;$A46&amp;"'!$A$12:$Z$12"),0),0)="","?",VLOOKUP(V$1,INDIRECT("'"&amp;$A46&amp;"'!$A$12:$Z$41"),MATCH("Points (Auto-generate)",INDIRECT("'"&amp;$A46&amp;"'!$A$12:$Z$12"),0),0)),"ER"))</f>
        <v>?</v>
      </c>
      <c r="W46" s="86" t="str">
        <f aca="true">IF($H46=0,"NA",IF($A46=INDIRECT("'"&amp;$A46&amp;"'!$B$1"),IF(VLOOKUP(W$1,INDIRECT("'"&amp;$A46&amp;"'!$A$12:$Z$41"),MATCH("Points (Auto-generate)",INDIRECT("'"&amp;$A46&amp;"'!$A$12:$Z$12"),0),0)="","?",VLOOKUP(W$1,INDIRECT("'"&amp;$A46&amp;"'!$A$12:$Z$41"),MATCH("Points (Auto-generate)",INDIRECT("'"&amp;$A46&amp;"'!$A$12:$Z$12"),0),0)),"ER"))</f>
        <v>?</v>
      </c>
      <c r="X46" s="86" t="str">
        <f aca="true">IF($H46=0,"NA",IF($A46=INDIRECT("'"&amp;$A46&amp;"'!$B$1"),IF(VLOOKUP(X$1,INDIRECT("'"&amp;$A46&amp;"'!$A$12:$Z$41"),MATCH("Points (Auto-generate)",INDIRECT("'"&amp;$A46&amp;"'!$A$12:$Z$12"),0),0)="","?",VLOOKUP(X$1,INDIRECT("'"&amp;$A46&amp;"'!$A$12:$Z$41"),MATCH("Points (Auto-generate)",INDIRECT("'"&amp;$A46&amp;"'!$A$12:$Z$12"),0),0)),"ER"))</f>
        <v>?</v>
      </c>
      <c r="Y46" s="86" t="str">
        <f aca="true">IF($H46=0,"NA",IF($A46=INDIRECT("'"&amp;$A46&amp;"'!$B$1"),IF(VLOOKUP(Y$1,INDIRECT("'"&amp;$A46&amp;"'!$A$12:$Z$41"),MATCH("Points (Auto-generate)",INDIRECT("'"&amp;$A46&amp;"'!$A$12:$Z$12"),0),0)="","?",VLOOKUP(Y$1,INDIRECT("'"&amp;$A46&amp;"'!$A$12:$Z$41"),MATCH("Points (Auto-generate)",INDIRECT("'"&amp;$A46&amp;"'!$A$12:$Z$12"),0),0)),"ER"))</f>
        <v>?</v>
      </c>
      <c r="Z46" s="86" t="str">
        <f aca="true">IF($H46=0,"NA",IF($A46=INDIRECT("'"&amp;$A46&amp;"'!$B$1"),IF(VLOOKUP(Z$1,INDIRECT("'"&amp;$A46&amp;"'!$A$12:$Z$41"),MATCH("Points (Auto-generate)",INDIRECT("'"&amp;$A46&amp;"'!$A$12:$Z$12"),0),0)="","?",VLOOKUP(Z$1,INDIRECT("'"&amp;$A46&amp;"'!$A$12:$Z$41"),MATCH("Points (Auto-generate)",INDIRECT("'"&amp;$A46&amp;"'!$A$12:$Z$12"),0),0)),"ER"))</f>
        <v>?</v>
      </c>
      <c r="AA46" s="86" t="str">
        <f aca="true">IF($H46=0,"NA",IF($A46=INDIRECT("'"&amp;$A46&amp;"'!$B$1"),IF(VLOOKUP(AA$1,INDIRECT("'"&amp;$A46&amp;"'!$A$12:$Z$41"),MATCH("Points (Auto-generate)",INDIRECT("'"&amp;$A46&amp;"'!$A$12:$Z$12"),0),0)="","?",VLOOKUP(AA$1,INDIRECT("'"&amp;$A46&amp;"'!$A$12:$Z$41"),MATCH("Points (Auto-generate)",INDIRECT("'"&amp;$A46&amp;"'!$A$12:$Z$12"),0),0)),"ER"))</f>
        <v>?</v>
      </c>
      <c r="AB46" s="86" t="str">
        <f aca="true">IF($H46=0,"NA",IF($A46=INDIRECT("'"&amp;$A46&amp;"'!$B$1"),IF(VLOOKUP(AB$1,INDIRECT("'"&amp;$A46&amp;"'!$A$12:$Z$41"),MATCH("Points (Auto-generate)",INDIRECT("'"&amp;$A46&amp;"'!$A$12:$Z$12"),0),0)="","?",VLOOKUP(AB$1,INDIRECT("'"&amp;$A46&amp;"'!$A$12:$Z$41"),MATCH("Points (Auto-generate)",INDIRECT("'"&amp;$A46&amp;"'!$A$12:$Z$12"),0),0)),"ER"))</f>
        <v>?</v>
      </c>
      <c r="AC46" s="86" t="str">
        <f aca="true">IF($H46=0,"NA",IF($A46=INDIRECT("'"&amp;$A46&amp;"'!$B$1"),IF(VLOOKUP(AC$1,INDIRECT("'"&amp;$A46&amp;"'!$A$12:$Z$41"),MATCH("Points (Auto-generate)",INDIRECT("'"&amp;$A46&amp;"'!$A$12:$Z$12"),0),0)="","?",VLOOKUP(AC$1,INDIRECT("'"&amp;$A46&amp;"'!$A$12:$Z$41"),MATCH("Points (Auto-generate)",INDIRECT("'"&amp;$A46&amp;"'!$A$12:$Z$12"),0),0)),"ER"))</f>
        <v>?</v>
      </c>
      <c r="AD46" s="86" t="str">
        <f aca="true">IF($H46=0,"NA",IF($A46=INDIRECT("'"&amp;$A46&amp;"'!$B$1"),IF(VLOOKUP(AD$1,INDIRECT("'"&amp;$A46&amp;"'!$A$12:$Z$41"),MATCH("Points (Auto-generate)",INDIRECT("'"&amp;$A46&amp;"'!$A$12:$Z$12"),0),0)="","?",VLOOKUP(AD$1,INDIRECT("'"&amp;$A46&amp;"'!$A$12:$Z$41"),MATCH("Points (Auto-generate)",INDIRECT("'"&amp;$A46&amp;"'!$A$12:$Z$12"),0),0)),"ER"))</f>
        <v>?</v>
      </c>
      <c r="AE46" s="86" t="str">
        <f aca="true">IF($H46=0,"NA",IF($A46=INDIRECT("'"&amp;$A46&amp;"'!$B$1"),IF(VLOOKUP(AE$1,INDIRECT("'"&amp;$A46&amp;"'!$A$12:$Z$41"),MATCH("Points (Auto-generate)",INDIRECT("'"&amp;$A46&amp;"'!$A$12:$Z$12"),0),0)="","?",VLOOKUP(AE$1,INDIRECT("'"&amp;$A46&amp;"'!$A$12:$Z$41"),MATCH("Points (Auto-generate)",INDIRECT("'"&amp;$A46&amp;"'!$A$12:$Z$12"),0),0)),"ER"))</f>
        <v>?</v>
      </c>
      <c r="AF46" s="86" t="str">
        <f aca="true">IF($H46=0,"NA",IF($A46=INDIRECT("'"&amp;$A46&amp;"'!$B$1"),IF(VLOOKUP(AF$1,INDIRECT("'"&amp;$A46&amp;"'!$A$12:$Z$41"),MATCH("Points (Auto-generate)",INDIRECT("'"&amp;$A46&amp;"'!$A$12:$Z$12"),0),0)="","?",VLOOKUP(AF$1,INDIRECT("'"&amp;$A46&amp;"'!$A$12:$Z$41"),MATCH("Points (Auto-generate)",INDIRECT("'"&amp;$A46&amp;"'!$A$12:$Z$12"),0),0)),"ER"))</f>
        <v>?</v>
      </c>
      <c r="AG46" s="86" t="str">
        <f aca="true">IF($H46=0,"NA",IF($A46=INDIRECT("'"&amp;$A46&amp;"'!$B$1"),IF(VLOOKUP(AG$1,INDIRECT("'"&amp;$A46&amp;"'!$A$12:$Z$41"),MATCH("Points (Auto-generate)",INDIRECT("'"&amp;$A46&amp;"'!$A$12:$Z$12"),0),0)="","?",VLOOKUP(AG$1,INDIRECT("'"&amp;$A46&amp;"'!$A$12:$Z$41"),MATCH("Points (Auto-generate)",INDIRECT("'"&amp;$A46&amp;"'!$A$12:$Z$12"),0),0)),"ER"))</f>
        <v>?</v>
      </c>
      <c r="AH46" s="86" t="str">
        <f aca="true">IF($H46=0,"NA",IF($A46=INDIRECT("'"&amp;$A46&amp;"'!$B$1"),IF(VLOOKUP(AH$1,INDIRECT("'"&amp;$A46&amp;"'!$A$12:$Z$41"),MATCH("Points (Auto-generate)",INDIRECT("'"&amp;$A46&amp;"'!$A$12:$Z$12"),0),0)="","?",VLOOKUP(AH$1,INDIRECT("'"&amp;$A46&amp;"'!$A$12:$Z$41"),MATCH("Points (Auto-generate)",INDIRECT("'"&amp;$A46&amp;"'!$A$12:$Z$12"),0),0)),"ER"))</f>
        <v>?</v>
      </c>
      <c r="AI46" s="86" t="str">
        <f aca="true">IF($H46=0,"NA",IF($A46=INDIRECT("'"&amp;$A46&amp;"'!$B$1"),IF(VLOOKUP(AI$1,INDIRECT("'"&amp;$A46&amp;"'!$A$12:$Z$41"),MATCH("Points (Auto-generate)",INDIRECT("'"&amp;$A46&amp;"'!$A$12:$Z$12"),0),0)="","?",VLOOKUP(AI$1,INDIRECT("'"&amp;$A46&amp;"'!$A$12:$Z$41"),MATCH("Points (Auto-generate)",INDIRECT("'"&amp;$A46&amp;"'!$A$12:$Z$12"),0),0)),"ER"))</f>
        <v>?</v>
      </c>
      <c r="AJ46" s="86" t="str">
        <f aca="true">IF($H46=0,"NA",IF($A46=INDIRECT("'"&amp;$A46&amp;"'!$B$1"),IF(VLOOKUP(AJ$1,INDIRECT("'"&amp;$A46&amp;"'!$A$12:$Z$41"),MATCH("Points (Auto-generate)",INDIRECT("'"&amp;$A46&amp;"'!$A$12:$Z$12"),0),0)="","?",VLOOKUP(AJ$1,INDIRECT("'"&amp;$A46&amp;"'!$A$12:$Z$41"),MATCH("Points (Auto-generate)",INDIRECT("'"&amp;$A46&amp;"'!$A$12:$Z$12"),0),0)),"ER"))</f>
        <v>?</v>
      </c>
      <c r="AK46" s="86" t="str">
        <f aca="true">IF($H46=0,"NA",IF($A46=INDIRECT("'"&amp;$A46&amp;"'!$B$1"),IF(VLOOKUP(AK$1,INDIRECT("'"&amp;$A46&amp;"'!$A$12:$Z$41"),MATCH("Points (Auto-generate)",INDIRECT("'"&amp;$A46&amp;"'!$A$12:$Z$12"),0),0)="","?",VLOOKUP(AK$1,INDIRECT("'"&amp;$A46&amp;"'!$A$12:$Z$41"),MATCH("Points (Auto-generate)",INDIRECT("'"&amp;$A46&amp;"'!$A$12:$Z$12"),0),0)),"ER"))</f>
        <v>?</v>
      </c>
    </row>
    <row r="47" customFormat="false" ht="14.25" hidden="false" customHeight="false" outlineLevel="0" collapsed="false">
      <c r="A47" s="82" t="s">
        <v>186</v>
      </c>
      <c r="B47" s="83" t="str">
        <f aca="false">IF(ISBLANK($A47),"NO_CODE",VLOOKUP($A47,'UPD Questions_290926 '!$E$1:$N$300,MATCH(B$1,'UPD Questions_290926 '!$E$1:$N$1,0),0)&amp;"")</f>
        <v>Implementation</v>
      </c>
      <c r="C47" s="83" t="str">
        <f aca="false">IF(ISBLANK($A47),"NO_CODE",VLOOKUP($A47,'UPD Questions_290926 '!$E$1:$N$300,MATCH(C$1,'UPD Questions_290926 '!$E$1:$N$1,0),0)&amp;"")</f>
        <v>Municipal/City Plan status, hierarchy and coordination</v>
      </c>
      <c r="D47" s="83" t="str">
        <f aca="false">IF(ISBLANK($A47),"NO_CODE",VLOOKUP($A47,'UPD Questions_290926 '!$E$1:$N$300,MATCH(D$1,'UPD Questions_290926 '!$E$1:$N$1,0),0)&amp;"")</f>
        <v>Objectives of the Municipal/City Plan</v>
      </c>
      <c r="E47" s="83" t="str">
        <f aca="false">IF(ISBLANK($A47),"NO_CODE",VLOOKUP($A47,'UPD Questions_290926 '!$E$1:$N$300,MATCH(E$1,'UPD Questions_290926 '!$E$1:$N$1,0),0)&amp;"")</f>
        <v>SQ</v>
      </c>
      <c r="F47" s="83" t="str">
        <f aca="false">IF(ISBLANK($A47),"NO_CODE",VLOOKUP($A47,'UPD Questions_290926 '!$E$1:$N$300,MATCH(F$1,'UPD Questions_290926 '!$E$1:$N$1,0),0)&amp;"")</f>
        <v>b) Healthcare</v>
      </c>
      <c r="G47" s="83" t="str">
        <f aca="false">IF(ISBLANK($A47),"NO_CODE",VLOOKUP($A47,'UPD Questions_290926 '!$E$1:$N$300,MATCH(G$1,'UPD Questions_290926 '!$E$1:$N$1,0),0)&amp;"")</f>
        <v>Implementation</v>
      </c>
      <c r="H47" s="85" t="n">
        <f aca="false">IF(ISBLANK($A47),"NO_CODE",VLOOKUP($A47,'UPD Questions_290926 '!$E$1:$N$300,MATCH(H$1,'UPD Questions_290926 '!$E$1:$N$1,0),0))</f>
        <v>3.33</v>
      </c>
      <c r="I47" s="86" t="str">
        <f aca="true">IF($H47=0,"NA",IF($A47=INDIRECT("'"&amp;$A47&amp;"'!$B$1"),IF(VLOOKUP(I$1,INDIRECT("'"&amp;$A47&amp;"'!$A$12:$Z$41"),MATCH("Points (Auto-generate)",INDIRECT("'"&amp;$A47&amp;"'!$A$12:$Z$12"),0),0)="","?",VLOOKUP(I$1,INDIRECT("'"&amp;$A47&amp;"'!$A$12:$Z$41"),MATCH("Points (Auto-generate)",INDIRECT("'"&amp;$A47&amp;"'!$A$12:$Z$12"),0),0)),"ER"))</f>
        <v>?</v>
      </c>
      <c r="J47" s="86" t="n">
        <f aca="true">IF($H47=0,"NA",IF($A47=INDIRECT("'"&amp;$A47&amp;"'!$B$1"),IF(VLOOKUP(J$1,INDIRECT("'"&amp;$A47&amp;"'!$A$12:$Z$41"),MATCH("Points (Auto-generate)",INDIRECT("'"&amp;$A47&amp;"'!$A$12:$Z$12"),0),0)="","?",VLOOKUP(J$1,INDIRECT("'"&amp;$A47&amp;"'!$A$12:$Z$41"),MATCH("Points (Auto-generate)",INDIRECT("'"&amp;$A47&amp;"'!$A$12:$Z$12"),0),0)),"ER"))</f>
        <v>0</v>
      </c>
      <c r="K47" s="86" t="str">
        <f aca="true">IF($H47=0,"NA",IF($A47=INDIRECT("'"&amp;$A47&amp;"'!$B$1"),IF(VLOOKUP(K$1,INDIRECT("'"&amp;$A47&amp;"'!$A$12:$Z$41"),MATCH("Points (Auto-generate)",INDIRECT("'"&amp;$A47&amp;"'!$A$12:$Z$12"),0),0)="","?",VLOOKUP(K$1,INDIRECT("'"&amp;$A47&amp;"'!$A$12:$Z$41"),MATCH("Points (Auto-generate)",INDIRECT("'"&amp;$A47&amp;"'!$A$12:$Z$12"),0),0)),"ER"))</f>
        <v>?</v>
      </c>
      <c r="L47" s="86" t="str">
        <f aca="true">IF($H47=0,"NA",IF($A47=INDIRECT("'"&amp;$A47&amp;"'!$B$1"),IF(VLOOKUP(L$1,INDIRECT("'"&amp;$A47&amp;"'!$A$12:$Z$41"),MATCH("Points (Auto-generate)",INDIRECT("'"&amp;$A47&amp;"'!$A$12:$Z$12"),0),0)="","?",VLOOKUP(L$1,INDIRECT("'"&amp;$A47&amp;"'!$A$12:$Z$41"),MATCH("Points (Auto-generate)",INDIRECT("'"&amp;$A47&amp;"'!$A$12:$Z$12"),0),0)),"ER"))</f>
        <v>?</v>
      </c>
      <c r="M47" s="86" t="str">
        <f aca="true">IF($H47=0,"NA",IF($A47=INDIRECT("'"&amp;$A47&amp;"'!$B$1"),IF(VLOOKUP(M$1,INDIRECT("'"&amp;$A47&amp;"'!$A$12:$Z$41"),MATCH("Points (Auto-generate)",INDIRECT("'"&amp;$A47&amp;"'!$A$12:$Z$12"),0),0)="","?",VLOOKUP(M$1,INDIRECT("'"&amp;$A47&amp;"'!$A$12:$Z$41"),MATCH("Points (Auto-generate)",INDIRECT("'"&amp;$A47&amp;"'!$A$12:$Z$12"),0),0)),"ER"))</f>
        <v>?</v>
      </c>
      <c r="N47" s="86" t="str">
        <f aca="true">IF($H47=0,"NA",IF($A47=INDIRECT("'"&amp;$A47&amp;"'!$B$1"),IF(VLOOKUP(N$1,INDIRECT("'"&amp;$A47&amp;"'!$A$12:$Z$41"),MATCH("Points (Auto-generate)",INDIRECT("'"&amp;$A47&amp;"'!$A$12:$Z$12"),0),0)="","?",VLOOKUP(N$1,INDIRECT("'"&amp;$A47&amp;"'!$A$12:$Z$41"),MATCH("Points (Auto-generate)",INDIRECT("'"&amp;$A47&amp;"'!$A$12:$Z$12"),0),0)),"ER"))</f>
        <v>?</v>
      </c>
      <c r="O47" s="86" t="str">
        <f aca="true">IF($H47=0,"NA",IF($A47=INDIRECT("'"&amp;$A47&amp;"'!$B$1"),IF(VLOOKUP(O$1,INDIRECT("'"&amp;$A47&amp;"'!$A$12:$Z$41"),MATCH("Points (Auto-generate)",INDIRECT("'"&amp;$A47&amp;"'!$A$12:$Z$12"),0),0)="","?",VLOOKUP(O$1,INDIRECT("'"&amp;$A47&amp;"'!$A$12:$Z$41"),MATCH("Points (Auto-generate)",INDIRECT("'"&amp;$A47&amp;"'!$A$12:$Z$12"),0),0)),"ER"))</f>
        <v>?</v>
      </c>
      <c r="P47" s="86" t="str">
        <f aca="true">IF($H47=0,"NA",IF($A47=INDIRECT("'"&amp;$A47&amp;"'!$B$1"),IF(VLOOKUP(P$1,INDIRECT("'"&amp;$A47&amp;"'!$A$12:$Z$41"),MATCH("Points (Auto-generate)",INDIRECT("'"&amp;$A47&amp;"'!$A$12:$Z$12"),0),0)="","?",VLOOKUP(P$1,INDIRECT("'"&amp;$A47&amp;"'!$A$12:$Z$41"),MATCH("Points (Auto-generate)",INDIRECT("'"&amp;$A47&amp;"'!$A$12:$Z$12"),0),0)),"ER"))</f>
        <v>?</v>
      </c>
      <c r="Q47" s="86" t="str">
        <f aca="true">IF($H47=0,"NA",IF($A47=INDIRECT("'"&amp;$A47&amp;"'!$B$1"),IF(VLOOKUP(Q$1,INDIRECT("'"&amp;$A47&amp;"'!$A$12:$Z$41"),MATCH("Points (Auto-generate)",INDIRECT("'"&amp;$A47&amp;"'!$A$12:$Z$12"),0),0)="","?",VLOOKUP(Q$1,INDIRECT("'"&amp;$A47&amp;"'!$A$12:$Z$41"),MATCH("Points (Auto-generate)",INDIRECT("'"&amp;$A47&amp;"'!$A$12:$Z$12"),0),0)),"ER"))</f>
        <v>?</v>
      </c>
      <c r="R47" s="86" t="str">
        <f aca="true">IF($H47=0,"NA",IF($A47=INDIRECT("'"&amp;$A47&amp;"'!$B$1"),IF(VLOOKUP(R$1,INDIRECT("'"&amp;$A47&amp;"'!$A$12:$Z$41"),MATCH("Points (Auto-generate)",INDIRECT("'"&amp;$A47&amp;"'!$A$12:$Z$12"),0),0)="","?",VLOOKUP(R$1,INDIRECT("'"&amp;$A47&amp;"'!$A$12:$Z$41"),MATCH("Points (Auto-generate)",INDIRECT("'"&amp;$A47&amp;"'!$A$12:$Z$12"),0),0)),"ER"))</f>
        <v>?</v>
      </c>
      <c r="S47" s="86" t="str">
        <f aca="true">IF($H47=0,"NA",IF($A47=INDIRECT("'"&amp;$A47&amp;"'!$B$1"),IF(VLOOKUP(S$1,INDIRECT("'"&amp;$A47&amp;"'!$A$12:$Z$41"),MATCH("Points (Auto-generate)",INDIRECT("'"&amp;$A47&amp;"'!$A$12:$Z$12"),0),0)="","?",VLOOKUP(S$1,INDIRECT("'"&amp;$A47&amp;"'!$A$12:$Z$41"),MATCH("Points (Auto-generate)",INDIRECT("'"&amp;$A47&amp;"'!$A$12:$Z$12"),0),0)),"ER"))</f>
        <v>?</v>
      </c>
      <c r="T47" s="86" t="str">
        <f aca="true">IF($H47=0,"NA",IF($A47=INDIRECT("'"&amp;$A47&amp;"'!$B$1"),IF(VLOOKUP(T$1,INDIRECT("'"&amp;$A47&amp;"'!$A$12:$Z$41"),MATCH("Points (Auto-generate)",INDIRECT("'"&amp;$A47&amp;"'!$A$12:$Z$12"),0),0)="","?",VLOOKUP(T$1,INDIRECT("'"&amp;$A47&amp;"'!$A$12:$Z$41"),MATCH("Points (Auto-generate)",INDIRECT("'"&amp;$A47&amp;"'!$A$12:$Z$12"),0),0)),"ER"))</f>
        <v>?</v>
      </c>
      <c r="U47" s="86" t="str">
        <f aca="true">IF($H47=0,"NA",IF($A47=INDIRECT("'"&amp;$A47&amp;"'!$B$1"),IF(VLOOKUP(U$1,INDIRECT("'"&amp;$A47&amp;"'!$A$12:$Z$41"),MATCH("Points (Auto-generate)",INDIRECT("'"&amp;$A47&amp;"'!$A$12:$Z$12"),0),0)="","?",VLOOKUP(U$1,INDIRECT("'"&amp;$A47&amp;"'!$A$12:$Z$41"),MATCH("Points (Auto-generate)",INDIRECT("'"&amp;$A47&amp;"'!$A$12:$Z$12"),0),0)),"ER"))</f>
        <v>?</v>
      </c>
      <c r="V47" s="86" t="str">
        <f aca="true">IF($H47=0,"NA",IF($A47=INDIRECT("'"&amp;$A47&amp;"'!$B$1"),IF(VLOOKUP(V$1,INDIRECT("'"&amp;$A47&amp;"'!$A$12:$Z$41"),MATCH("Points (Auto-generate)",INDIRECT("'"&amp;$A47&amp;"'!$A$12:$Z$12"),0),0)="","?",VLOOKUP(V$1,INDIRECT("'"&amp;$A47&amp;"'!$A$12:$Z$41"),MATCH("Points (Auto-generate)",INDIRECT("'"&amp;$A47&amp;"'!$A$12:$Z$12"),0),0)),"ER"))</f>
        <v>?</v>
      </c>
      <c r="W47" s="86" t="str">
        <f aca="true">IF($H47=0,"NA",IF($A47=INDIRECT("'"&amp;$A47&amp;"'!$B$1"),IF(VLOOKUP(W$1,INDIRECT("'"&amp;$A47&amp;"'!$A$12:$Z$41"),MATCH("Points (Auto-generate)",INDIRECT("'"&amp;$A47&amp;"'!$A$12:$Z$12"),0),0)="","?",VLOOKUP(W$1,INDIRECT("'"&amp;$A47&amp;"'!$A$12:$Z$41"),MATCH("Points (Auto-generate)",INDIRECT("'"&amp;$A47&amp;"'!$A$12:$Z$12"),0),0)),"ER"))</f>
        <v>?</v>
      </c>
      <c r="X47" s="86" t="str">
        <f aca="true">IF($H47=0,"NA",IF($A47=INDIRECT("'"&amp;$A47&amp;"'!$B$1"),IF(VLOOKUP(X$1,INDIRECT("'"&amp;$A47&amp;"'!$A$12:$Z$41"),MATCH("Points (Auto-generate)",INDIRECT("'"&amp;$A47&amp;"'!$A$12:$Z$12"),0),0)="","?",VLOOKUP(X$1,INDIRECT("'"&amp;$A47&amp;"'!$A$12:$Z$41"),MATCH("Points (Auto-generate)",INDIRECT("'"&amp;$A47&amp;"'!$A$12:$Z$12"),0),0)),"ER"))</f>
        <v>?</v>
      </c>
      <c r="Y47" s="86" t="str">
        <f aca="true">IF($H47=0,"NA",IF($A47=INDIRECT("'"&amp;$A47&amp;"'!$B$1"),IF(VLOOKUP(Y$1,INDIRECT("'"&amp;$A47&amp;"'!$A$12:$Z$41"),MATCH("Points (Auto-generate)",INDIRECT("'"&amp;$A47&amp;"'!$A$12:$Z$12"),0),0)="","?",VLOOKUP(Y$1,INDIRECT("'"&amp;$A47&amp;"'!$A$12:$Z$41"),MATCH("Points (Auto-generate)",INDIRECT("'"&amp;$A47&amp;"'!$A$12:$Z$12"),0),0)),"ER"))</f>
        <v>?</v>
      </c>
      <c r="Z47" s="86" t="str">
        <f aca="true">IF($H47=0,"NA",IF($A47=INDIRECT("'"&amp;$A47&amp;"'!$B$1"),IF(VLOOKUP(Z$1,INDIRECT("'"&amp;$A47&amp;"'!$A$12:$Z$41"),MATCH("Points (Auto-generate)",INDIRECT("'"&amp;$A47&amp;"'!$A$12:$Z$12"),0),0)="","?",VLOOKUP(Z$1,INDIRECT("'"&amp;$A47&amp;"'!$A$12:$Z$41"),MATCH("Points (Auto-generate)",INDIRECT("'"&amp;$A47&amp;"'!$A$12:$Z$12"),0),0)),"ER"))</f>
        <v>?</v>
      </c>
      <c r="AA47" s="86" t="str">
        <f aca="true">IF($H47=0,"NA",IF($A47=INDIRECT("'"&amp;$A47&amp;"'!$B$1"),IF(VLOOKUP(AA$1,INDIRECT("'"&amp;$A47&amp;"'!$A$12:$Z$41"),MATCH("Points (Auto-generate)",INDIRECT("'"&amp;$A47&amp;"'!$A$12:$Z$12"),0),0)="","?",VLOOKUP(AA$1,INDIRECT("'"&amp;$A47&amp;"'!$A$12:$Z$41"),MATCH("Points (Auto-generate)",INDIRECT("'"&amp;$A47&amp;"'!$A$12:$Z$12"),0),0)),"ER"))</f>
        <v>?</v>
      </c>
      <c r="AB47" s="86" t="str">
        <f aca="true">IF($H47=0,"NA",IF($A47=INDIRECT("'"&amp;$A47&amp;"'!$B$1"),IF(VLOOKUP(AB$1,INDIRECT("'"&amp;$A47&amp;"'!$A$12:$Z$41"),MATCH("Points (Auto-generate)",INDIRECT("'"&amp;$A47&amp;"'!$A$12:$Z$12"),0),0)="","?",VLOOKUP(AB$1,INDIRECT("'"&amp;$A47&amp;"'!$A$12:$Z$41"),MATCH("Points (Auto-generate)",INDIRECT("'"&amp;$A47&amp;"'!$A$12:$Z$12"),0),0)),"ER"))</f>
        <v>?</v>
      </c>
      <c r="AC47" s="86" t="str">
        <f aca="true">IF($H47=0,"NA",IF($A47=INDIRECT("'"&amp;$A47&amp;"'!$B$1"),IF(VLOOKUP(AC$1,INDIRECT("'"&amp;$A47&amp;"'!$A$12:$Z$41"),MATCH("Points (Auto-generate)",INDIRECT("'"&amp;$A47&amp;"'!$A$12:$Z$12"),0),0)="","?",VLOOKUP(AC$1,INDIRECT("'"&amp;$A47&amp;"'!$A$12:$Z$41"),MATCH("Points (Auto-generate)",INDIRECT("'"&amp;$A47&amp;"'!$A$12:$Z$12"),0),0)),"ER"))</f>
        <v>?</v>
      </c>
      <c r="AD47" s="86" t="str">
        <f aca="true">IF($H47=0,"NA",IF($A47=INDIRECT("'"&amp;$A47&amp;"'!$B$1"),IF(VLOOKUP(AD$1,INDIRECT("'"&amp;$A47&amp;"'!$A$12:$Z$41"),MATCH("Points (Auto-generate)",INDIRECT("'"&amp;$A47&amp;"'!$A$12:$Z$12"),0),0)="","?",VLOOKUP(AD$1,INDIRECT("'"&amp;$A47&amp;"'!$A$12:$Z$41"),MATCH("Points (Auto-generate)",INDIRECT("'"&amp;$A47&amp;"'!$A$12:$Z$12"),0),0)),"ER"))</f>
        <v>?</v>
      </c>
      <c r="AE47" s="86" t="str">
        <f aca="true">IF($H47=0,"NA",IF($A47=INDIRECT("'"&amp;$A47&amp;"'!$B$1"),IF(VLOOKUP(AE$1,INDIRECT("'"&amp;$A47&amp;"'!$A$12:$Z$41"),MATCH("Points (Auto-generate)",INDIRECT("'"&amp;$A47&amp;"'!$A$12:$Z$12"),0),0)="","?",VLOOKUP(AE$1,INDIRECT("'"&amp;$A47&amp;"'!$A$12:$Z$41"),MATCH("Points (Auto-generate)",INDIRECT("'"&amp;$A47&amp;"'!$A$12:$Z$12"),0),0)),"ER"))</f>
        <v>?</v>
      </c>
      <c r="AF47" s="86" t="str">
        <f aca="true">IF($H47=0,"NA",IF($A47=INDIRECT("'"&amp;$A47&amp;"'!$B$1"),IF(VLOOKUP(AF$1,INDIRECT("'"&amp;$A47&amp;"'!$A$12:$Z$41"),MATCH("Points (Auto-generate)",INDIRECT("'"&amp;$A47&amp;"'!$A$12:$Z$12"),0),0)="","?",VLOOKUP(AF$1,INDIRECT("'"&amp;$A47&amp;"'!$A$12:$Z$41"),MATCH("Points (Auto-generate)",INDIRECT("'"&amp;$A47&amp;"'!$A$12:$Z$12"),0),0)),"ER"))</f>
        <v>?</v>
      </c>
      <c r="AG47" s="86" t="str">
        <f aca="true">IF($H47=0,"NA",IF($A47=INDIRECT("'"&amp;$A47&amp;"'!$B$1"),IF(VLOOKUP(AG$1,INDIRECT("'"&amp;$A47&amp;"'!$A$12:$Z$41"),MATCH("Points (Auto-generate)",INDIRECT("'"&amp;$A47&amp;"'!$A$12:$Z$12"),0),0)="","?",VLOOKUP(AG$1,INDIRECT("'"&amp;$A47&amp;"'!$A$12:$Z$41"),MATCH("Points (Auto-generate)",INDIRECT("'"&amp;$A47&amp;"'!$A$12:$Z$12"),0),0)),"ER"))</f>
        <v>?</v>
      </c>
      <c r="AH47" s="86" t="str">
        <f aca="true">IF($H47=0,"NA",IF($A47=INDIRECT("'"&amp;$A47&amp;"'!$B$1"),IF(VLOOKUP(AH$1,INDIRECT("'"&amp;$A47&amp;"'!$A$12:$Z$41"),MATCH("Points (Auto-generate)",INDIRECT("'"&amp;$A47&amp;"'!$A$12:$Z$12"),0),0)="","?",VLOOKUP(AH$1,INDIRECT("'"&amp;$A47&amp;"'!$A$12:$Z$41"),MATCH("Points (Auto-generate)",INDIRECT("'"&amp;$A47&amp;"'!$A$12:$Z$12"),0),0)),"ER"))</f>
        <v>?</v>
      </c>
      <c r="AI47" s="86" t="str">
        <f aca="true">IF($H47=0,"NA",IF($A47=INDIRECT("'"&amp;$A47&amp;"'!$B$1"),IF(VLOOKUP(AI$1,INDIRECT("'"&amp;$A47&amp;"'!$A$12:$Z$41"),MATCH("Points (Auto-generate)",INDIRECT("'"&amp;$A47&amp;"'!$A$12:$Z$12"),0),0)="","?",VLOOKUP(AI$1,INDIRECT("'"&amp;$A47&amp;"'!$A$12:$Z$41"),MATCH("Points (Auto-generate)",INDIRECT("'"&amp;$A47&amp;"'!$A$12:$Z$12"),0),0)),"ER"))</f>
        <v>?</v>
      </c>
      <c r="AJ47" s="86" t="str">
        <f aca="true">IF($H47=0,"NA",IF($A47=INDIRECT("'"&amp;$A47&amp;"'!$B$1"),IF(VLOOKUP(AJ$1,INDIRECT("'"&amp;$A47&amp;"'!$A$12:$Z$41"),MATCH("Points (Auto-generate)",INDIRECT("'"&amp;$A47&amp;"'!$A$12:$Z$12"),0),0)="","?",VLOOKUP(AJ$1,INDIRECT("'"&amp;$A47&amp;"'!$A$12:$Z$41"),MATCH("Points (Auto-generate)",INDIRECT("'"&amp;$A47&amp;"'!$A$12:$Z$12"),0),0)),"ER"))</f>
        <v>?</v>
      </c>
      <c r="AK47" s="86" t="str">
        <f aca="true">IF($H47=0,"NA",IF($A47=INDIRECT("'"&amp;$A47&amp;"'!$B$1"),IF(VLOOKUP(AK$1,INDIRECT("'"&amp;$A47&amp;"'!$A$12:$Z$41"),MATCH("Points (Auto-generate)",INDIRECT("'"&amp;$A47&amp;"'!$A$12:$Z$12"),0),0)="","?",VLOOKUP(AK$1,INDIRECT("'"&amp;$A47&amp;"'!$A$12:$Z$41"),MATCH("Points (Auto-generate)",INDIRECT("'"&amp;$A47&amp;"'!$A$12:$Z$12"),0),0)),"ER"))</f>
        <v>?</v>
      </c>
    </row>
    <row r="48" customFormat="false" ht="14.25" hidden="false" customHeight="false" outlineLevel="0" collapsed="false">
      <c r="A48" s="82" t="s">
        <v>189</v>
      </c>
      <c r="B48" s="83" t="str">
        <f aca="false">IF(ISBLANK($A48),"NO_CODE",VLOOKUP($A48,'UPD Questions_290926 '!$E$1:$N$300,MATCH(B$1,'UPD Questions_290926 '!$E$1:$N$1,0),0)&amp;"")</f>
        <v>Implementation</v>
      </c>
      <c r="C48" s="83" t="str">
        <f aca="false">IF(ISBLANK($A48),"NO_CODE",VLOOKUP($A48,'UPD Questions_290926 '!$E$1:$N$300,MATCH(C$1,'UPD Questions_290926 '!$E$1:$N$1,0),0)&amp;"")</f>
        <v>Municipal/City Plan status, hierarchy and coordination</v>
      </c>
      <c r="D48" s="83" t="str">
        <f aca="false">IF(ISBLANK($A48),"NO_CODE",VLOOKUP($A48,'UPD Questions_290926 '!$E$1:$N$300,MATCH(D$1,'UPD Questions_290926 '!$E$1:$N$1,0),0)&amp;"")</f>
        <v>Objectives of the Municipal/City Plan</v>
      </c>
      <c r="E48" s="83" t="str">
        <f aca="false">IF(ISBLANK($A48),"NO_CODE",VLOOKUP($A48,'UPD Questions_290926 '!$E$1:$N$300,MATCH(E$1,'UPD Questions_290926 '!$E$1:$N$1,0),0)&amp;"")</f>
        <v>SQ</v>
      </c>
      <c r="F48" s="83" t="str">
        <f aca="false">IF(ISBLANK($A48),"NO_CODE",VLOOKUP($A48,'UPD Questions_290926 '!$E$1:$N$300,MATCH(F$1,'UPD Questions_290926 '!$E$1:$N$1,0),0)&amp;"")</f>
        <v>c) Affordable housing </v>
      </c>
      <c r="G48" s="83" t="str">
        <f aca="false">IF(ISBLANK($A48),"NO_CODE",VLOOKUP($A48,'UPD Questions_290926 '!$E$1:$N$300,MATCH(G$1,'UPD Questions_290926 '!$E$1:$N$1,0),0)&amp;"")</f>
        <v>Implementation</v>
      </c>
      <c r="H48" s="85" t="n">
        <f aca="false">IF(ISBLANK($A48),"NO_CODE",VLOOKUP($A48,'UPD Questions_290926 '!$E$1:$N$300,MATCH(H$1,'UPD Questions_290926 '!$E$1:$N$1,0),0))</f>
        <v>3.33</v>
      </c>
      <c r="I48" s="86" t="str">
        <f aca="true">IF($H48=0,"NA",IF($A48=INDIRECT("'"&amp;$A48&amp;"'!$B$1"),IF(VLOOKUP(I$1,INDIRECT("'"&amp;$A48&amp;"'!$A$12:$Z$41"),MATCH("Points (Auto-generate)",INDIRECT("'"&amp;$A48&amp;"'!$A$12:$Z$12"),0),0)="","?",VLOOKUP(I$1,INDIRECT("'"&amp;$A48&amp;"'!$A$12:$Z$41"),MATCH("Points (Auto-generate)",INDIRECT("'"&amp;$A48&amp;"'!$A$12:$Z$12"),0),0)),"ER"))</f>
        <v>?</v>
      </c>
      <c r="J48" s="86" t="n">
        <f aca="true">IF($H48=0,"NA",IF($A48=INDIRECT("'"&amp;$A48&amp;"'!$B$1"),IF(VLOOKUP(J$1,INDIRECT("'"&amp;$A48&amp;"'!$A$12:$Z$41"),MATCH("Points (Auto-generate)",INDIRECT("'"&amp;$A48&amp;"'!$A$12:$Z$12"),0),0)="","?",VLOOKUP(J$1,INDIRECT("'"&amp;$A48&amp;"'!$A$12:$Z$41"),MATCH("Points (Auto-generate)",INDIRECT("'"&amp;$A48&amp;"'!$A$12:$Z$12"),0),0)),"ER"))</f>
        <v>0</v>
      </c>
      <c r="K48" s="86" t="str">
        <f aca="true">IF($H48=0,"NA",IF($A48=INDIRECT("'"&amp;$A48&amp;"'!$B$1"),IF(VLOOKUP(K$1,INDIRECT("'"&amp;$A48&amp;"'!$A$12:$Z$41"),MATCH("Points (Auto-generate)",INDIRECT("'"&amp;$A48&amp;"'!$A$12:$Z$12"),0),0)="","?",VLOOKUP(K$1,INDIRECT("'"&amp;$A48&amp;"'!$A$12:$Z$41"),MATCH("Points (Auto-generate)",INDIRECT("'"&amp;$A48&amp;"'!$A$12:$Z$12"),0),0)),"ER"))</f>
        <v>?</v>
      </c>
      <c r="L48" s="86" t="str">
        <f aca="true">IF($H48=0,"NA",IF($A48=INDIRECT("'"&amp;$A48&amp;"'!$B$1"),IF(VLOOKUP(L$1,INDIRECT("'"&amp;$A48&amp;"'!$A$12:$Z$41"),MATCH("Points (Auto-generate)",INDIRECT("'"&amp;$A48&amp;"'!$A$12:$Z$12"),0),0)="","?",VLOOKUP(L$1,INDIRECT("'"&amp;$A48&amp;"'!$A$12:$Z$41"),MATCH("Points (Auto-generate)",INDIRECT("'"&amp;$A48&amp;"'!$A$12:$Z$12"),0),0)),"ER"))</f>
        <v>?</v>
      </c>
      <c r="M48" s="86" t="str">
        <f aca="true">IF($H48=0,"NA",IF($A48=INDIRECT("'"&amp;$A48&amp;"'!$B$1"),IF(VLOOKUP(M$1,INDIRECT("'"&amp;$A48&amp;"'!$A$12:$Z$41"),MATCH("Points (Auto-generate)",INDIRECT("'"&amp;$A48&amp;"'!$A$12:$Z$12"),0),0)="","?",VLOOKUP(M$1,INDIRECT("'"&amp;$A48&amp;"'!$A$12:$Z$41"),MATCH("Points (Auto-generate)",INDIRECT("'"&amp;$A48&amp;"'!$A$12:$Z$12"),0),0)),"ER"))</f>
        <v>?</v>
      </c>
      <c r="N48" s="86" t="str">
        <f aca="true">IF($H48=0,"NA",IF($A48=INDIRECT("'"&amp;$A48&amp;"'!$B$1"),IF(VLOOKUP(N$1,INDIRECT("'"&amp;$A48&amp;"'!$A$12:$Z$41"),MATCH("Points (Auto-generate)",INDIRECT("'"&amp;$A48&amp;"'!$A$12:$Z$12"),0),0)="","?",VLOOKUP(N$1,INDIRECT("'"&amp;$A48&amp;"'!$A$12:$Z$41"),MATCH("Points (Auto-generate)",INDIRECT("'"&amp;$A48&amp;"'!$A$12:$Z$12"),0),0)),"ER"))</f>
        <v>?</v>
      </c>
      <c r="O48" s="86" t="str">
        <f aca="true">IF($H48=0,"NA",IF($A48=INDIRECT("'"&amp;$A48&amp;"'!$B$1"),IF(VLOOKUP(O$1,INDIRECT("'"&amp;$A48&amp;"'!$A$12:$Z$41"),MATCH("Points (Auto-generate)",INDIRECT("'"&amp;$A48&amp;"'!$A$12:$Z$12"),0),0)="","?",VLOOKUP(O$1,INDIRECT("'"&amp;$A48&amp;"'!$A$12:$Z$41"),MATCH("Points (Auto-generate)",INDIRECT("'"&amp;$A48&amp;"'!$A$12:$Z$12"),0),0)),"ER"))</f>
        <v>?</v>
      </c>
      <c r="P48" s="86" t="str">
        <f aca="true">IF($H48=0,"NA",IF($A48=INDIRECT("'"&amp;$A48&amp;"'!$B$1"),IF(VLOOKUP(P$1,INDIRECT("'"&amp;$A48&amp;"'!$A$12:$Z$41"),MATCH("Points (Auto-generate)",INDIRECT("'"&amp;$A48&amp;"'!$A$12:$Z$12"),0),0)="","?",VLOOKUP(P$1,INDIRECT("'"&amp;$A48&amp;"'!$A$12:$Z$41"),MATCH("Points (Auto-generate)",INDIRECT("'"&amp;$A48&amp;"'!$A$12:$Z$12"),0),0)),"ER"))</f>
        <v>?</v>
      </c>
      <c r="Q48" s="86" t="str">
        <f aca="true">IF($H48=0,"NA",IF($A48=INDIRECT("'"&amp;$A48&amp;"'!$B$1"),IF(VLOOKUP(Q$1,INDIRECT("'"&amp;$A48&amp;"'!$A$12:$Z$41"),MATCH("Points (Auto-generate)",INDIRECT("'"&amp;$A48&amp;"'!$A$12:$Z$12"),0),0)="","?",VLOOKUP(Q$1,INDIRECT("'"&amp;$A48&amp;"'!$A$12:$Z$41"),MATCH("Points (Auto-generate)",INDIRECT("'"&amp;$A48&amp;"'!$A$12:$Z$12"),0),0)),"ER"))</f>
        <v>?</v>
      </c>
      <c r="R48" s="86" t="str">
        <f aca="true">IF($H48=0,"NA",IF($A48=INDIRECT("'"&amp;$A48&amp;"'!$B$1"),IF(VLOOKUP(R$1,INDIRECT("'"&amp;$A48&amp;"'!$A$12:$Z$41"),MATCH("Points (Auto-generate)",INDIRECT("'"&amp;$A48&amp;"'!$A$12:$Z$12"),0),0)="","?",VLOOKUP(R$1,INDIRECT("'"&amp;$A48&amp;"'!$A$12:$Z$41"),MATCH("Points (Auto-generate)",INDIRECT("'"&amp;$A48&amp;"'!$A$12:$Z$12"),0),0)),"ER"))</f>
        <v>?</v>
      </c>
      <c r="S48" s="86" t="str">
        <f aca="true">IF($H48=0,"NA",IF($A48=INDIRECT("'"&amp;$A48&amp;"'!$B$1"),IF(VLOOKUP(S$1,INDIRECT("'"&amp;$A48&amp;"'!$A$12:$Z$41"),MATCH("Points (Auto-generate)",INDIRECT("'"&amp;$A48&amp;"'!$A$12:$Z$12"),0),0)="","?",VLOOKUP(S$1,INDIRECT("'"&amp;$A48&amp;"'!$A$12:$Z$41"),MATCH("Points (Auto-generate)",INDIRECT("'"&amp;$A48&amp;"'!$A$12:$Z$12"),0),0)),"ER"))</f>
        <v>?</v>
      </c>
      <c r="T48" s="86" t="str">
        <f aca="true">IF($H48=0,"NA",IF($A48=INDIRECT("'"&amp;$A48&amp;"'!$B$1"),IF(VLOOKUP(T$1,INDIRECT("'"&amp;$A48&amp;"'!$A$12:$Z$41"),MATCH("Points (Auto-generate)",INDIRECT("'"&amp;$A48&amp;"'!$A$12:$Z$12"),0),0)="","?",VLOOKUP(T$1,INDIRECT("'"&amp;$A48&amp;"'!$A$12:$Z$41"),MATCH("Points (Auto-generate)",INDIRECT("'"&amp;$A48&amp;"'!$A$12:$Z$12"),0),0)),"ER"))</f>
        <v>?</v>
      </c>
      <c r="U48" s="86" t="str">
        <f aca="true">IF($H48=0,"NA",IF($A48=INDIRECT("'"&amp;$A48&amp;"'!$B$1"),IF(VLOOKUP(U$1,INDIRECT("'"&amp;$A48&amp;"'!$A$12:$Z$41"),MATCH("Points (Auto-generate)",INDIRECT("'"&amp;$A48&amp;"'!$A$12:$Z$12"),0),0)="","?",VLOOKUP(U$1,INDIRECT("'"&amp;$A48&amp;"'!$A$12:$Z$41"),MATCH("Points (Auto-generate)",INDIRECT("'"&amp;$A48&amp;"'!$A$12:$Z$12"),0),0)),"ER"))</f>
        <v>?</v>
      </c>
      <c r="V48" s="86" t="str">
        <f aca="true">IF($H48=0,"NA",IF($A48=INDIRECT("'"&amp;$A48&amp;"'!$B$1"),IF(VLOOKUP(V$1,INDIRECT("'"&amp;$A48&amp;"'!$A$12:$Z$41"),MATCH("Points (Auto-generate)",INDIRECT("'"&amp;$A48&amp;"'!$A$12:$Z$12"),0),0)="","?",VLOOKUP(V$1,INDIRECT("'"&amp;$A48&amp;"'!$A$12:$Z$41"),MATCH("Points (Auto-generate)",INDIRECT("'"&amp;$A48&amp;"'!$A$12:$Z$12"),0),0)),"ER"))</f>
        <v>?</v>
      </c>
      <c r="W48" s="86" t="str">
        <f aca="true">IF($H48=0,"NA",IF($A48=INDIRECT("'"&amp;$A48&amp;"'!$B$1"),IF(VLOOKUP(W$1,INDIRECT("'"&amp;$A48&amp;"'!$A$12:$Z$41"),MATCH("Points (Auto-generate)",INDIRECT("'"&amp;$A48&amp;"'!$A$12:$Z$12"),0),0)="","?",VLOOKUP(W$1,INDIRECT("'"&amp;$A48&amp;"'!$A$12:$Z$41"),MATCH("Points (Auto-generate)",INDIRECT("'"&amp;$A48&amp;"'!$A$12:$Z$12"),0),0)),"ER"))</f>
        <v>?</v>
      </c>
      <c r="X48" s="86" t="str">
        <f aca="true">IF($H48=0,"NA",IF($A48=INDIRECT("'"&amp;$A48&amp;"'!$B$1"),IF(VLOOKUP(X$1,INDIRECT("'"&amp;$A48&amp;"'!$A$12:$Z$41"),MATCH("Points (Auto-generate)",INDIRECT("'"&amp;$A48&amp;"'!$A$12:$Z$12"),0),0)="","?",VLOOKUP(X$1,INDIRECT("'"&amp;$A48&amp;"'!$A$12:$Z$41"),MATCH("Points (Auto-generate)",INDIRECT("'"&amp;$A48&amp;"'!$A$12:$Z$12"),0),0)),"ER"))</f>
        <v>?</v>
      </c>
      <c r="Y48" s="86" t="str">
        <f aca="true">IF($H48=0,"NA",IF($A48=INDIRECT("'"&amp;$A48&amp;"'!$B$1"),IF(VLOOKUP(Y$1,INDIRECT("'"&amp;$A48&amp;"'!$A$12:$Z$41"),MATCH("Points (Auto-generate)",INDIRECT("'"&amp;$A48&amp;"'!$A$12:$Z$12"),0),0)="","?",VLOOKUP(Y$1,INDIRECT("'"&amp;$A48&amp;"'!$A$12:$Z$41"),MATCH("Points (Auto-generate)",INDIRECT("'"&amp;$A48&amp;"'!$A$12:$Z$12"),0),0)),"ER"))</f>
        <v>?</v>
      </c>
      <c r="Z48" s="86" t="str">
        <f aca="true">IF($H48=0,"NA",IF($A48=INDIRECT("'"&amp;$A48&amp;"'!$B$1"),IF(VLOOKUP(Z$1,INDIRECT("'"&amp;$A48&amp;"'!$A$12:$Z$41"),MATCH("Points (Auto-generate)",INDIRECT("'"&amp;$A48&amp;"'!$A$12:$Z$12"),0),0)="","?",VLOOKUP(Z$1,INDIRECT("'"&amp;$A48&amp;"'!$A$12:$Z$41"),MATCH("Points (Auto-generate)",INDIRECT("'"&amp;$A48&amp;"'!$A$12:$Z$12"),0),0)),"ER"))</f>
        <v>?</v>
      </c>
      <c r="AA48" s="86" t="str">
        <f aca="true">IF($H48=0,"NA",IF($A48=INDIRECT("'"&amp;$A48&amp;"'!$B$1"),IF(VLOOKUP(AA$1,INDIRECT("'"&amp;$A48&amp;"'!$A$12:$Z$41"),MATCH("Points (Auto-generate)",INDIRECT("'"&amp;$A48&amp;"'!$A$12:$Z$12"),0),0)="","?",VLOOKUP(AA$1,INDIRECT("'"&amp;$A48&amp;"'!$A$12:$Z$41"),MATCH("Points (Auto-generate)",INDIRECT("'"&amp;$A48&amp;"'!$A$12:$Z$12"),0),0)),"ER"))</f>
        <v>?</v>
      </c>
      <c r="AB48" s="86" t="str">
        <f aca="true">IF($H48=0,"NA",IF($A48=INDIRECT("'"&amp;$A48&amp;"'!$B$1"),IF(VLOOKUP(AB$1,INDIRECT("'"&amp;$A48&amp;"'!$A$12:$Z$41"),MATCH("Points (Auto-generate)",INDIRECT("'"&amp;$A48&amp;"'!$A$12:$Z$12"),0),0)="","?",VLOOKUP(AB$1,INDIRECT("'"&amp;$A48&amp;"'!$A$12:$Z$41"),MATCH("Points (Auto-generate)",INDIRECT("'"&amp;$A48&amp;"'!$A$12:$Z$12"),0),0)),"ER"))</f>
        <v>?</v>
      </c>
      <c r="AC48" s="86" t="str">
        <f aca="true">IF($H48=0,"NA",IF($A48=INDIRECT("'"&amp;$A48&amp;"'!$B$1"),IF(VLOOKUP(AC$1,INDIRECT("'"&amp;$A48&amp;"'!$A$12:$Z$41"),MATCH("Points (Auto-generate)",INDIRECT("'"&amp;$A48&amp;"'!$A$12:$Z$12"),0),0)="","?",VLOOKUP(AC$1,INDIRECT("'"&amp;$A48&amp;"'!$A$12:$Z$41"),MATCH("Points (Auto-generate)",INDIRECT("'"&amp;$A48&amp;"'!$A$12:$Z$12"),0),0)),"ER"))</f>
        <v>?</v>
      </c>
      <c r="AD48" s="86" t="str">
        <f aca="true">IF($H48=0,"NA",IF($A48=INDIRECT("'"&amp;$A48&amp;"'!$B$1"),IF(VLOOKUP(AD$1,INDIRECT("'"&amp;$A48&amp;"'!$A$12:$Z$41"),MATCH("Points (Auto-generate)",INDIRECT("'"&amp;$A48&amp;"'!$A$12:$Z$12"),0),0)="","?",VLOOKUP(AD$1,INDIRECT("'"&amp;$A48&amp;"'!$A$12:$Z$41"),MATCH("Points (Auto-generate)",INDIRECT("'"&amp;$A48&amp;"'!$A$12:$Z$12"),0),0)),"ER"))</f>
        <v>?</v>
      </c>
      <c r="AE48" s="86" t="str">
        <f aca="true">IF($H48=0,"NA",IF($A48=INDIRECT("'"&amp;$A48&amp;"'!$B$1"),IF(VLOOKUP(AE$1,INDIRECT("'"&amp;$A48&amp;"'!$A$12:$Z$41"),MATCH("Points (Auto-generate)",INDIRECT("'"&amp;$A48&amp;"'!$A$12:$Z$12"),0),0)="","?",VLOOKUP(AE$1,INDIRECT("'"&amp;$A48&amp;"'!$A$12:$Z$41"),MATCH("Points (Auto-generate)",INDIRECT("'"&amp;$A48&amp;"'!$A$12:$Z$12"),0),0)),"ER"))</f>
        <v>?</v>
      </c>
      <c r="AF48" s="86" t="str">
        <f aca="true">IF($H48=0,"NA",IF($A48=INDIRECT("'"&amp;$A48&amp;"'!$B$1"),IF(VLOOKUP(AF$1,INDIRECT("'"&amp;$A48&amp;"'!$A$12:$Z$41"),MATCH("Points (Auto-generate)",INDIRECT("'"&amp;$A48&amp;"'!$A$12:$Z$12"),0),0)="","?",VLOOKUP(AF$1,INDIRECT("'"&amp;$A48&amp;"'!$A$12:$Z$41"),MATCH("Points (Auto-generate)",INDIRECT("'"&amp;$A48&amp;"'!$A$12:$Z$12"),0),0)),"ER"))</f>
        <v>?</v>
      </c>
      <c r="AG48" s="86" t="str">
        <f aca="true">IF($H48=0,"NA",IF($A48=INDIRECT("'"&amp;$A48&amp;"'!$B$1"),IF(VLOOKUP(AG$1,INDIRECT("'"&amp;$A48&amp;"'!$A$12:$Z$41"),MATCH("Points (Auto-generate)",INDIRECT("'"&amp;$A48&amp;"'!$A$12:$Z$12"),0),0)="","?",VLOOKUP(AG$1,INDIRECT("'"&amp;$A48&amp;"'!$A$12:$Z$41"),MATCH("Points (Auto-generate)",INDIRECT("'"&amp;$A48&amp;"'!$A$12:$Z$12"),0),0)),"ER"))</f>
        <v>?</v>
      </c>
      <c r="AH48" s="86" t="str">
        <f aca="true">IF($H48=0,"NA",IF($A48=INDIRECT("'"&amp;$A48&amp;"'!$B$1"),IF(VLOOKUP(AH$1,INDIRECT("'"&amp;$A48&amp;"'!$A$12:$Z$41"),MATCH("Points (Auto-generate)",INDIRECT("'"&amp;$A48&amp;"'!$A$12:$Z$12"),0),0)="","?",VLOOKUP(AH$1,INDIRECT("'"&amp;$A48&amp;"'!$A$12:$Z$41"),MATCH("Points (Auto-generate)",INDIRECT("'"&amp;$A48&amp;"'!$A$12:$Z$12"),0),0)),"ER"))</f>
        <v>?</v>
      </c>
      <c r="AI48" s="86" t="str">
        <f aca="true">IF($H48=0,"NA",IF($A48=INDIRECT("'"&amp;$A48&amp;"'!$B$1"),IF(VLOOKUP(AI$1,INDIRECT("'"&amp;$A48&amp;"'!$A$12:$Z$41"),MATCH("Points (Auto-generate)",INDIRECT("'"&amp;$A48&amp;"'!$A$12:$Z$12"),0),0)="","?",VLOOKUP(AI$1,INDIRECT("'"&amp;$A48&amp;"'!$A$12:$Z$41"),MATCH("Points (Auto-generate)",INDIRECT("'"&amp;$A48&amp;"'!$A$12:$Z$12"),0),0)),"ER"))</f>
        <v>?</v>
      </c>
      <c r="AJ48" s="86" t="str">
        <f aca="true">IF($H48=0,"NA",IF($A48=INDIRECT("'"&amp;$A48&amp;"'!$B$1"),IF(VLOOKUP(AJ$1,INDIRECT("'"&amp;$A48&amp;"'!$A$12:$Z$41"),MATCH("Points (Auto-generate)",INDIRECT("'"&amp;$A48&amp;"'!$A$12:$Z$12"),0),0)="","?",VLOOKUP(AJ$1,INDIRECT("'"&amp;$A48&amp;"'!$A$12:$Z$41"),MATCH("Points (Auto-generate)",INDIRECT("'"&amp;$A48&amp;"'!$A$12:$Z$12"),0),0)),"ER"))</f>
        <v>?</v>
      </c>
      <c r="AK48" s="86" t="str">
        <f aca="true">IF($H48=0,"NA",IF($A48=INDIRECT("'"&amp;$A48&amp;"'!$B$1"),IF(VLOOKUP(AK$1,INDIRECT("'"&amp;$A48&amp;"'!$A$12:$Z$41"),MATCH("Points (Auto-generate)",INDIRECT("'"&amp;$A48&amp;"'!$A$12:$Z$12"),0),0)="","?",VLOOKUP(AK$1,INDIRECT("'"&amp;$A48&amp;"'!$A$12:$Z$41"),MATCH("Points (Auto-generate)",INDIRECT("'"&amp;$A48&amp;"'!$A$12:$Z$12"),0),0)),"ER"))</f>
        <v>?</v>
      </c>
    </row>
    <row r="49" customFormat="false" ht="14.25" hidden="false" customHeight="false" outlineLevel="0" collapsed="false">
      <c r="A49" s="82" t="s">
        <v>192</v>
      </c>
      <c r="B49" s="83" t="str">
        <f aca="false">IF(ISBLANK($A49),"NO_CODE",VLOOKUP($A49,'UPD Questions_290926 '!$E$1:$N$300,MATCH(B$1,'UPD Questions_290926 '!$E$1:$N$1,0),0)&amp;"")</f>
        <v>Implementation</v>
      </c>
      <c r="C49" s="83" t="str">
        <f aca="false">IF(ISBLANK($A49),"NO_CODE",VLOOKUP($A49,'UPD Questions_290926 '!$E$1:$N$300,MATCH(C$1,'UPD Questions_290926 '!$E$1:$N$1,0),0)&amp;"")</f>
        <v>Municipal/City Plan status, hierarchy and coordination</v>
      </c>
      <c r="D49" s="83" t="str">
        <f aca="false">IF(ISBLANK($A49),"NO_CODE",VLOOKUP($A49,'UPD Questions_290926 '!$E$1:$N$300,MATCH(D$1,'UPD Questions_290926 '!$E$1:$N$1,0),0)&amp;"")</f>
        <v>Objectives of the Municipal/City Plan</v>
      </c>
      <c r="E49" s="83" t="str">
        <f aca="false">IF(ISBLANK($A49),"NO_CODE",VLOOKUP($A49,'UPD Questions_290926 '!$E$1:$N$300,MATCH(E$1,'UPD Questions_290926 '!$E$1:$N$1,0),0)&amp;"")</f>
        <v>MQ</v>
      </c>
      <c r="F49" s="83" t="str">
        <f aca="false">IF(ISBLANK($A49),"NO_CODE",VLOOKUP($A49,'UPD Questions_290926 '!$E$1:$N$300,MATCH(F$1,'UPD Questions_290926 '!$E$1:$N$1,0),0)&amp;"")</f>
        <v>Does the municipal/city plan include objectives for women?</v>
      </c>
      <c r="G49" s="83" t="str">
        <f aca="false">IF(ISBLANK($A49),"NO_CODE",VLOOKUP($A49,'UPD Questions_290926 '!$E$1:$N$300,MATCH(G$1,'UPD Questions_290926 '!$E$1:$N$1,0),0)&amp;"")</f>
        <v>Implementation</v>
      </c>
      <c r="H49" s="85" t="n">
        <f aca="false">IF(ISBLANK($A49),"NO_CODE",VLOOKUP($A49,'UPD Questions_290926 '!$E$1:$N$300,MATCH(H$1,'UPD Questions_290926 '!$E$1:$N$1,0),0))</f>
        <v>10</v>
      </c>
      <c r="I49" s="86" t="str">
        <f aca="true">IF($H49=0,"NA",IF($A49=INDIRECT("'"&amp;$A49&amp;"'!$B$1"),IF(VLOOKUP(I$1,INDIRECT("'"&amp;$A49&amp;"'!$A$12:$Z$41"),MATCH("Points (Auto-generate)",INDIRECT("'"&amp;$A49&amp;"'!$A$12:$Z$12"),0),0)="","?",VLOOKUP(I$1,INDIRECT("'"&amp;$A49&amp;"'!$A$12:$Z$41"),MATCH("Points (Auto-generate)",INDIRECT("'"&amp;$A49&amp;"'!$A$12:$Z$12"),0),0)),"ER"))</f>
        <v>?</v>
      </c>
      <c r="J49" s="86" t="n">
        <f aca="true">IF($H49=0,"NA",IF($A49=INDIRECT("'"&amp;$A49&amp;"'!$B$1"),IF(VLOOKUP(J$1,INDIRECT("'"&amp;$A49&amp;"'!$A$12:$Z$41"),MATCH("Points (Auto-generate)",INDIRECT("'"&amp;$A49&amp;"'!$A$12:$Z$12"),0),0)="","?",VLOOKUP(J$1,INDIRECT("'"&amp;$A49&amp;"'!$A$12:$Z$41"),MATCH("Points (Auto-generate)",INDIRECT("'"&amp;$A49&amp;"'!$A$12:$Z$12"),0),0)),"ER"))</f>
        <v>0</v>
      </c>
      <c r="K49" s="86" t="str">
        <f aca="true">IF($H49=0,"NA",IF($A49=INDIRECT("'"&amp;$A49&amp;"'!$B$1"),IF(VLOOKUP(K$1,INDIRECT("'"&amp;$A49&amp;"'!$A$12:$Z$41"),MATCH("Points (Auto-generate)",INDIRECT("'"&amp;$A49&amp;"'!$A$12:$Z$12"),0),0)="","?",VLOOKUP(K$1,INDIRECT("'"&amp;$A49&amp;"'!$A$12:$Z$41"),MATCH("Points (Auto-generate)",INDIRECT("'"&amp;$A49&amp;"'!$A$12:$Z$12"),0),0)),"ER"))</f>
        <v>?</v>
      </c>
      <c r="L49" s="86" t="str">
        <f aca="true">IF($H49=0,"NA",IF($A49=INDIRECT("'"&amp;$A49&amp;"'!$B$1"),IF(VLOOKUP(L$1,INDIRECT("'"&amp;$A49&amp;"'!$A$12:$Z$41"),MATCH("Points (Auto-generate)",INDIRECT("'"&amp;$A49&amp;"'!$A$12:$Z$12"),0),0)="","?",VLOOKUP(L$1,INDIRECT("'"&amp;$A49&amp;"'!$A$12:$Z$41"),MATCH("Points (Auto-generate)",INDIRECT("'"&amp;$A49&amp;"'!$A$12:$Z$12"),0),0)),"ER"))</f>
        <v>?</v>
      </c>
      <c r="M49" s="86" t="str">
        <f aca="true">IF($H49=0,"NA",IF($A49=INDIRECT("'"&amp;$A49&amp;"'!$B$1"),IF(VLOOKUP(M$1,INDIRECT("'"&amp;$A49&amp;"'!$A$12:$Z$41"),MATCH("Points (Auto-generate)",INDIRECT("'"&amp;$A49&amp;"'!$A$12:$Z$12"),0),0)="","?",VLOOKUP(M$1,INDIRECT("'"&amp;$A49&amp;"'!$A$12:$Z$41"),MATCH("Points (Auto-generate)",INDIRECT("'"&amp;$A49&amp;"'!$A$12:$Z$12"),0),0)),"ER"))</f>
        <v>?</v>
      </c>
      <c r="N49" s="86" t="str">
        <f aca="true">IF($H49=0,"NA",IF($A49=INDIRECT("'"&amp;$A49&amp;"'!$B$1"),IF(VLOOKUP(N$1,INDIRECT("'"&amp;$A49&amp;"'!$A$12:$Z$41"),MATCH("Points (Auto-generate)",INDIRECT("'"&amp;$A49&amp;"'!$A$12:$Z$12"),0),0)="","?",VLOOKUP(N$1,INDIRECT("'"&amp;$A49&amp;"'!$A$12:$Z$41"),MATCH("Points (Auto-generate)",INDIRECT("'"&amp;$A49&amp;"'!$A$12:$Z$12"),0),0)),"ER"))</f>
        <v>?</v>
      </c>
      <c r="O49" s="86" t="str">
        <f aca="true">IF($H49=0,"NA",IF($A49=INDIRECT("'"&amp;$A49&amp;"'!$B$1"),IF(VLOOKUP(O$1,INDIRECT("'"&amp;$A49&amp;"'!$A$12:$Z$41"),MATCH("Points (Auto-generate)",INDIRECT("'"&amp;$A49&amp;"'!$A$12:$Z$12"),0),0)="","?",VLOOKUP(O$1,INDIRECT("'"&amp;$A49&amp;"'!$A$12:$Z$41"),MATCH("Points (Auto-generate)",INDIRECT("'"&amp;$A49&amp;"'!$A$12:$Z$12"),0),0)),"ER"))</f>
        <v>?</v>
      </c>
      <c r="P49" s="86" t="str">
        <f aca="true">IF($H49=0,"NA",IF($A49=INDIRECT("'"&amp;$A49&amp;"'!$B$1"),IF(VLOOKUP(P$1,INDIRECT("'"&amp;$A49&amp;"'!$A$12:$Z$41"),MATCH("Points (Auto-generate)",INDIRECT("'"&amp;$A49&amp;"'!$A$12:$Z$12"),0),0)="","?",VLOOKUP(P$1,INDIRECT("'"&amp;$A49&amp;"'!$A$12:$Z$41"),MATCH("Points (Auto-generate)",INDIRECT("'"&amp;$A49&amp;"'!$A$12:$Z$12"),0),0)),"ER"))</f>
        <v>?</v>
      </c>
      <c r="Q49" s="86" t="str">
        <f aca="true">IF($H49=0,"NA",IF($A49=INDIRECT("'"&amp;$A49&amp;"'!$B$1"),IF(VLOOKUP(Q$1,INDIRECT("'"&amp;$A49&amp;"'!$A$12:$Z$41"),MATCH("Points (Auto-generate)",INDIRECT("'"&amp;$A49&amp;"'!$A$12:$Z$12"),0),0)="","?",VLOOKUP(Q$1,INDIRECT("'"&amp;$A49&amp;"'!$A$12:$Z$41"),MATCH("Points (Auto-generate)",INDIRECT("'"&amp;$A49&amp;"'!$A$12:$Z$12"),0),0)),"ER"))</f>
        <v>?</v>
      </c>
      <c r="R49" s="86" t="str">
        <f aca="true">IF($H49=0,"NA",IF($A49=INDIRECT("'"&amp;$A49&amp;"'!$B$1"),IF(VLOOKUP(R$1,INDIRECT("'"&amp;$A49&amp;"'!$A$12:$Z$41"),MATCH("Points (Auto-generate)",INDIRECT("'"&amp;$A49&amp;"'!$A$12:$Z$12"),0),0)="","?",VLOOKUP(R$1,INDIRECT("'"&amp;$A49&amp;"'!$A$12:$Z$41"),MATCH("Points (Auto-generate)",INDIRECT("'"&amp;$A49&amp;"'!$A$12:$Z$12"),0),0)),"ER"))</f>
        <v>?</v>
      </c>
      <c r="S49" s="86" t="str">
        <f aca="true">IF($H49=0,"NA",IF($A49=INDIRECT("'"&amp;$A49&amp;"'!$B$1"),IF(VLOOKUP(S$1,INDIRECT("'"&amp;$A49&amp;"'!$A$12:$Z$41"),MATCH("Points (Auto-generate)",INDIRECT("'"&amp;$A49&amp;"'!$A$12:$Z$12"),0),0)="","?",VLOOKUP(S$1,INDIRECT("'"&amp;$A49&amp;"'!$A$12:$Z$41"),MATCH("Points (Auto-generate)",INDIRECT("'"&amp;$A49&amp;"'!$A$12:$Z$12"),0),0)),"ER"))</f>
        <v>?</v>
      </c>
      <c r="T49" s="86" t="str">
        <f aca="true">IF($H49=0,"NA",IF($A49=INDIRECT("'"&amp;$A49&amp;"'!$B$1"),IF(VLOOKUP(T$1,INDIRECT("'"&amp;$A49&amp;"'!$A$12:$Z$41"),MATCH("Points (Auto-generate)",INDIRECT("'"&amp;$A49&amp;"'!$A$12:$Z$12"),0),0)="","?",VLOOKUP(T$1,INDIRECT("'"&amp;$A49&amp;"'!$A$12:$Z$41"),MATCH("Points (Auto-generate)",INDIRECT("'"&amp;$A49&amp;"'!$A$12:$Z$12"),0),0)),"ER"))</f>
        <v>?</v>
      </c>
      <c r="U49" s="86" t="str">
        <f aca="true">IF($H49=0,"NA",IF($A49=INDIRECT("'"&amp;$A49&amp;"'!$B$1"),IF(VLOOKUP(U$1,INDIRECT("'"&amp;$A49&amp;"'!$A$12:$Z$41"),MATCH("Points (Auto-generate)",INDIRECT("'"&amp;$A49&amp;"'!$A$12:$Z$12"),0),0)="","?",VLOOKUP(U$1,INDIRECT("'"&amp;$A49&amp;"'!$A$12:$Z$41"),MATCH("Points (Auto-generate)",INDIRECT("'"&amp;$A49&amp;"'!$A$12:$Z$12"),0),0)),"ER"))</f>
        <v>?</v>
      </c>
      <c r="V49" s="86" t="str">
        <f aca="true">IF($H49=0,"NA",IF($A49=INDIRECT("'"&amp;$A49&amp;"'!$B$1"),IF(VLOOKUP(V$1,INDIRECT("'"&amp;$A49&amp;"'!$A$12:$Z$41"),MATCH("Points (Auto-generate)",INDIRECT("'"&amp;$A49&amp;"'!$A$12:$Z$12"),0),0)="","?",VLOOKUP(V$1,INDIRECT("'"&amp;$A49&amp;"'!$A$12:$Z$41"),MATCH("Points (Auto-generate)",INDIRECT("'"&amp;$A49&amp;"'!$A$12:$Z$12"),0),0)),"ER"))</f>
        <v>?</v>
      </c>
      <c r="W49" s="86" t="str">
        <f aca="true">IF($H49=0,"NA",IF($A49=INDIRECT("'"&amp;$A49&amp;"'!$B$1"),IF(VLOOKUP(W$1,INDIRECT("'"&amp;$A49&amp;"'!$A$12:$Z$41"),MATCH("Points (Auto-generate)",INDIRECT("'"&amp;$A49&amp;"'!$A$12:$Z$12"),0),0)="","?",VLOOKUP(W$1,INDIRECT("'"&amp;$A49&amp;"'!$A$12:$Z$41"),MATCH("Points (Auto-generate)",INDIRECT("'"&amp;$A49&amp;"'!$A$12:$Z$12"),0),0)),"ER"))</f>
        <v>?</v>
      </c>
      <c r="X49" s="86" t="str">
        <f aca="true">IF($H49=0,"NA",IF($A49=INDIRECT("'"&amp;$A49&amp;"'!$B$1"),IF(VLOOKUP(X$1,INDIRECT("'"&amp;$A49&amp;"'!$A$12:$Z$41"),MATCH("Points (Auto-generate)",INDIRECT("'"&amp;$A49&amp;"'!$A$12:$Z$12"),0),0)="","?",VLOOKUP(X$1,INDIRECT("'"&amp;$A49&amp;"'!$A$12:$Z$41"),MATCH("Points (Auto-generate)",INDIRECT("'"&amp;$A49&amp;"'!$A$12:$Z$12"),0),0)),"ER"))</f>
        <v>?</v>
      </c>
      <c r="Y49" s="86" t="str">
        <f aca="true">IF($H49=0,"NA",IF($A49=INDIRECT("'"&amp;$A49&amp;"'!$B$1"),IF(VLOOKUP(Y$1,INDIRECT("'"&amp;$A49&amp;"'!$A$12:$Z$41"),MATCH("Points (Auto-generate)",INDIRECT("'"&amp;$A49&amp;"'!$A$12:$Z$12"),0),0)="","?",VLOOKUP(Y$1,INDIRECT("'"&amp;$A49&amp;"'!$A$12:$Z$41"),MATCH("Points (Auto-generate)",INDIRECT("'"&amp;$A49&amp;"'!$A$12:$Z$12"),0),0)),"ER"))</f>
        <v>?</v>
      </c>
      <c r="Z49" s="86" t="str">
        <f aca="true">IF($H49=0,"NA",IF($A49=INDIRECT("'"&amp;$A49&amp;"'!$B$1"),IF(VLOOKUP(Z$1,INDIRECT("'"&amp;$A49&amp;"'!$A$12:$Z$41"),MATCH("Points (Auto-generate)",INDIRECT("'"&amp;$A49&amp;"'!$A$12:$Z$12"),0),0)="","?",VLOOKUP(Z$1,INDIRECT("'"&amp;$A49&amp;"'!$A$12:$Z$41"),MATCH("Points (Auto-generate)",INDIRECT("'"&amp;$A49&amp;"'!$A$12:$Z$12"),0),0)),"ER"))</f>
        <v>?</v>
      </c>
      <c r="AA49" s="86" t="str">
        <f aca="true">IF($H49=0,"NA",IF($A49=INDIRECT("'"&amp;$A49&amp;"'!$B$1"),IF(VLOOKUP(AA$1,INDIRECT("'"&amp;$A49&amp;"'!$A$12:$Z$41"),MATCH("Points (Auto-generate)",INDIRECT("'"&amp;$A49&amp;"'!$A$12:$Z$12"),0),0)="","?",VLOOKUP(AA$1,INDIRECT("'"&amp;$A49&amp;"'!$A$12:$Z$41"),MATCH("Points (Auto-generate)",INDIRECT("'"&amp;$A49&amp;"'!$A$12:$Z$12"),0),0)),"ER"))</f>
        <v>?</v>
      </c>
      <c r="AB49" s="86" t="str">
        <f aca="true">IF($H49=0,"NA",IF($A49=INDIRECT("'"&amp;$A49&amp;"'!$B$1"),IF(VLOOKUP(AB$1,INDIRECT("'"&amp;$A49&amp;"'!$A$12:$Z$41"),MATCH("Points (Auto-generate)",INDIRECT("'"&amp;$A49&amp;"'!$A$12:$Z$12"),0),0)="","?",VLOOKUP(AB$1,INDIRECT("'"&amp;$A49&amp;"'!$A$12:$Z$41"),MATCH("Points (Auto-generate)",INDIRECT("'"&amp;$A49&amp;"'!$A$12:$Z$12"),0),0)),"ER"))</f>
        <v>?</v>
      </c>
      <c r="AC49" s="86" t="str">
        <f aca="true">IF($H49=0,"NA",IF($A49=INDIRECT("'"&amp;$A49&amp;"'!$B$1"),IF(VLOOKUP(AC$1,INDIRECT("'"&amp;$A49&amp;"'!$A$12:$Z$41"),MATCH("Points (Auto-generate)",INDIRECT("'"&amp;$A49&amp;"'!$A$12:$Z$12"),0),0)="","?",VLOOKUP(AC$1,INDIRECT("'"&amp;$A49&amp;"'!$A$12:$Z$41"),MATCH("Points (Auto-generate)",INDIRECT("'"&amp;$A49&amp;"'!$A$12:$Z$12"),0),0)),"ER"))</f>
        <v>?</v>
      </c>
      <c r="AD49" s="86" t="str">
        <f aca="true">IF($H49=0,"NA",IF($A49=INDIRECT("'"&amp;$A49&amp;"'!$B$1"),IF(VLOOKUP(AD$1,INDIRECT("'"&amp;$A49&amp;"'!$A$12:$Z$41"),MATCH("Points (Auto-generate)",INDIRECT("'"&amp;$A49&amp;"'!$A$12:$Z$12"),0),0)="","?",VLOOKUP(AD$1,INDIRECT("'"&amp;$A49&amp;"'!$A$12:$Z$41"),MATCH("Points (Auto-generate)",INDIRECT("'"&amp;$A49&amp;"'!$A$12:$Z$12"),0),0)),"ER"))</f>
        <v>?</v>
      </c>
      <c r="AE49" s="86" t="str">
        <f aca="true">IF($H49=0,"NA",IF($A49=INDIRECT("'"&amp;$A49&amp;"'!$B$1"),IF(VLOOKUP(AE$1,INDIRECT("'"&amp;$A49&amp;"'!$A$12:$Z$41"),MATCH("Points (Auto-generate)",INDIRECT("'"&amp;$A49&amp;"'!$A$12:$Z$12"),0),0)="","?",VLOOKUP(AE$1,INDIRECT("'"&amp;$A49&amp;"'!$A$12:$Z$41"),MATCH("Points (Auto-generate)",INDIRECT("'"&amp;$A49&amp;"'!$A$12:$Z$12"),0),0)),"ER"))</f>
        <v>?</v>
      </c>
      <c r="AF49" s="86" t="str">
        <f aca="true">IF($H49=0,"NA",IF($A49=INDIRECT("'"&amp;$A49&amp;"'!$B$1"),IF(VLOOKUP(AF$1,INDIRECT("'"&amp;$A49&amp;"'!$A$12:$Z$41"),MATCH("Points (Auto-generate)",INDIRECT("'"&amp;$A49&amp;"'!$A$12:$Z$12"),0),0)="","?",VLOOKUP(AF$1,INDIRECT("'"&amp;$A49&amp;"'!$A$12:$Z$41"),MATCH("Points (Auto-generate)",INDIRECT("'"&amp;$A49&amp;"'!$A$12:$Z$12"),0),0)),"ER"))</f>
        <v>?</v>
      </c>
      <c r="AG49" s="86" t="str">
        <f aca="true">IF($H49=0,"NA",IF($A49=INDIRECT("'"&amp;$A49&amp;"'!$B$1"),IF(VLOOKUP(AG$1,INDIRECT("'"&amp;$A49&amp;"'!$A$12:$Z$41"),MATCH("Points (Auto-generate)",INDIRECT("'"&amp;$A49&amp;"'!$A$12:$Z$12"),0),0)="","?",VLOOKUP(AG$1,INDIRECT("'"&amp;$A49&amp;"'!$A$12:$Z$41"),MATCH("Points (Auto-generate)",INDIRECT("'"&amp;$A49&amp;"'!$A$12:$Z$12"),0),0)),"ER"))</f>
        <v>?</v>
      </c>
      <c r="AH49" s="86" t="str">
        <f aca="true">IF($H49=0,"NA",IF($A49=INDIRECT("'"&amp;$A49&amp;"'!$B$1"),IF(VLOOKUP(AH$1,INDIRECT("'"&amp;$A49&amp;"'!$A$12:$Z$41"),MATCH("Points (Auto-generate)",INDIRECT("'"&amp;$A49&amp;"'!$A$12:$Z$12"),0),0)="","?",VLOOKUP(AH$1,INDIRECT("'"&amp;$A49&amp;"'!$A$12:$Z$41"),MATCH("Points (Auto-generate)",INDIRECT("'"&amp;$A49&amp;"'!$A$12:$Z$12"),0),0)),"ER"))</f>
        <v>?</v>
      </c>
      <c r="AI49" s="86" t="str">
        <f aca="true">IF($H49=0,"NA",IF($A49=INDIRECT("'"&amp;$A49&amp;"'!$B$1"),IF(VLOOKUP(AI$1,INDIRECT("'"&amp;$A49&amp;"'!$A$12:$Z$41"),MATCH("Points (Auto-generate)",INDIRECT("'"&amp;$A49&amp;"'!$A$12:$Z$12"),0),0)="","?",VLOOKUP(AI$1,INDIRECT("'"&amp;$A49&amp;"'!$A$12:$Z$41"),MATCH("Points (Auto-generate)",INDIRECT("'"&amp;$A49&amp;"'!$A$12:$Z$12"),0),0)),"ER"))</f>
        <v>?</v>
      </c>
      <c r="AJ49" s="86" t="str">
        <f aca="true">IF($H49=0,"NA",IF($A49=INDIRECT("'"&amp;$A49&amp;"'!$B$1"),IF(VLOOKUP(AJ$1,INDIRECT("'"&amp;$A49&amp;"'!$A$12:$Z$41"),MATCH("Points (Auto-generate)",INDIRECT("'"&amp;$A49&amp;"'!$A$12:$Z$12"),0),0)="","?",VLOOKUP(AJ$1,INDIRECT("'"&amp;$A49&amp;"'!$A$12:$Z$41"),MATCH("Points (Auto-generate)",INDIRECT("'"&amp;$A49&amp;"'!$A$12:$Z$12"),0),0)),"ER"))</f>
        <v>?</v>
      </c>
      <c r="AK49" s="86" t="str">
        <f aca="true">IF($H49=0,"NA",IF($A49=INDIRECT("'"&amp;$A49&amp;"'!$B$1"),IF(VLOOKUP(AK$1,INDIRECT("'"&amp;$A49&amp;"'!$A$12:$Z$41"),MATCH("Points (Auto-generate)",INDIRECT("'"&amp;$A49&amp;"'!$A$12:$Z$12"),0),0)="","?",VLOOKUP(AK$1,INDIRECT("'"&amp;$A49&amp;"'!$A$12:$Z$41"),MATCH("Points (Auto-generate)",INDIRECT("'"&amp;$A49&amp;"'!$A$12:$Z$12"),0),0)),"ER"))</f>
        <v>?</v>
      </c>
    </row>
    <row r="50" customFormat="false" ht="14.25" hidden="false" customHeight="false" outlineLevel="0" collapsed="false">
      <c r="A50" s="82" t="s">
        <v>195</v>
      </c>
      <c r="B50" s="83" t="str">
        <f aca="false">IF(ISBLANK($A50),"NO_CODE",VLOOKUP($A50,'UPD Questions_290926 '!$E$1:$N$300,MATCH(B$1,'UPD Questions_290926 '!$E$1:$N$1,0),0)&amp;"")</f>
        <v>Implementation</v>
      </c>
      <c r="C50" s="83" t="str">
        <f aca="false">IF(ISBLANK($A50),"NO_CODE",VLOOKUP($A50,'UPD Questions_290926 '!$E$1:$N$300,MATCH(C$1,'UPD Questions_290926 '!$E$1:$N$1,0),0)&amp;"")</f>
        <v>Municipal/City Plan status, hierarchy and coordination</v>
      </c>
      <c r="D50" s="83" t="str">
        <f aca="false">IF(ISBLANK($A50),"NO_CODE",VLOOKUP($A50,'UPD Questions_290926 '!$E$1:$N$300,MATCH(D$1,'UPD Questions_290926 '!$E$1:$N$1,0),0)&amp;"")</f>
        <v>Shared spatial information and data coordination</v>
      </c>
      <c r="E50" s="83" t="str">
        <f aca="false">IF(ISBLANK($A50),"NO_CODE",VLOOKUP($A50,'UPD Questions_290926 '!$E$1:$N$300,MATCH(E$1,'UPD Questions_290926 '!$E$1:$N$1,0),0)&amp;"")</f>
        <v>MQ</v>
      </c>
      <c r="F50" s="83" t="str">
        <f aca="false">IF(ISBLANK($A50),"NO_CODE",VLOOKUP($A50,'UPD Questions_290926 '!$E$1:$N$300,MATCH(F$1,'UPD Questions_290926 '!$E$1:$N$1,0),0)&amp;"")</f>
        <v>Is there a common digital base municipal/city plan Map shared among Planning Authorities, and data updated through GIS with fixed periodicity by the relevent sectoral agencies (transport, network infrastructure, land use changes)</v>
      </c>
      <c r="G50" s="83" t="str">
        <f aca="false">IF(ISBLANK($A50),"NO_CODE",VLOOKUP($A50,'UPD Questions_290926 '!$E$1:$N$300,MATCH(G$1,'UPD Questions_290926 '!$E$1:$N$1,0),0)&amp;"")</f>
        <v>Implementation</v>
      </c>
      <c r="H50" s="85" t="n">
        <f aca="false">IF(ISBLANK($A50),"NO_CODE",VLOOKUP($A50,'UPD Questions_290926 '!$E$1:$N$300,MATCH(H$1,'UPD Questions_290926 '!$E$1:$N$1,0),0))</f>
        <v>10</v>
      </c>
      <c r="I50" s="86" t="str">
        <f aca="true">IF($H50=0,"NA",IF($A50=INDIRECT("'"&amp;$A50&amp;"'!$B$1"),IF(VLOOKUP(I$1,INDIRECT("'"&amp;$A50&amp;"'!$A$12:$Z$41"),MATCH("Points (Auto-generate)",INDIRECT("'"&amp;$A50&amp;"'!$A$12:$Z$12"),0),0)="","?",VLOOKUP(I$1,INDIRECT("'"&amp;$A50&amp;"'!$A$12:$Z$41"),MATCH("Points (Auto-generate)",INDIRECT("'"&amp;$A50&amp;"'!$A$12:$Z$12"),0),0)),"ER"))</f>
        <v>?</v>
      </c>
      <c r="J50" s="86" t="n">
        <f aca="true">IF($H50=0,"NA",IF($A50=INDIRECT("'"&amp;$A50&amp;"'!$B$1"),IF(VLOOKUP(J$1,INDIRECT("'"&amp;$A50&amp;"'!$A$12:$Z$41"),MATCH("Points (Auto-generate)",INDIRECT("'"&amp;$A50&amp;"'!$A$12:$Z$12"),0),0)="","?",VLOOKUP(J$1,INDIRECT("'"&amp;$A50&amp;"'!$A$12:$Z$41"),MATCH("Points (Auto-generate)",INDIRECT("'"&amp;$A50&amp;"'!$A$12:$Z$12"),0),0)),"ER"))</f>
        <v>10</v>
      </c>
      <c r="K50" s="86" t="str">
        <f aca="true">IF($H50=0,"NA",IF($A50=INDIRECT("'"&amp;$A50&amp;"'!$B$1"),IF(VLOOKUP(K$1,INDIRECT("'"&amp;$A50&amp;"'!$A$12:$Z$41"),MATCH("Points (Auto-generate)",INDIRECT("'"&amp;$A50&amp;"'!$A$12:$Z$12"),0),0)="","?",VLOOKUP(K$1,INDIRECT("'"&amp;$A50&amp;"'!$A$12:$Z$41"),MATCH("Points (Auto-generate)",INDIRECT("'"&amp;$A50&amp;"'!$A$12:$Z$12"),0),0)),"ER"))</f>
        <v>?</v>
      </c>
      <c r="L50" s="86" t="str">
        <f aca="true">IF($H50=0,"NA",IF($A50=INDIRECT("'"&amp;$A50&amp;"'!$B$1"),IF(VLOOKUP(L$1,INDIRECT("'"&amp;$A50&amp;"'!$A$12:$Z$41"),MATCH("Points (Auto-generate)",INDIRECT("'"&amp;$A50&amp;"'!$A$12:$Z$12"),0),0)="","?",VLOOKUP(L$1,INDIRECT("'"&amp;$A50&amp;"'!$A$12:$Z$41"),MATCH("Points (Auto-generate)",INDIRECT("'"&amp;$A50&amp;"'!$A$12:$Z$12"),0),0)),"ER"))</f>
        <v>?</v>
      </c>
      <c r="M50" s="86" t="str">
        <f aca="true">IF($H50=0,"NA",IF($A50=INDIRECT("'"&amp;$A50&amp;"'!$B$1"),IF(VLOOKUP(M$1,INDIRECT("'"&amp;$A50&amp;"'!$A$12:$Z$41"),MATCH("Points (Auto-generate)",INDIRECT("'"&amp;$A50&amp;"'!$A$12:$Z$12"),0),0)="","?",VLOOKUP(M$1,INDIRECT("'"&amp;$A50&amp;"'!$A$12:$Z$41"),MATCH("Points (Auto-generate)",INDIRECT("'"&amp;$A50&amp;"'!$A$12:$Z$12"),0),0)),"ER"))</f>
        <v>?</v>
      </c>
      <c r="N50" s="86" t="str">
        <f aca="true">IF($H50=0,"NA",IF($A50=INDIRECT("'"&amp;$A50&amp;"'!$B$1"),IF(VLOOKUP(N$1,INDIRECT("'"&amp;$A50&amp;"'!$A$12:$Z$41"),MATCH("Points (Auto-generate)",INDIRECT("'"&amp;$A50&amp;"'!$A$12:$Z$12"),0),0)="","?",VLOOKUP(N$1,INDIRECT("'"&amp;$A50&amp;"'!$A$12:$Z$41"),MATCH("Points (Auto-generate)",INDIRECT("'"&amp;$A50&amp;"'!$A$12:$Z$12"),0),0)),"ER"))</f>
        <v>?</v>
      </c>
      <c r="O50" s="86" t="str">
        <f aca="true">IF($H50=0,"NA",IF($A50=INDIRECT("'"&amp;$A50&amp;"'!$B$1"),IF(VLOOKUP(O$1,INDIRECT("'"&amp;$A50&amp;"'!$A$12:$Z$41"),MATCH("Points (Auto-generate)",INDIRECT("'"&amp;$A50&amp;"'!$A$12:$Z$12"),0),0)="","?",VLOOKUP(O$1,INDIRECT("'"&amp;$A50&amp;"'!$A$12:$Z$41"),MATCH("Points (Auto-generate)",INDIRECT("'"&amp;$A50&amp;"'!$A$12:$Z$12"),0),0)),"ER"))</f>
        <v>?</v>
      </c>
      <c r="P50" s="86" t="str">
        <f aca="true">IF($H50=0,"NA",IF($A50=INDIRECT("'"&amp;$A50&amp;"'!$B$1"),IF(VLOOKUP(P$1,INDIRECT("'"&amp;$A50&amp;"'!$A$12:$Z$41"),MATCH("Points (Auto-generate)",INDIRECT("'"&amp;$A50&amp;"'!$A$12:$Z$12"),0),0)="","?",VLOOKUP(P$1,INDIRECT("'"&amp;$A50&amp;"'!$A$12:$Z$41"),MATCH("Points (Auto-generate)",INDIRECT("'"&amp;$A50&amp;"'!$A$12:$Z$12"),0),0)),"ER"))</f>
        <v>?</v>
      </c>
      <c r="Q50" s="86" t="str">
        <f aca="true">IF($H50=0,"NA",IF($A50=INDIRECT("'"&amp;$A50&amp;"'!$B$1"),IF(VLOOKUP(Q$1,INDIRECT("'"&amp;$A50&amp;"'!$A$12:$Z$41"),MATCH("Points (Auto-generate)",INDIRECT("'"&amp;$A50&amp;"'!$A$12:$Z$12"),0),0)="","?",VLOOKUP(Q$1,INDIRECT("'"&amp;$A50&amp;"'!$A$12:$Z$41"),MATCH("Points (Auto-generate)",INDIRECT("'"&amp;$A50&amp;"'!$A$12:$Z$12"),0),0)),"ER"))</f>
        <v>?</v>
      </c>
      <c r="R50" s="86" t="str">
        <f aca="true">IF($H50=0,"NA",IF($A50=INDIRECT("'"&amp;$A50&amp;"'!$B$1"),IF(VLOOKUP(R$1,INDIRECT("'"&amp;$A50&amp;"'!$A$12:$Z$41"),MATCH("Points (Auto-generate)",INDIRECT("'"&amp;$A50&amp;"'!$A$12:$Z$12"),0),0)="","?",VLOOKUP(R$1,INDIRECT("'"&amp;$A50&amp;"'!$A$12:$Z$41"),MATCH("Points (Auto-generate)",INDIRECT("'"&amp;$A50&amp;"'!$A$12:$Z$12"),0),0)),"ER"))</f>
        <v>?</v>
      </c>
      <c r="S50" s="86" t="str">
        <f aca="true">IF($H50=0,"NA",IF($A50=INDIRECT("'"&amp;$A50&amp;"'!$B$1"),IF(VLOOKUP(S$1,INDIRECT("'"&amp;$A50&amp;"'!$A$12:$Z$41"),MATCH("Points (Auto-generate)",INDIRECT("'"&amp;$A50&amp;"'!$A$12:$Z$12"),0),0)="","?",VLOOKUP(S$1,INDIRECT("'"&amp;$A50&amp;"'!$A$12:$Z$41"),MATCH("Points (Auto-generate)",INDIRECT("'"&amp;$A50&amp;"'!$A$12:$Z$12"),0),0)),"ER"))</f>
        <v>?</v>
      </c>
      <c r="T50" s="86" t="str">
        <f aca="true">IF($H50=0,"NA",IF($A50=INDIRECT("'"&amp;$A50&amp;"'!$B$1"),IF(VLOOKUP(T$1,INDIRECT("'"&amp;$A50&amp;"'!$A$12:$Z$41"),MATCH("Points (Auto-generate)",INDIRECT("'"&amp;$A50&amp;"'!$A$12:$Z$12"),0),0)="","?",VLOOKUP(T$1,INDIRECT("'"&amp;$A50&amp;"'!$A$12:$Z$41"),MATCH("Points (Auto-generate)",INDIRECT("'"&amp;$A50&amp;"'!$A$12:$Z$12"),0),0)),"ER"))</f>
        <v>?</v>
      </c>
      <c r="U50" s="86" t="str">
        <f aca="true">IF($H50=0,"NA",IF($A50=INDIRECT("'"&amp;$A50&amp;"'!$B$1"),IF(VLOOKUP(U$1,INDIRECT("'"&amp;$A50&amp;"'!$A$12:$Z$41"),MATCH("Points (Auto-generate)",INDIRECT("'"&amp;$A50&amp;"'!$A$12:$Z$12"),0),0)="","?",VLOOKUP(U$1,INDIRECT("'"&amp;$A50&amp;"'!$A$12:$Z$41"),MATCH("Points (Auto-generate)",INDIRECT("'"&amp;$A50&amp;"'!$A$12:$Z$12"),0),0)),"ER"))</f>
        <v>?</v>
      </c>
      <c r="V50" s="86" t="str">
        <f aca="true">IF($H50=0,"NA",IF($A50=INDIRECT("'"&amp;$A50&amp;"'!$B$1"),IF(VLOOKUP(V$1,INDIRECT("'"&amp;$A50&amp;"'!$A$12:$Z$41"),MATCH("Points (Auto-generate)",INDIRECT("'"&amp;$A50&amp;"'!$A$12:$Z$12"),0),0)="","?",VLOOKUP(V$1,INDIRECT("'"&amp;$A50&amp;"'!$A$12:$Z$41"),MATCH("Points (Auto-generate)",INDIRECT("'"&amp;$A50&amp;"'!$A$12:$Z$12"),0),0)),"ER"))</f>
        <v>?</v>
      </c>
      <c r="W50" s="86" t="str">
        <f aca="true">IF($H50=0,"NA",IF($A50=INDIRECT("'"&amp;$A50&amp;"'!$B$1"),IF(VLOOKUP(W$1,INDIRECT("'"&amp;$A50&amp;"'!$A$12:$Z$41"),MATCH("Points (Auto-generate)",INDIRECT("'"&amp;$A50&amp;"'!$A$12:$Z$12"),0),0)="","?",VLOOKUP(W$1,INDIRECT("'"&amp;$A50&amp;"'!$A$12:$Z$41"),MATCH("Points (Auto-generate)",INDIRECT("'"&amp;$A50&amp;"'!$A$12:$Z$12"),0),0)),"ER"))</f>
        <v>?</v>
      </c>
      <c r="X50" s="86" t="str">
        <f aca="true">IF($H50=0,"NA",IF($A50=INDIRECT("'"&amp;$A50&amp;"'!$B$1"),IF(VLOOKUP(X$1,INDIRECT("'"&amp;$A50&amp;"'!$A$12:$Z$41"),MATCH("Points (Auto-generate)",INDIRECT("'"&amp;$A50&amp;"'!$A$12:$Z$12"),0),0)="","?",VLOOKUP(X$1,INDIRECT("'"&amp;$A50&amp;"'!$A$12:$Z$41"),MATCH("Points (Auto-generate)",INDIRECT("'"&amp;$A50&amp;"'!$A$12:$Z$12"),0),0)),"ER"))</f>
        <v>?</v>
      </c>
      <c r="Y50" s="86" t="str">
        <f aca="true">IF($H50=0,"NA",IF($A50=INDIRECT("'"&amp;$A50&amp;"'!$B$1"),IF(VLOOKUP(Y$1,INDIRECT("'"&amp;$A50&amp;"'!$A$12:$Z$41"),MATCH("Points (Auto-generate)",INDIRECT("'"&amp;$A50&amp;"'!$A$12:$Z$12"),0),0)="","?",VLOOKUP(Y$1,INDIRECT("'"&amp;$A50&amp;"'!$A$12:$Z$41"),MATCH("Points (Auto-generate)",INDIRECT("'"&amp;$A50&amp;"'!$A$12:$Z$12"),0),0)),"ER"))</f>
        <v>?</v>
      </c>
      <c r="Z50" s="86" t="str">
        <f aca="true">IF($H50=0,"NA",IF($A50=INDIRECT("'"&amp;$A50&amp;"'!$B$1"),IF(VLOOKUP(Z$1,INDIRECT("'"&amp;$A50&amp;"'!$A$12:$Z$41"),MATCH("Points (Auto-generate)",INDIRECT("'"&amp;$A50&amp;"'!$A$12:$Z$12"),0),0)="","?",VLOOKUP(Z$1,INDIRECT("'"&amp;$A50&amp;"'!$A$12:$Z$41"),MATCH("Points (Auto-generate)",INDIRECT("'"&amp;$A50&amp;"'!$A$12:$Z$12"),0),0)),"ER"))</f>
        <v>?</v>
      </c>
      <c r="AA50" s="86" t="str">
        <f aca="true">IF($H50=0,"NA",IF($A50=INDIRECT("'"&amp;$A50&amp;"'!$B$1"),IF(VLOOKUP(AA$1,INDIRECT("'"&amp;$A50&amp;"'!$A$12:$Z$41"),MATCH("Points (Auto-generate)",INDIRECT("'"&amp;$A50&amp;"'!$A$12:$Z$12"),0),0)="","?",VLOOKUP(AA$1,INDIRECT("'"&amp;$A50&amp;"'!$A$12:$Z$41"),MATCH("Points (Auto-generate)",INDIRECT("'"&amp;$A50&amp;"'!$A$12:$Z$12"),0),0)),"ER"))</f>
        <v>?</v>
      </c>
      <c r="AB50" s="86" t="str">
        <f aca="true">IF($H50=0,"NA",IF($A50=INDIRECT("'"&amp;$A50&amp;"'!$B$1"),IF(VLOOKUP(AB$1,INDIRECT("'"&amp;$A50&amp;"'!$A$12:$Z$41"),MATCH("Points (Auto-generate)",INDIRECT("'"&amp;$A50&amp;"'!$A$12:$Z$12"),0),0)="","?",VLOOKUP(AB$1,INDIRECT("'"&amp;$A50&amp;"'!$A$12:$Z$41"),MATCH("Points (Auto-generate)",INDIRECT("'"&amp;$A50&amp;"'!$A$12:$Z$12"),0),0)),"ER"))</f>
        <v>?</v>
      </c>
      <c r="AC50" s="86" t="str">
        <f aca="true">IF($H50=0,"NA",IF($A50=INDIRECT("'"&amp;$A50&amp;"'!$B$1"),IF(VLOOKUP(AC$1,INDIRECT("'"&amp;$A50&amp;"'!$A$12:$Z$41"),MATCH("Points (Auto-generate)",INDIRECT("'"&amp;$A50&amp;"'!$A$12:$Z$12"),0),0)="","?",VLOOKUP(AC$1,INDIRECT("'"&amp;$A50&amp;"'!$A$12:$Z$41"),MATCH("Points (Auto-generate)",INDIRECT("'"&amp;$A50&amp;"'!$A$12:$Z$12"),0),0)),"ER"))</f>
        <v>?</v>
      </c>
      <c r="AD50" s="86" t="str">
        <f aca="true">IF($H50=0,"NA",IF($A50=INDIRECT("'"&amp;$A50&amp;"'!$B$1"),IF(VLOOKUP(AD$1,INDIRECT("'"&amp;$A50&amp;"'!$A$12:$Z$41"),MATCH("Points (Auto-generate)",INDIRECT("'"&amp;$A50&amp;"'!$A$12:$Z$12"),0),0)="","?",VLOOKUP(AD$1,INDIRECT("'"&amp;$A50&amp;"'!$A$12:$Z$41"),MATCH("Points (Auto-generate)",INDIRECT("'"&amp;$A50&amp;"'!$A$12:$Z$12"),0),0)),"ER"))</f>
        <v>?</v>
      </c>
      <c r="AE50" s="86" t="str">
        <f aca="true">IF($H50=0,"NA",IF($A50=INDIRECT("'"&amp;$A50&amp;"'!$B$1"),IF(VLOOKUP(AE$1,INDIRECT("'"&amp;$A50&amp;"'!$A$12:$Z$41"),MATCH("Points (Auto-generate)",INDIRECT("'"&amp;$A50&amp;"'!$A$12:$Z$12"),0),0)="","?",VLOOKUP(AE$1,INDIRECT("'"&amp;$A50&amp;"'!$A$12:$Z$41"),MATCH("Points (Auto-generate)",INDIRECT("'"&amp;$A50&amp;"'!$A$12:$Z$12"),0),0)),"ER"))</f>
        <v>?</v>
      </c>
      <c r="AF50" s="86" t="str">
        <f aca="true">IF($H50=0,"NA",IF($A50=INDIRECT("'"&amp;$A50&amp;"'!$B$1"),IF(VLOOKUP(AF$1,INDIRECT("'"&amp;$A50&amp;"'!$A$12:$Z$41"),MATCH("Points (Auto-generate)",INDIRECT("'"&amp;$A50&amp;"'!$A$12:$Z$12"),0),0)="","?",VLOOKUP(AF$1,INDIRECT("'"&amp;$A50&amp;"'!$A$12:$Z$41"),MATCH("Points (Auto-generate)",INDIRECT("'"&amp;$A50&amp;"'!$A$12:$Z$12"),0),0)),"ER"))</f>
        <v>?</v>
      </c>
      <c r="AG50" s="86" t="str">
        <f aca="true">IF($H50=0,"NA",IF($A50=INDIRECT("'"&amp;$A50&amp;"'!$B$1"),IF(VLOOKUP(AG$1,INDIRECT("'"&amp;$A50&amp;"'!$A$12:$Z$41"),MATCH("Points (Auto-generate)",INDIRECT("'"&amp;$A50&amp;"'!$A$12:$Z$12"),0),0)="","?",VLOOKUP(AG$1,INDIRECT("'"&amp;$A50&amp;"'!$A$12:$Z$41"),MATCH("Points (Auto-generate)",INDIRECT("'"&amp;$A50&amp;"'!$A$12:$Z$12"),0),0)),"ER"))</f>
        <v>?</v>
      </c>
      <c r="AH50" s="86" t="str">
        <f aca="true">IF($H50=0,"NA",IF($A50=INDIRECT("'"&amp;$A50&amp;"'!$B$1"),IF(VLOOKUP(AH$1,INDIRECT("'"&amp;$A50&amp;"'!$A$12:$Z$41"),MATCH("Points (Auto-generate)",INDIRECT("'"&amp;$A50&amp;"'!$A$12:$Z$12"),0),0)="","?",VLOOKUP(AH$1,INDIRECT("'"&amp;$A50&amp;"'!$A$12:$Z$41"),MATCH("Points (Auto-generate)",INDIRECT("'"&amp;$A50&amp;"'!$A$12:$Z$12"),0),0)),"ER"))</f>
        <v>?</v>
      </c>
      <c r="AI50" s="86" t="str">
        <f aca="true">IF($H50=0,"NA",IF($A50=INDIRECT("'"&amp;$A50&amp;"'!$B$1"),IF(VLOOKUP(AI$1,INDIRECT("'"&amp;$A50&amp;"'!$A$12:$Z$41"),MATCH("Points (Auto-generate)",INDIRECT("'"&amp;$A50&amp;"'!$A$12:$Z$12"),0),0)="","?",VLOOKUP(AI$1,INDIRECT("'"&amp;$A50&amp;"'!$A$12:$Z$41"),MATCH("Points (Auto-generate)",INDIRECT("'"&amp;$A50&amp;"'!$A$12:$Z$12"),0),0)),"ER"))</f>
        <v>?</v>
      </c>
      <c r="AJ50" s="86" t="str">
        <f aca="true">IF($H50=0,"NA",IF($A50=INDIRECT("'"&amp;$A50&amp;"'!$B$1"),IF(VLOOKUP(AJ$1,INDIRECT("'"&amp;$A50&amp;"'!$A$12:$Z$41"),MATCH("Points (Auto-generate)",INDIRECT("'"&amp;$A50&amp;"'!$A$12:$Z$12"),0),0)="","?",VLOOKUP(AJ$1,INDIRECT("'"&amp;$A50&amp;"'!$A$12:$Z$41"),MATCH("Points (Auto-generate)",INDIRECT("'"&amp;$A50&amp;"'!$A$12:$Z$12"),0),0)),"ER"))</f>
        <v>?</v>
      </c>
      <c r="AK50" s="86" t="str">
        <f aca="true">IF($H50=0,"NA",IF($A50=INDIRECT("'"&amp;$A50&amp;"'!$B$1"),IF(VLOOKUP(AK$1,INDIRECT("'"&amp;$A50&amp;"'!$A$12:$Z$41"),MATCH("Points (Auto-generate)",INDIRECT("'"&amp;$A50&amp;"'!$A$12:$Z$12"),0),0)="","?",VLOOKUP(AK$1,INDIRECT("'"&amp;$A50&amp;"'!$A$12:$Z$41"),MATCH("Points (Auto-generate)",INDIRECT("'"&amp;$A50&amp;"'!$A$12:$Z$12"),0),0)),"ER"))</f>
        <v>?</v>
      </c>
    </row>
    <row r="51" customFormat="false" ht="14.25" hidden="false" customHeight="false" outlineLevel="0" collapsed="false">
      <c r="A51" s="82" t="s">
        <v>534</v>
      </c>
      <c r="B51" s="83" t="str">
        <f aca="false">IF(ISBLANK($A51),"NO_CODE",VLOOKUP($A51,'UPD Questions_290926 '!$E$1:$N$300,MATCH(B$1,'UPD Questions_290926 '!$E$1:$N$1,0),0)&amp;"")</f>
        <v>Implementation</v>
      </c>
      <c r="C51" s="83" t="str">
        <f aca="false">IF(ISBLANK($A51),"NO_CODE",VLOOKUP($A51,'UPD Questions_290926 '!$E$1:$N$300,MATCH(C$1,'UPD Questions_290926 '!$E$1:$N$1,0),0)&amp;"")</f>
        <v>Sectoral planning</v>
      </c>
      <c r="D51" s="83" t="str">
        <f aca="false">IF(ISBLANK($A51),"NO_CODE",VLOOKUP($A51,'UPD Questions_290926 '!$E$1:$N$300,MATCH(D$1,'UPD Questions_290926 '!$E$1:$N$1,0),0)&amp;"")</f>
        <v>Water supply and sewerage, sanitation, solid waste management </v>
      </c>
      <c r="E51" s="83" t="str">
        <f aca="false">IF(ISBLANK($A51),"NO_CODE",VLOOKUP($A51,'UPD Questions_290926 '!$E$1:$N$300,MATCH(E$1,'UPD Questions_290926 '!$E$1:$N$1,0),0)&amp;"")</f>
        <v>MQ</v>
      </c>
      <c r="F51" s="83" t="str">
        <f aca="false">IF(ISBLANK($A51),"NO_CODE",VLOOKUP($A51,'UPD Questions_290926 '!$E$1:$N$300,MATCH(F$1,'UPD Questions_290926 '!$E$1:$N$1,0),0)&amp;"")</f>
        <v>Does the city have a Water Supply and Sewerage Plan, City Sanitation Plan, and Solid Waste Management Plan  that clearly articulates development priorities, measurable objectives, and the roles and responsibilities of the ULG?</v>
      </c>
      <c r="G51" s="83" t="str">
        <f aca="false">IF(ISBLANK($A51),"NO_CODE",VLOOKUP($A51,'UPD Questions_290926 '!$E$1:$N$300,MATCH(G$1,'UPD Questions_290926 '!$E$1:$N$1,0),0)&amp;"")</f>
        <v>Implementation</v>
      </c>
      <c r="H51" s="85" t="n">
        <f aca="false">IF(ISBLANK($A51),"NO_CODE",VLOOKUP($A51,'UPD Questions_290926 '!$E$1:$N$300,MATCH(H$1,'UPD Questions_290926 '!$E$1:$N$1,0),0))</f>
        <v>10</v>
      </c>
      <c r="I51" s="86" t="str">
        <f aca="false">IF(OR(I52="ER",I56="ER",I60="ER"),"ER",IF(OR(I52="?",I56="?",I60="?"),"?",IF(AND(I52="NA",I56="NA",I60="NA"),"NA",SUM(I52,I56,I60)/((I52&lt;&gt;"NA")*$H$52+(I56&lt;&gt;"NA")*$H$56+(I60&lt;&gt;"NA")*$H$60)*$H51)))</f>
        <v>?</v>
      </c>
      <c r="J51" s="86" t="n">
        <f aca="false">IF(OR(J52="ER",J56="ER",J60="ER"),"ER",IF(OR(J52="?",J56="?",J60="?"),"?",IF(AND(J52="NA",J56="NA",J60="NA"),"NA",SUM(J52,J56,J60)/((J52&lt;&gt;"NA")*$H$52+(J56&lt;&gt;"NA")*$H$56+(J60&lt;&gt;"NA")*$H$60)*$H51)))</f>
        <v>2.22222222222222</v>
      </c>
      <c r="K51" s="86" t="str">
        <f aca="false">IF(OR(K52="ER",K56="ER",K60="ER"),"ER",IF(OR(K52="?",K56="?",K60="?"),"?",IF(AND(K52="NA",K56="NA",K60="NA"),"NA",SUM(K52,K56,K60)/((K52&lt;&gt;"NA")*$H$52+(K56&lt;&gt;"NA")*$H$56+(K60&lt;&gt;"NA")*$H$60)*$H51)))</f>
        <v>?</v>
      </c>
      <c r="L51" s="86" t="str">
        <f aca="false">IF(OR(L52="ER",L56="ER",L60="ER"),"ER",IF(OR(L52="?",L56="?",L60="?"),"?",IF(AND(L52="NA",L56="NA",L60="NA"),"NA",SUM(L52,L56,L60)/((L52&lt;&gt;"NA")*$H$52+(L56&lt;&gt;"NA")*$H$56+(L60&lt;&gt;"NA")*$H$60)*$H51)))</f>
        <v>?</v>
      </c>
      <c r="M51" s="86" t="str">
        <f aca="false">IF(OR(M52="ER",M56="ER",M60="ER"),"ER",IF(OR(M52="?",M56="?",M60="?"),"?",IF(AND(M52="NA",M56="NA",M60="NA"),"NA",SUM(M52,M56,M60)/((M52&lt;&gt;"NA")*$H$52+(M56&lt;&gt;"NA")*$H$56+(M60&lt;&gt;"NA")*$H$60)*$H51)))</f>
        <v>?</v>
      </c>
      <c r="N51" s="86" t="str">
        <f aca="false">IF(OR(N52="ER",N56="ER",N60="ER"),"ER",IF(OR(N52="?",N56="?",N60="?"),"?",IF(AND(N52="NA",N56="NA",N60="NA"),"NA",SUM(N52,N56,N60)/((N52&lt;&gt;"NA")*$H$52+(N56&lt;&gt;"NA")*$H$56+(N60&lt;&gt;"NA")*$H$60)*$H51)))</f>
        <v>?</v>
      </c>
      <c r="O51" s="86" t="str">
        <f aca="false">IF(OR(O52="ER",O56="ER",O60="ER"),"ER",IF(OR(O52="?",O56="?",O60="?"),"?",IF(AND(O52="NA",O56="NA",O60="NA"),"NA",SUM(O52,O56,O60)/((O52&lt;&gt;"NA")*$H$52+(O56&lt;&gt;"NA")*$H$56+(O60&lt;&gt;"NA")*$H$60)*$H51)))</f>
        <v>?</v>
      </c>
      <c r="P51" s="86" t="str">
        <f aca="false">IF(OR(P52="ER",P56="ER",P60="ER"),"ER",IF(OR(P52="?",P56="?",P60="?"),"?",IF(AND(P52="NA",P56="NA",P60="NA"),"NA",SUM(P52,P56,P60)/((P52&lt;&gt;"NA")*$H$52+(P56&lt;&gt;"NA")*$H$56+(P60&lt;&gt;"NA")*$H$60)*$H51)))</f>
        <v>?</v>
      </c>
      <c r="Q51" s="86" t="str">
        <f aca="false">IF(OR(Q52="ER",Q56="ER",Q60="ER"),"ER",IF(OR(Q52="?",Q56="?",Q60="?"),"?",IF(AND(Q52="NA",Q56="NA",Q60="NA"),"NA",SUM(Q52,Q56,Q60)/((Q52&lt;&gt;"NA")*$H$52+(Q56&lt;&gt;"NA")*$H$56+(Q60&lt;&gt;"NA")*$H$60)*$H51)))</f>
        <v>?</v>
      </c>
      <c r="R51" s="86" t="str">
        <f aca="false">IF(OR(R52="ER",R56="ER",R60="ER"),"ER",IF(OR(R52="?",R56="?",R60="?"),"?",IF(AND(R52="NA",R56="NA",R60="NA"),"NA",SUM(R52,R56,R60)/((R52&lt;&gt;"NA")*$H$52+(R56&lt;&gt;"NA")*$H$56+(R60&lt;&gt;"NA")*$H$60)*$H51)))</f>
        <v>?</v>
      </c>
      <c r="S51" s="86" t="str">
        <f aca="false">IF(OR(S52="ER",S56="ER",S60="ER"),"ER",IF(OR(S52="?",S56="?",S60="?"),"?",IF(AND(S52="NA",S56="NA",S60="NA"),"NA",SUM(S52,S56,S60)/((S52&lt;&gt;"NA")*$H$52+(S56&lt;&gt;"NA")*$H$56+(S60&lt;&gt;"NA")*$H$60)*$H51)))</f>
        <v>?</v>
      </c>
      <c r="T51" s="86" t="str">
        <f aca="false">IF(OR(T52="ER",T56="ER",T60="ER"),"ER",IF(OR(T52="?",T56="?",T60="?"),"?",IF(AND(T52="NA",T56="NA",T60="NA"),"NA",SUM(T52,T56,T60)/((T52&lt;&gt;"NA")*$H$52+(T56&lt;&gt;"NA")*$H$56+(T60&lt;&gt;"NA")*$H$60)*$H51)))</f>
        <v>?</v>
      </c>
      <c r="U51" s="86" t="str">
        <f aca="false">IF(OR(U52="ER",U56="ER",U60="ER"),"ER",IF(OR(U52="?",U56="?",U60="?"),"?",IF(AND(U52="NA",U56="NA",U60="NA"),"NA",SUM(U52,U56,U60)/((U52&lt;&gt;"NA")*$H$52+(U56&lt;&gt;"NA")*$H$56+(U60&lt;&gt;"NA")*$H$60)*$H51)))</f>
        <v>?</v>
      </c>
      <c r="V51" s="86" t="str">
        <f aca="false">IF(OR(V52="ER",V56="ER",V60="ER"),"ER",IF(OR(V52="?",V56="?",V60="?"),"?",IF(AND(V52="NA",V56="NA",V60="NA"),"NA",SUM(V52,V56,V60)/((V52&lt;&gt;"NA")*$H$52+(V56&lt;&gt;"NA")*$H$56+(V60&lt;&gt;"NA")*$H$60)*$H51)))</f>
        <v>?</v>
      </c>
      <c r="W51" s="86" t="str">
        <f aca="false">IF(OR(W52="ER",W56="ER",W60="ER"),"ER",IF(OR(W52="?",W56="?",W60="?"),"?",IF(AND(W52="NA",W56="NA",W60="NA"),"NA",SUM(W52,W56,W60)/((W52&lt;&gt;"NA")*$H$52+(W56&lt;&gt;"NA")*$H$56+(W60&lt;&gt;"NA")*$H$60)*$H51)))</f>
        <v>?</v>
      </c>
      <c r="X51" s="86" t="str">
        <f aca="false">IF(OR(X52="ER",X56="ER",X60="ER"),"ER",IF(OR(X52="?",X56="?",X60="?"),"?",IF(AND(X52="NA",X56="NA",X60="NA"),"NA",SUM(X52,X56,X60)/((X52&lt;&gt;"NA")*$H$52+(X56&lt;&gt;"NA")*$H$56+(X60&lt;&gt;"NA")*$H$60)*$H51)))</f>
        <v>?</v>
      </c>
      <c r="Y51" s="86" t="str">
        <f aca="false">IF(OR(Y52="ER",Y56="ER",Y60="ER"),"ER",IF(OR(Y52="?",Y56="?",Y60="?"),"?",IF(AND(Y52="NA",Y56="NA",Y60="NA"),"NA",SUM(Y52,Y56,Y60)/((Y52&lt;&gt;"NA")*$H$52+(Y56&lt;&gt;"NA")*$H$56+(Y60&lt;&gt;"NA")*$H$60)*$H51)))</f>
        <v>?</v>
      </c>
      <c r="Z51" s="86" t="str">
        <f aca="false">IF(OR(Z52="ER",Z56="ER",Z60="ER"),"ER",IF(OR(Z52="?",Z56="?",Z60="?"),"?",IF(AND(Z52="NA",Z56="NA",Z60="NA"),"NA",SUM(Z52,Z56,Z60)/((Z52&lt;&gt;"NA")*$H$52+(Z56&lt;&gt;"NA")*$H$56+(Z60&lt;&gt;"NA")*$H$60)*$H51)))</f>
        <v>?</v>
      </c>
      <c r="AA51" s="86" t="str">
        <f aca="false">IF(OR(AA52="ER",AA56="ER",AA60="ER"),"ER",IF(OR(AA52="?",AA56="?",AA60="?"),"?",IF(AND(AA52="NA",AA56="NA",AA60="NA"),"NA",SUM(AA52,AA56,AA60)/((AA52&lt;&gt;"NA")*$H$52+(AA56&lt;&gt;"NA")*$H$56+(AA60&lt;&gt;"NA")*$H$60)*$H51)))</f>
        <v>?</v>
      </c>
      <c r="AB51" s="86" t="str">
        <f aca="false">IF(OR(AB52="ER",AB56="ER",AB60="ER"),"ER",IF(OR(AB52="?",AB56="?",AB60="?"),"?",IF(AND(AB52="NA",AB56="NA",AB60="NA"),"NA",SUM(AB52,AB56,AB60)/((AB52&lt;&gt;"NA")*$H$52+(AB56&lt;&gt;"NA")*$H$56+(AB60&lt;&gt;"NA")*$H$60)*$H51)))</f>
        <v>?</v>
      </c>
      <c r="AC51" s="86" t="str">
        <f aca="false">IF(OR(AC52="ER",AC56="ER",AC60="ER"),"ER",IF(OR(AC52="?",AC56="?",AC60="?"),"?",IF(AND(AC52="NA",AC56="NA",AC60="NA"),"NA",SUM(AC52,AC56,AC60)/((AC52&lt;&gt;"NA")*$H$52+(AC56&lt;&gt;"NA")*$H$56+(AC60&lt;&gt;"NA")*$H$60)*$H51)))</f>
        <v>?</v>
      </c>
      <c r="AD51" s="86" t="str">
        <f aca="false">IF(OR(AD52="ER",AD56="ER",AD60="ER"),"ER",IF(OR(AD52="?",AD56="?",AD60="?"),"?",IF(AND(AD52="NA",AD56="NA",AD60="NA"),"NA",SUM(AD52,AD56,AD60)/((AD52&lt;&gt;"NA")*$H$52+(AD56&lt;&gt;"NA")*$H$56+(AD60&lt;&gt;"NA")*$H$60)*$H51)))</f>
        <v>?</v>
      </c>
      <c r="AE51" s="86" t="str">
        <f aca="false">IF(OR(AE52="ER",AE56="ER",AE60="ER"),"ER",IF(OR(AE52="?",AE56="?",AE60="?"),"?",IF(AND(AE52="NA",AE56="NA",AE60="NA"),"NA",SUM(AE52,AE56,AE60)/((AE52&lt;&gt;"NA")*$H$52+(AE56&lt;&gt;"NA")*$H$56+(AE60&lt;&gt;"NA")*$H$60)*$H51)))</f>
        <v>?</v>
      </c>
      <c r="AF51" s="86" t="str">
        <f aca="false">IF(OR(AF52="ER",AF56="ER",AF60="ER"),"ER",IF(OR(AF52="?",AF56="?",AF60="?"),"?",IF(AND(AF52="NA",AF56="NA",AF60="NA"),"NA",SUM(AF52,AF56,AF60)/((AF52&lt;&gt;"NA")*$H$52+(AF56&lt;&gt;"NA")*$H$56+(AF60&lt;&gt;"NA")*$H$60)*$H51)))</f>
        <v>?</v>
      </c>
      <c r="AG51" s="86" t="str">
        <f aca="false">IF(OR(AG52="ER",AG56="ER",AG60="ER"),"ER",IF(OR(AG52="?",AG56="?",AG60="?"),"?",IF(AND(AG52="NA",AG56="NA",AG60="NA"),"NA",SUM(AG52,AG56,AG60)/((AG52&lt;&gt;"NA")*$H$52+(AG56&lt;&gt;"NA")*$H$56+(AG60&lt;&gt;"NA")*$H$60)*$H51)))</f>
        <v>?</v>
      </c>
      <c r="AH51" s="86" t="str">
        <f aca="false">IF(OR(AH52="ER",AH56="ER",AH60="ER"),"ER",IF(OR(AH52="?",AH56="?",AH60="?"),"?",IF(AND(AH52="NA",AH56="NA",AH60="NA"),"NA",SUM(AH52,AH56,AH60)/((AH52&lt;&gt;"NA")*$H$52+(AH56&lt;&gt;"NA")*$H$56+(AH60&lt;&gt;"NA")*$H$60)*$H51)))</f>
        <v>?</v>
      </c>
      <c r="AI51" s="86" t="str">
        <f aca="false">IF(OR(AI52="ER",AI56="ER",AI60="ER"),"ER",IF(OR(AI52="?",AI56="?",AI60="?"),"?",IF(AND(AI52="NA",AI56="NA",AI60="NA"),"NA",SUM(AI52,AI56,AI60)/((AI52&lt;&gt;"NA")*$H$52+(AI56&lt;&gt;"NA")*$H$56+(AI60&lt;&gt;"NA")*$H$60)*$H51)))</f>
        <v>?</v>
      </c>
      <c r="AJ51" s="86" t="str">
        <f aca="false">IF(OR(AJ52="ER",AJ56="ER",AJ60="ER"),"ER",IF(OR(AJ52="?",AJ56="?",AJ60="?"),"?",IF(AND(AJ52="NA",AJ56="NA",AJ60="NA"),"NA",SUM(AJ52,AJ56,AJ60)/((AJ52&lt;&gt;"NA")*$H$52+(AJ56&lt;&gt;"NA")*$H$56+(AJ60&lt;&gt;"NA")*$H$60)*$H51)))</f>
        <v>?</v>
      </c>
      <c r="AK51" s="86" t="str">
        <f aca="false">IF(OR(AK52="ER",AK56="ER",AK60="ER"),"ER",IF(OR(AK52="?",AK56="?",AK60="?"),"?",IF(AND(AK52="NA",AK56="NA",AK60="NA"),"NA",SUM(AK52,AK56,AK60)/((AK52&lt;&gt;"NA")*$H$52+(AK56&lt;&gt;"NA")*$H$56+(AK60&lt;&gt;"NA")*$H$60)*$H51)))</f>
        <v>?</v>
      </c>
    </row>
    <row r="52" customFormat="false" ht="14.25" hidden="false" customHeight="false" outlineLevel="0" collapsed="false">
      <c r="A52" s="82" t="s">
        <v>198</v>
      </c>
      <c r="B52" s="83" t="str">
        <f aca="false">IF(ISBLANK($A52),"NO_CODE",VLOOKUP($A52,'UPD Questions_290926 '!$E$1:$N$300,MATCH(B$1,'UPD Questions_290926 '!$E$1:$N$1,0),0)&amp;"")</f>
        <v>Implementation</v>
      </c>
      <c r="C52" s="83" t="str">
        <f aca="false">IF(ISBLANK($A52),"NO_CODE",VLOOKUP($A52,'UPD Questions_290926 '!$E$1:$N$300,MATCH(C$1,'UPD Questions_290926 '!$E$1:$N$1,0),0)&amp;"")</f>
        <v>Sectoral planning</v>
      </c>
      <c r="D52" s="83" t="str">
        <f aca="false">IF(ISBLANK($A52),"NO_CODE",VLOOKUP($A52,'UPD Questions_290926 '!$E$1:$N$300,MATCH(D$1,'UPD Questions_290926 '!$E$1:$N$1,0),0)&amp;"")</f>
        <v>Water supply and sewerage, sanitation, solid waste management </v>
      </c>
      <c r="E52" s="83" t="str">
        <f aca="false">IF(ISBLANK($A52),"NO_CODE",VLOOKUP($A52,'UPD Questions_290926 '!$E$1:$N$300,MATCH(E$1,'UPD Questions_290926 '!$E$1:$N$1,0),0)&amp;"")</f>
        <v>SQ</v>
      </c>
      <c r="F52" s="83" t="str">
        <f aca="false">IF(ISBLANK($A52),"NO_CODE",VLOOKUP($A52,'UPD Questions_290926 '!$E$1:$N$300,MATCH(F$1,'UPD Questions_290926 '!$E$1:$N$1,0),0)&amp;"")</f>
        <v>Does the city have a notified and active Plan?</v>
      </c>
      <c r="G52" s="83" t="str">
        <f aca="false">IF(ISBLANK($A52),"NO_CODE",VLOOKUP($A52,'UPD Questions_290926 '!$E$1:$N$300,MATCH(G$1,'UPD Questions_290926 '!$E$1:$N$1,0),0)&amp;"")</f>
        <v>Implementation</v>
      </c>
      <c r="H52" s="85" t="n">
        <f aca="false">IF(ISBLANK($A52),"NO_CODE",VLOOKUP($A52,'UPD Questions_290926 '!$E$1:$N$300,MATCH(H$1,'UPD Questions_290926 '!$E$1:$N$1,0),0))</f>
        <v>3.33</v>
      </c>
      <c r="I52" s="86" t="str">
        <f aca="true">IF($H52=0,"NA",IF($A52=INDIRECT("'"&amp;$A52&amp;"'!$B$1"),IF(VLOOKUP(I$1,INDIRECT("'"&amp;$A52&amp;"'!$A$12:$Z$41"),MATCH("Points (Auto-generate)",INDIRECT("'"&amp;$A52&amp;"'!$A$12:$Z$12"),0),0)="","?",VLOOKUP(I$1,INDIRECT("'"&amp;$A52&amp;"'!$A$12:$Z$41"),MATCH("Points (Auto-generate)",INDIRECT("'"&amp;$A52&amp;"'!$A$12:$Z$12"),0),0)),"ER"))</f>
        <v>?</v>
      </c>
      <c r="J52" s="86" t="n">
        <f aca="true">IF($H52=0,"NA",IF($A52=INDIRECT("'"&amp;$A52&amp;"'!$B$1"),IF(VLOOKUP(J$1,INDIRECT("'"&amp;$A52&amp;"'!$A$12:$Z$41"),MATCH("Points (Auto-generate)",INDIRECT("'"&amp;$A52&amp;"'!$A$12:$Z$12"),0),0)="","?",VLOOKUP(J$1,INDIRECT("'"&amp;$A52&amp;"'!$A$12:$Z$41"),MATCH("Points (Auto-generate)",INDIRECT("'"&amp;$A52&amp;"'!$A$12:$Z$12"),0),0)),"ER"))</f>
        <v>1.11</v>
      </c>
      <c r="K52" s="86" t="str">
        <f aca="true">IF($H52=0,"NA",IF($A52=INDIRECT("'"&amp;$A52&amp;"'!$B$1"),IF(VLOOKUP(K$1,INDIRECT("'"&amp;$A52&amp;"'!$A$12:$Z$41"),MATCH("Points (Auto-generate)",INDIRECT("'"&amp;$A52&amp;"'!$A$12:$Z$12"),0),0)="","?",VLOOKUP(K$1,INDIRECT("'"&amp;$A52&amp;"'!$A$12:$Z$41"),MATCH("Points (Auto-generate)",INDIRECT("'"&amp;$A52&amp;"'!$A$12:$Z$12"),0),0)),"ER"))</f>
        <v>?</v>
      </c>
      <c r="L52" s="86" t="str">
        <f aca="true">IF($H52=0,"NA",IF($A52=INDIRECT("'"&amp;$A52&amp;"'!$B$1"),IF(VLOOKUP(L$1,INDIRECT("'"&amp;$A52&amp;"'!$A$12:$Z$41"),MATCH("Points (Auto-generate)",INDIRECT("'"&amp;$A52&amp;"'!$A$12:$Z$12"),0),0)="","?",VLOOKUP(L$1,INDIRECT("'"&amp;$A52&amp;"'!$A$12:$Z$41"),MATCH("Points (Auto-generate)",INDIRECT("'"&amp;$A52&amp;"'!$A$12:$Z$12"),0),0)),"ER"))</f>
        <v>?</v>
      </c>
      <c r="M52" s="86" t="str">
        <f aca="true">IF($H52=0,"NA",IF($A52=INDIRECT("'"&amp;$A52&amp;"'!$B$1"),IF(VLOOKUP(M$1,INDIRECT("'"&amp;$A52&amp;"'!$A$12:$Z$41"),MATCH("Points (Auto-generate)",INDIRECT("'"&amp;$A52&amp;"'!$A$12:$Z$12"),0),0)="","?",VLOOKUP(M$1,INDIRECT("'"&amp;$A52&amp;"'!$A$12:$Z$41"),MATCH("Points (Auto-generate)",INDIRECT("'"&amp;$A52&amp;"'!$A$12:$Z$12"),0),0)),"ER"))</f>
        <v>?</v>
      </c>
      <c r="N52" s="86" t="str">
        <f aca="true">IF($H52=0,"NA",IF($A52=INDIRECT("'"&amp;$A52&amp;"'!$B$1"),IF(VLOOKUP(N$1,INDIRECT("'"&amp;$A52&amp;"'!$A$12:$Z$41"),MATCH("Points (Auto-generate)",INDIRECT("'"&amp;$A52&amp;"'!$A$12:$Z$12"),0),0)="","?",VLOOKUP(N$1,INDIRECT("'"&amp;$A52&amp;"'!$A$12:$Z$41"),MATCH("Points (Auto-generate)",INDIRECT("'"&amp;$A52&amp;"'!$A$12:$Z$12"),0),0)),"ER"))</f>
        <v>?</v>
      </c>
      <c r="O52" s="86" t="str">
        <f aca="true">IF($H52=0,"NA",IF($A52=INDIRECT("'"&amp;$A52&amp;"'!$B$1"),IF(VLOOKUP(O$1,INDIRECT("'"&amp;$A52&amp;"'!$A$12:$Z$41"),MATCH("Points (Auto-generate)",INDIRECT("'"&amp;$A52&amp;"'!$A$12:$Z$12"),0),0)="","?",VLOOKUP(O$1,INDIRECT("'"&amp;$A52&amp;"'!$A$12:$Z$41"),MATCH("Points (Auto-generate)",INDIRECT("'"&amp;$A52&amp;"'!$A$12:$Z$12"),0),0)),"ER"))</f>
        <v>?</v>
      </c>
      <c r="P52" s="86" t="str">
        <f aca="true">IF($H52=0,"NA",IF($A52=INDIRECT("'"&amp;$A52&amp;"'!$B$1"),IF(VLOOKUP(P$1,INDIRECT("'"&amp;$A52&amp;"'!$A$12:$Z$41"),MATCH("Points (Auto-generate)",INDIRECT("'"&amp;$A52&amp;"'!$A$12:$Z$12"),0),0)="","?",VLOOKUP(P$1,INDIRECT("'"&amp;$A52&amp;"'!$A$12:$Z$41"),MATCH("Points (Auto-generate)",INDIRECT("'"&amp;$A52&amp;"'!$A$12:$Z$12"),0),0)),"ER"))</f>
        <v>?</v>
      </c>
      <c r="Q52" s="86" t="str">
        <f aca="true">IF($H52=0,"NA",IF($A52=INDIRECT("'"&amp;$A52&amp;"'!$B$1"),IF(VLOOKUP(Q$1,INDIRECT("'"&amp;$A52&amp;"'!$A$12:$Z$41"),MATCH("Points (Auto-generate)",INDIRECT("'"&amp;$A52&amp;"'!$A$12:$Z$12"),0),0)="","?",VLOOKUP(Q$1,INDIRECT("'"&amp;$A52&amp;"'!$A$12:$Z$41"),MATCH("Points (Auto-generate)",INDIRECT("'"&amp;$A52&amp;"'!$A$12:$Z$12"),0),0)),"ER"))</f>
        <v>?</v>
      </c>
      <c r="R52" s="86" t="str">
        <f aca="true">IF($H52=0,"NA",IF($A52=INDIRECT("'"&amp;$A52&amp;"'!$B$1"),IF(VLOOKUP(R$1,INDIRECT("'"&amp;$A52&amp;"'!$A$12:$Z$41"),MATCH("Points (Auto-generate)",INDIRECT("'"&amp;$A52&amp;"'!$A$12:$Z$12"),0),0)="","?",VLOOKUP(R$1,INDIRECT("'"&amp;$A52&amp;"'!$A$12:$Z$41"),MATCH("Points (Auto-generate)",INDIRECT("'"&amp;$A52&amp;"'!$A$12:$Z$12"),0),0)),"ER"))</f>
        <v>?</v>
      </c>
      <c r="S52" s="86" t="str">
        <f aca="true">IF($H52=0,"NA",IF($A52=INDIRECT("'"&amp;$A52&amp;"'!$B$1"),IF(VLOOKUP(S$1,INDIRECT("'"&amp;$A52&amp;"'!$A$12:$Z$41"),MATCH("Points (Auto-generate)",INDIRECT("'"&amp;$A52&amp;"'!$A$12:$Z$12"),0),0)="","?",VLOOKUP(S$1,INDIRECT("'"&amp;$A52&amp;"'!$A$12:$Z$41"),MATCH("Points (Auto-generate)",INDIRECT("'"&amp;$A52&amp;"'!$A$12:$Z$12"),0),0)),"ER"))</f>
        <v>?</v>
      </c>
      <c r="T52" s="86" t="str">
        <f aca="true">IF($H52=0,"NA",IF($A52=INDIRECT("'"&amp;$A52&amp;"'!$B$1"),IF(VLOOKUP(T$1,INDIRECT("'"&amp;$A52&amp;"'!$A$12:$Z$41"),MATCH("Points (Auto-generate)",INDIRECT("'"&amp;$A52&amp;"'!$A$12:$Z$12"),0),0)="","?",VLOOKUP(T$1,INDIRECT("'"&amp;$A52&amp;"'!$A$12:$Z$41"),MATCH("Points (Auto-generate)",INDIRECT("'"&amp;$A52&amp;"'!$A$12:$Z$12"),0),0)),"ER"))</f>
        <v>?</v>
      </c>
      <c r="U52" s="86" t="str">
        <f aca="true">IF($H52=0,"NA",IF($A52=INDIRECT("'"&amp;$A52&amp;"'!$B$1"),IF(VLOOKUP(U$1,INDIRECT("'"&amp;$A52&amp;"'!$A$12:$Z$41"),MATCH("Points (Auto-generate)",INDIRECT("'"&amp;$A52&amp;"'!$A$12:$Z$12"),0),0)="","?",VLOOKUP(U$1,INDIRECT("'"&amp;$A52&amp;"'!$A$12:$Z$41"),MATCH("Points (Auto-generate)",INDIRECT("'"&amp;$A52&amp;"'!$A$12:$Z$12"),0),0)),"ER"))</f>
        <v>?</v>
      </c>
      <c r="V52" s="86" t="str">
        <f aca="true">IF($H52=0,"NA",IF($A52=INDIRECT("'"&amp;$A52&amp;"'!$B$1"),IF(VLOOKUP(V$1,INDIRECT("'"&amp;$A52&amp;"'!$A$12:$Z$41"),MATCH("Points (Auto-generate)",INDIRECT("'"&amp;$A52&amp;"'!$A$12:$Z$12"),0),0)="","?",VLOOKUP(V$1,INDIRECT("'"&amp;$A52&amp;"'!$A$12:$Z$41"),MATCH("Points (Auto-generate)",INDIRECT("'"&amp;$A52&amp;"'!$A$12:$Z$12"),0),0)),"ER"))</f>
        <v>?</v>
      </c>
      <c r="W52" s="86" t="str">
        <f aca="true">IF($H52=0,"NA",IF($A52=INDIRECT("'"&amp;$A52&amp;"'!$B$1"),IF(VLOOKUP(W$1,INDIRECT("'"&amp;$A52&amp;"'!$A$12:$Z$41"),MATCH("Points (Auto-generate)",INDIRECT("'"&amp;$A52&amp;"'!$A$12:$Z$12"),0),0)="","?",VLOOKUP(W$1,INDIRECT("'"&amp;$A52&amp;"'!$A$12:$Z$41"),MATCH("Points (Auto-generate)",INDIRECT("'"&amp;$A52&amp;"'!$A$12:$Z$12"),0),0)),"ER"))</f>
        <v>?</v>
      </c>
      <c r="X52" s="86" t="str">
        <f aca="true">IF($H52=0,"NA",IF($A52=INDIRECT("'"&amp;$A52&amp;"'!$B$1"),IF(VLOOKUP(X$1,INDIRECT("'"&amp;$A52&amp;"'!$A$12:$Z$41"),MATCH("Points (Auto-generate)",INDIRECT("'"&amp;$A52&amp;"'!$A$12:$Z$12"),0),0)="","?",VLOOKUP(X$1,INDIRECT("'"&amp;$A52&amp;"'!$A$12:$Z$41"),MATCH("Points (Auto-generate)",INDIRECT("'"&amp;$A52&amp;"'!$A$12:$Z$12"),0),0)),"ER"))</f>
        <v>?</v>
      </c>
      <c r="Y52" s="86" t="str">
        <f aca="true">IF($H52=0,"NA",IF($A52=INDIRECT("'"&amp;$A52&amp;"'!$B$1"),IF(VLOOKUP(Y$1,INDIRECT("'"&amp;$A52&amp;"'!$A$12:$Z$41"),MATCH("Points (Auto-generate)",INDIRECT("'"&amp;$A52&amp;"'!$A$12:$Z$12"),0),0)="","?",VLOOKUP(Y$1,INDIRECT("'"&amp;$A52&amp;"'!$A$12:$Z$41"),MATCH("Points (Auto-generate)",INDIRECT("'"&amp;$A52&amp;"'!$A$12:$Z$12"),0),0)),"ER"))</f>
        <v>?</v>
      </c>
      <c r="Z52" s="86" t="str">
        <f aca="true">IF($H52=0,"NA",IF($A52=INDIRECT("'"&amp;$A52&amp;"'!$B$1"),IF(VLOOKUP(Z$1,INDIRECT("'"&amp;$A52&amp;"'!$A$12:$Z$41"),MATCH("Points (Auto-generate)",INDIRECT("'"&amp;$A52&amp;"'!$A$12:$Z$12"),0),0)="","?",VLOOKUP(Z$1,INDIRECT("'"&amp;$A52&amp;"'!$A$12:$Z$41"),MATCH("Points (Auto-generate)",INDIRECT("'"&amp;$A52&amp;"'!$A$12:$Z$12"),0),0)),"ER"))</f>
        <v>?</v>
      </c>
      <c r="AA52" s="86" t="str">
        <f aca="true">IF($H52=0,"NA",IF($A52=INDIRECT("'"&amp;$A52&amp;"'!$B$1"),IF(VLOOKUP(AA$1,INDIRECT("'"&amp;$A52&amp;"'!$A$12:$Z$41"),MATCH("Points (Auto-generate)",INDIRECT("'"&amp;$A52&amp;"'!$A$12:$Z$12"),0),0)="","?",VLOOKUP(AA$1,INDIRECT("'"&amp;$A52&amp;"'!$A$12:$Z$41"),MATCH("Points (Auto-generate)",INDIRECT("'"&amp;$A52&amp;"'!$A$12:$Z$12"),0),0)),"ER"))</f>
        <v>?</v>
      </c>
      <c r="AB52" s="86" t="str">
        <f aca="true">IF($H52=0,"NA",IF($A52=INDIRECT("'"&amp;$A52&amp;"'!$B$1"),IF(VLOOKUP(AB$1,INDIRECT("'"&amp;$A52&amp;"'!$A$12:$Z$41"),MATCH("Points (Auto-generate)",INDIRECT("'"&amp;$A52&amp;"'!$A$12:$Z$12"),0),0)="","?",VLOOKUP(AB$1,INDIRECT("'"&amp;$A52&amp;"'!$A$12:$Z$41"),MATCH("Points (Auto-generate)",INDIRECT("'"&amp;$A52&amp;"'!$A$12:$Z$12"),0),0)),"ER"))</f>
        <v>?</v>
      </c>
      <c r="AC52" s="86" t="str">
        <f aca="true">IF($H52=0,"NA",IF($A52=INDIRECT("'"&amp;$A52&amp;"'!$B$1"),IF(VLOOKUP(AC$1,INDIRECT("'"&amp;$A52&amp;"'!$A$12:$Z$41"),MATCH("Points (Auto-generate)",INDIRECT("'"&amp;$A52&amp;"'!$A$12:$Z$12"),0),0)="","?",VLOOKUP(AC$1,INDIRECT("'"&amp;$A52&amp;"'!$A$12:$Z$41"),MATCH("Points (Auto-generate)",INDIRECT("'"&amp;$A52&amp;"'!$A$12:$Z$12"),0),0)),"ER"))</f>
        <v>?</v>
      </c>
      <c r="AD52" s="86" t="str">
        <f aca="true">IF($H52=0,"NA",IF($A52=INDIRECT("'"&amp;$A52&amp;"'!$B$1"),IF(VLOOKUP(AD$1,INDIRECT("'"&amp;$A52&amp;"'!$A$12:$Z$41"),MATCH("Points (Auto-generate)",INDIRECT("'"&amp;$A52&amp;"'!$A$12:$Z$12"),0),0)="","?",VLOOKUP(AD$1,INDIRECT("'"&amp;$A52&amp;"'!$A$12:$Z$41"),MATCH("Points (Auto-generate)",INDIRECT("'"&amp;$A52&amp;"'!$A$12:$Z$12"),0),0)),"ER"))</f>
        <v>?</v>
      </c>
      <c r="AE52" s="86" t="str">
        <f aca="true">IF($H52=0,"NA",IF($A52=INDIRECT("'"&amp;$A52&amp;"'!$B$1"),IF(VLOOKUP(AE$1,INDIRECT("'"&amp;$A52&amp;"'!$A$12:$Z$41"),MATCH("Points (Auto-generate)",INDIRECT("'"&amp;$A52&amp;"'!$A$12:$Z$12"),0),0)="","?",VLOOKUP(AE$1,INDIRECT("'"&amp;$A52&amp;"'!$A$12:$Z$41"),MATCH("Points (Auto-generate)",INDIRECT("'"&amp;$A52&amp;"'!$A$12:$Z$12"),0),0)),"ER"))</f>
        <v>?</v>
      </c>
      <c r="AF52" s="86" t="str">
        <f aca="true">IF($H52=0,"NA",IF($A52=INDIRECT("'"&amp;$A52&amp;"'!$B$1"),IF(VLOOKUP(AF$1,INDIRECT("'"&amp;$A52&amp;"'!$A$12:$Z$41"),MATCH("Points (Auto-generate)",INDIRECT("'"&amp;$A52&amp;"'!$A$12:$Z$12"),0),0)="","?",VLOOKUP(AF$1,INDIRECT("'"&amp;$A52&amp;"'!$A$12:$Z$41"),MATCH("Points (Auto-generate)",INDIRECT("'"&amp;$A52&amp;"'!$A$12:$Z$12"),0),0)),"ER"))</f>
        <v>?</v>
      </c>
      <c r="AG52" s="86" t="str">
        <f aca="true">IF($H52=0,"NA",IF($A52=INDIRECT("'"&amp;$A52&amp;"'!$B$1"),IF(VLOOKUP(AG$1,INDIRECT("'"&amp;$A52&amp;"'!$A$12:$Z$41"),MATCH("Points (Auto-generate)",INDIRECT("'"&amp;$A52&amp;"'!$A$12:$Z$12"),0),0)="","?",VLOOKUP(AG$1,INDIRECT("'"&amp;$A52&amp;"'!$A$12:$Z$41"),MATCH("Points (Auto-generate)",INDIRECT("'"&amp;$A52&amp;"'!$A$12:$Z$12"),0),0)),"ER"))</f>
        <v>?</v>
      </c>
      <c r="AH52" s="86" t="str">
        <f aca="true">IF($H52=0,"NA",IF($A52=INDIRECT("'"&amp;$A52&amp;"'!$B$1"),IF(VLOOKUP(AH$1,INDIRECT("'"&amp;$A52&amp;"'!$A$12:$Z$41"),MATCH("Points (Auto-generate)",INDIRECT("'"&amp;$A52&amp;"'!$A$12:$Z$12"),0),0)="","?",VLOOKUP(AH$1,INDIRECT("'"&amp;$A52&amp;"'!$A$12:$Z$41"),MATCH("Points (Auto-generate)",INDIRECT("'"&amp;$A52&amp;"'!$A$12:$Z$12"),0),0)),"ER"))</f>
        <v>?</v>
      </c>
      <c r="AI52" s="86" t="str">
        <f aca="true">IF($H52=0,"NA",IF($A52=INDIRECT("'"&amp;$A52&amp;"'!$B$1"),IF(VLOOKUP(AI$1,INDIRECT("'"&amp;$A52&amp;"'!$A$12:$Z$41"),MATCH("Points (Auto-generate)",INDIRECT("'"&amp;$A52&amp;"'!$A$12:$Z$12"),0),0)="","?",VLOOKUP(AI$1,INDIRECT("'"&amp;$A52&amp;"'!$A$12:$Z$41"),MATCH("Points (Auto-generate)",INDIRECT("'"&amp;$A52&amp;"'!$A$12:$Z$12"),0),0)),"ER"))</f>
        <v>?</v>
      </c>
      <c r="AJ52" s="86" t="str">
        <f aca="true">IF($H52=0,"NA",IF($A52=INDIRECT("'"&amp;$A52&amp;"'!$B$1"),IF(VLOOKUP(AJ$1,INDIRECT("'"&amp;$A52&amp;"'!$A$12:$Z$41"),MATCH("Points (Auto-generate)",INDIRECT("'"&amp;$A52&amp;"'!$A$12:$Z$12"),0),0)="","?",VLOOKUP(AJ$1,INDIRECT("'"&amp;$A52&amp;"'!$A$12:$Z$41"),MATCH("Points (Auto-generate)",INDIRECT("'"&amp;$A52&amp;"'!$A$12:$Z$12"),0),0)),"ER"))</f>
        <v>?</v>
      </c>
      <c r="AK52" s="86" t="str">
        <f aca="true">IF($H52=0,"NA",IF($A52=INDIRECT("'"&amp;$A52&amp;"'!$B$1"),IF(VLOOKUP(AK$1,INDIRECT("'"&amp;$A52&amp;"'!$A$12:$Z$41"),MATCH("Points (Auto-generate)",INDIRECT("'"&amp;$A52&amp;"'!$A$12:$Z$12"),0),0)="","?",VLOOKUP(AK$1,INDIRECT("'"&amp;$A52&amp;"'!$A$12:$Z$41"),MATCH("Points (Auto-generate)",INDIRECT("'"&amp;$A52&amp;"'!$A$12:$Z$12"),0),0)),"ER"))</f>
        <v>?</v>
      </c>
    </row>
    <row r="53" customFormat="false" ht="14.25" hidden="false" customHeight="false" outlineLevel="0" collapsed="false">
      <c r="A53" s="82" t="s">
        <v>543</v>
      </c>
      <c r="B53" s="83" t="str">
        <f aca="false">IF(ISBLANK($A53),"NO_CODE",VLOOKUP($A53,'UPD Questions_290926 '!$E$1:$N$300,MATCH(B$1,'UPD Questions_290926 '!$E$1:$N$1,0),0)&amp;"")</f>
        <v>Implementation</v>
      </c>
      <c r="C53" s="83" t="str">
        <f aca="false">IF(ISBLANK($A53),"NO_CODE",VLOOKUP($A53,'UPD Questions_290926 '!$E$1:$N$300,MATCH(C$1,'UPD Questions_290926 '!$E$1:$N$1,0),0)&amp;"")</f>
        <v>Sectoral planning</v>
      </c>
      <c r="D53" s="83" t="str">
        <f aca="false">IF(ISBLANK($A53),"NO_CODE",VLOOKUP($A53,'UPD Questions_290926 '!$E$1:$N$300,MATCH(D$1,'UPD Questions_290926 '!$E$1:$N$1,0),0)&amp;"")</f>
        <v>Water supply and sewerage, sanitation, solid waste management </v>
      </c>
      <c r="E53" s="83" t="str">
        <f aca="false">IF(ISBLANK($A53),"NO_CODE",VLOOKUP($A53,'UPD Questions_290926 '!$E$1:$N$300,MATCH(E$1,'UPD Questions_290926 '!$E$1:$N$1,0),0)&amp;"")</f>
        <v>SQ1</v>
      </c>
      <c r="F53" s="83" t="str">
        <f aca="false">IF(ISBLANK($A53),"NO_CODE",VLOOKUP($A53,'UPD Questions_290926 '!$E$1:$N$300,MATCH(F$1,'UPD Questions_290926 '!$E$1:$N$1,0),0)&amp;"")</f>
        <v>a) Water Supply and Sewerage Plan</v>
      </c>
      <c r="G53" s="83" t="str">
        <f aca="false">IF(ISBLANK($A53),"NO_CODE",VLOOKUP($A53,'UPD Questions_290926 '!$E$1:$N$300,MATCH(G$1,'UPD Questions_290926 '!$E$1:$N$1,0),0)&amp;"")</f>
        <v>Implementation</v>
      </c>
      <c r="H53" s="85" t="n">
        <f aca="false">IF(ISBLANK($A53),"NO_CODE",VLOOKUP($A53,'UPD Questions_290926 '!$E$1:$N$300,MATCH(H$1,'UPD Questions_290926 '!$E$1:$N$1,0),0))</f>
        <v>1.11</v>
      </c>
      <c r="I53" s="86" t="str">
        <f aca="true">IF(INDEX(INDIRECT("'"&amp;LEFT($A53,LEN($A53)-1)&amp;"'!$H$13:$J$41"),MATCH(I$1,INDIRECT("'"&amp;LEFT($A53,LEN($A53)-1)&amp;"'!$A$13:$A$41"),0),VALUE(RIGHT($A53,1)))="YES",$H53,IF(INDEX(INDIRECT("'"&amp;LEFT($A53,LEN($A53)-1)&amp;"'!$H$13:$J$41"),MATCH(I$1,INDIRECT("'"&amp;LEFT($A53,LEN($A53)-1)&amp;"'!$A$13:$A$41"),0),VALUE(RIGHT($A53,1)))="NO",0,"?"))</f>
        <v>?</v>
      </c>
      <c r="J53" s="86" t="n">
        <f aca="true">IF(INDEX(INDIRECT("'"&amp;LEFT($A53,LEN($A53)-1)&amp;"'!$H$13:$J$41"),MATCH(J$1,INDIRECT("'"&amp;LEFT($A53,LEN($A53)-1)&amp;"'!$A$13:$A$41"),0),VALUE(RIGHT($A53,1)))="YES",$H53,IF(INDEX(INDIRECT("'"&amp;LEFT($A53,LEN($A53)-1)&amp;"'!$H$13:$J$41"),MATCH(J$1,INDIRECT("'"&amp;LEFT($A53,LEN($A53)-1)&amp;"'!$A$13:$A$41"),0),VALUE(RIGHT($A53,1)))="NO",0,"?"))</f>
        <v>1.11</v>
      </c>
      <c r="K53" s="86" t="str">
        <f aca="true">IF(INDEX(INDIRECT("'"&amp;LEFT($A53,LEN($A53)-1)&amp;"'!$H$13:$J$41"),MATCH(K$1,INDIRECT("'"&amp;LEFT($A53,LEN($A53)-1)&amp;"'!$A$13:$A$41"),0),VALUE(RIGHT($A53,1)))="YES",$H53,IF(INDEX(INDIRECT("'"&amp;LEFT($A53,LEN($A53)-1)&amp;"'!$H$13:$J$41"),MATCH(K$1,INDIRECT("'"&amp;LEFT($A53,LEN($A53)-1)&amp;"'!$A$13:$A$41"),0),VALUE(RIGHT($A53,1)))="NO",0,"?"))</f>
        <v>?</v>
      </c>
      <c r="L53" s="86" t="str">
        <f aca="true">IF(INDEX(INDIRECT("'"&amp;LEFT($A53,LEN($A53)-1)&amp;"'!$H$13:$J$41"),MATCH(L$1,INDIRECT("'"&amp;LEFT($A53,LEN($A53)-1)&amp;"'!$A$13:$A$41"),0),VALUE(RIGHT($A53,1)))="YES",$H53,IF(INDEX(INDIRECT("'"&amp;LEFT($A53,LEN($A53)-1)&amp;"'!$H$13:$J$41"),MATCH(L$1,INDIRECT("'"&amp;LEFT($A53,LEN($A53)-1)&amp;"'!$A$13:$A$41"),0),VALUE(RIGHT($A53,1)))="NO",0,"?"))</f>
        <v>?</v>
      </c>
      <c r="M53" s="86" t="str">
        <f aca="true">IF(INDEX(INDIRECT("'"&amp;LEFT($A53,LEN($A53)-1)&amp;"'!$H$13:$J$41"),MATCH(M$1,INDIRECT("'"&amp;LEFT($A53,LEN($A53)-1)&amp;"'!$A$13:$A$41"),0),VALUE(RIGHT($A53,1)))="YES",$H53,IF(INDEX(INDIRECT("'"&amp;LEFT($A53,LEN($A53)-1)&amp;"'!$H$13:$J$41"),MATCH(M$1,INDIRECT("'"&amp;LEFT($A53,LEN($A53)-1)&amp;"'!$A$13:$A$41"),0),VALUE(RIGHT($A53,1)))="NO",0,"?"))</f>
        <v>?</v>
      </c>
      <c r="N53" s="86" t="str">
        <f aca="true">IF(INDEX(INDIRECT("'"&amp;LEFT($A53,LEN($A53)-1)&amp;"'!$H$13:$J$41"),MATCH(N$1,INDIRECT("'"&amp;LEFT($A53,LEN($A53)-1)&amp;"'!$A$13:$A$41"),0),VALUE(RIGHT($A53,1)))="YES",$H53,IF(INDEX(INDIRECT("'"&amp;LEFT($A53,LEN($A53)-1)&amp;"'!$H$13:$J$41"),MATCH(N$1,INDIRECT("'"&amp;LEFT($A53,LEN($A53)-1)&amp;"'!$A$13:$A$41"),0),VALUE(RIGHT($A53,1)))="NO",0,"?"))</f>
        <v>?</v>
      </c>
      <c r="O53" s="86" t="str">
        <f aca="true">IF(INDEX(INDIRECT("'"&amp;LEFT($A53,LEN($A53)-1)&amp;"'!$H$13:$J$41"),MATCH(O$1,INDIRECT("'"&amp;LEFT($A53,LEN($A53)-1)&amp;"'!$A$13:$A$41"),0),VALUE(RIGHT($A53,1)))="YES",$H53,IF(INDEX(INDIRECT("'"&amp;LEFT($A53,LEN($A53)-1)&amp;"'!$H$13:$J$41"),MATCH(O$1,INDIRECT("'"&amp;LEFT($A53,LEN($A53)-1)&amp;"'!$A$13:$A$41"),0),VALUE(RIGHT($A53,1)))="NO",0,"?"))</f>
        <v>?</v>
      </c>
      <c r="P53" s="86" t="str">
        <f aca="true">IF(INDEX(INDIRECT("'"&amp;LEFT($A53,LEN($A53)-1)&amp;"'!$H$13:$J$41"),MATCH(P$1,INDIRECT("'"&amp;LEFT($A53,LEN($A53)-1)&amp;"'!$A$13:$A$41"),0),VALUE(RIGHT($A53,1)))="YES",$H53,IF(INDEX(INDIRECT("'"&amp;LEFT($A53,LEN($A53)-1)&amp;"'!$H$13:$J$41"),MATCH(P$1,INDIRECT("'"&amp;LEFT($A53,LEN($A53)-1)&amp;"'!$A$13:$A$41"),0),VALUE(RIGHT($A53,1)))="NO",0,"?"))</f>
        <v>?</v>
      </c>
      <c r="Q53" s="86" t="str">
        <f aca="true">IF(INDEX(INDIRECT("'"&amp;LEFT($A53,LEN($A53)-1)&amp;"'!$H$13:$J$41"),MATCH(Q$1,INDIRECT("'"&amp;LEFT($A53,LEN($A53)-1)&amp;"'!$A$13:$A$41"),0),VALUE(RIGHT($A53,1)))="YES",$H53,IF(INDEX(INDIRECT("'"&amp;LEFT($A53,LEN($A53)-1)&amp;"'!$H$13:$J$41"),MATCH(Q$1,INDIRECT("'"&amp;LEFT($A53,LEN($A53)-1)&amp;"'!$A$13:$A$41"),0),VALUE(RIGHT($A53,1)))="NO",0,"?"))</f>
        <v>?</v>
      </c>
      <c r="R53" s="86" t="str">
        <f aca="true">IF(INDEX(INDIRECT("'"&amp;LEFT($A53,LEN($A53)-1)&amp;"'!$H$13:$J$41"),MATCH(R$1,INDIRECT("'"&amp;LEFT($A53,LEN($A53)-1)&amp;"'!$A$13:$A$41"),0),VALUE(RIGHT($A53,1)))="YES",$H53,IF(INDEX(INDIRECT("'"&amp;LEFT($A53,LEN($A53)-1)&amp;"'!$H$13:$J$41"),MATCH(R$1,INDIRECT("'"&amp;LEFT($A53,LEN($A53)-1)&amp;"'!$A$13:$A$41"),0),VALUE(RIGHT($A53,1)))="NO",0,"?"))</f>
        <v>?</v>
      </c>
      <c r="S53" s="86" t="str">
        <f aca="true">IF(INDEX(INDIRECT("'"&amp;LEFT($A53,LEN($A53)-1)&amp;"'!$H$13:$J$41"),MATCH(S$1,INDIRECT("'"&amp;LEFT($A53,LEN($A53)-1)&amp;"'!$A$13:$A$41"),0),VALUE(RIGHT($A53,1)))="YES",$H53,IF(INDEX(INDIRECT("'"&amp;LEFT($A53,LEN($A53)-1)&amp;"'!$H$13:$J$41"),MATCH(S$1,INDIRECT("'"&amp;LEFT($A53,LEN($A53)-1)&amp;"'!$A$13:$A$41"),0),VALUE(RIGHT($A53,1)))="NO",0,"?"))</f>
        <v>?</v>
      </c>
      <c r="T53" s="86" t="str">
        <f aca="true">IF(INDEX(INDIRECT("'"&amp;LEFT($A53,LEN($A53)-1)&amp;"'!$H$13:$J$41"),MATCH(T$1,INDIRECT("'"&amp;LEFT($A53,LEN($A53)-1)&amp;"'!$A$13:$A$41"),0),VALUE(RIGHT($A53,1)))="YES",$H53,IF(INDEX(INDIRECT("'"&amp;LEFT($A53,LEN($A53)-1)&amp;"'!$H$13:$J$41"),MATCH(T$1,INDIRECT("'"&amp;LEFT($A53,LEN($A53)-1)&amp;"'!$A$13:$A$41"),0),VALUE(RIGHT($A53,1)))="NO",0,"?"))</f>
        <v>?</v>
      </c>
      <c r="U53" s="86" t="str">
        <f aca="true">IF(INDEX(INDIRECT("'"&amp;LEFT($A53,LEN($A53)-1)&amp;"'!$H$13:$J$41"),MATCH(U$1,INDIRECT("'"&amp;LEFT($A53,LEN($A53)-1)&amp;"'!$A$13:$A$41"),0),VALUE(RIGHT($A53,1)))="YES",$H53,IF(INDEX(INDIRECT("'"&amp;LEFT($A53,LEN($A53)-1)&amp;"'!$H$13:$J$41"),MATCH(U$1,INDIRECT("'"&amp;LEFT($A53,LEN($A53)-1)&amp;"'!$A$13:$A$41"),0),VALUE(RIGHT($A53,1)))="NO",0,"?"))</f>
        <v>?</v>
      </c>
      <c r="V53" s="86" t="str">
        <f aca="true">IF(INDEX(INDIRECT("'"&amp;LEFT($A53,LEN($A53)-1)&amp;"'!$H$13:$J$41"),MATCH(V$1,INDIRECT("'"&amp;LEFT($A53,LEN($A53)-1)&amp;"'!$A$13:$A$41"),0),VALUE(RIGHT($A53,1)))="YES",$H53,IF(INDEX(INDIRECT("'"&amp;LEFT($A53,LEN($A53)-1)&amp;"'!$H$13:$J$41"),MATCH(V$1,INDIRECT("'"&amp;LEFT($A53,LEN($A53)-1)&amp;"'!$A$13:$A$41"),0),VALUE(RIGHT($A53,1)))="NO",0,"?"))</f>
        <v>?</v>
      </c>
      <c r="W53" s="86" t="str">
        <f aca="true">IF(INDEX(INDIRECT("'"&amp;LEFT($A53,LEN($A53)-1)&amp;"'!$H$13:$J$41"),MATCH(W$1,INDIRECT("'"&amp;LEFT($A53,LEN($A53)-1)&amp;"'!$A$13:$A$41"),0),VALUE(RIGHT($A53,1)))="YES",$H53,IF(INDEX(INDIRECT("'"&amp;LEFT($A53,LEN($A53)-1)&amp;"'!$H$13:$J$41"),MATCH(W$1,INDIRECT("'"&amp;LEFT($A53,LEN($A53)-1)&amp;"'!$A$13:$A$41"),0),VALUE(RIGHT($A53,1)))="NO",0,"?"))</f>
        <v>?</v>
      </c>
      <c r="X53" s="86" t="str">
        <f aca="true">IF(INDEX(INDIRECT("'"&amp;LEFT($A53,LEN($A53)-1)&amp;"'!$H$13:$J$41"),MATCH(X$1,INDIRECT("'"&amp;LEFT($A53,LEN($A53)-1)&amp;"'!$A$13:$A$41"),0),VALUE(RIGHT($A53,1)))="YES",$H53,IF(INDEX(INDIRECT("'"&amp;LEFT($A53,LEN($A53)-1)&amp;"'!$H$13:$J$41"),MATCH(X$1,INDIRECT("'"&amp;LEFT($A53,LEN($A53)-1)&amp;"'!$A$13:$A$41"),0),VALUE(RIGHT($A53,1)))="NO",0,"?"))</f>
        <v>?</v>
      </c>
      <c r="Y53" s="86" t="str">
        <f aca="true">IF(INDEX(INDIRECT("'"&amp;LEFT($A53,LEN($A53)-1)&amp;"'!$H$13:$J$41"),MATCH(Y$1,INDIRECT("'"&amp;LEFT($A53,LEN($A53)-1)&amp;"'!$A$13:$A$41"),0),VALUE(RIGHT($A53,1)))="YES",$H53,IF(INDEX(INDIRECT("'"&amp;LEFT($A53,LEN($A53)-1)&amp;"'!$H$13:$J$41"),MATCH(Y$1,INDIRECT("'"&amp;LEFT($A53,LEN($A53)-1)&amp;"'!$A$13:$A$41"),0),VALUE(RIGHT($A53,1)))="NO",0,"?"))</f>
        <v>?</v>
      </c>
      <c r="Z53" s="86" t="str">
        <f aca="true">IF(INDEX(INDIRECT("'"&amp;LEFT($A53,LEN($A53)-1)&amp;"'!$H$13:$J$41"),MATCH(Z$1,INDIRECT("'"&amp;LEFT($A53,LEN($A53)-1)&amp;"'!$A$13:$A$41"),0),VALUE(RIGHT($A53,1)))="YES",$H53,IF(INDEX(INDIRECT("'"&amp;LEFT($A53,LEN($A53)-1)&amp;"'!$H$13:$J$41"),MATCH(Z$1,INDIRECT("'"&amp;LEFT($A53,LEN($A53)-1)&amp;"'!$A$13:$A$41"),0),VALUE(RIGHT($A53,1)))="NO",0,"?"))</f>
        <v>?</v>
      </c>
      <c r="AA53" s="86" t="str">
        <f aca="true">IF(INDEX(INDIRECT("'"&amp;LEFT($A53,LEN($A53)-1)&amp;"'!$H$13:$J$41"),MATCH(AA$1,INDIRECT("'"&amp;LEFT($A53,LEN($A53)-1)&amp;"'!$A$13:$A$41"),0),VALUE(RIGHT($A53,1)))="YES",$H53,IF(INDEX(INDIRECT("'"&amp;LEFT($A53,LEN($A53)-1)&amp;"'!$H$13:$J$41"),MATCH(AA$1,INDIRECT("'"&amp;LEFT($A53,LEN($A53)-1)&amp;"'!$A$13:$A$41"),0),VALUE(RIGHT($A53,1)))="NO",0,"?"))</f>
        <v>?</v>
      </c>
      <c r="AB53" s="86" t="str">
        <f aca="true">IF(INDEX(INDIRECT("'"&amp;LEFT($A53,LEN($A53)-1)&amp;"'!$H$13:$J$41"),MATCH(AB$1,INDIRECT("'"&amp;LEFT($A53,LEN($A53)-1)&amp;"'!$A$13:$A$41"),0),VALUE(RIGHT($A53,1)))="YES",$H53,IF(INDEX(INDIRECT("'"&amp;LEFT($A53,LEN($A53)-1)&amp;"'!$H$13:$J$41"),MATCH(AB$1,INDIRECT("'"&amp;LEFT($A53,LEN($A53)-1)&amp;"'!$A$13:$A$41"),0),VALUE(RIGHT($A53,1)))="NO",0,"?"))</f>
        <v>?</v>
      </c>
      <c r="AC53" s="86" t="str">
        <f aca="true">IF(INDEX(INDIRECT("'"&amp;LEFT($A53,LEN($A53)-1)&amp;"'!$H$13:$J$41"),MATCH(AC$1,INDIRECT("'"&amp;LEFT($A53,LEN($A53)-1)&amp;"'!$A$13:$A$41"),0),VALUE(RIGHT($A53,1)))="YES",$H53,IF(INDEX(INDIRECT("'"&amp;LEFT($A53,LEN($A53)-1)&amp;"'!$H$13:$J$41"),MATCH(AC$1,INDIRECT("'"&amp;LEFT($A53,LEN($A53)-1)&amp;"'!$A$13:$A$41"),0),VALUE(RIGHT($A53,1)))="NO",0,"?"))</f>
        <v>?</v>
      </c>
      <c r="AD53" s="86" t="str">
        <f aca="true">IF(INDEX(INDIRECT("'"&amp;LEFT($A53,LEN($A53)-1)&amp;"'!$H$13:$J$41"),MATCH(AD$1,INDIRECT("'"&amp;LEFT($A53,LEN($A53)-1)&amp;"'!$A$13:$A$41"),0),VALUE(RIGHT($A53,1)))="YES",$H53,IF(INDEX(INDIRECT("'"&amp;LEFT($A53,LEN($A53)-1)&amp;"'!$H$13:$J$41"),MATCH(AD$1,INDIRECT("'"&amp;LEFT($A53,LEN($A53)-1)&amp;"'!$A$13:$A$41"),0),VALUE(RIGHT($A53,1)))="NO",0,"?"))</f>
        <v>?</v>
      </c>
      <c r="AE53" s="86" t="str">
        <f aca="true">IF(INDEX(INDIRECT("'"&amp;LEFT($A53,LEN($A53)-1)&amp;"'!$H$13:$J$41"),MATCH(AE$1,INDIRECT("'"&amp;LEFT($A53,LEN($A53)-1)&amp;"'!$A$13:$A$41"),0),VALUE(RIGHT($A53,1)))="YES",$H53,IF(INDEX(INDIRECT("'"&amp;LEFT($A53,LEN($A53)-1)&amp;"'!$H$13:$J$41"),MATCH(AE$1,INDIRECT("'"&amp;LEFT($A53,LEN($A53)-1)&amp;"'!$A$13:$A$41"),0),VALUE(RIGHT($A53,1)))="NO",0,"?"))</f>
        <v>?</v>
      </c>
      <c r="AF53" s="86" t="str">
        <f aca="true">IF(INDEX(INDIRECT("'"&amp;LEFT($A53,LEN($A53)-1)&amp;"'!$H$13:$J$41"),MATCH(AF$1,INDIRECT("'"&amp;LEFT($A53,LEN($A53)-1)&amp;"'!$A$13:$A$41"),0),VALUE(RIGHT($A53,1)))="YES",$H53,IF(INDEX(INDIRECT("'"&amp;LEFT($A53,LEN($A53)-1)&amp;"'!$H$13:$J$41"),MATCH(AF$1,INDIRECT("'"&amp;LEFT($A53,LEN($A53)-1)&amp;"'!$A$13:$A$41"),0),VALUE(RIGHT($A53,1)))="NO",0,"?"))</f>
        <v>?</v>
      </c>
      <c r="AG53" s="86" t="str">
        <f aca="true">IF(INDEX(INDIRECT("'"&amp;LEFT($A53,LEN($A53)-1)&amp;"'!$H$13:$J$41"),MATCH(AG$1,INDIRECT("'"&amp;LEFT($A53,LEN($A53)-1)&amp;"'!$A$13:$A$41"),0),VALUE(RIGHT($A53,1)))="YES",$H53,IF(INDEX(INDIRECT("'"&amp;LEFT($A53,LEN($A53)-1)&amp;"'!$H$13:$J$41"),MATCH(AG$1,INDIRECT("'"&amp;LEFT($A53,LEN($A53)-1)&amp;"'!$A$13:$A$41"),0),VALUE(RIGHT($A53,1)))="NO",0,"?"))</f>
        <v>?</v>
      </c>
      <c r="AH53" s="86" t="str">
        <f aca="true">IF(INDEX(INDIRECT("'"&amp;LEFT($A53,LEN($A53)-1)&amp;"'!$H$13:$J$41"),MATCH(AH$1,INDIRECT("'"&amp;LEFT($A53,LEN($A53)-1)&amp;"'!$A$13:$A$41"),0),VALUE(RIGHT($A53,1)))="YES",$H53,IF(INDEX(INDIRECT("'"&amp;LEFT($A53,LEN($A53)-1)&amp;"'!$H$13:$J$41"),MATCH(AH$1,INDIRECT("'"&amp;LEFT($A53,LEN($A53)-1)&amp;"'!$A$13:$A$41"),0),VALUE(RIGHT($A53,1)))="NO",0,"?"))</f>
        <v>?</v>
      </c>
      <c r="AI53" s="86" t="str">
        <f aca="true">IF(INDEX(INDIRECT("'"&amp;LEFT($A53,LEN($A53)-1)&amp;"'!$H$13:$J$41"),MATCH(AI$1,INDIRECT("'"&amp;LEFT($A53,LEN($A53)-1)&amp;"'!$A$13:$A$41"),0),VALUE(RIGHT($A53,1)))="YES",$H53,IF(INDEX(INDIRECT("'"&amp;LEFT($A53,LEN($A53)-1)&amp;"'!$H$13:$J$41"),MATCH(AI$1,INDIRECT("'"&amp;LEFT($A53,LEN($A53)-1)&amp;"'!$A$13:$A$41"),0),VALUE(RIGHT($A53,1)))="NO",0,"?"))</f>
        <v>?</v>
      </c>
      <c r="AJ53" s="86" t="str">
        <f aca="true">IF(INDEX(INDIRECT("'"&amp;LEFT($A53,LEN($A53)-1)&amp;"'!$H$13:$J$41"),MATCH(AJ$1,INDIRECT("'"&amp;LEFT($A53,LEN($A53)-1)&amp;"'!$A$13:$A$41"),0),VALUE(RIGHT($A53,1)))="YES",$H53,IF(INDEX(INDIRECT("'"&amp;LEFT($A53,LEN($A53)-1)&amp;"'!$H$13:$J$41"),MATCH(AJ$1,INDIRECT("'"&amp;LEFT($A53,LEN($A53)-1)&amp;"'!$A$13:$A$41"),0),VALUE(RIGHT($A53,1)))="NO",0,"?"))</f>
        <v>?</v>
      </c>
      <c r="AK53" s="86" t="str">
        <f aca="true">IF(INDEX(INDIRECT("'"&amp;LEFT($A53,LEN($A53)-1)&amp;"'!$H$13:$J$41"),MATCH(AK$1,INDIRECT("'"&amp;LEFT($A53,LEN($A53)-1)&amp;"'!$A$13:$A$41"),0),VALUE(RIGHT($A53,1)))="YES",$H53,IF(INDEX(INDIRECT("'"&amp;LEFT($A53,LEN($A53)-1)&amp;"'!$H$13:$J$41"),MATCH(AK$1,INDIRECT("'"&amp;LEFT($A53,LEN($A53)-1)&amp;"'!$A$13:$A$41"),0),VALUE(RIGHT($A53,1)))="NO",0,"?"))</f>
        <v>?</v>
      </c>
    </row>
    <row r="54" customFormat="false" ht="14.25" hidden="false" customHeight="false" outlineLevel="0" collapsed="false">
      <c r="A54" s="82" t="s">
        <v>548</v>
      </c>
      <c r="B54" s="83" t="str">
        <f aca="false">IF(ISBLANK($A54),"NO_CODE",VLOOKUP($A54,'UPD Questions_290926 '!$E$1:$N$300,MATCH(B$1,'UPD Questions_290926 '!$E$1:$N$1,0),0)&amp;"")</f>
        <v>Implementation</v>
      </c>
      <c r="C54" s="83" t="str">
        <f aca="false">IF(ISBLANK($A54),"NO_CODE",VLOOKUP($A54,'UPD Questions_290926 '!$E$1:$N$300,MATCH(C$1,'UPD Questions_290926 '!$E$1:$N$1,0),0)&amp;"")</f>
        <v>Sectoral planning</v>
      </c>
      <c r="D54" s="83" t="str">
        <f aca="false">IF(ISBLANK($A54),"NO_CODE",VLOOKUP($A54,'UPD Questions_290926 '!$E$1:$N$300,MATCH(D$1,'UPD Questions_290926 '!$E$1:$N$1,0),0)&amp;"")</f>
        <v>Water supply and sewerage, sanitation, solid waste management </v>
      </c>
      <c r="E54" s="83" t="str">
        <f aca="false">IF(ISBLANK($A54),"NO_CODE",VLOOKUP($A54,'UPD Questions_290926 '!$E$1:$N$300,MATCH(E$1,'UPD Questions_290926 '!$E$1:$N$1,0),0)&amp;"")</f>
        <v>SQ2</v>
      </c>
      <c r="F54" s="83" t="str">
        <f aca="false">IF(ISBLANK($A54),"NO_CODE",VLOOKUP($A54,'UPD Questions_290926 '!$E$1:$N$300,MATCH(F$1,'UPD Questions_290926 '!$E$1:$N$1,0),0)&amp;"")</f>
        <v>b) Solid Waste Management Plan </v>
      </c>
      <c r="G54" s="83" t="str">
        <f aca="false">IF(ISBLANK($A54),"NO_CODE",VLOOKUP($A54,'UPD Questions_290926 '!$E$1:$N$300,MATCH(G$1,'UPD Questions_290926 '!$E$1:$N$1,0),0)&amp;"")</f>
        <v>Implementation</v>
      </c>
      <c r="H54" s="85" t="n">
        <f aca="false">IF(ISBLANK($A54),"NO_CODE",VLOOKUP($A54,'UPD Questions_290926 '!$E$1:$N$300,MATCH(H$1,'UPD Questions_290926 '!$E$1:$N$1,0),0))</f>
        <v>1.11</v>
      </c>
      <c r="I54" s="86" t="str">
        <f aca="true">IF(INDEX(INDIRECT("'"&amp;LEFT($A54,LEN($A54)-1)&amp;"'!$H$13:$J$41"),MATCH(I$1,INDIRECT("'"&amp;LEFT($A54,LEN($A54)-1)&amp;"'!$A$13:$A$41"),0),VALUE(RIGHT($A54,1)))="YES",$H54,IF(INDEX(INDIRECT("'"&amp;LEFT($A54,LEN($A54)-1)&amp;"'!$H$13:$J$41"),MATCH(I$1,INDIRECT("'"&amp;LEFT($A54,LEN($A54)-1)&amp;"'!$A$13:$A$41"),0),VALUE(RIGHT($A54,1)))="NO",0,"?"))</f>
        <v>?</v>
      </c>
      <c r="J54" s="86" t="n">
        <f aca="true">IF(INDEX(INDIRECT("'"&amp;LEFT($A54,LEN($A54)-1)&amp;"'!$H$13:$J$41"),MATCH(J$1,INDIRECT("'"&amp;LEFT($A54,LEN($A54)-1)&amp;"'!$A$13:$A$41"),0),VALUE(RIGHT($A54,1)))="YES",$H54,IF(INDEX(INDIRECT("'"&amp;LEFT($A54,LEN($A54)-1)&amp;"'!$H$13:$J$41"),MATCH(J$1,INDIRECT("'"&amp;LEFT($A54,LEN($A54)-1)&amp;"'!$A$13:$A$41"),0),VALUE(RIGHT($A54,1)))="NO",0,"?"))</f>
        <v>0</v>
      </c>
      <c r="K54" s="86" t="str">
        <f aca="true">IF(INDEX(INDIRECT("'"&amp;LEFT($A54,LEN($A54)-1)&amp;"'!$H$13:$J$41"),MATCH(K$1,INDIRECT("'"&amp;LEFT($A54,LEN($A54)-1)&amp;"'!$A$13:$A$41"),0),VALUE(RIGHT($A54,1)))="YES",$H54,IF(INDEX(INDIRECT("'"&amp;LEFT($A54,LEN($A54)-1)&amp;"'!$H$13:$J$41"),MATCH(K$1,INDIRECT("'"&amp;LEFT($A54,LEN($A54)-1)&amp;"'!$A$13:$A$41"),0),VALUE(RIGHT($A54,1)))="NO",0,"?"))</f>
        <v>?</v>
      </c>
      <c r="L54" s="86" t="str">
        <f aca="true">IF(INDEX(INDIRECT("'"&amp;LEFT($A54,LEN($A54)-1)&amp;"'!$H$13:$J$41"),MATCH(L$1,INDIRECT("'"&amp;LEFT($A54,LEN($A54)-1)&amp;"'!$A$13:$A$41"),0),VALUE(RIGHT($A54,1)))="YES",$H54,IF(INDEX(INDIRECT("'"&amp;LEFT($A54,LEN($A54)-1)&amp;"'!$H$13:$J$41"),MATCH(L$1,INDIRECT("'"&amp;LEFT($A54,LEN($A54)-1)&amp;"'!$A$13:$A$41"),0),VALUE(RIGHT($A54,1)))="NO",0,"?"))</f>
        <v>?</v>
      </c>
      <c r="M54" s="86" t="str">
        <f aca="true">IF(INDEX(INDIRECT("'"&amp;LEFT($A54,LEN($A54)-1)&amp;"'!$H$13:$J$41"),MATCH(M$1,INDIRECT("'"&amp;LEFT($A54,LEN($A54)-1)&amp;"'!$A$13:$A$41"),0),VALUE(RIGHT($A54,1)))="YES",$H54,IF(INDEX(INDIRECT("'"&amp;LEFT($A54,LEN($A54)-1)&amp;"'!$H$13:$J$41"),MATCH(M$1,INDIRECT("'"&amp;LEFT($A54,LEN($A54)-1)&amp;"'!$A$13:$A$41"),0),VALUE(RIGHT($A54,1)))="NO",0,"?"))</f>
        <v>?</v>
      </c>
      <c r="N54" s="86" t="str">
        <f aca="true">IF(INDEX(INDIRECT("'"&amp;LEFT($A54,LEN($A54)-1)&amp;"'!$H$13:$J$41"),MATCH(N$1,INDIRECT("'"&amp;LEFT($A54,LEN($A54)-1)&amp;"'!$A$13:$A$41"),0),VALUE(RIGHT($A54,1)))="YES",$H54,IF(INDEX(INDIRECT("'"&amp;LEFT($A54,LEN($A54)-1)&amp;"'!$H$13:$J$41"),MATCH(N$1,INDIRECT("'"&amp;LEFT($A54,LEN($A54)-1)&amp;"'!$A$13:$A$41"),0),VALUE(RIGHT($A54,1)))="NO",0,"?"))</f>
        <v>?</v>
      </c>
      <c r="O54" s="86" t="str">
        <f aca="true">IF(INDEX(INDIRECT("'"&amp;LEFT($A54,LEN($A54)-1)&amp;"'!$H$13:$J$41"),MATCH(O$1,INDIRECT("'"&amp;LEFT($A54,LEN($A54)-1)&amp;"'!$A$13:$A$41"),0),VALUE(RIGHT($A54,1)))="YES",$H54,IF(INDEX(INDIRECT("'"&amp;LEFT($A54,LEN($A54)-1)&amp;"'!$H$13:$J$41"),MATCH(O$1,INDIRECT("'"&amp;LEFT($A54,LEN($A54)-1)&amp;"'!$A$13:$A$41"),0),VALUE(RIGHT($A54,1)))="NO",0,"?"))</f>
        <v>?</v>
      </c>
      <c r="P54" s="86" t="str">
        <f aca="true">IF(INDEX(INDIRECT("'"&amp;LEFT($A54,LEN($A54)-1)&amp;"'!$H$13:$J$41"),MATCH(P$1,INDIRECT("'"&amp;LEFT($A54,LEN($A54)-1)&amp;"'!$A$13:$A$41"),0),VALUE(RIGHT($A54,1)))="YES",$H54,IF(INDEX(INDIRECT("'"&amp;LEFT($A54,LEN($A54)-1)&amp;"'!$H$13:$J$41"),MATCH(P$1,INDIRECT("'"&amp;LEFT($A54,LEN($A54)-1)&amp;"'!$A$13:$A$41"),0),VALUE(RIGHT($A54,1)))="NO",0,"?"))</f>
        <v>?</v>
      </c>
      <c r="Q54" s="86" t="str">
        <f aca="true">IF(INDEX(INDIRECT("'"&amp;LEFT($A54,LEN($A54)-1)&amp;"'!$H$13:$J$41"),MATCH(Q$1,INDIRECT("'"&amp;LEFT($A54,LEN($A54)-1)&amp;"'!$A$13:$A$41"),0),VALUE(RIGHT($A54,1)))="YES",$H54,IF(INDEX(INDIRECT("'"&amp;LEFT($A54,LEN($A54)-1)&amp;"'!$H$13:$J$41"),MATCH(Q$1,INDIRECT("'"&amp;LEFT($A54,LEN($A54)-1)&amp;"'!$A$13:$A$41"),0),VALUE(RIGHT($A54,1)))="NO",0,"?"))</f>
        <v>?</v>
      </c>
      <c r="R54" s="86" t="str">
        <f aca="true">IF(INDEX(INDIRECT("'"&amp;LEFT($A54,LEN($A54)-1)&amp;"'!$H$13:$J$41"),MATCH(R$1,INDIRECT("'"&amp;LEFT($A54,LEN($A54)-1)&amp;"'!$A$13:$A$41"),0),VALUE(RIGHT($A54,1)))="YES",$H54,IF(INDEX(INDIRECT("'"&amp;LEFT($A54,LEN($A54)-1)&amp;"'!$H$13:$J$41"),MATCH(R$1,INDIRECT("'"&amp;LEFT($A54,LEN($A54)-1)&amp;"'!$A$13:$A$41"),0),VALUE(RIGHT($A54,1)))="NO",0,"?"))</f>
        <v>?</v>
      </c>
      <c r="S54" s="86" t="str">
        <f aca="true">IF(INDEX(INDIRECT("'"&amp;LEFT($A54,LEN($A54)-1)&amp;"'!$H$13:$J$41"),MATCH(S$1,INDIRECT("'"&amp;LEFT($A54,LEN($A54)-1)&amp;"'!$A$13:$A$41"),0),VALUE(RIGHT($A54,1)))="YES",$H54,IF(INDEX(INDIRECT("'"&amp;LEFT($A54,LEN($A54)-1)&amp;"'!$H$13:$J$41"),MATCH(S$1,INDIRECT("'"&amp;LEFT($A54,LEN($A54)-1)&amp;"'!$A$13:$A$41"),0),VALUE(RIGHT($A54,1)))="NO",0,"?"))</f>
        <v>?</v>
      </c>
      <c r="T54" s="86" t="str">
        <f aca="true">IF(INDEX(INDIRECT("'"&amp;LEFT($A54,LEN($A54)-1)&amp;"'!$H$13:$J$41"),MATCH(T$1,INDIRECT("'"&amp;LEFT($A54,LEN($A54)-1)&amp;"'!$A$13:$A$41"),0),VALUE(RIGHT($A54,1)))="YES",$H54,IF(INDEX(INDIRECT("'"&amp;LEFT($A54,LEN($A54)-1)&amp;"'!$H$13:$J$41"),MATCH(T$1,INDIRECT("'"&amp;LEFT($A54,LEN($A54)-1)&amp;"'!$A$13:$A$41"),0),VALUE(RIGHT($A54,1)))="NO",0,"?"))</f>
        <v>?</v>
      </c>
      <c r="U54" s="86" t="str">
        <f aca="true">IF(INDEX(INDIRECT("'"&amp;LEFT($A54,LEN($A54)-1)&amp;"'!$H$13:$J$41"),MATCH(U$1,INDIRECT("'"&amp;LEFT($A54,LEN($A54)-1)&amp;"'!$A$13:$A$41"),0),VALUE(RIGHT($A54,1)))="YES",$H54,IF(INDEX(INDIRECT("'"&amp;LEFT($A54,LEN($A54)-1)&amp;"'!$H$13:$J$41"),MATCH(U$1,INDIRECT("'"&amp;LEFT($A54,LEN($A54)-1)&amp;"'!$A$13:$A$41"),0),VALUE(RIGHT($A54,1)))="NO",0,"?"))</f>
        <v>?</v>
      </c>
      <c r="V54" s="86" t="str">
        <f aca="true">IF(INDEX(INDIRECT("'"&amp;LEFT($A54,LEN($A54)-1)&amp;"'!$H$13:$J$41"),MATCH(V$1,INDIRECT("'"&amp;LEFT($A54,LEN($A54)-1)&amp;"'!$A$13:$A$41"),0),VALUE(RIGHT($A54,1)))="YES",$H54,IF(INDEX(INDIRECT("'"&amp;LEFT($A54,LEN($A54)-1)&amp;"'!$H$13:$J$41"),MATCH(V$1,INDIRECT("'"&amp;LEFT($A54,LEN($A54)-1)&amp;"'!$A$13:$A$41"),0),VALUE(RIGHT($A54,1)))="NO",0,"?"))</f>
        <v>?</v>
      </c>
      <c r="W54" s="86" t="str">
        <f aca="true">IF(INDEX(INDIRECT("'"&amp;LEFT($A54,LEN($A54)-1)&amp;"'!$H$13:$J$41"),MATCH(W$1,INDIRECT("'"&amp;LEFT($A54,LEN($A54)-1)&amp;"'!$A$13:$A$41"),0),VALUE(RIGHT($A54,1)))="YES",$H54,IF(INDEX(INDIRECT("'"&amp;LEFT($A54,LEN($A54)-1)&amp;"'!$H$13:$J$41"),MATCH(W$1,INDIRECT("'"&amp;LEFT($A54,LEN($A54)-1)&amp;"'!$A$13:$A$41"),0),VALUE(RIGHT($A54,1)))="NO",0,"?"))</f>
        <v>?</v>
      </c>
      <c r="X54" s="86" t="str">
        <f aca="true">IF(INDEX(INDIRECT("'"&amp;LEFT($A54,LEN($A54)-1)&amp;"'!$H$13:$J$41"),MATCH(X$1,INDIRECT("'"&amp;LEFT($A54,LEN($A54)-1)&amp;"'!$A$13:$A$41"),0),VALUE(RIGHT($A54,1)))="YES",$H54,IF(INDEX(INDIRECT("'"&amp;LEFT($A54,LEN($A54)-1)&amp;"'!$H$13:$J$41"),MATCH(X$1,INDIRECT("'"&amp;LEFT($A54,LEN($A54)-1)&amp;"'!$A$13:$A$41"),0),VALUE(RIGHT($A54,1)))="NO",0,"?"))</f>
        <v>?</v>
      </c>
      <c r="Y54" s="86" t="str">
        <f aca="true">IF(INDEX(INDIRECT("'"&amp;LEFT($A54,LEN($A54)-1)&amp;"'!$H$13:$J$41"),MATCH(Y$1,INDIRECT("'"&amp;LEFT($A54,LEN($A54)-1)&amp;"'!$A$13:$A$41"),0),VALUE(RIGHT($A54,1)))="YES",$H54,IF(INDEX(INDIRECT("'"&amp;LEFT($A54,LEN($A54)-1)&amp;"'!$H$13:$J$41"),MATCH(Y$1,INDIRECT("'"&amp;LEFT($A54,LEN($A54)-1)&amp;"'!$A$13:$A$41"),0),VALUE(RIGHT($A54,1)))="NO",0,"?"))</f>
        <v>?</v>
      </c>
      <c r="Z54" s="86" t="str">
        <f aca="true">IF(INDEX(INDIRECT("'"&amp;LEFT($A54,LEN($A54)-1)&amp;"'!$H$13:$J$41"),MATCH(Z$1,INDIRECT("'"&amp;LEFT($A54,LEN($A54)-1)&amp;"'!$A$13:$A$41"),0),VALUE(RIGHT($A54,1)))="YES",$H54,IF(INDEX(INDIRECT("'"&amp;LEFT($A54,LEN($A54)-1)&amp;"'!$H$13:$J$41"),MATCH(Z$1,INDIRECT("'"&amp;LEFT($A54,LEN($A54)-1)&amp;"'!$A$13:$A$41"),0),VALUE(RIGHT($A54,1)))="NO",0,"?"))</f>
        <v>?</v>
      </c>
      <c r="AA54" s="86" t="str">
        <f aca="true">IF(INDEX(INDIRECT("'"&amp;LEFT($A54,LEN($A54)-1)&amp;"'!$H$13:$J$41"),MATCH(AA$1,INDIRECT("'"&amp;LEFT($A54,LEN($A54)-1)&amp;"'!$A$13:$A$41"),0),VALUE(RIGHT($A54,1)))="YES",$H54,IF(INDEX(INDIRECT("'"&amp;LEFT($A54,LEN($A54)-1)&amp;"'!$H$13:$J$41"),MATCH(AA$1,INDIRECT("'"&amp;LEFT($A54,LEN($A54)-1)&amp;"'!$A$13:$A$41"),0),VALUE(RIGHT($A54,1)))="NO",0,"?"))</f>
        <v>?</v>
      </c>
      <c r="AB54" s="86" t="str">
        <f aca="true">IF(INDEX(INDIRECT("'"&amp;LEFT($A54,LEN($A54)-1)&amp;"'!$H$13:$J$41"),MATCH(AB$1,INDIRECT("'"&amp;LEFT($A54,LEN($A54)-1)&amp;"'!$A$13:$A$41"),0),VALUE(RIGHT($A54,1)))="YES",$H54,IF(INDEX(INDIRECT("'"&amp;LEFT($A54,LEN($A54)-1)&amp;"'!$H$13:$J$41"),MATCH(AB$1,INDIRECT("'"&amp;LEFT($A54,LEN($A54)-1)&amp;"'!$A$13:$A$41"),0),VALUE(RIGHT($A54,1)))="NO",0,"?"))</f>
        <v>?</v>
      </c>
      <c r="AC54" s="86" t="str">
        <f aca="true">IF(INDEX(INDIRECT("'"&amp;LEFT($A54,LEN($A54)-1)&amp;"'!$H$13:$J$41"),MATCH(AC$1,INDIRECT("'"&amp;LEFT($A54,LEN($A54)-1)&amp;"'!$A$13:$A$41"),0),VALUE(RIGHT($A54,1)))="YES",$H54,IF(INDEX(INDIRECT("'"&amp;LEFT($A54,LEN($A54)-1)&amp;"'!$H$13:$J$41"),MATCH(AC$1,INDIRECT("'"&amp;LEFT($A54,LEN($A54)-1)&amp;"'!$A$13:$A$41"),0),VALUE(RIGHT($A54,1)))="NO",0,"?"))</f>
        <v>?</v>
      </c>
      <c r="AD54" s="86" t="str">
        <f aca="true">IF(INDEX(INDIRECT("'"&amp;LEFT($A54,LEN($A54)-1)&amp;"'!$H$13:$J$41"),MATCH(AD$1,INDIRECT("'"&amp;LEFT($A54,LEN($A54)-1)&amp;"'!$A$13:$A$41"),0),VALUE(RIGHT($A54,1)))="YES",$H54,IF(INDEX(INDIRECT("'"&amp;LEFT($A54,LEN($A54)-1)&amp;"'!$H$13:$J$41"),MATCH(AD$1,INDIRECT("'"&amp;LEFT($A54,LEN($A54)-1)&amp;"'!$A$13:$A$41"),0),VALUE(RIGHT($A54,1)))="NO",0,"?"))</f>
        <v>?</v>
      </c>
      <c r="AE54" s="86" t="str">
        <f aca="true">IF(INDEX(INDIRECT("'"&amp;LEFT($A54,LEN($A54)-1)&amp;"'!$H$13:$J$41"),MATCH(AE$1,INDIRECT("'"&amp;LEFT($A54,LEN($A54)-1)&amp;"'!$A$13:$A$41"),0),VALUE(RIGHT($A54,1)))="YES",$H54,IF(INDEX(INDIRECT("'"&amp;LEFT($A54,LEN($A54)-1)&amp;"'!$H$13:$J$41"),MATCH(AE$1,INDIRECT("'"&amp;LEFT($A54,LEN($A54)-1)&amp;"'!$A$13:$A$41"),0),VALUE(RIGHT($A54,1)))="NO",0,"?"))</f>
        <v>?</v>
      </c>
      <c r="AF54" s="86" t="str">
        <f aca="true">IF(INDEX(INDIRECT("'"&amp;LEFT($A54,LEN($A54)-1)&amp;"'!$H$13:$J$41"),MATCH(AF$1,INDIRECT("'"&amp;LEFT($A54,LEN($A54)-1)&amp;"'!$A$13:$A$41"),0),VALUE(RIGHT($A54,1)))="YES",$H54,IF(INDEX(INDIRECT("'"&amp;LEFT($A54,LEN($A54)-1)&amp;"'!$H$13:$J$41"),MATCH(AF$1,INDIRECT("'"&amp;LEFT($A54,LEN($A54)-1)&amp;"'!$A$13:$A$41"),0),VALUE(RIGHT($A54,1)))="NO",0,"?"))</f>
        <v>?</v>
      </c>
      <c r="AG54" s="86" t="str">
        <f aca="true">IF(INDEX(INDIRECT("'"&amp;LEFT($A54,LEN($A54)-1)&amp;"'!$H$13:$J$41"),MATCH(AG$1,INDIRECT("'"&amp;LEFT($A54,LEN($A54)-1)&amp;"'!$A$13:$A$41"),0),VALUE(RIGHT($A54,1)))="YES",$H54,IF(INDEX(INDIRECT("'"&amp;LEFT($A54,LEN($A54)-1)&amp;"'!$H$13:$J$41"),MATCH(AG$1,INDIRECT("'"&amp;LEFT($A54,LEN($A54)-1)&amp;"'!$A$13:$A$41"),0),VALUE(RIGHT($A54,1)))="NO",0,"?"))</f>
        <v>?</v>
      </c>
      <c r="AH54" s="86" t="str">
        <f aca="true">IF(INDEX(INDIRECT("'"&amp;LEFT($A54,LEN($A54)-1)&amp;"'!$H$13:$J$41"),MATCH(AH$1,INDIRECT("'"&amp;LEFT($A54,LEN($A54)-1)&amp;"'!$A$13:$A$41"),0),VALUE(RIGHT($A54,1)))="YES",$H54,IF(INDEX(INDIRECT("'"&amp;LEFT($A54,LEN($A54)-1)&amp;"'!$H$13:$J$41"),MATCH(AH$1,INDIRECT("'"&amp;LEFT($A54,LEN($A54)-1)&amp;"'!$A$13:$A$41"),0),VALUE(RIGHT($A54,1)))="NO",0,"?"))</f>
        <v>?</v>
      </c>
      <c r="AI54" s="86" t="str">
        <f aca="true">IF(INDEX(INDIRECT("'"&amp;LEFT($A54,LEN($A54)-1)&amp;"'!$H$13:$J$41"),MATCH(AI$1,INDIRECT("'"&amp;LEFT($A54,LEN($A54)-1)&amp;"'!$A$13:$A$41"),0),VALUE(RIGHT($A54,1)))="YES",$H54,IF(INDEX(INDIRECT("'"&amp;LEFT($A54,LEN($A54)-1)&amp;"'!$H$13:$J$41"),MATCH(AI$1,INDIRECT("'"&amp;LEFT($A54,LEN($A54)-1)&amp;"'!$A$13:$A$41"),0),VALUE(RIGHT($A54,1)))="NO",0,"?"))</f>
        <v>?</v>
      </c>
      <c r="AJ54" s="86" t="str">
        <f aca="true">IF(INDEX(INDIRECT("'"&amp;LEFT($A54,LEN($A54)-1)&amp;"'!$H$13:$J$41"),MATCH(AJ$1,INDIRECT("'"&amp;LEFT($A54,LEN($A54)-1)&amp;"'!$A$13:$A$41"),0),VALUE(RIGHT($A54,1)))="YES",$H54,IF(INDEX(INDIRECT("'"&amp;LEFT($A54,LEN($A54)-1)&amp;"'!$H$13:$J$41"),MATCH(AJ$1,INDIRECT("'"&amp;LEFT($A54,LEN($A54)-1)&amp;"'!$A$13:$A$41"),0),VALUE(RIGHT($A54,1)))="NO",0,"?"))</f>
        <v>?</v>
      </c>
      <c r="AK54" s="86" t="str">
        <f aca="true">IF(INDEX(INDIRECT("'"&amp;LEFT($A54,LEN($A54)-1)&amp;"'!$H$13:$J$41"),MATCH(AK$1,INDIRECT("'"&amp;LEFT($A54,LEN($A54)-1)&amp;"'!$A$13:$A$41"),0),VALUE(RIGHT($A54,1)))="YES",$H54,IF(INDEX(INDIRECT("'"&amp;LEFT($A54,LEN($A54)-1)&amp;"'!$H$13:$J$41"),MATCH(AK$1,INDIRECT("'"&amp;LEFT($A54,LEN($A54)-1)&amp;"'!$A$13:$A$41"),0),VALUE(RIGHT($A54,1)))="NO",0,"?"))</f>
        <v>?</v>
      </c>
    </row>
    <row r="55" customFormat="false" ht="14.25" hidden="false" customHeight="false" outlineLevel="0" collapsed="false">
      <c r="A55" s="82" t="s">
        <v>552</v>
      </c>
      <c r="B55" s="83" t="str">
        <f aca="false">IF(ISBLANK($A55),"NO_CODE",VLOOKUP($A55,'UPD Questions_290926 '!$E$1:$N$300,MATCH(B$1,'UPD Questions_290926 '!$E$1:$N$1,0),0)&amp;"")</f>
        <v>Implementation</v>
      </c>
      <c r="C55" s="83" t="str">
        <f aca="false">IF(ISBLANK($A55),"NO_CODE",VLOOKUP($A55,'UPD Questions_290926 '!$E$1:$N$300,MATCH(C$1,'UPD Questions_290926 '!$E$1:$N$1,0),0)&amp;"")</f>
        <v>Sectoral planning</v>
      </c>
      <c r="D55" s="83" t="str">
        <f aca="false">IF(ISBLANK($A55),"NO_CODE",VLOOKUP($A55,'UPD Questions_290926 '!$E$1:$N$300,MATCH(D$1,'UPD Questions_290926 '!$E$1:$N$1,0),0)&amp;"")</f>
        <v>Water supply and sewerage, sanitation, solid waste management </v>
      </c>
      <c r="E55" s="83" t="str">
        <f aca="false">IF(ISBLANK($A55),"NO_CODE",VLOOKUP($A55,'UPD Questions_290926 '!$E$1:$N$300,MATCH(E$1,'UPD Questions_290926 '!$E$1:$N$1,0),0)&amp;"")</f>
        <v>SQ3</v>
      </c>
      <c r="F55" s="83" t="str">
        <f aca="false">IF(ISBLANK($A55),"NO_CODE",VLOOKUP($A55,'UPD Questions_290926 '!$E$1:$N$300,MATCH(F$1,'UPD Questions_290926 '!$E$1:$N$1,0),0)&amp;"")</f>
        <v>c)  City Sanitation Plan</v>
      </c>
      <c r="G55" s="83" t="str">
        <f aca="false">IF(ISBLANK($A55),"NO_CODE",VLOOKUP($A55,'UPD Questions_290926 '!$E$1:$N$300,MATCH(G$1,'UPD Questions_290926 '!$E$1:$N$1,0),0)&amp;"")</f>
        <v>Implementation</v>
      </c>
      <c r="H55" s="85" t="n">
        <f aca="false">IF(ISBLANK($A55),"NO_CODE",VLOOKUP($A55,'UPD Questions_290926 '!$E$1:$N$300,MATCH(H$1,'UPD Questions_290926 '!$E$1:$N$1,0),0))</f>
        <v>1.11</v>
      </c>
      <c r="I55" s="86" t="str">
        <f aca="true">IF(INDEX(INDIRECT("'"&amp;LEFT($A55,LEN($A55)-1)&amp;"'!$H$13:$J$41"),MATCH(I$1,INDIRECT("'"&amp;LEFT($A55,LEN($A55)-1)&amp;"'!$A$13:$A$41"),0),VALUE(RIGHT($A55,1)))="YES",$H55,IF(INDEX(INDIRECT("'"&amp;LEFT($A55,LEN($A55)-1)&amp;"'!$H$13:$J$41"),MATCH(I$1,INDIRECT("'"&amp;LEFT($A55,LEN($A55)-1)&amp;"'!$A$13:$A$41"),0),VALUE(RIGHT($A55,1)))="NO",0,"?"))</f>
        <v>?</v>
      </c>
      <c r="J55" s="86" t="n">
        <f aca="true">IF(INDEX(INDIRECT("'"&amp;LEFT($A55,LEN($A55)-1)&amp;"'!$H$13:$J$41"),MATCH(J$1,INDIRECT("'"&amp;LEFT($A55,LEN($A55)-1)&amp;"'!$A$13:$A$41"),0),VALUE(RIGHT($A55,1)))="YES",$H55,IF(INDEX(INDIRECT("'"&amp;LEFT($A55,LEN($A55)-1)&amp;"'!$H$13:$J$41"),MATCH(J$1,INDIRECT("'"&amp;LEFT($A55,LEN($A55)-1)&amp;"'!$A$13:$A$41"),0),VALUE(RIGHT($A55,1)))="NO",0,"?"))</f>
        <v>0</v>
      </c>
      <c r="K55" s="86" t="str">
        <f aca="true">IF(INDEX(INDIRECT("'"&amp;LEFT($A55,LEN($A55)-1)&amp;"'!$H$13:$J$41"),MATCH(K$1,INDIRECT("'"&amp;LEFT($A55,LEN($A55)-1)&amp;"'!$A$13:$A$41"),0),VALUE(RIGHT($A55,1)))="YES",$H55,IF(INDEX(INDIRECT("'"&amp;LEFT($A55,LEN($A55)-1)&amp;"'!$H$13:$J$41"),MATCH(K$1,INDIRECT("'"&amp;LEFT($A55,LEN($A55)-1)&amp;"'!$A$13:$A$41"),0),VALUE(RIGHT($A55,1)))="NO",0,"?"))</f>
        <v>?</v>
      </c>
      <c r="L55" s="86" t="str">
        <f aca="true">IF(INDEX(INDIRECT("'"&amp;LEFT($A55,LEN($A55)-1)&amp;"'!$H$13:$J$41"),MATCH(L$1,INDIRECT("'"&amp;LEFT($A55,LEN($A55)-1)&amp;"'!$A$13:$A$41"),0),VALUE(RIGHT($A55,1)))="YES",$H55,IF(INDEX(INDIRECT("'"&amp;LEFT($A55,LEN($A55)-1)&amp;"'!$H$13:$J$41"),MATCH(L$1,INDIRECT("'"&amp;LEFT($A55,LEN($A55)-1)&amp;"'!$A$13:$A$41"),0),VALUE(RIGHT($A55,1)))="NO",0,"?"))</f>
        <v>?</v>
      </c>
      <c r="M55" s="86" t="str">
        <f aca="true">IF(INDEX(INDIRECT("'"&amp;LEFT($A55,LEN($A55)-1)&amp;"'!$H$13:$J$41"),MATCH(M$1,INDIRECT("'"&amp;LEFT($A55,LEN($A55)-1)&amp;"'!$A$13:$A$41"),0),VALUE(RIGHT($A55,1)))="YES",$H55,IF(INDEX(INDIRECT("'"&amp;LEFT($A55,LEN($A55)-1)&amp;"'!$H$13:$J$41"),MATCH(M$1,INDIRECT("'"&amp;LEFT($A55,LEN($A55)-1)&amp;"'!$A$13:$A$41"),0),VALUE(RIGHT($A55,1)))="NO",0,"?"))</f>
        <v>?</v>
      </c>
      <c r="N55" s="86" t="str">
        <f aca="true">IF(INDEX(INDIRECT("'"&amp;LEFT($A55,LEN($A55)-1)&amp;"'!$H$13:$J$41"),MATCH(N$1,INDIRECT("'"&amp;LEFT($A55,LEN($A55)-1)&amp;"'!$A$13:$A$41"),0),VALUE(RIGHT($A55,1)))="YES",$H55,IF(INDEX(INDIRECT("'"&amp;LEFT($A55,LEN($A55)-1)&amp;"'!$H$13:$J$41"),MATCH(N$1,INDIRECT("'"&amp;LEFT($A55,LEN($A55)-1)&amp;"'!$A$13:$A$41"),0),VALUE(RIGHT($A55,1)))="NO",0,"?"))</f>
        <v>?</v>
      </c>
      <c r="O55" s="86" t="str">
        <f aca="true">IF(INDEX(INDIRECT("'"&amp;LEFT($A55,LEN($A55)-1)&amp;"'!$H$13:$J$41"),MATCH(O$1,INDIRECT("'"&amp;LEFT($A55,LEN($A55)-1)&amp;"'!$A$13:$A$41"),0),VALUE(RIGHT($A55,1)))="YES",$H55,IF(INDEX(INDIRECT("'"&amp;LEFT($A55,LEN($A55)-1)&amp;"'!$H$13:$J$41"),MATCH(O$1,INDIRECT("'"&amp;LEFT($A55,LEN($A55)-1)&amp;"'!$A$13:$A$41"),0),VALUE(RIGHT($A55,1)))="NO",0,"?"))</f>
        <v>?</v>
      </c>
      <c r="P55" s="86" t="str">
        <f aca="true">IF(INDEX(INDIRECT("'"&amp;LEFT($A55,LEN($A55)-1)&amp;"'!$H$13:$J$41"),MATCH(P$1,INDIRECT("'"&amp;LEFT($A55,LEN($A55)-1)&amp;"'!$A$13:$A$41"),0),VALUE(RIGHT($A55,1)))="YES",$H55,IF(INDEX(INDIRECT("'"&amp;LEFT($A55,LEN($A55)-1)&amp;"'!$H$13:$J$41"),MATCH(P$1,INDIRECT("'"&amp;LEFT($A55,LEN($A55)-1)&amp;"'!$A$13:$A$41"),0),VALUE(RIGHT($A55,1)))="NO",0,"?"))</f>
        <v>?</v>
      </c>
      <c r="Q55" s="86" t="str">
        <f aca="true">IF(INDEX(INDIRECT("'"&amp;LEFT($A55,LEN($A55)-1)&amp;"'!$H$13:$J$41"),MATCH(Q$1,INDIRECT("'"&amp;LEFT($A55,LEN($A55)-1)&amp;"'!$A$13:$A$41"),0),VALUE(RIGHT($A55,1)))="YES",$H55,IF(INDEX(INDIRECT("'"&amp;LEFT($A55,LEN($A55)-1)&amp;"'!$H$13:$J$41"),MATCH(Q$1,INDIRECT("'"&amp;LEFT($A55,LEN($A55)-1)&amp;"'!$A$13:$A$41"),0),VALUE(RIGHT($A55,1)))="NO",0,"?"))</f>
        <v>?</v>
      </c>
      <c r="R55" s="86" t="str">
        <f aca="true">IF(INDEX(INDIRECT("'"&amp;LEFT($A55,LEN($A55)-1)&amp;"'!$H$13:$J$41"),MATCH(R$1,INDIRECT("'"&amp;LEFT($A55,LEN($A55)-1)&amp;"'!$A$13:$A$41"),0),VALUE(RIGHT($A55,1)))="YES",$H55,IF(INDEX(INDIRECT("'"&amp;LEFT($A55,LEN($A55)-1)&amp;"'!$H$13:$J$41"),MATCH(R$1,INDIRECT("'"&amp;LEFT($A55,LEN($A55)-1)&amp;"'!$A$13:$A$41"),0),VALUE(RIGHT($A55,1)))="NO",0,"?"))</f>
        <v>?</v>
      </c>
      <c r="S55" s="86" t="str">
        <f aca="true">IF(INDEX(INDIRECT("'"&amp;LEFT($A55,LEN($A55)-1)&amp;"'!$H$13:$J$41"),MATCH(S$1,INDIRECT("'"&amp;LEFT($A55,LEN($A55)-1)&amp;"'!$A$13:$A$41"),0),VALUE(RIGHT($A55,1)))="YES",$H55,IF(INDEX(INDIRECT("'"&amp;LEFT($A55,LEN($A55)-1)&amp;"'!$H$13:$J$41"),MATCH(S$1,INDIRECT("'"&amp;LEFT($A55,LEN($A55)-1)&amp;"'!$A$13:$A$41"),0),VALUE(RIGHT($A55,1)))="NO",0,"?"))</f>
        <v>?</v>
      </c>
      <c r="T55" s="86" t="str">
        <f aca="true">IF(INDEX(INDIRECT("'"&amp;LEFT($A55,LEN($A55)-1)&amp;"'!$H$13:$J$41"),MATCH(T$1,INDIRECT("'"&amp;LEFT($A55,LEN($A55)-1)&amp;"'!$A$13:$A$41"),0),VALUE(RIGHT($A55,1)))="YES",$H55,IF(INDEX(INDIRECT("'"&amp;LEFT($A55,LEN($A55)-1)&amp;"'!$H$13:$J$41"),MATCH(T$1,INDIRECT("'"&amp;LEFT($A55,LEN($A55)-1)&amp;"'!$A$13:$A$41"),0),VALUE(RIGHT($A55,1)))="NO",0,"?"))</f>
        <v>?</v>
      </c>
      <c r="U55" s="86" t="str">
        <f aca="true">IF(INDEX(INDIRECT("'"&amp;LEFT($A55,LEN($A55)-1)&amp;"'!$H$13:$J$41"),MATCH(U$1,INDIRECT("'"&amp;LEFT($A55,LEN($A55)-1)&amp;"'!$A$13:$A$41"),0),VALUE(RIGHT($A55,1)))="YES",$H55,IF(INDEX(INDIRECT("'"&amp;LEFT($A55,LEN($A55)-1)&amp;"'!$H$13:$J$41"),MATCH(U$1,INDIRECT("'"&amp;LEFT($A55,LEN($A55)-1)&amp;"'!$A$13:$A$41"),0),VALUE(RIGHT($A55,1)))="NO",0,"?"))</f>
        <v>?</v>
      </c>
      <c r="V55" s="86" t="str">
        <f aca="true">IF(INDEX(INDIRECT("'"&amp;LEFT($A55,LEN($A55)-1)&amp;"'!$H$13:$J$41"),MATCH(V$1,INDIRECT("'"&amp;LEFT($A55,LEN($A55)-1)&amp;"'!$A$13:$A$41"),0),VALUE(RIGHT($A55,1)))="YES",$H55,IF(INDEX(INDIRECT("'"&amp;LEFT($A55,LEN($A55)-1)&amp;"'!$H$13:$J$41"),MATCH(V$1,INDIRECT("'"&amp;LEFT($A55,LEN($A55)-1)&amp;"'!$A$13:$A$41"),0),VALUE(RIGHT($A55,1)))="NO",0,"?"))</f>
        <v>?</v>
      </c>
      <c r="W55" s="86" t="str">
        <f aca="true">IF(INDEX(INDIRECT("'"&amp;LEFT($A55,LEN($A55)-1)&amp;"'!$H$13:$J$41"),MATCH(W$1,INDIRECT("'"&amp;LEFT($A55,LEN($A55)-1)&amp;"'!$A$13:$A$41"),0),VALUE(RIGHT($A55,1)))="YES",$H55,IF(INDEX(INDIRECT("'"&amp;LEFT($A55,LEN($A55)-1)&amp;"'!$H$13:$J$41"),MATCH(W$1,INDIRECT("'"&amp;LEFT($A55,LEN($A55)-1)&amp;"'!$A$13:$A$41"),0),VALUE(RIGHT($A55,1)))="NO",0,"?"))</f>
        <v>?</v>
      </c>
      <c r="X55" s="86" t="str">
        <f aca="true">IF(INDEX(INDIRECT("'"&amp;LEFT($A55,LEN($A55)-1)&amp;"'!$H$13:$J$41"),MATCH(X$1,INDIRECT("'"&amp;LEFT($A55,LEN($A55)-1)&amp;"'!$A$13:$A$41"),0),VALUE(RIGHT($A55,1)))="YES",$H55,IF(INDEX(INDIRECT("'"&amp;LEFT($A55,LEN($A55)-1)&amp;"'!$H$13:$J$41"),MATCH(X$1,INDIRECT("'"&amp;LEFT($A55,LEN($A55)-1)&amp;"'!$A$13:$A$41"),0),VALUE(RIGHT($A55,1)))="NO",0,"?"))</f>
        <v>?</v>
      </c>
      <c r="Y55" s="86" t="str">
        <f aca="true">IF(INDEX(INDIRECT("'"&amp;LEFT($A55,LEN($A55)-1)&amp;"'!$H$13:$J$41"),MATCH(Y$1,INDIRECT("'"&amp;LEFT($A55,LEN($A55)-1)&amp;"'!$A$13:$A$41"),0),VALUE(RIGHT($A55,1)))="YES",$H55,IF(INDEX(INDIRECT("'"&amp;LEFT($A55,LEN($A55)-1)&amp;"'!$H$13:$J$41"),MATCH(Y$1,INDIRECT("'"&amp;LEFT($A55,LEN($A55)-1)&amp;"'!$A$13:$A$41"),0),VALUE(RIGHT($A55,1)))="NO",0,"?"))</f>
        <v>?</v>
      </c>
      <c r="Z55" s="86" t="str">
        <f aca="true">IF(INDEX(INDIRECT("'"&amp;LEFT($A55,LEN($A55)-1)&amp;"'!$H$13:$J$41"),MATCH(Z$1,INDIRECT("'"&amp;LEFT($A55,LEN($A55)-1)&amp;"'!$A$13:$A$41"),0),VALUE(RIGHT($A55,1)))="YES",$H55,IF(INDEX(INDIRECT("'"&amp;LEFT($A55,LEN($A55)-1)&amp;"'!$H$13:$J$41"),MATCH(Z$1,INDIRECT("'"&amp;LEFT($A55,LEN($A55)-1)&amp;"'!$A$13:$A$41"),0),VALUE(RIGHT($A55,1)))="NO",0,"?"))</f>
        <v>?</v>
      </c>
      <c r="AA55" s="86" t="str">
        <f aca="true">IF(INDEX(INDIRECT("'"&amp;LEFT($A55,LEN($A55)-1)&amp;"'!$H$13:$J$41"),MATCH(AA$1,INDIRECT("'"&amp;LEFT($A55,LEN($A55)-1)&amp;"'!$A$13:$A$41"),0),VALUE(RIGHT($A55,1)))="YES",$H55,IF(INDEX(INDIRECT("'"&amp;LEFT($A55,LEN($A55)-1)&amp;"'!$H$13:$J$41"),MATCH(AA$1,INDIRECT("'"&amp;LEFT($A55,LEN($A55)-1)&amp;"'!$A$13:$A$41"),0),VALUE(RIGHT($A55,1)))="NO",0,"?"))</f>
        <v>?</v>
      </c>
      <c r="AB55" s="86" t="str">
        <f aca="true">IF(INDEX(INDIRECT("'"&amp;LEFT($A55,LEN($A55)-1)&amp;"'!$H$13:$J$41"),MATCH(AB$1,INDIRECT("'"&amp;LEFT($A55,LEN($A55)-1)&amp;"'!$A$13:$A$41"),0),VALUE(RIGHT($A55,1)))="YES",$H55,IF(INDEX(INDIRECT("'"&amp;LEFT($A55,LEN($A55)-1)&amp;"'!$H$13:$J$41"),MATCH(AB$1,INDIRECT("'"&amp;LEFT($A55,LEN($A55)-1)&amp;"'!$A$13:$A$41"),0),VALUE(RIGHT($A55,1)))="NO",0,"?"))</f>
        <v>?</v>
      </c>
      <c r="AC55" s="86" t="str">
        <f aca="true">IF(INDEX(INDIRECT("'"&amp;LEFT($A55,LEN($A55)-1)&amp;"'!$H$13:$J$41"),MATCH(AC$1,INDIRECT("'"&amp;LEFT($A55,LEN($A55)-1)&amp;"'!$A$13:$A$41"),0),VALUE(RIGHT($A55,1)))="YES",$H55,IF(INDEX(INDIRECT("'"&amp;LEFT($A55,LEN($A55)-1)&amp;"'!$H$13:$J$41"),MATCH(AC$1,INDIRECT("'"&amp;LEFT($A55,LEN($A55)-1)&amp;"'!$A$13:$A$41"),0),VALUE(RIGHT($A55,1)))="NO",0,"?"))</f>
        <v>?</v>
      </c>
      <c r="AD55" s="86" t="str">
        <f aca="true">IF(INDEX(INDIRECT("'"&amp;LEFT($A55,LEN($A55)-1)&amp;"'!$H$13:$J$41"),MATCH(AD$1,INDIRECT("'"&amp;LEFT($A55,LEN($A55)-1)&amp;"'!$A$13:$A$41"),0),VALUE(RIGHT($A55,1)))="YES",$H55,IF(INDEX(INDIRECT("'"&amp;LEFT($A55,LEN($A55)-1)&amp;"'!$H$13:$J$41"),MATCH(AD$1,INDIRECT("'"&amp;LEFT($A55,LEN($A55)-1)&amp;"'!$A$13:$A$41"),0),VALUE(RIGHT($A55,1)))="NO",0,"?"))</f>
        <v>?</v>
      </c>
      <c r="AE55" s="86" t="str">
        <f aca="true">IF(INDEX(INDIRECT("'"&amp;LEFT($A55,LEN($A55)-1)&amp;"'!$H$13:$J$41"),MATCH(AE$1,INDIRECT("'"&amp;LEFT($A55,LEN($A55)-1)&amp;"'!$A$13:$A$41"),0),VALUE(RIGHT($A55,1)))="YES",$H55,IF(INDEX(INDIRECT("'"&amp;LEFT($A55,LEN($A55)-1)&amp;"'!$H$13:$J$41"),MATCH(AE$1,INDIRECT("'"&amp;LEFT($A55,LEN($A55)-1)&amp;"'!$A$13:$A$41"),0),VALUE(RIGHT($A55,1)))="NO",0,"?"))</f>
        <v>?</v>
      </c>
      <c r="AF55" s="86" t="str">
        <f aca="true">IF(INDEX(INDIRECT("'"&amp;LEFT($A55,LEN($A55)-1)&amp;"'!$H$13:$J$41"),MATCH(AF$1,INDIRECT("'"&amp;LEFT($A55,LEN($A55)-1)&amp;"'!$A$13:$A$41"),0),VALUE(RIGHT($A55,1)))="YES",$H55,IF(INDEX(INDIRECT("'"&amp;LEFT($A55,LEN($A55)-1)&amp;"'!$H$13:$J$41"),MATCH(AF$1,INDIRECT("'"&amp;LEFT($A55,LEN($A55)-1)&amp;"'!$A$13:$A$41"),0),VALUE(RIGHT($A55,1)))="NO",0,"?"))</f>
        <v>?</v>
      </c>
      <c r="AG55" s="86" t="str">
        <f aca="true">IF(INDEX(INDIRECT("'"&amp;LEFT($A55,LEN($A55)-1)&amp;"'!$H$13:$J$41"),MATCH(AG$1,INDIRECT("'"&amp;LEFT($A55,LEN($A55)-1)&amp;"'!$A$13:$A$41"),0),VALUE(RIGHT($A55,1)))="YES",$H55,IF(INDEX(INDIRECT("'"&amp;LEFT($A55,LEN($A55)-1)&amp;"'!$H$13:$J$41"),MATCH(AG$1,INDIRECT("'"&amp;LEFT($A55,LEN($A55)-1)&amp;"'!$A$13:$A$41"),0),VALUE(RIGHT($A55,1)))="NO",0,"?"))</f>
        <v>?</v>
      </c>
      <c r="AH55" s="86" t="str">
        <f aca="true">IF(INDEX(INDIRECT("'"&amp;LEFT($A55,LEN($A55)-1)&amp;"'!$H$13:$J$41"),MATCH(AH$1,INDIRECT("'"&amp;LEFT($A55,LEN($A55)-1)&amp;"'!$A$13:$A$41"),0),VALUE(RIGHT($A55,1)))="YES",$H55,IF(INDEX(INDIRECT("'"&amp;LEFT($A55,LEN($A55)-1)&amp;"'!$H$13:$J$41"),MATCH(AH$1,INDIRECT("'"&amp;LEFT($A55,LEN($A55)-1)&amp;"'!$A$13:$A$41"),0),VALUE(RIGHT($A55,1)))="NO",0,"?"))</f>
        <v>?</v>
      </c>
      <c r="AI55" s="86" t="str">
        <f aca="true">IF(INDEX(INDIRECT("'"&amp;LEFT($A55,LEN($A55)-1)&amp;"'!$H$13:$J$41"),MATCH(AI$1,INDIRECT("'"&amp;LEFT($A55,LEN($A55)-1)&amp;"'!$A$13:$A$41"),0),VALUE(RIGHT($A55,1)))="YES",$H55,IF(INDEX(INDIRECT("'"&amp;LEFT($A55,LEN($A55)-1)&amp;"'!$H$13:$J$41"),MATCH(AI$1,INDIRECT("'"&amp;LEFT($A55,LEN($A55)-1)&amp;"'!$A$13:$A$41"),0),VALUE(RIGHT($A55,1)))="NO",0,"?"))</f>
        <v>?</v>
      </c>
      <c r="AJ55" s="86" t="str">
        <f aca="true">IF(INDEX(INDIRECT("'"&amp;LEFT($A55,LEN($A55)-1)&amp;"'!$H$13:$J$41"),MATCH(AJ$1,INDIRECT("'"&amp;LEFT($A55,LEN($A55)-1)&amp;"'!$A$13:$A$41"),0),VALUE(RIGHT($A55,1)))="YES",$H55,IF(INDEX(INDIRECT("'"&amp;LEFT($A55,LEN($A55)-1)&amp;"'!$H$13:$J$41"),MATCH(AJ$1,INDIRECT("'"&amp;LEFT($A55,LEN($A55)-1)&amp;"'!$A$13:$A$41"),0),VALUE(RIGHT($A55,1)))="NO",0,"?"))</f>
        <v>?</v>
      </c>
      <c r="AK55" s="86" t="str">
        <f aca="true">IF(INDEX(INDIRECT("'"&amp;LEFT($A55,LEN($A55)-1)&amp;"'!$H$13:$J$41"),MATCH(AK$1,INDIRECT("'"&amp;LEFT($A55,LEN($A55)-1)&amp;"'!$A$13:$A$41"),0),VALUE(RIGHT($A55,1)))="YES",$H55,IF(INDEX(INDIRECT("'"&amp;LEFT($A55,LEN($A55)-1)&amp;"'!$H$13:$J$41"),MATCH(AK$1,INDIRECT("'"&amp;LEFT($A55,LEN($A55)-1)&amp;"'!$A$13:$A$41"),0),VALUE(RIGHT($A55,1)))="NO",0,"?"))</f>
        <v>?</v>
      </c>
    </row>
    <row r="56" customFormat="false" ht="14.25" hidden="false" customHeight="false" outlineLevel="0" collapsed="false">
      <c r="A56" s="82" t="s">
        <v>201</v>
      </c>
      <c r="B56" s="83" t="str">
        <f aca="false">IF(ISBLANK($A56),"NO_CODE",VLOOKUP($A56,'UPD Questions_290926 '!$E$1:$N$300,MATCH(B$1,'UPD Questions_290926 '!$E$1:$N$1,0),0)&amp;"")</f>
        <v>Implementation</v>
      </c>
      <c r="C56" s="83" t="str">
        <f aca="false">IF(ISBLANK($A56),"NO_CODE",VLOOKUP($A56,'UPD Questions_290926 '!$E$1:$N$300,MATCH(C$1,'UPD Questions_290926 '!$E$1:$N$1,0),0)&amp;"")</f>
        <v>Sectoral planning</v>
      </c>
      <c r="D56" s="83" t="str">
        <f aca="false">IF(ISBLANK($A56),"NO_CODE",VLOOKUP($A56,'UPD Questions_290926 '!$E$1:$N$300,MATCH(D$1,'UPD Questions_290926 '!$E$1:$N$1,0),0)&amp;"")</f>
        <v>Water supply and sewerage, sanitation, solid waste management </v>
      </c>
      <c r="E56" s="83" t="str">
        <f aca="false">IF(ISBLANK($A56),"NO_CODE",VLOOKUP($A56,'UPD Questions_290926 '!$E$1:$N$300,MATCH(E$1,'UPD Questions_290926 '!$E$1:$N$1,0),0)&amp;"")</f>
        <v>SQ</v>
      </c>
      <c r="F56" s="83" t="str">
        <f aca="false">IF(ISBLANK($A56),"NO_CODE",VLOOKUP($A56,'UPD Questions_290926 '!$E$1:$N$300,MATCH(F$1,'UPD Questions_290926 '!$E$1:$N$1,0),0)&amp;"")</f>
        <v>Does the plan have development priorities and measureable objectives?</v>
      </c>
      <c r="G56" s="83" t="str">
        <f aca="false">IF(ISBLANK($A56),"NO_CODE",VLOOKUP($A56,'UPD Questions_290926 '!$E$1:$N$300,MATCH(G$1,'UPD Questions_290926 '!$E$1:$N$1,0),0)&amp;"")</f>
        <v>Implementation</v>
      </c>
      <c r="H56" s="85" t="n">
        <f aca="false">IF(ISBLANK($A56),"NO_CODE",VLOOKUP($A56,'UPD Questions_290926 '!$E$1:$N$300,MATCH(H$1,'UPD Questions_290926 '!$E$1:$N$1,0),0))</f>
        <v>3.33</v>
      </c>
      <c r="I56" s="86" t="str">
        <f aca="true">IF($H56=0,"NA",IF($A56=INDIRECT("'"&amp;$A56&amp;"'!$B$1"),IF(VLOOKUP(I$1,INDIRECT("'"&amp;$A56&amp;"'!$A$12:$Z$41"),MATCH("Points (Auto-generate)",INDIRECT("'"&amp;$A56&amp;"'!$A$12:$Z$12"),0),0)="","?",VLOOKUP(I$1,INDIRECT("'"&amp;$A56&amp;"'!$A$12:$Z$41"),MATCH("Points (Auto-generate)",INDIRECT("'"&amp;$A56&amp;"'!$A$12:$Z$12"),0),0)),"ER"))</f>
        <v>?</v>
      </c>
      <c r="J56" s="86" t="n">
        <f aca="true">IF($H56=0,"NA",IF($A56=INDIRECT("'"&amp;$A56&amp;"'!$B$1"),IF(VLOOKUP(J$1,INDIRECT("'"&amp;$A56&amp;"'!$A$12:$Z$41"),MATCH("Points (Auto-generate)",INDIRECT("'"&amp;$A56&amp;"'!$A$12:$Z$12"),0),0)="","?",VLOOKUP(J$1,INDIRECT("'"&amp;$A56&amp;"'!$A$12:$Z$41"),MATCH("Points (Auto-generate)",INDIRECT("'"&amp;$A56&amp;"'!$A$12:$Z$12"),0),0)),"ER"))</f>
        <v>1.11</v>
      </c>
      <c r="K56" s="86" t="str">
        <f aca="true">IF($H56=0,"NA",IF($A56=INDIRECT("'"&amp;$A56&amp;"'!$B$1"),IF(VLOOKUP(K$1,INDIRECT("'"&amp;$A56&amp;"'!$A$12:$Z$41"),MATCH("Points (Auto-generate)",INDIRECT("'"&amp;$A56&amp;"'!$A$12:$Z$12"),0),0)="","?",VLOOKUP(K$1,INDIRECT("'"&amp;$A56&amp;"'!$A$12:$Z$41"),MATCH("Points (Auto-generate)",INDIRECT("'"&amp;$A56&amp;"'!$A$12:$Z$12"),0),0)),"ER"))</f>
        <v>?</v>
      </c>
      <c r="L56" s="86" t="str">
        <f aca="true">IF($H56=0,"NA",IF($A56=INDIRECT("'"&amp;$A56&amp;"'!$B$1"),IF(VLOOKUP(L$1,INDIRECT("'"&amp;$A56&amp;"'!$A$12:$Z$41"),MATCH("Points (Auto-generate)",INDIRECT("'"&amp;$A56&amp;"'!$A$12:$Z$12"),0),0)="","?",VLOOKUP(L$1,INDIRECT("'"&amp;$A56&amp;"'!$A$12:$Z$41"),MATCH("Points (Auto-generate)",INDIRECT("'"&amp;$A56&amp;"'!$A$12:$Z$12"),0),0)),"ER"))</f>
        <v>?</v>
      </c>
      <c r="M56" s="86" t="str">
        <f aca="true">IF($H56=0,"NA",IF($A56=INDIRECT("'"&amp;$A56&amp;"'!$B$1"),IF(VLOOKUP(M$1,INDIRECT("'"&amp;$A56&amp;"'!$A$12:$Z$41"),MATCH("Points (Auto-generate)",INDIRECT("'"&amp;$A56&amp;"'!$A$12:$Z$12"),0),0)="","?",VLOOKUP(M$1,INDIRECT("'"&amp;$A56&amp;"'!$A$12:$Z$41"),MATCH("Points (Auto-generate)",INDIRECT("'"&amp;$A56&amp;"'!$A$12:$Z$12"),0),0)),"ER"))</f>
        <v>?</v>
      </c>
      <c r="N56" s="86" t="str">
        <f aca="true">IF($H56=0,"NA",IF($A56=INDIRECT("'"&amp;$A56&amp;"'!$B$1"),IF(VLOOKUP(N$1,INDIRECT("'"&amp;$A56&amp;"'!$A$12:$Z$41"),MATCH("Points (Auto-generate)",INDIRECT("'"&amp;$A56&amp;"'!$A$12:$Z$12"),0),0)="","?",VLOOKUP(N$1,INDIRECT("'"&amp;$A56&amp;"'!$A$12:$Z$41"),MATCH("Points (Auto-generate)",INDIRECT("'"&amp;$A56&amp;"'!$A$12:$Z$12"),0),0)),"ER"))</f>
        <v>?</v>
      </c>
      <c r="O56" s="86" t="str">
        <f aca="true">IF($H56=0,"NA",IF($A56=INDIRECT("'"&amp;$A56&amp;"'!$B$1"),IF(VLOOKUP(O$1,INDIRECT("'"&amp;$A56&amp;"'!$A$12:$Z$41"),MATCH("Points (Auto-generate)",INDIRECT("'"&amp;$A56&amp;"'!$A$12:$Z$12"),0),0)="","?",VLOOKUP(O$1,INDIRECT("'"&amp;$A56&amp;"'!$A$12:$Z$41"),MATCH("Points (Auto-generate)",INDIRECT("'"&amp;$A56&amp;"'!$A$12:$Z$12"),0),0)),"ER"))</f>
        <v>?</v>
      </c>
      <c r="P56" s="86" t="str">
        <f aca="true">IF($H56=0,"NA",IF($A56=INDIRECT("'"&amp;$A56&amp;"'!$B$1"),IF(VLOOKUP(P$1,INDIRECT("'"&amp;$A56&amp;"'!$A$12:$Z$41"),MATCH("Points (Auto-generate)",INDIRECT("'"&amp;$A56&amp;"'!$A$12:$Z$12"),0),0)="","?",VLOOKUP(P$1,INDIRECT("'"&amp;$A56&amp;"'!$A$12:$Z$41"),MATCH("Points (Auto-generate)",INDIRECT("'"&amp;$A56&amp;"'!$A$12:$Z$12"),0),0)),"ER"))</f>
        <v>?</v>
      </c>
      <c r="Q56" s="86" t="str">
        <f aca="true">IF($H56=0,"NA",IF($A56=INDIRECT("'"&amp;$A56&amp;"'!$B$1"),IF(VLOOKUP(Q$1,INDIRECT("'"&amp;$A56&amp;"'!$A$12:$Z$41"),MATCH("Points (Auto-generate)",INDIRECT("'"&amp;$A56&amp;"'!$A$12:$Z$12"),0),0)="","?",VLOOKUP(Q$1,INDIRECT("'"&amp;$A56&amp;"'!$A$12:$Z$41"),MATCH("Points (Auto-generate)",INDIRECT("'"&amp;$A56&amp;"'!$A$12:$Z$12"),0),0)),"ER"))</f>
        <v>?</v>
      </c>
      <c r="R56" s="86" t="str">
        <f aca="true">IF($H56=0,"NA",IF($A56=INDIRECT("'"&amp;$A56&amp;"'!$B$1"),IF(VLOOKUP(R$1,INDIRECT("'"&amp;$A56&amp;"'!$A$12:$Z$41"),MATCH("Points (Auto-generate)",INDIRECT("'"&amp;$A56&amp;"'!$A$12:$Z$12"),0),0)="","?",VLOOKUP(R$1,INDIRECT("'"&amp;$A56&amp;"'!$A$12:$Z$41"),MATCH("Points (Auto-generate)",INDIRECT("'"&amp;$A56&amp;"'!$A$12:$Z$12"),0),0)),"ER"))</f>
        <v>?</v>
      </c>
      <c r="S56" s="86" t="str">
        <f aca="true">IF($H56=0,"NA",IF($A56=INDIRECT("'"&amp;$A56&amp;"'!$B$1"),IF(VLOOKUP(S$1,INDIRECT("'"&amp;$A56&amp;"'!$A$12:$Z$41"),MATCH("Points (Auto-generate)",INDIRECT("'"&amp;$A56&amp;"'!$A$12:$Z$12"),0),0)="","?",VLOOKUP(S$1,INDIRECT("'"&amp;$A56&amp;"'!$A$12:$Z$41"),MATCH("Points (Auto-generate)",INDIRECT("'"&amp;$A56&amp;"'!$A$12:$Z$12"),0),0)),"ER"))</f>
        <v>?</v>
      </c>
      <c r="T56" s="86" t="str">
        <f aca="true">IF($H56=0,"NA",IF($A56=INDIRECT("'"&amp;$A56&amp;"'!$B$1"),IF(VLOOKUP(T$1,INDIRECT("'"&amp;$A56&amp;"'!$A$12:$Z$41"),MATCH("Points (Auto-generate)",INDIRECT("'"&amp;$A56&amp;"'!$A$12:$Z$12"),0),0)="","?",VLOOKUP(T$1,INDIRECT("'"&amp;$A56&amp;"'!$A$12:$Z$41"),MATCH("Points (Auto-generate)",INDIRECT("'"&amp;$A56&amp;"'!$A$12:$Z$12"),0),0)),"ER"))</f>
        <v>?</v>
      </c>
      <c r="U56" s="86" t="str">
        <f aca="true">IF($H56=0,"NA",IF($A56=INDIRECT("'"&amp;$A56&amp;"'!$B$1"),IF(VLOOKUP(U$1,INDIRECT("'"&amp;$A56&amp;"'!$A$12:$Z$41"),MATCH("Points (Auto-generate)",INDIRECT("'"&amp;$A56&amp;"'!$A$12:$Z$12"),0),0)="","?",VLOOKUP(U$1,INDIRECT("'"&amp;$A56&amp;"'!$A$12:$Z$41"),MATCH("Points (Auto-generate)",INDIRECT("'"&amp;$A56&amp;"'!$A$12:$Z$12"),0),0)),"ER"))</f>
        <v>?</v>
      </c>
      <c r="V56" s="86" t="str">
        <f aca="true">IF($H56=0,"NA",IF($A56=INDIRECT("'"&amp;$A56&amp;"'!$B$1"),IF(VLOOKUP(V$1,INDIRECT("'"&amp;$A56&amp;"'!$A$12:$Z$41"),MATCH("Points (Auto-generate)",INDIRECT("'"&amp;$A56&amp;"'!$A$12:$Z$12"),0),0)="","?",VLOOKUP(V$1,INDIRECT("'"&amp;$A56&amp;"'!$A$12:$Z$41"),MATCH("Points (Auto-generate)",INDIRECT("'"&amp;$A56&amp;"'!$A$12:$Z$12"),0),0)),"ER"))</f>
        <v>?</v>
      </c>
      <c r="W56" s="86" t="str">
        <f aca="true">IF($H56=0,"NA",IF($A56=INDIRECT("'"&amp;$A56&amp;"'!$B$1"),IF(VLOOKUP(W$1,INDIRECT("'"&amp;$A56&amp;"'!$A$12:$Z$41"),MATCH("Points (Auto-generate)",INDIRECT("'"&amp;$A56&amp;"'!$A$12:$Z$12"),0),0)="","?",VLOOKUP(W$1,INDIRECT("'"&amp;$A56&amp;"'!$A$12:$Z$41"),MATCH("Points (Auto-generate)",INDIRECT("'"&amp;$A56&amp;"'!$A$12:$Z$12"),0),0)),"ER"))</f>
        <v>?</v>
      </c>
      <c r="X56" s="86" t="str">
        <f aca="true">IF($H56=0,"NA",IF($A56=INDIRECT("'"&amp;$A56&amp;"'!$B$1"),IF(VLOOKUP(X$1,INDIRECT("'"&amp;$A56&amp;"'!$A$12:$Z$41"),MATCH("Points (Auto-generate)",INDIRECT("'"&amp;$A56&amp;"'!$A$12:$Z$12"),0),0)="","?",VLOOKUP(X$1,INDIRECT("'"&amp;$A56&amp;"'!$A$12:$Z$41"),MATCH("Points (Auto-generate)",INDIRECT("'"&amp;$A56&amp;"'!$A$12:$Z$12"),0),0)),"ER"))</f>
        <v>?</v>
      </c>
      <c r="Y56" s="86" t="str">
        <f aca="true">IF($H56=0,"NA",IF($A56=INDIRECT("'"&amp;$A56&amp;"'!$B$1"),IF(VLOOKUP(Y$1,INDIRECT("'"&amp;$A56&amp;"'!$A$12:$Z$41"),MATCH("Points (Auto-generate)",INDIRECT("'"&amp;$A56&amp;"'!$A$12:$Z$12"),0),0)="","?",VLOOKUP(Y$1,INDIRECT("'"&amp;$A56&amp;"'!$A$12:$Z$41"),MATCH("Points (Auto-generate)",INDIRECT("'"&amp;$A56&amp;"'!$A$12:$Z$12"),0),0)),"ER"))</f>
        <v>?</v>
      </c>
      <c r="Z56" s="86" t="str">
        <f aca="true">IF($H56=0,"NA",IF($A56=INDIRECT("'"&amp;$A56&amp;"'!$B$1"),IF(VLOOKUP(Z$1,INDIRECT("'"&amp;$A56&amp;"'!$A$12:$Z$41"),MATCH("Points (Auto-generate)",INDIRECT("'"&amp;$A56&amp;"'!$A$12:$Z$12"),0),0)="","?",VLOOKUP(Z$1,INDIRECT("'"&amp;$A56&amp;"'!$A$12:$Z$41"),MATCH("Points (Auto-generate)",INDIRECT("'"&amp;$A56&amp;"'!$A$12:$Z$12"),0),0)),"ER"))</f>
        <v>?</v>
      </c>
      <c r="AA56" s="86" t="str">
        <f aca="true">IF($H56=0,"NA",IF($A56=INDIRECT("'"&amp;$A56&amp;"'!$B$1"),IF(VLOOKUP(AA$1,INDIRECT("'"&amp;$A56&amp;"'!$A$12:$Z$41"),MATCH("Points (Auto-generate)",INDIRECT("'"&amp;$A56&amp;"'!$A$12:$Z$12"),0),0)="","?",VLOOKUP(AA$1,INDIRECT("'"&amp;$A56&amp;"'!$A$12:$Z$41"),MATCH("Points (Auto-generate)",INDIRECT("'"&amp;$A56&amp;"'!$A$12:$Z$12"),0),0)),"ER"))</f>
        <v>?</v>
      </c>
      <c r="AB56" s="86" t="str">
        <f aca="true">IF($H56=0,"NA",IF($A56=INDIRECT("'"&amp;$A56&amp;"'!$B$1"),IF(VLOOKUP(AB$1,INDIRECT("'"&amp;$A56&amp;"'!$A$12:$Z$41"),MATCH("Points (Auto-generate)",INDIRECT("'"&amp;$A56&amp;"'!$A$12:$Z$12"),0),0)="","?",VLOOKUP(AB$1,INDIRECT("'"&amp;$A56&amp;"'!$A$12:$Z$41"),MATCH("Points (Auto-generate)",INDIRECT("'"&amp;$A56&amp;"'!$A$12:$Z$12"),0),0)),"ER"))</f>
        <v>?</v>
      </c>
      <c r="AC56" s="86" t="str">
        <f aca="true">IF($H56=0,"NA",IF($A56=INDIRECT("'"&amp;$A56&amp;"'!$B$1"),IF(VLOOKUP(AC$1,INDIRECT("'"&amp;$A56&amp;"'!$A$12:$Z$41"),MATCH("Points (Auto-generate)",INDIRECT("'"&amp;$A56&amp;"'!$A$12:$Z$12"),0),0)="","?",VLOOKUP(AC$1,INDIRECT("'"&amp;$A56&amp;"'!$A$12:$Z$41"),MATCH("Points (Auto-generate)",INDIRECT("'"&amp;$A56&amp;"'!$A$12:$Z$12"),0),0)),"ER"))</f>
        <v>?</v>
      </c>
      <c r="AD56" s="86" t="str">
        <f aca="true">IF($H56=0,"NA",IF($A56=INDIRECT("'"&amp;$A56&amp;"'!$B$1"),IF(VLOOKUP(AD$1,INDIRECT("'"&amp;$A56&amp;"'!$A$12:$Z$41"),MATCH("Points (Auto-generate)",INDIRECT("'"&amp;$A56&amp;"'!$A$12:$Z$12"),0),0)="","?",VLOOKUP(AD$1,INDIRECT("'"&amp;$A56&amp;"'!$A$12:$Z$41"),MATCH("Points (Auto-generate)",INDIRECT("'"&amp;$A56&amp;"'!$A$12:$Z$12"),0),0)),"ER"))</f>
        <v>?</v>
      </c>
      <c r="AE56" s="86" t="str">
        <f aca="true">IF($H56=0,"NA",IF($A56=INDIRECT("'"&amp;$A56&amp;"'!$B$1"),IF(VLOOKUP(AE$1,INDIRECT("'"&amp;$A56&amp;"'!$A$12:$Z$41"),MATCH("Points (Auto-generate)",INDIRECT("'"&amp;$A56&amp;"'!$A$12:$Z$12"),0),0)="","?",VLOOKUP(AE$1,INDIRECT("'"&amp;$A56&amp;"'!$A$12:$Z$41"),MATCH("Points (Auto-generate)",INDIRECT("'"&amp;$A56&amp;"'!$A$12:$Z$12"),0),0)),"ER"))</f>
        <v>?</v>
      </c>
      <c r="AF56" s="86" t="str">
        <f aca="true">IF($H56=0,"NA",IF($A56=INDIRECT("'"&amp;$A56&amp;"'!$B$1"),IF(VLOOKUP(AF$1,INDIRECT("'"&amp;$A56&amp;"'!$A$12:$Z$41"),MATCH("Points (Auto-generate)",INDIRECT("'"&amp;$A56&amp;"'!$A$12:$Z$12"),0),0)="","?",VLOOKUP(AF$1,INDIRECT("'"&amp;$A56&amp;"'!$A$12:$Z$41"),MATCH("Points (Auto-generate)",INDIRECT("'"&amp;$A56&amp;"'!$A$12:$Z$12"),0),0)),"ER"))</f>
        <v>?</v>
      </c>
      <c r="AG56" s="86" t="str">
        <f aca="true">IF($H56=0,"NA",IF($A56=INDIRECT("'"&amp;$A56&amp;"'!$B$1"),IF(VLOOKUP(AG$1,INDIRECT("'"&amp;$A56&amp;"'!$A$12:$Z$41"),MATCH("Points (Auto-generate)",INDIRECT("'"&amp;$A56&amp;"'!$A$12:$Z$12"),0),0)="","?",VLOOKUP(AG$1,INDIRECT("'"&amp;$A56&amp;"'!$A$12:$Z$41"),MATCH("Points (Auto-generate)",INDIRECT("'"&amp;$A56&amp;"'!$A$12:$Z$12"),0),0)),"ER"))</f>
        <v>?</v>
      </c>
      <c r="AH56" s="86" t="str">
        <f aca="true">IF($H56=0,"NA",IF($A56=INDIRECT("'"&amp;$A56&amp;"'!$B$1"),IF(VLOOKUP(AH$1,INDIRECT("'"&amp;$A56&amp;"'!$A$12:$Z$41"),MATCH("Points (Auto-generate)",INDIRECT("'"&amp;$A56&amp;"'!$A$12:$Z$12"),0),0)="","?",VLOOKUP(AH$1,INDIRECT("'"&amp;$A56&amp;"'!$A$12:$Z$41"),MATCH("Points (Auto-generate)",INDIRECT("'"&amp;$A56&amp;"'!$A$12:$Z$12"),0),0)),"ER"))</f>
        <v>?</v>
      </c>
      <c r="AI56" s="86" t="str">
        <f aca="true">IF($H56=0,"NA",IF($A56=INDIRECT("'"&amp;$A56&amp;"'!$B$1"),IF(VLOOKUP(AI$1,INDIRECT("'"&amp;$A56&amp;"'!$A$12:$Z$41"),MATCH("Points (Auto-generate)",INDIRECT("'"&amp;$A56&amp;"'!$A$12:$Z$12"),0),0)="","?",VLOOKUP(AI$1,INDIRECT("'"&amp;$A56&amp;"'!$A$12:$Z$41"),MATCH("Points (Auto-generate)",INDIRECT("'"&amp;$A56&amp;"'!$A$12:$Z$12"),0),0)),"ER"))</f>
        <v>?</v>
      </c>
      <c r="AJ56" s="86" t="str">
        <f aca="true">IF($H56=0,"NA",IF($A56=INDIRECT("'"&amp;$A56&amp;"'!$B$1"),IF(VLOOKUP(AJ$1,INDIRECT("'"&amp;$A56&amp;"'!$A$12:$Z$41"),MATCH("Points (Auto-generate)",INDIRECT("'"&amp;$A56&amp;"'!$A$12:$Z$12"),0),0)="","?",VLOOKUP(AJ$1,INDIRECT("'"&amp;$A56&amp;"'!$A$12:$Z$41"),MATCH("Points (Auto-generate)",INDIRECT("'"&amp;$A56&amp;"'!$A$12:$Z$12"),0),0)),"ER"))</f>
        <v>?</v>
      </c>
      <c r="AK56" s="86" t="str">
        <f aca="true">IF($H56=0,"NA",IF($A56=INDIRECT("'"&amp;$A56&amp;"'!$B$1"),IF(VLOOKUP(AK$1,INDIRECT("'"&amp;$A56&amp;"'!$A$12:$Z$41"),MATCH("Points (Auto-generate)",INDIRECT("'"&amp;$A56&amp;"'!$A$12:$Z$12"),0),0)="","?",VLOOKUP(AK$1,INDIRECT("'"&amp;$A56&amp;"'!$A$12:$Z$41"),MATCH("Points (Auto-generate)",INDIRECT("'"&amp;$A56&amp;"'!$A$12:$Z$12"),0),0)),"ER"))</f>
        <v>?</v>
      </c>
    </row>
    <row r="57" customFormat="false" ht="14.25" hidden="false" customHeight="false" outlineLevel="0" collapsed="false">
      <c r="A57" s="82" t="s">
        <v>559</v>
      </c>
      <c r="B57" s="83" t="str">
        <f aca="false">IF(ISBLANK($A57),"NO_CODE",VLOOKUP($A57,'UPD Questions_290926 '!$E$1:$N$300,MATCH(B$1,'UPD Questions_290926 '!$E$1:$N$1,0),0)&amp;"")</f>
        <v>Implementation</v>
      </c>
      <c r="C57" s="83" t="str">
        <f aca="false">IF(ISBLANK($A57),"NO_CODE",VLOOKUP($A57,'UPD Questions_290926 '!$E$1:$N$300,MATCH(C$1,'UPD Questions_290926 '!$E$1:$N$1,0),0)&amp;"")</f>
        <v>Sectoral planning</v>
      </c>
      <c r="D57" s="83" t="str">
        <f aca="false">IF(ISBLANK($A57),"NO_CODE",VLOOKUP($A57,'UPD Questions_290926 '!$E$1:$N$300,MATCH(D$1,'UPD Questions_290926 '!$E$1:$N$1,0),0)&amp;"")</f>
        <v>Water supply and sewerage, sanitation, solid waste management </v>
      </c>
      <c r="E57" s="83" t="str">
        <f aca="false">IF(ISBLANK($A57),"NO_CODE",VLOOKUP($A57,'UPD Questions_290926 '!$E$1:$N$300,MATCH(E$1,'UPD Questions_290926 '!$E$1:$N$1,0),0)&amp;"")</f>
        <v>SQ1</v>
      </c>
      <c r="F57" s="83" t="str">
        <f aca="false">IF(ISBLANK($A57),"NO_CODE",VLOOKUP($A57,'UPD Questions_290926 '!$E$1:$N$300,MATCH(F$1,'UPD Questions_290926 '!$E$1:$N$1,0),0)&amp;"")</f>
        <v>a) Water Supply and Sewerage Plan</v>
      </c>
      <c r="G57" s="83" t="str">
        <f aca="false">IF(ISBLANK($A57),"NO_CODE",VLOOKUP($A57,'UPD Questions_290926 '!$E$1:$N$300,MATCH(G$1,'UPD Questions_290926 '!$E$1:$N$1,0),0)&amp;"")</f>
        <v>Implementation</v>
      </c>
      <c r="H57" s="85" t="n">
        <f aca="false">IF(ISBLANK($A57),"NO_CODE",VLOOKUP($A57,'UPD Questions_290926 '!$E$1:$N$300,MATCH(H$1,'UPD Questions_290926 '!$E$1:$N$1,0),0))</f>
        <v>1.11</v>
      </c>
      <c r="I57" s="86" t="str">
        <f aca="true">IF(INDEX(INDIRECT("'"&amp;LEFT($A57,LEN($A57)-1)&amp;"'!$H$13:$J$41"),MATCH(I$1,INDIRECT("'"&amp;LEFT($A57,LEN($A57)-1)&amp;"'!$A$13:$A$41"),0),VALUE(RIGHT($A57,1)))="YES",$H57,IF(INDEX(INDIRECT("'"&amp;LEFT($A57,LEN($A57)-1)&amp;"'!$H$13:$J$41"),MATCH(I$1,INDIRECT("'"&amp;LEFT($A57,LEN($A57)-1)&amp;"'!$A$13:$A$41"),0),VALUE(RIGHT($A57,1)))="NO",0,"?"))</f>
        <v>?</v>
      </c>
      <c r="J57" s="86" t="n">
        <f aca="true">IF(INDEX(INDIRECT("'"&amp;LEFT($A57,LEN($A57)-1)&amp;"'!$H$13:$J$41"),MATCH(J$1,INDIRECT("'"&amp;LEFT($A57,LEN($A57)-1)&amp;"'!$A$13:$A$41"),0),VALUE(RIGHT($A57,1)))="YES",$H57,IF(INDEX(INDIRECT("'"&amp;LEFT($A57,LEN($A57)-1)&amp;"'!$H$13:$J$41"),MATCH(J$1,INDIRECT("'"&amp;LEFT($A57,LEN($A57)-1)&amp;"'!$A$13:$A$41"),0),VALUE(RIGHT($A57,1)))="NO",0,"?"))</f>
        <v>1.11</v>
      </c>
      <c r="K57" s="86" t="str">
        <f aca="true">IF(INDEX(INDIRECT("'"&amp;LEFT($A57,LEN($A57)-1)&amp;"'!$H$13:$J$41"),MATCH(K$1,INDIRECT("'"&amp;LEFT($A57,LEN($A57)-1)&amp;"'!$A$13:$A$41"),0),VALUE(RIGHT($A57,1)))="YES",$H57,IF(INDEX(INDIRECT("'"&amp;LEFT($A57,LEN($A57)-1)&amp;"'!$H$13:$J$41"),MATCH(K$1,INDIRECT("'"&amp;LEFT($A57,LEN($A57)-1)&amp;"'!$A$13:$A$41"),0),VALUE(RIGHT($A57,1)))="NO",0,"?"))</f>
        <v>?</v>
      </c>
      <c r="L57" s="86" t="str">
        <f aca="true">IF(INDEX(INDIRECT("'"&amp;LEFT($A57,LEN($A57)-1)&amp;"'!$H$13:$J$41"),MATCH(L$1,INDIRECT("'"&amp;LEFT($A57,LEN($A57)-1)&amp;"'!$A$13:$A$41"),0),VALUE(RIGHT($A57,1)))="YES",$H57,IF(INDEX(INDIRECT("'"&amp;LEFT($A57,LEN($A57)-1)&amp;"'!$H$13:$J$41"),MATCH(L$1,INDIRECT("'"&amp;LEFT($A57,LEN($A57)-1)&amp;"'!$A$13:$A$41"),0),VALUE(RIGHT($A57,1)))="NO",0,"?"))</f>
        <v>?</v>
      </c>
      <c r="M57" s="86" t="str">
        <f aca="true">IF(INDEX(INDIRECT("'"&amp;LEFT($A57,LEN($A57)-1)&amp;"'!$H$13:$J$41"),MATCH(M$1,INDIRECT("'"&amp;LEFT($A57,LEN($A57)-1)&amp;"'!$A$13:$A$41"),0),VALUE(RIGHT($A57,1)))="YES",$H57,IF(INDEX(INDIRECT("'"&amp;LEFT($A57,LEN($A57)-1)&amp;"'!$H$13:$J$41"),MATCH(M$1,INDIRECT("'"&amp;LEFT($A57,LEN($A57)-1)&amp;"'!$A$13:$A$41"),0),VALUE(RIGHT($A57,1)))="NO",0,"?"))</f>
        <v>?</v>
      </c>
      <c r="N57" s="86" t="str">
        <f aca="true">IF(INDEX(INDIRECT("'"&amp;LEFT($A57,LEN($A57)-1)&amp;"'!$H$13:$J$41"),MATCH(N$1,INDIRECT("'"&amp;LEFT($A57,LEN($A57)-1)&amp;"'!$A$13:$A$41"),0),VALUE(RIGHT($A57,1)))="YES",$H57,IF(INDEX(INDIRECT("'"&amp;LEFT($A57,LEN($A57)-1)&amp;"'!$H$13:$J$41"),MATCH(N$1,INDIRECT("'"&amp;LEFT($A57,LEN($A57)-1)&amp;"'!$A$13:$A$41"),0),VALUE(RIGHT($A57,1)))="NO",0,"?"))</f>
        <v>?</v>
      </c>
      <c r="O57" s="86" t="str">
        <f aca="true">IF(INDEX(INDIRECT("'"&amp;LEFT($A57,LEN($A57)-1)&amp;"'!$H$13:$J$41"),MATCH(O$1,INDIRECT("'"&amp;LEFT($A57,LEN($A57)-1)&amp;"'!$A$13:$A$41"),0),VALUE(RIGHT($A57,1)))="YES",$H57,IF(INDEX(INDIRECT("'"&amp;LEFT($A57,LEN($A57)-1)&amp;"'!$H$13:$J$41"),MATCH(O$1,INDIRECT("'"&amp;LEFT($A57,LEN($A57)-1)&amp;"'!$A$13:$A$41"),0),VALUE(RIGHT($A57,1)))="NO",0,"?"))</f>
        <v>?</v>
      </c>
      <c r="P57" s="86" t="str">
        <f aca="true">IF(INDEX(INDIRECT("'"&amp;LEFT($A57,LEN($A57)-1)&amp;"'!$H$13:$J$41"),MATCH(P$1,INDIRECT("'"&amp;LEFT($A57,LEN($A57)-1)&amp;"'!$A$13:$A$41"),0),VALUE(RIGHT($A57,1)))="YES",$H57,IF(INDEX(INDIRECT("'"&amp;LEFT($A57,LEN($A57)-1)&amp;"'!$H$13:$J$41"),MATCH(P$1,INDIRECT("'"&amp;LEFT($A57,LEN($A57)-1)&amp;"'!$A$13:$A$41"),0),VALUE(RIGHT($A57,1)))="NO",0,"?"))</f>
        <v>?</v>
      </c>
      <c r="Q57" s="86" t="str">
        <f aca="true">IF(INDEX(INDIRECT("'"&amp;LEFT($A57,LEN($A57)-1)&amp;"'!$H$13:$J$41"),MATCH(Q$1,INDIRECT("'"&amp;LEFT($A57,LEN($A57)-1)&amp;"'!$A$13:$A$41"),0),VALUE(RIGHT($A57,1)))="YES",$H57,IF(INDEX(INDIRECT("'"&amp;LEFT($A57,LEN($A57)-1)&amp;"'!$H$13:$J$41"),MATCH(Q$1,INDIRECT("'"&amp;LEFT($A57,LEN($A57)-1)&amp;"'!$A$13:$A$41"),0),VALUE(RIGHT($A57,1)))="NO",0,"?"))</f>
        <v>?</v>
      </c>
      <c r="R57" s="86" t="str">
        <f aca="true">IF(INDEX(INDIRECT("'"&amp;LEFT($A57,LEN($A57)-1)&amp;"'!$H$13:$J$41"),MATCH(R$1,INDIRECT("'"&amp;LEFT($A57,LEN($A57)-1)&amp;"'!$A$13:$A$41"),0),VALUE(RIGHT($A57,1)))="YES",$H57,IF(INDEX(INDIRECT("'"&amp;LEFT($A57,LEN($A57)-1)&amp;"'!$H$13:$J$41"),MATCH(R$1,INDIRECT("'"&amp;LEFT($A57,LEN($A57)-1)&amp;"'!$A$13:$A$41"),0),VALUE(RIGHT($A57,1)))="NO",0,"?"))</f>
        <v>?</v>
      </c>
      <c r="S57" s="86" t="str">
        <f aca="true">IF(INDEX(INDIRECT("'"&amp;LEFT($A57,LEN($A57)-1)&amp;"'!$H$13:$J$41"),MATCH(S$1,INDIRECT("'"&amp;LEFT($A57,LEN($A57)-1)&amp;"'!$A$13:$A$41"),0),VALUE(RIGHT($A57,1)))="YES",$H57,IF(INDEX(INDIRECT("'"&amp;LEFT($A57,LEN($A57)-1)&amp;"'!$H$13:$J$41"),MATCH(S$1,INDIRECT("'"&amp;LEFT($A57,LEN($A57)-1)&amp;"'!$A$13:$A$41"),0),VALUE(RIGHT($A57,1)))="NO",0,"?"))</f>
        <v>?</v>
      </c>
      <c r="T57" s="86" t="str">
        <f aca="true">IF(INDEX(INDIRECT("'"&amp;LEFT($A57,LEN($A57)-1)&amp;"'!$H$13:$J$41"),MATCH(T$1,INDIRECT("'"&amp;LEFT($A57,LEN($A57)-1)&amp;"'!$A$13:$A$41"),0),VALUE(RIGHT($A57,1)))="YES",$H57,IF(INDEX(INDIRECT("'"&amp;LEFT($A57,LEN($A57)-1)&amp;"'!$H$13:$J$41"),MATCH(T$1,INDIRECT("'"&amp;LEFT($A57,LEN($A57)-1)&amp;"'!$A$13:$A$41"),0),VALUE(RIGHT($A57,1)))="NO",0,"?"))</f>
        <v>?</v>
      </c>
      <c r="U57" s="86" t="str">
        <f aca="true">IF(INDEX(INDIRECT("'"&amp;LEFT($A57,LEN($A57)-1)&amp;"'!$H$13:$J$41"),MATCH(U$1,INDIRECT("'"&amp;LEFT($A57,LEN($A57)-1)&amp;"'!$A$13:$A$41"),0),VALUE(RIGHT($A57,1)))="YES",$H57,IF(INDEX(INDIRECT("'"&amp;LEFT($A57,LEN($A57)-1)&amp;"'!$H$13:$J$41"),MATCH(U$1,INDIRECT("'"&amp;LEFT($A57,LEN($A57)-1)&amp;"'!$A$13:$A$41"),0),VALUE(RIGHT($A57,1)))="NO",0,"?"))</f>
        <v>?</v>
      </c>
      <c r="V57" s="86" t="str">
        <f aca="true">IF(INDEX(INDIRECT("'"&amp;LEFT($A57,LEN($A57)-1)&amp;"'!$H$13:$J$41"),MATCH(V$1,INDIRECT("'"&amp;LEFT($A57,LEN($A57)-1)&amp;"'!$A$13:$A$41"),0),VALUE(RIGHT($A57,1)))="YES",$H57,IF(INDEX(INDIRECT("'"&amp;LEFT($A57,LEN($A57)-1)&amp;"'!$H$13:$J$41"),MATCH(V$1,INDIRECT("'"&amp;LEFT($A57,LEN($A57)-1)&amp;"'!$A$13:$A$41"),0),VALUE(RIGHT($A57,1)))="NO",0,"?"))</f>
        <v>?</v>
      </c>
      <c r="W57" s="86" t="str">
        <f aca="true">IF(INDEX(INDIRECT("'"&amp;LEFT($A57,LEN($A57)-1)&amp;"'!$H$13:$J$41"),MATCH(W$1,INDIRECT("'"&amp;LEFT($A57,LEN($A57)-1)&amp;"'!$A$13:$A$41"),0),VALUE(RIGHT($A57,1)))="YES",$H57,IF(INDEX(INDIRECT("'"&amp;LEFT($A57,LEN($A57)-1)&amp;"'!$H$13:$J$41"),MATCH(W$1,INDIRECT("'"&amp;LEFT($A57,LEN($A57)-1)&amp;"'!$A$13:$A$41"),0),VALUE(RIGHT($A57,1)))="NO",0,"?"))</f>
        <v>?</v>
      </c>
      <c r="X57" s="86" t="str">
        <f aca="true">IF(INDEX(INDIRECT("'"&amp;LEFT($A57,LEN($A57)-1)&amp;"'!$H$13:$J$41"),MATCH(X$1,INDIRECT("'"&amp;LEFT($A57,LEN($A57)-1)&amp;"'!$A$13:$A$41"),0),VALUE(RIGHT($A57,1)))="YES",$H57,IF(INDEX(INDIRECT("'"&amp;LEFT($A57,LEN($A57)-1)&amp;"'!$H$13:$J$41"),MATCH(X$1,INDIRECT("'"&amp;LEFT($A57,LEN($A57)-1)&amp;"'!$A$13:$A$41"),0),VALUE(RIGHT($A57,1)))="NO",0,"?"))</f>
        <v>?</v>
      </c>
      <c r="Y57" s="86" t="str">
        <f aca="true">IF(INDEX(INDIRECT("'"&amp;LEFT($A57,LEN($A57)-1)&amp;"'!$H$13:$J$41"),MATCH(Y$1,INDIRECT("'"&amp;LEFT($A57,LEN($A57)-1)&amp;"'!$A$13:$A$41"),0),VALUE(RIGHT($A57,1)))="YES",$H57,IF(INDEX(INDIRECT("'"&amp;LEFT($A57,LEN($A57)-1)&amp;"'!$H$13:$J$41"),MATCH(Y$1,INDIRECT("'"&amp;LEFT($A57,LEN($A57)-1)&amp;"'!$A$13:$A$41"),0),VALUE(RIGHT($A57,1)))="NO",0,"?"))</f>
        <v>?</v>
      </c>
      <c r="Z57" s="86" t="str">
        <f aca="true">IF(INDEX(INDIRECT("'"&amp;LEFT($A57,LEN($A57)-1)&amp;"'!$H$13:$J$41"),MATCH(Z$1,INDIRECT("'"&amp;LEFT($A57,LEN($A57)-1)&amp;"'!$A$13:$A$41"),0),VALUE(RIGHT($A57,1)))="YES",$H57,IF(INDEX(INDIRECT("'"&amp;LEFT($A57,LEN($A57)-1)&amp;"'!$H$13:$J$41"),MATCH(Z$1,INDIRECT("'"&amp;LEFT($A57,LEN($A57)-1)&amp;"'!$A$13:$A$41"),0),VALUE(RIGHT($A57,1)))="NO",0,"?"))</f>
        <v>?</v>
      </c>
      <c r="AA57" s="86" t="str">
        <f aca="true">IF(INDEX(INDIRECT("'"&amp;LEFT($A57,LEN($A57)-1)&amp;"'!$H$13:$J$41"),MATCH(AA$1,INDIRECT("'"&amp;LEFT($A57,LEN($A57)-1)&amp;"'!$A$13:$A$41"),0),VALUE(RIGHT($A57,1)))="YES",$H57,IF(INDEX(INDIRECT("'"&amp;LEFT($A57,LEN($A57)-1)&amp;"'!$H$13:$J$41"),MATCH(AA$1,INDIRECT("'"&amp;LEFT($A57,LEN($A57)-1)&amp;"'!$A$13:$A$41"),0),VALUE(RIGHT($A57,1)))="NO",0,"?"))</f>
        <v>?</v>
      </c>
      <c r="AB57" s="86" t="str">
        <f aca="true">IF(INDEX(INDIRECT("'"&amp;LEFT($A57,LEN($A57)-1)&amp;"'!$H$13:$J$41"),MATCH(AB$1,INDIRECT("'"&amp;LEFT($A57,LEN($A57)-1)&amp;"'!$A$13:$A$41"),0),VALUE(RIGHT($A57,1)))="YES",$H57,IF(INDEX(INDIRECT("'"&amp;LEFT($A57,LEN($A57)-1)&amp;"'!$H$13:$J$41"),MATCH(AB$1,INDIRECT("'"&amp;LEFT($A57,LEN($A57)-1)&amp;"'!$A$13:$A$41"),0),VALUE(RIGHT($A57,1)))="NO",0,"?"))</f>
        <v>?</v>
      </c>
      <c r="AC57" s="86" t="str">
        <f aca="true">IF(INDEX(INDIRECT("'"&amp;LEFT($A57,LEN($A57)-1)&amp;"'!$H$13:$J$41"),MATCH(AC$1,INDIRECT("'"&amp;LEFT($A57,LEN($A57)-1)&amp;"'!$A$13:$A$41"),0),VALUE(RIGHT($A57,1)))="YES",$H57,IF(INDEX(INDIRECT("'"&amp;LEFT($A57,LEN($A57)-1)&amp;"'!$H$13:$J$41"),MATCH(AC$1,INDIRECT("'"&amp;LEFT($A57,LEN($A57)-1)&amp;"'!$A$13:$A$41"),0),VALUE(RIGHT($A57,1)))="NO",0,"?"))</f>
        <v>?</v>
      </c>
      <c r="AD57" s="86" t="str">
        <f aca="true">IF(INDEX(INDIRECT("'"&amp;LEFT($A57,LEN($A57)-1)&amp;"'!$H$13:$J$41"),MATCH(AD$1,INDIRECT("'"&amp;LEFT($A57,LEN($A57)-1)&amp;"'!$A$13:$A$41"),0),VALUE(RIGHT($A57,1)))="YES",$H57,IF(INDEX(INDIRECT("'"&amp;LEFT($A57,LEN($A57)-1)&amp;"'!$H$13:$J$41"),MATCH(AD$1,INDIRECT("'"&amp;LEFT($A57,LEN($A57)-1)&amp;"'!$A$13:$A$41"),0),VALUE(RIGHT($A57,1)))="NO",0,"?"))</f>
        <v>?</v>
      </c>
      <c r="AE57" s="86" t="str">
        <f aca="true">IF(INDEX(INDIRECT("'"&amp;LEFT($A57,LEN($A57)-1)&amp;"'!$H$13:$J$41"),MATCH(AE$1,INDIRECT("'"&amp;LEFT($A57,LEN($A57)-1)&amp;"'!$A$13:$A$41"),0),VALUE(RIGHT($A57,1)))="YES",$H57,IF(INDEX(INDIRECT("'"&amp;LEFT($A57,LEN($A57)-1)&amp;"'!$H$13:$J$41"),MATCH(AE$1,INDIRECT("'"&amp;LEFT($A57,LEN($A57)-1)&amp;"'!$A$13:$A$41"),0),VALUE(RIGHT($A57,1)))="NO",0,"?"))</f>
        <v>?</v>
      </c>
      <c r="AF57" s="86" t="str">
        <f aca="true">IF(INDEX(INDIRECT("'"&amp;LEFT($A57,LEN($A57)-1)&amp;"'!$H$13:$J$41"),MATCH(AF$1,INDIRECT("'"&amp;LEFT($A57,LEN($A57)-1)&amp;"'!$A$13:$A$41"),0),VALUE(RIGHT($A57,1)))="YES",$H57,IF(INDEX(INDIRECT("'"&amp;LEFT($A57,LEN($A57)-1)&amp;"'!$H$13:$J$41"),MATCH(AF$1,INDIRECT("'"&amp;LEFT($A57,LEN($A57)-1)&amp;"'!$A$13:$A$41"),0),VALUE(RIGHT($A57,1)))="NO",0,"?"))</f>
        <v>?</v>
      </c>
      <c r="AG57" s="86" t="str">
        <f aca="true">IF(INDEX(INDIRECT("'"&amp;LEFT($A57,LEN($A57)-1)&amp;"'!$H$13:$J$41"),MATCH(AG$1,INDIRECT("'"&amp;LEFT($A57,LEN($A57)-1)&amp;"'!$A$13:$A$41"),0),VALUE(RIGHT($A57,1)))="YES",$H57,IF(INDEX(INDIRECT("'"&amp;LEFT($A57,LEN($A57)-1)&amp;"'!$H$13:$J$41"),MATCH(AG$1,INDIRECT("'"&amp;LEFT($A57,LEN($A57)-1)&amp;"'!$A$13:$A$41"),0),VALUE(RIGHT($A57,1)))="NO",0,"?"))</f>
        <v>?</v>
      </c>
      <c r="AH57" s="86" t="str">
        <f aca="true">IF(INDEX(INDIRECT("'"&amp;LEFT($A57,LEN($A57)-1)&amp;"'!$H$13:$J$41"),MATCH(AH$1,INDIRECT("'"&amp;LEFT($A57,LEN($A57)-1)&amp;"'!$A$13:$A$41"),0),VALUE(RIGHT($A57,1)))="YES",$H57,IF(INDEX(INDIRECT("'"&amp;LEFT($A57,LEN($A57)-1)&amp;"'!$H$13:$J$41"),MATCH(AH$1,INDIRECT("'"&amp;LEFT($A57,LEN($A57)-1)&amp;"'!$A$13:$A$41"),0),VALUE(RIGHT($A57,1)))="NO",0,"?"))</f>
        <v>?</v>
      </c>
      <c r="AI57" s="86" t="str">
        <f aca="true">IF(INDEX(INDIRECT("'"&amp;LEFT($A57,LEN($A57)-1)&amp;"'!$H$13:$J$41"),MATCH(AI$1,INDIRECT("'"&amp;LEFT($A57,LEN($A57)-1)&amp;"'!$A$13:$A$41"),0),VALUE(RIGHT($A57,1)))="YES",$H57,IF(INDEX(INDIRECT("'"&amp;LEFT($A57,LEN($A57)-1)&amp;"'!$H$13:$J$41"),MATCH(AI$1,INDIRECT("'"&amp;LEFT($A57,LEN($A57)-1)&amp;"'!$A$13:$A$41"),0),VALUE(RIGHT($A57,1)))="NO",0,"?"))</f>
        <v>?</v>
      </c>
      <c r="AJ57" s="86" t="str">
        <f aca="true">IF(INDEX(INDIRECT("'"&amp;LEFT($A57,LEN($A57)-1)&amp;"'!$H$13:$J$41"),MATCH(AJ$1,INDIRECT("'"&amp;LEFT($A57,LEN($A57)-1)&amp;"'!$A$13:$A$41"),0),VALUE(RIGHT($A57,1)))="YES",$H57,IF(INDEX(INDIRECT("'"&amp;LEFT($A57,LEN($A57)-1)&amp;"'!$H$13:$J$41"),MATCH(AJ$1,INDIRECT("'"&amp;LEFT($A57,LEN($A57)-1)&amp;"'!$A$13:$A$41"),0),VALUE(RIGHT($A57,1)))="NO",0,"?"))</f>
        <v>?</v>
      </c>
      <c r="AK57" s="86" t="str">
        <f aca="true">IF(INDEX(INDIRECT("'"&amp;LEFT($A57,LEN($A57)-1)&amp;"'!$H$13:$J$41"),MATCH(AK$1,INDIRECT("'"&amp;LEFT($A57,LEN($A57)-1)&amp;"'!$A$13:$A$41"),0),VALUE(RIGHT($A57,1)))="YES",$H57,IF(INDEX(INDIRECT("'"&amp;LEFT($A57,LEN($A57)-1)&amp;"'!$H$13:$J$41"),MATCH(AK$1,INDIRECT("'"&amp;LEFT($A57,LEN($A57)-1)&amp;"'!$A$13:$A$41"),0),VALUE(RIGHT($A57,1)))="NO",0,"?"))</f>
        <v>?</v>
      </c>
    </row>
    <row r="58" customFormat="false" ht="14.25" hidden="false" customHeight="false" outlineLevel="0" collapsed="false">
      <c r="A58" s="82" t="s">
        <v>561</v>
      </c>
      <c r="B58" s="83" t="str">
        <f aca="false">IF(ISBLANK($A58),"NO_CODE",VLOOKUP($A58,'UPD Questions_290926 '!$E$1:$N$300,MATCH(B$1,'UPD Questions_290926 '!$E$1:$N$1,0),0)&amp;"")</f>
        <v>Implementation</v>
      </c>
      <c r="C58" s="83" t="str">
        <f aca="false">IF(ISBLANK($A58),"NO_CODE",VLOOKUP($A58,'UPD Questions_290926 '!$E$1:$N$300,MATCH(C$1,'UPD Questions_290926 '!$E$1:$N$1,0),0)&amp;"")</f>
        <v>Sectoral planning</v>
      </c>
      <c r="D58" s="83" t="str">
        <f aca="false">IF(ISBLANK($A58),"NO_CODE",VLOOKUP($A58,'UPD Questions_290926 '!$E$1:$N$300,MATCH(D$1,'UPD Questions_290926 '!$E$1:$N$1,0),0)&amp;"")</f>
        <v>Water supply and sewerage, sanitation, solid waste management </v>
      </c>
      <c r="E58" s="83" t="str">
        <f aca="false">IF(ISBLANK($A58),"NO_CODE",VLOOKUP($A58,'UPD Questions_290926 '!$E$1:$N$300,MATCH(E$1,'UPD Questions_290926 '!$E$1:$N$1,0),0)&amp;"")</f>
        <v>SQ2</v>
      </c>
      <c r="F58" s="83" t="str">
        <f aca="false">IF(ISBLANK($A58),"NO_CODE",VLOOKUP($A58,'UPD Questions_290926 '!$E$1:$N$300,MATCH(F$1,'UPD Questions_290926 '!$E$1:$N$1,0),0)&amp;"")</f>
        <v>b) Solid Waste Management Plan </v>
      </c>
      <c r="G58" s="83" t="str">
        <f aca="false">IF(ISBLANK($A58),"NO_CODE",VLOOKUP($A58,'UPD Questions_290926 '!$E$1:$N$300,MATCH(G$1,'UPD Questions_290926 '!$E$1:$N$1,0),0)&amp;"")</f>
        <v>Implementation</v>
      </c>
      <c r="H58" s="85" t="n">
        <f aca="false">IF(ISBLANK($A58),"NO_CODE",VLOOKUP($A58,'UPD Questions_290926 '!$E$1:$N$300,MATCH(H$1,'UPD Questions_290926 '!$E$1:$N$1,0),0))</f>
        <v>1.11</v>
      </c>
      <c r="I58" s="86" t="str">
        <f aca="true">IF(INDEX(INDIRECT("'"&amp;LEFT($A58,LEN($A58)-1)&amp;"'!$H$13:$J$41"),MATCH(I$1,INDIRECT("'"&amp;LEFT($A58,LEN($A58)-1)&amp;"'!$A$13:$A$41"),0),VALUE(RIGHT($A58,1)))="YES",$H58,IF(INDEX(INDIRECT("'"&amp;LEFT($A58,LEN($A58)-1)&amp;"'!$H$13:$J$41"),MATCH(I$1,INDIRECT("'"&amp;LEFT($A58,LEN($A58)-1)&amp;"'!$A$13:$A$41"),0),VALUE(RIGHT($A58,1)))="NO",0,"?"))</f>
        <v>?</v>
      </c>
      <c r="J58" s="86" t="n">
        <f aca="true">IF(INDEX(INDIRECT("'"&amp;LEFT($A58,LEN($A58)-1)&amp;"'!$H$13:$J$41"),MATCH(J$1,INDIRECT("'"&amp;LEFT($A58,LEN($A58)-1)&amp;"'!$A$13:$A$41"),0),VALUE(RIGHT($A58,1)))="YES",$H58,IF(INDEX(INDIRECT("'"&amp;LEFT($A58,LEN($A58)-1)&amp;"'!$H$13:$J$41"),MATCH(J$1,INDIRECT("'"&amp;LEFT($A58,LEN($A58)-1)&amp;"'!$A$13:$A$41"),0),VALUE(RIGHT($A58,1)))="NO",0,"?"))</f>
        <v>0</v>
      </c>
      <c r="K58" s="86" t="str">
        <f aca="true">IF(INDEX(INDIRECT("'"&amp;LEFT($A58,LEN($A58)-1)&amp;"'!$H$13:$J$41"),MATCH(K$1,INDIRECT("'"&amp;LEFT($A58,LEN($A58)-1)&amp;"'!$A$13:$A$41"),0),VALUE(RIGHT($A58,1)))="YES",$H58,IF(INDEX(INDIRECT("'"&amp;LEFT($A58,LEN($A58)-1)&amp;"'!$H$13:$J$41"),MATCH(K$1,INDIRECT("'"&amp;LEFT($A58,LEN($A58)-1)&amp;"'!$A$13:$A$41"),0),VALUE(RIGHT($A58,1)))="NO",0,"?"))</f>
        <v>?</v>
      </c>
      <c r="L58" s="86" t="str">
        <f aca="true">IF(INDEX(INDIRECT("'"&amp;LEFT($A58,LEN($A58)-1)&amp;"'!$H$13:$J$41"),MATCH(L$1,INDIRECT("'"&amp;LEFT($A58,LEN($A58)-1)&amp;"'!$A$13:$A$41"),0),VALUE(RIGHT($A58,1)))="YES",$H58,IF(INDEX(INDIRECT("'"&amp;LEFT($A58,LEN($A58)-1)&amp;"'!$H$13:$J$41"),MATCH(L$1,INDIRECT("'"&amp;LEFT($A58,LEN($A58)-1)&amp;"'!$A$13:$A$41"),0),VALUE(RIGHT($A58,1)))="NO",0,"?"))</f>
        <v>?</v>
      </c>
      <c r="M58" s="86" t="str">
        <f aca="true">IF(INDEX(INDIRECT("'"&amp;LEFT($A58,LEN($A58)-1)&amp;"'!$H$13:$J$41"),MATCH(M$1,INDIRECT("'"&amp;LEFT($A58,LEN($A58)-1)&amp;"'!$A$13:$A$41"),0),VALUE(RIGHT($A58,1)))="YES",$H58,IF(INDEX(INDIRECT("'"&amp;LEFT($A58,LEN($A58)-1)&amp;"'!$H$13:$J$41"),MATCH(M$1,INDIRECT("'"&amp;LEFT($A58,LEN($A58)-1)&amp;"'!$A$13:$A$41"),0),VALUE(RIGHT($A58,1)))="NO",0,"?"))</f>
        <v>?</v>
      </c>
      <c r="N58" s="86" t="str">
        <f aca="true">IF(INDEX(INDIRECT("'"&amp;LEFT($A58,LEN($A58)-1)&amp;"'!$H$13:$J$41"),MATCH(N$1,INDIRECT("'"&amp;LEFT($A58,LEN($A58)-1)&amp;"'!$A$13:$A$41"),0),VALUE(RIGHT($A58,1)))="YES",$H58,IF(INDEX(INDIRECT("'"&amp;LEFT($A58,LEN($A58)-1)&amp;"'!$H$13:$J$41"),MATCH(N$1,INDIRECT("'"&amp;LEFT($A58,LEN($A58)-1)&amp;"'!$A$13:$A$41"),0),VALUE(RIGHT($A58,1)))="NO",0,"?"))</f>
        <v>?</v>
      </c>
      <c r="O58" s="86" t="str">
        <f aca="true">IF(INDEX(INDIRECT("'"&amp;LEFT($A58,LEN($A58)-1)&amp;"'!$H$13:$J$41"),MATCH(O$1,INDIRECT("'"&amp;LEFT($A58,LEN($A58)-1)&amp;"'!$A$13:$A$41"),0),VALUE(RIGHT($A58,1)))="YES",$H58,IF(INDEX(INDIRECT("'"&amp;LEFT($A58,LEN($A58)-1)&amp;"'!$H$13:$J$41"),MATCH(O$1,INDIRECT("'"&amp;LEFT($A58,LEN($A58)-1)&amp;"'!$A$13:$A$41"),0),VALUE(RIGHT($A58,1)))="NO",0,"?"))</f>
        <v>?</v>
      </c>
      <c r="P58" s="86" t="str">
        <f aca="true">IF(INDEX(INDIRECT("'"&amp;LEFT($A58,LEN($A58)-1)&amp;"'!$H$13:$J$41"),MATCH(P$1,INDIRECT("'"&amp;LEFT($A58,LEN($A58)-1)&amp;"'!$A$13:$A$41"),0),VALUE(RIGHT($A58,1)))="YES",$H58,IF(INDEX(INDIRECT("'"&amp;LEFT($A58,LEN($A58)-1)&amp;"'!$H$13:$J$41"),MATCH(P$1,INDIRECT("'"&amp;LEFT($A58,LEN($A58)-1)&amp;"'!$A$13:$A$41"),0),VALUE(RIGHT($A58,1)))="NO",0,"?"))</f>
        <v>?</v>
      </c>
      <c r="Q58" s="86" t="str">
        <f aca="true">IF(INDEX(INDIRECT("'"&amp;LEFT($A58,LEN($A58)-1)&amp;"'!$H$13:$J$41"),MATCH(Q$1,INDIRECT("'"&amp;LEFT($A58,LEN($A58)-1)&amp;"'!$A$13:$A$41"),0),VALUE(RIGHT($A58,1)))="YES",$H58,IF(INDEX(INDIRECT("'"&amp;LEFT($A58,LEN($A58)-1)&amp;"'!$H$13:$J$41"),MATCH(Q$1,INDIRECT("'"&amp;LEFT($A58,LEN($A58)-1)&amp;"'!$A$13:$A$41"),0),VALUE(RIGHT($A58,1)))="NO",0,"?"))</f>
        <v>?</v>
      </c>
      <c r="R58" s="86" t="str">
        <f aca="true">IF(INDEX(INDIRECT("'"&amp;LEFT($A58,LEN($A58)-1)&amp;"'!$H$13:$J$41"),MATCH(R$1,INDIRECT("'"&amp;LEFT($A58,LEN($A58)-1)&amp;"'!$A$13:$A$41"),0),VALUE(RIGHT($A58,1)))="YES",$H58,IF(INDEX(INDIRECT("'"&amp;LEFT($A58,LEN($A58)-1)&amp;"'!$H$13:$J$41"),MATCH(R$1,INDIRECT("'"&amp;LEFT($A58,LEN($A58)-1)&amp;"'!$A$13:$A$41"),0),VALUE(RIGHT($A58,1)))="NO",0,"?"))</f>
        <v>?</v>
      </c>
      <c r="S58" s="86" t="str">
        <f aca="true">IF(INDEX(INDIRECT("'"&amp;LEFT($A58,LEN($A58)-1)&amp;"'!$H$13:$J$41"),MATCH(S$1,INDIRECT("'"&amp;LEFT($A58,LEN($A58)-1)&amp;"'!$A$13:$A$41"),0),VALUE(RIGHT($A58,1)))="YES",$H58,IF(INDEX(INDIRECT("'"&amp;LEFT($A58,LEN($A58)-1)&amp;"'!$H$13:$J$41"),MATCH(S$1,INDIRECT("'"&amp;LEFT($A58,LEN($A58)-1)&amp;"'!$A$13:$A$41"),0),VALUE(RIGHT($A58,1)))="NO",0,"?"))</f>
        <v>?</v>
      </c>
      <c r="T58" s="86" t="str">
        <f aca="true">IF(INDEX(INDIRECT("'"&amp;LEFT($A58,LEN($A58)-1)&amp;"'!$H$13:$J$41"),MATCH(T$1,INDIRECT("'"&amp;LEFT($A58,LEN($A58)-1)&amp;"'!$A$13:$A$41"),0),VALUE(RIGHT($A58,1)))="YES",$H58,IF(INDEX(INDIRECT("'"&amp;LEFT($A58,LEN($A58)-1)&amp;"'!$H$13:$J$41"),MATCH(T$1,INDIRECT("'"&amp;LEFT($A58,LEN($A58)-1)&amp;"'!$A$13:$A$41"),0),VALUE(RIGHT($A58,1)))="NO",0,"?"))</f>
        <v>?</v>
      </c>
      <c r="U58" s="86" t="str">
        <f aca="true">IF(INDEX(INDIRECT("'"&amp;LEFT($A58,LEN($A58)-1)&amp;"'!$H$13:$J$41"),MATCH(U$1,INDIRECT("'"&amp;LEFT($A58,LEN($A58)-1)&amp;"'!$A$13:$A$41"),0),VALUE(RIGHT($A58,1)))="YES",$H58,IF(INDEX(INDIRECT("'"&amp;LEFT($A58,LEN($A58)-1)&amp;"'!$H$13:$J$41"),MATCH(U$1,INDIRECT("'"&amp;LEFT($A58,LEN($A58)-1)&amp;"'!$A$13:$A$41"),0),VALUE(RIGHT($A58,1)))="NO",0,"?"))</f>
        <v>?</v>
      </c>
      <c r="V58" s="86" t="str">
        <f aca="true">IF(INDEX(INDIRECT("'"&amp;LEFT($A58,LEN($A58)-1)&amp;"'!$H$13:$J$41"),MATCH(V$1,INDIRECT("'"&amp;LEFT($A58,LEN($A58)-1)&amp;"'!$A$13:$A$41"),0),VALUE(RIGHT($A58,1)))="YES",$H58,IF(INDEX(INDIRECT("'"&amp;LEFT($A58,LEN($A58)-1)&amp;"'!$H$13:$J$41"),MATCH(V$1,INDIRECT("'"&amp;LEFT($A58,LEN($A58)-1)&amp;"'!$A$13:$A$41"),0),VALUE(RIGHT($A58,1)))="NO",0,"?"))</f>
        <v>?</v>
      </c>
      <c r="W58" s="86" t="str">
        <f aca="true">IF(INDEX(INDIRECT("'"&amp;LEFT($A58,LEN($A58)-1)&amp;"'!$H$13:$J$41"),MATCH(W$1,INDIRECT("'"&amp;LEFT($A58,LEN($A58)-1)&amp;"'!$A$13:$A$41"),0),VALUE(RIGHT($A58,1)))="YES",$H58,IF(INDEX(INDIRECT("'"&amp;LEFT($A58,LEN($A58)-1)&amp;"'!$H$13:$J$41"),MATCH(W$1,INDIRECT("'"&amp;LEFT($A58,LEN($A58)-1)&amp;"'!$A$13:$A$41"),0),VALUE(RIGHT($A58,1)))="NO",0,"?"))</f>
        <v>?</v>
      </c>
      <c r="X58" s="86" t="str">
        <f aca="true">IF(INDEX(INDIRECT("'"&amp;LEFT($A58,LEN($A58)-1)&amp;"'!$H$13:$J$41"),MATCH(X$1,INDIRECT("'"&amp;LEFT($A58,LEN($A58)-1)&amp;"'!$A$13:$A$41"),0),VALUE(RIGHT($A58,1)))="YES",$H58,IF(INDEX(INDIRECT("'"&amp;LEFT($A58,LEN($A58)-1)&amp;"'!$H$13:$J$41"),MATCH(X$1,INDIRECT("'"&amp;LEFT($A58,LEN($A58)-1)&amp;"'!$A$13:$A$41"),0),VALUE(RIGHT($A58,1)))="NO",0,"?"))</f>
        <v>?</v>
      </c>
      <c r="Y58" s="86" t="str">
        <f aca="true">IF(INDEX(INDIRECT("'"&amp;LEFT($A58,LEN($A58)-1)&amp;"'!$H$13:$J$41"),MATCH(Y$1,INDIRECT("'"&amp;LEFT($A58,LEN($A58)-1)&amp;"'!$A$13:$A$41"),0),VALUE(RIGHT($A58,1)))="YES",$H58,IF(INDEX(INDIRECT("'"&amp;LEFT($A58,LEN($A58)-1)&amp;"'!$H$13:$J$41"),MATCH(Y$1,INDIRECT("'"&amp;LEFT($A58,LEN($A58)-1)&amp;"'!$A$13:$A$41"),0),VALUE(RIGHT($A58,1)))="NO",0,"?"))</f>
        <v>?</v>
      </c>
      <c r="Z58" s="86" t="str">
        <f aca="true">IF(INDEX(INDIRECT("'"&amp;LEFT($A58,LEN($A58)-1)&amp;"'!$H$13:$J$41"),MATCH(Z$1,INDIRECT("'"&amp;LEFT($A58,LEN($A58)-1)&amp;"'!$A$13:$A$41"),0),VALUE(RIGHT($A58,1)))="YES",$H58,IF(INDEX(INDIRECT("'"&amp;LEFT($A58,LEN($A58)-1)&amp;"'!$H$13:$J$41"),MATCH(Z$1,INDIRECT("'"&amp;LEFT($A58,LEN($A58)-1)&amp;"'!$A$13:$A$41"),0),VALUE(RIGHT($A58,1)))="NO",0,"?"))</f>
        <v>?</v>
      </c>
      <c r="AA58" s="86" t="str">
        <f aca="true">IF(INDEX(INDIRECT("'"&amp;LEFT($A58,LEN($A58)-1)&amp;"'!$H$13:$J$41"),MATCH(AA$1,INDIRECT("'"&amp;LEFT($A58,LEN($A58)-1)&amp;"'!$A$13:$A$41"),0),VALUE(RIGHT($A58,1)))="YES",$H58,IF(INDEX(INDIRECT("'"&amp;LEFT($A58,LEN($A58)-1)&amp;"'!$H$13:$J$41"),MATCH(AA$1,INDIRECT("'"&amp;LEFT($A58,LEN($A58)-1)&amp;"'!$A$13:$A$41"),0),VALUE(RIGHT($A58,1)))="NO",0,"?"))</f>
        <v>?</v>
      </c>
      <c r="AB58" s="86" t="str">
        <f aca="true">IF(INDEX(INDIRECT("'"&amp;LEFT($A58,LEN($A58)-1)&amp;"'!$H$13:$J$41"),MATCH(AB$1,INDIRECT("'"&amp;LEFT($A58,LEN($A58)-1)&amp;"'!$A$13:$A$41"),0),VALUE(RIGHT($A58,1)))="YES",$H58,IF(INDEX(INDIRECT("'"&amp;LEFT($A58,LEN($A58)-1)&amp;"'!$H$13:$J$41"),MATCH(AB$1,INDIRECT("'"&amp;LEFT($A58,LEN($A58)-1)&amp;"'!$A$13:$A$41"),0),VALUE(RIGHT($A58,1)))="NO",0,"?"))</f>
        <v>?</v>
      </c>
      <c r="AC58" s="86" t="str">
        <f aca="true">IF(INDEX(INDIRECT("'"&amp;LEFT($A58,LEN($A58)-1)&amp;"'!$H$13:$J$41"),MATCH(AC$1,INDIRECT("'"&amp;LEFT($A58,LEN($A58)-1)&amp;"'!$A$13:$A$41"),0),VALUE(RIGHT($A58,1)))="YES",$H58,IF(INDEX(INDIRECT("'"&amp;LEFT($A58,LEN($A58)-1)&amp;"'!$H$13:$J$41"),MATCH(AC$1,INDIRECT("'"&amp;LEFT($A58,LEN($A58)-1)&amp;"'!$A$13:$A$41"),0),VALUE(RIGHT($A58,1)))="NO",0,"?"))</f>
        <v>?</v>
      </c>
      <c r="AD58" s="86" t="str">
        <f aca="true">IF(INDEX(INDIRECT("'"&amp;LEFT($A58,LEN($A58)-1)&amp;"'!$H$13:$J$41"),MATCH(AD$1,INDIRECT("'"&amp;LEFT($A58,LEN($A58)-1)&amp;"'!$A$13:$A$41"),0),VALUE(RIGHT($A58,1)))="YES",$H58,IF(INDEX(INDIRECT("'"&amp;LEFT($A58,LEN($A58)-1)&amp;"'!$H$13:$J$41"),MATCH(AD$1,INDIRECT("'"&amp;LEFT($A58,LEN($A58)-1)&amp;"'!$A$13:$A$41"),0),VALUE(RIGHT($A58,1)))="NO",0,"?"))</f>
        <v>?</v>
      </c>
      <c r="AE58" s="86" t="str">
        <f aca="true">IF(INDEX(INDIRECT("'"&amp;LEFT($A58,LEN($A58)-1)&amp;"'!$H$13:$J$41"),MATCH(AE$1,INDIRECT("'"&amp;LEFT($A58,LEN($A58)-1)&amp;"'!$A$13:$A$41"),0),VALUE(RIGHT($A58,1)))="YES",$H58,IF(INDEX(INDIRECT("'"&amp;LEFT($A58,LEN($A58)-1)&amp;"'!$H$13:$J$41"),MATCH(AE$1,INDIRECT("'"&amp;LEFT($A58,LEN($A58)-1)&amp;"'!$A$13:$A$41"),0),VALUE(RIGHT($A58,1)))="NO",0,"?"))</f>
        <v>?</v>
      </c>
      <c r="AF58" s="86" t="str">
        <f aca="true">IF(INDEX(INDIRECT("'"&amp;LEFT($A58,LEN($A58)-1)&amp;"'!$H$13:$J$41"),MATCH(AF$1,INDIRECT("'"&amp;LEFT($A58,LEN($A58)-1)&amp;"'!$A$13:$A$41"),0),VALUE(RIGHT($A58,1)))="YES",$H58,IF(INDEX(INDIRECT("'"&amp;LEFT($A58,LEN($A58)-1)&amp;"'!$H$13:$J$41"),MATCH(AF$1,INDIRECT("'"&amp;LEFT($A58,LEN($A58)-1)&amp;"'!$A$13:$A$41"),0),VALUE(RIGHT($A58,1)))="NO",0,"?"))</f>
        <v>?</v>
      </c>
      <c r="AG58" s="86" t="str">
        <f aca="true">IF(INDEX(INDIRECT("'"&amp;LEFT($A58,LEN($A58)-1)&amp;"'!$H$13:$J$41"),MATCH(AG$1,INDIRECT("'"&amp;LEFT($A58,LEN($A58)-1)&amp;"'!$A$13:$A$41"),0),VALUE(RIGHT($A58,1)))="YES",$H58,IF(INDEX(INDIRECT("'"&amp;LEFT($A58,LEN($A58)-1)&amp;"'!$H$13:$J$41"),MATCH(AG$1,INDIRECT("'"&amp;LEFT($A58,LEN($A58)-1)&amp;"'!$A$13:$A$41"),0),VALUE(RIGHT($A58,1)))="NO",0,"?"))</f>
        <v>?</v>
      </c>
      <c r="AH58" s="86" t="str">
        <f aca="true">IF(INDEX(INDIRECT("'"&amp;LEFT($A58,LEN($A58)-1)&amp;"'!$H$13:$J$41"),MATCH(AH$1,INDIRECT("'"&amp;LEFT($A58,LEN($A58)-1)&amp;"'!$A$13:$A$41"),0),VALUE(RIGHT($A58,1)))="YES",$H58,IF(INDEX(INDIRECT("'"&amp;LEFT($A58,LEN($A58)-1)&amp;"'!$H$13:$J$41"),MATCH(AH$1,INDIRECT("'"&amp;LEFT($A58,LEN($A58)-1)&amp;"'!$A$13:$A$41"),0),VALUE(RIGHT($A58,1)))="NO",0,"?"))</f>
        <v>?</v>
      </c>
      <c r="AI58" s="86" t="str">
        <f aca="true">IF(INDEX(INDIRECT("'"&amp;LEFT($A58,LEN($A58)-1)&amp;"'!$H$13:$J$41"),MATCH(AI$1,INDIRECT("'"&amp;LEFT($A58,LEN($A58)-1)&amp;"'!$A$13:$A$41"),0),VALUE(RIGHT($A58,1)))="YES",$H58,IF(INDEX(INDIRECT("'"&amp;LEFT($A58,LEN($A58)-1)&amp;"'!$H$13:$J$41"),MATCH(AI$1,INDIRECT("'"&amp;LEFT($A58,LEN($A58)-1)&amp;"'!$A$13:$A$41"),0),VALUE(RIGHT($A58,1)))="NO",0,"?"))</f>
        <v>?</v>
      </c>
      <c r="AJ58" s="86" t="str">
        <f aca="true">IF(INDEX(INDIRECT("'"&amp;LEFT($A58,LEN($A58)-1)&amp;"'!$H$13:$J$41"),MATCH(AJ$1,INDIRECT("'"&amp;LEFT($A58,LEN($A58)-1)&amp;"'!$A$13:$A$41"),0),VALUE(RIGHT($A58,1)))="YES",$H58,IF(INDEX(INDIRECT("'"&amp;LEFT($A58,LEN($A58)-1)&amp;"'!$H$13:$J$41"),MATCH(AJ$1,INDIRECT("'"&amp;LEFT($A58,LEN($A58)-1)&amp;"'!$A$13:$A$41"),0),VALUE(RIGHT($A58,1)))="NO",0,"?"))</f>
        <v>?</v>
      </c>
      <c r="AK58" s="86" t="str">
        <f aca="true">IF(INDEX(INDIRECT("'"&amp;LEFT($A58,LEN($A58)-1)&amp;"'!$H$13:$J$41"),MATCH(AK$1,INDIRECT("'"&amp;LEFT($A58,LEN($A58)-1)&amp;"'!$A$13:$A$41"),0),VALUE(RIGHT($A58,1)))="YES",$H58,IF(INDEX(INDIRECT("'"&amp;LEFT($A58,LEN($A58)-1)&amp;"'!$H$13:$J$41"),MATCH(AK$1,INDIRECT("'"&amp;LEFT($A58,LEN($A58)-1)&amp;"'!$A$13:$A$41"),0),VALUE(RIGHT($A58,1)))="NO",0,"?"))</f>
        <v>?</v>
      </c>
    </row>
    <row r="59" customFormat="false" ht="14.25" hidden="false" customHeight="false" outlineLevel="0" collapsed="false">
      <c r="A59" s="82" t="s">
        <v>563</v>
      </c>
      <c r="B59" s="83" t="str">
        <f aca="false">IF(ISBLANK($A59),"NO_CODE",VLOOKUP($A59,'UPD Questions_290926 '!$E$1:$N$300,MATCH(B$1,'UPD Questions_290926 '!$E$1:$N$1,0),0)&amp;"")</f>
        <v>Implementation</v>
      </c>
      <c r="C59" s="83" t="str">
        <f aca="false">IF(ISBLANK($A59),"NO_CODE",VLOOKUP($A59,'UPD Questions_290926 '!$E$1:$N$300,MATCH(C$1,'UPD Questions_290926 '!$E$1:$N$1,0),0)&amp;"")</f>
        <v>Sectoral planning</v>
      </c>
      <c r="D59" s="83" t="str">
        <f aca="false">IF(ISBLANK($A59),"NO_CODE",VLOOKUP($A59,'UPD Questions_290926 '!$E$1:$N$300,MATCH(D$1,'UPD Questions_290926 '!$E$1:$N$1,0),0)&amp;"")</f>
        <v>Water supply and sewerage, sanitation, solid waste management </v>
      </c>
      <c r="E59" s="83" t="str">
        <f aca="false">IF(ISBLANK($A59),"NO_CODE",VLOOKUP($A59,'UPD Questions_290926 '!$E$1:$N$300,MATCH(E$1,'UPD Questions_290926 '!$E$1:$N$1,0),0)&amp;"")</f>
        <v>SQ3</v>
      </c>
      <c r="F59" s="83" t="str">
        <f aca="false">IF(ISBLANK($A59),"NO_CODE",VLOOKUP($A59,'UPD Questions_290926 '!$E$1:$N$300,MATCH(F$1,'UPD Questions_290926 '!$E$1:$N$1,0),0)&amp;"")</f>
        <v>c)  City Sanitation Plan</v>
      </c>
      <c r="G59" s="83" t="str">
        <f aca="false">IF(ISBLANK($A59),"NO_CODE",VLOOKUP($A59,'UPD Questions_290926 '!$E$1:$N$300,MATCH(G$1,'UPD Questions_290926 '!$E$1:$N$1,0),0)&amp;"")</f>
        <v>Implementation</v>
      </c>
      <c r="H59" s="85" t="n">
        <f aca="false">IF(ISBLANK($A59),"NO_CODE",VLOOKUP($A59,'UPD Questions_290926 '!$E$1:$N$300,MATCH(H$1,'UPD Questions_290926 '!$E$1:$N$1,0),0))</f>
        <v>1.11</v>
      </c>
      <c r="I59" s="86" t="str">
        <f aca="true">IF(INDEX(INDIRECT("'"&amp;LEFT($A59,LEN($A59)-1)&amp;"'!$H$13:$J$41"),MATCH(I$1,INDIRECT("'"&amp;LEFT($A59,LEN($A59)-1)&amp;"'!$A$13:$A$41"),0),VALUE(RIGHT($A59,1)))="YES",$H59,IF(INDEX(INDIRECT("'"&amp;LEFT($A59,LEN($A59)-1)&amp;"'!$H$13:$J$41"),MATCH(I$1,INDIRECT("'"&amp;LEFT($A59,LEN($A59)-1)&amp;"'!$A$13:$A$41"),0),VALUE(RIGHT($A59,1)))="NO",0,"?"))</f>
        <v>?</v>
      </c>
      <c r="J59" s="86" t="n">
        <f aca="true">IF(INDEX(INDIRECT("'"&amp;LEFT($A59,LEN($A59)-1)&amp;"'!$H$13:$J$41"),MATCH(J$1,INDIRECT("'"&amp;LEFT($A59,LEN($A59)-1)&amp;"'!$A$13:$A$41"),0),VALUE(RIGHT($A59,1)))="YES",$H59,IF(INDEX(INDIRECT("'"&amp;LEFT($A59,LEN($A59)-1)&amp;"'!$H$13:$J$41"),MATCH(J$1,INDIRECT("'"&amp;LEFT($A59,LEN($A59)-1)&amp;"'!$A$13:$A$41"),0),VALUE(RIGHT($A59,1)))="NO",0,"?"))</f>
        <v>0</v>
      </c>
      <c r="K59" s="86" t="str">
        <f aca="true">IF(INDEX(INDIRECT("'"&amp;LEFT($A59,LEN($A59)-1)&amp;"'!$H$13:$J$41"),MATCH(K$1,INDIRECT("'"&amp;LEFT($A59,LEN($A59)-1)&amp;"'!$A$13:$A$41"),0),VALUE(RIGHT($A59,1)))="YES",$H59,IF(INDEX(INDIRECT("'"&amp;LEFT($A59,LEN($A59)-1)&amp;"'!$H$13:$J$41"),MATCH(K$1,INDIRECT("'"&amp;LEFT($A59,LEN($A59)-1)&amp;"'!$A$13:$A$41"),0),VALUE(RIGHT($A59,1)))="NO",0,"?"))</f>
        <v>?</v>
      </c>
      <c r="L59" s="86" t="str">
        <f aca="true">IF(INDEX(INDIRECT("'"&amp;LEFT($A59,LEN($A59)-1)&amp;"'!$H$13:$J$41"),MATCH(L$1,INDIRECT("'"&amp;LEFT($A59,LEN($A59)-1)&amp;"'!$A$13:$A$41"),0),VALUE(RIGHT($A59,1)))="YES",$H59,IF(INDEX(INDIRECT("'"&amp;LEFT($A59,LEN($A59)-1)&amp;"'!$H$13:$J$41"),MATCH(L$1,INDIRECT("'"&amp;LEFT($A59,LEN($A59)-1)&amp;"'!$A$13:$A$41"),0),VALUE(RIGHT($A59,1)))="NO",0,"?"))</f>
        <v>?</v>
      </c>
      <c r="M59" s="86" t="str">
        <f aca="true">IF(INDEX(INDIRECT("'"&amp;LEFT($A59,LEN($A59)-1)&amp;"'!$H$13:$J$41"),MATCH(M$1,INDIRECT("'"&amp;LEFT($A59,LEN($A59)-1)&amp;"'!$A$13:$A$41"),0),VALUE(RIGHT($A59,1)))="YES",$H59,IF(INDEX(INDIRECT("'"&amp;LEFT($A59,LEN($A59)-1)&amp;"'!$H$13:$J$41"),MATCH(M$1,INDIRECT("'"&amp;LEFT($A59,LEN($A59)-1)&amp;"'!$A$13:$A$41"),0),VALUE(RIGHT($A59,1)))="NO",0,"?"))</f>
        <v>?</v>
      </c>
      <c r="N59" s="86" t="str">
        <f aca="true">IF(INDEX(INDIRECT("'"&amp;LEFT($A59,LEN($A59)-1)&amp;"'!$H$13:$J$41"),MATCH(N$1,INDIRECT("'"&amp;LEFT($A59,LEN($A59)-1)&amp;"'!$A$13:$A$41"),0),VALUE(RIGHT($A59,1)))="YES",$H59,IF(INDEX(INDIRECT("'"&amp;LEFT($A59,LEN($A59)-1)&amp;"'!$H$13:$J$41"),MATCH(N$1,INDIRECT("'"&amp;LEFT($A59,LEN($A59)-1)&amp;"'!$A$13:$A$41"),0),VALUE(RIGHT($A59,1)))="NO",0,"?"))</f>
        <v>?</v>
      </c>
      <c r="O59" s="86" t="str">
        <f aca="true">IF(INDEX(INDIRECT("'"&amp;LEFT($A59,LEN($A59)-1)&amp;"'!$H$13:$J$41"),MATCH(O$1,INDIRECT("'"&amp;LEFT($A59,LEN($A59)-1)&amp;"'!$A$13:$A$41"),0),VALUE(RIGHT($A59,1)))="YES",$H59,IF(INDEX(INDIRECT("'"&amp;LEFT($A59,LEN($A59)-1)&amp;"'!$H$13:$J$41"),MATCH(O$1,INDIRECT("'"&amp;LEFT($A59,LEN($A59)-1)&amp;"'!$A$13:$A$41"),0),VALUE(RIGHT($A59,1)))="NO",0,"?"))</f>
        <v>?</v>
      </c>
      <c r="P59" s="86" t="str">
        <f aca="true">IF(INDEX(INDIRECT("'"&amp;LEFT($A59,LEN($A59)-1)&amp;"'!$H$13:$J$41"),MATCH(P$1,INDIRECT("'"&amp;LEFT($A59,LEN($A59)-1)&amp;"'!$A$13:$A$41"),0),VALUE(RIGHT($A59,1)))="YES",$H59,IF(INDEX(INDIRECT("'"&amp;LEFT($A59,LEN($A59)-1)&amp;"'!$H$13:$J$41"),MATCH(P$1,INDIRECT("'"&amp;LEFT($A59,LEN($A59)-1)&amp;"'!$A$13:$A$41"),0),VALUE(RIGHT($A59,1)))="NO",0,"?"))</f>
        <v>?</v>
      </c>
      <c r="Q59" s="86" t="str">
        <f aca="true">IF(INDEX(INDIRECT("'"&amp;LEFT($A59,LEN($A59)-1)&amp;"'!$H$13:$J$41"),MATCH(Q$1,INDIRECT("'"&amp;LEFT($A59,LEN($A59)-1)&amp;"'!$A$13:$A$41"),0),VALUE(RIGHT($A59,1)))="YES",$H59,IF(INDEX(INDIRECT("'"&amp;LEFT($A59,LEN($A59)-1)&amp;"'!$H$13:$J$41"),MATCH(Q$1,INDIRECT("'"&amp;LEFT($A59,LEN($A59)-1)&amp;"'!$A$13:$A$41"),0),VALUE(RIGHT($A59,1)))="NO",0,"?"))</f>
        <v>?</v>
      </c>
      <c r="R59" s="86" t="str">
        <f aca="true">IF(INDEX(INDIRECT("'"&amp;LEFT($A59,LEN($A59)-1)&amp;"'!$H$13:$J$41"),MATCH(R$1,INDIRECT("'"&amp;LEFT($A59,LEN($A59)-1)&amp;"'!$A$13:$A$41"),0),VALUE(RIGHT($A59,1)))="YES",$H59,IF(INDEX(INDIRECT("'"&amp;LEFT($A59,LEN($A59)-1)&amp;"'!$H$13:$J$41"),MATCH(R$1,INDIRECT("'"&amp;LEFT($A59,LEN($A59)-1)&amp;"'!$A$13:$A$41"),0),VALUE(RIGHT($A59,1)))="NO",0,"?"))</f>
        <v>?</v>
      </c>
      <c r="S59" s="86" t="str">
        <f aca="true">IF(INDEX(INDIRECT("'"&amp;LEFT($A59,LEN($A59)-1)&amp;"'!$H$13:$J$41"),MATCH(S$1,INDIRECT("'"&amp;LEFT($A59,LEN($A59)-1)&amp;"'!$A$13:$A$41"),0),VALUE(RIGHT($A59,1)))="YES",$H59,IF(INDEX(INDIRECT("'"&amp;LEFT($A59,LEN($A59)-1)&amp;"'!$H$13:$J$41"),MATCH(S$1,INDIRECT("'"&amp;LEFT($A59,LEN($A59)-1)&amp;"'!$A$13:$A$41"),0),VALUE(RIGHT($A59,1)))="NO",0,"?"))</f>
        <v>?</v>
      </c>
      <c r="T59" s="86" t="str">
        <f aca="true">IF(INDEX(INDIRECT("'"&amp;LEFT($A59,LEN($A59)-1)&amp;"'!$H$13:$J$41"),MATCH(T$1,INDIRECT("'"&amp;LEFT($A59,LEN($A59)-1)&amp;"'!$A$13:$A$41"),0),VALUE(RIGHT($A59,1)))="YES",$H59,IF(INDEX(INDIRECT("'"&amp;LEFT($A59,LEN($A59)-1)&amp;"'!$H$13:$J$41"),MATCH(T$1,INDIRECT("'"&amp;LEFT($A59,LEN($A59)-1)&amp;"'!$A$13:$A$41"),0),VALUE(RIGHT($A59,1)))="NO",0,"?"))</f>
        <v>?</v>
      </c>
      <c r="U59" s="86" t="str">
        <f aca="true">IF(INDEX(INDIRECT("'"&amp;LEFT($A59,LEN($A59)-1)&amp;"'!$H$13:$J$41"),MATCH(U$1,INDIRECT("'"&amp;LEFT($A59,LEN($A59)-1)&amp;"'!$A$13:$A$41"),0),VALUE(RIGHT($A59,1)))="YES",$H59,IF(INDEX(INDIRECT("'"&amp;LEFT($A59,LEN($A59)-1)&amp;"'!$H$13:$J$41"),MATCH(U$1,INDIRECT("'"&amp;LEFT($A59,LEN($A59)-1)&amp;"'!$A$13:$A$41"),0),VALUE(RIGHT($A59,1)))="NO",0,"?"))</f>
        <v>?</v>
      </c>
      <c r="V59" s="86" t="str">
        <f aca="true">IF(INDEX(INDIRECT("'"&amp;LEFT($A59,LEN($A59)-1)&amp;"'!$H$13:$J$41"),MATCH(V$1,INDIRECT("'"&amp;LEFT($A59,LEN($A59)-1)&amp;"'!$A$13:$A$41"),0),VALUE(RIGHT($A59,1)))="YES",$H59,IF(INDEX(INDIRECT("'"&amp;LEFT($A59,LEN($A59)-1)&amp;"'!$H$13:$J$41"),MATCH(V$1,INDIRECT("'"&amp;LEFT($A59,LEN($A59)-1)&amp;"'!$A$13:$A$41"),0),VALUE(RIGHT($A59,1)))="NO",0,"?"))</f>
        <v>?</v>
      </c>
      <c r="W59" s="86" t="str">
        <f aca="true">IF(INDEX(INDIRECT("'"&amp;LEFT($A59,LEN($A59)-1)&amp;"'!$H$13:$J$41"),MATCH(W$1,INDIRECT("'"&amp;LEFT($A59,LEN($A59)-1)&amp;"'!$A$13:$A$41"),0),VALUE(RIGHT($A59,1)))="YES",$H59,IF(INDEX(INDIRECT("'"&amp;LEFT($A59,LEN($A59)-1)&amp;"'!$H$13:$J$41"),MATCH(W$1,INDIRECT("'"&amp;LEFT($A59,LEN($A59)-1)&amp;"'!$A$13:$A$41"),0),VALUE(RIGHT($A59,1)))="NO",0,"?"))</f>
        <v>?</v>
      </c>
      <c r="X59" s="86" t="str">
        <f aca="true">IF(INDEX(INDIRECT("'"&amp;LEFT($A59,LEN($A59)-1)&amp;"'!$H$13:$J$41"),MATCH(X$1,INDIRECT("'"&amp;LEFT($A59,LEN($A59)-1)&amp;"'!$A$13:$A$41"),0),VALUE(RIGHT($A59,1)))="YES",$H59,IF(INDEX(INDIRECT("'"&amp;LEFT($A59,LEN($A59)-1)&amp;"'!$H$13:$J$41"),MATCH(X$1,INDIRECT("'"&amp;LEFT($A59,LEN($A59)-1)&amp;"'!$A$13:$A$41"),0),VALUE(RIGHT($A59,1)))="NO",0,"?"))</f>
        <v>?</v>
      </c>
      <c r="Y59" s="86" t="str">
        <f aca="true">IF(INDEX(INDIRECT("'"&amp;LEFT($A59,LEN($A59)-1)&amp;"'!$H$13:$J$41"),MATCH(Y$1,INDIRECT("'"&amp;LEFT($A59,LEN($A59)-1)&amp;"'!$A$13:$A$41"),0),VALUE(RIGHT($A59,1)))="YES",$H59,IF(INDEX(INDIRECT("'"&amp;LEFT($A59,LEN($A59)-1)&amp;"'!$H$13:$J$41"),MATCH(Y$1,INDIRECT("'"&amp;LEFT($A59,LEN($A59)-1)&amp;"'!$A$13:$A$41"),0),VALUE(RIGHT($A59,1)))="NO",0,"?"))</f>
        <v>?</v>
      </c>
      <c r="Z59" s="86" t="str">
        <f aca="true">IF(INDEX(INDIRECT("'"&amp;LEFT($A59,LEN($A59)-1)&amp;"'!$H$13:$J$41"),MATCH(Z$1,INDIRECT("'"&amp;LEFT($A59,LEN($A59)-1)&amp;"'!$A$13:$A$41"),0),VALUE(RIGHT($A59,1)))="YES",$H59,IF(INDEX(INDIRECT("'"&amp;LEFT($A59,LEN($A59)-1)&amp;"'!$H$13:$J$41"),MATCH(Z$1,INDIRECT("'"&amp;LEFT($A59,LEN($A59)-1)&amp;"'!$A$13:$A$41"),0),VALUE(RIGHT($A59,1)))="NO",0,"?"))</f>
        <v>?</v>
      </c>
      <c r="AA59" s="86" t="str">
        <f aca="true">IF(INDEX(INDIRECT("'"&amp;LEFT($A59,LEN($A59)-1)&amp;"'!$H$13:$J$41"),MATCH(AA$1,INDIRECT("'"&amp;LEFT($A59,LEN($A59)-1)&amp;"'!$A$13:$A$41"),0),VALUE(RIGHT($A59,1)))="YES",$H59,IF(INDEX(INDIRECT("'"&amp;LEFT($A59,LEN($A59)-1)&amp;"'!$H$13:$J$41"),MATCH(AA$1,INDIRECT("'"&amp;LEFT($A59,LEN($A59)-1)&amp;"'!$A$13:$A$41"),0),VALUE(RIGHT($A59,1)))="NO",0,"?"))</f>
        <v>?</v>
      </c>
      <c r="AB59" s="86" t="str">
        <f aca="true">IF(INDEX(INDIRECT("'"&amp;LEFT($A59,LEN($A59)-1)&amp;"'!$H$13:$J$41"),MATCH(AB$1,INDIRECT("'"&amp;LEFT($A59,LEN($A59)-1)&amp;"'!$A$13:$A$41"),0),VALUE(RIGHT($A59,1)))="YES",$H59,IF(INDEX(INDIRECT("'"&amp;LEFT($A59,LEN($A59)-1)&amp;"'!$H$13:$J$41"),MATCH(AB$1,INDIRECT("'"&amp;LEFT($A59,LEN($A59)-1)&amp;"'!$A$13:$A$41"),0),VALUE(RIGHT($A59,1)))="NO",0,"?"))</f>
        <v>?</v>
      </c>
      <c r="AC59" s="86" t="str">
        <f aca="true">IF(INDEX(INDIRECT("'"&amp;LEFT($A59,LEN($A59)-1)&amp;"'!$H$13:$J$41"),MATCH(AC$1,INDIRECT("'"&amp;LEFT($A59,LEN($A59)-1)&amp;"'!$A$13:$A$41"),0),VALUE(RIGHT($A59,1)))="YES",$H59,IF(INDEX(INDIRECT("'"&amp;LEFT($A59,LEN($A59)-1)&amp;"'!$H$13:$J$41"),MATCH(AC$1,INDIRECT("'"&amp;LEFT($A59,LEN($A59)-1)&amp;"'!$A$13:$A$41"),0),VALUE(RIGHT($A59,1)))="NO",0,"?"))</f>
        <v>?</v>
      </c>
      <c r="AD59" s="86" t="str">
        <f aca="true">IF(INDEX(INDIRECT("'"&amp;LEFT($A59,LEN($A59)-1)&amp;"'!$H$13:$J$41"),MATCH(AD$1,INDIRECT("'"&amp;LEFT($A59,LEN($A59)-1)&amp;"'!$A$13:$A$41"),0),VALUE(RIGHT($A59,1)))="YES",$H59,IF(INDEX(INDIRECT("'"&amp;LEFT($A59,LEN($A59)-1)&amp;"'!$H$13:$J$41"),MATCH(AD$1,INDIRECT("'"&amp;LEFT($A59,LEN($A59)-1)&amp;"'!$A$13:$A$41"),0),VALUE(RIGHT($A59,1)))="NO",0,"?"))</f>
        <v>?</v>
      </c>
      <c r="AE59" s="86" t="str">
        <f aca="true">IF(INDEX(INDIRECT("'"&amp;LEFT($A59,LEN($A59)-1)&amp;"'!$H$13:$J$41"),MATCH(AE$1,INDIRECT("'"&amp;LEFT($A59,LEN($A59)-1)&amp;"'!$A$13:$A$41"),0),VALUE(RIGHT($A59,1)))="YES",$H59,IF(INDEX(INDIRECT("'"&amp;LEFT($A59,LEN($A59)-1)&amp;"'!$H$13:$J$41"),MATCH(AE$1,INDIRECT("'"&amp;LEFT($A59,LEN($A59)-1)&amp;"'!$A$13:$A$41"),0),VALUE(RIGHT($A59,1)))="NO",0,"?"))</f>
        <v>?</v>
      </c>
      <c r="AF59" s="86" t="str">
        <f aca="true">IF(INDEX(INDIRECT("'"&amp;LEFT($A59,LEN($A59)-1)&amp;"'!$H$13:$J$41"),MATCH(AF$1,INDIRECT("'"&amp;LEFT($A59,LEN($A59)-1)&amp;"'!$A$13:$A$41"),0),VALUE(RIGHT($A59,1)))="YES",$H59,IF(INDEX(INDIRECT("'"&amp;LEFT($A59,LEN($A59)-1)&amp;"'!$H$13:$J$41"),MATCH(AF$1,INDIRECT("'"&amp;LEFT($A59,LEN($A59)-1)&amp;"'!$A$13:$A$41"),0),VALUE(RIGHT($A59,1)))="NO",0,"?"))</f>
        <v>?</v>
      </c>
      <c r="AG59" s="86" t="str">
        <f aca="true">IF(INDEX(INDIRECT("'"&amp;LEFT($A59,LEN($A59)-1)&amp;"'!$H$13:$J$41"),MATCH(AG$1,INDIRECT("'"&amp;LEFT($A59,LEN($A59)-1)&amp;"'!$A$13:$A$41"),0),VALUE(RIGHT($A59,1)))="YES",$H59,IF(INDEX(INDIRECT("'"&amp;LEFT($A59,LEN($A59)-1)&amp;"'!$H$13:$J$41"),MATCH(AG$1,INDIRECT("'"&amp;LEFT($A59,LEN($A59)-1)&amp;"'!$A$13:$A$41"),0),VALUE(RIGHT($A59,1)))="NO",0,"?"))</f>
        <v>?</v>
      </c>
      <c r="AH59" s="86" t="str">
        <f aca="true">IF(INDEX(INDIRECT("'"&amp;LEFT($A59,LEN($A59)-1)&amp;"'!$H$13:$J$41"),MATCH(AH$1,INDIRECT("'"&amp;LEFT($A59,LEN($A59)-1)&amp;"'!$A$13:$A$41"),0),VALUE(RIGHT($A59,1)))="YES",$H59,IF(INDEX(INDIRECT("'"&amp;LEFT($A59,LEN($A59)-1)&amp;"'!$H$13:$J$41"),MATCH(AH$1,INDIRECT("'"&amp;LEFT($A59,LEN($A59)-1)&amp;"'!$A$13:$A$41"),0),VALUE(RIGHT($A59,1)))="NO",0,"?"))</f>
        <v>?</v>
      </c>
      <c r="AI59" s="86" t="str">
        <f aca="true">IF(INDEX(INDIRECT("'"&amp;LEFT($A59,LEN($A59)-1)&amp;"'!$H$13:$J$41"),MATCH(AI$1,INDIRECT("'"&amp;LEFT($A59,LEN($A59)-1)&amp;"'!$A$13:$A$41"),0),VALUE(RIGHT($A59,1)))="YES",$H59,IF(INDEX(INDIRECT("'"&amp;LEFT($A59,LEN($A59)-1)&amp;"'!$H$13:$J$41"),MATCH(AI$1,INDIRECT("'"&amp;LEFT($A59,LEN($A59)-1)&amp;"'!$A$13:$A$41"),0),VALUE(RIGHT($A59,1)))="NO",0,"?"))</f>
        <v>?</v>
      </c>
      <c r="AJ59" s="86" t="str">
        <f aca="true">IF(INDEX(INDIRECT("'"&amp;LEFT($A59,LEN($A59)-1)&amp;"'!$H$13:$J$41"),MATCH(AJ$1,INDIRECT("'"&amp;LEFT($A59,LEN($A59)-1)&amp;"'!$A$13:$A$41"),0),VALUE(RIGHT($A59,1)))="YES",$H59,IF(INDEX(INDIRECT("'"&amp;LEFT($A59,LEN($A59)-1)&amp;"'!$H$13:$J$41"),MATCH(AJ$1,INDIRECT("'"&amp;LEFT($A59,LEN($A59)-1)&amp;"'!$A$13:$A$41"),0),VALUE(RIGHT($A59,1)))="NO",0,"?"))</f>
        <v>?</v>
      </c>
      <c r="AK59" s="86" t="str">
        <f aca="true">IF(INDEX(INDIRECT("'"&amp;LEFT($A59,LEN($A59)-1)&amp;"'!$H$13:$J$41"),MATCH(AK$1,INDIRECT("'"&amp;LEFT($A59,LEN($A59)-1)&amp;"'!$A$13:$A$41"),0),VALUE(RIGHT($A59,1)))="YES",$H59,IF(INDEX(INDIRECT("'"&amp;LEFT($A59,LEN($A59)-1)&amp;"'!$H$13:$J$41"),MATCH(AK$1,INDIRECT("'"&amp;LEFT($A59,LEN($A59)-1)&amp;"'!$A$13:$A$41"),0),VALUE(RIGHT($A59,1)))="NO",0,"?"))</f>
        <v>?</v>
      </c>
    </row>
    <row r="60" customFormat="false" ht="14.25" hidden="false" customHeight="false" outlineLevel="0" collapsed="false">
      <c r="A60" s="82" t="s">
        <v>204</v>
      </c>
      <c r="B60" s="83" t="str">
        <f aca="false">IF(ISBLANK($A60),"NO_CODE",VLOOKUP($A60,'UPD Questions_290926 '!$E$1:$N$300,MATCH(B$1,'UPD Questions_290926 '!$E$1:$N$1,0),0)&amp;"")</f>
        <v>Implementation</v>
      </c>
      <c r="C60" s="83" t="str">
        <f aca="false">IF(ISBLANK($A60),"NO_CODE",VLOOKUP($A60,'UPD Questions_290926 '!$E$1:$N$300,MATCH(C$1,'UPD Questions_290926 '!$E$1:$N$1,0),0)&amp;"")</f>
        <v>Sectoral planning</v>
      </c>
      <c r="D60" s="83" t="str">
        <f aca="false">IF(ISBLANK($A60),"NO_CODE",VLOOKUP($A60,'UPD Questions_290926 '!$E$1:$N$300,MATCH(D$1,'UPD Questions_290926 '!$E$1:$N$1,0),0)&amp;"")</f>
        <v>Water supply and sewerage, sanitation, solid waste management </v>
      </c>
      <c r="E60" s="83" t="str">
        <f aca="false">IF(ISBLANK($A60),"NO_CODE",VLOOKUP($A60,'UPD Questions_290926 '!$E$1:$N$300,MATCH(E$1,'UPD Questions_290926 '!$E$1:$N$1,0),0)&amp;"")</f>
        <v>SQ</v>
      </c>
      <c r="F60" s="83" t="str">
        <f aca="false">IF(ISBLANK($A60),"NO_CODE",VLOOKUP($A60,'UPD Questions_290926 '!$E$1:$N$300,MATCH(F$1,'UPD Questions_290926 '!$E$1:$N$1,0),0)&amp;"")</f>
        <v>Does the plan clearly articulate the role of the ULG?</v>
      </c>
      <c r="G60" s="83" t="str">
        <f aca="false">IF(ISBLANK($A60),"NO_CODE",VLOOKUP($A60,'UPD Questions_290926 '!$E$1:$N$300,MATCH(G$1,'UPD Questions_290926 '!$E$1:$N$1,0),0)&amp;"")</f>
        <v>Implementation</v>
      </c>
      <c r="H60" s="85" t="n">
        <f aca="false">IF(ISBLANK($A60),"NO_CODE",VLOOKUP($A60,'UPD Questions_290926 '!$E$1:$N$300,MATCH(H$1,'UPD Questions_290926 '!$E$1:$N$1,0),0))</f>
        <v>3.33</v>
      </c>
      <c r="I60" s="86" t="str">
        <f aca="true">IF($H60=0,"NA",IF($A60=INDIRECT("'"&amp;$A60&amp;"'!$B$1"),IF(VLOOKUP(I$1,INDIRECT("'"&amp;$A60&amp;"'!$A$12:$Z$41"),MATCH("Points (Auto-generate)",INDIRECT("'"&amp;$A60&amp;"'!$A$12:$Z$12"),0),0)="","?",VLOOKUP(I$1,INDIRECT("'"&amp;$A60&amp;"'!$A$12:$Z$41"),MATCH("Points (Auto-generate)",INDIRECT("'"&amp;$A60&amp;"'!$A$12:$Z$12"),0),0)),"ER"))</f>
        <v>?</v>
      </c>
      <c r="J60" s="86" t="n">
        <f aca="true">IF($H60=0,"NA",IF($A60=INDIRECT("'"&amp;$A60&amp;"'!$B$1"),IF(VLOOKUP(J$1,INDIRECT("'"&amp;$A60&amp;"'!$A$12:$Z$41"),MATCH("Points (Auto-generate)",INDIRECT("'"&amp;$A60&amp;"'!$A$12:$Z$12"),0),0)="","?",VLOOKUP(J$1,INDIRECT("'"&amp;$A60&amp;"'!$A$12:$Z$41"),MATCH("Points (Auto-generate)",INDIRECT("'"&amp;$A60&amp;"'!$A$12:$Z$12"),0),0)),"ER"))</f>
        <v>0</v>
      </c>
      <c r="K60" s="86" t="str">
        <f aca="true">IF($H60=0,"NA",IF($A60=INDIRECT("'"&amp;$A60&amp;"'!$B$1"),IF(VLOOKUP(K$1,INDIRECT("'"&amp;$A60&amp;"'!$A$12:$Z$41"),MATCH("Points (Auto-generate)",INDIRECT("'"&amp;$A60&amp;"'!$A$12:$Z$12"),0),0)="","?",VLOOKUP(K$1,INDIRECT("'"&amp;$A60&amp;"'!$A$12:$Z$41"),MATCH("Points (Auto-generate)",INDIRECT("'"&amp;$A60&amp;"'!$A$12:$Z$12"),0),0)),"ER"))</f>
        <v>?</v>
      </c>
      <c r="L60" s="86" t="str">
        <f aca="true">IF($H60=0,"NA",IF($A60=INDIRECT("'"&amp;$A60&amp;"'!$B$1"),IF(VLOOKUP(L$1,INDIRECT("'"&amp;$A60&amp;"'!$A$12:$Z$41"),MATCH("Points (Auto-generate)",INDIRECT("'"&amp;$A60&amp;"'!$A$12:$Z$12"),0),0)="","?",VLOOKUP(L$1,INDIRECT("'"&amp;$A60&amp;"'!$A$12:$Z$41"),MATCH("Points (Auto-generate)",INDIRECT("'"&amp;$A60&amp;"'!$A$12:$Z$12"),0),0)),"ER"))</f>
        <v>?</v>
      </c>
      <c r="M60" s="86" t="str">
        <f aca="true">IF($H60=0,"NA",IF($A60=INDIRECT("'"&amp;$A60&amp;"'!$B$1"),IF(VLOOKUP(M$1,INDIRECT("'"&amp;$A60&amp;"'!$A$12:$Z$41"),MATCH("Points (Auto-generate)",INDIRECT("'"&amp;$A60&amp;"'!$A$12:$Z$12"),0),0)="","?",VLOOKUP(M$1,INDIRECT("'"&amp;$A60&amp;"'!$A$12:$Z$41"),MATCH("Points (Auto-generate)",INDIRECT("'"&amp;$A60&amp;"'!$A$12:$Z$12"),0),0)),"ER"))</f>
        <v>?</v>
      </c>
      <c r="N60" s="86" t="str">
        <f aca="true">IF($H60=0,"NA",IF($A60=INDIRECT("'"&amp;$A60&amp;"'!$B$1"),IF(VLOOKUP(N$1,INDIRECT("'"&amp;$A60&amp;"'!$A$12:$Z$41"),MATCH("Points (Auto-generate)",INDIRECT("'"&amp;$A60&amp;"'!$A$12:$Z$12"),0),0)="","?",VLOOKUP(N$1,INDIRECT("'"&amp;$A60&amp;"'!$A$12:$Z$41"),MATCH("Points (Auto-generate)",INDIRECT("'"&amp;$A60&amp;"'!$A$12:$Z$12"),0),0)),"ER"))</f>
        <v>?</v>
      </c>
      <c r="O60" s="86" t="str">
        <f aca="true">IF($H60=0,"NA",IF($A60=INDIRECT("'"&amp;$A60&amp;"'!$B$1"),IF(VLOOKUP(O$1,INDIRECT("'"&amp;$A60&amp;"'!$A$12:$Z$41"),MATCH("Points (Auto-generate)",INDIRECT("'"&amp;$A60&amp;"'!$A$12:$Z$12"),0),0)="","?",VLOOKUP(O$1,INDIRECT("'"&amp;$A60&amp;"'!$A$12:$Z$41"),MATCH("Points (Auto-generate)",INDIRECT("'"&amp;$A60&amp;"'!$A$12:$Z$12"),0),0)),"ER"))</f>
        <v>?</v>
      </c>
      <c r="P60" s="86" t="str">
        <f aca="true">IF($H60=0,"NA",IF($A60=INDIRECT("'"&amp;$A60&amp;"'!$B$1"),IF(VLOOKUP(P$1,INDIRECT("'"&amp;$A60&amp;"'!$A$12:$Z$41"),MATCH("Points (Auto-generate)",INDIRECT("'"&amp;$A60&amp;"'!$A$12:$Z$12"),0),0)="","?",VLOOKUP(P$1,INDIRECT("'"&amp;$A60&amp;"'!$A$12:$Z$41"),MATCH("Points (Auto-generate)",INDIRECT("'"&amp;$A60&amp;"'!$A$12:$Z$12"),0),0)),"ER"))</f>
        <v>?</v>
      </c>
      <c r="Q60" s="86" t="str">
        <f aca="true">IF($H60=0,"NA",IF($A60=INDIRECT("'"&amp;$A60&amp;"'!$B$1"),IF(VLOOKUP(Q$1,INDIRECT("'"&amp;$A60&amp;"'!$A$12:$Z$41"),MATCH("Points (Auto-generate)",INDIRECT("'"&amp;$A60&amp;"'!$A$12:$Z$12"),0),0)="","?",VLOOKUP(Q$1,INDIRECT("'"&amp;$A60&amp;"'!$A$12:$Z$41"),MATCH("Points (Auto-generate)",INDIRECT("'"&amp;$A60&amp;"'!$A$12:$Z$12"),0),0)),"ER"))</f>
        <v>?</v>
      </c>
      <c r="R60" s="86" t="str">
        <f aca="true">IF($H60=0,"NA",IF($A60=INDIRECT("'"&amp;$A60&amp;"'!$B$1"),IF(VLOOKUP(R$1,INDIRECT("'"&amp;$A60&amp;"'!$A$12:$Z$41"),MATCH("Points (Auto-generate)",INDIRECT("'"&amp;$A60&amp;"'!$A$12:$Z$12"),0),0)="","?",VLOOKUP(R$1,INDIRECT("'"&amp;$A60&amp;"'!$A$12:$Z$41"),MATCH("Points (Auto-generate)",INDIRECT("'"&amp;$A60&amp;"'!$A$12:$Z$12"),0),0)),"ER"))</f>
        <v>?</v>
      </c>
      <c r="S60" s="86" t="str">
        <f aca="true">IF($H60=0,"NA",IF($A60=INDIRECT("'"&amp;$A60&amp;"'!$B$1"),IF(VLOOKUP(S$1,INDIRECT("'"&amp;$A60&amp;"'!$A$12:$Z$41"),MATCH("Points (Auto-generate)",INDIRECT("'"&amp;$A60&amp;"'!$A$12:$Z$12"),0),0)="","?",VLOOKUP(S$1,INDIRECT("'"&amp;$A60&amp;"'!$A$12:$Z$41"),MATCH("Points (Auto-generate)",INDIRECT("'"&amp;$A60&amp;"'!$A$12:$Z$12"),0),0)),"ER"))</f>
        <v>?</v>
      </c>
      <c r="T60" s="86" t="str">
        <f aca="true">IF($H60=0,"NA",IF($A60=INDIRECT("'"&amp;$A60&amp;"'!$B$1"),IF(VLOOKUP(T$1,INDIRECT("'"&amp;$A60&amp;"'!$A$12:$Z$41"),MATCH("Points (Auto-generate)",INDIRECT("'"&amp;$A60&amp;"'!$A$12:$Z$12"),0),0)="","?",VLOOKUP(T$1,INDIRECT("'"&amp;$A60&amp;"'!$A$12:$Z$41"),MATCH("Points (Auto-generate)",INDIRECT("'"&amp;$A60&amp;"'!$A$12:$Z$12"),0),0)),"ER"))</f>
        <v>?</v>
      </c>
      <c r="U60" s="86" t="str">
        <f aca="true">IF($H60=0,"NA",IF($A60=INDIRECT("'"&amp;$A60&amp;"'!$B$1"),IF(VLOOKUP(U$1,INDIRECT("'"&amp;$A60&amp;"'!$A$12:$Z$41"),MATCH("Points (Auto-generate)",INDIRECT("'"&amp;$A60&amp;"'!$A$12:$Z$12"),0),0)="","?",VLOOKUP(U$1,INDIRECT("'"&amp;$A60&amp;"'!$A$12:$Z$41"),MATCH("Points (Auto-generate)",INDIRECT("'"&amp;$A60&amp;"'!$A$12:$Z$12"),0),0)),"ER"))</f>
        <v>?</v>
      </c>
      <c r="V60" s="86" t="str">
        <f aca="true">IF($H60=0,"NA",IF($A60=INDIRECT("'"&amp;$A60&amp;"'!$B$1"),IF(VLOOKUP(V$1,INDIRECT("'"&amp;$A60&amp;"'!$A$12:$Z$41"),MATCH("Points (Auto-generate)",INDIRECT("'"&amp;$A60&amp;"'!$A$12:$Z$12"),0),0)="","?",VLOOKUP(V$1,INDIRECT("'"&amp;$A60&amp;"'!$A$12:$Z$41"),MATCH("Points (Auto-generate)",INDIRECT("'"&amp;$A60&amp;"'!$A$12:$Z$12"),0),0)),"ER"))</f>
        <v>?</v>
      </c>
      <c r="W60" s="86" t="str">
        <f aca="true">IF($H60=0,"NA",IF($A60=INDIRECT("'"&amp;$A60&amp;"'!$B$1"),IF(VLOOKUP(W$1,INDIRECT("'"&amp;$A60&amp;"'!$A$12:$Z$41"),MATCH("Points (Auto-generate)",INDIRECT("'"&amp;$A60&amp;"'!$A$12:$Z$12"),0),0)="","?",VLOOKUP(W$1,INDIRECT("'"&amp;$A60&amp;"'!$A$12:$Z$41"),MATCH("Points (Auto-generate)",INDIRECT("'"&amp;$A60&amp;"'!$A$12:$Z$12"),0),0)),"ER"))</f>
        <v>?</v>
      </c>
      <c r="X60" s="86" t="str">
        <f aca="true">IF($H60=0,"NA",IF($A60=INDIRECT("'"&amp;$A60&amp;"'!$B$1"),IF(VLOOKUP(X$1,INDIRECT("'"&amp;$A60&amp;"'!$A$12:$Z$41"),MATCH("Points (Auto-generate)",INDIRECT("'"&amp;$A60&amp;"'!$A$12:$Z$12"),0),0)="","?",VLOOKUP(X$1,INDIRECT("'"&amp;$A60&amp;"'!$A$12:$Z$41"),MATCH("Points (Auto-generate)",INDIRECT("'"&amp;$A60&amp;"'!$A$12:$Z$12"),0),0)),"ER"))</f>
        <v>?</v>
      </c>
      <c r="Y60" s="86" t="str">
        <f aca="true">IF($H60=0,"NA",IF($A60=INDIRECT("'"&amp;$A60&amp;"'!$B$1"),IF(VLOOKUP(Y$1,INDIRECT("'"&amp;$A60&amp;"'!$A$12:$Z$41"),MATCH("Points (Auto-generate)",INDIRECT("'"&amp;$A60&amp;"'!$A$12:$Z$12"),0),0)="","?",VLOOKUP(Y$1,INDIRECT("'"&amp;$A60&amp;"'!$A$12:$Z$41"),MATCH("Points (Auto-generate)",INDIRECT("'"&amp;$A60&amp;"'!$A$12:$Z$12"),0),0)),"ER"))</f>
        <v>?</v>
      </c>
      <c r="Z60" s="86" t="str">
        <f aca="true">IF($H60=0,"NA",IF($A60=INDIRECT("'"&amp;$A60&amp;"'!$B$1"),IF(VLOOKUP(Z$1,INDIRECT("'"&amp;$A60&amp;"'!$A$12:$Z$41"),MATCH("Points (Auto-generate)",INDIRECT("'"&amp;$A60&amp;"'!$A$12:$Z$12"),0),0)="","?",VLOOKUP(Z$1,INDIRECT("'"&amp;$A60&amp;"'!$A$12:$Z$41"),MATCH("Points (Auto-generate)",INDIRECT("'"&amp;$A60&amp;"'!$A$12:$Z$12"),0),0)),"ER"))</f>
        <v>?</v>
      </c>
      <c r="AA60" s="86" t="str">
        <f aca="true">IF($H60=0,"NA",IF($A60=INDIRECT("'"&amp;$A60&amp;"'!$B$1"),IF(VLOOKUP(AA$1,INDIRECT("'"&amp;$A60&amp;"'!$A$12:$Z$41"),MATCH("Points (Auto-generate)",INDIRECT("'"&amp;$A60&amp;"'!$A$12:$Z$12"),0),0)="","?",VLOOKUP(AA$1,INDIRECT("'"&amp;$A60&amp;"'!$A$12:$Z$41"),MATCH("Points (Auto-generate)",INDIRECT("'"&amp;$A60&amp;"'!$A$12:$Z$12"),0),0)),"ER"))</f>
        <v>?</v>
      </c>
      <c r="AB60" s="86" t="str">
        <f aca="true">IF($H60=0,"NA",IF($A60=INDIRECT("'"&amp;$A60&amp;"'!$B$1"),IF(VLOOKUP(AB$1,INDIRECT("'"&amp;$A60&amp;"'!$A$12:$Z$41"),MATCH("Points (Auto-generate)",INDIRECT("'"&amp;$A60&amp;"'!$A$12:$Z$12"),0),0)="","?",VLOOKUP(AB$1,INDIRECT("'"&amp;$A60&amp;"'!$A$12:$Z$41"),MATCH("Points (Auto-generate)",INDIRECT("'"&amp;$A60&amp;"'!$A$12:$Z$12"),0),0)),"ER"))</f>
        <v>?</v>
      </c>
      <c r="AC60" s="86" t="str">
        <f aca="true">IF($H60=0,"NA",IF($A60=INDIRECT("'"&amp;$A60&amp;"'!$B$1"),IF(VLOOKUP(AC$1,INDIRECT("'"&amp;$A60&amp;"'!$A$12:$Z$41"),MATCH("Points (Auto-generate)",INDIRECT("'"&amp;$A60&amp;"'!$A$12:$Z$12"),0),0)="","?",VLOOKUP(AC$1,INDIRECT("'"&amp;$A60&amp;"'!$A$12:$Z$41"),MATCH("Points (Auto-generate)",INDIRECT("'"&amp;$A60&amp;"'!$A$12:$Z$12"),0),0)),"ER"))</f>
        <v>?</v>
      </c>
      <c r="AD60" s="86" t="str">
        <f aca="true">IF($H60=0,"NA",IF($A60=INDIRECT("'"&amp;$A60&amp;"'!$B$1"),IF(VLOOKUP(AD$1,INDIRECT("'"&amp;$A60&amp;"'!$A$12:$Z$41"),MATCH("Points (Auto-generate)",INDIRECT("'"&amp;$A60&amp;"'!$A$12:$Z$12"),0),0)="","?",VLOOKUP(AD$1,INDIRECT("'"&amp;$A60&amp;"'!$A$12:$Z$41"),MATCH("Points (Auto-generate)",INDIRECT("'"&amp;$A60&amp;"'!$A$12:$Z$12"),0),0)),"ER"))</f>
        <v>?</v>
      </c>
      <c r="AE60" s="86" t="str">
        <f aca="true">IF($H60=0,"NA",IF($A60=INDIRECT("'"&amp;$A60&amp;"'!$B$1"),IF(VLOOKUP(AE$1,INDIRECT("'"&amp;$A60&amp;"'!$A$12:$Z$41"),MATCH("Points (Auto-generate)",INDIRECT("'"&amp;$A60&amp;"'!$A$12:$Z$12"),0),0)="","?",VLOOKUP(AE$1,INDIRECT("'"&amp;$A60&amp;"'!$A$12:$Z$41"),MATCH("Points (Auto-generate)",INDIRECT("'"&amp;$A60&amp;"'!$A$12:$Z$12"),0),0)),"ER"))</f>
        <v>?</v>
      </c>
      <c r="AF60" s="86" t="str">
        <f aca="true">IF($H60=0,"NA",IF($A60=INDIRECT("'"&amp;$A60&amp;"'!$B$1"),IF(VLOOKUP(AF$1,INDIRECT("'"&amp;$A60&amp;"'!$A$12:$Z$41"),MATCH("Points (Auto-generate)",INDIRECT("'"&amp;$A60&amp;"'!$A$12:$Z$12"),0),0)="","?",VLOOKUP(AF$1,INDIRECT("'"&amp;$A60&amp;"'!$A$12:$Z$41"),MATCH("Points (Auto-generate)",INDIRECT("'"&amp;$A60&amp;"'!$A$12:$Z$12"),0),0)),"ER"))</f>
        <v>?</v>
      </c>
      <c r="AG60" s="86" t="str">
        <f aca="true">IF($H60=0,"NA",IF($A60=INDIRECT("'"&amp;$A60&amp;"'!$B$1"),IF(VLOOKUP(AG$1,INDIRECT("'"&amp;$A60&amp;"'!$A$12:$Z$41"),MATCH("Points (Auto-generate)",INDIRECT("'"&amp;$A60&amp;"'!$A$12:$Z$12"),0),0)="","?",VLOOKUP(AG$1,INDIRECT("'"&amp;$A60&amp;"'!$A$12:$Z$41"),MATCH("Points (Auto-generate)",INDIRECT("'"&amp;$A60&amp;"'!$A$12:$Z$12"),0),0)),"ER"))</f>
        <v>?</v>
      </c>
      <c r="AH60" s="86" t="str">
        <f aca="true">IF($H60=0,"NA",IF($A60=INDIRECT("'"&amp;$A60&amp;"'!$B$1"),IF(VLOOKUP(AH$1,INDIRECT("'"&amp;$A60&amp;"'!$A$12:$Z$41"),MATCH("Points (Auto-generate)",INDIRECT("'"&amp;$A60&amp;"'!$A$12:$Z$12"),0),0)="","?",VLOOKUP(AH$1,INDIRECT("'"&amp;$A60&amp;"'!$A$12:$Z$41"),MATCH("Points (Auto-generate)",INDIRECT("'"&amp;$A60&amp;"'!$A$12:$Z$12"),0),0)),"ER"))</f>
        <v>?</v>
      </c>
      <c r="AI60" s="86" t="str">
        <f aca="true">IF($H60=0,"NA",IF($A60=INDIRECT("'"&amp;$A60&amp;"'!$B$1"),IF(VLOOKUP(AI$1,INDIRECT("'"&amp;$A60&amp;"'!$A$12:$Z$41"),MATCH("Points (Auto-generate)",INDIRECT("'"&amp;$A60&amp;"'!$A$12:$Z$12"),0),0)="","?",VLOOKUP(AI$1,INDIRECT("'"&amp;$A60&amp;"'!$A$12:$Z$41"),MATCH("Points (Auto-generate)",INDIRECT("'"&amp;$A60&amp;"'!$A$12:$Z$12"),0),0)),"ER"))</f>
        <v>?</v>
      </c>
      <c r="AJ60" s="86" t="str">
        <f aca="true">IF($H60=0,"NA",IF($A60=INDIRECT("'"&amp;$A60&amp;"'!$B$1"),IF(VLOOKUP(AJ$1,INDIRECT("'"&amp;$A60&amp;"'!$A$12:$Z$41"),MATCH("Points (Auto-generate)",INDIRECT("'"&amp;$A60&amp;"'!$A$12:$Z$12"),0),0)="","?",VLOOKUP(AJ$1,INDIRECT("'"&amp;$A60&amp;"'!$A$12:$Z$41"),MATCH("Points (Auto-generate)",INDIRECT("'"&amp;$A60&amp;"'!$A$12:$Z$12"),0),0)),"ER"))</f>
        <v>?</v>
      </c>
      <c r="AK60" s="86" t="str">
        <f aca="true">IF($H60=0,"NA",IF($A60=INDIRECT("'"&amp;$A60&amp;"'!$B$1"),IF(VLOOKUP(AK$1,INDIRECT("'"&amp;$A60&amp;"'!$A$12:$Z$41"),MATCH("Points (Auto-generate)",INDIRECT("'"&amp;$A60&amp;"'!$A$12:$Z$12"),0),0)="","?",VLOOKUP(AK$1,INDIRECT("'"&amp;$A60&amp;"'!$A$12:$Z$41"),MATCH("Points (Auto-generate)",INDIRECT("'"&amp;$A60&amp;"'!$A$12:$Z$12"),0),0)),"ER"))</f>
        <v>?</v>
      </c>
    </row>
    <row r="61" customFormat="false" ht="14.25" hidden="false" customHeight="false" outlineLevel="0" collapsed="false">
      <c r="A61" s="82" t="s">
        <v>568</v>
      </c>
      <c r="B61" s="83" t="str">
        <f aca="false">IF(ISBLANK($A61),"NO_CODE",VLOOKUP($A61,'UPD Questions_290926 '!$E$1:$N$300,MATCH(B$1,'UPD Questions_290926 '!$E$1:$N$1,0),0)&amp;"")</f>
        <v>Implementation</v>
      </c>
      <c r="C61" s="83" t="str">
        <f aca="false">IF(ISBLANK($A61),"NO_CODE",VLOOKUP($A61,'UPD Questions_290926 '!$E$1:$N$300,MATCH(C$1,'UPD Questions_290926 '!$E$1:$N$1,0),0)&amp;"")</f>
        <v>Sectoral planning</v>
      </c>
      <c r="D61" s="83" t="str">
        <f aca="false">IF(ISBLANK($A61),"NO_CODE",VLOOKUP($A61,'UPD Questions_290926 '!$E$1:$N$300,MATCH(D$1,'UPD Questions_290926 '!$E$1:$N$1,0),0)&amp;"")</f>
        <v>Water supply and sewerage, sanitation, solid waste management </v>
      </c>
      <c r="E61" s="83" t="str">
        <f aca="false">IF(ISBLANK($A61),"NO_CODE",VLOOKUP($A61,'UPD Questions_290926 '!$E$1:$N$300,MATCH(E$1,'UPD Questions_290926 '!$E$1:$N$1,0),0)&amp;"")</f>
        <v>SQ1</v>
      </c>
      <c r="F61" s="83" t="str">
        <f aca="false">IF(ISBLANK($A61),"NO_CODE",VLOOKUP($A61,'UPD Questions_290926 '!$E$1:$N$300,MATCH(F$1,'UPD Questions_290926 '!$E$1:$N$1,0),0)&amp;"")</f>
        <v>a) Water Supply and Sewerage Plan</v>
      </c>
      <c r="G61" s="83" t="str">
        <f aca="false">IF(ISBLANK($A61),"NO_CODE",VLOOKUP($A61,'UPD Questions_290926 '!$E$1:$N$300,MATCH(G$1,'UPD Questions_290926 '!$E$1:$N$1,0),0)&amp;"")</f>
        <v>Implementation</v>
      </c>
      <c r="H61" s="85" t="n">
        <f aca="false">IF(ISBLANK($A61),"NO_CODE",VLOOKUP($A61,'UPD Questions_290926 '!$E$1:$N$300,MATCH(H$1,'UPD Questions_290926 '!$E$1:$N$1,0),0))</f>
        <v>1.11</v>
      </c>
      <c r="I61" s="86" t="str">
        <f aca="true">IF(INDEX(INDIRECT("'"&amp;LEFT($A61,LEN($A61)-1)&amp;"'!$H$13:$J$41"),MATCH(I$1,INDIRECT("'"&amp;LEFT($A61,LEN($A61)-1)&amp;"'!$A$13:$A$41"),0),VALUE(RIGHT($A61,1)))="YES",$H61,IF(INDEX(INDIRECT("'"&amp;LEFT($A61,LEN($A61)-1)&amp;"'!$H$13:$J$41"),MATCH(I$1,INDIRECT("'"&amp;LEFT($A61,LEN($A61)-1)&amp;"'!$A$13:$A$41"),0),VALUE(RIGHT($A61,1)))="NO",0,"?"))</f>
        <v>?</v>
      </c>
      <c r="J61" s="86" t="n">
        <f aca="true">IF(INDEX(INDIRECT("'"&amp;LEFT($A61,LEN($A61)-1)&amp;"'!$H$13:$J$41"),MATCH(J$1,INDIRECT("'"&amp;LEFT($A61,LEN($A61)-1)&amp;"'!$A$13:$A$41"),0),VALUE(RIGHT($A61,1)))="YES",$H61,IF(INDEX(INDIRECT("'"&amp;LEFT($A61,LEN($A61)-1)&amp;"'!$H$13:$J$41"),MATCH(J$1,INDIRECT("'"&amp;LEFT($A61,LEN($A61)-1)&amp;"'!$A$13:$A$41"),0),VALUE(RIGHT($A61,1)))="NO",0,"?"))</f>
        <v>0</v>
      </c>
      <c r="K61" s="86" t="str">
        <f aca="true">IF(INDEX(INDIRECT("'"&amp;LEFT($A61,LEN($A61)-1)&amp;"'!$H$13:$J$41"),MATCH(K$1,INDIRECT("'"&amp;LEFT($A61,LEN($A61)-1)&amp;"'!$A$13:$A$41"),0),VALUE(RIGHT($A61,1)))="YES",$H61,IF(INDEX(INDIRECT("'"&amp;LEFT($A61,LEN($A61)-1)&amp;"'!$H$13:$J$41"),MATCH(K$1,INDIRECT("'"&amp;LEFT($A61,LEN($A61)-1)&amp;"'!$A$13:$A$41"),0),VALUE(RIGHT($A61,1)))="NO",0,"?"))</f>
        <v>?</v>
      </c>
      <c r="L61" s="86" t="str">
        <f aca="true">IF(INDEX(INDIRECT("'"&amp;LEFT($A61,LEN($A61)-1)&amp;"'!$H$13:$J$41"),MATCH(L$1,INDIRECT("'"&amp;LEFT($A61,LEN($A61)-1)&amp;"'!$A$13:$A$41"),0),VALUE(RIGHT($A61,1)))="YES",$H61,IF(INDEX(INDIRECT("'"&amp;LEFT($A61,LEN($A61)-1)&amp;"'!$H$13:$J$41"),MATCH(L$1,INDIRECT("'"&amp;LEFT($A61,LEN($A61)-1)&amp;"'!$A$13:$A$41"),0),VALUE(RIGHT($A61,1)))="NO",0,"?"))</f>
        <v>?</v>
      </c>
      <c r="M61" s="86" t="str">
        <f aca="true">IF(INDEX(INDIRECT("'"&amp;LEFT($A61,LEN($A61)-1)&amp;"'!$H$13:$J$41"),MATCH(M$1,INDIRECT("'"&amp;LEFT($A61,LEN($A61)-1)&amp;"'!$A$13:$A$41"),0),VALUE(RIGHT($A61,1)))="YES",$H61,IF(INDEX(INDIRECT("'"&amp;LEFT($A61,LEN($A61)-1)&amp;"'!$H$13:$J$41"),MATCH(M$1,INDIRECT("'"&amp;LEFT($A61,LEN($A61)-1)&amp;"'!$A$13:$A$41"),0),VALUE(RIGHT($A61,1)))="NO",0,"?"))</f>
        <v>?</v>
      </c>
      <c r="N61" s="86" t="str">
        <f aca="true">IF(INDEX(INDIRECT("'"&amp;LEFT($A61,LEN($A61)-1)&amp;"'!$H$13:$J$41"),MATCH(N$1,INDIRECT("'"&amp;LEFT($A61,LEN($A61)-1)&amp;"'!$A$13:$A$41"),0),VALUE(RIGHT($A61,1)))="YES",$H61,IF(INDEX(INDIRECT("'"&amp;LEFT($A61,LEN($A61)-1)&amp;"'!$H$13:$J$41"),MATCH(N$1,INDIRECT("'"&amp;LEFT($A61,LEN($A61)-1)&amp;"'!$A$13:$A$41"),0),VALUE(RIGHT($A61,1)))="NO",0,"?"))</f>
        <v>?</v>
      </c>
      <c r="O61" s="86" t="str">
        <f aca="true">IF(INDEX(INDIRECT("'"&amp;LEFT($A61,LEN($A61)-1)&amp;"'!$H$13:$J$41"),MATCH(O$1,INDIRECT("'"&amp;LEFT($A61,LEN($A61)-1)&amp;"'!$A$13:$A$41"),0),VALUE(RIGHT($A61,1)))="YES",$H61,IF(INDEX(INDIRECT("'"&amp;LEFT($A61,LEN($A61)-1)&amp;"'!$H$13:$J$41"),MATCH(O$1,INDIRECT("'"&amp;LEFT($A61,LEN($A61)-1)&amp;"'!$A$13:$A$41"),0),VALUE(RIGHT($A61,1)))="NO",0,"?"))</f>
        <v>?</v>
      </c>
      <c r="P61" s="86" t="str">
        <f aca="true">IF(INDEX(INDIRECT("'"&amp;LEFT($A61,LEN($A61)-1)&amp;"'!$H$13:$J$41"),MATCH(P$1,INDIRECT("'"&amp;LEFT($A61,LEN($A61)-1)&amp;"'!$A$13:$A$41"),0),VALUE(RIGHT($A61,1)))="YES",$H61,IF(INDEX(INDIRECT("'"&amp;LEFT($A61,LEN($A61)-1)&amp;"'!$H$13:$J$41"),MATCH(P$1,INDIRECT("'"&amp;LEFT($A61,LEN($A61)-1)&amp;"'!$A$13:$A$41"),0),VALUE(RIGHT($A61,1)))="NO",0,"?"))</f>
        <v>?</v>
      </c>
      <c r="Q61" s="86" t="str">
        <f aca="true">IF(INDEX(INDIRECT("'"&amp;LEFT($A61,LEN($A61)-1)&amp;"'!$H$13:$J$41"),MATCH(Q$1,INDIRECT("'"&amp;LEFT($A61,LEN($A61)-1)&amp;"'!$A$13:$A$41"),0),VALUE(RIGHT($A61,1)))="YES",$H61,IF(INDEX(INDIRECT("'"&amp;LEFT($A61,LEN($A61)-1)&amp;"'!$H$13:$J$41"),MATCH(Q$1,INDIRECT("'"&amp;LEFT($A61,LEN($A61)-1)&amp;"'!$A$13:$A$41"),0),VALUE(RIGHT($A61,1)))="NO",0,"?"))</f>
        <v>?</v>
      </c>
      <c r="R61" s="86" t="str">
        <f aca="true">IF(INDEX(INDIRECT("'"&amp;LEFT($A61,LEN($A61)-1)&amp;"'!$H$13:$J$41"),MATCH(R$1,INDIRECT("'"&amp;LEFT($A61,LEN($A61)-1)&amp;"'!$A$13:$A$41"),0),VALUE(RIGHT($A61,1)))="YES",$H61,IF(INDEX(INDIRECT("'"&amp;LEFT($A61,LEN($A61)-1)&amp;"'!$H$13:$J$41"),MATCH(R$1,INDIRECT("'"&amp;LEFT($A61,LEN($A61)-1)&amp;"'!$A$13:$A$41"),0),VALUE(RIGHT($A61,1)))="NO",0,"?"))</f>
        <v>?</v>
      </c>
      <c r="S61" s="86" t="str">
        <f aca="true">IF(INDEX(INDIRECT("'"&amp;LEFT($A61,LEN($A61)-1)&amp;"'!$H$13:$J$41"),MATCH(S$1,INDIRECT("'"&amp;LEFT($A61,LEN($A61)-1)&amp;"'!$A$13:$A$41"),0),VALUE(RIGHT($A61,1)))="YES",$H61,IF(INDEX(INDIRECT("'"&amp;LEFT($A61,LEN($A61)-1)&amp;"'!$H$13:$J$41"),MATCH(S$1,INDIRECT("'"&amp;LEFT($A61,LEN($A61)-1)&amp;"'!$A$13:$A$41"),0),VALUE(RIGHT($A61,1)))="NO",0,"?"))</f>
        <v>?</v>
      </c>
      <c r="T61" s="86" t="str">
        <f aca="true">IF(INDEX(INDIRECT("'"&amp;LEFT($A61,LEN($A61)-1)&amp;"'!$H$13:$J$41"),MATCH(T$1,INDIRECT("'"&amp;LEFT($A61,LEN($A61)-1)&amp;"'!$A$13:$A$41"),0),VALUE(RIGHT($A61,1)))="YES",$H61,IF(INDEX(INDIRECT("'"&amp;LEFT($A61,LEN($A61)-1)&amp;"'!$H$13:$J$41"),MATCH(T$1,INDIRECT("'"&amp;LEFT($A61,LEN($A61)-1)&amp;"'!$A$13:$A$41"),0),VALUE(RIGHT($A61,1)))="NO",0,"?"))</f>
        <v>?</v>
      </c>
      <c r="U61" s="86" t="str">
        <f aca="true">IF(INDEX(INDIRECT("'"&amp;LEFT($A61,LEN($A61)-1)&amp;"'!$H$13:$J$41"),MATCH(U$1,INDIRECT("'"&amp;LEFT($A61,LEN($A61)-1)&amp;"'!$A$13:$A$41"),0),VALUE(RIGHT($A61,1)))="YES",$H61,IF(INDEX(INDIRECT("'"&amp;LEFT($A61,LEN($A61)-1)&amp;"'!$H$13:$J$41"),MATCH(U$1,INDIRECT("'"&amp;LEFT($A61,LEN($A61)-1)&amp;"'!$A$13:$A$41"),0),VALUE(RIGHT($A61,1)))="NO",0,"?"))</f>
        <v>?</v>
      </c>
      <c r="V61" s="86" t="str">
        <f aca="true">IF(INDEX(INDIRECT("'"&amp;LEFT($A61,LEN($A61)-1)&amp;"'!$H$13:$J$41"),MATCH(V$1,INDIRECT("'"&amp;LEFT($A61,LEN($A61)-1)&amp;"'!$A$13:$A$41"),0),VALUE(RIGHT($A61,1)))="YES",$H61,IF(INDEX(INDIRECT("'"&amp;LEFT($A61,LEN($A61)-1)&amp;"'!$H$13:$J$41"),MATCH(V$1,INDIRECT("'"&amp;LEFT($A61,LEN($A61)-1)&amp;"'!$A$13:$A$41"),0),VALUE(RIGHT($A61,1)))="NO",0,"?"))</f>
        <v>?</v>
      </c>
      <c r="W61" s="86" t="str">
        <f aca="true">IF(INDEX(INDIRECT("'"&amp;LEFT($A61,LEN($A61)-1)&amp;"'!$H$13:$J$41"),MATCH(W$1,INDIRECT("'"&amp;LEFT($A61,LEN($A61)-1)&amp;"'!$A$13:$A$41"),0),VALUE(RIGHT($A61,1)))="YES",$H61,IF(INDEX(INDIRECT("'"&amp;LEFT($A61,LEN($A61)-1)&amp;"'!$H$13:$J$41"),MATCH(W$1,INDIRECT("'"&amp;LEFT($A61,LEN($A61)-1)&amp;"'!$A$13:$A$41"),0),VALUE(RIGHT($A61,1)))="NO",0,"?"))</f>
        <v>?</v>
      </c>
      <c r="X61" s="86" t="str">
        <f aca="true">IF(INDEX(INDIRECT("'"&amp;LEFT($A61,LEN($A61)-1)&amp;"'!$H$13:$J$41"),MATCH(X$1,INDIRECT("'"&amp;LEFT($A61,LEN($A61)-1)&amp;"'!$A$13:$A$41"),0),VALUE(RIGHT($A61,1)))="YES",$H61,IF(INDEX(INDIRECT("'"&amp;LEFT($A61,LEN($A61)-1)&amp;"'!$H$13:$J$41"),MATCH(X$1,INDIRECT("'"&amp;LEFT($A61,LEN($A61)-1)&amp;"'!$A$13:$A$41"),0),VALUE(RIGHT($A61,1)))="NO",0,"?"))</f>
        <v>?</v>
      </c>
      <c r="Y61" s="86" t="str">
        <f aca="true">IF(INDEX(INDIRECT("'"&amp;LEFT($A61,LEN($A61)-1)&amp;"'!$H$13:$J$41"),MATCH(Y$1,INDIRECT("'"&amp;LEFT($A61,LEN($A61)-1)&amp;"'!$A$13:$A$41"),0),VALUE(RIGHT($A61,1)))="YES",$H61,IF(INDEX(INDIRECT("'"&amp;LEFT($A61,LEN($A61)-1)&amp;"'!$H$13:$J$41"),MATCH(Y$1,INDIRECT("'"&amp;LEFT($A61,LEN($A61)-1)&amp;"'!$A$13:$A$41"),0),VALUE(RIGHT($A61,1)))="NO",0,"?"))</f>
        <v>?</v>
      </c>
      <c r="Z61" s="86" t="str">
        <f aca="true">IF(INDEX(INDIRECT("'"&amp;LEFT($A61,LEN($A61)-1)&amp;"'!$H$13:$J$41"),MATCH(Z$1,INDIRECT("'"&amp;LEFT($A61,LEN($A61)-1)&amp;"'!$A$13:$A$41"),0),VALUE(RIGHT($A61,1)))="YES",$H61,IF(INDEX(INDIRECT("'"&amp;LEFT($A61,LEN($A61)-1)&amp;"'!$H$13:$J$41"),MATCH(Z$1,INDIRECT("'"&amp;LEFT($A61,LEN($A61)-1)&amp;"'!$A$13:$A$41"),0),VALUE(RIGHT($A61,1)))="NO",0,"?"))</f>
        <v>?</v>
      </c>
      <c r="AA61" s="86" t="str">
        <f aca="true">IF(INDEX(INDIRECT("'"&amp;LEFT($A61,LEN($A61)-1)&amp;"'!$H$13:$J$41"),MATCH(AA$1,INDIRECT("'"&amp;LEFT($A61,LEN($A61)-1)&amp;"'!$A$13:$A$41"),0),VALUE(RIGHT($A61,1)))="YES",$H61,IF(INDEX(INDIRECT("'"&amp;LEFT($A61,LEN($A61)-1)&amp;"'!$H$13:$J$41"),MATCH(AA$1,INDIRECT("'"&amp;LEFT($A61,LEN($A61)-1)&amp;"'!$A$13:$A$41"),0),VALUE(RIGHT($A61,1)))="NO",0,"?"))</f>
        <v>?</v>
      </c>
      <c r="AB61" s="86" t="str">
        <f aca="true">IF(INDEX(INDIRECT("'"&amp;LEFT($A61,LEN($A61)-1)&amp;"'!$H$13:$J$41"),MATCH(AB$1,INDIRECT("'"&amp;LEFT($A61,LEN($A61)-1)&amp;"'!$A$13:$A$41"),0),VALUE(RIGHT($A61,1)))="YES",$H61,IF(INDEX(INDIRECT("'"&amp;LEFT($A61,LEN($A61)-1)&amp;"'!$H$13:$J$41"),MATCH(AB$1,INDIRECT("'"&amp;LEFT($A61,LEN($A61)-1)&amp;"'!$A$13:$A$41"),0),VALUE(RIGHT($A61,1)))="NO",0,"?"))</f>
        <v>?</v>
      </c>
      <c r="AC61" s="86" t="str">
        <f aca="true">IF(INDEX(INDIRECT("'"&amp;LEFT($A61,LEN($A61)-1)&amp;"'!$H$13:$J$41"),MATCH(AC$1,INDIRECT("'"&amp;LEFT($A61,LEN($A61)-1)&amp;"'!$A$13:$A$41"),0),VALUE(RIGHT($A61,1)))="YES",$H61,IF(INDEX(INDIRECT("'"&amp;LEFT($A61,LEN($A61)-1)&amp;"'!$H$13:$J$41"),MATCH(AC$1,INDIRECT("'"&amp;LEFT($A61,LEN($A61)-1)&amp;"'!$A$13:$A$41"),0),VALUE(RIGHT($A61,1)))="NO",0,"?"))</f>
        <v>?</v>
      </c>
      <c r="AD61" s="86" t="str">
        <f aca="true">IF(INDEX(INDIRECT("'"&amp;LEFT($A61,LEN($A61)-1)&amp;"'!$H$13:$J$41"),MATCH(AD$1,INDIRECT("'"&amp;LEFT($A61,LEN($A61)-1)&amp;"'!$A$13:$A$41"),0),VALUE(RIGHT($A61,1)))="YES",$H61,IF(INDEX(INDIRECT("'"&amp;LEFT($A61,LEN($A61)-1)&amp;"'!$H$13:$J$41"),MATCH(AD$1,INDIRECT("'"&amp;LEFT($A61,LEN($A61)-1)&amp;"'!$A$13:$A$41"),0),VALUE(RIGHT($A61,1)))="NO",0,"?"))</f>
        <v>?</v>
      </c>
      <c r="AE61" s="86" t="str">
        <f aca="true">IF(INDEX(INDIRECT("'"&amp;LEFT($A61,LEN($A61)-1)&amp;"'!$H$13:$J$41"),MATCH(AE$1,INDIRECT("'"&amp;LEFT($A61,LEN($A61)-1)&amp;"'!$A$13:$A$41"),0),VALUE(RIGHT($A61,1)))="YES",$H61,IF(INDEX(INDIRECT("'"&amp;LEFT($A61,LEN($A61)-1)&amp;"'!$H$13:$J$41"),MATCH(AE$1,INDIRECT("'"&amp;LEFT($A61,LEN($A61)-1)&amp;"'!$A$13:$A$41"),0),VALUE(RIGHT($A61,1)))="NO",0,"?"))</f>
        <v>?</v>
      </c>
      <c r="AF61" s="86" t="str">
        <f aca="true">IF(INDEX(INDIRECT("'"&amp;LEFT($A61,LEN($A61)-1)&amp;"'!$H$13:$J$41"),MATCH(AF$1,INDIRECT("'"&amp;LEFT($A61,LEN($A61)-1)&amp;"'!$A$13:$A$41"),0),VALUE(RIGHT($A61,1)))="YES",$H61,IF(INDEX(INDIRECT("'"&amp;LEFT($A61,LEN($A61)-1)&amp;"'!$H$13:$J$41"),MATCH(AF$1,INDIRECT("'"&amp;LEFT($A61,LEN($A61)-1)&amp;"'!$A$13:$A$41"),0),VALUE(RIGHT($A61,1)))="NO",0,"?"))</f>
        <v>?</v>
      </c>
      <c r="AG61" s="86" t="str">
        <f aca="true">IF(INDEX(INDIRECT("'"&amp;LEFT($A61,LEN($A61)-1)&amp;"'!$H$13:$J$41"),MATCH(AG$1,INDIRECT("'"&amp;LEFT($A61,LEN($A61)-1)&amp;"'!$A$13:$A$41"),0),VALUE(RIGHT($A61,1)))="YES",$H61,IF(INDEX(INDIRECT("'"&amp;LEFT($A61,LEN($A61)-1)&amp;"'!$H$13:$J$41"),MATCH(AG$1,INDIRECT("'"&amp;LEFT($A61,LEN($A61)-1)&amp;"'!$A$13:$A$41"),0),VALUE(RIGHT($A61,1)))="NO",0,"?"))</f>
        <v>?</v>
      </c>
      <c r="AH61" s="86" t="str">
        <f aca="true">IF(INDEX(INDIRECT("'"&amp;LEFT($A61,LEN($A61)-1)&amp;"'!$H$13:$J$41"),MATCH(AH$1,INDIRECT("'"&amp;LEFT($A61,LEN($A61)-1)&amp;"'!$A$13:$A$41"),0),VALUE(RIGHT($A61,1)))="YES",$H61,IF(INDEX(INDIRECT("'"&amp;LEFT($A61,LEN($A61)-1)&amp;"'!$H$13:$J$41"),MATCH(AH$1,INDIRECT("'"&amp;LEFT($A61,LEN($A61)-1)&amp;"'!$A$13:$A$41"),0),VALUE(RIGHT($A61,1)))="NO",0,"?"))</f>
        <v>?</v>
      </c>
      <c r="AI61" s="86" t="str">
        <f aca="true">IF(INDEX(INDIRECT("'"&amp;LEFT($A61,LEN($A61)-1)&amp;"'!$H$13:$J$41"),MATCH(AI$1,INDIRECT("'"&amp;LEFT($A61,LEN($A61)-1)&amp;"'!$A$13:$A$41"),0),VALUE(RIGHT($A61,1)))="YES",$H61,IF(INDEX(INDIRECT("'"&amp;LEFT($A61,LEN($A61)-1)&amp;"'!$H$13:$J$41"),MATCH(AI$1,INDIRECT("'"&amp;LEFT($A61,LEN($A61)-1)&amp;"'!$A$13:$A$41"),0),VALUE(RIGHT($A61,1)))="NO",0,"?"))</f>
        <v>?</v>
      </c>
      <c r="AJ61" s="86" t="str">
        <f aca="true">IF(INDEX(INDIRECT("'"&amp;LEFT($A61,LEN($A61)-1)&amp;"'!$H$13:$J$41"),MATCH(AJ$1,INDIRECT("'"&amp;LEFT($A61,LEN($A61)-1)&amp;"'!$A$13:$A$41"),0),VALUE(RIGHT($A61,1)))="YES",$H61,IF(INDEX(INDIRECT("'"&amp;LEFT($A61,LEN($A61)-1)&amp;"'!$H$13:$J$41"),MATCH(AJ$1,INDIRECT("'"&amp;LEFT($A61,LEN($A61)-1)&amp;"'!$A$13:$A$41"),0),VALUE(RIGHT($A61,1)))="NO",0,"?"))</f>
        <v>?</v>
      </c>
      <c r="AK61" s="86" t="str">
        <f aca="true">IF(INDEX(INDIRECT("'"&amp;LEFT($A61,LEN($A61)-1)&amp;"'!$H$13:$J$41"),MATCH(AK$1,INDIRECT("'"&amp;LEFT($A61,LEN($A61)-1)&amp;"'!$A$13:$A$41"),0),VALUE(RIGHT($A61,1)))="YES",$H61,IF(INDEX(INDIRECT("'"&amp;LEFT($A61,LEN($A61)-1)&amp;"'!$H$13:$J$41"),MATCH(AK$1,INDIRECT("'"&amp;LEFT($A61,LEN($A61)-1)&amp;"'!$A$13:$A$41"),0),VALUE(RIGHT($A61,1)))="NO",0,"?"))</f>
        <v>?</v>
      </c>
    </row>
    <row r="62" customFormat="false" ht="14.25" hidden="false" customHeight="false" outlineLevel="0" collapsed="false">
      <c r="A62" s="82" t="s">
        <v>570</v>
      </c>
      <c r="B62" s="83" t="str">
        <f aca="false">IF(ISBLANK($A62),"NO_CODE",VLOOKUP($A62,'UPD Questions_290926 '!$E$1:$N$300,MATCH(B$1,'UPD Questions_290926 '!$E$1:$N$1,0),0)&amp;"")</f>
        <v>Implementation</v>
      </c>
      <c r="C62" s="83" t="str">
        <f aca="false">IF(ISBLANK($A62),"NO_CODE",VLOOKUP($A62,'UPD Questions_290926 '!$E$1:$N$300,MATCH(C$1,'UPD Questions_290926 '!$E$1:$N$1,0),0)&amp;"")</f>
        <v>Sectoral planning</v>
      </c>
      <c r="D62" s="83" t="str">
        <f aca="false">IF(ISBLANK($A62),"NO_CODE",VLOOKUP($A62,'UPD Questions_290926 '!$E$1:$N$300,MATCH(D$1,'UPD Questions_290926 '!$E$1:$N$1,0),0)&amp;"")</f>
        <v>Water supply and sewerage, sanitation, solid waste management </v>
      </c>
      <c r="E62" s="83" t="str">
        <f aca="false">IF(ISBLANK($A62),"NO_CODE",VLOOKUP($A62,'UPD Questions_290926 '!$E$1:$N$300,MATCH(E$1,'UPD Questions_290926 '!$E$1:$N$1,0),0)&amp;"")</f>
        <v>SQ2</v>
      </c>
      <c r="F62" s="83" t="str">
        <f aca="false">IF(ISBLANK($A62),"NO_CODE",VLOOKUP($A62,'UPD Questions_290926 '!$E$1:$N$300,MATCH(F$1,'UPD Questions_290926 '!$E$1:$N$1,0),0)&amp;"")</f>
        <v>b) Solid Waste Management Plan </v>
      </c>
      <c r="G62" s="83" t="str">
        <f aca="false">IF(ISBLANK($A62),"NO_CODE",VLOOKUP($A62,'UPD Questions_290926 '!$E$1:$N$300,MATCH(G$1,'UPD Questions_290926 '!$E$1:$N$1,0),0)&amp;"")</f>
        <v>Implementation</v>
      </c>
      <c r="H62" s="85" t="n">
        <f aca="false">IF(ISBLANK($A62),"NO_CODE",VLOOKUP($A62,'UPD Questions_290926 '!$E$1:$N$300,MATCH(H$1,'UPD Questions_290926 '!$E$1:$N$1,0),0))</f>
        <v>1.11</v>
      </c>
      <c r="I62" s="86" t="str">
        <f aca="true">IF(INDEX(INDIRECT("'"&amp;LEFT($A62,LEN($A62)-1)&amp;"'!$H$13:$J$41"),MATCH(I$1,INDIRECT("'"&amp;LEFT($A62,LEN($A62)-1)&amp;"'!$A$13:$A$41"),0),VALUE(RIGHT($A62,1)))="YES",$H62,IF(INDEX(INDIRECT("'"&amp;LEFT($A62,LEN($A62)-1)&amp;"'!$H$13:$J$41"),MATCH(I$1,INDIRECT("'"&amp;LEFT($A62,LEN($A62)-1)&amp;"'!$A$13:$A$41"),0),VALUE(RIGHT($A62,1)))="NO",0,"?"))</f>
        <v>?</v>
      </c>
      <c r="J62" s="86" t="n">
        <f aca="true">IF(INDEX(INDIRECT("'"&amp;LEFT($A62,LEN($A62)-1)&amp;"'!$H$13:$J$41"),MATCH(J$1,INDIRECT("'"&amp;LEFT($A62,LEN($A62)-1)&amp;"'!$A$13:$A$41"),0),VALUE(RIGHT($A62,1)))="YES",$H62,IF(INDEX(INDIRECT("'"&amp;LEFT($A62,LEN($A62)-1)&amp;"'!$H$13:$J$41"),MATCH(J$1,INDIRECT("'"&amp;LEFT($A62,LEN($A62)-1)&amp;"'!$A$13:$A$41"),0),VALUE(RIGHT($A62,1)))="NO",0,"?"))</f>
        <v>0</v>
      </c>
      <c r="K62" s="86" t="str">
        <f aca="true">IF(INDEX(INDIRECT("'"&amp;LEFT($A62,LEN($A62)-1)&amp;"'!$H$13:$J$41"),MATCH(K$1,INDIRECT("'"&amp;LEFT($A62,LEN($A62)-1)&amp;"'!$A$13:$A$41"),0),VALUE(RIGHT($A62,1)))="YES",$H62,IF(INDEX(INDIRECT("'"&amp;LEFT($A62,LEN($A62)-1)&amp;"'!$H$13:$J$41"),MATCH(K$1,INDIRECT("'"&amp;LEFT($A62,LEN($A62)-1)&amp;"'!$A$13:$A$41"),0),VALUE(RIGHT($A62,1)))="NO",0,"?"))</f>
        <v>?</v>
      </c>
      <c r="L62" s="86" t="str">
        <f aca="true">IF(INDEX(INDIRECT("'"&amp;LEFT($A62,LEN($A62)-1)&amp;"'!$H$13:$J$41"),MATCH(L$1,INDIRECT("'"&amp;LEFT($A62,LEN($A62)-1)&amp;"'!$A$13:$A$41"),0),VALUE(RIGHT($A62,1)))="YES",$H62,IF(INDEX(INDIRECT("'"&amp;LEFT($A62,LEN($A62)-1)&amp;"'!$H$13:$J$41"),MATCH(L$1,INDIRECT("'"&amp;LEFT($A62,LEN($A62)-1)&amp;"'!$A$13:$A$41"),0),VALUE(RIGHT($A62,1)))="NO",0,"?"))</f>
        <v>?</v>
      </c>
      <c r="M62" s="86" t="str">
        <f aca="true">IF(INDEX(INDIRECT("'"&amp;LEFT($A62,LEN($A62)-1)&amp;"'!$H$13:$J$41"),MATCH(M$1,INDIRECT("'"&amp;LEFT($A62,LEN($A62)-1)&amp;"'!$A$13:$A$41"),0),VALUE(RIGHT($A62,1)))="YES",$H62,IF(INDEX(INDIRECT("'"&amp;LEFT($A62,LEN($A62)-1)&amp;"'!$H$13:$J$41"),MATCH(M$1,INDIRECT("'"&amp;LEFT($A62,LEN($A62)-1)&amp;"'!$A$13:$A$41"),0),VALUE(RIGHT($A62,1)))="NO",0,"?"))</f>
        <v>?</v>
      </c>
      <c r="N62" s="86" t="str">
        <f aca="true">IF(INDEX(INDIRECT("'"&amp;LEFT($A62,LEN($A62)-1)&amp;"'!$H$13:$J$41"),MATCH(N$1,INDIRECT("'"&amp;LEFT($A62,LEN($A62)-1)&amp;"'!$A$13:$A$41"),0),VALUE(RIGHT($A62,1)))="YES",$H62,IF(INDEX(INDIRECT("'"&amp;LEFT($A62,LEN($A62)-1)&amp;"'!$H$13:$J$41"),MATCH(N$1,INDIRECT("'"&amp;LEFT($A62,LEN($A62)-1)&amp;"'!$A$13:$A$41"),0),VALUE(RIGHT($A62,1)))="NO",0,"?"))</f>
        <v>?</v>
      </c>
      <c r="O62" s="86" t="str">
        <f aca="true">IF(INDEX(INDIRECT("'"&amp;LEFT($A62,LEN($A62)-1)&amp;"'!$H$13:$J$41"),MATCH(O$1,INDIRECT("'"&amp;LEFT($A62,LEN($A62)-1)&amp;"'!$A$13:$A$41"),0),VALUE(RIGHT($A62,1)))="YES",$H62,IF(INDEX(INDIRECT("'"&amp;LEFT($A62,LEN($A62)-1)&amp;"'!$H$13:$J$41"),MATCH(O$1,INDIRECT("'"&amp;LEFT($A62,LEN($A62)-1)&amp;"'!$A$13:$A$41"),0),VALUE(RIGHT($A62,1)))="NO",0,"?"))</f>
        <v>?</v>
      </c>
      <c r="P62" s="86" t="str">
        <f aca="true">IF(INDEX(INDIRECT("'"&amp;LEFT($A62,LEN($A62)-1)&amp;"'!$H$13:$J$41"),MATCH(P$1,INDIRECT("'"&amp;LEFT($A62,LEN($A62)-1)&amp;"'!$A$13:$A$41"),0),VALUE(RIGHT($A62,1)))="YES",$H62,IF(INDEX(INDIRECT("'"&amp;LEFT($A62,LEN($A62)-1)&amp;"'!$H$13:$J$41"),MATCH(P$1,INDIRECT("'"&amp;LEFT($A62,LEN($A62)-1)&amp;"'!$A$13:$A$41"),0),VALUE(RIGHT($A62,1)))="NO",0,"?"))</f>
        <v>?</v>
      </c>
      <c r="Q62" s="86" t="str">
        <f aca="true">IF(INDEX(INDIRECT("'"&amp;LEFT($A62,LEN($A62)-1)&amp;"'!$H$13:$J$41"),MATCH(Q$1,INDIRECT("'"&amp;LEFT($A62,LEN($A62)-1)&amp;"'!$A$13:$A$41"),0),VALUE(RIGHT($A62,1)))="YES",$H62,IF(INDEX(INDIRECT("'"&amp;LEFT($A62,LEN($A62)-1)&amp;"'!$H$13:$J$41"),MATCH(Q$1,INDIRECT("'"&amp;LEFT($A62,LEN($A62)-1)&amp;"'!$A$13:$A$41"),0),VALUE(RIGHT($A62,1)))="NO",0,"?"))</f>
        <v>?</v>
      </c>
      <c r="R62" s="86" t="str">
        <f aca="true">IF(INDEX(INDIRECT("'"&amp;LEFT($A62,LEN($A62)-1)&amp;"'!$H$13:$J$41"),MATCH(R$1,INDIRECT("'"&amp;LEFT($A62,LEN($A62)-1)&amp;"'!$A$13:$A$41"),0),VALUE(RIGHT($A62,1)))="YES",$H62,IF(INDEX(INDIRECT("'"&amp;LEFT($A62,LEN($A62)-1)&amp;"'!$H$13:$J$41"),MATCH(R$1,INDIRECT("'"&amp;LEFT($A62,LEN($A62)-1)&amp;"'!$A$13:$A$41"),0),VALUE(RIGHT($A62,1)))="NO",0,"?"))</f>
        <v>?</v>
      </c>
      <c r="S62" s="86" t="str">
        <f aca="true">IF(INDEX(INDIRECT("'"&amp;LEFT($A62,LEN($A62)-1)&amp;"'!$H$13:$J$41"),MATCH(S$1,INDIRECT("'"&amp;LEFT($A62,LEN($A62)-1)&amp;"'!$A$13:$A$41"),0),VALUE(RIGHT($A62,1)))="YES",$H62,IF(INDEX(INDIRECT("'"&amp;LEFT($A62,LEN($A62)-1)&amp;"'!$H$13:$J$41"),MATCH(S$1,INDIRECT("'"&amp;LEFT($A62,LEN($A62)-1)&amp;"'!$A$13:$A$41"),0),VALUE(RIGHT($A62,1)))="NO",0,"?"))</f>
        <v>?</v>
      </c>
      <c r="T62" s="86" t="str">
        <f aca="true">IF(INDEX(INDIRECT("'"&amp;LEFT($A62,LEN($A62)-1)&amp;"'!$H$13:$J$41"),MATCH(T$1,INDIRECT("'"&amp;LEFT($A62,LEN($A62)-1)&amp;"'!$A$13:$A$41"),0),VALUE(RIGHT($A62,1)))="YES",$H62,IF(INDEX(INDIRECT("'"&amp;LEFT($A62,LEN($A62)-1)&amp;"'!$H$13:$J$41"),MATCH(T$1,INDIRECT("'"&amp;LEFT($A62,LEN($A62)-1)&amp;"'!$A$13:$A$41"),0),VALUE(RIGHT($A62,1)))="NO",0,"?"))</f>
        <v>?</v>
      </c>
      <c r="U62" s="86" t="str">
        <f aca="true">IF(INDEX(INDIRECT("'"&amp;LEFT($A62,LEN($A62)-1)&amp;"'!$H$13:$J$41"),MATCH(U$1,INDIRECT("'"&amp;LEFT($A62,LEN($A62)-1)&amp;"'!$A$13:$A$41"),0),VALUE(RIGHT($A62,1)))="YES",$H62,IF(INDEX(INDIRECT("'"&amp;LEFT($A62,LEN($A62)-1)&amp;"'!$H$13:$J$41"),MATCH(U$1,INDIRECT("'"&amp;LEFT($A62,LEN($A62)-1)&amp;"'!$A$13:$A$41"),0),VALUE(RIGHT($A62,1)))="NO",0,"?"))</f>
        <v>?</v>
      </c>
      <c r="V62" s="86" t="str">
        <f aca="true">IF(INDEX(INDIRECT("'"&amp;LEFT($A62,LEN($A62)-1)&amp;"'!$H$13:$J$41"),MATCH(V$1,INDIRECT("'"&amp;LEFT($A62,LEN($A62)-1)&amp;"'!$A$13:$A$41"),0),VALUE(RIGHT($A62,1)))="YES",$H62,IF(INDEX(INDIRECT("'"&amp;LEFT($A62,LEN($A62)-1)&amp;"'!$H$13:$J$41"),MATCH(V$1,INDIRECT("'"&amp;LEFT($A62,LEN($A62)-1)&amp;"'!$A$13:$A$41"),0),VALUE(RIGHT($A62,1)))="NO",0,"?"))</f>
        <v>?</v>
      </c>
      <c r="W62" s="86" t="str">
        <f aca="true">IF(INDEX(INDIRECT("'"&amp;LEFT($A62,LEN($A62)-1)&amp;"'!$H$13:$J$41"),MATCH(W$1,INDIRECT("'"&amp;LEFT($A62,LEN($A62)-1)&amp;"'!$A$13:$A$41"),0),VALUE(RIGHT($A62,1)))="YES",$H62,IF(INDEX(INDIRECT("'"&amp;LEFT($A62,LEN($A62)-1)&amp;"'!$H$13:$J$41"),MATCH(W$1,INDIRECT("'"&amp;LEFT($A62,LEN($A62)-1)&amp;"'!$A$13:$A$41"),0),VALUE(RIGHT($A62,1)))="NO",0,"?"))</f>
        <v>?</v>
      </c>
      <c r="X62" s="86" t="str">
        <f aca="true">IF(INDEX(INDIRECT("'"&amp;LEFT($A62,LEN($A62)-1)&amp;"'!$H$13:$J$41"),MATCH(X$1,INDIRECT("'"&amp;LEFT($A62,LEN($A62)-1)&amp;"'!$A$13:$A$41"),0),VALUE(RIGHT($A62,1)))="YES",$H62,IF(INDEX(INDIRECT("'"&amp;LEFT($A62,LEN($A62)-1)&amp;"'!$H$13:$J$41"),MATCH(X$1,INDIRECT("'"&amp;LEFT($A62,LEN($A62)-1)&amp;"'!$A$13:$A$41"),0),VALUE(RIGHT($A62,1)))="NO",0,"?"))</f>
        <v>?</v>
      </c>
      <c r="Y62" s="86" t="str">
        <f aca="true">IF(INDEX(INDIRECT("'"&amp;LEFT($A62,LEN($A62)-1)&amp;"'!$H$13:$J$41"),MATCH(Y$1,INDIRECT("'"&amp;LEFT($A62,LEN($A62)-1)&amp;"'!$A$13:$A$41"),0),VALUE(RIGHT($A62,1)))="YES",$H62,IF(INDEX(INDIRECT("'"&amp;LEFT($A62,LEN($A62)-1)&amp;"'!$H$13:$J$41"),MATCH(Y$1,INDIRECT("'"&amp;LEFT($A62,LEN($A62)-1)&amp;"'!$A$13:$A$41"),0),VALUE(RIGHT($A62,1)))="NO",0,"?"))</f>
        <v>?</v>
      </c>
      <c r="Z62" s="86" t="str">
        <f aca="true">IF(INDEX(INDIRECT("'"&amp;LEFT($A62,LEN($A62)-1)&amp;"'!$H$13:$J$41"),MATCH(Z$1,INDIRECT("'"&amp;LEFT($A62,LEN($A62)-1)&amp;"'!$A$13:$A$41"),0),VALUE(RIGHT($A62,1)))="YES",$H62,IF(INDEX(INDIRECT("'"&amp;LEFT($A62,LEN($A62)-1)&amp;"'!$H$13:$J$41"),MATCH(Z$1,INDIRECT("'"&amp;LEFT($A62,LEN($A62)-1)&amp;"'!$A$13:$A$41"),0),VALUE(RIGHT($A62,1)))="NO",0,"?"))</f>
        <v>?</v>
      </c>
      <c r="AA62" s="86" t="str">
        <f aca="true">IF(INDEX(INDIRECT("'"&amp;LEFT($A62,LEN($A62)-1)&amp;"'!$H$13:$J$41"),MATCH(AA$1,INDIRECT("'"&amp;LEFT($A62,LEN($A62)-1)&amp;"'!$A$13:$A$41"),0),VALUE(RIGHT($A62,1)))="YES",$H62,IF(INDEX(INDIRECT("'"&amp;LEFT($A62,LEN($A62)-1)&amp;"'!$H$13:$J$41"),MATCH(AA$1,INDIRECT("'"&amp;LEFT($A62,LEN($A62)-1)&amp;"'!$A$13:$A$41"),0),VALUE(RIGHT($A62,1)))="NO",0,"?"))</f>
        <v>?</v>
      </c>
      <c r="AB62" s="86" t="str">
        <f aca="true">IF(INDEX(INDIRECT("'"&amp;LEFT($A62,LEN($A62)-1)&amp;"'!$H$13:$J$41"),MATCH(AB$1,INDIRECT("'"&amp;LEFT($A62,LEN($A62)-1)&amp;"'!$A$13:$A$41"),0),VALUE(RIGHT($A62,1)))="YES",$H62,IF(INDEX(INDIRECT("'"&amp;LEFT($A62,LEN($A62)-1)&amp;"'!$H$13:$J$41"),MATCH(AB$1,INDIRECT("'"&amp;LEFT($A62,LEN($A62)-1)&amp;"'!$A$13:$A$41"),0),VALUE(RIGHT($A62,1)))="NO",0,"?"))</f>
        <v>?</v>
      </c>
      <c r="AC62" s="86" t="str">
        <f aca="true">IF(INDEX(INDIRECT("'"&amp;LEFT($A62,LEN($A62)-1)&amp;"'!$H$13:$J$41"),MATCH(AC$1,INDIRECT("'"&amp;LEFT($A62,LEN($A62)-1)&amp;"'!$A$13:$A$41"),0),VALUE(RIGHT($A62,1)))="YES",$H62,IF(INDEX(INDIRECT("'"&amp;LEFT($A62,LEN($A62)-1)&amp;"'!$H$13:$J$41"),MATCH(AC$1,INDIRECT("'"&amp;LEFT($A62,LEN($A62)-1)&amp;"'!$A$13:$A$41"),0),VALUE(RIGHT($A62,1)))="NO",0,"?"))</f>
        <v>?</v>
      </c>
      <c r="AD62" s="86" t="str">
        <f aca="true">IF(INDEX(INDIRECT("'"&amp;LEFT($A62,LEN($A62)-1)&amp;"'!$H$13:$J$41"),MATCH(AD$1,INDIRECT("'"&amp;LEFT($A62,LEN($A62)-1)&amp;"'!$A$13:$A$41"),0),VALUE(RIGHT($A62,1)))="YES",$H62,IF(INDEX(INDIRECT("'"&amp;LEFT($A62,LEN($A62)-1)&amp;"'!$H$13:$J$41"),MATCH(AD$1,INDIRECT("'"&amp;LEFT($A62,LEN($A62)-1)&amp;"'!$A$13:$A$41"),0),VALUE(RIGHT($A62,1)))="NO",0,"?"))</f>
        <v>?</v>
      </c>
      <c r="AE62" s="86" t="str">
        <f aca="true">IF(INDEX(INDIRECT("'"&amp;LEFT($A62,LEN($A62)-1)&amp;"'!$H$13:$J$41"),MATCH(AE$1,INDIRECT("'"&amp;LEFT($A62,LEN($A62)-1)&amp;"'!$A$13:$A$41"),0),VALUE(RIGHT($A62,1)))="YES",$H62,IF(INDEX(INDIRECT("'"&amp;LEFT($A62,LEN($A62)-1)&amp;"'!$H$13:$J$41"),MATCH(AE$1,INDIRECT("'"&amp;LEFT($A62,LEN($A62)-1)&amp;"'!$A$13:$A$41"),0),VALUE(RIGHT($A62,1)))="NO",0,"?"))</f>
        <v>?</v>
      </c>
      <c r="AF62" s="86" t="str">
        <f aca="true">IF(INDEX(INDIRECT("'"&amp;LEFT($A62,LEN($A62)-1)&amp;"'!$H$13:$J$41"),MATCH(AF$1,INDIRECT("'"&amp;LEFT($A62,LEN($A62)-1)&amp;"'!$A$13:$A$41"),0),VALUE(RIGHT($A62,1)))="YES",$H62,IF(INDEX(INDIRECT("'"&amp;LEFT($A62,LEN($A62)-1)&amp;"'!$H$13:$J$41"),MATCH(AF$1,INDIRECT("'"&amp;LEFT($A62,LEN($A62)-1)&amp;"'!$A$13:$A$41"),0),VALUE(RIGHT($A62,1)))="NO",0,"?"))</f>
        <v>?</v>
      </c>
      <c r="AG62" s="86" t="str">
        <f aca="true">IF(INDEX(INDIRECT("'"&amp;LEFT($A62,LEN($A62)-1)&amp;"'!$H$13:$J$41"),MATCH(AG$1,INDIRECT("'"&amp;LEFT($A62,LEN($A62)-1)&amp;"'!$A$13:$A$41"),0),VALUE(RIGHT($A62,1)))="YES",$H62,IF(INDEX(INDIRECT("'"&amp;LEFT($A62,LEN($A62)-1)&amp;"'!$H$13:$J$41"),MATCH(AG$1,INDIRECT("'"&amp;LEFT($A62,LEN($A62)-1)&amp;"'!$A$13:$A$41"),0),VALUE(RIGHT($A62,1)))="NO",0,"?"))</f>
        <v>?</v>
      </c>
      <c r="AH62" s="86" t="str">
        <f aca="true">IF(INDEX(INDIRECT("'"&amp;LEFT($A62,LEN($A62)-1)&amp;"'!$H$13:$J$41"),MATCH(AH$1,INDIRECT("'"&amp;LEFT($A62,LEN($A62)-1)&amp;"'!$A$13:$A$41"),0),VALUE(RIGHT($A62,1)))="YES",$H62,IF(INDEX(INDIRECT("'"&amp;LEFT($A62,LEN($A62)-1)&amp;"'!$H$13:$J$41"),MATCH(AH$1,INDIRECT("'"&amp;LEFT($A62,LEN($A62)-1)&amp;"'!$A$13:$A$41"),0),VALUE(RIGHT($A62,1)))="NO",0,"?"))</f>
        <v>?</v>
      </c>
      <c r="AI62" s="86" t="str">
        <f aca="true">IF(INDEX(INDIRECT("'"&amp;LEFT($A62,LEN($A62)-1)&amp;"'!$H$13:$J$41"),MATCH(AI$1,INDIRECT("'"&amp;LEFT($A62,LEN($A62)-1)&amp;"'!$A$13:$A$41"),0),VALUE(RIGHT($A62,1)))="YES",$H62,IF(INDEX(INDIRECT("'"&amp;LEFT($A62,LEN($A62)-1)&amp;"'!$H$13:$J$41"),MATCH(AI$1,INDIRECT("'"&amp;LEFT($A62,LEN($A62)-1)&amp;"'!$A$13:$A$41"),0),VALUE(RIGHT($A62,1)))="NO",0,"?"))</f>
        <v>?</v>
      </c>
      <c r="AJ62" s="86" t="str">
        <f aca="true">IF(INDEX(INDIRECT("'"&amp;LEFT($A62,LEN($A62)-1)&amp;"'!$H$13:$J$41"),MATCH(AJ$1,INDIRECT("'"&amp;LEFT($A62,LEN($A62)-1)&amp;"'!$A$13:$A$41"),0),VALUE(RIGHT($A62,1)))="YES",$H62,IF(INDEX(INDIRECT("'"&amp;LEFT($A62,LEN($A62)-1)&amp;"'!$H$13:$J$41"),MATCH(AJ$1,INDIRECT("'"&amp;LEFT($A62,LEN($A62)-1)&amp;"'!$A$13:$A$41"),0),VALUE(RIGHT($A62,1)))="NO",0,"?"))</f>
        <v>?</v>
      </c>
      <c r="AK62" s="86" t="str">
        <f aca="true">IF(INDEX(INDIRECT("'"&amp;LEFT($A62,LEN($A62)-1)&amp;"'!$H$13:$J$41"),MATCH(AK$1,INDIRECT("'"&amp;LEFT($A62,LEN($A62)-1)&amp;"'!$A$13:$A$41"),0),VALUE(RIGHT($A62,1)))="YES",$H62,IF(INDEX(INDIRECT("'"&amp;LEFT($A62,LEN($A62)-1)&amp;"'!$H$13:$J$41"),MATCH(AK$1,INDIRECT("'"&amp;LEFT($A62,LEN($A62)-1)&amp;"'!$A$13:$A$41"),0),VALUE(RIGHT($A62,1)))="NO",0,"?"))</f>
        <v>?</v>
      </c>
    </row>
    <row r="63" customFormat="false" ht="14.25" hidden="false" customHeight="false" outlineLevel="0" collapsed="false">
      <c r="A63" s="82" t="s">
        <v>572</v>
      </c>
      <c r="B63" s="83" t="str">
        <f aca="false">IF(ISBLANK($A63),"NO_CODE",VLOOKUP($A63,'UPD Questions_290926 '!$E$1:$N$300,MATCH(B$1,'UPD Questions_290926 '!$E$1:$N$1,0),0)&amp;"")</f>
        <v>Implementation</v>
      </c>
      <c r="C63" s="83" t="str">
        <f aca="false">IF(ISBLANK($A63),"NO_CODE",VLOOKUP($A63,'UPD Questions_290926 '!$E$1:$N$300,MATCH(C$1,'UPD Questions_290926 '!$E$1:$N$1,0),0)&amp;"")</f>
        <v>Sectoral planning</v>
      </c>
      <c r="D63" s="83" t="str">
        <f aca="false">IF(ISBLANK($A63),"NO_CODE",VLOOKUP($A63,'UPD Questions_290926 '!$E$1:$N$300,MATCH(D$1,'UPD Questions_290926 '!$E$1:$N$1,0),0)&amp;"")</f>
        <v>Water supply and sewerage, sanitation, solid waste management </v>
      </c>
      <c r="E63" s="83" t="str">
        <f aca="false">IF(ISBLANK($A63),"NO_CODE",VLOOKUP($A63,'UPD Questions_290926 '!$E$1:$N$300,MATCH(E$1,'UPD Questions_290926 '!$E$1:$N$1,0),0)&amp;"")</f>
        <v>SQ3</v>
      </c>
      <c r="F63" s="83" t="str">
        <f aca="false">IF(ISBLANK($A63),"NO_CODE",VLOOKUP($A63,'UPD Questions_290926 '!$E$1:$N$300,MATCH(F$1,'UPD Questions_290926 '!$E$1:$N$1,0),0)&amp;"")</f>
        <v>c)  City Sanitation Plan</v>
      </c>
      <c r="G63" s="83" t="str">
        <f aca="false">IF(ISBLANK($A63),"NO_CODE",VLOOKUP($A63,'UPD Questions_290926 '!$E$1:$N$300,MATCH(G$1,'UPD Questions_290926 '!$E$1:$N$1,0),0)&amp;"")</f>
        <v>Implementation</v>
      </c>
      <c r="H63" s="85" t="n">
        <f aca="false">IF(ISBLANK($A63),"NO_CODE",VLOOKUP($A63,'UPD Questions_290926 '!$E$1:$N$300,MATCH(H$1,'UPD Questions_290926 '!$E$1:$N$1,0),0))</f>
        <v>1.11</v>
      </c>
      <c r="I63" s="86" t="str">
        <f aca="true">IF(INDEX(INDIRECT("'"&amp;LEFT($A63,LEN($A63)-1)&amp;"'!$H$13:$J$41"),MATCH(I$1,INDIRECT("'"&amp;LEFT($A63,LEN($A63)-1)&amp;"'!$A$13:$A$41"),0),VALUE(RIGHT($A63,1)))="YES",$H63,IF(INDEX(INDIRECT("'"&amp;LEFT($A63,LEN($A63)-1)&amp;"'!$H$13:$J$41"),MATCH(I$1,INDIRECT("'"&amp;LEFT($A63,LEN($A63)-1)&amp;"'!$A$13:$A$41"),0),VALUE(RIGHT($A63,1)))="NO",0,"?"))</f>
        <v>?</v>
      </c>
      <c r="J63" s="86" t="n">
        <f aca="true">IF(INDEX(INDIRECT("'"&amp;LEFT($A63,LEN($A63)-1)&amp;"'!$H$13:$J$41"),MATCH(J$1,INDIRECT("'"&amp;LEFT($A63,LEN($A63)-1)&amp;"'!$A$13:$A$41"),0),VALUE(RIGHT($A63,1)))="YES",$H63,IF(INDEX(INDIRECT("'"&amp;LEFT($A63,LEN($A63)-1)&amp;"'!$H$13:$J$41"),MATCH(J$1,INDIRECT("'"&amp;LEFT($A63,LEN($A63)-1)&amp;"'!$A$13:$A$41"),0),VALUE(RIGHT($A63,1)))="NO",0,"?"))</f>
        <v>0</v>
      </c>
      <c r="K63" s="86" t="str">
        <f aca="true">IF(INDEX(INDIRECT("'"&amp;LEFT($A63,LEN($A63)-1)&amp;"'!$H$13:$J$41"),MATCH(K$1,INDIRECT("'"&amp;LEFT($A63,LEN($A63)-1)&amp;"'!$A$13:$A$41"),0),VALUE(RIGHT($A63,1)))="YES",$H63,IF(INDEX(INDIRECT("'"&amp;LEFT($A63,LEN($A63)-1)&amp;"'!$H$13:$J$41"),MATCH(K$1,INDIRECT("'"&amp;LEFT($A63,LEN($A63)-1)&amp;"'!$A$13:$A$41"),0),VALUE(RIGHT($A63,1)))="NO",0,"?"))</f>
        <v>?</v>
      </c>
      <c r="L63" s="86" t="str">
        <f aca="true">IF(INDEX(INDIRECT("'"&amp;LEFT($A63,LEN($A63)-1)&amp;"'!$H$13:$J$41"),MATCH(L$1,INDIRECT("'"&amp;LEFT($A63,LEN($A63)-1)&amp;"'!$A$13:$A$41"),0),VALUE(RIGHT($A63,1)))="YES",$H63,IF(INDEX(INDIRECT("'"&amp;LEFT($A63,LEN($A63)-1)&amp;"'!$H$13:$J$41"),MATCH(L$1,INDIRECT("'"&amp;LEFT($A63,LEN($A63)-1)&amp;"'!$A$13:$A$41"),0),VALUE(RIGHT($A63,1)))="NO",0,"?"))</f>
        <v>?</v>
      </c>
      <c r="M63" s="86" t="str">
        <f aca="true">IF(INDEX(INDIRECT("'"&amp;LEFT($A63,LEN($A63)-1)&amp;"'!$H$13:$J$41"),MATCH(M$1,INDIRECT("'"&amp;LEFT($A63,LEN($A63)-1)&amp;"'!$A$13:$A$41"),0),VALUE(RIGHT($A63,1)))="YES",$H63,IF(INDEX(INDIRECT("'"&amp;LEFT($A63,LEN($A63)-1)&amp;"'!$H$13:$J$41"),MATCH(M$1,INDIRECT("'"&amp;LEFT($A63,LEN($A63)-1)&amp;"'!$A$13:$A$41"),0),VALUE(RIGHT($A63,1)))="NO",0,"?"))</f>
        <v>?</v>
      </c>
      <c r="N63" s="86" t="str">
        <f aca="true">IF(INDEX(INDIRECT("'"&amp;LEFT($A63,LEN($A63)-1)&amp;"'!$H$13:$J$41"),MATCH(N$1,INDIRECT("'"&amp;LEFT($A63,LEN($A63)-1)&amp;"'!$A$13:$A$41"),0),VALUE(RIGHT($A63,1)))="YES",$H63,IF(INDEX(INDIRECT("'"&amp;LEFT($A63,LEN($A63)-1)&amp;"'!$H$13:$J$41"),MATCH(N$1,INDIRECT("'"&amp;LEFT($A63,LEN($A63)-1)&amp;"'!$A$13:$A$41"),0),VALUE(RIGHT($A63,1)))="NO",0,"?"))</f>
        <v>?</v>
      </c>
      <c r="O63" s="86" t="str">
        <f aca="true">IF(INDEX(INDIRECT("'"&amp;LEFT($A63,LEN($A63)-1)&amp;"'!$H$13:$J$41"),MATCH(O$1,INDIRECT("'"&amp;LEFT($A63,LEN($A63)-1)&amp;"'!$A$13:$A$41"),0),VALUE(RIGHT($A63,1)))="YES",$H63,IF(INDEX(INDIRECT("'"&amp;LEFT($A63,LEN($A63)-1)&amp;"'!$H$13:$J$41"),MATCH(O$1,INDIRECT("'"&amp;LEFT($A63,LEN($A63)-1)&amp;"'!$A$13:$A$41"),0),VALUE(RIGHT($A63,1)))="NO",0,"?"))</f>
        <v>?</v>
      </c>
      <c r="P63" s="86" t="str">
        <f aca="true">IF(INDEX(INDIRECT("'"&amp;LEFT($A63,LEN($A63)-1)&amp;"'!$H$13:$J$41"),MATCH(P$1,INDIRECT("'"&amp;LEFT($A63,LEN($A63)-1)&amp;"'!$A$13:$A$41"),0),VALUE(RIGHT($A63,1)))="YES",$H63,IF(INDEX(INDIRECT("'"&amp;LEFT($A63,LEN($A63)-1)&amp;"'!$H$13:$J$41"),MATCH(P$1,INDIRECT("'"&amp;LEFT($A63,LEN($A63)-1)&amp;"'!$A$13:$A$41"),0),VALUE(RIGHT($A63,1)))="NO",0,"?"))</f>
        <v>?</v>
      </c>
      <c r="Q63" s="86" t="str">
        <f aca="true">IF(INDEX(INDIRECT("'"&amp;LEFT($A63,LEN($A63)-1)&amp;"'!$H$13:$J$41"),MATCH(Q$1,INDIRECT("'"&amp;LEFT($A63,LEN($A63)-1)&amp;"'!$A$13:$A$41"),0),VALUE(RIGHT($A63,1)))="YES",$H63,IF(INDEX(INDIRECT("'"&amp;LEFT($A63,LEN($A63)-1)&amp;"'!$H$13:$J$41"),MATCH(Q$1,INDIRECT("'"&amp;LEFT($A63,LEN($A63)-1)&amp;"'!$A$13:$A$41"),0),VALUE(RIGHT($A63,1)))="NO",0,"?"))</f>
        <v>?</v>
      </c>
      <c r="R63" s="86" t="str">
        <f aca="true">IF(INDEX(INDIRECT("'"&amp;LEFT($A63,LEN($A63)-1)&amp;"'!$H$13:$J$41"),MATCH(R$1,INDIRECT("'"&amp;LEFT($A63,LEN($A63)-1)&amp;"'!$A$13:$A$41"),0),VALUE(RIGHT($A63,1)))="YES",$H63,IF(INDEX(INDIRECT("'"&amp;LEFT($A63,LEN($A63)-1)&amp;"'!$H$13:$J$41"),MATCH(R$1,INDIRECT("'"&amp;LEFT($A63,LEN($A63)-1)&amp;"'!$A$13:$A$41"),0),VALUE(RIGHT($A63,1)))="NO",0,"?"))</f>
        <v>?</v>
      </c>
      <c r="S63" s="86" t="str">
        <f aca="true">IF(INDEX(INDIRECT("'"&amp;LEFT($A63,LEN($A63)-1)&amp;"'!$H$13:$J$41"),MATCH(S$1,INDIRECT("'"&amp;LEFT($A63,LEN($A63)-1)&amp;"'!$A$13:$A$41"),0),VALUE(RIGHT($A63,1)))="YES",$H63,IF(INDEX(INDIRECT("'"&amp;LEFT($A63,LEN($A63)-1)&amp;"'!$H$13:$J$41"),MATCH(S$1,INDIRECT("'"&amp;LEFT($A63,LEN($A63)-1)&amp;"'!$A$13:$A$41"),0),VALUE(RIGHT($A63,1)))="NO",0,"?"))</f>
        <v>?</v>
      </c>
      <c r="T63" s="86" t="str">
        <f aca="true">IF(INDEX(INDIRECT("'"&amp;LEFT($A63,LEN($A63)-1)&amp;"'!$H$13:$J$41"),MATCH(T$1,INDIRECT("'"&amp;LEFT($A63,LEN($A63)-1)&amp;"'!$A$13:$A$41"),0),VALUE(RIGHT($A63,1)))="YES",$H63,IF(INDEX(INDIRECT("'"&amp;LEFT($A63,LEN($A63)-1)&amp;"'!$H$13:$J$41"),MATCH(T$1,INDIRECT("'"&amp;LEFT($A63,LEN($A63)-1)&amp;"'!$A$13:$A$41"),0),VALUE(RIGHT($A63,1)))="NO",0,"?"))</f>
        <v>?</v>
      </c>
      <c r="U63" s="86" t="str">
        <f aca="true">IF(INDEX(INDIRECT("'"&amp;LEFT($A63,LEN($A63)-1)&amp;"'!$H$13:$J$41"),MATCH(U$1,INDIRECT("'"&amp;LEFT($A63,LEN($A63)-1)&amp;"'!$A$13:$A$41"),0),VALUE(RIGHT($A63,1)))="YES",$H63,IF(INDEX(INDIRECT("'"&amp;LEFT($A63,LEN($A63)-1)&amp;"'!$H$13:$J$41"),MATCH(U$1,INDIRECT("'"&amp;LEFT($A63,LEN($A63)-1)&amp;"'!$A$13:$A$41"),0),VALUE(RIGHT($A63,1)))="NO",0,"?"))</f>
        <v>?</v>
      </c>
      <c r="V63" s="86" t="str">
        <f aca="true">IF(INDEX(INDIRECT("'"&amp;LEFT($A63,LEN($A63)-1)&amp;"'!$H$13:$J$41"),MATCH(V$1,INDIRECT("'"&amp;LEFT($A63,LEN($A63)-1)&amp;"'!$A$13:$A$41"),0),VALUE(RIGHT($A63,1)))="YES",$H63,IF(INDEX(INDIRECT("'"&amp;LEFT($A63,LEN($A63)-1)&amp;"'!$H$13:$J$41"),MATCH(V$1,INDIRECT("'"&amp;LEFT($A63,LEN($A63)-1)&amp;"'!$A$13:$A$41"),0),VALUE(RIGHT($A63,1)))="NO",0,"?"))</f>
        <v>?</v>
      </c>
      <c r="W63" s="86" t="str">
        <f aca="true">IF(INDEX(INDIRECT("'"&amp;LEFT($A63,LEN($A63)-1)&amp;"'!$H$13:$J$41"),MATCH(W$1,INDIRECT("'"&amp;LEFT($A63,LEN($A63)-1)&amp;"'!$A$13:$A$41"),0),VALUE(RIGHT($A63,1)))="YES",$H63,IF(INDEX(INDIRECT("'"&amp;LEFT($A63,LEN($A63)-1)&amp;"'!$H$13:$J$41"),MATCH(W$1,INDIRECT("'"&amp;LEFT($A63,LEN($A63)-1)&amp;"'!$A$13:$A$41"),0),VALUE(RIGHT($A63,1)))="NO",0,"?"))</f>
        <v>?</v>
      </c>
      <c r="X63" s="86" t="str">
        <f aca="true">IF(INDEX(INDIRECT("'"&amp;LEFT($A63,LEN($A63)-1)&amp;"'!$H$13:$J$41"),MATCH(X$1,INDIRECT("'"&amp;LEFT($A63,LEN($A63)-1)&amp;"'!$A$13:$A$41"),0),VALUE(RIGHT($A63,1)))="YES",$H63,IF(INDEX(INDIRECT("'"&amp;LEFT($A63,LEN($A63)-1)&amp;"'!$H$13:$J$41"),MATCH(X$1,INDIRECT("'"&amp;LEFT($A63,LEN($A63)-1)&amp;"'!$A$13:$A$41"),0),VALUE(RIGHT($A63,1)))="NO",0,"?"))</f>
        <v>?</v>
      </c>
      <c r="Y63" s="86" t="str">
        <f aca="true">IF(INDEX(INDIRECT("'"&amp;LEFT($A63,LEN($A63)-1)&amp;"'!$H$13:$J$41"),MATCH(Y$1,INDIRECT("'"&amp;LEFT($A63,LEN($A63)-1)&amp;"'!$A$13:$A$41"),0),VALUE(RIGHT($A63,1)))="YES",$H63,IF(INDEX(INDIRECT("'"&amp;LEFT($A63,LEN($A63)-1)&amp;"'!$H$13:$J$41"),MATCH(Y$1,INDIRECT("'"&amp;LEFT($A63,LEN($A63)-1)&amp;"'!$A$13:$A$41"),0),VALUE(RIGHT($A63,1)))="NO",0,"?"))</f>
        <v>?</v>
      </c>
      <c r="Z63" s="86" t="str">
        <f aca="true">IF(INDEX(INDIRECT("'"&amp;LEFT($A63,LEN($A63)-1)&amp;"'!$H$13:$J$41"),MATCH(Z$1,INDIRECT("'"&amp;LEFT($A63,LEN($A63)-1)&amp;"'!$A$13:$A$41"),0),VALUE(RIGHT($A63,1)))="YES",$H63,IF(INDEX(INDIRECT("'"&amp;LEFT($A63,LEN($A63)-1)&amp;"'!$H$13:$J$41"),MATCH(Z$1,INDIRECT("'"&amp;LEFT($A63,LEN($A63)-1)&amp;"'!$A$13:$A$41"),0),VALUE(RIGHT($A63,1)))="NO",0,"?"))</f>
        <v>?</v>
      </c>
      <c r="AA63" s="86" t="str">
        <f aca="true">IF(INDEX(INDIRECT("'"&amp;LEFT($A63,LEN($A63)-1)&amp;"'!$H$13:$J$41"),MATCH(AA$1,INDIRECT("'"&amp;LEFT($A63,LEN($A63)-1)&amp;"'!$A$13:$A$41"),0),VALUE(RIGHT($A63,1)))="YES",$H63,IF(INDEX(INDIRECT("'"&amp;LEFT($A63,LEN($A63)-1)&amp;"'!$H$13:$J$41"),MATCH(AA$1,INDIRECT("'"&amp;LEFT($A63,LEN($A63)-1)&amp;"'!$A$13:$A$41"),0),VALUE(RIGHT($A63,1)))="NO",0,"?"))</f>
        <v>?</v>
      </c>
      <c r="AB63" s="86" t="str">
        <f aca="true">IF(INDEX(INDIRECT("'"&amp;LEFT($A63,LEN($A63)-1)&amp;"'!$H$13:$J$41"),MATCH(AB$1,INDIRECT("'"&amp;LEFT($A63,LEN($A63)-1)&amp;"'!$A$13:$A$41"),0),VALUE(RIGHT($A63,1)))="YES",$H63,IF(INDEX(INDIRECT("'"&amp;LEFT($A63,LEN($A63)-1)&amp;"'!$H$13:$J$41"),MATCH(AB$1,INDIRECT("'"&amp;LEFT($A63,LEN($A63)-1)&amp;"'!$A$13:$A$41"),0),VALUE(RIGHT($A63,1)))="NO",0,"?"))</f>
        <v>?</v>
      </c>
      <c r="AC63" s="86" t="str">
        <f aca="true">IF(INDEX(INDIRECT("'"&amp;LEFT($A63,LEN($A63)-1)&amp;"'!$H$13:$J$41"),MATCH(AC$1,INDIRECT("'"&amp;LEFT($A63,LEN($A63)-1)&amp;"'!$A$13:$A$41"),0),VALUE(RIGHT($A63,1)))="YES",$H63,IF(INDEX(INDIRECT("'"&amp;LEFT($A63,LEN($A63)-1)&amp;"'!$H$13:$J$41"),MATCH(AC$1,INDIRECT("'"&amp;LEFT($A63,LEN($A63)-1)&amp;"'!$A$13:$A$41"),0),VALUE(RIGHT($A63,1)))="NO",0,"?"))</f>
        <v>?</v>
      </c>
      <c r="AD63" s="86" t="str">
        <f aca="true">IF(INDEX(INDIRECT("'"&amp;LEFT($A63,LEN($A63)-1)&amp;"'!$H$13:$J$41"),MATCH(AD$1,INDIRECT("'"&amp;LEFT($A63,LEN($A63)-1)&amp;"'!$A$13:$A$41"),0),VALUE(RIGHT($A63,1)))="YES",$H63,IF(INDEX(INDIRECT("'"&amp;LEFT($A63,LEN($A63)-1)&amp;"'!$H$13:$J$41"),MATCH(AD$1,INDIRECT("'"&amp;LEFT($A63,LEN($A63)-1)&amp;"'!$A$13:$A$41"),0),VALUE(RIGHT($A63,1)))="NO",0,"?"))</f>
        <v>?</v>
      </c>
      <c r="AE63" s="86" t="str">
        <f aca="true">IF(INDEX(INDIRECT("'"&amp;LEFT($A63,LEN($A63)-1)&amp;"'!$H$13:$J$41"),MATCH(AE$1,INDIRECT("'"&amp;LEFT($A63,LEN($A63)-1)&amp;"'!$A$13:$A$41"),0),VALUE(RIGHT($A63,1)))="YES",$H63,IF(INDEX(INDIRECT("'"&amp;LEFT($A63,LEN($A63)-1)&amp;"'!$H$13:$J$41"),MATCH(AE$1,INDIRECT("'"&amp;LEFT($A63,LEN($A63)-1)&amp;"'!$A$13:$A$41"),0),VALUE(RIGHT($A63,1)))="NO",0,"?"))</f>
        <v>?</v>
      </c>
      <c r="AF63" s="86" t="str">
        <f aca="true">IF(INDEX(INDIRECT("'"&amp;LEFT($A63,LEN($A63)-1)&amp;"'!$H$13:$J$41"),MATCH(AF$1,INDIRECT("'"&amp;LEFT($A63,LEN($A63)-1)&amp;"'!$A$13:$A$41"),0),VALUE(RIGHT($A63,1)))="YES",$H63,IF(INDEX(INDIRECT("'"&amp;LEFT($A63,LEN($A63)-1)&amp;"'!$H$13:$J$41"),MATCH(AF$1,INDIRECT("'"&amp;LEFT($A63,LEN($A63)-1)&amp;"'!$A$13:$A$41"),0),VALUE(RIGHT($A63,1)))="NO",0,"?"))</f>
        <v>?</v>
      </c>
      <c r="AG63" s="86" t="str">
        <f aca="true">IF(INDEX(INDIRECT("'"&amp;LEFT($A63,LEN($A63)-1)&amp;"'!$H$13:$J$41"),MATCH(AG$1,INDIRECT("'"&amp;LEFT($A63,LEN($A63)-1)&amp;"'!$A$13:$A$41"),0),VALUE(RIGHT($A63,1)))="YES",$H63,IF(INDEX(INDIRECT("'"&amp;LEFT($A63,LEN($A63)-1)&amp;"'!$H$13:$J$41"),MATCH(AG$1,INDIRECT("'"&amp;LEFT($A63,LEN($A63)-1)&amp;"'!$A$13:$A$41"),0),VALUE(RIGHT($A63,1)))="NO",0,"?"))</f>
        <v>?</v>
      </c>
      <c r="AH63" s="86" t="str">
        <f aca="true">IF(INDEX(INDIRECT("'"&amp;LEFT($A63,LEN($A63)-1)&amp;"'!$H$13:$J$41"),MATCH(AH$1,INDIRECT("'"&amp;LEFT($A63,LEN($A63)-1)&amp;"'!$A$13:$A$41"),0),VALUE(RIGHT($A63,1)))="YES",$H63,IF(INDEX(INDIRECT("'"&amp;LEFT($A63,LEN($A63)-1)&amp;"'!$H$13:$J$41"),MATCH(AH$1,INDIRECT("'"&amp;LEFT($A63,LEN($A63)-1)&amp;"'!$A$13:$A$41"),0),VALUE(RIGHT($A63,1)))="NO",0,"?"))</f>
        <v>?</v>
      </c>
      <c r="AI63" s="86" t="str">
        <f aca="true">IF(INDEX(INDIRECT("'"&amp;LEFT($A63,LEN($A63)-1)&amp;"'!$H$13:$J$41"),MATCH(AI$1,INDIRECT("'"&amp;LEFT($A63,LEN($A63)-1)&amp;"'!$A$13:$A$41"),0),VALUE(RIGHT($A63,1)))="YES",$H63,IF(INDEX(INDIRECT("'"&amp;LEFT($A63,LEN($A63)-1)&amp;"'!$H$13:$J$41"),MATCH(AI$1,INDIRECT("'"&amp;LEFT($A63,LEN($A63)-1)&amp;"'!$A$13:$A$41"),0),VALUE(RIGHT($A63,1)))="NO",0,"?"))</f>
        <v>?</v>
      </c>
      <c r="AJ63" s="86" t="str">
        <f aca="true">IF(INDEX(INDIRECT("'"&amp;LEFT($A63,LEN($A63)-1)&amp;"'!$H$13:$J$41"),MATCH(AJ$1,INDIRECT("'"&amp;LEFT($A63,LEN($A63)-1)&amp;"'!$A$13:$A$41"),0),VALUE(RIGHT($A63,1)))="YES",$H63,IF(INDEX(INDIRECT("'"&amp;LEFT($A63,LEN($A63)-1)&amp;"'!$H$13:$J$41"),MATCH(AJ$1,INDIRECT("'"&amp;LEFT($A63,LEN($A63)-1)&amp;"'!$A$13:$A$41"),0),VALUE(RIGHT($A63,1)))="NO",0,"?"))</f>
        <v>?</v>
      </c>
      <c r="AK63" s="86" t="str">
        <f aca="true">IF(INDEX(INDIRECT("'"&amp;LEFT($A63,LEN($A63)-1)&amp;"'!$H$13:$J$41"),MATCH(AK$1,INDIRECT("'"&amp;LEFT($A63,LEN($A63)-1)&amp;"'!$A$13:$A$41"),0),VALUE(RIGHT($A63,1)))="YES",$H63,IF(INDEX(INDIRECT("'"&amp;LEFT($A63,LEN($A63)-1)&amp;"'!$H$13:$J$41"),MATCH(AK$1,INDIRECT("'"&amp;LEFT($A63,LEN($A63)-1)&amp;"'!$A$13:$A$41"),0),VALUE(RIGHT($A63,1)))="NO",0,"?"))</f>
        <v>?</v>
      </c>
    </row>
    <row r="64" customFormat="false" ht="14.25" hidden="false" customHeight="false" outlineLevel="0" collapsed="false">
      <c r="A64" s="82" t="s">
        <v>574</v>
      </c>
      <c r="B64" s="83" t="str">
        <f aca="false">IF(ISBLANK($A64),"NO_CODE",VLOOKUP($A64,'UPD Questions_290926 '!$E$1:$N$300,MATCH(B$1,'UPD Questions_290926 '!$E$1:$N$1,0),0)&amp;"")</f>
        <v>Implementation</v>
      </c>
      <c r="C64" s="83" t="str">
        <f aca="false">IF(ISBLANK($A64),"NO_CODE",VLOOKUP($A64,'UPD Questions_290926 '!$E$1:$N$300,MATCH(C$1,'UPD Questions_290926 '!$E$1:$N$1,0),0)&amp;"")</f>
        <v>Sectoral planning</v>
      </c>
      <c r="D64" s="83" t="str">
        <f aca="false">IF(ISBLANK($A64),"NO_CODE",VLOOKUP($A64,'UPD Questions_290926 '!$E$1:$N$300,MATCH(D$1,'UPD Questions_290926 '!$E$1:$N$1,0),0)&amp;"")</f>
        <v>Sustainability, resilience and climate action</v>
      </c>
      <c r="E64" s="83" t="str">
        <f aca="false">IF(ISBLANK($A64),"NO_CODE",VLOOKUP($A64,'UPD Questions_290926 '!$E$1:$N$300,MATCH(E$1,'UPD Questions_290926 '!$E$1:$N$1,0),0)&amp;"")</f>
        <v>MQ</v>
      </c>
      <c r="F64" s="83" t="str">
        <f aca="false">IF(ISBLANK($A64),"NO_CODE",VLOOKUP($A64,'UPD Questions_290926 '!$E$1:$N$300,MATCH(F$1,'UPD Questions_290926 '!$E$1:$N$1,0),0)&amp;"")</f>
        <v>Does your city have a Sustainability/ Resilience Strategy/Climate Action Plan that clearly articulates development priorities, measurable objectives, and the roles and responsibilities of the ULG?</v>
      </c>
      <c r="G64" s="83" t="str">
        <f aca="false">IF(ISBLANK($A64),"NO_CODE",VLOOKUP($A64,'UPD Questions_290926 '!$E$1:$N$300,MATCH(G$1,'UPD Questions_290926 '!$E$1:$N$1,0),0)&amp;"")</f>
        <v>Implementation</v>
      </c>
      <c r="H64" s="85" t="n">
        <f aca="false">IF(ISBLANK($A64),"NO_CODE",VLOOKUP($A64,'UPD Questions_290926 '!$E$1:$N$300,MATCH(H$1,'UPD Questions_290926 '!$E$1:$N$1,0),0))</f>
        <v>10</v>
      </c>
      <c r="I64" s="86" t="str">
        <f aca="false">IF(OR(I65="ER",I66="ER",I67="ER"),"ER",IF(OR(I65="?",I66="?",I67="?"),"?",IF(AND(I65="NA",I66="NA",I67="NA"),"NA",SUM(I65,I66,I67)/((I65&lt;&gt;"NA")*$H$65+(I66&lt;&gt;"NA")*$H$66+(I67&lt;&gt;"NA")*$H$67)*$H64)))</f>
        <v>?</v>
      </c>
      <c r="J64" s="86" t="n">
        <f aca="false">IF(OR(J65="ER",J66="ER",J67="ER"),"ER",IF(OR(J65="?",J66="?",J67="?"),"?",IF(AND(J65="NA",J66="NA",J67="NA"),"NA",SUM(J65,J66,J67)/((J65&lt;&gt;"NA")*$H$65+(J66&lt;&gt;"NA")*$H$66+(J67&lt;&gt;"NA")*$H$67)*$H64)))</f>
        <v>10</v>
      </c>
      <c r="K64" s="86" t="str">
        <f aca="false">IF(OR(K65="ER",K66="ER",K67="ER"),"ER",IF(OR(K65="?",K66="?",K67="?"),"?",IF(AND(K65="NA",K66="NA",K67="NA"),"NA",SUM(K65,K66,K67)/((K65&lt;&gt;"NA")*$H$65+(K66&lt;&gt;"NA")*$H$66+(K67&lt;&gt;"NA")*$H$67)*$H64)))</f>
        <v>?</v>
      </c>
      <c r="L64" s="86" t="str">
        <f aca="false">IF(OR(L65="ER",L66="ER",L67="ER"),"ER",IF(OR(L65="?",L66="?",L67="?"),"?",IF(AND(L65="NA",L66="NA",L67="NA"),"NA",SUM(L65,L66,L67)/((L65&lt;&gt;"NA")*$H$65+(L66&lt;&gt;"NA")*$H$66+(L67&lt;&gt;"NA")*$H$67)*$H64)))</f>
        <v>?</v>
      </c>
      <c r="M64" s="86" t="str">
        <f aca="false">IF(OR(M65="ER",M66="ER",M67="ER"),"ER",IF(OR(M65="?",M66="?",M67="?"),"?",IF(AND(M65="NA",M66="NA",M67="NA"),"NA",SUM(M65,M66,M67)/((M65&lt;&gt;"NA")*$H$65+(M66&lt;&gt;"NA")*$H$66+(M67&lt;&gt;"NA")*$H$67)*$H64)))</f>
        <v>?</v>
      </c>
      <c r="N64" s="86" t="str">
        <f aca="false">IF(OR(N65="ER",N66="ER",N67="ER"),"ER",IF(OR(N65="?",N66="?",N67="?"),"?",IF(AND(N65="NA",N66="NA",N67="NA"),"NA",SUM(N65,N66,N67)/((N65&lt;&gt;"NA")*$H$65+(N66&lt;&gt;"NA")*$H$66+(N67&lt;&gt;"NA")*$H$67)*$H64)))</f>
        <v>?</v>
      </c>
      <c r="O64" s="86" t="str">
        <f aca="false">IF(OR(O65="ER",O66="ER",O67="ER"),"ER",IF(OR(O65="?",O66="?",O67="?"),"?",IF(AND(O65="NA",O66="NA",O67="NA"),"NA",SUM(O65,O66,O67)/((O65&lt;&gt;"NA")*$H$65+(O66&lt;&gt;"NA")*$H$66+(O67&lt;&gt;"NA")*$H$67)*$H64)))</f>
        <v>?</v>
      </c>
      <c r="P64" s="86" t="str">
        <f aca="false">IF(OR(P65="ER",P66="ER",P67="ER"),"ER",IF(OR(P65="?",P66="?",P67="?"),"?",IF(AND(P65="NA",P66="NA",P67="NA"),"NA",SUM(P65,P66,P67)/((P65&lt;&gt;"NA")*$H$65+(P66&lt;&gt;"NA")*$H$66+(P67&lt;&gt;"NA")*$H$67)*$H64)))</f>
        <v>?</v>
      </c>
      <c r="Q64" s="86" t="str">
        <f aca="false">IF(OR(Q65="ER",Q66="ER",Q67="ER"),"ER",IF(OR(Q65="?",Q66="?",Q67="?"),"?",IF(AND(Q65="NA",Q66="NA",Q67="NA"),"NA",SUM(Q65,Q66,Q67)/((Q65&lt;&gt;"NA")*$H$65+(Q66&lt;&gt;"NA")*$H$66+(Q67&lt;&gt;"NA")*$H$67)*$H64)))</f>
        <v>?</v>
      </c>
      <c r="R64" s="86" t="str">
        <f aca="false">IF(OR(R65="ER",R66="ER",R67="ER"),"ER",IF(OR(R65="?",R66="?",R67="?"),"?",IF(AND(R65="NA",R66="NA",R67="NA"),"NA",SUM(R65,R66,R67)/((R65&lt;&gt;"NA")*$H$65+(R66&lt;&gt;"NA")*$H$66+(R67&lt;&gt;"NA")*$H$67)*$H64)))</f>
        <v>?</v>
      </c>
      <c r="S64" s="86" t="str">
        <f aca="false">IF(OR(S65="ER",S66="ER",S67="ER"),"ER",IF(OR(S65="?",S66="?",S67="?"),"?",IF(AND(S65="NA",S66="NA",S67="NA"),"NA",SUM(S65,S66,S67)/((S65&lt;&gt;"NA")*$H$65+(S66&lt;&gt;"NA")*$H$66+(S67&lt;&gt;"NA")*$H$67)*$H64)))</f>
        <v>?</v>
      </c>
      <c r="T64" s="86" t="str">
        <f aca="false">IF(OR(T65="ER",T66="ER",T67="ER"),"ER",IF(OR(T65="?",T66="?",T67="?"),"?",IF(AND(T65="NA",T66="NA",T67="NA"),"NA",SUM(T65,T66,T67)/((T65&lt;&gt;"NA")*$H$65+(T66&lt;&gt;"NA")*$H$66+(T67&lt;&gt;"NA")*$H$67)*$H64)))</f>
        <v>?</v>
      </c>
      <c r="U64" s="86" t="str">
        <f aca="false">IF(OR(U65="ER",U66="ER",U67="ER"),"ER",IF(OR(U65="?",U66="?",U67="?"),"?",IF(AND(U65="NA",U66="NA",U67="NA"),"NA",SUM(U65,U66,U67)/((U65&lt;&gt;"NA")*$H$65+(U66&lt;&gt;"NA")*$H$66+(U67&lt;&gt;"NA")*$H$67)*$H64)))</f>
        <v>?</v>
      </c>
      <c r="V64" s="86" t="str">
        <f aca="false">IF(OR(V65="ER",V66="ER",V67="ER"),"ER",IF(OR(V65="?",V66="?",V67="?"),"?",IF(AND(V65="NA",V66="NA",V67="NA"),"NA",SUM(V65,V66,V67)/((V65&lt;&gt;"NA")*$H$65+(V66&lt;&gt;"NA")*$H$66+(V67&lt;&gt;"NA")*$H$67)*$H64)))</f>
        <v>?</v>
      </c>
      <c r="W64" s="86" t="str">
        <f aca="false">IF(OR(W65="ER",W66="ER",W67="ER"),"ER",IF(OR(W65="?",W66="?",W67="?"),"?",IF(AND(W65="NA",W66="NA",W67="NA"),"NA",SUM(W65,W66,W67)/((W65&lt;&gt;"NA")*$H$65+(W66&lt;&gt;"NA")*$H$66+(W67&lt;&gt;"NA")*$H$67)*$H64)))</f>
        <v>?</v>
      </c>
      <c r="X64" s="86" t="str">
        <f aca="false">IF(OR(X65="ER",X66="ER",X67="ER"),"ER",IF(OR(X65="?",X66="?",X67="?"),"?",IF(AND(X65="NA",X66="NA",X67="NA"),"NA",SUM(X65,X66,X67)/((X65&lt;&gt;"NA")*$H$65+(X66&lt;&gt;"NA")*$H$66+(X67&lt;&gt;"NA")*$H$67)*$H64)))</f>
        <v>?</v>
      </c>
      <c r="Y64" s="86" t="str">
        <f aca="false">IF(OR(Y65="ER",Y66="ER",Y67="ER"),"ER",IF(OR(Y65="?",Y66="?",Y67="?"),"?",IF(AND(Y65="NA",Y66="NA",Y67="NA"),"NA",SUM(Y65,Y66,Y67)/((Y65&lt;&gt;"NA")*$H$65+(Y66&lt;&gt;"NA")*$H$66+(Y67&lt;&gt;"NA")*$H$67)*$H64)))</f>
        <v>?</v>
      </c>
      <c r="Z64" s="86" t="str">
        <f aca="false">IF(OR(Z65="ER",Z66="ER",Z67="ER"),"ER",IF(OR(Z65="?",Z66="?",Z67="?"),"?",IF(AND(Z65="NA",Z66="NA",Z67="NA"),"NA",SUM(Z65,Z66,Z67)/((Z65&lt;&gt;"NA")*$H$65+(Z66&lt;&gt;"NA")*$H$66+(Z67&lt;&gt;"NA")*$H$67)*$H64)))</f>
        <v>?</v>
      </c>
      <c r="AA64" s="86" t="str">
        <f aca="false">IF(OR(AA65="ER",AA66="ER",AA67="ER"),"ER",IF(OR(AA65="?",AA66="?",AA67="?"),"?",IF(AND(AA65="NA",AA66="NA",AA67="NA"),"NA",SUM(AA65,AA66,AA67)/((AA65&lt;&gt;"NA")*$H$65+(AA66&lt;&gt;"NA")*$H$66+(AA67&lt;&gt;"NA")*$H$67)*$H64)))</f>
        <v>?</v>
      </c>
      <c r="AB64" s="86" t="str">
        <f aca="false">IF(OR(AB65="ER",AB66="ER",AB67="ER"),"ER",IF(OR(AB65="?",AB66="?",AB67="?"),"?",IF(AND(AB65="NA",AB66="NA",AB67="NA"),"NA",SUM(AB65,AB66,AB67)/((AB65&lt;&gt;"NA")*$H$65+(AB66&lt;&gt;"NA")*$H$66+(AB67&lt;&gt;"NA")*$H$67)*$H64)))</f>
        <v>?</v>
      </c>
      <c r="AC64" s="86" t="str">
        <f aca="false">IF(OR(AC65="ER",AC66="ER",AC67="ER"),"ER",IF(OR(AC65="?",AC66="?",AC67="?"),"?",IF(AND(AC65="NA",AC66="NA",AC67="NA"),"NA",SUM(AC65,AC66,AC67)/((AC65&lt;&gt;"NA")*$H$65+(AC66&lt;&gt;"NA")*$H$66+(AC67&lt;&gt;"NA")*$H$67)*$H64)))</f>
        <v>?</v>
      </c>
      <c r="AD64" s="86" t="str">
        <f aca="false">IF(OR(AD65="ER",AD66="ER",AD67="ER"),"ER",IF(OR(AD65="?",AD66="?",AD67="?"),"?",IF(AND(AD65="NA",AD66="NA",AD67="NA"),"NA",SUM(AD65,AD66,AD67)/((AD65&lt;&gt;"NA")*$H$65+(AD66&lt;&gt;"NA")*$H$66+(AD67&lt;&gt;"NA")*$H$67)*$H64)))</f>
        <v>?</v>
      </c>
      <c r="AE64" s="86" t="str">
        <f aca="false">IF(OR(AE65="ER",AE66="ER",AE67="ER"),"ER",IF(OR(AE65="?",AE66="?",AE67="?"),"?",IF(AND(AE65="NA",AE66="NA",AE67="NA"),"NA",SUM(AE65,AE66,AE67)/((AE65&lt;&gt;"NA")*$H$65+(AE66&lt;&gt;"NA")*$H$66+(AE67&lt;&gt;"NA")*$H$67)*$H64)))</f>
        <v>?</v>
      </c>
      <c r="AF64" s="86" t="str">
        <f aca="false">IF(OR(AF65="ER",AF66="ER",AF67="ER"),"ER",IF(OR(AF65="?",AF66="?",AF67="?"),"?",IF(AND(AF65="NA",AF66="NA",AF67="NA"),"NA",SUM(AF65,AF66,AF67)/((AF65&lt;&gt;"NA")*$H$65+(AF66&lt;&gt;"NA")*$H$66+(AF67&lt;&gt;"NA")*$H$67)*$H64)))</f>
        <v>?</v>
      </c>
      <c r="AG64" s="86" t="str">
        <f aca="false">IF(OR(AG65="ER",AG66="ER",AG67="ER"),"ER",IF(OR(AG65="?",AG66="?",AG67="?"),"?",IF(AND(AG65="NA",AG66="NA",AG67="NA"),"NA",SUM(AG65,AG66,AG67)/((AG65&lt;&gt;"NA")*$H$65+(AG66&lt;&gt;"NA")*$H$66+(AG67&lt;&gt;"NA")*$H$67)*$H64)))</f>
        <v>?</v>
      </c>
      <c r="AH64" s="86" t="str">
        <f aca="false">IF(OR(AH65="ER",AH66="ER",AH67="ER"),"ER",IF(OR(AH65="?",AH66="?",AH67="?"),"?",IF(AND(AH65="NA",AH66="NA",AH67="NA"),"NA",SUM(AH65,AH66,AH67)/((AH65&lt;&gt;"NA")*$H$65+(AH66&lt;&gt;"NA")*$H$66+(AH67&lt;&gt;"NA")*$H$67)*$H64)))</f>
        <v>?</v>
      </c>
      <c r="AI64" s="86" t="str">
        <f aca="false">IF(OR(AI65="ER",AI66="ER",AI67="ER"),"ER",IF(OR(AI65="?",AI66="?",AI67="?"),"?",IF(AND(AI65="NA",AI66="NA",AI67="NA"),"NA",SUM(AI65,AI66,AI67)/((AI65&lt;&gt;"NA")*$H$65+(AI66&lt;&gt;"NA")*$H$66+(AI67&lt;&gt;"NA")*$H$67)*$H64)))</f>
        <v>?</v>
      </c>
      <c r="AJ64" s="86" t="str">
        <f aca="false">IF(OR(AJ65="ER",AJ66="ER",AJ67="ER"),"ER",IF(OR(AJ65="?",AJ66="?",AJ67="?"),"?",IF(AND(AJ65="NA",AJ66="NA",AJ67="NA"),"NA",SUM(AJ65,AJ66,AJ67)/((AJ65&lt;&gt;"NA")*$H$65+(AJ66&lt;&gt;"NA")*$H$66+(AJ67&lt;&gt;"NA")*$H$67)*$H64)))</f>
        <v>?</v>
      </c>
      <c r="AK64" s="86" t="str">
        <f aca="false">IF(OR(AK65="ER",AK66="ER",AK67="ER"),"ER",IF(OR(AK65="?",AK66="?",AK67="?"),"?",IF(AND(AK65="NA",AK66="NA",AK67="NA"),"NA",SUM(AK65,AK66,AK67)/((AK65&lt;&gt;"NA")*$H$65+(AK66&lt;&gt;"NA")*$H$66+(AK67&lt;&gt;"NA")*$H$67)*$H64)))</f>
        <v>?</v>
      </c>
    </row>
    <row r="65" customFormat="false" ht="14.25" hidden="false" customHeight="false" outlineLevel="0" collapsed="false">
      <c r="A65" s="82" t="s">
        <v>207</v>
      </c>
      <c r="B65" s="83" t="str">
        <f aca="false">IF(ISBLANK($A65),"NO_CODE",VLOOKUP($A65,'UPD Questions_290926 '!$E$1:$N$300,MATCH(B$1,'UPD Questions_290926 '!$E$1:$N$1,0),0)&amp;"")</f>
        <v>Implementation</v>
      </c>
      <c r="C65" s="83" t="str">
        <f aca="false">IF(ISBLANK($A65),"NO_CODE",VLOOKUP($A65,'UPD Questions_290926 '!$E$1:$N$300,MATCH(C$1,'UPD Questions_290926 '!$E$1:$N$1,0),0)&amp;"")</f>
        <v>Sectoral planning</v>
      </c>
      <c r="D65" s="83" t="str">
        <f aca="false">IF(ISBLANK($A65),"NO_CODE",VLOOKUP($A65,'UPD Questions_290926 '!$E$1:$N$300,MATCH(D$1,'UPD Questions_290926 '!$E$1:$N$1,0),0)&amp;"")</f>
        <v>Sustainability, resilience and climate action</v>
      </c>
      <c r="E65" s="83" t="str">
        <f aca="false">IF(ISBLANK($A65),"NO_CODE",VLOOKUP($A65,'UPD Questions_290926 '!$E$1:$N$300,MATCH(E$1,'UPD Questions_290926 '!$E$1:$N$1,0),0)&amp;"")</f>
        <v>SQ</v>
      </c>
      <c r="F65" s="83" t="str">
        <f aca="false">IF(ISBLANK($A65),"NO_CODE",VLOOKUP($A65,'UPD Questions_290926 '!$E$1:$N$300,MATCH(F$1,'UPD Questions_290926 '!$E$1:$N$1,0),0)&amp;"")</f>
        <v>Does the city have a notified and active Sustainability/Resilience Strategy?</v>
      </c>
      <c r="G65" s="83" t="str">
        <f aca="false">IF(ISBLANK($A65),"NO_CODE",VLOOKUP($A65,'UPD Questions_290926 '!$E$1:$N$300,MATCH(G$1,'UPD Questions_290926 '!$E$1:$N$1,0),0)&amp;"")</f>
        <v>Implementation</v>
      </c>
      <c r="H65" s="85" t="n">
        <f aca="false">IF(ISBLANK($A65),"NO_CODE",VLOOKUP($A65,'UPD Questions_290926 '!$E$1:$N$300,MATCH(H$1,'UPD Questions_290926 '!$E$1:$N$1,0),0))</f>
        <v>3.33</v>
      </c>
      <c r="I65" s="86" t="str">
        <f aca="true">IF($H65=0,"NA",IF($A65=INDIRECT("'"&amp;$A65&amp;"'!$B$1"),IF(VLOOKUP(I$1,INDIRECT("'"&amp;$A65&amp;"'!$A$12:$Z$41"),MATCH("Points (Auto-generate)",INDIRECT("'"&amp;$A65&amp;"'!$A$12:$Z$12"),0),0)="","?",VLOOKUP(I$1,INDIRECT("'"&amp;$A65&amp;"'!$A$12:$Z$41"),MATCH("Points (Auto-generate)",INDIRECT("'"&amp;$A65&amp;"'!$A$12:$Z$12"),0),0)),"ER"))</f>
        <v>?</v>
      </c>
      <c r="J65" s="86" t="n">
        <f aca="true">IF($H65=0,"NA",IF($A65=INDIRECT("'"&amp;$A65&amp;"'!$B$1"),IF(VLOOKUP(J$1,INDIRECT("'"&amp;$A65&amp;"'!$A$12:$Z$41"),MATCH("Points (Auto-generate)",INDIRECT("'"&amp;$A65&amp;"'!$A$12:$Z$12"),0),0)="","?",VLOOKUP(J$1,INDIRECT("'"&amp;$A65&amp;"'!$A$12:$Z$41"),MATCH("Points (Auto-generate)",INDIRECT("'"&amp;$A65&amp;"'!$A$12:$Z$12"),0),0)),"ER"))</f>
        <v>3.33</v>
      </c>
      <c r="K65" s="86" t="str">
        <f aca="true">IF($H65=0,"NA",IF($A65=INDIRECT("'"&amp;$A65&amp;"'!$B$1"),IF(VLOOKUP(K$1,INDIRECT("'"&amp;$A65&amp;"'!$A$12:$Z$41"),MATCH("Points (Auto-generate)",INDIRECT("'"&amp;$A65&amp;"'!$A$12:$Z$12"),0),0)="","?",VLOOKUP(K$1,INDIRECT("'"&amp;$A65&amp;"'!$A$12:$Z$41"),MATCH("Points (Auto-generate)",INDIRECT("'"&amp;$A65&amp;"'!$A$12:$Z$12"),0),0)),"ER"))</f>
        <v>?</v>
      </c>
      <c r="L65" s="86" t="str">
        <f aca="true">IF($H65=0,"NA",IF($A65=INDIRECT("'"&amp;$A65&amp;"'!$B$1"),IF(VLOOKUP(L$1,INDIRECT("'"&amp;$A65&amp;"'!$A$12:$Z$41"),MATCH("Points (Auto-generate)",INDIRECT("'"&amp;$A65&amp;"'!$A$12:$Z$12"),0),0)="","?",VLOOKUP(L$1,INDIRECT("'"&amp;$A65&amp;"'!$A$12:$Z$41"),MATCH("Points (Auto-generate)",INDIRECT("'"&amp;$A65&amp;"'!$A$12:$Z$12"),0),0)),"ER"))</f>
        <v>?</v>
      </c>
      <c r="M65" s="86" t="str">
        <f aca="true">IF($H65=0,"NA",IF($A65=INDIRECT("'"&amp;$A65&amp;"'!$B$1"),IF(VLOOKUP(M$1,INDIRECT("'"&amp;$A65&amp;"'!$A$12:$Z$41"),MATCH("Points (Auto-generate)",INDIRECT("'"&amp;$A65&amp;"'!$A$12:$Z$12"),0),0)="","?",VLOOKUP(M$1,INDIRECT("'"&amp;$A65&amp;"'!$A$12:$Z$41"),MATCH("Points (Auto-generate)",INDIRECT("'"&amp;$A65&amp;"'!$A$12:$Z$12"),0),0)),"ER"))</f>
        <v>?</v>
      </c>
      <c r="N65" s="86" t="str">
        <f aca="true">IF($H65=0,"NA",IF($A65=INDIRECT("'"&amp;$A65&amp;"'!$B$1"),IF(VLOOKUP(N$1,INDIRECT("'"&amp;$A65&amp;"'!$A$12:$Z$41"),MATCH("Points (Auto-generate)",INDIRECT("'"&amp;$A65&amp;"'!$A$12:$Z$12"),0),0)="","?",VLOOKUP(N$1,INDIRECT("'"&amp;$A65&amp;"'!$A$12:$Z$41"),MATCH("Points (Auto-generate)",INDIRECT("'"&amp;$A65&amp;"'!$A$12:$Z$12"),0),0)),"ER"))</f>
        <v>?</v>
      </c>
      <c r="O65" s="86" t="str">
        <f aca="true">IF($H65=0,"NA",IF($A65=INDIRECT("'"&amp;$A65&amp;"'!$B$1"),IF(VLOOKUP(O$1,INDIRECT("'"&amp;$A65&amp;"'!$A$12:$Z$41"),MATCH("Points (Auto-generate)",INDIRECT("'"&amp;$A65&amp;"'!$A$12:$Z$12"),0),0)="","?",VLOOKUP(O$1,INDIRECT("'"&amp;$A65&amp;"'!$A$12:$Z$41"),MATCH("Points (Auto-generate)",INDIRECT("'"&amp;$A65&amp;"'!$A$12:$Z$12"),0),0)),"ER"))</f>
        <v>?</v>
      </c>
      <c r="P65" s="86" t="str">
        <f aca="true">IF($H65=0,"NA",IF($A65=INDIRECT("'"&amp;$A65&amp;"'!$B$1"),IF(VLOOKUP(P$1,INDIRECT("'"&amp;$A65&amp;"'!$A$12:$Z$41"),MATCH("Points (Auto-generate)",INDIRECT("'"&amp;$A65&amp;"'!$A$12:$Z$12"),0),0)="","?",VLOOKUP(P$1,INDIRECT("'"&amp;$A65&amp;"'!$A$12:$Z$41"),MATCH("Points (Auto-generate)",INDIRECT("'"&amp;$A65&amp;"'!$A$12:$Z$12"),0),0)),"ER"))</f>
        <v>?</v>
      </c>
      <c r="Q65" s="86" t="str">
        <f aca="true">IF($H65=0,"NA",IF($A65=INDIRECT("'"&amp;$A65&amp;"'!$B$1"),IF(VLOOKUP(Q$1,INDIRECT("'"&amp;$A65&amp;"'!$A$12:$Z$41"),MATCH("Points (Auto-generate)",INDIRECT("'"&amp;$A65&amp;"'!$A$12:$Z$12"),0),0)="","?",VLOOKUP(Q$1,INDIRECT("'"&amp;$A65&amp;"'!$A$12:$Z$41"),MATCH("Points (Auto-generate)",INDIRECT("'"&amp;$A65&amp;"'!$A$12:$Z$12"),0),0)),"ER"))</f>
        <v>?</v>
      </c>
      <c r="R65" s="86" t="str">
        <f aca="true">IF($H65=0,"NA",IF($A65=INDIRECT("'"&amp;$A65&amp;"'!$B$1"),IF(VLOOKUP(R$1,INDIRECT("'"&amp;$A65&amp;"'!$A$12:$Z$41"),MATCH("Points (Auto-generate)",INDIRECT("'"&amp;$A65&amp;"'!$A$12:$Z$12"),0),0)="","?",VLOOKUP(R$1,INDIRECT("'"&amp;$A65&amp;"'!$A$12:$Z$41"),MATCH("Points (Auto-generate)",INDIRECT("'"&amp;$A65&amp;"'!$A$12:$Z$12"),0),0)),"ER"))</f>
        <v>?</v>
      </c>
      <c r="S65" s="86" t="str">
        <f aca="true">IF($H65=0,"NA",IF($A65=INDIRECT("'"&amp;$A65&amp;"'!$B$1"),IF(VLOOKUP(S$1,INDIRECT("'"&amp;$A65&amp;"'!$A$12:$Z$41"),MATCH("Points (Auto-generate)",INDIRECT("'"&amp;$A65&amp;"'!$A$12:$Z$12"),0),0)="","?",VLOOKUP(S$1,INDIRECT("'"&amp;$A65&amp;"'!$A$12:$Z$41"),MATCH("Points (Auto-generate)",INDIRECT("'"&amp;$A65&amp;"'!$A$12:$Z$12"),0),0)),"ER"))</f>
        <v>?</v>
      </c>
      <c r="T65" s="86" t="str">
        <f aca="true">IF($H65=0,"NA",IF($A65=INDIRECT("'"&amp;$A65&amp;"'!$B$1"),IF(VLOOKUP(T$1,INDIRECT("'"&amp;$A65&amp;"'!$A$12:$Z$41"),MATCH("Points (Auto-generate)",INDIRECT("'"&amp;$A65&amp;"'!$A$12:$Z$12"),0),0)="","?",VLOOKUP(T$1,INDIRECT("'"&amp;$A65&amp;"'!$A$12:$Z$41"),MATCH("Points (Auto-generate)",INDIRECT("'"&amp;$A65&amp;"'!$A$12:$Z$12"),0),0)),"ER"))</f>
        <v>?</v>
      </c>
      <c r="U65" s="86" t="str">
        <f aca="true">IF($H65=0,"NA",IF($A65=INDIRECT("'"&amp;$A65&amp;"'!$B$1"),IF(VLOOKUP(U$1,INDIRECT("'"&amp;$A65&amp;"'!$A$12:$Z$41"),MATCH("Points (Auto-generate)",INDIRECT("'"&amp;$A65&amp;"'!$A$12:$Z$12"),0),0)="","?",VLOOKUP(U$1,INDIRECT("'"&amp;$A65&amp;"'!$A$12:$Z$41"),MATCH("Points (Auto-generate)",INDIRECT("'"&amp;$A65&amp;"'!$A$12:$Z$12"),0),0)),"ER"))</f>
        <v>?</v>
      </c>
      <c r="V65" s="86" t="str">
        <f aca="true">IF($H65=0,"NA",IF($A65=INDIRECT("'"&amp;$A65&amp;"'!$B$1"),IF(VLOOKUP(V$1,INDIRECT("'"&amp;$A65&amp;"'!$A$12:$Z$41"),MATCH("Points (Auto-generate)",INDIRECT("'"&amp;$A65&amp;"'!$A$12:$Z$12"),0),0)="","?",VLOOKUP(V$1,INDIRECT("'"&amp;$A65&amp;"'!$A$12:$Z$41"),MATCH("Points (Auto-generate)",INDIRECT("'"&amp;$A65&amp;"'!$A$12:$Z$12"),0),0)),"ER"))</f>
        <v>?</v>
      </c>
      <c r="W65" s="86" t="str">
        <f aca="true">IF($H65=0,"NA",IF($A65=INDIRECT("'"&amp;$A65&amp;"'!$B$1"),IF(VLOOKUP(W$1,INDIRECT("'"&amp;$A65&amp;"'!$A$12:$Z$41"),MATCH("Points (Auto-generate)",INDIRECT("'"&amp;$A65&amp;"'!$A$12:$Z$12"),0),0)="","?",VLOOKUP(W$1,INDIRECT("'"&amp;$A65&amp;"'!$A$12:$Z$41"),MATCH("Points (Auto-generate)",INDIRECT("'"&amp;$A65&amp;"'!$A$12:$Z$12"),0),0)),"ER"))</f>
        <v>?</v>
      </c>
      <c r="X65" s="86" t="str">
        <f aca="true">IF($H65=0,"NA",IF($A65=INDIRECT("'"&amp;$A65&amp;"'!$B$1"),IF(VLOOKUP(X$1,INDIRECT("'"&amp;$A65&amp;"'!$A$12:$Z$41"),MATCH("Points (Auto-generate)",INDIRECT("'"&amp;$A65&amp;"'!$A$12:$Z$12"),0),0)="","?",VLOOKUP(X$1,INDIRECT("'"&amp;$A65&amp;"'!$A$12:$Z$41"),MATCH("Points (Auto-generate)",INDIRECT("'"&amp;$A65&amp;"'!$A$12:$Z$12"),0),0)),"ER"))</f>
        <v>?</v>
      </c>
      <c r="Y65" s="86" t="str">
        <f aca="true">IF($H65=0,"NA",IF($A65=INDIRECT("'"&amp;$A65&amp;"'!$B$1"),IF(VLOOKUP(Y$1,INDIRECT("'"&amp;$A65&amp;"'!$A$12:$Z$41"),MATCH("Points (Auto-generate)",INDIRECT("'"&amp;$A65&amp;"'!$A$12:$Z$12"),0),0)="","?",VLOOKUP(Y$1,INDIRECT("'"&amp;$A65&amp;"'!$A$12:$Z$41"),MATCH("Points (Auto-generate)",INDIRECT("'"&amp;$A65&amp;"'!$A$12:$Z$12"),0),0)),"ER"))</f>
        <v>?</v>
      </c>
      <c r="Z65" s="86" t="str">
        <f aca="true">IF($H65=0,"NA",IF($A65=INDIRECT("'"&amp;$A65&amp;"'!$B$1"),IF(VLOOKUP(Z$1,INDIRECT("'"&amp;$A65&amp;"'!$A$12:$Z$41"),MATCH("Points (Auto-generate)",INDIRECT("'"&amp;$A65&amp;"'!$A$12:$Z$12"),0),0)="","?",VLOOKUP(Z$1,INDIRECT("'"&amp;$A65&amp;"'!$A$12:$Z$41"),MATCH("Points (Auto-generate)",INDIRECT("'"&amp;$A65&amp;"'!$A$12:$Z$12"),0),0)),"ER"))</f>
        <v>?</v>
      </c>
      <c r="AA65" s="86" t="str">
        <f aca="true">IF($H65=0,"NA",IF($A65=INDIRECT("'"&amp;$A65&amp;"'!$B$1"),IF(VLOOKUP(AA$1,INDIRECT("'"&amp;$A65&amp;"'!$A$12:$Z$41"),MATCH("Points (Auto-generate)",INDIRECT("'"&amp;$A65&amp;"'!$A$12:$Z$12"),0),0)="","?",VLOOKUP(AA$1,INDIRECT("'"&amp;$A65&amp;"'!$A$12:$Z$41"),MATCH("Points (Auto-generate)",INDIRECT("'"&amp;$A65&amp;"'!$A$12:$Z$12"),0),0)),"ER"))</f>
        <v>?</v>
      </c>
      <c r="AB65" s="86" t="str">
        <f aca="true">IF($H65=0,"NA",IF($A65=INDIRECT("'"&amp;$A65&amp;"'!$B$1"),IF(VLOOKUP(AB$1,INDIRECT("'"&amp;$A65&amp;"'!$A$12:$Z$41"),MATCH("Points (Auto-generate)",INDIRECT("'"&amp;$A65&amp;"'!$A$12:$Z$12"),0),0)="","?",VLOOKUP(AB$1,INDIRECT("'"&amp;$A65&amp;"'!$A$12:$Z$41"),MATCH("Points (Auto-generate)",INDIRECT("'"&amp;$A65&amp;"'!$A$12:$Z$12"),0),0)),"ER"))</f>
        <v>?</v>
      </c>
      <c r="AC65" s="86" t="str">
        <f aca="true">IF($H65=0,"NA",IF($A65=INDIRECT("'"&amp;$A65&amp;"'!$B$1"),IF(VLOOKUP(AC$1,INDIRECT("'"&amp;$A65&amp;"'!$A$12:$Z$41"),MATCH("Points (Auto-generate)",INDIRECT("'"&amp;$A65&amp;"'!$A$12:$Z$12"),0),0)="","?",VLOOKUP(AC$1,INDIRECT("'"&amp;$A65&amp;"'!$A$12:$Z$41"),MATCH("Points (Auto-generate)",INDIRECT("'"&amp;$A65&amp;"'!$A$12:$Z$12"),0),0)),"ER"))</f>
        <v>?</v>
      </c>
      <c r="AD65" s="86" t="str">
        <f aca="true">IF($H65=0,"NA",IF($A65=INDIRECT("'"&amp;$A65&amp;"'!$B$1"),IF(VLOOKUP(AD$1,INDIRECT("'"&amp;$A65&amp;"'!$A$12:$Z$41"),MATCH("Points (Auto-generate)",INDIRECT("'"&amp;$A65&amp;"'!$A$12:$Z$12"),0),0)="","?",VLOOKUP(AD$1,INDIRECT("'"&amp;$A65&amp;"'!$A$12:$Z$41"),MATCH("Points (Auto-generate)",INDIRECT("'"&amp;$A65&amp;"'!$A$12:$Z$12"),0),0)),"ER"))</f>
        <v>?</v>
      </c>
      <c r="AE65" s="86" t="str">
        <f aca="true">IF($H65=0,"NA",IF($A65=INDIRECT("'"&amp;$A65&amp;"'!$B$1"),IF(VLOOKUP(AE$1,INDIRECT("'"&amp;$A65&amp;"'!$A$12:$Z$41"),MATCH("Points (Auto-generate)",INDIRECT("'"&amp;$A65&amp;"'!$A$12:$Z$12"),0),0)="","?",VLOOKUP(AE$1,INDIRECT("'"&amp;$A65&amp;"'!$A$12:$Z$41"),MATCH("Points (Auto-generate)",INDIRECT("'"&amp;$A65&amp;"'!$A$12:$Z$12"),0),0)),"ER"))</f>
        <v>?</v>
      </c>
      <c r="AF65" s="86" t="str">
        <f aca="true">IF($H65=0,"NA",IF($A65=INDIRECT("'"&amp;$A65&amp;"'!$B$1"),IF(VLOOKUP(AF$1,INDIRECT("'"&amp;$A65&amp;"'!$A$12:$Z$41"),MATCH("Points (Auto-generate)",INDIRECT("'"&amp;$A65&amp;"'!$A$12:$Z$12"),0),0)="","?",VLOOKUP(AF$1,INDIRECT("'"&amp;$A65&amp;"'!$A$12:$Z$41"),MATCH("Points (Auto-generate)",INDIRECT("'"&amp;$A65&amp;"'!$A$12:$Z$12"),0),0)),"ER"))</f>
        <v>?</v>
      </c>
      <c r="AG65" s="86" t="str">
        <f aca="true">IF($H65=0,"NA",IF($A65=INDIRECT("'"&amp;$A65&amp;"'!$B$1"),IF(VLOOKUP(AG$1,INDIRECT("'"&amp;$A65&amp;"'!$A$12:$Z$41"),MATCH("Points (Auto-generate)",INDIRECT("'"&amp;$A65&amp;"'!$A$12:$Z$12"),0),0)="","?",VLOOKUP(AG$1,INDIRECT("'"&amp;$A65&amp;"'!$A$12:$Z$41"),MATCH("Points (Auto-generate)",INDIRECT("'"&amp;$A65&amp;"'!$A$12:$Z$12"),0),0)),"ER"))</f>
        <v>?</v>
      </c>
      <c r="AH65" s="86" t="str">
        <f aca="true">IF($H65=0,"NA",IF($A65=INDIRECT("'"&amp;$A65&amp;"'!$B$1"),IF(VLOOKUP(AH$1,INDIRECT("'"&amp;$A65&amp;"'!$A$12:$Z$41"),MATCH("Points (Auto-generate)",INDIRECT("'"&amp;$A65&amp;"'!$A$12:$Z$12"),0),0)="","?",VLOOKUP(AH$1,INDIRECT("'"&amp;$A65&amp;"'!$A$12:$Z$41"),MATCH("Points (Auto-generate)",INDIRECT("'"&amp;$A65&amp;"'!$A$12:$Z$12"),0),0)),"ER"))</f>
        <v>?</v>
      </c>
      <c r="AI65" s="86" t="str">
        <f aca="true">IF($H65=0,"NA",IF($A65=INDIRECT("'"&amp;$A65&amp;"'!$B$1"),IF(VLOOKUP(AI$1,INDIRECT("'"&amp;$A65&amp;"'!$A$12:$Z$41"),MATCH("Points (Auto-generate)",INDIRECT("'"&amp;$A65&amp;"'!$A$12:$Z$12"),0),0)="","?",VLOOKUP(AI$1,INDIRECT("'"&amp;$A65&amp;"'!$A$12:$Z$41"),MATCH("Points (Auto-generate)",INDIRECT("'"&amp;$A65&amp;"'!$A$12:$Z$12"),0),0)),"ER"))</f>
        <v>?</v>
      </c>
      <c r="AJ65" s="86" t="str">
        <f aca="true">IF($H65=0,"NA",IF($A65=INDIRECT("'"&amp;$A65&amp;"'!$B$1"),IF(VLOOKUP(AJ$1,INDIRECT("'"&amp;$A65&amp;"'!$A$12:$Z$41"),MATCH("Points (Auto-generate)",INDIRECT("'"&amp;$A65&amp;"'!$A$12:$Z$12"),0),0)="","?",VLOOKUP(AJ$1,INDIRECT("'"&amp;$A65&amp;"'!$A$12:$Z$41"),MATCH("Points (Auto-generate)",INDIRECT("'"&amp;$A65&amp;"'!$A$12:$Z$12"),0),0)),"ER"))</f>
        <v>?</v>
      </c>
      <c r="AK65" s="86" t="str">
        <f aca="true">IF($H65=0,"NA",IF($A65=INDIRECT("'"&amp;$A65&amp;"'!$B$1"),IF(VLOOKUP(AK$1,INDIRECT("'"&amp;$A65&amp;"'!$A$12:$Z$41"),MATCH("Points (Auto-generate)",INDIRECT("'"&amp;$A65&amp;"'!$A$12:$Z$12"),0),0)="","?",VLOOKUP(AK$1,INDIRECT("'"&amp;$A65&amp;"'!$A$12:$Z$41"),MATCH("Points (Auto-generate)",INDIRECT("'"&amp;$A65&amp;"'!$A$12:$Z$12"),0),0)),"ER"))</f>
        <v>?</v>
      </c>
    </row>
    <row r="66" customFormat="false" ht="14.25" hidden="false" customHeight="false" outlineLevel="0" collapsed="false">
      <c r="A66" s="82" t="s">
        <v>210</v>
      </c>
      <c r="B66" s="83" t="str">
        <f aca="false">IF(ISBLANK($A66),"NO_CODE",VLOOKUP($A66,'UPD Questions_290926 '!$E$1:$N$300,MATCH(B$1,'UPD Questions_290926 '!$E$1:$N$1,0),0)&amp;"")</f>
        <v>Implementation</v>
      </c>
      <c r="C66" s="83" t="str">
        <f aca="false">IF(ISBLANK($A66),"NO_CODE",VLOOKUP($A66,'UPD Questions_290926 '!$E$1:$N$300,MATCH(C$1,'UPD Questions_290926 '!$E$1:$N$1,0),0)&amp;"")</f>
        <v>Sectoral planning</v>
      </c>
      <c r="D66" s="83" t="str">
        <f aca="false">IF(ISBLANK($A66),"NO_CODE",VLOOKUP($A66,'UPD Questions_290926 '!$E$1:$N$300,MATCH(D$1,'UPD Questions_290926 '!$E$1:$N$1,0),0)&amp;"")</f>
        <v>Sustainability, resilience and climate action</v>
      </c>
      <c r="E66" s="83" t="str">
        <f aca="false">IF(ISBLANK($A66),"NO_CODE",VLOOKUP($A66,'UPD Questions_290926 '!$E$1:$N$300,MATCH(E$1,'UPD Questions_290926 '!$E$1:$N$1,0),0)&amp;"")</f>
        <v>SQ</v>
      </c>
      <c r="F66" s="83" t="str">
        <f aca="false">IF(ISBLANK($A66),"NO_CODE",VLOOKUP($A66,'UPD Questions_290926 '!$E$1:$N$300,MATCH(F$1,'UPD Questions_290926 '!$E$1:$N$1,0),0)&amp;"")</f>
        <v>Does the plan have development priorities and measurable objectives?</v>
      </c>
      <c r="G66" s="83" t="str">
        <f aca="false">IF(ISBLANK($A66),"NO_CODE",VLOOKUP($A66,'UPD Questions_290926 '!$E$1:$N$300,MATCH(G$1,'UPD Questions_290926 '!$E$1:$N$1,0),0)&amp;"")</f>
        <v>Implementation</v>
      </c>
      <c r="H66" s="85" t="n">
        <f aca="false">IF(ISBLANK($A66),"NO_CODE",VLOOKUP($A66,'UPD Questions_290926 '!$E$1:$N$300,MATCH(H$1,'UPD Questions_290926 '!$E$1:$N$1,0),0))</f>
        <v>3.33</v>
      </c>
      <c r="I66" s="86" t="str">
        <f aca="true">IF($H66=0,"NA",IF($A66=INDIRECT("'"&amp;$A66&amp;"'!$B$1"),IF(VLOOKUP(I$1,INDIRECT("'"&amp;$A66&amp;"'!$A$12:$Z$41"),MATCH("Points (Auto-generate)",INDIRECT("'"&amp;$A66&amp;"'!$A$12:$Z$12"),0),0)="","?",VLOOKUP(I$1,INDIRECT("'"&amp;$A66&amp;"'!$A$12:$Z$41"),MATCH("Points (Auto-generate)",INDIRECT("'"&amp;$A66&amp;"'!$A$12:$Z$12"),0),0)),"ER"))</f>
        <v>?</v>
      </c>
      <c r="J66" s="86" t="n">
        <f aca="true">IF($H66=0,"NA",IF($A66=INDIRECT("'"&amp;$A66&amp;"'!$B$1"),IF(VLOOKUP(J$1,INDIRECT("'"&amp;$A66&amp;"'!$A$12:$Z$41"),MATCH("Points (Auto-generate)",INDIRECT("'"&amp;$A66&amp;"'!$A$12:$Z$12"),0),0)="","?",VLOOKUP(J$1,INDIRECT("'"&amp;$A66&amp;"'!$A$12:$Z$41"),MATCH("Points (Auto-generate)",INDIRECT("'"&amp;$A66&amp;"'!$A$12:$Z$12"),0),0)),"ER"))</f>
        <v>3.33</v>
      </c>
      <c r="K66" s="86" t="str">
        <f aca="true">IF($H66=0,"NA",IF($A66=INDIRECT("'"&amp;$A66&amp;"'!$B$1"),IF(VLOOKUP(K$1,INDIRECT("'"&amp;$A66&amp;"'!$A$12:$Z$41"),MATCH("Points (Auto-generate)",INDIRECT("'"&amp;$A66&amp;"'!$A$12:$Z$12"),0),0)="","?",VLOOKUP(K$1,INDIRECT("'"&amp;$A66&amp;"'!$A$12:$Z$41"),MATCH("Points (Auto-generate)",INDIRECT("'"&amp;$A66&amp;"'!$A$12:$Z$12"),0),0)),"ER"))</f>
        <v>?</v>
      </c>
      <c r="L66" s="86" t="str">
        <f aca="true">IF($H66=0,"NA",IF($A66=INDIRECT("'"&amp;$A66&amp;"'!$B$1"),IF(VLOOKUP(L$1,INDIRECT("'"&amp;$A66&amp;"'!$A$12:$Z$41"),MATCH("Points (Auto-generate)",INDIRECT("'"&amp;$A66&amp;"'!$A$12:$Z$12"),0),0)="","?",VLOOKUP(L$1,INDIRECT("'"&amp;$A66&amp;"'!$A$12:$Z$41"),MATCH("Points (Auto-generate)",INDIRECT("'"&amp;$A66&amp;"'!$A$12:$Z$12"),0),0)),"ER"))</f>
        <v>?</v>
      </c>
      <c r="M66" s="86" t="str">
        <f aca="true">IF($H66=0,"NA",IF($A66=INDIRECT("'"&amp;$A66&amp;"'!$B$1"),IF(VLOOKUP(M$1,INDIRECT("'"&amp;$A66&amp;"'!$A$12:$Z$41"),MATCH("Points (Auto-generate)",INDIRECT("'"&amp;$A66&amp;"'!$A$12:$Z$12"),0),0)="","?",VLOOKUP(M$1,INDIRECT("'"&amp;$A66&amp;"'!$A$12:$Z$41"),MATCH("Points (Auto-generate)",INDIRECT("'"&amp;$A66&amp;"'!$A$12:$Z$12"),0),0)),"ER"))</f>
        <v>?</v>
      </c>
      <c r="N66" s="86" t="str">
        <f aca="true">IF($H66=0,"NA",IF($A66=INDIRECT("'"&amp;$A66&amp;"'!$B$1"),IF(VLOOKUP(N$1,INDIRECT("'"&amp;$A66&amp;"'!$A$12:$Z$41"),MATCH("Points (Auto-generate)",INDIRECT("'"&amp;$A66&amp;"'!$A$12:$Z$12"),0),0)="","?",VLOOKUP(N$1,INDIRECT("'"&amp;$A66&amp;"'!$A$12:$Z$41"),MATCH("Points (Auto-generate)",INDIRECT("'"&amp;$A66&amp;"'!$A$12:$Z$12"),0),0)),"ER"))</f>
        <v>?</v>
      </c>
      <c r="O66" s="86" t="str">
        <f aca="true">IF($H66=0,"NA",IF($A66=INDIRECT("'"&amp;$A66&amp;"'!$B$1"),IF(VLOOKUP(O$1,INDIRECT("'"&amp;$A66&amp;"'!$A$12:$Z$41"),MATCH("Points (Auto-generate)",INDIRECT("'"&amp;$A66&amp;"'!$A$12:$Z$12"),0),0)="","?",VLOOKUP(O$1,INDIRECT("'"&amp;$A66&amp;"'!$A$12:$Z$41"),MATCH("Points (Auto-generate)",INDIRECT("'"&amp;$A66&amp;"'!$A$12:$Z$12"),0),0)),"ER"))</f>
        <v>?</v>
      </c>
      <c r="P66" s="86" t="str">
        <f aca="true">IF($H66=0,"NA",IF($A66=INDIRECT("'"&amp;$A66&amp;"'!$B$1"),IF(VLOOKUP(P$1,INDIRECT("'"&amp;$A66&amp;"'!$A$12:$Z$41"),MATCH("Points (Auto-generate)",INDIRECT("'"&amp;$A66&amp;"'!$A$12:$Z$12"),0),0)="","?",VLOOKUP(P$1,INDIRECT("'"&amp;$A66&amp;"'!$A$12:$Z$41"),MATCH("Points (Auto-generate)",INDIRECT("'"&amp;$A66&amp;"'!$A$12:$Z$12"),0),0)),"ER"))</f>
        <v>?</v>
      </c>
      <c r="Q66" s="86" t="str">
        <f aca="true">IF($H66=0,"NA",IF($A66=INDIRECT("'"&amp;$A66&amp;"'!$B$1"),IF(VLOOKUP(Q$1,INDIRECT("'"&amp;$A66&amp;"'!$A$12:$Z$41"),MATCH("Points (Auto-generate)",INDIRECT("'"&amp;$A66&amp;"'!$A$12:$Z$12"),0),0)="","?",VLOOKUP(Q$1,INDIRECT("'"&amp;$A66&amp;"'!$A$12:$Z$41"),MATCH("Points (Auto-generate)",INDIRECT("'"&amp;$A66&amp;"'!$A$12:$Z$12"),0),0)),"ER"))</f>
        <v>?</v>
      </c>
      <c r="R66" s="86" t="str">
        <f aca="true">IF($H66=0,"NA",IF($A66=INDIRECT("'"&amp;$A66&amp;"'!$B$1"),IF(VLOOKUP(R$1,INDIRECT("'"&amp;$A66&amp;"'!$A$12:$Z$41"),MATCH("Points (Auto-generate)",INDIRECT("'"&amp;$A66&amp;"'!$A$12:$Z$12"),0),0)="","?",VLOOKUP(R$1,INDIRECT("'"&amp;$A66&amp;"'!$A$12:$Z$41"),MATCH("Points (Auto-generate)",INDIRECT("'"&amp;$A66&amp;"'!$A$12:$Z$12"),0),0)),"ER"))</f>
        <v>?</v>
      </c>
      <c r="S66" s="86" t="str">
        <f aca="true">IF($H66=0,"NA",IF($A66=INDIRECT("'"&amp;$A66&amp;"'!$B$1"),IF(VLOOKUP(S$1,INDIRECT("'"&amp;$A66&amp;"'!$A$12:$Z$41"),MATCH("Points (Auto-generate)",INDIRECT("'"&amp;$A66&amp;"'!$A$12:$Z$12"),0),0)="","?",VLOOKUP(S$1,INDIRECT("'"&amp;$A66&amp;"'!$A$12:$Z$41"),MATCH("Points (Auto-generate)",INDIRECT("'"&amp;$A66&amp;"'!$A$12:$Z$12"),0),0)),"ER"))</f>
        <v>?</v>
      </c>
      <c r="T66" s="86" t="str">
        <f aca="true">IF($H66=0,"NA",IF($A66=INDIRECT("'"&amp;$A66&amp;"'!$B$1"),IF(VLOOKUP(T$1,INDIRECT("'"&amp;$A66&amp;"'!$A$12:$Z$41"),MATCH("Points (Auto-generate)",INDIRECT("'"&amp;$A66&amp;"'!$A$12:$Z$12"),0),0)="","?",VLOOKUP(T$1,INDIRECT("'"&amp;$A66&amp;"'!$A$12:$Z$41"),MATCH("Points (Auto-generate)",INDIRECT("'"&amp;$A66&amp;"'!$A$12:$Z$12"),0),0)),"ER"))</f>
        <v>?</v>
      </c>
      <c r="U66" s="86" t="str">
        <f aca="true">IF($H66=0,"NA",IF($A66=INDIRECT("'"&amp;$A66&amp;"'!$B$1"),IF(VLOOKUP(U$1,INDIRECT("'"&amp;$A66&amp;"'!$A$12:$Z$41"),MATCH("Points (Auto-generate)",INDIRECT("'"&amp;$A66&amp;"'!$A$12:$Z$12"),0),0)="","?",VLOOKUP(U$1,INDIRECT("'"&amp;$A66&amp;"'!$A$12:$Z$41"),MATCH("Points (Auto-generate)",INDIRECT("'"&amp;$A66&amp;"'!$A$12:$Z$12"),0),0)),"ER"))</f>
        <v>?</v>
      </c>
      <c r="V66" s="86" t="str">
        <f aca="true">IF($H66=0,"NA",IF($A66=INDIRECT("'"&amp;$A66&amp;"'!$B$1"),IF(VLOOKUP(V$1,INDIRECT("'"&amp;$A66&amp;"'!$A$12:$Z$41"),MATCH("Points (Auto-generate)",INDIRECT("'"&amp;$A66&amp;"'!$A$12:$Z$12"),0),0)="","?",VLOOKUP(V$1,INDIRECT("'"&amp;$A66&amp;"'!$A$12:$Z$41"),MATCH("Points (Auto-generate)",INDIRECT("'"&amp;$A66&amp;"'!$A$12:$Z$12"),0),0)),"ER"))</f>
        <v>?</v>
      </c>
      <c r="W66" s="86" t="str">
        <f aca="true">IF($H66=0,"NA",IF($A66=INDIRECT("'"&amp;$A66&amp;"'!$B$1"),IF(VLOOKUP(W$1,INDIRECT("'"&amp;$A66&amp;"'!$A$12:$Z$41"),MATCH("Points (Auto-generate)",INDIRECT("'"&amp;$A66&amp;"'!$A$12:$Z$12"),0),0)="","?",VLOOKUP(W$1,INDIRECT("'"&amp;$A66&amp;"'!$A$12:$Z$41"),MATCH("Points (Auto-generate)",INDIRECT("'"&amp;$A66&amp;"'!$A$12:$Z$12"),0),0)),"ER"))</f>
        <v>?</v>
      </c>
      <c r="X66" s="86" t="str">
        <f aca="true">IF($H66=0,"NA",IF($A66=INDIRECT("'"&amp;$A66&amp;"'!$B$1"),IF(VLOOKUP(X$1,INDIRECT("'"&amp;$A66&amp;"'!$A$12:$Z$41"),MATCH("Points (Auto-generate)",INDIRECT("'"&amp;$A66&amp;"'!$A$12:$Z$12"),0),0)="","?",VLOOKUP(X$1,INDIRECT("'"&amp;$A66&amp;"'!$A$12:$Z$41"),MATCH("Points (Auto-generate)",INDIRECT("'"&amp;$A66&amp;"'!$A$12:$Z$12"),0),0)),"ER"))</f>
        <v>?</v>
      </c>
      <c r="Y66" s="86" t="str">
        <f aca="true">IF($H66=0,"NA",IF($A66=INDIRECT("'"&amp;$A66&amp;"'!$B$1"),IF(VLOOKUP(Y$1,INDIRECT("'"&amp;$A66&amp;"'!$A$12:$Z$41"),MATCH("Points (Auto-generate)",INDIRECT("'"&amp;$A66&amp;"'!$A$12:$Z$12"),0),0)="","?",VLOOKUP(Y$1,INDIRECT("'"&amp;$A66&amp;"'!$A$12:$Z$41"),MATCH("Points (Auto-generate)",INDIRECT("'"&amp;$A66&amp;"'!$A$12:$Z$12"),0),0)),"ER"))</f>
        <v>?</v>
      </c>
      <c r="Z66" s="86" t="str">
        <f aca="true">IF($H66=0,"NA",IF($A66=INDIRECT("'"&amp;$A66&amp;"'!$B$1"),IF(VLOOKUP(Z$1,INDIRECT("'"&amp;$A66&amp;"'!$A$12:$Z$41"),MATCH("Points (Auto-generate)",INDIRECT("'"&amp;$A66&amp;"'!$A$12:$Z$12"),0),0)="","?",VLOOKUP(Z$1,INDIRECT("'"&amp;$A66&amp;"'!$A$12:$Z$41"),MATCH("Points (Auto-generate)",INDIRECT("'"&amp;$A66&amp;"'!$A$12:$Z$12"),0),0)),"ER"))</f>
        <v>?</v>
      </c>
      <c r="AA66" s="86" t="str">
        <f aca="true">IF($H66=0,"NA",IF($A66=INDIRECT("'"&amp;$A66&amp;"'!$B$1"),IF(VLOOKUP(AA$1,INDIRECT("'"&amp;$A66&amp;"'!$A$12:$Z$41"),MATCH("Points (Auto-generate)",INDIRECT("'"&amp;$A66&amp;"'!$A$12:$Z$12"),0),0)="","?",VLOOKUP(AA$1,INDIRECT("'"&amp;$A66&amp;"'!$A$12:$Z$41"),MATCH("Points (Auto-generate)",INDIRECT("'"&amp;$A66&amp;"'!$A$12:$Z$12"),0),0)),"ER"))</f>
        <v>?</v>
      </c>
      <c r="AB66" s="86" t="str">
        <f aca="true">IF($H66=0,"NA",IF($A66=INDIRECT("'"&amp;$A66&amp;"'!$B$1"),IF(VLOOKUP(AB$1,INDIRECT("'"&amp;$A66&amp;"'!$A$12:$Z$41"),MATCH("Points (Auto-generate)",INDIRECT("'"&amp;$A66&amp;"'!$A$12:$Z$12"),0),0)="","?",VLOOKUP(AB$1,INDIRECT("'"&amp;$A66&amp;"'!$A$12:$Z$41"),MATCH("Points (Auto-generate)",INDIRECT("'"&amp;$A66&amp;"'!$A$12:$Z$12"),0),0)),"ER"))</f>
        <v>?</v>
      </c>
      <c r="AC66" s="86" t="str">
        <f aca="true">IF($H66=0,"NA",IF($A66=INDIRECT("'"&amp;$A66&amp;"'!$B$1"),IF(VLOOKUP(AC$1,INDIRECT("'"&amp;$A66&amp;"'!$A$12:$Z$41"),MATCH("Points (Auto-generate)",INDIRECT("'"&amp;$A66&amp;"'!$A$12:$Z$12"),0),0)="","?",VLOOKUP(AC$1,INDIRECT("'"&amp;$A66&amp;"'!$A$12:$Z$41"),MATCH("Points (Auto-generate)",INDIRECT("'"&amp;$A66&amp;"'!$A$12:$Z$12"),0),0)),"ER"))</f>
        <v>?</v>
      </c>
      <c r="AD66" s="86" t="str">
        <f aca="true">IF($H66=0,"NA",IF($A66=INDIRECT("'"&amp;$A66&amp;"'!$B$1"),IF(VLOOKUP(AD$1,INDIRECT("'"&amp;$A66&amp;"'!$A$12:$Z$41"),MATCH("Points (Auto-generate)",INDIRECT("'"&amp;$A66&amp;"'!$A$12:$Z$12"),0),0)="","?",VLOOKUP(AD$1,INDIRECT("'"&amp;$A66&amp;"'!$A$12:$Z$41"),MATCH("Points (Auto-generate)",INDIRECT("'"&amp;$A66&amp;"'!$A$12:$Z$12"),0),0)),"ER"))</f>
        <v>?</v>
      </c>
      <c r="AE66" s="86" t="str">
        <f aca="true">IF($H66=0,"NA",IF($A66=INDIRECT("'"&amp;$A66&amp;"'!$B$1"),IF(VLOOKUP(AE$1,INDIRECT("'"&amp;$A66&amp;"'!$A$12:$Z$41"),MATCH("Points (Auto-generate)",INDIRECT("'"&amp;$A66&amp;"'!$A$12:$Z$12"),0),0)="","?",VLOOKUP(AE$1,INDIRECT("'"&amp;$A66&amp;"'!$A$12:$Z$41"),MATCH("Points (Auto-generate)",INDIRECT("'"&amp;$A66&amp;"'!$A$12:$Z$12"),0),0)),"ER"))</f>
        <v>?</v>
      </c>
      <c r="AF66" s="86" t="str">
        <f aca="true">IF($H66=0,"NA",IF($A66=INDIRECT("'"&amp;$A66&amp;"'!$B$1"),IF(VLOOKUP(AF$1,INDIRECT("'"&amp;$A66&amp;"'!$A$12:$Z$41"),MATCH("Points (Auto-generate)",INDIRECT("'"&amp;$A66&amp;"'!$A$12:$Z$12"),0),0)="","?",VLOOKUP(AF$1,INDIRECT("'"&amp;$A66&amp;"'!$A$12:$Z$41"),MATCH("Points (Auto-generate)",INDIRECT("'"&amp;$A66&amp;"'!$A$12:$Z$12"),0),0)),"ER"))</f>
        <v>?</v>
      </c>
      <c r="AG66" s="86" t="str">
        <f aca="true">IF($H66=0,"NA",IF($A66=INDIRECT("'"&amp;$A66&amp;"'!$B$1"),IF(VLOOKUP(AG$1,INDIRECT("'"&amp;$A66&amp;"'!$A$12:$Z$41"),MATCH("Points (Auto-generate)",INDIRECT("'"&amp;$A66&amp;"'!$A$12:$Z$12"),0),0)="","?",VLOOKUP(AG$1,INDIRECT("'"&amp;$A66&amp;"'!$A$12:$Z$41"),MATCH("Points (Auto-generate)",INDIRECT("'"&amp;$A66&amp;"'!$A$12:$Z$12"),0),0)),"ER"))</f>
        <v>?</v>
      </c>
      <c r="AH66" s="86" t="str">
        <f aca="true">IF($H66=0,"NA",IF($A66=INDIRECT("'"&amp;$A66&amp;"'!$B$1"),IF(VLOOKUP(AH$1,INDIRECT("'"&amp;$A66&amp;"'!$A$12:$Z$41"),MATCH("Points (Auto-generate)",INDIRECT("'"&amp;$A66&amp;"'!$A$12:$Z$12"),0),0)="","?",VLOOKUP(AH$1,INDIRECT("'"&amp;$A66&amp;"'!$A$12:$Z$41"),MATCH("Points (Auto-generate)",INDIRECT("'"&amp;$A66&amp;"'!$A$12:$Z$12"),0),0)),"ER"))</f>
        <v>?</v>
      </c>
      <c r="AI66" s="86" t="str">
        <f aca="true">IF($H66=0,"NA",IF($A66=INDIRECT("'"&amp;$A66&amp;"'!$B$1"),IF(VLOOKUP(AI$1,INDIRECT("'"&amp;$A66&amp;"'!$A$12:$Z$41"),MATCH("Points (Auto-generate)",INDIRECT("'"&amp;$A66&amp;"'!$A$12:$Z$12"),0),0)="","?",VLOOKUP(AI$1,INDIRECT("'"&amp;$A66&amp;"'!$A$12:$Z$41"),MATCH("Points (Auto-generate)",INDIRECT("'"&amp;$A66&amp;"'!$A$12:$Z$12"),0),0)),"ER"))</f>
        <v>?</v>
      </c>
      <c r="AJ66" s="86" t="str">
        <f aca="true">IF($H66=0,"NA",IF($A66=INDIRECT("'"&amp;$A66&amp;"'!$B$1"),IF(VLOOKUP(AJ$1,INDIRECT("'"&amp;$A66&amp;"'!$A$12:$Z$41"),MATCH("Points (Auto-generate)",INDIRECT("'"&amp;$A66&amp;"'!$A$12:$Z$12"),0),0)="","?",VLOOKUP(AJ$1,INDIRECT("'"&amp;$A66&amp;"'!$A$12:$Z$41"),MATCH("Points (Auto-generate)",INDIRECT("'"&amp;$A66&amp;"'!$A$12:$Z$12"),0),0)),"ER"))</f>
        <v>?</v>
      </c>
      <c r="AK66" s="86" t="str">
        <f aca="true">IF($H66=0,"NA",IF($A66=INDIRECT("'"&amp;$A66&amp;"'!$B$1"),IF(VLOOKUP(AK$1,INDIRECT("'"&amp;$A66&amp;"'!$A$12:$Z$41"),MATCH("Points (Auto-generate)",INDIRECT("'"&amp;$A66&amp;"'!$A$12:$Z$12"),0),0)="","?",VLOOKUP(AK$1,INDIRECT("'"&amp;$A66&amp;"'!$A$12:$Z$41"),MATCH("Points (Auto-generate)",INDIRECT("'"&amp;$A66&amp;"'!$A$12:$Z$12"),0),0)),"ER"))</f>
        <v>?</v>
      </c>
    </row>
    <row r="67" customFormat="false" ht="14.25" hidden="false" customHeight="false" outlineLevel="0" collapsed="false">
      <c r="A67" s="82" t="s">
        <v>213</v>
      </c>
      <c r="B67" s="83" t="str">
        <f aca="false">IF(ISBLANK($A67),"NO_CODE",VLOOKUP($A67,'UPD Questions_290926 '!$E$1:$N$300,MATCH(B$1,'UPD Questions_290926 '!$E$1:$N$1,0),0)&amp;"")</f>
        <v>Implementation</v>
      </c>
      <c r="C67" s="83" t="str">
        <f aca="false">IF(ISBLANK($A67),"NO_CODE",VLOOKUP($A67,'UPD Questions_290926 '!$E$1:$N$300,MATCH(C$1,'UPD Questions_290926 '!$E$1:$N$1,0),0)&amp;"")</f>
        <v>Sectoral planning</v>
      </c>
      <c r="D67" s="83" t="str">
        <f aca="false">IF(ISBLANK($A67),"NO_CODE",VLOOKUP($A67,'UPD Questions_290926 '!$E$1:$N$300,MATCH(D$1,'UPD Questions_290926 '!$E$1:$N$1,0),0)&amp;"")</f>
        <v>Sustainability, resilience and climate action</v>
      </c>
      <c r="E67" s="83" t="str">
        <f aca="false">IF(ISBLANK($A67),"NO_CODE",VLOOKUP($A67,'UPD Questions_290926 '!$E$1:$N$300,MATCH(E$1,'UPD Questions_290926 '!$E$1:$N$1,0),0)&amp;"")</f>
        <v>SQ</v>
      </c>
      <c r="F67" s="83" t="str">
        <f aca="false">IF(ISBLANK($A67),"NO_CODE",VLOOKUP($A67,'UPD Questions_290926 '!$E$1:$N$300,MATCH(F$1,'UPD Questions_290926 '!$E$1:$N$1,0),0)&amp;"")</f>
        <v>Does the plan clearly articulate the role of the ULG?</v>
      </c>
      <c r="G67" s="83" t="str">
        <f aca="false">IF(ISBLANK($A67),"NO_CODE",VLOOKUP($A67,'UPD Questions_290926 '!$E$1:$N$300,MATCH(G$1,'UPD Questions_290926 '!$E$1:$N$1,0),0)&amp;"")</f>
        <v>Implementation</v>
      </c>
      <c r="H67" s="85" t="n">
        <f aca="false">IF(ISBLANK($A67),"NO_CODE",VLOOKUP($A67,'UPD Questions_290926 '!$E$1:$N$300,MATCH(H$1,'UPD Questions_290926 '!$E$1:$N$1,0),0))</f>
        <v>3.33</v>
      </c>
      <c r="I67" s="86" t="str">
        <f aca="true">IF($H67=0,"NA",IF($A67=INDIRECT("'"&amp;$A67&amp;"'!$B$1"),IF(VLOOKUP(I$1,INDIRECT("'"&amp;$A67&amp;"'!$A$12:$Z$41"),MATCH("Points (Auto-generate)",INDIRECT("'"&amp;$A67&amp;"'!$A$12:$Z$12"),0),0)="","?",VLOOKUP(I$1,INDIRECT("'"&amp;$A67&amp;"'!$A$12:$Z$41"),MATCH("Points (Auto-generate)",INDIRECT("'"&amp;$A67&amp;"'!$A$12:$Z$12"),0),0)),"ER"))</f>
        <v>?</v>
      </c>
      <c r="J67" s="86" t="n">
        <f aca="true">IF($H67=0,"NA",IF($A67=INDIRECT("'"&amp;$A67&amp;"'!$B$1"),IF(VLOOKUP(J$1,INDIRECT("'"&amp;$A67&amp;"'!$A$12:$Z$41"),MATCH("Points (Auto-generate)",INDIRECT("'"&amp;$A67&amp;"'!$A$12:$Z$12"),0),0)="","?",VLOOKUP(J$1,INDIRECT("'"&amp;$A67&amp;"'!$A$12:$Z$41"),MATCH("Points (Auto-generate)",INDIRECT("'"&amp;$A67&amp;"'!$A$12:$Z$12"),0),0)),"ER"))</f>
        <v>3.33</v>
      </c>
      <c r="K67" s="86" t="str">
        <f aca="true">IF($H67=0,"NA",IF($A67=INDIRECT("'"&amp;$A67&amp;"'!$B$1"),IF(VLOOKUP(K$1,INDIRECT("'"&amp;$A67&amp;"'!$A$12:$Z$41"),MATCH("Points (Auto-generate)",INDIRECT("'"&amp;$A67&amp;"'!$A$12:$Z$12"),0),0)="","?",VLOOKUP(K$1,INDIRECT("'"&amp;$A67&amp;"'!$A$12:$Z$41"),MATCH("Points (Auto-generate)",INDIRECT("'"&amp;$A67&amp;"'!$A$12:$Z$12"),0),0)),"ER"))</f>
        <v>?</v>
      </c>
      <c r="L67" s="86" t="str">
        <f aca="true">IF($H67=0,"NA",IF($A67=INDIRECT("'"&amp;$A67&amp;"'!$B$1"),IF(VLOOKUP(L$1,INDIRECT("'"&amp;$A67&amp;"'!$A$12:$Z$41"),MATCH("Points (Auto-generate)",INDIRECT("'"&amp;$A67&amp;"'!$A$12:$Z$12"),0),0)="","?",VLOOKUP(L$1,INDIRECT("'"&amp;$A67&amp;"'!$A$12:$Z$41"),MATCH("Points (Auto-generate)",INDIRECT("'"&amp;$A67&amp;"'!$A$12:$Z$12"),0),0)),"ER"))</f>
        <v>?</v>
      </c>
      <c r="M67" s="86" t="str">
        <f aca="true">IF($H67=0,"NA",IF($A67=INDIRECT("'"&amp;$A67&amp;"'!$B$1"),IF(VLOOKUP(M$1,INDIRECT("'"&amp;$A67&amp;"'!$A$12:$Z$41"),MATCH("Points (Auto-generate)",INDIRECT("'"&amp;$A67&amp;"'!$A$12:$Z$12"),0),0)="","?",VLOOKUP(M$1,INDIRECT("'"&amp;$A67&amp;"'!$A$12:$Z$41"),MATCH("Points (Auto-generate)",INDIRECT("'"&amp;$A67&amp;"'!$A$12:$Z$12"),0),0)),"ER"))</f>
        <v>?</v>
      </c>
      <c r="N67" s="86" t="str">
        <f aca="true">IF($H67=0,"NA",IF($A67=INDIRECT("'"&amp;$A67&amp;"'!$B$1"),IF(VLOOKUP(N$1,INDIRECT("'"&amp;$A67&amp;"'!$A$12:$Z$41"),MATCH("Points (Auto-generate)",INDIRECT("'"&amp;$A67&amp;"'!$A$12:$Z$12"),0),0)="","?",VLOOKUP(N$1,INDIRECT("'"&amp;$A67&amp;"'!$A$12:$Z$41"),MATCH("Points (Auto-generate)",INDIRECT("'"&amp;$A67&amp;"'!$A$12:$Z$12"),0),0)),"ER"))</f>
        <v>?</v>
      </c>
      <c r="O67" s="86" t="str">
        <f aca="true">IF($H67=0,"NA",IF($A67=INDIRECT("'"&amp;$A67&amp;"'!$B$1"),IF(VLOOKUP(O$1,INDIRECT("'"&amp;$A67&amp;"'!$A$12:$Z$41"),MATCH("Points (Auto-generate)",INDIRECT("'"&amp;$A67&amp;"'!$A$12:$Z$12"),0),0)="","?",VLOOKUP(O$1,INDIRECT("'"&amp;$A67&amp;"'!$A$12:$Z$41"),MATCH("Points (Auto-generate)",INDIRECT("'"&amp;$A67&amp;"'!$A$12:$Z$12"),0),0)),"ER"))</f>
        <v>?</v>
      </c>
      <c r="P67" s="86" t="str">
        <f aca="true">IF($H67=0,"NA",IF($A67=INDIRECT("'"&amp;$A67&amp;"'!$B$1"),IF(VLOOKUP(P$1,INDIRECT("'"&amp;$A67&amp;"'!$A$12:$Z$41"),MATCH("Points (Auto-generate)",INDIRECT("'"&amp;$A67&amp;"'!$A$12:$Z$12"),0),0)="","?",VLOOKUP(P$1,INDIRECT("'"&amp;$A67&amp;"'!$A$12:$Z$41"),MATCH("Points (Auto-generate)",INDIRECT("'"&amp;$A67&amp;"'!$A$12:$Z$12"),0),0)),"ER"))</f>
        <v>?</v>
      </c>
      <c r="Q67" s="86" t="str">
        <f aca="true">IF($H67=0,"NA",IF($A67=INDIRECT("'"&amp;$A67&amp;"'!$B$1"),IF(VLOOKUP(Q$1,INDIRECT("'"&amp;$A67&amp;"'!$A$12:$Z$41"),MATCH("Points (Auto-generate)",INDIRECT("'"&amp;$A67&amp;"'!$A$12:$Z$12"),0),0)="","?",VLOOKUP(Q$1,INDIRECT("'"&amp;$A67&amp;"'!$A$12:$Z$41"),MATCH("Points (Auto-generate)",INDIRECT("'"&amp;$A67&amp;"'!$A$12:$Z$12"),0),0)),"ER"))</f>
        <v>?</v>
      </c>
      <c r="R67" s="86" t="str">
        <f aca="true">IF($H67=0,"NA",IF($A67=INDIRECT("'"&amp;$A67&amp;"'!$B$1"),IF(VLOOKUP(R$1,INDIRECT("'"&amp;$A67&amp;"'!$A$12:$Z$41"),MATCH("Points (Auto-generate)",INDIRECT("'"&amp;$A67&amp;"'!$A$12:$Z$12"),0),0)="","?",VLOOKUP(R$1,INDIRECT("'"&amp;$A67&amp;"'!$A$12:$Z$41"),MATCH("Points (Auto-generate)",INDIRECT("'"&amp;$A67&amp;"'!$A$12:$Z$12"),0),0)),"ER"))</f>
        <v>?</v>
      </c>
      <c r="S67" s="86" t="str">
        <f aca="true">IF($H67=0,"NA",IF($A67=INDIRECT("'"&amp;$A67&amp;"'!$B$1"),IF(VLOOKUP(S$1,INDIRECT("'"&amp;$A67&amp;"'!$A$12:$Z$41"),MATCH("Points (Auto-generate)",INDIRECT("'"&amp;$A67&amp;"'!$A$12:$Z$12"),0),0)="","?",VLOOKUP(S$1,INDIRECT("'"&amp;$A67&amp;"'!$A$12:$Z$41"),MATCH("Points (Auto-generate)",INDIRECT("'"&amp;$A67&amp;"'!$A$12:$Z$12"),0),0)),"ER"))</f>
        <v>?</v>
      </c>
      <c r="T67" s="86" t="str">
        <f aca="true">IF($H67=0,"NA",IF($A67=INDIRECT("'"&amp;$A67&amp;"'!$B$1"),IF(VLOOKUP(T$1,INDIRECT("'"&amp;$A67&amp;"'!$A$12:$Z$41"),MATCH("Points (Auto-generate)",INDIRECT("'"&amp;$A67&amp;"'!$A$12:$Z$12"),0),0)="","?",VLOOKUP(T$1,INDIRECT("'"&amp;$A67&amp;"'!$A$12:$Z$41"),MATCH("Points (Auto-generate)",INDIRECT("'"&amp;$A67&amp;"'!$A$12:$Z$12"),0),0)),"ER"))</f>
        <v>?</v>
      </c>
      <c r="U67" s="86" t="str">
        <f aca="true">IF($H67=0,"NA",IF($A67=INDIRECT("'"&amp;$A67&amp;"'!$B$1"),IF(VLOOKUP(U$1,INDIRECT("'"&amp;$A67&amp;"'!$A$12:$Z$41"),MATCH("Points (Auto-generate)",INDIRECT("'"&amp;$A67&amp;"'!$A$12:$Z$12"),0),0)="","?",VLOOKUP(U$1,INDIRECT("'"&amp;$A67&amp;"'!$A$12:$Z$41"),MATCH("Points (Auto-generate)",INDIRECT("'"&amp;$A67&amp;"'!$A$12:$Z$12"),0),0)),"ER"))</f>
        <v>?</v>
      </c>
      <c r="V67" s="86" t="str">
        <f aca="true">IF($H67=0,"NA",IF($A67=INDIRECT("'"&amp;$A67&amp;"'!$B$1"),IF(VLOOKUP(V$1,INDIRECT("'"&amp;$A67&amp;"'!$A$12:$Z$41"),MATCH("Points (Auto-generate)",INDIRECT("'"&amp;$A67&amp;"'!$A$12:$Z$12"),0),0)="","?",VLOOKUP(V$1,INDIRECT("'"&amp;$A67&amp;"'!$A$12:$Z$41"),MATCH("Points (Auto-generate)",INDIRECT("'"&amp;$A67&amp;"'!$A$12:$Z$12"),0),0)),"ER"))</f>
        <v>?</v>
      </c>
      <c r="W67" s="86" t="str">
        <f aca="true">IF($H67=0,"NA",IF($A67=INDIRECT("'"&amp;$A67&amp;"'!$B$1"),IF(VLOOKUP(W$1,INDIRECT("'"&amp;$A67&amp;"'!$A$12:$Z$41"),MATCH("Points (Auto-generate)",INDIRECT("'"&amp;$A67&amp;"'!$A$12:$Z$12"),0),0)="","?",VLOOKUP(W$1,INDIRECT("'"&amp;$A67&amp;"'!$A$12:$Z$41"),MATCH("Points (Auto-generate)",INDIRECT("'"&amp;$A67&amp;"'!$A$12:$Z$12"),0),0)),"ER"))</f>
        <v>?</v>
      </c>
      <c r="X67" s="86" t="str">
        <f aca="true">IF($H67=0,"NA",IF($A67=INDIRECT("'"&amp;$A67&amp;"'!$B$1"),IF(VLOOKUP(X$1,INDIRECT("'"&amp;$A67&amp;"'!$A$12:$Z$41"),MATCH("Points (Auto-generate)",INDIRECT("'"&amp;$A67&amp;"'!$A$12:$Z$12"),0),0)="","?",VLOOKUP(X$1,INDIRECT("'"&amp;$A67&amp;"'!$A$12:$Z$41"),MATCH("Points (Auto-generate)",INDIRECT("'"&amp;$A67&amp;"'!$A$12:$Z$12"),0),0)),"ER"))</f>
        <v>?</v>
      </c>
      <c r="Y67" s="86" t="str">
        <f aca="true">IF($H67=0,"NA",IF($A67=INDIRECT("'"&amp;$A67&amp;"'!$B$1"),IF(VLOOKUP(Y$1,INDIRECT("'"&amp;$A67&amp;"'!$A$12:$Z$41"),MATCH("Points (Auto-generate)",INDIRECT("'"&amp;$A67&amp;"'!$A$12:$Z$12"),0),0)="","?",VLOOKUP(Y$1,INDIRECT("'"&amp;$A67&amp;"'!$A$12:$Z$41"),MATCH("Points (Auto-generate)",INDIRECT("'"&amp;$A67&amp;"'!$A$12:$Z$12"),0),0)),"ER"))</f>
        <v>?</v>
      </c>
      <c r="Z67" s="86" t="str">
        <f aca="true">IF($H67=0,"NA",IF($A67=INDIRECT("'"&amp;$A67&amp;"'!$B$1"),IF(VLOOKUP(Z$1,INDIRECT("'"&amp;$A67&amp;"'!$A$12:$Z$41"),MATCH("Points (Auto-generate)",INDIRECT("'"&amp;$A67&amp;"'!$A$12:$Z$12"),0),0)="","?",VLOOKUP(Z$1,INDIRECT("'"&amp;$A67&amp;"'!$A$12:$Z$41"),MATCH("Points (Auto-generate)",INDIRECT("'"&amp;$A67&amp;"'!$A$12:$Z$12"),0),0)),"ER"))</f>
        <v>?</v>
      </c>
      <c r="AA67" s="86" t="str">
        <f aca="true">IF($H67=0,"NA",IF($A67=INDIRECT("'"&amp;$A67&amp;"'!$B$1"),IF(VLOOKUP(AA$1,INDIRECT("'"&amp;$A67&amp;"'!$A$12:$Z$41"),MATCH("Points (Auto-generate)",INDIRECT("'"&amp;$A67&amp;"'!$A$12:$Z$12"),0),0)="","?",VLOOKUP(AA$1,INDIRECT("'"&amp;$A67&amp;"'!$A$12:$Z$41"),MATCH("Points (Auto-generate)",INDIRECT("'"&amp;$A67&amp;"'!$A$12:$Z$12"),0),0)),"ER"))</f>
        <v>?</v>
      </c>
      <c r="AB67" s="86" t="str">
        <f aca="true">IF($H67=0,"NA",IF($A67=INDIRECT("'"&amp;$A67&amp;"'!$B$1"),IF(VLOOKUP(AB$1,INDIRECT("'"&amp;$A67&amp;"'!$A$12:$Z$41"),MATCH("Points (Auto-generate)",INDIRECT("'"&amp;$A67&amp;"'!$A$12:$Z$12"),0),0)="","?",VLOOKUP(AB$1,INDIRECT("'"&amp;$A67&amp;"'!$A$12:$Z$41"),MATCH("Points (Auto-generate)",INDIRECT("'"&amp;$A67&amp;"'!$A$12:$Z$12"),0),0)),"ER"))</f>
        <v>?</v>
      </c>
      <c r="AC67" s="86" t="str">
        <f aca="true">IF($H67=0,"NA",IF($A67=INDIRECT("'"&amp;$A67&amp;"'!$B$1"),IF(VLOOKUP(AC$1,INDIRECT("'"&amp;$A67&amp;"'!$A$12:$Z$41"),MATCH("Points (Auto-generate)",INDIRECT("'"&amp;$A67&amp;"'!$A$12:$Z$12"),0),0)="","?",VLOOKUP(AC$1,INDIRECT("'"&amp;$A67&amp;"'!$A$12:$Z$41"),MATCH("Points (Auto-generate)",INDIRECT("'"&amp;$A67&amp;"'!$A$12:$Z$12"),0),0)),"ER"))</f>
        <v>?</v>
      </c>
      <c r="AD67" s="86" t="str">
        <f aca="true">IF($H67=0,"NA",IF($A67=INDIRECT("'"&amp;$A67&amp;"'!$B$1"),IF(VLOOKUP(AD$1,INDIRECT("'"&amp;$A67&amp;"'!$A$12:$Z$41"),MATCH("Points (Auto-generate)",INDIRECT("'"&amp;$A67&amp;"'!$A$12:$Z$12"),0),0)="","?",VLOOKUP(AD$1,INDIRECT("'"&amp;$A67&amp;"'!$A$12:$Z$41"),MATCH("Points (Auto-generate)",INDIRECT("'"&amp;$A67&amp;"'!$A$12:$Z$12"),0),0)),"ER"))</f>
        <v>?</v>
      </c>
      <c r="AE67" s="86" t="str">
        <f aca="true">IF($H67=0,"NA",IF($A67=INDIRECT("'"&amp;$A67&amp;"'!$B$1"),IF(VLOOKUP(AE$1,INDIRECT("'"&amp;$A67&amp;"'!$A$12:$Z$41"),MATCH("Points (Auto-generate)",INDIRECT("'"&amp;$A67&amp;"'!$A$12:$Z$12"),0),0)="","?",VLOOKUP(AE$1,INDIRECT("'"&amp;$A67&amp;"'!$A$12:$Z$41"),MATCH("Points (Auto-generate)",INDIRECT("'"&amp;$A67&amp;"'!$A$12:$Z$12"),0),0)),"ER"))</f>
        <v>?</v>
      </c>
      <c r="AF67" s="86" t="str">
        <f aca="true">IF($H67=0,"NA",IF($A67=INDIRECT("'"&amp;$A67&amp;"'!$B$1"),IF(VLOOKUP(AF$1,INDIRECT("'"&amp;$A67&amp;"'!$A$12:$Z$41"),MATCH("Points (Auto-generate)",INDIRECT("'"&amp;$A67&amp;"'!$A$12:$Z$12"),0),0)="","?",VLOOKUP(AF$1,INDIRECT("'"&amp;$A67&amp;"'!$A$12:$Z$41"),MATCH("Points (Auto-generate)",INDIRECT("'"&amp;$A67&amp;"'!$A$12:$Z$12"),0),0)),"ER"))</f>
        <v>?</v>
      </c>
      <c r="AG67" s="86" t="str">
        <f aca="true">IF($H67=0,"NA",IF($A67=INDIRECT("'"&amp;$A67&amp;"'!$B$1"),IF(VLOOKUP(AG$1,INDIRECT("'"&amp;$A67&amp;"'!$A$12:$Z$41"),MATCH("Points (Auto-generate)",INDIRECT("'"&amp;$A67&amp;"'!$A$12:$Z$12"),0),0)="","?",VLOOKUP(AG$1,INDIRECT("'"&amp;$A67&amp;"'!$A$12:$Z$41"),MATCH("Points (Auto-generate)",INDIRECT("'"&amp;$A67&amp;"'!$A$12:$Z$12"),0),0)),"ER"))</f>
        <v>?</v>
      </c>
      <c r="AH67" s="86" t="str">
        <f aca="true">IF($H67=0,"NA",IF($A67=INDIRECT("'"&amp;$A67&amp;"'!$B$1"),IF(VLOOKUP(AH$1,INDIRECT("'"&amp;$A67&amp;"'!$A$12:$Z$41"),MATCH("Points (Auto-generate)",INDIRECT("'"&amp;$A67&amp;"'!$A$12:$Z$12"),0),0)="","?",VLOOKUP(AH$1,INDIRECT("'"&amp;$A67&amp;"'!$A$12:$Z$41"),MATCH("Points (Auto-generate)",INDIRECT("'"&amp;$A67&amp;"'!$A$12:$Z$12"),0),0)),"ER"))</f>
        <v>?</v>
      </c>
      <c r="AI67" s="86" t="str">
        <f aca="true">IF($H67=0,"NA",IF($A67=INDIRECT("'"&amp;$A67&amp;"'!$B$1"),IF(VLOOKUP(AI$1,INDIRECT("'"&amp;$A67&amp;"'!$A$12:$Z$41"),MATCH("Points (Auto-generate)",INDIRECT("'"&amp;$A67&amp;"'!$A$12:$Z$12"),0),0)="","?",VLOOKUP(AI$1,INDIRECT("'"&amp;$A67&amp;"'!$A$12:$Z$41"),MATCH("Points (Auto-generate)",INDIRECT("'"&amp;$A67&amp;"'!$A$12:$Z$12"),0),0)),"ER"))</f>
        <v>?</v>
      </c>
      <c r="AJ67" s="86" t="str">
        <f aca="true">IF($H67=0,"NA",IF($A67=INDIRECT("'"&amp;$A67&amp;"'!$B$1"),IF(VLOOKUP(AJ$1,INDIRECT("'"&amp;$A67&amp;"'!$A$12:$Z$41"),MATCH("Points (Auto-generate)",INDIRECT("'"&amp;$A67&amp;"'!$A$12:$Z$12"),0),0)="","?",VLOOKUP(AJ$1,INDIRECT("'"&amp;$A67&amp;"'!$A$12:$Z$41"),MATCH("Points (Auto-generate)",INDIRECT("'"&amp;$A67&amp;"'!$A$12:$Z$12"),0),0)),"ER"))</f>
        <v>?</v>
      </c>
      <c r="AK67" s="86" t="str">
        <f aca="true">IF($H67=0,"NA",IF($A67=INDIRECT("'"&amp;$A67&amp;"'!$B$1"),IF(VLOOKUP(AK$1,INDIRECT("'"&amp;$A67&amp;"'!$A$12:$Z$41"),MATCH("Points (Auto-generate)",INDIRECT("'"&amp;$A67&amp;"'!$A$12:$Z$12"),0),0)="","?",VLOOKUP(AK$1,INDIRECT("'"&amp;$A67&amp;"'!$A$12:$Z$41"),MATCH("Points (Auto-generate)",INDIRECT("'"&amp;$A67&amp;"'!$A$12:$Z$12"),0),0)),"ER"))</f>
        <v>?</v>
      </c>
    </row>
    <row r="68" customFormat="false" ht="14.25" hidden="false" customHeight="false" outlineLevel="0" collapsed="false">
      <c r="A68" s="82" t="s">
        <v>587</v>
      </c>
      <c r="B68" s="83" t="str">
        <f aca="false">IF(ISBLANK($A68),"NO_CODE",VLOOKUP($A68,'UPD Questions_290926 '!$E$1:$N$300,MATCH(B$1,'UPD Questions_290926 '!$E$1:$N$1,0),0)&amp;"")</f>
        <v>Implementation</v>
      </c>
      <c r="C68" s="83" t="str">
        <f aca="false">IF(ISBLANK($A68),"NO_CODE",VLOOKUP($A68,'UPD Questions_290926 '!$E$1:$N$300,MATCH(C$1,'UPD Questions_290926 '!$E$1:$N$1,0),0)&amp;"")</f>
        <v>Sectoral planning</v>
      </c>
      <c r="D68" s="83" t="str">
        <f aca="false">IF(ISBLANK($A68),"NO_CODE",VLOOKUP($A68,'UPD Questions_290926 '!$E$1:$N$300,MATCH(D$1,'UPD Questions_290926 '!$E$1:$N$1,0),0)&amp;"")</f>
        <v>Comprehensive mobility planning</v>
      </c>
      <c r="E68" s="83" t="str">
        <f aca="false">IF(ISBLANK($A68),"NO_CODE",VLOOKUP($A68,'UPD Questions_290926 '!$E$1:$N$300,MATCH(E$1,'UPD Questions_290926 '!$E$1:$N$1,0),0)&amp;"")</f>
        <v>MQ</v>
      </c>
      <c r="F68" s="83" t="str">
        <f aca="false">IF(ISBLANK($A68),"NO_CODE",VLOOKUP($A68,'UPD Questions_290926 '!$E$1:$N$300,MATCH(F$1,'UPD Questions_290926 '!$E$1:$N$1,0),0)&amp;"")</f>
        <v>Does your city have a Comprehensive Mobility Plan that clearly articulates development priorities, measurable objectives, and the roles and responsibilities of the ULG?</v>
      </c>
      <c r="G68" s="83" t="str">
        <f aca="false">IF(ISBLANK($A68),"NO_CODE",VLOOKUP($A68,'UPD Questions_290926 '!$E$1:$N$300,MATCH(G$1,'UPD Questions_290926 '!$E$1:$N$1,0),0)&amp;"")</f>
        <v>Implementation</v>
      </c>
      <c r="H68" s="85" t="n">
        <f aca="false">IF(ISBLANK($A68),"NO_CODE",VLOOKUP($A68,'UPD Questions_290926 '!$E$1:$N$300,MATCH(H$1,'UPD Questions_290926 '!$E$1:$N$1,0),0))</f>
        <v>10</v>
      </c>
      <c r="I68" s="86" t="str">
        <f aca="false">IF(OR(I69="ER",I70="ER",I71="ER"),"ER",IF(OR(I69="?",I70="?",I71="?"),"?",IF(AND(I69="NA",I70="NA",I71="NA"),"NA",SUM(I69,I70,I71)/((I69&lt;&gt;"NA")*$H$69+(I70&lt;&gt;"NA")*$H$70+(I71&lt;&gt;"NA")*$H$71)*$H68)))</f>
        <v>?</v>
      </c>
      <c r="J68" s="86" t="n">
        <f aca="false">IF(OR(J69="ER",J70="ER",J71="ER"),"ER",IF(OR(J69="?",J70="?",J71="?"),"?",IF(AND(J69="NA",J70="NA",J71="NA"),"NA",SUM(J69,J70,J71)/((J69&lt;&gt;"NA")*$H$69+(J70&lt;&gt;"NA")*$H$70+(J71&lt;&gt;"NA")*$H$71)*$H68)))</f>
        <v>10</v>
      </c>
      <c r="K68" s="86" t="str">
        <f aca="false">IF(OR(K69="ER",K70="ER",K71="ER"),"ER",IF(OR(K69="?",K70="?",K71="?"),"?",IF(AND(K69="NA",K70="NA",K71="NA"),"NA",SUM(K69,K70,K71)/((K69&lt;&gt;"NA")*$H$69+(K70&lt;&gt;"NA")*$H$70+(K71&lt;&gt;"NA")*$H$71)*$H68)))</f>
        <v>?</v>
      </c>
      <c r="L68" s="86" t="str">
        <f aca="false">IF(OR(L69="ER",L70="ER",L71="ER"),"ER",IF(OR(L69="?",L70="?",L71="?"),"?",IF(AND(L69="NA",L70="NA",L71="NA"),"NA",SUM(L69,L70,L71)/((L69&lt;&gt;"NA")*$H$69+(L70&lt;&gt;"NA")*$H$70+(L71&lt;&gt;"NA")*$H$71)*$H68)))</f>
        <v>?</v>
      </c>
      <c r="M68" s="86" t="str">
        <f aca="false">IF(OR(M69="ER",M70="ER",M71="ER"),"ER",IF(OR(M69="?",M70="?",M71="?"),"?",IF(AND(M69="NA",M70="NA",M71="NA"),"NA",SUM(M69,M70,M71)/((M69&lt;&gt;"NA")*$H$69+(M70&lt;&gt;"NA")*$H$70+(M71&lt;&gt;"NA")*$H$71)*$H68)))</f>
        <v>?</v>
      </c>
      <c r="N68" s="86" t="str">
        <f aca="false">IF(OR(N69="ER",N70="ER",N71="ER"),"ER",IF(OR(N69="?",N70="?",N71="?"),"?",IF(AND(N69="NA",N70="NA",N71="NA"),"NA",SUM(N69,N70,N71)/((N69&lt;&gt;"NA")*$H$69+(N70&lt;&gt;"NA")*$H$70+(N71&lt;&gt;"NA")*$H$71)*$H68)))</f>
        <v>?</v>
      </c>
      <c r="O68" s="86" t="str">
        <f aca="false">IF(OR(O69="ER",O70="ER",O71="ER"),"ER",IF(OR(O69="?",O70="?",O71="?"),"?",IF(AND(O69="NA",O70="NA",O71="NA"),"NA",SUM(O69,O70,O71)/((O69&lt;&gt;"NA")*$H$69+(O70&lt;&gt;"NA")*$H$70+(O71&lt;&gt;"NA")*$H$71)*$H68)))</f>
        <v>?</v>
      </c>
      <c r="P68" s="86" t="str">
        <f aca="false">IF(OR(P69="ER",P70="ER",P71="ER"),"ER",IF(OR(P69="?",P70="?",P71="?"),"?",IF(AND(P69="NA",P70="NA",P71="NA"),"NA",SUM(P69,P70,P71)/((P69&lt;&gt;"NA")*$H$69+(P70&lt;&gt;"NA")*$H$70+(P71&lt;&gt;"NA")*$H$71)*$H68)))</f>
        <v>?</v>
      </c>
      <c r="Q68" s="86" t="str">
        <f aca="false">IF(OR(Q69="ER",Q70="ER",Q71="ER"),"ER",IF(OR(Q69="?",Q70="?",Q71="?"),"?",IF(AND(Q69="NA",Q70="NA",Q71="NA"),"NA",SUM(Q69,Q70,Q71)/((Q69&lt;&gt;"NA")*$H$69+(Q70&lt;&gt;"NA")*$H$70+(Q71&lt;&gt;"NA")*$H$71)*$H68)))</f>
        <v>?</v>
      </c>
      <c r="R68" s="86" t="str">
        <f aca="false">IF(OR(R69="ER",R70="ER",R71="ER"),"ER",IF(OR(R69="?",R70="?",R71="?"),"?",IF(AND(R69="NA",R70="NA",R71="NA"),"NA",SUM(R69,R70,R71)/((R69&lt;&gt;"NA")*$H$69+(R70&lt;&gt;"NA")*$H$70+(R71&lt;&gt;"NA")*$H$71)*$H68)))</f>
        <v>?</v>
      </c>
      <c r="S68" s="86" t="str">
        <f aca="false">IF(OR(S69="ER",S70="ER",S71="ER"),"ER",IF(OR(S69="?",S70="?",S71="?"),"?",IF(AND(S69="NA",S70="NA",S71="NA"),"NA",SUM(S69,S70,S71)/((S69&lt;&gt;"NA")*$H$69+(S70&lt;&gt;"NA")*$H$70+(S71&lt;&gt;"NA")*$H$71)*$H68)))</f>
        <v>?</v>
      </c>
      <c r="T68" s="86" t="str">
        <f aca="false">IF(OR(T69="ER",T70="ER",T71="ER"),"ER",IF(OR(T69="?",T70="?",T71="?"),"?",IF(AND(T69="NA",T70="NA",T71="NA"),"NA",SUM(T69,T70,T71)/((T69&lt;&gt;"NA")*$H$69+(T70&lt;&gt;"NA")*$H$70+(T71&lt;&gt;"NA")*$H$71)*$H68)))</f>
        <v>?</v>
      </c>
      <c r="U68" s="86" t="str">
        <f aca="false">IF(OR(U69="ER",U70="ER",U71="ER"),"ER",IF(OR(U69="?",U70="?",U71="?"),"?",IF(AND(U69="NA",U70="NA",U71="NA"),"NA",SUM(U69,U70,U71)/((U69&lt;&gt;"NA")*$H$69+(U70&lt;&gt;"NA")*$H$70+(U71&lt;&gt;"NA")*$H$71)*$H68)))</f>
        <v>?</v>
      </c>
      <c r="V68" s="86" t="str">
        <f aca="false">IF(OR(V69="ER",V70="ER",V71="ER"),"ER",IF(OR(V69="?",V70="?",V71="?"),"?",IF(AND(V69="NA",V70="NA",V71="NA"),"NA",SUM(V69,V70,V71)/((V69&lt;&gt;"NA")*$H$69+(V70&lt;&gt;"NA")*$H$70+(V71&lt;&gt;"NA")*$H$71)*$H68)))</f>
        <v>?</v>
      </c>
      <c r="W68" s="86" t="str">
        <f aca="false">IF(OR(W69="ER",W70="ER",W71="ER"),"ER",IF(OR(W69="?",W70="?",W71="?"),"?",IF(AND(W69="NA",W70="NA",W71="NA"),"NA",SUM(W69,W70,W71)/((W69&lt;&gt;"NA")*$H$69+(W70&lt;&gt;"NA")*$H$70+(W71&lt;&gt;"NA")*$H$71)*$H68)))</f>
        <v>?</v>
      </c>
      <c r="X68" s="86" t="str">
        <f aca="false">IF(OR(X69="ER",X70="ER",X71="ER"),"ER",IF(OR(X69="?",X70="?",X71="?"),"?",IF(AND(X69="NA",X70="NA",X71="NA"),"NA",SUM(X69,X70,X71)/((X69&lt;&gt;"NA")*$H$69+(X70&lt;&gt;"NA")*$H$70+(X71&lt;&gt;"NA")*$H$71)*$H68)))</f>
        <v>?</v>
      </c>
      <c r="Y68" s="86" t="str">
        <f aca="false">IF(OR(Y69="ER",Y70="ER",Y71="ER"),"ER",IF(OR(Y69="?",Y70="?",Y71="?"),"?",IF(AND(Y69="NA",Y70="NA",Y71="NA"),"NA",SUM(Y69,Y70,Y71)/((Y69&lt;&gt;"NA")*$H$69+(Y70&lt;&gt;"NA")*$H$70+(Y71&lt;&gt;"NA")*$H$71)*$H68)))</f>
        <v>?</v>
      </c>
      <c r="Z68" s="86" t="str">
        <f aca="false">IF(OR(Z69="ER",Z70="ER",Z71="ER"),"ER",IF(OR(Z69="?",Z70="?",Z71="?"),"?",IF(AND(Z69="NA",Z70="NA",Z71="NA"),"NA",SUM(Z69,Z70,Z71)/((Z69&lt;&gt;"NA")*$H$69+(Z70&lt;&gt;"NA")*$H$70+(Z71&lt;&gt;"NA")*$H$71)*$H68)))</f>
        <v>?</v>
      </c>
      <c r="AA68" s="86" t="str">
        <f aca="false">IF(OR(AA69="ER",AA70="ER",AA71="ER"),"ER",IF(OR(AA69="?",AA70="?",AA71="?"),"?",IF(AND(AA69="NA",AA70="NA",AA71="NA"),"NA",SUM(AA69,AA70,AA71)/((AA69&lt;&gt;"NA")*$H$69+(AA70&lt;&gt;"NA")*$H$70+(AA71&lt;&gt;"NA")*$H$71)*$H68)))</f>
        <v>?</v>
      </c>
      <c r="AB68" s="86" t="str">
        <f aca="false">IF(OR(AB69="ER",AB70="ER",AB71="ER"),"ER",IF(OR(AB69="?",AB70="?",AB71="?"),"?",IF(AND(AB69="NA",AB70="NA",AB71="NA"),"NA",SUM(AB69,AB70,AB71)/((AB69&lt;&gt;"NA")*$H$69+(AB70&lt;&gt;"NA")*$H$70+(AB71&lt;&gt;"NA")*$H$71)*$H68)))</f>
        <v>?</v>
      </c>
      <c r="AC68" s="86" t="str">
        <f aca="false">IF(OR(AC69="ER",AC70="ER",AC71="ER"),"ER",IF(OR(AC69="?",AC70="?",AC71="?"),"?",IF(AND(AC69="NA",AC70="NA",AC71="NA"),"NA",SUM(AC69,AC70,AC71)/((AC69&lt;&gt;"NA")*$H$69+(AC70&lt;&gt;"NA")*$H$70+(AC71&lt;&gt;"NA")*$H$71)*$H68)))</f>
        <v>?</v>
      </c>
      <c r="AD68" s="86" t="str">
        <f aca="false">IF(OR(AD69="ER",AD70="ER",AD71="ER"),"ER",IF(OR(AD69="?",AD70="?",AD71="?"),"?",IF(AND(AD69="NA",AD70="NA",AD71="NA"),"NA",SUM(AD69,AD70,AD71)/((AD69&lt;&gt;"NA")*$H$69+(AD70&lt;&gt;"NA")*$H$70+(AD71&lt;&gt;"NA")*$H$71)*$H68)))</f>
        <v>?</v>
      </c>
      <c r="AE68" s="86" t="str">
        <f aca="false">IF(OR(AE69="ER",AE70="ER",AE71="ER"),"ER",IF(OR(AE69="?",AE70="?",AE71="?"),"?",IF(AND(AE69="NA",AE70="NA",AE71="NA"),"NA",SUM(AE69,AE70,AE71)/((AE69&lt;&gt;"NA")*$H$69+(AE70&lt;&gt;"NA")*$H$70+(AE71&lt;&gt;"NA")*$H$71)*$H68)))</f>
        <v>?</v>
      </c>
      <c r="AF68" s="86" t="str">
        <f aca="false">IF(OR(AF69="ER",AF70="ER",AF71="ER"),"ER",IF(OR(AF69="?",AF70="?",AF71="?"),"?",IF(AND(AF69="NA",AF70="NA",AF71="NA"),"NA",SUM(AF69,AF70,AF71)/((AF69&lt;&gt;"NA")*$H$69+(AF70&lt;&gt;"NA")*$H$70+(AF71&lt;&gt;"NA")*$H$71)*$H68)))</f>
        <v>?</v>
      </c>
      <c r="AG68" s="86" t="str">
        <f aca="false">IF(OR(AG69="ER",AG70="ER",AG71="ER"),"ER",IF(OR(AG69="?",AG70="?",AG71="?"),"?",IF(AND(AG69="NA",AG70="NA",AG71="NA"),"NA",SUM(AG69,AG70,AG71)/((AG69&lt;&gt;"NA")*$H$69+(AG70&lt;&gt;"NA")*$H$70+(AG71&lt;&gt;"NA")*$H$71)*$H68)))</f>
        <v>?</v>
      </c>
      <c r="AH68" s="86" t="str">
        <f aca="false">IF(OR(AH69="ER",AH70="ER",AH71="ER"),"ER",IF(OR(AH69="?",AH70="?",AH71="?"),"?",IF(AND(AH69="NA",AH70="NA",AH71="NA"),"NA",SUM(AH69,AH70,AH71)/((AH69&lt;&gt;"NA")*$H$69+(AH70&lt;&gt;"NA")*$H$70+(AH71&lt;&gt;"NA")*$H$71)*$H68)))</f>
        <v>?</v>
      </c>
      <c r="AI68" s="86" t="str">
        <f aca="false">IF(OR(AI69="ER",AI70="ER",AI71="ER"),"ER",IF(OR(AI69="?",AI70="?",AI71="?"),"?",IF(AND(AI69="NA",AI70="NA",AI71="NA"),"NA",SUM(AI69,AI70,AI71)/((AI69&lt;&gt;"NA")*$H$69+(AI70&lt;&gt;"NA")*$H$70+(AI71&lt;&gt;"NA")*$H$71)*$H68)))</f>
        <v>?</v>
      </c>
      <c r="AJ68" s="86" t="str">
        <f aca="false">IF(OR(AJ69="ER",AJ70="ER",AJ71="ER"),"ER",IF(OR(AJ69="?",AJ70="?",AJ71="?"),"?",IF(AND(AJ69="NA",AJ70="NA",AJ71="NA"),"NA",SUM(AJ69,AJ70,AJ71)/((AJ69&lt;&gt;"NA")*$H$69+(AJ70&lt;&gt;"NA")*$H$70+(AJ71&lt;&gt;"NA")*$H$71)*$H68)))</f>
        <v>?</v>
      </c>
      <c r="AK68" s="86" t="str">
        <f aca="false">IF(OR(AK69="ER",AK70="ER",AK71="ER"),"ER",IF(OR(AK69="?",AK70="?",AK71="?"),"?",IF(AND(AK69="NA",AK70="NA",AK71="NA"),"NA",SUM(AK69,AK70,AK71)/((AK69&lt;&gt;"NA")*$H$69+(AK70&lt;&gt;"NA")*$H$70+(AK71&lt;&gt;"NA")*$H$71)*$H68)))</f>
        <v>?</v>
      </c>
    </row>
    <row r="69" customFormat="false" ht="14.25" hidden="false" customHeight="false" outlineLevel="0" collapsed="false">
      <c r="A69" s="82" t="s">
        <v>216</v>
      </c>
      <c r="B69" s="83" t="str">
        <f aca="false">IF(ISBLANK($A69),"NO_CODE",VLOOKUP($A69,'UPD Questions_290926 '!$E$1:$N$300,MATCH(B$1,'UPD Questions_290926 '!$E$1:$N$1,0),0)&amp;"")</f>
        <v>Implementation</v>
      </c>
      <c r="C69" s="83" t="str">
        <f aca="false">IF(ISBLANK($A69),"NO_CODE",VLOOKUP($A69,'UPD Questions_290926 '!$E$1:$N$300,MATCH(C$1,'UPD Questions_290926 '!$E$1:$N$1,0),0)&amp;"")</f>
        <v>Sectoral planning</v>
      </c>
      <c r="D69" s="83" t="str">
        <f aca="false">IF(ISBLANK($A69),"NO_CODE",VLOOKUP($A69,'UPD Questions_290926 '!$E$1:$N$300,MATCH(D$1,'UPD Questions_290926 '!$E$1:$N$1,0),0)&amp;"")</f>
        <v>Comprehensive mobility planning</v>
      </c>
      <c r="E69" s="83" t="str">
        <f aca="false">IF(ISBLANK($A69),"NO_CODE",VLOOKUP($A69,'UPD Questions_290926 '!$E$1:$N$300,MATCH(E$1,'UPD Questions_290926 '!$E$1:$N$1,0),0)&amp;"")</f>
        <v>SQ</v>
      </c>
      <c r="F69" s="83" t="str">
        <f aca="false">IF(ISBLANK($A69),"NO_CODE",VLOOKUP($A69,'UPD Questions_290926 '!$E$1:$N$300,MATCH(F$1,'UPD Questions_290926 '!$E$1:$N$1,0),0)&amp;"")</f>
        <v>Does the city have a notified and active Comprehensive Mobility Plan?</v>
      </c>
      <c r="G69" s="83" t="str">
        <f aca="false">IF(ISBLANK($A69),"NO_CODE",VLOOKUP($A69,'UPD Questions_290926 '!$E$1:$N$300,MATCH(G$1,'UPD Questions_290926 '!$E$1:$N$1,0),0)&amp;"")</f>
        <v>Implementation</v>
      </c>
      <c r="H69" s="85" t="n">
        <f aca="false">IF(ISBLANK($A69),"NO_CODE",VLOOKUP($A69,'UPD Questions_290926 '!$E$1:$N$300,MATCH(H$1,'UPD Questions_290926 '!$E$1:$N$1,0),0))</f>
        <v>3.33</v>
      </c>
      <c r="I69" s="86" t="str">
        <f aca="true">IF($H69=0,"NA",IF($A69=INDIRECT("'"&amp;$A69&amp;"'!$B$1"),IF(VLOOKUP(I$1,INDIRECT("'"&amp;$A69&amp;"'!$A$12:$Z$41"),MATCH("Points (Auto-generate)",INDIRECT("'"&amp;$A69&amp;"'!$A$12:$Z$12"),0),0)="","?",VLOOKUP(I$1,INDIRECT("'"&amp;$A69&amp;"'!$A$12:$Z$41"),MATCH("Points (Auto-generate)",INDIRECT("'"&amp;$A69&amp;"'!$A$12:$Z$12"),0),0)),"ER"))</f>
        <v>?</v>
      </c>
      <c r="J69" s="86" t="n">
        <f aca="true">IF($H69=0,"NA",IF($A69=INDIRECT("'"&amp;$A69&amp;"'!$B$1"),IF(VLOOKUP(J$1,INDIRECT("'"&amp;$A69&amp;"'!$A$12:$Z$41"),MATCH("Points (Auto-generate)",INDIRECT("'"&amp;$A69&amp;"'!$A$12:$Z$12"),0),0)="","?",VLOOKUP(J$1,INDIRECT("'"&amp;$A69&amp;"'!$A$12:$Z$41"),MATCH("Points (Auto-generate)",INDIRECT("'"&amp;$A69&amp;"'!$A$12:$Z$12"),0),0)),"ER"))</f>
        <v>3.33</v>
      </c>
      <c r="K69" s="86" t="str">
        <f aca="true">IF($H69=0,"NA",IF($A69=INDIRECT("'"&amp;$A69&amp;"'!$B$1"),IF(VLOOKUP(K$1,INDIRECT("'"&amp;$A69&amp;"'!$A$12:$Z$41"),MATCH("Points (Auto-generate)",INDIRECT("'"&amp;$A69&amp;"'!$A$12:$Z$12"),0),0)="","?",VLOOKUP(K$1,INDIRECT("'"&amp;$A69&amp;"'!$A$12:$Z$41"),MATCH("Points (Auto-generate)",INDIRECT("'"&amp;$A69&amp;"'!$A$12:$Z$12"),0),0)),"ER"))</f>
        <v>?</v>
      </c>
      <c r="L69" s="86" t="str">
        <f aca="true">IF($H69=0,"NA",IF($A69=INDIRECT("'"&amp;$A69&amp;"'!$B$1"),IF(VLOOKUP(L$1,INDIRECT("'"&amp;$A69&amp;"'!$A$12:$Z$41"),MATCH("Points (Auto-generate)",INDIRECT("'"&amp;$A69&amp;"'!$A$12:$Z$12"),0),0)="","?",VLOOKUP(L$1,INDIRECT("'"&amp;$A69&amp;"'!$A$12:$Z$41"),MATCH("Points (Auto-generate)",INDIRECT("'"&amp;$A69&amp;"'!$A$12:$Z$12"),0),0)),"ER"))</f>
        <v>?</v>
      </c>
      <c r="M69" s="86" t="str">
        <f aca="true">IF($H69=0,"NA",IF($A69=INDIRECT("'"&amp;$A69&amp;"'!$B$1"),IF(VLOOKUP(M$1,INDIRECT("'"&amp;$A69&amp;"'!$A$12:$Z$41"),MATCH("Points (Auto-generate)",INDIRECT("'"&amp;$A69&amp;"'!$A$12:$Z$12"),0),0)="","?",VLOOKUP(M$1,INDIRECT("'"&amp;$A69&amp;"'!$A$12:$Z$41"),MATCH("Points (Auto-generate)",INDIRECT("'"&amp;$A69&amp;"'!$A$12:$Z$12"),0),0)),"ER"))</f>
        <v>?</v>
      </c>
      <c r="N69" s="86" t="str">
        <f aca="true">IF($H69=0,"NA",IF($A69=INDIRECT("'"&amp;$A69&amp;"'!$B$1"),IF(VLOOKUP(N$1,INDIRECT("'"&amp;$A69&amp;"'!$A$12:$Z$41"),MATCH("Points (Auto-generate)",INDIRECT("'"&amp;$A69&amp;"'!$A$12:$Z$12"),0),0)="","?",VLOOKUP(N$1,INDIRECT("'"&amp;$A69&amp;"'!$A$12:$Z$41"),MATCH("Points (Auto-generate)",INDIRECT("'"&amp;$A69&amp;"'!$A$12:$Z$12"),0),0)),"ER"))</f>
        <v>?</v>
      </c>
      <c r="O69" s="86" t="str">
        <f aca="true">IF($H69=0,"NA",IF($A69=INDIRECT("'"&amp;$A69&amp;"'!$B$1"),IF(VLOOKUP(O$1,INDIRECT("'"&amp;$A69&amp;"'!$A$12:$Z$41"),MATCH("Points (Auto-generate)",INDIRECT("'"&amp;$A69&amp;"'!$A$12:$Z$12"),0),0)="","?",VLOOKUP(O$1,INDIRECT("'"&amp;$A69&amp;"'!$A$12:$Z$41"),MATCH("Points (Auto-generate)",INDIRECT("'"&amp;$A69&amp;"'!$A$12:$Z$12"),0),0)),"ER"))</f>
        <v>?</v>
      </c>
      <c r="P69" s="86" t="str">
        <f aca="true">IF($H69=0,"NA",IF($A69=INDIRECT("'"&amp;$A69&amp;"'!$B$1"),IF(VLOOKUP(P$1,INDIRECT("'"&amp;$A69&amp;"'!$A$12:$Z$41"),MATCH("Points (Auto-generate)",INDIRECT("'"&amp;$A69&amp;"'!$A$12:$Z$12"),0),0)="","?",VLOOKUP(P$1,INDIRECT("'"&amp;$A69&amp;"'!$A$12:$Z$41"),MATCH("Points (Auto-generate)",INDIRECT("'"&amp;$A69&amp;"'!$A$12:$Z$12"),0),0)),"ER"))</f>
        <v>?</v>
      </c>
      <c r="Q69" s="86" t="str">
        <f aca="true">IF($H69=0,"NA",IF($A69=INDIRECT("'"&amp;$A69&amp;"'!$B$1"),IF(VLOOKUP(Q$1,INDIRECT("'"&amp;$A69&amp;"'!$A$12:$Z$41"),MATCH("Points (Auto-generate)",INDIRECT("'"&amp;$A69&amp;"'!$A$12:$Z$12"),0),0)="","?",VLOOKUP(Q$1,INDIRECT("'"&amp;$A69&amp;"'!$A$12:$Z$41"),MATCH("Points (Auto-generate)",INDIRECT("'"&amp;$A69&amp;"'!$A$12:$Z$12"),0),0)),"ER"))</f>
        <v>?</v>
      </c>
      <c r="R69" s="86" t="str">
        <f aca="true">IF($H69=0,"NA",IF($A69=INDIRECT("'"&amp;$A69&amp;"'!$B$1"),IF(VLOOKUP(R$1,INDIRECT("'"&amp;$A69&amp;"'!$A$12:$Z$41"),MATCH("Points (Auto-generate)",INDIRECT("'"&amp;$A69&amp;"'!$A$12:$Z$12"),0),0)="","?",VLOOKUP(R$1,INDIRECT("'"&amp;$A69&amp;"'!$A$12:$Z$41"),MATCH("Points (Auto-generate)",INDIRECT("'"&amp;$A69&amp;"'!$A$12:$Z$12"),0),0)),"ER"))</f>
        <v>?</v>
      </c>
      <c r="S69" s="86" t="str">
        <f aca="true">IF($H69=0,"NA",IF($A69=INDIRECT("'"&amp;$A69&amp;"'!$B$1"),IF(VLOOKUP(S$1,INDIRECT("'"&amp;$A69&amp;"'!$A$12:$Z$41"),MATCH("Points (Auto-generate)",INDIRECT("'"&amp;$A69&amp;"'!$A$12:$Z$12"),0),0)="","?",VLOOKUP(S$1,INDIRECT("'"&amp;$A69&amp;"'!$A$12:$Z$41"),MATCH("Points (Auto-generate)",INDIRECT("'"&amp;$A69&amp;"'!$A$12:$Z$12"),0),0)),"ER"))</f>
        <v>?</v>
      </c>
      <c r="T69" s="86" t="str">
        <f aca="true">IF($H69=0,"NA",IF($A69=INDIRECT("'"&amp;$A69&amp;"'!$B$1"),IF(VLOOKUP(T$1,INDIRECT("'"&amp;$A69&amp;"'!$A$12:$Z$41"),MATCH("Points (Auto-generate)",INDIRECT("'"&amp;$A69&amp;"'!$A$12:$Z$12"),0),0)="","?",VLOOKUP(T$1,INDIRECT("'"&amp;$A69&amp;"'!$A$12:$Z$41"),MATCH("Points (Auto-generate)",INDIRECT("'"&amp;$A69&amp;"'!$A$12:$Z$12"),0),0)),"ER"))</f>
        <v>?</v>
      </c>
      <c r="U69" s="86" t="str">
        <f aca="true">IF($H69=0,"NA",IF($A69=INDIRECT("'"&amp;$A69&amp;"'!$B$1"),IF(VLOOKUP(U$1,INDIRECT("'"&amp;$A69&amp;"'!$A$12:$Z$41"),MATCH("Points (Auto-generate)",INDIRECT("'"&amp;$A69&amp;"'!$A$12:$Z$12"),0),0)="","?",VLOOKUP(U$1,INDIRECT("'"&amp;$A69&amp;"'!$A$12:$Z$41"),MATCH("Points (Auto-generate)",INDIRECT("'"&amp;$A69&amp;"'!$A$12:$Z$12"),0),0)),"ER"))</f>
        <v>?</v>
      </c>
      <c r="V69" s="86" t="str">
        <f aca="true">IF($H69=0,"NA",IF($A69=INDIRECT("'"&amp;$A69&amp;"'!$B$1"),IF(VLOOKUP(V$1,INDIRECT("'"&amp;$A69&amp;"'!$A$12:$Z$41"),MATCH("Points (Auto-generate)",INDIRECT("'"&amp;$A69&amp;"'!$A$12:$Z$12"),0),0)="","?",VLOOKUP(V$1,INDIRECT("'"&amp;$A69&amp;"'!$A$12:$Z$41"),MATCH("Points (Auto-generate)",INDIRECT("'"&amp;$A69&amp;"'!$A$12:$Z$12"),0),0)),"ER"))</f>
        <v>?</v>
      </c>
      <c r="W69" s="86" t="str">
        <f aca="true">IF($H69=0,"NA",IF($A69=INDIRECT("'"&amp;$A69&amp;"'!$B$1"),IF(VLOOKUP(W$1,INDIRECT("'"&amp;$A69&amp;"'!$A$12:$Z$41"),MATCH("Points (Auto-generate)",INDIRECT("'"&amp;$A69&amp;"'!$A$12:$Z$12"),0),0)="","?",VLOOKUP(W$1,INDIRECT("'"&amp;$A69&amp;"'!$A$12:$Z$41"),MATCH("Points (Auto-generate)",INDIRECT("'"&amp;$A69&amp;"'!$A$12:$Z$12"),0),0)),"ER"))</f>
        <v>?</v>
      </c>
      <c r="X69" s="86" t="str">
        <f aca="true">IF($H69=0,"NA",IF($A69=INDIRECT("'"&amp;$A69&amp;"'!$B$1"),IF(VLOOKUP(X$1,INDIRECT("'"&amp;$A69&amp;"'!$A$12:$Z$41"),MATCH("Points (Auto-generate)",INDIRECT("'"&amp;$A69&amp;"'!$A$12:$Z$12"),0),0)="","?",VLOOKUP(X$1,INDIRECT("'"&amp;$A69&amp;"'!$A$12:$Z$41"),MATCH("Points (Auto-generate)",INDIRECT("'"&amp;$A69&amp;"'!$A$12:$Z$12"),0),0)),"ER"))</f>
        <v>?</v>
      </c>
      <c r="Y69" s="86" t="str">
        <f aca="true">IF($H69=0,"NA",IF($A69=INDIRECT("'"&amp;$A69&amp;"'!$B$1"),IF(VLOOKUP(Y$1,INDIRECT("'"&amp;$A69&amp;"'!$A$12:$Z$41"),MATCH("Points (Auto-generate)",INDIRECT("'"&amp;$A69&amp;"'!$A$12:$Z$12"),0),0)="","?",VLOOKUP(Y$1,INDIRECT("'"&amp;$A69&amp;"'!$A$12:$Z$41"),MATCH("Points (Auto-generate)",INDIRECT("'"&amp;$A69&amp;"'!$A$12:$Z$12"),0),0)),"ER"))</f>
        <v>?</v>
      </c>
      <c r="Z69" s="86" t="str">
        <f aca="true">IF($H69=0,"NA",IF($A69=INDIRECT("'"&amp;$A69&amp;"'!$B$1"),IF(VLOOKUP(Z$1,INDIRECT("'"&amp;$A69&amp;"'!$A$12:$Z$41"),MATCH("Points (Auto-generate)",INDIRECT("'"&amp;$A69&amp;"'!$A$12:$Z$12"),0),0)="","?",VLOOKUP(Z$1,INDIRECT("'"&amp;$A69&amp;"'!$A$12:$Z$41"),MATCH("Points (Auto-generate)",INDIRECT("'"&amp;$A69&amp;"'!$A$12:$Z$12"),0),0)),"ER"))</f>
        <v>?</v>
      </c>
      <c r="AA69" s="86" t="str">
        <f aca="true">IF($H69=0,"NA",IF($A69=INDIRECT("'"&amp;$A69&amp;"'!$B$1"),IF(VLOOKUP(AA$1,INDIRECT("'"&amp;$A69&amp;"'!$A$12:$Z$41"),MATCH("Points (Auto-generate)",INDIRECT("'"&amp;$A69&amp;"'!$A$12:$Z$12"),0),0)="","?",VLOOKUP(AA$1,INDIRECT("'"&amp;$A69&amp;"'!$A$12:$Z$41"),MATCH("Points (Auto-generate)",INDIRECT("'"&amp;$A69&amp;"'!$A$12:$Z$12"),0),0)),"ER"))</f>
        <v>?</v>
      </c>
      <c r="AB69" s="86" t="str">
        <f aca="true">IF($H69=0,"NA",IF($A69=INDIRECT("'"&amp;$A69&amp;"'!$B$1"),IF(VLOOKUP(AB$1,INDIRECT("'"&amp;$A69&amp;"'!$A$12:$Z$41"),MATCH("Points (Auto-generate)",INDIRECT("'"&amp;$A69&amp;"'!$A$12:$Z$12"),0),0)="","?",VLOOKUP(AB$1,INDIRECT("'"&amp;$A69&amp;"'!$A$12:$Z$41"),MATCH("Points (Auto-generate)",INDIRECT("'"&amp;$A69&amp;"'!$A$12:$Z$12"),0),0)),"ER"))</f>
        <v>?</v>
      </c>
      <c r="AC69" s="86" t="str">
        <f aca="true">IF($H69=0,"NA",IF($A69=INDIRECT("'"&amp;$A69&amp;"'!$B$1"),IF(VLOOKUP(AC$1,INDIRECT("'"&amp;$A69&amp;"'!$A$12:$Z$41"),MATCH("Points (Auto-generate)",INDIRECT("'"&amp;$A69&amp;"'!$A$12:$Z$12"),0),0)="","?",VLOOKUP(AC$1,INDIRECT("'"&amp;$A69&amp;"'!$A$12:$Z$41"),MATCH("Points (Auto-generate)",INDIRECT("'"&amp;$A69&amp;"'!$A$12:$Z$12"),0),0)),"ER"))</f>
        <v>?</v>
      </c>
      <c r="AD69" s="86" t="str">
        <f aca="true">IF($H69=0,"NA",IF($A69=INDIRECT("'"&amp;$A69&amp;"'!$B$1"),IF(VLOOKUP(AD$1,INDIRECT("'"&amp;$A69&amp;"'!$A$12:$Z$41"),MATCH("Points (Auto-generate)",INDIRECT("'"&amp;$A69&amp;"'!$A$12:$Z$12"),0),0)="","?",VLOOKUP(AD$1,INDIRECT("'"&amp;$A69&amp;"'!$A$12:$Z$41"),MATCH("Points (Auto-generate)",INDIRECT("'"&amp;$A69&amp;"'!$A$12:$Z$12"),0),0)),"ER"))</f>
        <v>?</v>
      </c>
      <c r="AE69" s="86" t="str">
        <f aca="true">IF($H69=0,"NA",IF($A69=INDIRECT("'"&amp;$A69&amp;"'!$B$1"),IF(VLOOKUP(AE$1,INDIRECT("'"&amp;$A69&amp;"'!$A$12:$Z$41"),MATCH("Points (Auto-generate)",INDIRECT("'"&amp;$A69&amp;"'!$A$12:$Z$12"),0),0)="","?",VLOOKUP(AE$1,INDIRECT("'"&amp;$A69&amp;"'!$A$12:$Z$41"),MATCH("Points (Auto-generate)",INDIRECT("'"&amp;$A69&amp;"'!$A$12:$Z$12"),0),0)),"ER"))</f>
        <v>?</v>
      </c>
      <c r="AF69" s="86" t="str">
        <f aca="true">IF($H69=0,"NA",IF($A69=INDIRECT("'"&amp;$A69&amp;"'!$B$1"),IF(VLOOKUP(AF$1,INDIRECT("'"&amp;$A69&amp;"'!$A$12:$Z$41"),MATCH("Points (Auto-generate)",INDIRECT("'"&amp;$A69&amp;"'!$A$12:$Z$12"),0),0)="","?",VLOOKUP(AF$1,INDIRECT("'"&amp;$A69&amp;"'!$A$12:$Z$41"),MATCH("Points (Auto-generate)",INDIRECT("'"&amp;$A69&amp;"'!$A$12:$Z$12"),0),0)),"ER"))</f>
        <v>?</v>
      </c>
      <c r="AG69" s="86" t="str">
        <f aca="true">IF($H69=0,"NA",IF($A69=INDIRECT("'"&amp;$A69&amp;"'!$B$1"),IF(VLOOKUP(AG$1,INDIRECT("'"&amp;$A69&amp;"'!$A$12:$Z$41"),MATCH("Points (Auto-generate)",INDIRECT("'"&amp;$A69&amp;"'!$A$12:$Z$12"),0),0)="","?",VLOOKUP(AG$1,INDIRECT("'"&amp;$A69&amp;"'!$A$12:$Z$41"),MATCH("Points (Auto-generate)",INDIRECT("'"&amp;$A69&amp;"'!$A$12:$Z$12"),0),0)),"ER"))</f>
        <v>?</v>
      </c>
      <c r="AH69" s="86" t="str">
        <f aca="true">IF($H69=0,"NA",IF($A69=INDIRECT("'"&amp;$A69&amp;"'!$B$1"),IF(VLOOKUP(AH$1,INDIRECT("'"&amp;$A69&amp;"'!$A$12:$Z$41"),MATCH("Points (Auto-generate)",INDIRECT("'"&amp;$A69&amp;"'!$A$12:$Z$12"),0),0)="","?",VLOOKUP(AH$1,INDIRECT("'"&amp;$A69&amp;"'!$A$12:$Z$41"),MATCH("Points (Auto-generate)",INDIRECT("'"&amp;$A69&amp;"'!$A$12:$Z$12"),0),0)),"ER"))</f>
        <v>?</v>
      </c>
      <c r="AI69" s="86" t="str">
        <f aca="true">IF($H69=0,"NA",IF($A69=INDIRECT("'"&amp;$A69&amp;"'!$B$1"),IF(VLOOKUP(AI$1,INDIRECT("'"&amp;$A69&amp;"'!$A$12:$Z$41"),MATCH("Points (Auto-generate)",INDIRECT("'"&amp;$A69&amp;"'!$A$12:$Z$12"),0),0)="","?",VLOOKUP(AI$1,INDIRECT("'"&amp;$A69&amp;"'!$A$12:$Z$41"),MATCH("Points (Auto-generate)",INDIRECT("'"&amp;$A69&amp;"'!$A$12:$Z$12"),0),0)),"ER"))</f>
        <v>?</v>
      </c>
      <c r="AJ69" s="86" t="str">
        <f aca="true">IF($H69=0,"NA",IF($A69=INDIRECT("'"&amp;$A69&amp;"'!$B$1"),IF(VLOOKUP(AJ$1,INDIRECT("'"&amp;$A69&amp;"'!$A$12:$Z$41"),MATCH("Points (Auto-generate)",INDIRECT("'"&amp;$A69&amp;"'!$A$12:$Z$12"),0),0)="","?",VLOOKUP(AJ$1,INDIRECT("'"&amp;$A69&amp;"'!$A$12:$Z$41"),MATCH("Points (Auto-generate)",INDIRECT("'"&amp;$A69&amp;"'!$A$12:$Z$12"),0),0)),"ER"))</f>
        <v>?</v>
      </c>
      <c r="AK69" s="86" t="str">
        <f aca="true">IF($H69=0,"NA",IF($A69=INDIRECT("'"&amp;$A69&amp;"'!$B$1"),IF(VLOOKUP(AK$1,INDIRECT("'"&amp;$A69&amp;"'!$A$12:$Z$41"),MATCH("Points (Auto-generate)",INDIRECT("'"&amp;$A69&amp;"'!$A$12:$Z$12"),0),0)="","?",VLOOKUP(AK$1,INDIRECT("'"&amp;$A69&amp;"'!$A$12:$Z$41"),MATCH("Points (Auto-generate)",INDIRECT("'"&amp;$A69&amp;"'!$A$12:$Z$12"),0),0)),"ER"))</f>
        <v>?</v>
      </c>
    </row>
    <row r="70" customFormat="false" ht="14.25" hidden="false" customHeight="false" outlineLevel="0" collapsed="false">
      <c r="A70" s="82" t="s">
        <v>219</v>
      </c>
      <c r="B70" s="83" t="str">
        <f aca="false">IF(ISBLANK($A70),"NO_CODE",VLOOKUP($A70,'UPD Questions_290926 '!$E$1:$N$300,MATCH(B$1,'UPD Questions_290926 '!$E$1:$N$1,0),0)&amp;"")</f>
        <v>Implementation</v>
      </c>
      <c r="C70" s="83" t="str">
        <f aca="false">IF(ISBLANK($A70),"NO_CODE",VLOOKUP($A70,'UPD Questions_290926 '!$E$1:$N$300,MATCH(C$1,'UPD Questions_290926 '!$E$1:$N$1,0),0)&amp;"")</f>
        <v>Sectoral planning</v>
      </c>
      <c r="D70" s="83" t="str">
        <f aca="false">IF(ISBLANK($A70),"NO_CODE",VLOOKUP($A70,'UPD Questions_290926 '!$E$1:$N$300,MATCH(D$1,'UPD Questions_290926 '!$E$1:$N$1,0),0)&amp;"")</f>
        <v>Comprehensive mobility planning</v>
      </c>
      <c r="E70" s="83" t="str">
        <f aca="false">IF(ISBLANK($A70),"NO_CODE",VLOOKUP($A70,'UPD Questions_290926 '!$E$1:$N$300,MATCH(E$1,'UPD Questions_290926 '!$E$1:$N$1,0),0)&amp;"")</f>
        <v>SQ</v>
      </c>
      <c r="F70" s="83" t="str">
        <f aca="false">IF(ISBLANK($A70),"NO_CODE",VLOOKUP($A70,'UPD Questions_290926 '!$E$1:$N$300,MATCH(F$1,'UPD Questions_290926 '!$E$1:$N$1,0),0)&amp;"")</f>
        <v>Does the plan have development priorities and measurable objectives?</v>
      </c>
      <c r="G70" s="83" t="str">
        <f aca="false">IF(ISBLANK($A70),"NO_CODE",VLOOKUP($A70,'UPD Questions_290926 '!$E$1:$N$300,MATCH(G$1,'UPD Questions_290926 '!$E$1:$N$1,0),0)&amp;"")</f>
        <v>Implementation</v>
      </c>
      <c r="H70" s="85" t="n">
        <f aca="false">IF(ISBLANK($A70),"NO_CODE",VLOOKUP($A70,'UPD Questions_290926 '!$E$1:$N$300,MATCH(H$1,'UPD Questions_290926 '!$E$1:$N$1,0),0))</f>
        <v>3.33</v>
      </c>
      <c r="I70" s="86" t="str">
        <f aca="true">IF($H70=0,"NA",IF($A70=INDIRECT("'"&amp;$A70&amp;"'!$B$1"),IF(VLOOKUP(I$1,INDIRECT("'"&amp;$A70&amp;"'!$A$12:$Z$41"),MATCH("Points (Auto-generate)",INDIRECT("'"&amp;$A70&amp;"'!$A$12:$Z$12"),0),0)="","?",VLOOKUP(I$1,INDIRECT("'"&amp;$A70&amp;"'!$A$12:$Z$41"),MATCH("Points (Auto-generate)",INDIRECT("'"&amp;$A70&amp;"'!$A$12:$Z$12"),0),0)),"ER"))</f>
        <v>?</v>
      </c>
      <c r="J70" s="86" t="n">
        <f aca="true">IF($H70=0,"NA",IF($A70=INDIRECT("'"&amp;$A70&amp;"'!$B$1"),IF(VLOOKUP(J$1,INDIRECT("'"&amp;$A70&amp;"'!$A$12:$Z$41"),MATCH("Points (Auto-generate)",INDIRECT("'"&amp;$A70&amp;"'!$A$12:$Z$12"),0),0)="","?",VLOOKUP(J$1,INDIRECT("'"&amp;$A70&amp;"'!$A$12:$Z$41"),MATCH("Points (Auto-generate)",INDIRECT("'"&amp;$A70&amp;"'!$A$12:$Z$12"),0),0)),"ER"))</f>
        <v>3.33</v>
      </c>
      <c r="K70" s="86" t="str">
        <f aca="true">IF($H70=0,"NA",IF($A70=INDIRECT("'"&amp;$A70&amp;"'!$B$1"),IF(VLOOKUP(K$1,INDIRECT("'"&amp;$A70&amp;"'!$A$12:$Z$41"),MATCH("Points (Auto-generate)",INDIRECT("'"&amp;$A70&amp;"'!$A$12:$Z$12"),0),0)="","?",VLOOKUP(K$1,INDIRECT("'"&amp;$A70&amp;"'!$A$12:$Z$41"),MATCH("Points (Auto-generate)",INDIRECT("'"&amp;$A70&amp;"'!$A$12:$Z$12"),0),0)),"ER"))</f>
        <v>?</v>
      </c>
      <c r="L70" s="86" t="str">
        <f aca="true">IF($H70=0,"NA",IF($A70=INDIRECT("'"&amp;$A70&amp;"'!$B$1"),IF(VLOOKUP(L$1,INDIRECT("'"&amp;$A70&amp;"'!$A$12:$Z$41"),MATCH("Points (Auto-generate)",INDIRECT("'"&amp;$A70&amp;"'!$A$12:$Z$12"),0),0)="","?",VLOOKUP(L$1,INDIRECT("'"&amp;$A70&amp;"'!$A$12:$Z$41"),MATCH("Points (Auto-generate)",INDIRECT("'"&amp;$A70&amp;"'!$A$12:$Z$12"),0),0)),"ER"))</f>
        <v>?</v>
      </c>
      <c r="M70" s="86" t="str">
        <f aca="true">IF($H70=0,"NA",IF($A70=INDIRECT("'"&amp;$A70&amp;"'!$B$1"),IF(VLOOKUP(M$1,INDIRECT("'"&amp;$A70&amp;"'!$A$12:$Z$41"),MATCH("Points (Auto-generate)",INDIRECT("'"&amp;$A70&amp;"'!$A$12:$Z$12"),0),0)="","?",VLOOKUP(M$1,INDIRECT("'"&amp;$A70&amp;"'!$A$12:$Z$41"),MATCH("Points (Auto-generate)",INDIRECT("'"&amp;$A70&amp;"'!$A$12:$Z$12"),0),0)),"ER"))</f>
        <v>?</v>
      </c>
      <c r="N70" s="86" t="str">
        <f aca="true">IF($H70=0,"NA",IF($A70=INDIRECT("'"&amp;$A70&amp;"'!$B$1"),IF(VLOOKUP(N$1,INDIRECT("'"&amp;$A70&amp;"'!$A$12:$Z$41"),MATCH("Points (Auto-generate)",INDIRECT("'"&amp;$A70&amp;"'!$A$12:$Z$12"),0),0)="","?",VLOOKUP(N$1,INDIRECT("'"&amp;$A70&amp;"'!$A$12:$Z$41"),MATCH("Points (Auto-generate)",INDIRECT("'"&amp;$A70&amp;"'!$A$12:$Z$12"),0),0)),"ER"))</f>
        <v>?</v>
      </c>
      <c r="O70" s="86" t="str">
        <f aca="true">IF($H70=0,"NA",IF($A70=INDIRECT("'"&amp;$A70&amp;"'!$B$1"),IF(VLOOKUP(O$1,INDIRECT("'"&amp;$A70&amp;"'!$A$12:$Z$41"),MATCH("Points (Auto-generate)",INDIRECT("'"&amp;$A70&amp;"'!$A$12:$Z$12"),0),0)="","?",VLOOKUP(O$1,INDIRECT("'"&amp;$A70&amp;"'!$A$12:$Z$41"),MATCH("Points (Auto-generate)",INDIRECT("'"&amp;$A70&amp;"'!$A$12:$Z$12"),0),0)),"ER"))</f>
        <v>?</v>
      </c>
      <c r="P70" s="86" t="str">
        <f aca="true">IF($H70=0,"NA",IF($A70=INDIRECT("'"&amp;$A70&amp;"'!$B$1"),IF(VLOOKUP(P$1,INDIRECT("'"&amp;$A70&amp;"'!$A$12:$Z$41"),MATCH("Points (Auto-generate)",INDIRECT("'"&amp;$A70&amp;"'!$A$12:$Z$12"),0),0)="","?",VLOOKUP(P$1,INDIRECT("'"&amp;$A70&amp;"'!$A$12:$Z$41"),MATCH("Points (Auto-generate)",INDIRECT("'"&amp;$A70&amp;"'!$A$12:$Z$12"),0),0)),"ER"))</f>
        <v>?</v>
      </c>
      <c r="Q70" s="86" t="str">
        <f aca="true">IF($H70=0,"NA",IF($A70=INDIRECT("'"&amp;$A70&amp;"'!$B$1"),IF(VLOOKUP(Q$1,INDIRECT("'"&amp;$A70&amp;"'!$A$12:$Z$41"),MATCH("Points (Auto-generate)",INDIRECT("'"&amp;$A70&amp;"'!$A$12:$Z$12"),0),0)="","?",VLOOKUP(Q$1,INDIRECT("'"&amp;$A70&amp;"'!$A$12:$Z$41"),MATCH("Points (Auto-generate)",INDIRECT("'"&amp;$A70&amp;"'!$A$12:$Z$12"),0),0)),"ER"))</f>
        <v>?</v>
      </c>
      <c r="R70" s="86" t="str">
        <f aca="true">IF($H70=0,"NA",IF($A70=INDIRECT("'"&amp;$A70&amp;"'!$B$1"),IF(VLOOKUP(R$1,INDIRECT("'"&amp;$A70&amp;"'!$A$12:$Z$41"),MATCH("Points (Auto-generate)",INDIRECT("'"&amp;$A70&amp;"'!$A$12:$Z$12"),0),0)="","?",VLOOKUP(R$1,INDIRECT("'"&amp;$A70&amp;"'!$A$12:$Z$41"),MATCH("Points (Auto-generate)",INDIRECT("'"&amp;$A70&amp;"'!$A$12:$Z$12"),0),0)),"ER"))</f>
        <v>?</v>
      </c>
      <c r="S70" s="86" t="str">
        <f aca="true">IF($H70=0,"NA",IF($A70=INDIRECT("'"&amp;$A70&amp;"'!$B$1"),IF(VLOOKUP(S$1,INDIRECT("'"&amp;$A70&amp;"'!$A$12:$Z$41"),MATCH("Points (Auto-generate)",INDIRECT("'"&amp;$A70&amp;"'!$A$12:$Z$12"),0),0)="","?",VLOOKUP(S$1,INDIRECT("'"&amp;$A70&amp;"'!$A$12:$Z$41"),MATCH("Points (Auto-generate)",INDIRECT("'"&amp;$A70&amp;"'!$A$12:$Z$12"),0),0)),"ER"))</f>
        <v>?</v>
      </c>
      <c r="T70" s="86" t="str">
        <f aca="true">IF($H70=0,"NA",IF($A70=INDIRECT("'"&amp;$A70&amp;"'!$B$1"),IF(VLOOKUP(T$1,INDIRECT("'"&amp;$A70&amp;"'!$A$12:$Z$41"),MATCH("Points (Auto-generate)",INDIRECT("'"&amp;$A70&amp;"'!$A$12:$Z$12"),0),0)="","?",VLOOKUP(T$1,INDIRECT("'"&amp;$A70&amp;"'!$A$12:$Z$41"),MATCH("Points (Auto-generate)",INDIRECT("'"&amp;$A70&amp;"'!$A$12:$Z$12"),0),0)),"ER"))</f>
        <v>?</v>
      </c>
      <c r="U70" s="86" t="str">
        <f aca="true">IF($H70=0,"NA",IF($A70=INDIRECT("'"&amp;$A70&amp;"'!$B$1"),IF(VLOOKUP(U$1,INDIRECT("'"&amp;$A70&amp;"'!$A$12:$Z$41"),MATCH("Points (Auto-generate)",INDIRECT("'"&amp;$A70&amp;"'!$A$12:$Z$12"),0),0)="","?",VLOOKUP(U$1,INDIRECT("'"&amp;$A70&amp;"'!$A$12:$Z$41"),MATCH("Points (Auto-generate)",INDIRECT("'"&amp;$A70&amp;"'!$A$12:$Z$12"),0),0)),"ER"))</f>
        <v>?</v>
      </c>
      <c r="V70" s="86" t="str">
        <f aca="true">IF($H70=0,"NA",IF($A70=INDIRECT("'"&amp;$A70&amp;"'!$B$1"),IF(VLOOKUP(V$1,INDIRECT("'"&amp;$A70&amp;"'!$A$12:$Z$41"),MATCH("Points (Auto-generate)",INDIRECT("'"&amp;$A70&amp;"'!$A$12:$Z$12"),0),0)="","?",VLOOKUP(V$1,INDIRECT("'"&amp;$A70&amp;"'!$A$12:$Z$41"),MATCH("Points (Auto-generate)",INDIRECT("'"&amp;$A70&amp;"'!$A$12:$Z$12"),0),0)),"ER"))</f>
        <v>?</v>
      </c>
      <c r="W70" s="86" t="str">
        <f aca="true">IF($H70=0,"NA",IF($A70=INDIRECT("'"&amp;$A70&amp;"'!$B$1"),IF(VLOOKUP(W$1,INDIRECT("'"&amp;$A70&amp;"'!$A$12:$Z$41"),MATCH("Points (Auto-generate)",INDIRECT("'"&amp;$A70&amp;"'!$A$12:$Z$12"),0),0)="","?",VLOOKUP(W$1,INDIRECT("'"&amp;$A70&amp;"'!$A$12:$Z$41"),MATCH("Points (Auto-generate)",INDIRECT("'"&amp;$A70&amp;"'!$A$12:$Z$12"),0),0)),"ER"))</f>
        <v>?</v>
      </c>
      <c r="X70" s="86" t="str">
        <f aca="true">IF($H70=0,"NA",IF($A70=INDIRECT("'"&amp;$A70&amp;"'!$B$1"),IF(VLOOKUP(X$1,INDIRECT("'"&amp;$A70&amp;"'!$A$12:$Z$41"),MATCH("Points (Auto-generate)",INDIRECT("'"&amp;$A70&amp;"'!$A$12:$Z$12"),0),0)="","?",VLOOKUP(X$1,INDIRECT("'"&amp;$A70&amp;"'!$A$12:$Z$41"),MATCH("Points (Auto-generate)",INDIRECT("'"&amp;$A70&amp;"'!$A$12:$Z$12"),0),0)),"ER"))</f>
        <v>?</v>
      </c>
      <c r="Y70" s="86" t="str">
        <f aca="true">IF($H70=0,"NA",IF($A70=INDIRECT("'"&amp;$A70&amp;"'!$B$1"),IF(VLOOKUP(Y$1,INDIRECT("'"&amp;$A70&amp;"'!$A$12:$Z$41"),MATCH("Points (Auto-generate)",INDIRECT("'"&amp;$A70&amp;"'!$A$12:$Z$12"),0),0)="","?",VLOOKUP(Y$1,INDIRECT("'"&amp;$A70&amp;"'!$A$12:$Z$41"),MATCH("Points (Auto-generate)",INDIRECT("'"&amp;$A70&amp;"'!$A$12:$Z$12"),0),0)),"ER"))</f>
        <v>?</v>
      </c>
      <c r="Z70" s="86" t="str">
        <f aca="true">IF($H70=0,"NA",IF($A70=INDIRECT("'"&amp;$A70&amp;"'!$B$1"),IF(VLOOKUP(Z$1,INDIRECT("'"&amp;$A70&amp;"'!$A$12:$Z$41"),MATCH("Points (Auto-generate)",INDIRECT("'"&amp;$A70&amp;"'!$A$12:$Z$12"),0),0)="","?",VLOOKUP(Z$1,INDIRECT("'"&amp;$A70&amp;"'!$A$12:$Z$41"),MATCH("Points (Auto-generate)",INDIRECT("'"&amp;$A70&amp;"'!$A$12:$Z$12"),0),0)),"ER"))</f>
        <v>?</v>
      </c>
      <c r="AA70" s="86" t="str">
        <f aca="true">IF($H70=0,"NA",IF($A70=INDIRECT("'"&amp;$A70&amp;"'!$B$1"),IF(VLOOKUP(AA$1,INDIRECT("'"&amp;$A70&amp;"'!$A$12:$Z$41"),MATCH("Points (Auto-generate)",INDIRECT("'"&amp;$A70&amp;"'!$A$12:$Z$12"),0),0)="","?",VLOOKUP(AA$1,INDIRECT("'"&amp;$A70&amp;"'!$A$12:$Z$41"),MATCH("Points (Auto-generate)",INDIRECT("'"&amp;$A70&amp;"'!$A$12:$Z$12"),0),0)),"ER"))</f>
        <v>?</v>
      </c>
      <c r="AB70" s="86" t="str">
        <f aca="true">IF($H70=0,"NA",IF($A70=INDIRECT("'"&amp;$A70&amp;"'!$B$1"),IF(VLOOKUP(AB$1,INDIRECT("'"&amp;$A70&amp;"'!$A$12:$Z$41"),MATCH("Points (Auto-generate)",INDIRECT("'"&amp;$A70&amp;"'!$A$12:$Z$12"),0),0)="","?",VLOOKUP(AB$1,INDIRECT("'"&amp;$A70&amp;"'!$A$12:$Z$41"),MATCH("Points (Auto-generate)",INDIRECT("'"&amp;$A70&amp;"'!$A$12:$Z$12"),0),0)),"ER"))</f>
        <v>?</v>
      </c>
      <c r="AC70" s="86" t="str">
        <f aca="true">IF($H70=0,"NA",IF($A70=INDIRECT("'"&amp;$A70&amp;"'!$B$1"),IF(VLOOKUP(AC$1,INDIRECT("'"&amp;$A70&amp;"'!$A$12:$Z$41"),MATCH("Points (Auto-generate)",INDIRECT("'"&amp;$A70&amp;"'!$A$12:$Z$12"),0),0)="","?",VLOOKUP(AC$1,INDIRECT("'"&amp;$A70&amp;"'!$A$12:$Z$41"),MATCH("Points (Auto-generate)",INDIRECT("'"&amp;$A70&amp;"'!$A$12:$Z$12"),0),0)),"ER"))</f>
        <v>?</v>
      </c>
      <c r="AD70" s="86" t="str">
        <f aca="true">IF($H70=0,"NA",IF($A70=INDIRECT("'"&amp;$A70&amp;"'!$B$1"),IF(VLOOKUP(AD$1,INDIRECT("'"&amp;$A70&amp;"'!$A$12:$Z$41"),MATCH("Points (Auto-generate)",INDIRECT("'"&amp;$A70&amp;"'!$A$12:$Z$12"),0),0)="","?",VLOOKUP(AD$1,INDIRECT("'"&amp;$A70&amp;"'!$A$12:$Z$41"),MATCH("Points (Auto-generate)",INDIRECT("'"&amp;$A70&amp;"'!$A$12:$Z$12"),0),0)),"ER"))</f>
        <v>?</v>
      </c>
      <c r="AE70" s="86" t="str">
        <f aca="true">IF($H70=0,"NA",IF($A70=INDIRECT("'"&amp;$A70&amp;"'!$B$1"),IF(VLOOKUP(AE$1,INDIRECT("'"&amp;$A70&amp;"'!$A$12:$Z$41"),MATCH("Points (Auto-generate)",INDIRECT("'"&amp;$A70&amp;"'!$A$12:$Z$12"),0),0)="","?",VLOOKUP(AE$1,INDIRECT("'"&amp;$A70&amp;"'!$A$12:$Z$41"),MATCH("Points (Auto-generate)",INDIRECT("'"&amp;$A70&amp;"'!$A$12:$Z$12"),0),0)),"ER"))</f>
        <v>?</v>
      </c>
      <c r="AF70" s="86" t="str">
        <f aca="true">IF($H70=0,"NA",IF($A70=INDIRECT("'"&amp;$A70&amp;"'!$B$1"),IF(VLOOKUP(AF$1,INDIRECT("'"&amp;$A70&amp;"'!$A$12:$Z$41"),MATCH("Points (Auto-generate)",INDIRECT("'"&amp;$A70&amp;"'!$A$12:$Z$12"),0),0)="","?",VLOOKUP(AF$1,INDIRECT("'"&amp;$A70&amp;"'!$A$12:$Z$41"),MATCH("Points (Auto-generate)",INDIRECT("'"&amp;$A70&amp;"'!$A$12:$Z$12"),0),0)),"ER"))</f>
        <v>?</v>
      </c>
      <c r="AG70" s="86" t="str">
        <f aca="true">IF($H70=0,"NA",IF($A70=INDIRECT("'"&amp;$A70&amp;"'!$B$1"),IF(VLOOKUP(AG$1,INDIRECT("'"&amp;$A70&amp;"'!$A$12:$Z$41"),MATCH("Points (Auto-generate)",INDIRECT("'"&amp;$A70&amp;"'!$A$12:$Z$12"),0),0)="","?",VLOOKUP(AG$1,INDIRECT("'"&amp;$A70&amp;"'!$A$12:$Z$41"),MATCH("Points (Auto-generate)",INDIRECT("'"&amp;$A70&amp;"'!$A$12:$Z$12"),0),0)),"ER"))</f>
        <v>?</v>
      </c>
      <c r="AH70" s="86" t="str">
        <f aca="true">IF($H70=0,"NA",IF($A70=INDIRECT("'"&amp;$A70&amp;"'!$B$1"),IF(VLOOKUP(AH$1,INDIRECT("'"&amp;$A70&amp;"'!$A$12:$Z$41"),MATCH("Points (Auto-generate)",INDIRECT("'"&amp;$A70&amp;"'!$A$12:$Z$12"),0),0)="","?",VLOOKUP(AH$1,INDIRECT("'"&amp;$A70&amp;"'!$A$12:$Z$41"),MATCH("Points (Auto-generate)",INDIRECT("'"&amp;$A70&amp;"'!$A$12:$Z$12"),0),0)),"ER"))</f>
        <v>?</v>
      </c>
      <c r="AI70" s="86" t="str">
        <f aca="true">IF($H70=0,"NA",IF($A70=INDIRECT("'"&amp;$A70&amp;"'!$B$1"),IF(VLOOKUP(AI$1,INDIRECT("'"&amp;$A70&amp;"'!$A$12:$Z$41"),MATCH("Points (Auto-generate)",INDIRECT("'"&amp;$A70&amp;"'!$A$12:$Z$12"),0),0)="","?",VLOOKUP(AI$1,INDIRECT("'"&amp;$A70&amp;"'!$A$12:$Z$41"),MATCH("Points (Auto-generate)",INDIRECT("'"&amp;$A70&amp;"'!$A$12:$Z$12"),0),0)),"ER"))</f>
        <v>?</v>
      </c>
      <c r="AJ70" s="86" t="str">
        <f aca="true">IF($H70=0,"NA",IF($A70=INDIRECT("'"&amp;$A70&amp;"'!$B$1"),IF(VLOOKUP(AJ$1,INDIRECT("'"&amp;$A70&amp;"'!$A$12:$Z$41"),MATCH("Points (Auto-generate)",INDIRECT("'"&amp;$A70&amp;"'!$A$12:$Z$12"),0),0)="","?",VLOOKUP(AJ$1,INDIRECT("'"&amp;$A70&amp;"'!$A$12:$Z$41"),MATCH("Points (Auto-generate)",INDIRECT("'"&amp;$A70&amp;"'!$A$12:$Z$12"),0),0)),"ER"))</f>
        <v>?</v>
      </c>
      <c r="AK70" s="86" t="str">
        <f aca="true">IF($H70=0,"NA",IF($A70=INDIRECT("'"&amp;$A70&amp;"'!$B$1"),IF(VLOOKUP(AK$1,INDIRECT("'"&amp;$A70&amp;"'!$A$12:$Z$41"),MATCH("Points (Auto-generate)",INDIRECT("'"&amp;$A70&amp;"'!$A$12:$Z$12"),0),0)="","?",VLOOKUP(AK$1,INDIRECT("'"&amp;$A70&amp;"'!$A$12:$Z$41"),MATCH("Points (Auto-generate)",INDIRECT("'"&amp;$A70&amp;"'!$A$12:$Z$12"),0),0)),"ER"))</f>
        <v>?</v>
      </c>
    </row>
    <row r="71" customFormat="false" ht="14.25" hidden="false" customHeight="false" outlineLevel="0" collapsed="false">
      <c r="A71" s="82" t="s">
        <v>222</v>
      </c>
      <c r="B71" s="83" t="str">
        <f aca="false">IF(ISBLANK($A71),"NO_CODE",VLOOKUP($A71,'UPD Questions_290926 '!$E$1:$N$300,MATCH(B$1,'UPD Questions_290926 '!$E$1:$N$1,0),0)&amp;"")</f>
        <v>Implementation</v>
      </c>
      <c r="C71" s="83" t="str">
        <f aca="false">IF(ISBLANK($A71),"NO_CODE",VLOOKUP($A71,'UPD Questions_290926 '!$E$1:$N$300,MATCH(C$1,'UPD Questions_290926 '!$E$1:$N$1,0),0)&amp;"")</f>
        <v>Sectoral planning</v>
      </c>
      <c r="D71" s="83" t="str">
        <f aca="false">IF(ISBLANK($A71),"NO_CODE",VLOOKUP($A71,'UPD Questions_290926 '!$E$1:$N$300,MATCH(D$1,'UPD Questions_290926 '!$E$1:$N$1,0),0)&amp;"")</f>
        <v>Comprehensive mobility planning</v>
      </c>
      <c r="E71" s="83" t="str">
        <f aca="false">IF(ISBLANK($A71),"NO_CODE",VLOOKUP($A71,'UPD Questions_290926 '!$E$1:$N$300,MATCH(E$1,'UPD Questions_290926 '!$E$1:$N$1,0),0)&amp;"")</f>
        <v>SQ</v>
      </c>
      <c r="F71" s="83" t="str">
        <f aca="false">IF(ISBLANK($A71),"NO_CODE",VLOOKUP($A71,'UPD Questions_290926 '!$E$1:$N$300,MATCH(F$1,'UPD Questions_290926 '!$E$1:$N$1,0),0)&amp;"")</f>
        <v>Does the plan clearly articulate the role of the ULG?</v>
      </c>
      <c r="G71" s="83" t="str">
        <f aca="false">IF(ISBLANK($A71),"NO_CODE",VLOOKUP($A71,'UPD Questions_290926 '!$E$1:$N$300,MATCH(G$1,'UPD Questions_290926 '!$E$1:$N$1,0),0)&amp;"")</f>
        <v>Implementation</v>
      </c>
      <c r="H71" s="85" t="n">
        <f aca="false">IF(ISBLANK($A71),"NO_CODE",VLOOKUP($A71,'UPD Questions_290926 '!$E$1:$N$300,MATCH(H$1,'UPD Questions_290926 '!$E$1:$N$1,0),0))</f>
        <v>3.33</v>
      </c>
      <c r="I71" s="86" t="str">
        <f aca="true">IF($H71=0,"NA",IF($A71=INDIRECT("'"&amp;$A71&amp;"'!$B$1"),IF(VLOOKUP(I$1,INDIRECT("'"&amp;$A71&amp;"'!$A$12:$Z$41"),MATCH("Points (Auto-generate)",INDIRECT("'"&amp;$A71&amp;"'!$A$12:$Z$12"),0),0)="","?",VLOOKUP(I$1,INDIRECT("'"&amp;$A71&amp;"'!$A$12:$Z$41"),MATCH("Points (Auto-generate)",INDIRECT("'"&amp;$A71&amp;"'!$A$12:$Z$12"),0),0)),"ER"))</f>
        <v>?</v>
      </c>
      <c r="J71" s="86" t="n">
        <f aca="true">IF($H71=0,"NA",IF($A71=INDIRECT("'"&amp;$A71&amp;"'!$B$1"),IF(VLOOKUP(J$1,INDIRECT("'"&amp;$A71&amp;"'!$A$12:$Z$41"),MATCH("Points (Auto-generate)",INDIRECT("'"&amp;$A71&amp;"'!$A$12:$Z$12"),0),0)="","?",VLOOKUP(J$1,INDIRECT("'"&amp;$A71&amp;"'!$A$12:$Z$41"),MATCH("Points (Auto-generate)",INDIRECT("'"&amp;$A71&amp;"'!$A$12:$Z$12"),0),0)),"ER"))</f>
        <v>3.33</v>
      </c>
      <c r="K71" s="86" t="str">
        <f aca="true">IF($H71=0,"NA",IF($A71=INDIRECT("'"&amp;$A71&amp;"'!$B$1"),IF(VLOOKUP(K$1,INDIRECT("'"&amp;$A71&amp;"'!$A$12:$Z$41"),MATCH("Points (Auto-generate)",INDIRECT("'"&amp;$A71&amp;"'!$A$12:$Z$12"),0),0)="","?",VLOOKUP(K$1,INDIRECT("'"&amp;$A71&amp;"'!$A$12:$Z$41"),MATCH("Points (Auto-generate)",INDIRECT("'"&amp;$A71&amp;"'!$A$12:$Z$12"),0),0)),"ER"))</f>
        <v>?</v>
      </c>
      <c r="L71" s="86" t="str">
        <f aca="true">IF($H71=0,"NA",IF($A71=INDIRECT("'"&amp;$A71&amp;"'!$B$1"),IF(VLOOKUP(L$1,INDIRECT("'"&amp;$A71&amp;"'!$A$12:$Z$41"),MATCH("Points (Auto-generate)",INDIRECT("'"&amp;$A71&amp;"'!$A$12:$Z$12"),0),0)="","?",VLOOKUP(L$1,INDIRECT("'"&amp;$A71&amp;"'!$A$12:$Z$41"),MATCH("Points (Auto-generate)",INDIRECT("'"&amp;$A71&amp;"'!$A$12:$Z$12"),0),0)),"ER"))</f>
        <v>?</v>
      </c>
      <c r="M71" s="86" t="str">
        <f aca="true">IF($H71=0,"NA",IF($A71=INDIRECT("'"&amp;$A71&amp;"'!$B$1"),IF(VLOOKUP(M$1,INDIRECT("'"&amp;$A71&amp;"'!$A$12:$Z$41"),MATCH("Points (Auto-generate)",INDIRECT("'"&amp;$A71&amp;"'!$A$12:$Z$12"),0),0)="","?",VLOOKUP(M$1,INDIRECT("'"&amp;$A71&amp;"'!$A$12:$Z$41"),MATCH("Points (Auto-generate)",INDIRECT("'"&amp;$A71&amp;"'!$A$12:$Z$12"),0),0)),"ER"))</f>
        <v>?</v>
      </c>
      <c r="N71" s="86" t="str">
        <f aca="true">IF($H71=0,"NA",IF($A71=INDIRECT("'"&amp;$A71&amp;"'!$B$1"),IF(VLOOKUP(N$1,INDIRECT("'"&amp;$A71&amp;"'!$A$12:$Z$41"),MATCH("Points (Auto-generate)",INDIRECT("'"&amp;$A71&amp;"'!$A$12:$Z$12"),0),0)="","?",VLOOKUP(N$1,INDIRECT("'"&amp;$A71&amp;"'!$A$12:$Z$41"),MATCH("Points (Auto-generate)",INDIRECT("'"&amp;$A71&amp;"'!$A$12:$Z$12"),0),0)),"ER"))</f>
        <v>?</v>
      </c>
      <c r="O71" s="86" t="str">
        <f aca="true">IF($H71=0,"NA",IF($A71=INDIRECT("'"&amp;$A71&amp;"'!$B$1"),IF(VLOOKUP(O$1,INDIRECT("'"&amp;$A71&amp;"'!$A$12:$Z$41"),MATCH("Points (Auto-generate)",INDIRECT("'"&amp;$A71&amp;"'!$A$12:$Z$12"),0),0)="","?",VLOOKUP(O$1,INDIRECT("'"&amp;$A71&amp;"'!$A$12:$Z$41"),MATCH("Points (Auto-generate)",INDIRECT("'"&amp;$A71&amp;"'!$A$12:$Z$12"),0),0)),"ER"))</f>
        <v>?</v>
      </c>
      <c r="P71" s="86" t="str">
        <f aca="true">IF($H71=0,"NA",IF($A71=INDIRECT("'"&amp;$A71&amp;"'!$B$1"),IF(VLOOKUP(P$1,INDIRECT("'"&amp;$A71&amp;"'!$A$12:$Z$41"),MATCH("Points (Auto-generate)",INDIRECT("'"&amp;$A71&amp;"'!$A$12:$Z$12"),0),0)="","?",VLOOKUP(P$1,INDIRECT("'"&amp;$A71&amp;"'!$A$12:$Z$41"),MATCH("Points (Auto-generate)",INDIRECT("'"&amp;$A71&amp;"'!$A$12:$Z$12"),0),0)),"ER"))</f>
        <v>?</v>
      </c>
      <c r="Q71" s="86" t="str">
        <f aca="true">IF($H71=0,"NA",IF($A71=INDIRECT("'"&amp;$A71&amp;"'!$B$1"),IF(VLOOKUP(Q$1,INDIRECT("'"&amp;$A71&amp;"'!$A$12:$Z$41"),MATCH("Points (Auto-generate)",INDIRECT("'"&amp;$A71&amp;"'!$A$12:$Z$12"),0),0)="","?",VLOOKUP(Q$1,INDIRECT("'"&amp;$A71&amp;"'!$A$12:$Z$41"),MATCH("Points (Auto-generate)",INDIRECT("'"&amp;$A71&amp;"'!$A$12:$Z$12"),0),0)),"ER"))</f>
        <v>?</v>
      </c>
      <c r="R71" s="86" t="str">
        <f aca="true">IF($H71=0,"NA",IF($A71=INDIRECT("'"&amp;$A71&amp;"'!$B$1"),IF(VLOOKUP(R$1,INDIRECT("'"&amp;$A71&amp;"'!$A$12:$Z$41"),MATCH("Points (Auto-generate)",INDIRECT("'"&amp;$A71&amp;"'!$A$12:$Z$12"),0),0)="","?",VLOOKUP(R$1,INDIRECT("'"&amp;$A71&amp;"'!$A$12:$Z$41"),MATCH("Points (Auto-generate)",INDIRECT("'"&amp;$A71&amp;"'!$A$12:$Z$12"),0),0)),"ER"))</f>
        <v>?</v>
      </c>
      <c r="S71" s="86" t="str">
        <f aca="true">IF($H71=0,"NA",IF($A71=INDIRECT("'"&amp;$A71&amp;"'!$B$1"),IF(VLOOKUP(S$1,INDIRECT("'"&amp;$A71&amp;"'!$A$12:$Z$41"),MATCH("Points (Auto-generate)",INDIRECT("'"&amp;$A71&amp;"'!$A$12:$Z$12"),0),0)="","?",VLOOKUP(S$1,INDIRECT("'"&amp;$A71&amp;"'!$A$12:$Z$41"),MATCH("Points (Auto-generate)",INDIRECT("'"&amp;$A71&amp;"'!$A$12:$Z$12"),0),0)),"ER"))</f>
        <v>?</v>
      </c>
      <c r="T71" s="86" t="str">
        <f aca="true">IF($H71=0,"NA",IF($A71=INDIRECT("'"&amp;$A71&amp;"'!$B$1"),IF(VLOOKUP(T$1,INDIRECT("'"&amp;$A71&amp;"'!$A$12:$Z$41"),MATCH("Points (Auto-generate)",INDIRECT("'"&amp;$A71&amp;"'!$A$12:$Z$12"),0),0)="","?",VLOOKUP(T$1,INDIRECT("'"&amp;$A71&amp;"'!$A$12:$Z$41"),MATCH("Points (Auto-generate)",INDIRECT("'"&amp;$A71&amp;"'!$A$12:$Z$12"),0),0)),"ER"))</f>
        <v>?</v>
      </c>
      <c r="U71" s="86" t="str">
        <f aca="true">IF($H71=0,"NA",IF($A71=INDIRECT("'"&amp;$A71&amp;"'!$B$1"),IF(VLOOKUP(U$1,INDIRECT("'"&amp;$A71&amp;"'!$A$12:$Z$41"),MATCH("Points (Auto-generate)",INDIRECT("'"&amp;$A71&amp;"'!$A$12:$Z$12"),0),0)="","?",VLOOKUP(U$1,INDIRECT("'"&amp;$A71&amp;"'!$A$12:$Z$41"),MATCH("Points (Auto-generate)",INDIRECT("'"&amp;$A71&amp;"'!$A$12:$Z$12"),0),0)),"ER"))</f>
        <v>?</v>
      </c>
      <c r="V71" s="86" t="str">
        <f aca="true">IF($H71=0,"NA",IF($A71=INDIRECT("'"&amp;$A71&amp;"'!$B$1"),IF(VLOOKUP(V$1,INDIRECT("'"&amp;$A71&amp;"'!$A$12:$Z$41"),MATCH("Points (Auto-generate)",INDIRECT("'"&amp;$A71&amp;"'!$A$12:$Z$12"),0),0)="","?",VLOOKUP(V$1,INDIRECT("'"&amp;$A71&amp;"'!$A$12:$Z$41"),MATCH("Points (Auto-generate)",INDIRECT("'"&amp;$A71&amp;"'!$A$12:$Z$12"),0),0)),"ER"))</f>
        <v>?</v>
      </c>
      <c r="W71" s="86" t="str">
        <f aca="true">IF($H71=0,"NA",IF($A71=INDIRECT("'"&amp;$A71&amp;"'!$B$1"),IF(VLOOKUP(W$1,INDIRECT("'"&amp;$A71&amp;"'!$A$12:$Z$41"),MATCH("Points (Auto-generate)",INDIRECT("'"&amp;$A71&amp;"'!$A$12:$Z$12"),0),0)="","?",VLOOKUP(W$1,INDIRECT("'"&amp;$A71&amp;"'!$A$12:$Z$41"),MATCH("Points (Auto-generate)",INDIRECT("'"&amp;$A71&amp;"'!$A$12:$Z$12"),0),0)),"ER"))</f>
        <v>?</v>
      </c>
      <c r="X71" s="86" t="str">
        <f aca="true">IF($H71=0,"NA",IF($A71=INDIRECT("'"&amp;$A71&amp;"'!$B$1"),IF(VLOOKUP(X$1,INDIRECT("'"&amp;$A71&amp;"'!$A$12:$Z$41"),MATCH("Points (Auto-generate)",INDIRECT("'"&amp;$A71&amp;"'!$A$12:$Z$12"),0),0)="","?",VLOOKUP(X$1,INDIRECT("'"&amp;$A71&amp;"'!$A$12:$Z$41"),MATCH("Points (Auto-generate)",INDIRECT("'"&amp;$A71&amp;"'!$A$12:$Z$12"),0),0)),"ER"))</f>
        <v>?</v>
      </c>
      <c r="Y71" s="86" t="str">
        <f aca="true">IF($H71=0,"NA",IF($A71=INDIRECT("'"&amp;$A71&amp;"'!$B$1"),IF(VLOOKUP(Y$1,INDIRECT("'"&amp;$A71&amp;"'!$A$12:$Z$41"),MATCH("Points (Auto-generate)",INDIRECT("'"&amp;$A71&amp;"'!$A$12:$Z$12"),0),0)="","?",VLOOKUP(Y$1,INDIRECT("'"&amp;$A71&amp;"'!$A$12:$Z$41"),MATCH("Points (Auto-generate)",INDIRECT("'"&amp;$A71&amp;"'!$A$12:$Z$12"),0),0)),"ER"))</f>
        <v>?</v>
      </c>
      <c r="Z71" s="86" t="str">
        <f aca="true">IF($H71=0,"NA",IF($A71=INDIRECT("'"&amp;$A71&amp;"'!$B$1"),IF(VLOOKUP(Z$1,INDIRECT("'"&amp;$A71&amp;"'!$A$12:$Z$41"),MATCH("Points (Auto-generate)",INDIRECT("'"&amp;$A71&amp;"'!$A$12:$Z$12"),0),0)="","?",VLOOKUP(Z$1,INDIRECT("'"&amp;$A71&amp;"'!$A$12:$Z$41"),MATCH("Points (Auto-generate)",INDIRECT("'"&amp;$A71&amp;"'!$A$12:$Z$12"),0),0)),"ER"))</f>
        <v>?</v>
      </c>
      <c r="AA71" s="86" t="str">
        <f aca="true">IF($H71=0,"NA",IF($A71=INDIRECT("'"&amp;$A71&amp;"'!$B$1"),IF(VLOOKUP(AA$1,INDIRECT("'"&amp;$A71&amp;"'!$A$12:$Z$41"),MATCH("Points (Auto-generate)",INDIRECT("'"&amp;$A71&amp;"'!$A$12:$Z$12"),0),0)="","?",VLOOKUP(AA$1,INDIRECT("'"&amp;$A71&amp;"'!$A$12:$Z$41"),MATCH("Points (Auto-generate)",INDIRECT("'"&amp;$A71&amp;"'!$A$12:$Z$12"),0),0)),"ER"))</f>
        <v>?</v>
      </c>
      <c r="AB71" s="86" t="str">
        <f aca="true">IF($H71=0,"NA",IF($A71=INDIRECT("'"&amp;$A71&amp;"'!$B$1"),IF(VLOOKUP(AB$1,INDIRECT("'"&amp;$A71&amp;"'!$A$12:$Z$41"),MATCH("Points (Auto-generate)",INDIRECT("'"&amp;$A71&amp;"'!$A$12:$Z$12"),0),0)="","?",VLOOKUP(AB$1,INDIRECT("'"&amp;$A71&amp;"'!$A$12:$Z$41"),MATCH("Points (Auto-generate)",INDIRECT("'"&amp;$A71&amp;"'!$A$12:$Z$12"),0),0)),"ER"))</f>
        <v>?</v>
      </c>
      <c r="AC71" s="86" t="str">
        <f aca="true">IF($H71=0,"NA",IF($A71=INDIRECT("'"&amp;$A71&amp;"'!$B$1"),IF(VLOOKUP(AC$1,INDIRECT("'"&amp;$A71&amp;"'!$A$12:$Z$41"),MATCH("Points (Auto-generate)",INDIRECT("'"&amp;$A71&amp;"'!$A$12:$Z$12"),0),0)="","?",VLOOKUP(AC$1,INDIRECT("'"&amp;$A71&amp;"'!$A$12:$Z$41"),MATCH("Points (Auto-generate)",INDIRECT("'"&amp;$A71&amp;"'!$A$12:$Z$12"),0),0)),"ER"))</f>
        <v>?</v>
      </c>
      <c r="AD71" s="86" t="str">
        <f aca="true">IF($H71=0,"NA",IF($A71=INDIRECT("'"&amp;$A71&amp;"'!$B$1"),IF(VLOOKUP(AD$1,INDIRECT("'"&amp;$A71&amp;"'!$A$12:$Z$41"),MATCH("Points (Auto-generate)",INDIRECT("'"&amp;$A71&amp;"'!$A$12:$Z$12"),0),0)="","?",VLOOKUP(AD$1,INDIRECT("'"&amp;$A71&amp;"'!$A$12:$Z$41"),MATCH("Points (Auto-generate)",INDIRECT("'"&amp;$A71&amp;"'!$A$12:$Z$12"),0),0)),"ER"))</f>
        <v>?</v>
      </c>
      <c r="AE71" s="86" t="str">
        <f aca="true">IF($H71=0,"NA",IF($A71=INDIRECT("'"&amp;$A71&amp;"'!$B$1"),IF(VLOOKUP(AE$1,INDIRECT("'"&amp;$A71&amp;"'!$A$12:$Z$41"),MATCH("Points (Auto-generate)",INDIRECT("'"&amp;$A71&amp;"'!$A$12:$Z$12"),0),0)="","?",VLOOKUP(AE$1,INDIRECT("'"&amp;$A71&amp;"'!$A$12:$Z$41"),MATCH("Points (Auto-generate)",INDIRECT("'"&amp;$A71&amp;"'!$A$12:$Z$12"),0),0)),"ER"))</f>
        <v>?</v>
      </c>
      <c r="AF71" s="86" t="str">
        <f aca="true">IF($H71=0,"NA",IF($A71=INDIRECT("'"&amp;$A71&amp;"'!$B$1"),IF(VLOOKUP(AF$1,INDIRECT("'"&amp;$A71&amp;"'!$A$12:$Z$41"),MATCH("Points (Auto-generate)",INDIRECT("'"&amp;$A71&amp;"'!$A$12:$Z$12"),0),0)="","?",VLOOKUP(AF$1,INDIRECT("'"&amp;$A71&amp;"'!$A$12:$Z$41"),MATCH("Points (Auto-generate)",INDIRECT("'"&amp;$A71&amp;"'!$A$12:$Z$12"),0),0)),"ER"))</f>
        <v>?</v>
      </c>
      <c r="AG71" s="86" t="str">
        <f aca="true">IF($H71=0,"NA",IF($A71=INDIRECT("'"&amp;$A71&amp;"'!$B$1"),IF(VLOOKUP(AG$1,INDIRECT("'"&amp;$A71&amp;"'!$A$12:$Z$41"),MATCH("Points (Auto-generate)",INDIRECT("'"&amp;$A71&amp;"'!$A$12:$Z$12"),0),0)="","?",VLOOKUP(AG$1,INDIRECT("'"&amp;$A71&amp;"'!$A$12:$Z$41"),MATCH("Points (Auto-generate)",INDIRECT("'"&amp;$A71&amp;"'!$A$12:$Z$12"),0),0)),"ER"))</f>
        <v>?</v>
      </c>
      <c r="AH71" s="86" t="str">
        <f aca="true">IF($H71=0,"NA",IF($A71=INDIRECT("'"&amp;$A71&amp;"'!$B$1"),IF(VLOOKUP(AH$1,INDIRECT("'"&amp;$A71&amp;"'!$A$12:$Z$41"),MATCH("Points (Auto-generate)",INDIRECT("'"&amp;$A71&amp;"'!$A$12:$Z$12"),0),0)="","?",VLOOKUP(AH$1,INDIRECT("'"&amp;$A71&amp;"'!$A$12:$Z$41"),MATCH("Points (Auto-generate)",INDIRECT("'"&amp;$A71&amp;"'!$A$12:$Z$12"),0),0)),"ER"))</f>
        <v>?</v>
      </c>
      <c r="AI71" s="86" t="str">
        <f aca="true">IF($H71=0,"NA",IF($A71=INDIRECT("'"&amp;$A71&amp;"'!$B$1"),IF(VLOOKUP(AI$1,INDIRECT("'"&amp;$A71&amp;"'!$A$12:$Z$41"),MATCH("Points (Auto-generate)",INDIRECT("'"&amp;$A71&amp;"'!$A$12:$Z$12"),0),0)="","?",VLOOKUP(AI$1,INDIRECT("'"&amp;$A71&amp;"'!$A$12:$Z$41"),MATCH("Points (Auto-generate)",INDIRECT("'"&amp;$A71&amp;"'!$A$12:$Z$12"),0),0)),"ER"))</f>
        <v>?</v>
      </c>
      <c r="AJ71" s="86" t="str">
        <f aca="true">IF($H71=0,"NA",IF($A71=INDIRECT("'"&amp;$A71&amp;"'!$B$1"),IF(VLOOKUP(AJ$1,INDIRECT("'"&amp;$A71&amp;"'!$A$12:$Z$41"),MATCH("Points (Auto-generate)",INDIRECT("'"&amp;$A71&amp;"'!$A$12:$Z$12"),0),0)="","?",VLOOKUP(AJ$1,INDIRECT("'"&amp;$A71&amp;"'!$A$12:$Z$41"),MATCH("Points (Auto-generate)",INDIRECT("'"&amp;$A71&amp;"'!$A$12:$Z$12"),0),0)),"ER"))</f>
        <v>?</v>
      </c>
      <c r="AK71" s="86" t="str">
        <f aca="true">IF($H71=0,"NA",IF($A71=INDIRECT("'"&amp;$A71&amp;"'!$B$1"),IF(VLOOKUP(AK$1,INDIRECT("'"&amp;$A71&amp;"'!$A$12:$Z$41"),MATCH("Points (Auto-generate)",INDIRECT("'"&amp;$A71&amp;"'!$A$12:$Z$12"),0),0)="","?",VLOOKUP(AK$1,INDIRECT("'"&amp;$A71&amp;"'!$A$12:$Z$41"),MATCH("Points (Auto-generate)",INDIRECT("'"&amp;$A71&amp;"'!$A$12:$Z$12"),0),0)),"ER"))</f>
        <v>?</v>
      </c>
    </row>
    <row r="72" customFormat="false" ht="14.25" hidden="false" customHeight="false" outlineLevel="0" collapsed="false">
      <c r="A72" s="82" t="s">
        <v>598</v>
      </c>
      <c r="B72" s="83" t="str">
        <f aca="false">IF(ISBLANK($A72),"NO_CODE",VLOOKUP($A72,'UPD Questions_290926 '!$E$1:$N$300,MATCH(B$1,'UPD Questions_290926 '!$E$1:$N$1,0),0)&amp;"")</f>
        <v>Implementation</v>
      </c>
      <c r="C72" s="83" t="str">
        <f aca="false">IF(ISBLANK($A72),"NO_CODE",VLOOKUP($A72,'UPD Questions_290926 '!$E$1:$N$300,MATCH(C$1,'UPD Questions_290926 '!$E$1:$N$1,0),0)&amp;"")</f>
        <v>Sectoral planning</v>
      </c>
      <c r="D72" s="83" t="str">
        <f aca="false">IF(ISBLANK($A72),"NO_CODE",VLOOKUP($A72,'UPD Questions_290926 '!$E$1:$N$300,MATCH(D$1,'UPD Questions_290926 '!$E$1:$N$1,0),0)&amp;"")</f>
        <v>Economic development planning</v>
      </c>
      <c r="E72" s="83" t="str">
        <f aca="false">IF(ISBLANK($A72),"NO_CODE",VLOOKUP($A72,'UPD Questions_290926 '!$E$1:$N$300,MATCH(E$1,'UPD Questions_290926 '!$E$1:$N$1,0),0)&amp;"")</f>
        <v>MQ</v>
      </c>
      <c r="F72" s="83" t="str">
        <f aca="false">IF(ISBLANK($A72),"NO_CODE",VLOOKUP($A72,'UPD Questions_290926 '!$E$1:$N$300,MATCH(F$1,'UPD Questions_290926 '!$E$1:$N$1,0),0)&amp;"")</f>
        <v>Does your city have an Economic Vision Plan that clearly articulates development priorities, measurable objectives, and the roles and responsibilities of the ULG?</v>
      </c>
      <c r="G72" s="83" t="str">
        <f aca="false">IF(ISBLANK($A72),"NO_CODE",VLOOKUP($A72,'UPD Questions_290926 '!$E$1:$N$300,MATCH(G$1,'UPD Questions_290926 '!$E$1:$N$1,0),0)&amp;"")</f>
        <v>Implementation</v>
      </c>
      <c r="H72" s="85" t="n">
        <f aca="false">IF(ISBLANK($A72),"NO_CODE",VLOOKUP($A72,'UPD Questions_290926 '!$E$1:$N$300,MATCH(H$1,'UPD Questions_290926 '!$E$1:$N$1,0),0))</f>
        <v>10</v>
      </c>
      <c r="I72" s="86" t="str">
        <f aca="false">IF(OR(I73="ER",I74="ER",I75="ER"),"ER",IF(OR(I73="?",I74="?",I75="?"),"?",IF(AND(I73="NA",I74="NA",I75="NA"),"NA",SUM(I73,I74,I75)/((I73&lt;&gt;"NA")*$H$73+(I74&lt;&gt;"NA")*$H$74+(I75&lt;&gt;"NA")*$H$75)*$H72)))</f>
        <v>?</v>
      </c>
      <c r="J72" s="86" t="n">
        <f aca="false">IF(OR(J73="ER",J74="ER",J75="ER"),"ER",IF(OR(J73="?",J74="?",J75="?"),"?",IF(AND(J73="NA",J74="NA",J75="NA"),"NA",SUM(J73,J74,J75)/((J73&lt;&gt;"NA")*$H$73+(J74&lt;&gt;"NA")*$H$74+(J75&lt;&gt;"NA")*$H$75)*$H72)))</f>
        <v>0</v>
      </c>
      <c r="K72" s="86" t="str">
        <f aca="false">IF(OR(K73="ER",K74="ER",K75="ER"),"ER",IF(OR(K73="?",K74="?",K75="?"),"?",IF(AND(K73="NA",K74="NA",K75="NA"),"NA",SUM(K73,K74,K75)/((K73&lt;&gt;"NA")*$H$73+(K74&lt;&gt;"NA")*$H$74+(K75&lt;&gt;"NA")*$H$75)*$H72)))</f>
        <v>?</v>
      </c>
      <c r="L72" s="86" t="str">
        <f aca="false">IF(OR(L73="ER",L74="ER",L75="ER"),"ER",IF(OR(L73="?",L74="?",L75="?"),"?",IF(AND(L73="NA",L74="NA",L75="NA"),"NA",SUM(L73,L74,L75)/((L73&lt;&gt;"NA")*$H$73+(L74&lt;&gt;"NA")*$H$74+(L75&lt;&gt;"NA")*$H$75)*$H72)))</f>
        <v>?</v>
      </c>
      <c r="M72" s="86" t="str">
        <f aca="false">IF(OR(M73="ER",M74="ER",M75="ER"),"ER",IF(OR(M73="?",M74="?",M75="?"),"?",IF(AND(M73="NA",M74="NA",M75="NA"),"NA",SUM(M73,M74,M75)/((M73&lt;&gt;"NA")*$H$73+(M74&lt;&gt;"NA")*$H$74+(M75&lt;&gt;"NA")*$H$75)*$H72)))</f>
        <v>?</v>
      </c>
      <c r="N72" s="86" t="str">
        <f aca="false">IF(OR(N73="ER",N74="ER",N75="ER"),"ER",IF(OR(N73="?",N74="?",N75="?"),"?",IF(AND(N73="NA",N74="NA",N75="NA"),"NA",SUM(N73,N74,N75)/((N73&lt;&gt;"NA")*$H$73+(N74&lt;&gt;"NA")*$H$74+(N75&lt;&gt;"NA")*$H$75)*$H72)))</f>
        <v>?</v>
      </c>
      <c r="O72" s="86" t="str">
        <f aca="false">IF(OR(O73="ER",O74="ER",O75="ER"),"ER",IF(OR(O73="?",O74="?",O75="?"),"?",IF(AND(O73="NA",O74="NA",O75="NA"),"NA",SUM(O73,O74,O75)/((O73&lt;&gt;"NA")*$H$73+(O74&lt;&gt;"NA")*$H$74+(O75&lt;&gt;"NA")*$H$75)*$H72)))</f>
        <v>?</v>
      </c>
      <c r="P72" s="86" t="str">
        <f aca="false">IF(OR(P73="ER",P74="ER",P75="ER"),"ER",IF(OR(P73="?",P74="?",P75="?"),"?",IF(AND(P73="NA",P74="NA",P75="NA"),"NA",SUM(P73,P74,P75)/((P73&lt;&gt;"NA")*$H$73+(P74&lt;&gt;"NA")*$H$74+(P75&lt;&gt;"NA")*$H$75)*$H72)))</f>
        <v>?</v>
      </c>
      <c r="Q72" s="86" t="str">
        <f aca="false">IF(OR(Q73="ER",Q74="ER",Q75="ER"),"ER",IF(OR(Q73="?",Q74="?",Q75="?"),"?",IF(AND(Q73="NA",Q74="NA",Q75="NA"),"NA",SUM(Q73,Q74,Q75)/((Q73&lt;&gt;"NA")*$H$73+(Q74&lt;&gt;"NA")*$H$74+(Q75&lt;&gt;"NA")*$H$75)*$H72)))</f>
        <v>?</v>
      </c>
      <c r="R72" s="86" t="str">
        <f aca="false">IF(OR(R73="ER",R74="ER",R75="ER"),"ER",IF(OR(R73="?",R74="?",R75="?"),"?",IF(AND(R73="NA",R74="NA",R75="NA"),"NA",SUM(R73,R74,R75)/((R73&lt;&gt;"NA")*$H$73+(R74&lt;&gt;"NA")*$H$74+(R75&lt;&gt;"NA")*$H$75)*$H72)))</f>
        <v>?</v>
      </c>
      <c r="S72" s="86" t="str">
        <f aca="false">IF(OR(S73="ER",S74="ER",S75="ER"),"ER",IF(OR(S73="?",S74="?",S75="?"),"?",IF(AND(S73="NA",S74="NA",S75="NA"),"NA",SUM(S73,S74,S75)/((S73&lt;&gt;"NA")*$H$73+(S74&lt;&gt;"NA")*$H$74+(S75&lt;&gt;"NA")*$H$75)*$H72)))</f>
        <v>?</v>
      </c>
      <c r="T72" s="86" t="str">
        <f aca="false">IF(OR(T73="ER",T74="ER",T75="ER"),"ER",IF(OR(T73="?",T74="?",T75="?"),"?",IF(AND(T73="NA",T74="NA",T75="NA"),"NA",SUM(T73,T74,T75)/((T73&lt;&gt;"NA")*$H$73+(T74&lt;&gt;"NA")*$H$74+(T75&lt;&gt;"NA")*$H$75)*$H72)))</f>
        <v>?</v>
      </c>
      <c r="U72" s="86" t="str">
        <f aca="false">IF(OR(U73="ER",U74="ER",U75="ER"),"ER",IF(OR(U73="?",U74="?",U75="?"),"?",IF(AND(U73="NA",U74="NA",U75="NA"),"NA",SUM(U73,U74,U75)/((U73&lt;&gt;"NA")*$H$73+(U74&lt;&gt;"NA")*$H$74+(U75&lt;&gt;"NA")*$H$75)*$H72)))</f>
        <v>?</v>
      </c>
      <c r="V72" s="86" t="str">
        <f aca="false">IF(OR(V73="ER",V74="ER",V75="ER"),"ER",IF(OR(V73="?",V74="?",V75="?"),"?",IF(AND(V73="NA",V74="NA",V75="NA"),"NA",SUM(V73,V74,V75)/((V73&lt;&gt;"NA")*$H$73+(V74&lt;&gt;"NA")*$H$74+(V75&lt;&gt;"NA")*$H$75)*$H72)))</f>
        <v>?</v>
      </c>
      <c r="W72" s="86" t="str">
        <f aca="false">IF(OR(W73="ER",W74="ER",W75="ER"),"ER",IF(OR(W73="?",W74="?",W75="?"),"?",IF(AND(W73="NA",W74="NA",W75="NA"),"NA",SUM(W73,W74,W75)/((W73&lt;&gt;"NA")*$H$73+(W74&lt;&gt;"NA")*$H$74+(W75&lt;&gt;"NA")*$H$75)*$H72)))</f>
        <v>?</v>
      </c>
      <c r="X72" s="86" t="str">
        <f aca="false">IF(OR(X73="ER",X74="ER",X75="ER"),"ER",IF(OR(X73="?",X74="?",X75="?"),"?",IF(AND(X73="NA",X74="NA",X75="NA"),"NA",SUM(X73,X74,X75)/((X73&lt;&gt;"NA")*$H$73+(X74&lt;&gt;"NA")*$H$74+(X75&lt;&gt;"NA")*$H$75)*$H72)))</f>
        <v>?</v>
      </c>
      <c r="Y72" s="86" t="str">
        <f aca="false">IF(OR(Y73="ER",Y74="ER",Y75="ER"),"ER",IF(OR(Y73="?",Y74="?",Y75="?"),"?",IF(AND(Y73="NA",Y74="NA",Y75="NA"),"NA",SUM(Y73,Y74,Y75)/((Y73&lt;&gt;"NA")*$H$73+(Y74&lt;&gt;"NA")*$H$74+(Y75&lt;&gt;"NA")*$H$75)*$H72)))</f>
        <v>?</v>
      </c>
      <c r="Z72" s="86" t="str">
        <f aca="false">IF(OR(Z73="ER",Z74="ER",Z75="ER"),"ER",IF(OR(Z73="?",Z74="?",Z75="?"),"?",IF(AND(Z73="NA",Z74="NA",Z75="NA"),"NA",SUM(Z73,Z74,Z75)/((Z73&lt;&gt;"NA")*$H$73+(Z74&lt;&gt;"NA")*$H$74+(Z75&lt;&gt;"NA")*$H$75)*$H72)))</f>
        <v>?</v>
      </c>
      <c r="AA72" s="86" t="str">
        <f aca="false">IF(OR(AA73="ER",AA74="ER",AA75="ER"),"ER",IF(OR(AA73="?",AA74="?",AA75="?"),"?",IF(AND(AA73="NA",AA74="NA",AA75="NA"),"NA",SUM(AA73,AA74,AA75)/((AA73&lt;&gt;"NA")*$H$73+(AA74&lt;&gt;"NA")*$H$74+(AA75&lt;&gt;"NA")*$H$75)*$H72)))</f>
        <v>?</v>
      </c>
      <c r="AB72" s="86" t="str">
        <f aca="false">IF(OR(AB73="ER",AB74="ER",AB75="ER"),"ER",IF(OR(AB73="?",AB74="?",AB75="?"),"?",IF(AND(AB73="NA",AB74="NA",AB75="NA"),"NA",SUM(AB73,AB74,AB75)/((AB73&lt;&gt;"NA")*$H$73+(AB74&lt;&gt;"NA")*$H$74+(AB75&lt;&gt;"NA")*$H$75)*$H72)))</f>
        <v>?</v>
      </c>
      <c r="AC72" s="86" t="str">
        <f aca="false">IF(OR(AC73="ER",AC74="ER",AC75="ER"),"ER",IF(OR(AC73="?",AC74="?",AC75="?"),"?",IF(AND(AC73="NA",AC74="NA",AC75="NA"),"NA",SUM(AC73,AC74,AC75)/((AC73&lt;&gt;"NA")*$H$73+(AC74&lt;&gt;"NA")*$H$74+(AC75&lt;&gt;"NA")*$H$75)*$H72)))</f>
        <v>?</v>
      </c>
      <c r="AD72" s="86" t="str">
        <f aca="false">IF(OR(AD73="ER",AD74="ER",AD75="ER"),"ER",IF(OR(AD73="?",AD74="?",AD75="?"),"?",IF(AND(AD73="NA",AD74="NA",AD75="NA"),"NA",SUM(AD73,AD74,AD75)/((AD73&lt;&gt;"NA")*$H$73+(AD74&lt;&gt;"NA")*$H$74+(AD75&lt;&gt;"NA")*$H$75)*$H72)))</f>
        <v>?</v>
      </c>
      <c r="AE72" s="86" t="str">
        <f aca="false">IF(OR(AE73="ER",AE74="ER",AE75="ER"),"ER",IF(OR(AE73="?",AE74="?",AE75="?"),"?",IF(AND(AE73="NA",AE74="NA",AE75="NA"),"NA",SUM(AE73,AE74,AE75)/((AE73&lt;&gt;"NA")*$H$73+(AE74&lt;&gt;"NA")*$H$74+(AE75&lt;&gt;"NA")*$H$75)*$H72)))</f>
        <v>?</v>
      </c>
      <c r="AF72" s="86" t="str">
        <f aca="false">IF(OR(AF73="ER",AF74="ER",AF75="ER"),"ER",IF(OR(AF73="?",AF74="?",AF75="?"),"?",IF(AND(AF73="NA",AF74="NA",AF75="NA"),"NA",SUM(AF73,AF74,AF75)/((AF73&lt;&gt;"NA")*$H$73+(AF74&lt;&gt;"NA")*$H$74+(AF75&lt;&gt;"NA")*$H$75)*$H72)))</f>
        <v>?</v>
      </c>
      <c r="AG72" s="86" t="str">
        <f aca="false">IF(OR(AG73="ER",AG74="ER",AG75="ER"),"ER",IF(OR(AG73="?",AG74="?",AG75="?"),"?",IF(AND(AG73="NA",AG74="NA",AG75="NA"),"NA",SUM(AG73,AG74,AG75)/((AG73&lt;&gt;"NA")*$H$73+(AG74&lt;&gt;"NA")*$H$74+(AG75&lt;&gt;"NA")*$H$75)*$H72)))</f>
        <v>?</v>
      </c>
      <c r="AH72" s="86" t="str">
        <f aca="false">IF(OR(AH73="ER",AH74="ER",AH75="ER"),"ER",IF(OR(AH73="?",AH74="?",AH75="?"),"?",IF(AND(AH73="NA",AH74="NA",AH75="NA"),"NA",SUM(AH73,AH74,AH75)/((AH73&lt;&gt;"NA")*$H$73+(AH74&lt;&gt;"NA")*$H$74+(AH75&lt;&gt;"NA")*$H$75)*$H72)))</f>
        <v>?</v>
      </c>
      <c r="AI72" s="86" t="str">
        <f aca="false">IF(OR(AI73="ER",AI74="ER",AI75="ER"),"ER",IF(OR(AI73="?",AI74="?",AI75="?"),"?",IF(AND(AI73="NA",AI74="NA",AI75="NA"),"NA",SUM(AI73,AI74,AI75)/((AI73&lt;&gt;"NA")*$H$73+(AI74&lt;&gt;"NA")*$H$74+(AI75&lt;&gt;"NA")*$H$75)*$H72)))</f>
        <v>?</v>
      </c>
      <c r="AJ72" s="86" t="str">
        <f aca="false">IF(OR(AJ73="ER",AJ74="ER",AJ75="ER"),"ER",IF(OR(AJ73="?",AJ74="?",AJ75="?"),"?",IF(AND(AJ73="NA",AJ74="NA",AJ75="NA"),"NA",SUM(AJ73,AJ74,AJ75)/((AJ73&lt;&gt;"NA")*$H$73+(AJ74&lt;&gt;"NA")*$H$74+(AJ75&lt;&gt;"NA")*$H$75)*$H72)))</f>
        <v>?</v>
      </c>
      <c r="AK72" s="86" t="str">
        <f aca="false">IF(OR(AK73="ER",AK74="ER",AK75="ER"),"ER",IF(OR(AK73="?",AK74="?",AK75="?"),"?",IF(AND(AK73="NA",AK74="NA",AK75="NA"),"NA",SUM(AK73,AK74,AK75)/((AK73&lt;&gt;"NA")*$H$73+(AK74&lt;&gt;"NA")*$H$74+(AK75&lt;&gt;"NA")*$H$75)*$H72)))</f>
        <v>?</v>
      </c>
    </row>
    <row r="73" customFormat="false" ht="14.25" hidden="false" customHeight="false" outlineLevel="0" collapsed="false">
      <c r="A73" s="82" t="s">
        <v>225</v>
      </c>
      <c r="B73" s="83" t="str">
        <f aca="false">IF(ISBLANK($A73),"NO_CODE",VLOOKUP($A73,'UPD Questions_290926 '!$E$1:$N$300,MATCH(B$1,'UPD Questions_290926 '!$E$1:$N$1,0),0)&amp;"")</f>
        <v>Implementation</v>
      </c>
      <c r="C73" s="83" t="str">
        <f aca="false">IF(ISBLANK($A73),"NO_CODE",VLOOKUP($A73,'UPD Questions_290926 '!$E$1:$N$300,MATCH(C$1,'UPD Questions_290926 '!$E$1:$N$1,0),0)&amp;"")</f>
        <v>Sectoral planning</v>
      </c>
      <c r="D73" s="83" t="str">
        <f aca="false">IF(ISBLANK($A73),"NO_CODE",VLOOKUP($A73,'UPD Questions_290926 '!$E$1:$N$300,MATCH(D$1,'UPD Questions_290926 '!$E$1:$N$1,0),0)&amp;"")</f>
        <v>Economic development planning</v>
      </c>
      <c r="E73" s="83" t="str">
        <f aca="false">IF(ISBLANK($A73),"NO_CODE",VLOOKUP($A73,'UPD Questions_290926 '!$E$1:$N$300,MATCH(E$1,'UPD Questions_290926 '!$E$1:$N$1,0),0)&amp;"")</f>
        <v>SQ</v>
      </c>
      <c r="F73" s="83" t="str">
        <f aca="false">IF(ISBLANK($A73),"NO_CODE",VLOOKUP($A73,'UPD Questions_290926 '!$E$1:$N$300,MATCH(F$1,'UPD Questions_290926 '!$E$1:$N$1,0),0)&amp;"")</f>
        <v>Does the city have a notified and active Economic Vision Plan?</v>
      </c>
      <c r="G73" s="83" t="str">
        <f aca="false">IF(ISBLANK($A73),"NO_CODE",VLOOKUP($A73,'UPD Questions_290926 '!$E$1:$N$300,MATCH(G$1,'UPD Questions_290926 '!$E$1:$N$1,0),0)&amp;"")</f>
        <v>Implementation</v>
      </c>
      <c r="H73" s="85" t="n">
        <f aca="false">IF(ISBLANK($A73),"NO_CODE",VLOOKUP($A73,'UPD Questions_290926 '!$E$1:$N$300,MATCH(H$1,'UPD Questions_290926 '!$E$1:$N$1,0),0))</f>
        <v>3.33</v>
      </c>
      <c r="I73" s="86" t="str">
        <f aca="true">IF($H73=0,"NA",IF($A73=INDIRECT("'"&amp;$A73&amp;"'!$B$1"),IF(VLOOKUP(I$1,INDIRECT("'"&amp;$A73&amp;"'!$A$12:$Z$41"),MATCH("Points (Auto-generate)",INDIRECT("'"&amp;$A73&amp;"'!$A$12:$Z$12"),0),0)="","?",VLOOKUP(I$1,INDIRECT("'"&amp;$A73&amp;"'!$A$12:$Z$41"),MATCH("Points (Auto-generate)",INDIRECT("'"&amp;$A73&amp;"'!$A$12:$Z$12"),0),0)),"ER"))</f>
        <v>?</v>
      </c>
      <c r="J73" s="86" t="n">
        <f aca="true">IF($H73=0,"NA",IF($A73=INDIRECT("'"&amp;$A73&amp;"'!$B$1"),IF(VLOOKUP(J$1,INDIRECT("'"&amp;$A73&amp;"'!$A$12:$Z$41"),MATCH("Points (Auto-generate)",INDIRECT("'"&amp;$A73&amp;"'!$A$12:$Z$12"),0),0)="","?",VLOOKUP(J$1,INDIRECT("'"&amp;$A73&amp;"'!$A$12:$Z$41"),MATCH("Points (Auto-generate)",INDIRECT("'"&amp;$A73&amp;"'!$A$12:$Z$12"),0),0)),"ER"))</f>
        <v>0</v>
      </c>
      <c r="K73" s="86" t="str">
        <f aca="true">IF($H73=0,"NA",IF($A73=INDIRECT("'"&amp;$A73&amp;"'!$B$1"),IF(VLOOKUP(K$1,INDIRECT("'"&amp;$A73&amp;"'!$A$12:$Z$41"),MATCH("Points (Auto-generate)",INDIRECT("'"&amp;$A73&amp;"'!$A$12:$Z$12"),0),0)="","?",VLOOKUP(K$1,INDIRECT("'"&amp;$A73&amp;"'!$A$12:$Z$41"),MATCH("Points (Auto-generate)",INDIRECT("'"&amp;$A73&amp;"'!$A$12:$Z$12"),0),0)),"ER"))</f>
        <v>?</v>
      </c>
      <c r="L73" s="86" t="str">
        <f aca="true">IF($H73=0,"NA",IF($A73=INDIRECT("'"&amp;$A73&amp;"'!$B$1"),IF(VLOOKUP(L$1,INDIRECT("'"&amp;$A73&amp;"'!$A$12:$Z$41"),MATCH("Points (Auto-generate)",INDIRECT("'"&amp;$A73&amp;"'!$A$12:$Z$12"),0),0)="","?",VLOOKUP(L$1,INDIRECT("'"&amp;$A73&amp;"'!$A$12:$Z$41"),MATCH("Points (Auto-generate)",INDIRECT("'"&amp;$A73&amp;"'!$A$12:$Z$12"),0),0)),"ER"))</f>
        <v>?</v>
      </c>
      <c r="M73" s="86" t="str">
        <f aca="true">IF($H73=0,"NA",IF($A73=INDIRECT("'"&amp;$A73&amp;"'!$B$1"),IF(VLOOKUP(M$1,INDIRECT("'"&amp;$A73&amp;"'!$A$12:$Z$41"),MATCH("Points (Auto-generate)",INDIRECT("'"&amp;$A73&amp;"'!$A$12:$Z$12"),0),0)="","?",VLOOKUP(M$1,INDIRECT("'"&amp;$A73&amp;"'!$A$12:$Z$41"),MATCH("Points (Auto-generate)",INDIRECT("'"&amp;$A73&amp;"'!$A$12:$Z$12"),0),0)),"ER"))</f>
        <v>?</v>
      </c>
      <c r="N73" s="86" t="str">
        <f aca="true">IF($H73=0,"NA",IF($A73=INDIRECT("'"&amp;$A73&amp;"'!$B$1"),IF(VLOOKUP(N$1,INDIRECT("'"&amp;$A73&amp;"'!$A$12:$Z$41"),MATCH("Points (Auto-generate)",INDIRECT("'"&amp;$A73&amp;"'!$A$12:$Z$12"),0),0)="","?",VLOOKUP(N$1,INDIRECT("'"&amp;$A73&amp;"'!$A$12:$Z$41"),MATCH("Points (Auto-generate)",INDIRECT("'"&amp;$A73&amp;"'!$A$12:$Z$12"),0),0)),"ER"))</f>
        <v>?</v>
      </c>
      <c r="O73" s="86" t="str">
        <f aca="true">IF($H73=0,"NA",IF($A73=INDIRECT("'"&amp;$A73&amp;"'!$B$1"),IF(VLOOKUP(O$1,INDIRECT("'"&amp;$A73&amp;"'!$A$12:$Z$41"),MATCH("Points (Auto-generate)",INDIRECT("'"&amp;$A73&amp;"'!$A$12:$Z$12"),0),0)="","?",VLOOKUP(O$1,INDIRECT("'"&amp;$A73&amp;"'!$A$12:$Z$41"),MATCH("Points (Auto-generate)",INDIRECT("'"&amp;$A73&amp;"'!$A$12:$Z$12"),0),0)),"ER"))</f>
        <v>?</v>
      </c>
      <c r="P73" s="86" t="str">
        <f aca="true">IF($H73=0,"NA",IF($A73=INDIRECT("'"&amp;$A73&amp;"'!$B$1"),IF(VLOOKUP(P$1,INDIRECT("'"&amp;$A73&amp;"'!$A$12:$Z$41"),MATCH("Points (Auto-generate)",INDIRECT("'"&amp;$A73&amp;"'!$A$12:$Z$12"),0),0)="","?",VLOOKUP(P$1,INDIRECT("'"&amp;$A73&amp;"'!$A$12:$Z$41"),MATCH("Points (Auto-generate)",INDIRECT("'"&amp;$A73&amp;"'!$A$12:$Z$12"),0),0)),"ER"))</f>
        <v>?</v>
      </c>
      <c r="Q73" s="86" t="str">
        <f aca="true">IF($H73=0,"NA",IF($A73=INDIRECT("'"&amp;$A73&amp;"'!$B$1"),IF(VLOOKUP(Q$1,INDIRECT("'"&amp;$A73&amp;"'!$A$12:$Z$41"),MATCH("Points (Auto-generate)",INDIRECT("'"&amp;$A73&amp;"'!$A$12:$Z$12"),0),0)="","?",VLOOKUP(Q$1,INDIRECT("'"&amp;$A73&amp;"'!$A$12:$Z$41"),MATCH("Points (Auto-generate)",INDIRECT("'"&amp;$A73&amp;"'!$A$12:$Z$12"),0),0)),"ER"))</f>
        <v>?</v>
      </c>
      <c r="R73" s="86" t="str">
        <f aca="true">IF($H73=0,"NA",IF($A73=INDIRECT("'"&amp;$A73&amp;"'!$B$1"),IF(VLOOKUP(R$1,INDIRECT("'"&amp;$A73&amp;"'!$A$12:$Z$41"),MATCH("Points (Auto-generate)",INDIRECT("'"&amp;$A73&amp;"'!$A$12:$Z$12"),0),0)="","?",VLOOKUP(R$1,INDIRECT("'"&amp;$A73&amp;"'!$A$12:$Z$41"),MATCH("Points (Auto-generate)",INDIRECT("'"&amp;$A73&amp;"'!$A$12:$Z$12"),0),0)),"ER"))</f>
        <v>?</v>
      </c>
      <c r="S73" s="86" t="str">
        <f aca="true">IF($H73=0,"NA",IF($A73=INDIRECT("'"&amp;$A73&amp;"'!$B$1"),IF(VLOOKUP(S$1,INDIRECT("'"&amp;$A73&amp;"'!$A$12:$Z$41"),MATCH("Points (Auto-generate)",INDIRECT("'"&amp;$A73&amp;"'!$A$12:$Z$12"),0),0)="","?",VLOOKUP(S$1,INDIRECT("'"&amp;$A73&amp;"'!$A$12:$Z$41"),MATCH("Points (Auto-generate)",INDIRECT("'"&amp;$A73&amp;"'!$A$12:$Z$12"),0),0)),"ER"))</f>
        <v>?</v>
      </c>
      <c r="T73" s="86" t="str">
        <f aca="true">IF($H73=0,"NA",IF($A73=INDIRECT("'"&amp;$A73&amp;"'!$B$1"),IF(VLOOKUP(T$1,INDIRECT("'"&amp;$A73&amp;"'!$A$12:$Z$41"),MATCH("Points (Auto-generate)",INDIRECT("'"&amp;$A73&amp;"'!$A$12:$Z$12"),0),0)="","?",VLOOKUP(T$1,INDIRECT("'"&amp;$A73&amp;"'!$A$12:$Z$41"),MATCH("Points (Auto-generate)",INDIRECT("'"&amp;$A73&amp;"'!$A$12:$Z$12"),0),0)),"ER"))</f>
        <v>?</v>
      </c>
      <c r="U73" s="86" t="str">
        <f aca="true">IF($H73=0,"NA",IF($A73=INDIRECT("'"&amp;$A73&amp;"'!$B$1"),IF(VLOOKUP(U$1,INDIRECT("'"&amp;$A73&amp;"'!$A$12:$Z$41"),MATCH("Points (Auto-generate)",INDIRECT("'"&amp;$A73&amp;"'!$A$12:$Z$12"),0),0)="","?",VLOOKUP(U$1,INDIRECT("'"&amp;$A73&amp;"'!$A$12:$Z$41"),MATCH("Points (Auto-generate)",INDIRECT("'"&amp;$A73&amp;"'!$A$12:$Z$12"),0),0)),"ER"))</f>
        <v>?</v>
      </c>
      <c r="V73" s="86" t="str">
        <f aca="true">IF($H73=0,"NA",IF($A73=INDIRECT("'"&amp;$A73&amp;"'!$B$1"),IF(VLOOKUP(V$1,INDIRECT("'"&amp;$A73&amp;"'!$A$12:$Z$41"),MATCH("Points (Auto-generate)",INDIRECT("'"&amp;$A73&amp;"'!$A$12:$Z$12"),0),0)="","?",VLOOKUP(V$1,INDIRECT("'"&amp;$A73&amp;"'!$A$12:$Z$41"),MATCH("Points (Auto-generate)",INDIRECT("'"&amp;$A73&amp;"'!$A$12:$Z$12"),0),0)),"ER"))</f>
        <v>?</v>
      </c>
      <c r="W73" s="86" t="str">
        <f aca="true">IF($H73=0,"NA",IF($A73=INDIRECT("'"&amp;$A73&amp;"'!$B$1"),IF(VLOOKUP(W$1,INDIRECT("'"&amp;$A73&amp;"'!$A$12:$Z$41"),MATCH("Points (Auto-generate)",INDIRECT("'"&amp;$A73&amp;"'!$A$12:$Z$12"),0),0)="","?",VLOOKUP(W$1,INDIRECT("'"&amp;$A73&amp;"'!$A$12:$Z$41"),MATCH("Points (Auto-generate)",INDIRECT("'"&amp;$A73&amp;"'!$A$12:$Z$12"),0),0)),"ER"))</f>
        <v>?</v>
      </c>
      <c r="X73" s="86" t="str">
        <f aca="true">IF($H73=0,"NA",IF($A73=INDIRECT("'"&amp;$A73&amp;"'!$B$1"),IF(VLOOKUP(X$1,INDIRECT("'"&amp;$A73&amp;"'!$A$12:$Z$41"),MATCH("Points (Auto-generate)",INDIRECT("'"&amp;$A73&amp;"'!$A$12:$Z$12"),0),0)="","?",VLOOKUP(X$1,INDIRECT("'"&amp;$A73&amp;"'!$A$12:$Z$41"),MATCH("Points (Auto-generate)",INDIRECT("'"&amp;$A73&amp;"'!$A$12:$Z$12"),0),0)),"ER"))</f>
        <v>?</v>
      </c>
      <c r="Y73" s="86" t="str">
        <f aca="true">IF($H73=0,"NA",IF($A73=INDIRECT("'"&amp;$A73&amp;"'!$B$1"),IF(VLOOKUP(Y$1,INDIRECT("'"&amp;$A73&amp;"'!$A$12:$Z$41"),MATCH("Points (Auto-generate)",INDIRECT("'"&amp;$A73&amp;"'!$A$12:$Z$12"),0),0)="","?",VLOOKUP(Y$1,INDIRECT("'"&amp;$A73&amp;"'!$A$12:$Z$41"),MATCH("Points (Auto-generate)",INDIRECT("'"&amp;$A73&amp;"'!$A$12:$Z$12"),0),0)),"ER"))</f>
        <v>?</v>
      </c>
      <c r="Z73" s="86" t="str">
        <f aca="true">IF($H73=0,"NA",IF($A73=INDIRECT("'"&amp;$A73&amp;"'!$B$1"),IF(VLOOKUP(Z$1,INDIRECT("'"&amp;$A73&amp;"'!$A$12:$Z$41"),MATCH("Points (Auto-generate)",INDIRECT("'"&amp;$A73&amp;"'!$A$12:$Z$12"),0),0)="","?",VLOOKUP(Z$1,INDIRECT("'"&amp;$A73&amp;"'!$A$12:$Z$41"),MATCH("Points (Auto-generate)",INDIRECT("'"&amp;$A73&amp;"'!$A$12:$Z$12"),0),0)),"ER"))</f>
        <v>?</v>
      </c>
      <c r="AA73" s="86" t="str">
        <f aca="true">IF($H73=0,"NA",IF($A73=INDIRECT("'"&amp;$A73&amp;"'!$B$1"),IF(VLOOKUP(AA$1,INDIRECT("'"&amp;$A73&amp;"'!$A$12:$Z$41"),MATCH("Points (Auto-generate)",INDIRECT("'"&amp;$A73&amp;"'!$A$12:$Z$12"),0),0)="","?",VLOOKUP(AA$1,INDIRECT("'"&amp;$A73&amp;"'!$A$12:$Z$41"),MATCH("Points (Auto-generate)",INDIRECT("'"&amp;$A73&amp;"'!$A$12:$Z$12"),0),0)),"ER"))</f>
        <v>?</v>
      </c>
      <c r="AB73" s="86" t="str">
        <f aca="true">IF($H73=0,"NA",IF($A73=INDIRECT("'"&amp;$A73&amp;"'!$B$1"),IF(VLOOKUP(AB$1,INDIRECT("'"&amp;$A73&amp;"'!$A$12:$Z$41"),MATCH("Points (Auto-generate)",INDIRECT("'"&amp;$A73&amp;"'!$A$12:$Z$12"),0),0)="","?",VLOOKUP(AB$1,INDIRECT("'"&amp;$A73&amp;"'!$A$12:$Z$41"),MATCH("Points (Auto-generate)",INDIRECT("'"&amp;$A73&amp;"'!$A$12:$Z$12"),0),0)),"ER"))</f>
        <v>?</v>
      </c>
      <c r="AC73" s="86" t="str">
        <f aca="true">IF($H73=0,"NA",IF($A73=INDIRECT("'"&amp;$A73&amp;"'!$B$1"),IF(VLOOKUP(AC$1,INDIRECT("'"&amp;$A73&amp;"'!$A$12:$Z$41"),MATCH("Points (Auto-generate)",INDIRECT("'"&amp;$A73&amp;"'!$A$12:$Z$12"),0),0)="","?",VLOOKUP(AC$1,INDIRECT("'"&amp;$A73&amp;"'!$A$12:$Z$41"),MATCH("Points (Auto-generate)",INDIRECT("'"&amp;$A73&amp;"'!$A$12:$Z$12"),0),0)),"ER"))</f>
        <v>?</v>
      </c>
      <c r="AD73" s="86" t="str">
        <f aca="true">IF($H73=0,"NA",IF($A73=INDIRECT("'"&amp;$A73&amp;"'!$B$1"),IF(VLOOKUP(AD$1,INDIRECT("'"&amp;$A73&amp;"'!$A$12:$Z$41"),MATCH("Points (Auto-generate)",INDIRECT("'"&amp;$A73&amp;"'!$A$12:$Z$12"),0),0)="","?",VLOOKUP(AD$1,INDIRECT("'"&amp;$A73&amp;"'!$A$12:$Z$41"),MATCH("Points (Auto-generate)",INDIRECT("'"&amp;$A73&amp;"'!$A$12:$Z$12"),0),0)),"ER"))</f>
        <v>?</v>
      </c>
      <c r="AE73" s="86" t="str">
        <f aca="true">IF($H73=0,"NA",IF($A73=INDIRECT("'"&amp;$A73&amp;"'!$B$1"),IF(VLOOKUP(AE$1,INDIRECT("'"&amp;$A73&amp;"'!$A$12:$Z$41"),MATCH("Points (Auto-generate)",INDIRECT("'"&amp;$A73&amp;"'!$A$12:$Z$12"),0),0)="","?",VLOOKUP(AE$1,INDIRECT("'"&amp;$A73&amp;"'!$A$12:$Z$41"),MATCH("Points (Auto-generate)",INDIRECT("'"&amp;$A73&amp;"'!$A$12:$Z$12"),0),0)),"ER"))</f>
        <v>?</v>
      </c>
      <c r="AF73" s="86" t="str">
        <f aca="true">IF($H73=0,"NA",IF($A73=INDIRECT("'"&amp;$A73&amp;"'!$B$1"),IF(VLOOKUP(AF$1,INDIRECT("'"&amp;$A73&amp;"'!$A$12:$Z$41"),MATCH("Points (Auto-generate)",INDIRECT("'"&amp;$A73&amp;"'!$A$12:$Z$12"),0),0)="","?",VLOOKUP(AF$1,INDIRECT("'"&amp;$A73&amp;"'!$A$12:$Z$41"),MATCH("Points (Auto-generate)",INDIRECT("'"&amp;$A73&amp;"'!$A$12:$Z$12"),0),0)),"ER"))</f>
        <v>?</v>
      </c>
      <c r="AG73" s="86" t="str">
        <f aca="true">IF($H73=0,"NA",IF($A73=INDIRECT("'"&amp;$A73&amp;"'!$B$1"),IF(VLOOKUP(AG$1,INDIRECT("'"&amp;$A73&amp;"'!$A$12:$Z$41"),MATCH("Points (Auto-generate)",INDIRECT("'"&amp;$A73&amp;"'!$A$12:$Z$12"),0),0)="","?",VLOOKUP(AG$1,INDIRECT("'"&amp;$A73&amp;"'!$A$12:$Z$41"),MATCH("Points (Auto-generate)",INDIRECT("'"&amp;$A73&amp;"'!$A$12:$Z$12"),0),0)),"ER"))</f>
        <v>?</v>
      </c>
      <c r="AH73" s="86" t="str">
        <f aca="true">IF($H73=0,"NA",IF($A73=INDIRECT("'"&amp;$A73&amp;"'!$B$1"),IF(VLOOKUP(AH$1,INDIRECT("'"&amp;$A73&amp;"'!$A$12:$Z$41"),MATCH("Points (Auto-generate)",INDIRECT("'"&amp;$A73&amp;"'!$A$12:$Z$12"),0),0)="","?",VLOOKUP(AH$1,INDIRECT("'"&amp;$A73&amp;"'!$A$12:$Z$41"),MATCH("Points (Auto-generate)",INDIRECT("'"&amp;$A73&amp;"'!$A$12:$Z$12"),0),0)),"ER"))</f>
        <v>?</v>
      </c>
      <c r="AI73" s="86" t="str">
        <f aca="true">IF($H73=0,"NA",IF($A73=INDIRECT("'"&amp;$A73&amp;"'!$B$1"),IF(VLOOKUP(AI$1,INDIRECT("'"&amp;$A73&amp;"'!$A$12:$Z$41"),MATCH("Points (Auto-generate)",INDIRECT("'"&amp;$A73&amp;"'!$A$12:$Z$12"),0),0)="","?",VLOOKUP(AI$1,INDIRECT("'"&amp;$A73&amp;"'!$A$12:$Z$41"),MATCH("Points (Auto-generate)",INDIRECT("'"&amp;$A73&amp;"'!$A$12:$Z$12"),0),0)),"ER"))</f>
        <v>?</v>
      </c>
      <c r="AJ73" s="86" t="str">
        <f aca="true">IF($H73=0,"NA",IF($A73=INDIRECT("'"&amp;$A73&amp;"'!$B$1"),IF(VLOOKUP(AJ$1,INDIRECT("'"&amp;$A73&amp;"'!$A$12:$Z$41"),MATCH("Points (Auto-generate)",INDIRECT("'"&amp;$A73&amp;"'!$A$12:$Z$12"),0),0)="","?",VLOOKUP(AJ$1,INDIRECT("'"&amp;$A73&amp;"'!$A$12:$Z$41"),MATCH("Points (Auto-generate)",INDIRECT("'"&amp;$A73&amp;"'!$A$12:$Z$12"),0),0)),"ER"))</f>
        <v>?</v>
      </c>
      <c r="AK73" s="86" t="str">
        <f aca="true">IF($H73=0,"NA",IF($A73=INDIRECT("'"&amp;$A73&amp;"'!$B$1"),IF(VLOOKUP(AK$1,INDIRECT("'"&amp;$A73&amp;"'!$A$12:$Z$41"),MATCH("Points (Auto-generate)",INDIRECT("'"&amp;$A73&amp;"'!$A$12:$Z$12"),0),0)="","?",VLOOKUP(AK$1,INDIRECT("'"&amp;$A73&amp;"'!$A$12:$Z$41"),MATCH("Points (Auto-generate)",INDIRECT("'"&amp;$A73&amp;"'!$A$12:$Z$12"),0),0)),"ER"))</f>
        <v>?</v>
      </c>
    </row>
    <row r="74" customFormat="false" ht="14.25" hidden="false" customHeight="false" outlineLevel="0" collapsed="false">
      <c r="A74" s="82" t="s">
        <v>228</v>
      </c>
      <c r="B74" s="83" t="str">
        <f aca="false">IF(ISBLANK($A74),"NO_CODE",VLOOKUP($A74,'UPD Questions_290926 '!$E$1:$N$300,MATCH(B$1,'UPD Questions_290926 '!$E$1:$N$1,0),0)&amp;"")</f>
        <v>Implementation</v>
      </c>
      <c r="C74" s="83" t="str">
        <f aca="false">IF(ISBLANK($A74),"NO_CODE",VLOOKUP($A74,'UPD Questions_290926 '!$E$1:$N$300,MATCH(C$1,'UPD Questions_290926 '!$E$1:$N$1,0),0)&amp;"")</f>
        <v>Sectoral planning</v>
      </c>
      <c r="D74" s="83" t="str">
        <f aca="false">IF(ISBLANK($A74),"NO_CODE",VLOOKUP($A74,'UPD Questions_290926 '!$E$1:$N$300,MATCH(D$1,'UPD Questions_290926 '!$E$1:$N$1,0),0)&amp;"")</f>
        <v>Economic development planning</v>
      </c>
      <c r="E74" s="83" t="str">
        <f aca="false">IF(ISBLANK($A74),"NO_CODE",VLOOKUP($A74,'UPD Questions_290926 '!$E$1:$N$300,MATCH(E$1,'UPD Questions_290926 '!$E$1:$N$1,0),0)&amp;"")</f>
        <v>SQ</v>
      </c>
      <c r="F74" s="83" t="str">
        <f aca="false">IF(ISBLANK($A74),"NO_CODE",VLOOKUP($A74,'UPD Questions_290926 '!$E$1:$N$300,MATCH(F$1,'UPD Questions_290926 '!$E$1:$N$1,0),0)&amp;"")</f>
        <v>Does the plan have development priorities and measurable objectives?</v>
      </c>
      <c r="G74" s="83" t="str">
        <f aca="false">IF(ISBLANK($A74),"NO_CODE",VLOOKUP($A74,'UPD Questions_290926 '!$E$1:$N$300,MATCH(G$1,'UPD Questions_290926 '!$E$1:$N$1,0),0)&amp;"")</f>
        <v>Implementation</v>
      </c>
      <c r="H74" s="85" t="n">
        <f aca="false">IF(ISBLANK($A74),"NO_CODE",VLOOKUP($A74,'UPD Questions_290926 '!$E$1:$N$300,MATCH(H$1,'UPD Questions_290926 '!$E$1:$N$1,0),0))</f>
        <v>3.33</v>
      </c>
      <c r="I74" s="86" t="str">
        <f aca="true">IF($H74=0,"NA",IF($A74=INDIRECT("'"&amp;$A74&amp;"'!$B$1"),IF(VLOOKUP(I$1,INDIRECT("'"&amp;$A74&amp;"'!$A$12:$Z$41"),MATCH("Points (Auto-generate)",INDIRECT("'"&amp;$A74&amp;"'!$A$12:$Z$12"),0),0)="","?",VLOOKUP(I$1,INDIRECT("'"&amp;$A74&amp;"'!$A$12:$Z$41"),MATCH("Points (Auto-generate)",INDIRECT("'"&amp;$A74&amp;"'!$A$12:$Z$12"),0),0)),"ER"))</f>
        <v>?</v>
      </c>
      <c r="J74" s="86" t="n">
        <f aca="true">IF($H74=0,"NA",IF($A74=INDIRECT("'"&amp;$A74&amp;"'!$B$1"),IF(VLOOKUP(J$1,INDIRECT("'"&amp;$A74&amp;"'!$A$12:$Z$41"),MATCH("Points (Auto-generate)",INDIRECT("'"&amp;$A74&amp;"'!$A$12:$Z$12"),0),0)="","?",VLOOKUP(J$1,INDIRECT("'"&amp;$A74&amp;"'!$A$12:$Z$41"),MATCH("Points (Auto-generate)",INDIRECT("'"&amp;$A74&amp;"'!$A$12:$Z$12"),0),0)),"ER"))</f>
        <v>0</v>
      </c>
      <c r="K74" s="86" t="str">
        <f aca="true">IF($H74=0,"NA",IF($A74=INDIRECT("'"&amp;$A74&amp;"'!$B$1"),IF(VLOOKUP(K$1,INDIRECT("'"&amp;$A74&amp;"'!$A$12:$Z$41"),MATCH("Points (Auto-generate)",INDIRECT("'"&amp;$A74&amp;"'!$A$12:$Z$12"),0),0)="","?",VLOOKUP(K$1,INDIRECT("'"&amp;$A74&amp;"'!$A$12:$Z$41"),MATCH("Points (Auto-generate)",INDIRECT("'"&amp;$A74&amp;"'!$A$12:$Z$12"),0),0)),"ER"))</f>
        <v>?</v>
      </c>
      <c r="L74" s="86" t="str">
        <f aca="true">IF($H74=0,"NA",IF($A74=INDIRECT("'"&amp;$A74&amp;"'!$B$1"),IF(VLOOKUP(L$1,INDIRECT("'"&amp;$A74&amp;"'!$A$12:$Z$41"),MATCH("Points (Auto-generate)",INDIRECT("'"&amp;$A74&amp;"'!$A$12:$Z$12"),0),0)="","?",VLOOKUP(L$1,INDIRECT("'"&amp;$A74&amp;"'!$A$12:$Z$41"),MATCH("Points (Auto-generate)",INDIRECT("'"&amp;$A74&amp;"'!$A$12:$Z$12"),0),0)),"ER"))</f>
        <v>?</v>
      </c>
      <c r="M74" s="86" t="str">
        <f aca="true">IF($H74=0,"NA",IF($A74=INDIRECT("'"&amp;$A74&amp;"'!$B$1"),IF(VLOOKUP(M$1,INDIRECT("'"&amp;$A74&amp;"'!$A$12:$Z$41"),MATCH("Points (Auto-generate)",INDIRECT("'"&amp;$A74&amp;"'!$A$12:$Z$12"),0),0)="","?",VLOOKUP(M$1,INDIRECT("'"&amp;$A74&amp;"'!$A$12:$Z$41"),MATCH("Points (Auto-generate)",INDIRECT("'"&amp;$A74&amp;"'!$A$12:$Z$12"),0),0)),"ER"))</f>
        <v>?</v>
      </c>
      <c r="N74" s="86" t="str">
        <f aca="true">IF($H74=0,"NA",IF($A74=INDIRECT("'"&amp;$A74&amp;"'!$B$1"),IF(VLOOKUP(N$1,INDIRECT("'"&amp;$A74&amp;"'!$A$12:$Z$41"),MATCH("Points (Auto-generate)",INDIRECT("'"&amp;$A74&amp;"'!$A$12:$Z$12"),0),0)="","?",VLOOKUP(N$1,INDIRECT("'"&amp;$A74&amp;"'!$A$12:$Z$41"),MATCH("Points (Auto-generate)",INDIRECT("'"&amp;$A74&amp;"'!$A$12:$Z$12"),0),0)),"ER"))</f>
        <v>?</v>
      </c>
      <c r="O74" s="86" t="str">
        <f aca="true">IF($H74=0,"NA",IF($A74=INDIRECT("'"&amp;$A74&amp;"'!$B$1"),IF(VLOOKUP(O$1,INDIRECT("'"&amp;$A74&amp;"'!$A$12:$Z$41"),MATCH("Points (Auto-generate)",INDIRECT("'"&amp;$A74&amp;"'!$A$12:$Z$12"),0),0)="","?",VLOOKUP(O$1,INDIRECT("'"&amp;$A74&amp;"'!$A$12:$Z$41"),MATCH("Points (Auto-generate)",INDIRECT("'"&amp;$A74&amp;"'!$A$12:$Z$12"),0),0)),"ER"))</f>
        <v>?</v>
      </c>
      <c r="P74" s="86" t="str">
        <f aca="true">IF($H74=0,"NA",IF($A74=INDIRECT("'"&amp;$A74&amp;"'!$B$1"),IF(VLOOKUP(P$1,INDIRECT("'"&amp;$A74&amp;"'!$A$12:$Z$41"),MATCH("Points (Auto-generate)",INDIRECT("'"&amp;$A74&amp;"'!$A$12:$Z$12"),0),0)="","?",VLOOKUP(P$1,INDIRECT("'"&amp;$A74&amp;"'!$A$12:$Z$41"),MATCH("Points (Auto-generate)",INDIRECT("'"&amp;$A74&amp;"'!$A$12:$Z$12"),0),0)),"ER"))</f>
        <v>?</v>
      </c>
      <c r="Q74" s="86" t="str">
        <f aca="true">IF($H74=0,"NA",IF($A74=INDIRECT("'"&amp;$A74&amp;"'!$B$1"),IF(VLOOKUP(Q$1,INDIRECT("'"&amp;$A74&amp;"'!$A$12:$Z$41"),MATCH("Points (Auto-generate)",INDIRECT("'"&amp;$A74&amp;"'!$A$12:$Z$12"),0),0)="","?",VLOOKUP(Q$1,INDIRECT("'"&amp;$A74&amp;"'!$A$12:$Z$41"),MATCH("Points (Auto-generate)",INDIRECT("'"&amp;$A74&amp;"'!$A$12:$Z$12"),0),0)),"ER"))</f>
        <v>?</v>
      </c>
      <c r="R74" s="86" t="str">
        <f aca="true">IF($H74=0,"NA",IF($A74=INDIRECT("'"&amp;$A74&amp;"'!$B$1"),IF(VLOOKUP(R$1,INDIRECT("'"&amp;$A74&amp;"'!$A$12:$Z$41"),MATCH("Points (Auto-generate)",INDIRECT("'"&amp;$A74&amp;"'!$A$12:$Z$12"),0),0)="","?",VLOOKUP(R$1,INDIRECT("'"&amp;$A74&amp;"'!$A$12:$Z$41"),MATCH("Points (Auto-generate)",INDIRECT("'"&amp;$A74&amp;"'!$A$12:$Z$12"),0),0)),"ER"))</f>
        <v>?</v>
      </c>
      <c r="S74" s="86" t="str">
        <f aca="true">IF($H74=0,"NA",IF($A74=INDIRECT("'"&amp;$A74&amp;"'!$B$1"),IF(VLOOKUP(S$1,INDIRECT("'"&amp;$A74&amp;"'!$A$12:$Z$41"),MATCH("Points (Auto-generate)",INDIRECT("'"&amp;$A74&amp;"'!$A$12:$Z$12"),0),0)="","?",VLOOKUP(S$1,INDIRECT("'"&amp;$A74&amp;"'!$A$12:$Z$41"),MATCH("Points (Auto-generate)",INDIRECT("'"&amp;$A74&amp;"'!$A$12:$Z$12"),0),0)),"ER"))</f>
        <v>?</v>
      </c>
      <c r="T74" s="86" t="str">
        <f aca="true">IF($H74=0,"NA",IF($A74=INDIRECT("'"&amp;$A74&amp;"'!$B$1"),IF(VLOOKUP(T$1,INDIRECT("'"&amp;$A74&amp;"'!$A$12:$Z$41"),MATCH("Points (Auto-generate)",INDIRECT("'"&amp;$A74&amp;"'!$A$12:$Z$12"),0),0)="","?",VLOOKUP(T$1,INDIRECT("'"&amp;$A74&amp;"'!$A$12:$Z$41"),MATCH("Points (Auto-generate)",INDIRECT("'"&amp;$A74&amp;"'!$A$12:$Z$12"),0),0)),"ER"))</f>
        <v>?</v>
      </c>
      <c r="U74" s="86" t="str">
        <f aca="true">IF($H74=0,"NA",IF($A74=INDIRECT("'"&amp;$A74&amp;"'!$B$1"),IF(VLOOKUP(U$1,INDIRECT("'"&amp;$A74&amp;"'!$A$12:$Z$41"),MATCH("Points (Auto-generate)",INDIRECT("'"&amp;$A74&amp;"'!$A$12:$Z$12"),0),0)="","?",VLOOKUP(U$1,INDIRECT("'"&amp;$A74&amp;"'!$A$12:$Z$41"),MATCH("Points (Auto-generate)",INDIRECT("'"&amp;$A74&amp;"'!$A$12:$Z$12"),0),0)),"ER"))</f>
        <v>?</v>
      </c>
      <c r="V74" s="86" t="str">
        <f aca="true">IF($H74=0,"NA",IF($A74=INDIRECT("'"&amp;$A74&amp;"'!$B$1"),IF(VLOOKUP(V$1,INDIRECT("'"&amp;$A74&amp;"'!$A$12:$Z$41"),MATCH("Points (Auto-generate)",INDIRECT("'"&amp;$A74&amp;"'!$A$12:$Z$12"),0),0)="","?",VLOOKUP(V$1,INDIRECT("'"&amp;$A74&amp;"'!$A$12:$Z$41"),MATCH("Points (Auto-generate)",INDIRECT("'"&amp;$A74&amp;"'!$A$12:$Z$12"),0),0)),"ER"))</f>
        <v>?</v>
      </c>
      <c r="W74" s="86" t="str">
        <f aca="true">IF($H74=0,"NA",IF($A74=INDIRECT("'"&amp;$A74&amp;"'!$B$1"),IF(VLOOKUP(W$1,INDIRECT("'"&amp;$A74&amp;"'!$A$12:$Z$41"),MATCH("Points (Auto-generate)",INDIRECT("'"&amp;$A74&amp;"'!$A$12:$Z$12"),0),0)="","?",VLOOKUP(W$1,INDIRECT("'"&amp;$A74&amp;"'!$A$12:$Z$41"),MATCH("Points (Auto-generate)",INDIRECT("'"&amp;$A74&amp;"'!$A$12:$Z$12"),0),0)),"ER"))</f>
        <v>?</v>
      </c>
      <c r="X74" s="86" t="str">
        <f aca="true">IF($H74=0,"NA",IF($A74=INDIRECT("'"&amp;$A74&amp;"'!$B$1"),IF(VLOOKUP(X$1,INDIRECT("'"&amp;$A74&amp;"'!$A$12:$Z$41"),MATCH("Points (Auto-generate)",INDIRECT("'"&amp;$A74&amp;"'!$A$12:$Z$12"),0),0)="","?",VLOOKUP(X$1,INDIRECT("'"&amp;$A74&amp;"'!$A$12:$Z$41"),MATCH("Points (Auto-generate)",INDIRECT("'"&amp;$A74&amp;"'!$A$12:$Z$12"),0),0)),"ER"))</f>
        <v>?</v>
      </c>
      <c r="Y74" s="86" t="str">
        <f aca="true">IF($H74=0,"NA",IF($A74=INDIRECT("'"&amp;$A74&amp;"'!$B$1"),IF(VLOOKUP(Y$1,INDIRECT("'"&amp;$A74&amp;"'!$A$12:$Z$41"),MATCH("Points (Auto-generate)",INDIRECT("'"&amp;$A74&amp;"'!$A$12:$Z$12"),0),0)="","?",VLOOKUP(Y$1,INDIRECT("'"&amp;$A74&amp;"'!$A$12:$Z$41"),MATCH("Points (Auto-generate)",INDIRECT("'"&amp;$A74&amp;"'!$A$12:$Z$12"),0),0)),"ER"))</f>
        <v>?</v>
      </c>
      <c r="Z74" s="86" t="str">
        <f aca="true">IF($H74=0,"NA",IF($A74=INDIRECT("'"&amp;$A74&amp;"'!$B$1"),IF(VLOOKUP(Z$1,INDIRECT("'"&amp;$A74&amp;"'!$A$12:$Z$41"),MATCH("Points (Auto-generate)",INDIRECT("'"&amp;$A74&amp;"'!$A$12:$Z$12"),0),0)="","?",VLOOKUP(Z$1,INDIRECT("'"&amp;$A74&amp;"'!$A$12:$Z$41"),MATCH("Points (Auto-generate)",INDIRECT("'"&amp;$A74&amp;"'!$A$12:$Z$12"),0),0)),"ER"))</f>
        <v>?</v>
      </c>
      <c r="AA74" s="86" t="str">
        <f aca="true">IF($H74=0,"NA",IF($A74=INDIRECT("'"&amp;$A74&amp;"'!$B$1"),IF(VLOOKUP(AA$1,INDIRECT("'"&amp;$A74&amp;"'!$A$12:$Z$41"),MATCH("Points (Auto-generate)",INDIRECT("'"&amp;$A74&amp;"'!$A$12:$Z$12"),0),0)="","?",VLOOKUP(AA$1,INDIRECT("'"&amp;$A74&amp;"'!$A$12:$Z$41"),MATCH("Points (Auto-generate)",INDIRECT("'"&amp;$A74&amp;"'!$A$12:$Z$12"),0),0)),"ER"))</f>
        <v>?</v>
      </c>
      <c r="AB74" s="86" t="str">
        <f aca="true">IF($H74=0,"NA",IF($A74=INDIRECT("'"&amp;$A74&amp;"'!$B$1"),IF(VLOOKUP(AB$1,INDIRECT("'"&amp;$A74&amp;"'!$A$12:$Z$41"),MATCH("Points (Auto-generate)",INDIRECT("'"&amp;$A74&amp;"'!$A$12:$Z$12"),0),0)="","?",VLOOKUP(AB$1,INDIRECT("'"&amp;$A74&amp;"'!$A$12:$Z$41"),MATCH("Points (Auto-generate)",INDIRECT("'"&amp;$A74&amp;"'!$A$12:$Z$12"),0),0)),"ER"))</f>
        <v>?</v>
      </c>
      <c r="AC74" s="86" t="str">
        <f aca="true">IF($H74=0,"NA",IF($A74=INDIRECT("'"&amp;$A74&amp;"'!$B$1"),IF(VLOOKUP(AC$1,INDIRECT("'"&amp;$A74&amp;"'!$A$12:$Z$41"),MATCH("Points (Auto-generate)",INDIRECT("'"&amp;$A74&amp;"'!$A$12:$Z$12"),0),0)="","?",VLOOKUP(AC$1,INDIRECT("'"&amp;$A74&amp;"'!$A$12:$Z$41"),MATCH("Points (Auto-generate)",INDIRECT("'"&amp;$A74&amp;"'!$A$12:$Z$12"),0),0)),"ER"))</f>
        <v>?</v>
      </c>
      <c r="AD74" s="86" t="str">
        <f aca="true">IF($H74=0,"NA",IF($A74=INDIRECT("'"&amp;$A74&amp;"'!$B$1"),IF(VLOOKUP(AD$1,INDIRECT("'"&amp;$A74&amp;"'!$A$12:$Z$41"),MATCH("Points (Auto-generate)",INDIRECT("'"&amp;$A74&amp;"'!$A$12:$Z$12"),0),0)="","?",VLOOKUP(AD$1,INDIRECT("'"&amp;$A74&amp;"'!$A$12:$Z$41"),MATCH("Points (Auto-generate)",INDIRECT("'"&amp;$A74&amp;"'!$A$12:$Z$12"),0),0)),"ER"))</f>
        <v>?</v>
      </c>
      <c r="AE74" s="86" t="str">
        <f aca="true">IF($H74=0,"NA",IF($A74=INDIRECT("'"&amp;$A74&amp;"'!$B$1"),IF(VLOOKUP(AE$1,INDIRECT("'"&amp;$A74&amp;"'!$A$12:$Z$41"),MATCH("Points (Auto-generate)",INDIRECT("'"&amp;$A74&amp;"'!$A$12:$Z$12"),0),0)="","?",VLOOKUP(AE$1,INDIRECT("'"&amp;$A74&amp;"'!$A$12:$Z$41"),MATCH("Points (Auto-generate)",INDIRECT("'"&amp;$A74&amp;"'!$A$12:$Z$12"),0),0)),"ER"))</f>
        <v>?</v>
      </c>
      <c r="AF74" s="86" t="str">
        <f aca="true">IF($H74=0,"NA",IF($A74=INDIRECT("'"&amp;$A74&amp;"'!$B$1"),IF(VLOOKUP(AF$1,INDIRECT("'"&amp;$A74&amp;"'!$A$12:$Z$41"),MATCH("Points (Auto-generate)",INDIRECT("'"&amp;$A74&amp;"'!$A$12:$Z$12"),0),0)="","?",VLOOKUP(AF$1,INDIRECT("'"&amp;$A74&amp;"'!$A$12:$Z$41"),MATCH("Points (Auto-generate)",INDIRECT("'"&amp;$A74&amp;"'!$A$12:$Z$12"),0),0)),"ER"))</f>
        <v>?</v>
      </c>
      <c r="AG74" s="86" t="str">
        <f aca="true">IF($H74=0,"NA",IF($A74=INDIRECT("'"&amp;$A74&amp;"'!$B$1"),IF(VLOOKUP(AG$1,INDIRECT("'"&amp;$A74&amp;"'!$A$12:$Z$41"),MATCH("Points (Auto-generate)",INDIRECT("'"&amp;$A74&amp;"'!$A$12:$Z$12"),0),0)="","?",VLOOKUP(AG$1,INDIRECT("'"&amp;$A74&amp;"'!$A$12:$Z$41"),MATCH("Points (Auto-generate)",INDIRECT("'"&amp;$A74&amp;"'!$A$12:$Z$12"),0),0)),"ER"))</f>
        <v>?</v>
      </c>
      <c r="AH74" s="86" t="str">
        <f aca="true">IF($H74=0,"NA",IF($A74=INDIRECT("'"&amp;$A74&amp;"'!$B$1"),IF(VLOOKUP(AH$1,INDIRECT("'"&amp;$A74&amp;"'!$A$12:$Z$41"),MATCH("Points (Auto-generate)",INDIRECT("'"&amp;$A74&amp;"'!$A$12:$Z$12"),0),0)="","?",VLOOKUP(AH$1,INDIRECT("'"&amp;$A74&amp;"'!$A$12:$Z$41"),MATCH("Points (Auto-generate)",INDIRECT("'"&amp;$A74&amp;"'!$A$12:$Z$12"),0),0)),"ER"))</f>
        <v>?</v>
      </c>
      <c r="AI74" s="86" t="str">
        <f aca="true">IF($H74=0,"NA",IF($A74=INDIRECT("'"&amp;$A74&amp;"'!$B$1"),IF(VLOOKUP(AI$1,INDIRECT("'"&amp;$A74&amp;"'!$A$12:$Z$41"),MATCH("Points (Auto-generate)",INDIRECT("'"&amp;$A74&amp;"'!$A$12:$Z$12"),0),0)="","?",VLOOKUP(AI$1,INDIRECT("'"&amp;$A74&amp;"'!$A$12:$Z$41"),MATCH("Points (Auto-generate)",INDIRECT("'"&amp;$A74&amp;"'!$A$12:$Z$12"),0),0)),"ER"))</f>
        <v>?</v>
      </c>
      <c r="AJ74" s="86" t="str">
        <f aca="true">IF($H74=0,"NA",IF($A74=INDIRECT("'"&amp;$A74&amp;"'!$B$1"),IF(VLOOKUP(AJ$1,INDIRECT("'"&amp;$A74&amp;"'!$A$12:$Z$41"),MATCH("Points (Auto-generate)",INDIRECT("'"&amp;$A74&amp;"'!$A$12:$Z$12"),0),0)="","?",VLOOKUP(AJ$1,INDIRECT("'"&amp;$A74&amp;"'!$A$12:$Z$41"),MATCH("Points (Auto-generate)",INDIRECT("'"&amp;$A74&amp;"'!$A$12:$Z$12"),0),0)),"ER"))</f>
        <v>?</v>
      </c>
      <c r="AK74" s="86" t="str">
        <f aca="true">IF($H74=0,"NA",IF($A74=INDIRECT("'"&amp;$A74&amp;"'!$B$1"),IF(VLOOKUP(AK$1,INDIRECT("'"&amp;$A74&amp;"'!$A$12:$Z$41"),MATCH("Points (Auto-generate)",INDIRECT("'"&amp;$A74&amp;"'!$A$12:$Z$12"),0),0)="","?",VLOOKUP(AK$1,INDIRECT("'"&amp;$A74&amp;"'!$A$12:$Z$41"),MATCH("Points (Auto-generate)",INDIRECT("'"&amp;$A74&amp;"'!$A$12:$Z$12"),0),0)),"ER"))</f>
        <v>?</v>
      </c>
    </row>
    <row r="75" customFormat="false" ht="14.25" hidden="false" customHeight="false" outlineLevel="0" collapsed="false">
      <c r="A75" s="82" t="s">
        <v>231</v>
      </c>
      <c r="B75" s="83" t="str">
        <f aca="false">IF(ISBLANK($A75),"NO_CODE",VLOOKUP($A75,'UPD Questions_290926 '!$E$1:$N$300,MATCH(B$1,'UPD Questions_290926 '!$E$1:$N$1,0),0)&amp;"")</f>
        <v>Implementation</v>
      </c>
      <c r="C75" s="83" t="str">
        <f aca="false">IF(ISBLANK($A75),"NO_CODE",VLOOKUP($A75,'UPD Questions_290926 '!$E$1:$N$300,MATCH(C$1,'UPD Questions_290926 '!$E$1:$N$1,0),0)&amp;"")</f>
        <v>Sectoral planning</v>
      </c>
      <c r="D75" s="83" t="str">
        <f aca="false">IF(ISBLANK($A75),"NO_CODE",VLOOKUP($A75,'UPD Questions_290926 '!$E$1:$N$300,MATCH(D$1,'UPD Questions_290926 '!$E$1:$N$1,0),0)&amp;"")</f>
        <v>Economic development planning</v>
      </c>
      <c r="E75" s="83" t="str">
        <f aca="false">IF(ISBLANK($A75),"NO_CODE",VLOOKUP($A75,'UPD Questions_290926 '!$E$1:$N$300,MATCH(E$1,'UPD Questions_290926 '!$E$1:$N$1,0),0)&amp;"")</f>
        <v>SQ</v>
      </c>
      <c r="F75" s="83" t="str">
        <f aca="false">IF(ISBLANK($A75),"NO_CODE",VLOOKUP($A75,'UPD Questions_290926 '!$E$1:$N$300,MATCH(F$1,'UPD Questions_290926 '!$E$1:$N$1,0),0)&amp;"")</f>
        <v>Does the plan clearly articulate the role of the ULG?</v>
      </c>
      <c r="G75" s="83" t="str">
        <f aca="false">IF(ISBLANK($A75),"NO_CODE",VLOOKUP($A75,'UPD Questions_290926 '!$E$1:$N$300,MATCH(G$1,'UPD Questions_290926 '!$E$1:$N$1,0),0)&amp;"")</f>
        <v>Implementation</v>
      </c>
      <c r="H75" s="85" t="n">
        <f aca="false">IF(ISBLANK($A75),"NO_CODE",VLOOKUP($A75,'UPD Questions_290926 '!$E$1:$N$300,MATCH(H$1,'UPD Questions_290926 '!$E$1:$N$1,0),0))</f>
        <v>3.33</v>
      </c>
      <c r="I75" s="86" t="str">
        <f aca="true">IF($H75=0,"NA",IF($A75=INDIRECT("'"&amp;$A75&amp;"'!$B$1"),IF(VLOOKUP(I$1,INDIRECT("'"&amp;$A75&amp;"'!$A$12:$Z$41"),MATCH("Points (Auto-generate)",INDIRECT("'"&amp;$A75&amp;"'!$A$12:$Z$12"),0),0)="","?",VLOOKUP(I$1,INDIRECT("'"&amp;$A75&amp;"'!$A$12:$Z$41"),MATCH("Points (Auto-generate)",INDIRECT("'"&amp;$A75&amp;"'!$A$12:$Z$12"),0),0)),"ER"))</f>
        <v>?</v>
      </c>
      <c r="J75" s="86" t="n">
        <f aca="true">IF($H75=0,"NA",IF($A75=INDIRECT("'"&amp;$A75&amp;"'!$B$1"),IF(VLOOKUP(J$1,INDIRECT("'"&amp;$A75&amp;"'!$A$12:$Z$41"),MATCH("Points (Auto-generate)",INDIRECT("'"&amp;$A75&amp;"'!$A$12:$Z$12"),0),0)="","?",VLOOKUP(J$1,INDIRECT("'"&amp;$A75&amp;"'!$A$12:$Z$41"),MATCH("Points (Auto-generate)",INDIRECT("'"&amp;$A75&amp;"'!$A$12:$Z$12"),0),0)),"ER"))</f>
        <v>0</v>
      </c>
      <c r="K75" s="86" t="str">
        <f aca="true">IF($H75=0,"NA",IF($A75=INDIRECT("'"&amp;$A75&amp;"'!$B$1"),IF(VLOOKUP(K$1,INDIRECT("'"&amp;$A75&amp;"'!$A$12:$Z$41"),MATCH("Points (Auto-generate)",INDIRECT("'"&amp;$A75&amp;"'!$A$12:$Z$12"),0),0)="","?",VLOOKUP(K$1,INDIRECT("'"&amp;$A75&amp;"'!$A$12:$Z$41"),MATCH("Points (Auto-generate)",INDIRECT("'"&amp;$A75&amp;"'!$A$12:$Z$12"),0),0)),"ER"))</f>
        <v>?</v>
      </c>
      <c r="L75" s="86" t="str">
        <f aca="true">IF($H75=0,"NA",IF($A75=INDIRECT("'"&amp;$A75&amp;"'!$B$1"),IF(VLOOKUP(L$1,INDIRECT("'"&amp;$A75&amp;"'!$A$12:$Z$41"),MATCH("Points (Auto-generate)",INDIRECT("'"&amp;$A75&amp;"'!$A$12:$Z$12"),0),0)="","?",VLOOKUP(L$1,INDIRECT("'"&amp;$A75&amp;"'!$A$12:$Z$41"),MATCH("Points (Auto-generate)",INDIRECT("'"&amp;$A75&amp;"'!$A$12:$Z$12"),0),0)),"ER"))</f>
        <v>?</v>
      </c>
      <c r="M75" s="86" t="str">
        <f aca="true">IF($H75=0,"NA",IF($A75=INDIRECT("'"&amp;$A75&amp;"'!$B$1"),IF(VLOOKUP(M$1,INDIRECT("'"&amp;$A75&amp;"'!$A$12:$Z$41"),MATCH("Points (Auto-generate)",INDIRECT("'"&amp;$A75&amp;"'!$A$12:$Z$12"),0),0)="","?",VLOOKUP(M$1,INDIRECT("'"&amp;$A75&amp;"'!$A$12:$Z$41"),MATCH("Points (Auto-generate)",INDIRECT("'"&amp;$A75&amp;"'!$A$12:$Z$12"),0),0)),"ER"))</f>
        <v>?</v>
      </c>
      <c r="N75" s="86" t="str">
        <f aca="true">IF($H75=0,"NA",IF($A75=INDIRECT("'"&amp;$A75&amp;"'!$B$1"),IF(VLOOKUP(N$1,INDIRECT("'"&amp;$A75&amp;"'!$A$12:$Z$41"),MATCH("Points (Auto-generate)",INDIRECT("'"&amp;$A75&amp;"'!$A$12:$Z$12"),0),0)="","?",VLOOKUP(N$1,INDIRECT("'"&amp;$A75&amp;"'!$A$12:$Z$41"),MATCH("Points (Auto-generate)",INDIRECT("'"&amp;$A75&amp;"'!$A$12:$Z$12"),0),0)),"ER"))</f>
        <v>?</v>
      </c>
      <c r="O75" s="86" t="str">
        <f aca="true">IF($H75=0,"NA",IF($A75=INDIRECT("'"&amp;$A75&amp;"'!$B$1"),IF(VLOOKUP(O$1,INDIRECT("'"&amp;$A75&amp;"'!$A$12:$Z$41"),MATCH("Points (Auto-generate)",INDIRECT("'"&amp;$A75&amp;"'!$A$12:$Z$12"),0),0)="","?",VLOOKUP(O$1,INDIRECT("'"&amp;$A75&amp;"'!$A$12:$Z$41"),MATCH("Points (Auto-generate)",INDIRECT("'"&amp;$A75&amp;"'!$A$12:$Z$12"),0),0)),"ER"))</f>
        <v>?</v>
      </c>
      <c r="P75" s="86" t="str">
        <f aca="true">IF($H75=0,"NA",IF($A75=INDIRECT("'"&amp;$A75&amp;"'!$B$1"),IF(VLOOKUP(P$1,INDIRECT("'"&amp;$A75&amp;"'!$A$12:$Z$41"),MATCH("Points (Auto-generate)",INDIRECT("'"&amp;$A75&amp;"'!$A$12:$Z$12"),0),0)="","?",VLOOKUP(P$1,INDIRECT("'"&amp;$A75&amp;"'!$A$12:$Z$41"),MATCH("Points (Auto-generate)",INDIRECT("'"&amp;$A75&amp;"'!$A$12:$Z$12"),0),0)),"ER"))</f>
        <v>?</v>
      </c>
      <c r="Q75" s="86" t="str">
        <f aca="true">IF($H75=0,"NA",IF($A75=INDIRECT("'"&amp;$A75&amp;"'!$B$1"),IF(VLOOKUP(Q$1,INDIRECT("'"&amp;$A75&amp;"'!$A$12:$Z$41"),MATCH("Points (Auto-generate)",INDIRECT("'"&amp;$A75&amp;"'!$A$12:$Z$12"),0),0)="","?",VLOOKUP(Q$1,INDIRECT("'"&amp;$A75&amp;"'!$A$12:$Z$41"),MATCH("Points (Auto-generate)",INDIRECT("'"&amp;$A75&amp;"'!$A$12:$Z$12"),0),0)),"ER"))</f>
        <v>?</v>
      </c>
      <c r="R75" s="86" t="str">
        <f aca="true">IF($H75=0,"NA",IF($A75=INDIRECT("'"&amp;$A75&amp;"'!$B$1"),IF(VLOOKUP(R$1,INDIRECT("'"&amp;$A75&amp;"'!$A$12:$Z$41"),MATCH("Points (Auto-generate)",INDIRECT("'"&amp;$A75&amp;"'!$A$12:$Z$12"),0),0)="","?",VLOOKUP(R$1,INDIRECT("'"&amp;$A75&amp;"'!$A$12:$Z$41"),MATCH("Points (Auto-generate)",INDIRECT("'"&amp;$A75&amp;"'!$A$12:$Z$12"),0),0)),"ER"))</f>
        <v>?</v>
      </c>
      <c r="S75" s="86" t="str">
        <f aca="true">IF($H75=0,"NA",IF($A75=INDIRECT("'"&amp;$A75&amp;"'!$B$1"),IF(VLOOKUP(S$1,INDIRECT("'"&amp;$A75&amp;"'!$A$12:$Z$41"),MATCH("Points (Auto-generate)",INDIRECT("'"&amp;$A75&amp;"'!$A$12:$Z$12"),0),0)="","?",VLOOKUP(S$1,INDIRECT("'"&amp;$A75&amp;"'!$A$12:$Z$41"),MATCH("Points (Auto-generate)",INDIRECT("'"&amp;$A75&amp;"'!$A$12:$Z$12"),0),0)),"ER"))</f>
        <v>?</v>
      </c>
      <c r="T75" s="86" t="str">
        <f aca="true">IF($H75=0,"NA",IF($A75=INDIRECT("'"&amp;$A75&amp;"'!$B$1"),IF(VLOOKUP(T$1,INDIRECT("'"&amp;$A75&amp;"'!$A$12:$Z$41"),MATCH("Points (Auto-generate)",INDIRECT("'"&amp;$A75&amp;"'!$A$12:$Z$12"),0),0)="","?",VLOOKUP(T$1,INDIRECT("'"&amp;$A75&amp;"'!$A$12:$Z$41"),MATCH("Points (Auto-generate)",INDIRECT("'"&amp;$A75&amp;"'!$A$12:$Z$12"),0),0)),"ER"))</f>
        <v>?</v>
      </c>
      <c r="U75" s="86" t="str">
        <f aca="true">IF($H75=0,"NA",IF($A75=INDIRECT("'"&amp;$A75&amp;"'!$B$1"),IF(VLOOKUP(U$1,INDIRECT("'"&amp;$A75&amp;"'!$A$12:$Z$41"),MATCH("Points (Auto-generate)",INDIRECT("'"&amp;$A75&amp;"'!$A$12:$Z$12"),0),0)="","?",VLOOKUP(U$1,INDIRECT("'"&amp;$A75&amp;"'!$A$12:$Z$41"),MATCH("Points (Auto-generate)",INDIRECT("'"&amp;$A75&amp;"'!$A$12:$Z$12"),0),0)),"ER"))</f>
        <v>?</v>
      </c>
      <c r="V75" s="86" t="str">
        <f aca="true">IF($H75=0,"NA",IF($A75=INDIRECT("'"&amp;$A75&amp;"'!$B$1"),IF(VLOOKUP(V$1,INDIRECT("'"&amp;$A75&amp;"'!$A$12:$Z$41"),MATCH("Points (Auto-generate)",INDIRECT("'"&amp;$A75&amp;"'!$A$12:$Z$12"),0),0)="","?",VLOOKUP(V$1,INDIRECT("'"&amp;$A75&amp;"'!$A$12:$Z$41"),MATCH("Points (Auto-generate)",INDIRECT("'"&amp;$A75&amp;"'!$A$12:$Z$12"),0),0)),"ER"))</f>
        <v>?</v>
      </c>
      <c r="W75" s="86" t="str">
        <f aca="true">IF($H75=0,"NA",IF($A75=INDIRECT("'"&amp;$A75&amp;"'!$B$1"),IF(VLOOKUP(W$1,INDIRECT("'"&amp;$A75&amp;"'!$A$12:$Z$41"),MATCH("Points (Auto-generate)",INDIRECT("'"&amp;$A75&amp;"'!$A$12:$Z$12"),0),0)="","?",VLOOKUP(W$1,INDIRECT("'"&amp;$A75&amp;"'!$A$12:$Z$41"),MATCH("Points (Auto-generate)",INDIRECT("'"&amp;$A75&amp;"'!$A$12:$Z$12"),0),0)),"ER"))</f>
        <v>?</v>
      </c>
      <c r="X75" s="86" t="str">
        <f aca="true">IF($H75=0,"NA",IF($A75=INDIRECT("'"&amp;$A75&amp;"'!$B$1"),IF(VLOOKUP(X$1,INDIRECT("'"&amp;$A75&amp;"'!$A$12:$Z$41"),MATCH("Points (Auto-generate)",INDIRECT("'"&amp;$A75&amp;"'!$A$12:$Z$12"),0),0)="","?",VLOOKUP(X$1,INDIRECT("'"&amp;$A75&amp;"'!$A$12:$Z$41"),MATCH("Points (Auto-generate)",INDIRECT("'"&amp;$A75&amp;"'!$A$12:$Z$12"),0),0)),"ER"))</f>
        <v>?</v>
      </c>
      <c r="Y75" s="86" t="str">
        <f aca="true">IF($H75=0,"NA",IF($A75=INDIRECT("'"&amp;$A75&amp;"'!$B$1"),IF(VLOOKUP(Y$1,INDIRECT("'"&amp;$A75&amp;"'!$A$12:$Z$41"),MATCH("Points (Auto-generate)",INDIRECT("'"&amp;$A75&amp;"'!$A$12:$Z$12"),0),0)="","?",VLOOKUP(Y$1,INDIRECT("'"&amp;$A75&amp;"'!$A$12:$Z$41"),MATCH("Points (Auto-generate)",INDIRECT("'"&amp;$A75&amp;"'!$A$12:$Z$12"),0),0)),"ER"))</f>
        <v>?</v>
      </c>
      <c r="Z75" s="86" t="str">
        <f aca="true">IF($H75=0,"NA",IF($A75=INDIRECT("'"&amp;$A75&amp;"'!$B$1"),IF(VLOOKUP(Z$1,INDIRECT("'"&amp;$A75&amp;"'!$A$12:$Z$41"),MATCH("Points (Auto-generate)",INDIRECT("'"&amp;$A75&amp;"'!$A$12:$Z$12"),0),0)="","?",VLOOKUP(Z$1,INDIRECT("'"&amp;$A75&amp;"'!$A$12:$Z$41"),MATCH("Points (Auto-generate)",INDIRECT("'"&amp;$A75&amp;"'!$A$12:$Z$12"),0),0)),"ER"))</f>
        <v>?</v>
      </c>
      <c r="AA75" s="86" t="str">
        <f aca="true">IF($H75=0,"NA",IF($A75=INDIRECT("'"&amp;$A75&amp;"'!$B$1"),IF(VLOOKUP(AA$1,INDIRECT("'"&amp;$A75&amp;"'!$A$12:$Z$41"),MATCH("Points (Auto-generate)",INDIRECT("'"&amp;$A75&amp;"'!$A$12:$Z$12"),0),0)="","?",VLOOKUP(AA$1,INDIRECT("'"&amp;$A75&amp;"'!$A$12:$Z$41"),MATCH("Points (Auto-generate)",INDIRECT("'"&amp;$A75&amp;"'!$A$12:$Z$12"),0),0)),"ER"))</f>
        <v>?</v>
      </c>
      <c r="AB75" s="86" t="str">
        <f aca="true">IF($H75=0,"NA",IF($A75=INDIRECT("'"&amp;$A75&amp;"'!$B$1"),IF(VLOOKUP(AB$1,INDIRECT("'"&amp;$A75&amp;"'!$A$12:$Z$41"),MATCH("Points (Auto-generate)",INDIRECT("'"&amp;$A75&amp;"'!$A$12:$Z$12"),0),0)="","?",VLOOKUP(AB$1,INDIRECT("'"&amp;$A75&amp;"'!$A$12:$Z$41"),MATCH("Points (Auto-generate)",INDIRECT("'"&amp;$A75&amp;"'!$A$12:$Z$12"),0),0)),"ER"))</f>
        <v>?</v>
      </c>
      <c r="AC75" s="86" t="str">
        <f aca="true">IF($H75=0,"NA",IF($A75=INDIRECT("'"&amp;$A75&amp;"'!$B$1"),IF(VLOOKUP(AC$1,INDIRECT("'"&amp;$A75&amp;"'!$A$12:$Z$41"),MATCH("Points (Auto-generate)",INDIRECT("'"&amp;$A75&amp;"'!$A$12:$Z$12"),0),0)="","?",VLOOKUP(AC$1,INDIRECT("'"&amp;$A75&amp;"'!$A$12:$Z$41"),MATCH("Points (Auto-generate)",INDIRECT("'"&amp;$A75&amp;"'!$A$12:$Z$12"),0),0)),"ER"))</f>
        <v>?</v>
      </c>
      <c r="AD75" s="86" t="str">
        <f aca="true">IF($H75=0,"NA",IF($A75=INDIRECT("'"&amp;$A75&amp;"'!$B$1"),IF(VLOOKUP(AD$1,INDIRECT("'"&amp;$A75&amp;"'!$A$12:$Z$41"),MATCH("Points (Auto-generate)",INDIRECT("'"&amp;$A75&amp;"'!$A$12:$Z$12"),0),0)="","?",VLOOKUP(AD$1,INDIRECT("'"&amp;$A75&amp;"'!$A$12:$Z$41"),MATCH("Points (Auto-generate)",INDIRECT("'"&amp;$A75&amp;"'!$A$12:$Z$12"),0),0)),"ER"))</f>
        <v>?</v>
      </c>
      <c r="AE75" s="86" t="str">
        <f aca="true">IF($H75=0,"NA",IF($A75=INDIRECT("'"&amp;$A75&amp;"'!$B$1"),IF(VLOOKUP(AE$1,INDIRECT("'"&amp;$A75&amp;"'!$A$12:$Z$41"),MATCH("Points (Auto-generate)",INDIRECT("'"&amp;$A75&amp;"'!$A$12:$Z$12"),0),0)="","?",VLOOKUP(AE$1,INDIRECT("'"&amp;$A75&amp;"'!$A$12:$Z$41"),MATCH("Points (Auto-generate)",INDIRECT("'"&amp;$A75&amp;"'!$A$12:$Z$12"),0),0)),"ER"))</f>
        <v>?</v>
      </c>
      <c r="AF75" s="86" t="str">
        <f aca="true">IF($H75=0,"NA",IF($A75=INDIRECT("'"&amp;$A75&amp;"'!$B$1"),IF(VLOOKUP(AF$1,INDIRECT("'"&amp;$A75&amp;"'!$A$12:$Z$41"),MATCH("Points (Auto-generate)",INDIRECT("'"&amp;$A75&amp;"'!$A$12:$Z$12"),0),0)="","?",VLOOKUP(AF$1,INDIRECT("'"&amp;$A75&amp;"'!$A$12:$Z$41"),MATCH("Points (Auto-generate)",INDIRECT("'"&amp;$A75&amp;"'!$A$12:$Z$12"),0),0)),"ER"))</f>
        <v>?</v>
      </c>
      <c r="AG75" s="86" t="str">
        <f aca="true">IF($H75=0,"NA",IF($A75=INDIRECT("'"&amp;$A75&amp;"'!$B$1"),IF(VLOOKUP(AG$1,INDIRECT("'"&amp;$A75&amp;"'!$A$12:$Z$41"),MATCH("Points (Auto-generate)",INDIRECT("'"&amp;$A75&amp;"'!$A$12:$Z$12"),0),0)="","?",VLOOKUP(AG$1,INDIRECT("'"&amp;$A75&amp;"'!$A$12:$Z$41"),MATCH("Points (Auto-generate)",INDIRECT("'"&amp;$A75&amp;"'!$A$12:$Z$12"),0),0)),"ER"))</f>
        <v>?</v>
      </c>
      <c r="AH75" s="86" t="str">
        <f aca="true">IF($H75=0,"NA",IF($A75=INDIRECT("'"&amp;$A75&amp;"'!$B$1"),IF(VLOOKUP(AH$1,INDIRECT("'"&amp;$A75&amp;"'!$A$12:$Z$41"),MATCH("Points (Auto-generate)",INDIRECT("'"&amp;$A75&amp;"'!$A$12:$Z$12"),0),0)="","?",VLOOKUP(AH$1,INDIRECT("'"&amp;$A75&amp;"'!$A$12:$Z$41"),MATCH("Points (Auto-generate)",INDIRECT("'"&amp;$A75&amp;"'!$A$12:$Z$12"),0),0)),"ER"))</f>
        <v>?</v>
      </c>
      <c r="AI75" s="86" t="str">
        <f aca="true">IF($H75=0,"NA",IF($A75=INDIRECT("'"&amp;$A75&amp;"'!$B$1"),IF(VLOOKUP(AI$1,INDIRECT("'"&amp;$A75&amp;"'!$A$12:$Z$41"),MATCH("Points (Auto-generate)",INDIRECT("'"&amp;$A75&amp;"'!$A$12:$Z$12"),0),0)="","?",VLOOKUP(AI$1,INDIRECT("'"&amp;$A75&amp;"'!$A$12:$Z$41"),MATCH("Points (Auto-generate)",INDIRECT("'"&amp;$A75&amp;"'!$A$12:$Z$12"),0),0)),"ER"))</f>
        <v>?</v>
      </c>
      <c r="AJ75" s="86" t="str">
        <f aca="true">IF($H75=0,"NA",IF($A75=INDIRECT("'"&amp;$A75&amp;"'!$B$1"),IF(VLOOKUP(AJ$1,INDIRECT("'"&amp;$A75&amp;"'!$A$12:$Z$41"),MATCH("Points (Auto-generate)",INDIRECT("'"&amp;$A75&amp;"'!$A$12:$Z$12"),0),0)="","?",VLOOKUP(AJ$1,INDIRECT("'"&amp;$A75&amp;"'!$A$12:$Z$41"),MATCH("Points (Auto-generate)",INDIRECT("'"&amp;$A75&amp;"'!$A$12:$Z$12"),0),0)),"ER"))</f>
        <v>?</v>
      </c>
      <c r="AK75" s="86" t="str">
        <f aca="true">IF($H75=0,"NA",IF($A75=INDIRECT("'"&amp;$A75&amp;"'!$B$1"),IF(VLOOKUP(AK$1,INDIRECT("'"&amp;$A75&amp;"'!$A$12:$Z$41"),MATCH("Points (Auto-generate)",INDIRECT("'"&amp;$A75&amp;"'!$A$12:$Z$12"),0),0)="","?",VLOOKUP(AK$1,INDIRECT("'"&amp;$A75&amp;"'!$A$12:$Z$41"),MATCH("Points (Auto-generate)",INDIRECT("'"&amp;$A75&amp;"'!$A$12:$Z$12"),0),0)),"ER"))</f>
        <v>?</v>
      </c>
    </row>
    <row r="76" customFormat="false" ht="14.25" hidden="false" customHeight="false" outlineLevel="0" collapsed="false">
      <c r="A76" s="82" t="s">
        <v>499</v>
      </c>
      <c r="B76" s="83" t="str">
        <f aca="false">IF(ISBLANK($A76),"NO_CODE",VLOOKUP($A76,'UPD Questions_290926 '!$E$1:$N$300,MATCH(B$1,'UPD Questions_290926 '!$E$1:$N$1,0),0)&amp;"")</f>
        <v>Implementation</v>
      </c>
      <c r="C76" s="83" t="str">
        <f aca="false">IF(ISBLANK($A76),"NO_CODE",VLOOKUP($A76,'UPD Questions_290926 '!$E$1:$N$300,MATCH(C$1,'UPD Questions_290926 '!$E$1:$N$1,0),0)&amp;"")</f>
        <v>Specialised institutional capacity</v>
      </c>
      <c r="D76" s="83" t="str">
        <f aca="false">IF(ISBLANK($A76),"NO_CODE",VLOOKUP($A76,'UPD Questions_290926 '!$E$1:$N$300,MATCH(D$1,'UPD Questions_290926 '!$E$1:$N$1,0),0)&amp;"")</f>
        <v>Specialised institutional capacity</v>
      </c>
      <c r="E76" s="83" t="str">
        <f aca="false">IF(ISBLANK($A76),"NO_CODE",VLOOKUP($A76,'UPD Questions_290926 '!$E$1:$N$300,MATCH(E$1,'UPD Questions_290926 '!$E$1:$N$1,0),0)&amp;"")</f>
        <v>MQ</v>
      </c>
      <c r="F76" s="83" t="str">
        <f aca="false">IF(ISBLANK($A76),"NO_CODE",VLOOKUP($A76,'UPD Questions_290926 '!$E$1:$N$300,MATCH(F$1,'UPD Questions_290926 '!$E$1:$N$1,0),0)&amp;"")</f>
        <v>Does the city have adequate and representative professional town-planning capacity?</v>
      </c>
      <c r="G76" s="83" t="str">
        <f aca="false">IF(ISBLANK($A76),"NO_CODE",VLOOKUP($A76,'UPD Questions_290926 '!$E$1:$N$300,MATCH(G$1,'UPD Questions_290926 '!$E$1:$N$1,0),0)&amp;"")</f>
        <v>Implementation</v>
      </c>
      <c r="H76" s="85" t="n">
        <f aca="false">IF(ISBLANK($A76),"NO_CODE",VLOOKUP($A76,'UPD Questions_290926 '!$E$1:$N$300,MATCH(H$1,'UPD Questions_290926 '!$E$1:$N$1,0),0))</f>
        <v>10</v>
      </c>
      <c r="I76" s="86" t="str">
        <f aca="false">IF(OR(I77="ER",I78="ER"),"ER",IF(OR(I77="?",I78="?"),"?",IF(AND(I77="NA",I78="NA"),"NA",SUM(I77,I78)/((I77&lt;&gt;"NA")*$H$77+(I78&lt;&gt;"NA")*$H$78)*$H76)))</f>
        <v>?</v>
      </c>
      <c r="J76" s="86" t="str">
        <f aca="false">IF(OR(J77="ER",J78="ER"),"ER",IF(OR(J77="?",J78="?"),"?",IF(AND(J77="NA",J78="NA"),"NA",SUM(J77,J78)/((J77&lt;&gt;"NA")*$H$77+(J78&lt;&gt;"NA")*$H$78)*$H76)))</f>
        <v>?</v>
      </c>
      <c r="K76" s="86" t="str">
        <f aca="false">IF(OR(K77="ER",K78="ER"),"ER",IF(OR(K77="?",K78="?"),"?",IF(AND(K77="NA",K78="NA"),"NA",SUM(K77,K78)/((K77&lt;&gt;"NA")*$H$77+(K78&lt;&gt;"NA")*$H$78)*$H76)))</f>
        <v>?</v>
      </c>
      <c r="L76" s="86" t="str">
        <f aca="false">IF(OR(L77="ER",L78="ER"),"ER",IF(OR(L77="?",L78="?"),"?",IF(AND(L77="NA",L78="NA"),"NA",SUM(L77,L78)/((L77&lt;&gt;"NA")*$H$77+(L78&lt;&gt;"NA")*$H$78)*$H76)))</f>
        <v>?</v>
      </c>
      <c r="M76" s="86" t="str">
        <f aca="false">IF(OR(M77="ER",M78="ER"),"ER",IF(OR(M77="?",M78="?"),"?",IF(AND(M77="NA",M78="NA"),"NA",SUM(M77,M78)/((M77&lt;&gt;"NA")*$H$77+(M78&lt;&gt;"NA")*$H$78)*$H76)))</f>
        <v>?</v>
      </c>
      <c r="N76" s="86" t="str">
        <f aca="false">IF(OR(N77="ER",N78="ER"),"ER",IF(OR(N77="?",N78="?"),"?",IF(AND(N77="NA",N78="NA"),"NA",SUM(N77,N78)/((N77&lt;&gt;"NA")*$H$77+(N78&lt;&gt;"NA")*$H$78)*$H76)))</f>
        <v>?</v>
      </c>
      <c r="O76" s="86" t="str">
        <f aca="false">IF(OR(O77="ER",O78="ER"),"ER",IF(OR(O77="?",O78="?"),"?",IF(AND(O77="NA",O78="NA"),"NA",SUM(O77,O78)/((O77&lt;&gt;"NA")*$H$77+(O78&lt;&gt;"NA")*$H$78)*$H76)))</f>
        <v>?</v>
      </c>
      <c r="P76" s="86" t="str">
        <f aca="false">IF(OR(P77="ER",P78="ER"),"ER",IF(OR(P77="?",P78="?"),"?",IF(AND(P77="NA",P78="NA"),"NA",SUM(P77,P78)/((P77&lt;&gt;"NA")*$H$77+(P78&lt;&gt;"NA")*$H$78)*$H76)))</f>
        <v>?</v>
      </c>
      <c r="Q76" s="86" t="str">
        <f aca="false">IF(OR(Q77="ER",Q78="ER"),"ER",IF(OR(Q77="?",Q78="?"),"?",IF(AND(Q77="NA",Q78="NA"),"NA",SUM(Q77,Q78)/((Q77&lt;&gt;"NA")*$H$77+(Q78&lt;&gt;"NA")*$H$78)*$H76)))</f>
        <v>?</v>
      </c>
      <c r="R76" s="86" t="str">
        <f aca="false">IF(OR(R77="ER",R78="ER"),"ER",IF(OR(R77="?",R78="?"),"?",IF(AND(R77="NA",R78="NA"),"NA",SUM(R77,R78)/((R77&lt;&gt;"NA")*$H$77+(R78&lt;&gt;"NA")*$H$78)*$H76)))</f>
        <v>?</v>
      </c>
      <c r="S76" s="86" t="str">
        <f aca="false">IF(OR(S77="ER",S78="ER"),"ER",IF(OR(S77="?",S78="?"),"?",IF(AND(S77="NA",S78="NA"),"NA",SUM(S77,S78)/((S77&lt;&gt;"NA")*$H$77+(S78&lt;&gt;"NA")*$H$78)*$H76)))</f>
        <v>?</v>
      </c>
      <c r="T76" s="86" t="str">
        <f aca="false">IF(OR(T77="ER",T78="ER"),"ER",IF(OR(T77="?",T78="?"),"?",IF(AND(T77="NA",T78="NA"),"NA",SUM(T77,T78)/((T77&lt;&gt;"NA")*$H$77+(T78&lt;&gt;"NA")*$H$78)*$H76)))</f>
        <v>?</v>
      </c>
      <c r="U76" s="86" t="str">
        <f aca="false">IF(OR(U77="ER",U78="ER"),"ER",IF(OR(U77="?",U78="?"),"?",IF(AND(U77="NA",U78="NA"),"NA",SUM(U77,U78)/((U77&lt;&gt;"NA")*$H$77+(U78&lt;&gt;"NA")*$H$78)*$H76)))</f>
        <v>?</v>
      </c>
      <c r="V76" s="86" t="str">
        <f aca="false">IF(OR(V77="ER",V78="ER"),"ER",IF(OR(V77="?",V78="?"),"?",IF(AND(V77="NA",V78="NA"),"NA",SUM(V77,V78)/((V77&lt;&gt;"NA")*$H$77+(V78&lt;&gt;"NA")*$H$78)*$H76)))</f>
        <v>?</v>
      </c>
      <c r="W76" s="86" t="str">
        <f aca="false">IF(OR(W77="ER",W78="ER"),"ER",IF(OR(W77="?",W78="?"),"?",IF(AND(W77="NA",W78="NA"),"NA",SUM(W77,W78)/((W77&lt;&gt;"NA")*$H$77+(W78&lt;&gt;"NA")*$H$78)*$H76)))</f>
        <v>?</v>
      </c>
      <c r="X76" s="86" t="str">
        <f aca="false">IF(OR(X77="ER",X78="ER"),"ER",IF(OR(X77="?",X78="?"),"?",IF(AND(X77="NA",X78="NA"),"NA",SUM(X77,X78)/((X77&lt;&gt;"NA")*$H$77+(X78&lt;&gt;"NA")*$H$78)*$H76)))</f>
        <v>?</v>
      </c>
      <c r="Y76" s="86" t="str">
        <f aca="false">IF(OR(Y77="ER",Y78="ER"),"ER",IF(OR(Y77="?",Y78="?"),"?",IF(AND(Y77="NA",Y78="NA"),"NA",SUM(Y77,Y78)/((Y77&lt;&gt;"NA")*$H$77+(Y78&lt;&gt;"NA")*$H$78)*$H76)))</f>
        <v>?</v>
      </c>
      <c r="Z76" s="86" t="str">
        <f aca="false">IF(OR(Z77="ER",Z78="ER"),"ER",IF(OR(Z77="?",Z78="?"),"?",IF(AND(Z77="NA",Z78="NA"),"NA",SUM(Z77,Z78)/((Z77&lt;&gt;"NA")*$H$77+(Z78&lt;&gt;"NA")*$H$78)*$H76)))</f>
        <v>?</v>
      </c>
      <c r="AA76" s="86" t="str">
        <f aca="false">IF(OR(AA77="ER",AA78="ER"),"ER",IF(OR(AA77="?",AA78="?"),"?",IF(AND(AA77="NA",AA78="NA"),"NA",SUM(AA77,AA78)/((AA77&lt;&gt;"NA")*$H$77+(AA78&lt;&gt;"NA")*$H$78)*$H76)))</f>
        <v>?</v>
      </c>
      <c r="AB76" s="86" t="str">
        <f aca="false">IF(OR(AB77="ER",AB78="ER"),"ER",IF(OR(AB77="?",AB78="?"),"?",IF(AND(AB77="NA",AB78="NA"),"NA",SUM(AB77,AB78)/((AB77&lt;&gt;"NA")*$H$77+(AB78&lt;&gt;"NA")*$H$78)*$H76)))</f>
        <v>?</v>
      </c>
      <c r="AC76" s="86" t="str">
        <f aca="false">IF(OR(AC77="ER",AC78="ER"),"ER",IF(OR(AC77="?",AC78="?"),"?",IF(AND(AC77="NA",AC78="NA"),"NA",SUM(AC77,AC78)/((AC77&lt;&gt;"NA")*$H$77+(AC78&lt;&gt;"NA")*$H$78)*$H76)))</f>
        <v>?</v>
      </c>
      <c r="AD76" s="86" t="str">
        <f aca="false">IF(OR(AD77="ER",AD78="ER"),"ER",IF(OR(AD77="?",AD78="?"),"?",IF(AND(AD77="NA",AD78="NA"),"NA",SUM(AD77,AD78)/((AD77&lt;&gt;"NA")*$H$77+(AD78&lt;&gt;"NA")*$H$78)*$H76)))</f>
        <v>?</v>
      </c>
      <c r="AE76" s="86" t="str">
        <f aca="false">IF(OR(AE77="ER",AE78="ER"),"ER",IF(OR(AE77="?",AE78="?"),"?",IF(AND(AE77="NA",AE78="NA"),"NA",SUM(AE77,AE78)/((AE77&lt;&gt;"NA")*$H$77+(AE78&lt;&gt;"NA")*$H$78)*$H76)))</f>
        <v>?</v>
      </c>
      <c r="AF76" s="86" t="str">
        <f aca="false">IF(OR(AF77="ER",AF78="ER"),"ER",IF(OR(AF77="?",AF78="?"),"?",IF(AND(AF77="NA",AF78="NA"),"NA",SUM(AF77,AF78)/((AF77&lt;&gt;"NA")*$H$77+(AF78&lt;&gt;"NA")*$H$78)*$H76)))</f>
        <v>?</v>
      </c>
      <c r="AG76" s="86" t="str">
        <f aca="false">IF(OR(AG77="ER",AG78="ER"),"ER",IF(OR(AG77="?",AG78="?"),"?",IF(AND(AG77="NA",AG78="NA"),"NA",SUM(AG77,AG78)/((AG77&lt;&gt;"NA")*$H$77+(AG78&lt;&gt;"NA")*$H$78)*$H76)))</f>
        <v>?</v>
      </c>
      <c r="AH76" s="86" t="str">
        <f aca="false">IF(OR(AH77="ER",AH78="ER"),"ER",IF(OR(AH77="?",AH78="?"),"?",IF(AND(AH77="NA",AH78="NA"),"NA",SUM(AH77,AH78)/((AH77&lt;&gt;"NA")*$H$77+(AH78&lt;&gt;"NA")*$H$78)*$H76)))</f>
        <v>?</v>
      </c>
      <c r="AI76" s="86" t="str">
        <f aca="false">IF(OR(AI77="ER",AI78="ER"),"ER",IF(OR(AI77="?",AI78="?"),"?",IF(AND(AI77="NA",AI78="NA"),"NA",SUM(AI77,AI78)/((AI77&lt;&gt;"NA")*$H$77+(AI78&lt;&gt;"NA")*$H$78)*$H76)))</f>
        <v>?</v>
      </c>
      <c r="AJ76" s="86" t="str">
        <f aca="false">IF(OR(AJ77="ER",AJ78="ER"),"ER",IF(OR(AJ77="?",AJ78="?"),"?",IF(AND(AJ77="NA",AJ78="NA"),"NA",SUM(AJ77,AJ78)/((AJ77&lt;&gt;"NA")*$H$77+(AJ78&lt;&gt;"NA")*$H$78)*$H76)))</f>
        <v>?</v>
      </c>
      <c r="AK76" s="86" t="str">
        <f aca="false">IF(OR(AK77="ER",AK78="ER"),"ER",IF(OR(AK77="?",AK78="?"),"?",IF(AND(AK77="NA",AK78="NA"),"NA",SUM(AK77,AK78)/((AK77&lt;&gt;"NA")*$H$77+(AK78&lt;&gt;"NA")*$H$78)*$H76)))</f>
        <v>?</v>
      </c>
    </row>
    <row r="77" customFormat="false" ht="14.25" hidden="false" customHeight="false" outlineLevel="0" collapsed="false">
      <c r="A77" s="82" t="s">
        <v>234</v>
      </c>
      <c r="B77" s="83" t="str">
        <f aca="false">IF(ISBLANK($A77),"NO_CODE",VLOOKUP($A77,'UPD Questions_290926 '!$E$1:$N$300,MATCH(B$1,'UPD Questions_290926 '!$E$1:$N$1,0),0)&amp;"")</f>
        <v>Implementation</v>
      </c>
      <c r="C77" s="83" t="str">
        <f aca="false">IF(ISBLANK($A77),"NO_CODE",VLOOKUP($A77,'UPD Questions_290926 '!$E$1:$N$300,MATCH(C$1,'UPD Questions_290926 '!$E$1:$N$1,0),0)&amp;"")</f>
        <v>Specialised institutional capacity</v>
      </c>
      <c r="D77" s="83" t="str">
        <f aca="false">IF(ISBLANK($A77),"NO_CODE",VLOOKUP($A77,'UPD Questions_290926 '!$E$1:$N$300,MATCH(D$1,'UPD Questions_290926 '!$E$1:$N$1,0),0)&amp;"")</f>
        <v>Specialised institutional capacity</v>
      </c>
      <c r="E77" s="83" t="str">
        <f aca="false">IF(ISBLANK($A77),"NO_CODE",VLOOKUP($A77,'UPD Questions_290926 '!$E$1:$N$300,MATCH(E$1,'UPD Questions_290926 '!$E$1:$N$1,0),0)&amp;"")</f>
        <v>SQ</v>
      </c>
      <c r="F77" s="83" t="str">
        <f aca="false">IF(ISBLANK($A77),"NO_CODE",VLOOKUP($A77,'UPD Questions_290926 '!$E$1:$N$300,MATCH(F$1,'UPD Questions_290926 '!$E$1:$N$1,0),0)&amp;"")</f>
        <v>Does the city have adequate professional town-planning capacity?</v>
      </c>
      <c r="G77" s="83" t="str">
        <f aca="false">IF(ISBLANK($A77),"NO_CODE",VLOOKUP($A77,'UPD Questions_290926 '!$E$1:$N$300,MATCH(G$1,'UPD Questions_290926 '!$E$1:$N$1,0),0)&amp;"")</f>
        <v>Implementation</v>
      </c>
      <c r="H77" s="85" t="n">
        <f aca="false">IF(ISBLANK($A77),"NO_CODE",VLOOKUP($A77,'UPD Questions_290926 '!$E$1:$N$300,MATCH(H$1,'UPD Questions_290926 '!$E$1:$N$1,0),0))</f>
        <v>5</v>
      </c>
      <c r="I77" s="86" t="str">
        <f aca="true">IF($H77=0,"NA",IF($A77=INDIRECT("'"&amp;$A77&amp;"'!$B$1"),IF(VLOOKUP(I$1,INDIRECT("'"&amp;$A77&amp;"'!$A$12:$Z$41"),MATCH("Points (Auto-generate)",INDIRECT("'"&amp;$A77&amp;"'!$A$12:$Z$12"),0),0)="","?",VLOOKUP(I$1,INDIRECT("'"&amp;$A77&amp;"'!$A$12:$Z$41"),MATCH("Points (Auto-generate)",INDIRECT("'"&amp;$A77&amp;"'!$A$12:$Z$12"),0),0)),"ER"))</f>
        <v>?</v>
      </c>
      <c r="J77" s="86" t="str">
        <f aca="true">IF($H77=0,"NA",IF($A77=INDIRECT("'"&amp;$A77&amp;"'!$B$1"),IF(VLOOKUP(J$1,INDIRECT("'"&amp;$A77&amp;"'!$A$12:$Z$41"),MATCH("Points (Auto-generate)",INDIRECT("'"&amp;$A77&amp;"'!$A$12:$Z$12"),0),0)="","?",VLOOKUP(J$1,INDIRECT("'"&amp;$A77&amp;"'!$A$12:$Z$41"),MATCH("Points (Auto-generate)",INDIRECT("'"&amp;$A77&amp;"'!$A$12:$Z$12"),0),0)),"ER"))</f>
        <v>?</v>
      </c>
      <c r="K77" s="86" t="str">
        <f aca="true">IF($H77=0,"NA",IF($A77=INDIRECT("'"&amp;$A77&amp;"'!$B$1"),IF(VLOOKUP(K$1,INDIRECT("'"&amp;$A77&amp;"'!$A$12:$Z$41"),MATCH("Points (Auto-generate)",INDIRECT("'"&amp;$A77&amp;"'!$A$12:$Z$12"),0),0)="","?",VLOOKUP(K$1,INDIRECT("'"&amp;$A77&amp;"'!$A$12:$Z$41"),MATCH("Points (Auto-generate)",INDIRECT("'"&amp;$A77&amp;"'!$A$12:$Z$12"),0),0)),"ER"))</f>
        <v>?</v>
      </c>
      <c r="L77" s="86" t="str">
        <f aca="true">IF($H77=0,"NA",IF($A77=INDIRECT("'"&amp;$A77&amp;"'!$B$1"),IF(VLOOKUP(L$1,INDIRECT("'"&amp;$A77&amp;"'!$A$12:$Z$41"),MATCH("Points (Auto-generate)",INDIRECT("'"&amp;$A77&amp;"'!$A$12:$Z$12"),0),0)="","?",VLOOKUP(L$1,INDIRECT("'"&amp;$A77&amp;"'!$A$12:$Z$41"),MATCH("Points (Auto-generate)",INDIRECT("'"&amp;$A77&amp;"'!$A$12:$Z$12"),0),0)),"ER"))</f>
        <v>?</v>
      </c>
      <c r="M77" s="86" t="str">
        <f aca="true">IF($H77=0,"NA",IF($A77=INDIRECT("'"&amp;$A77&amp;"'!$B$1"),IF(VLOOKUP(M$1,INDIRECT("'"&amp;$A77&amp;"'!$A$12:$Z$41"),MATCH("Points (Auto-generate)",INDIRECT("'"&amp;$A77&amp;"'!$A$12:$Z$12"),0),0)="","?",VLOOKUP(M$1,INDIRECT("'"&amp;$A77&amp;"'!$A$12:$Z$41"),MATCH("Points (Auto-generate)",INDIRECT("'"&amp;$A77&amp;"'!$A$12:$Z$12"),0),0)),"ER"))</f>
        <v>?</v>
      </c>
      <c r="N77" s="86" t="str">
        <f aca="true">IF($H77=0,"NA",IF($A77=INDIRECT("'"&amp;$A77&amp;"'!$B$1"),IF(VLOOKUP(N$1,INDIRECT("'"&amp;$A77&amp;"'!$A$12:$Z$41"),MATCH("Points (Auto-generate)",INDIRECT("'"&amp;$A77&amp;"'!$A$12:$Z$12"),0),0)="","?",VLOOKUP(N$1,INDIRECT("'"&amp;$A77&amp;"'!$A$12:$Z$41"),MATCH("Points (Auto-generate)",INDIRECT("'"&amp;$A77&amp;"'!$A$12:$Z$12"),0),0)),"ER"))</f>
        <v>?</v>
      </c>
      <c r="O77" s="86" t="str">
        <f aca="true">IF($H77=0,"NA",IF($A77=INDIRECT("'"&amp;$A77&amp;"'!$B$1"),IF(VLOOKUP(O$1,INDIRECT("'"&amp;$A77&amp;"'!$A$12:$Z$41"),MATCH("Points (Auto-generate)",INDIRECT("'"&amp;$A77&amp;"'!$A$12:$Z$12"),0),0)="","?",VLOOKUP(O$1,INDIRECT("'"&amp;$A77&amp;"'!$A$12:$Z$41"),MATCH("Points (Auto-generate)",INDIRECT("'"&amp;$A77&amp;"'!$A$12:$Z$12"),0),0)),"ER"))</f>
        <v>?</v>
      </c>
      <c r="P77" s="86" t="str">
        <f aca="true">IF($H77=0,"NA",IF($A77=INDIRECT("'"&amp;$A77&amp;"'!$B$1"),IF(VLOOKUP(P$1,INDIRECT("'"&amp;$A77&amp;"'!$A$12:$Z$41"),MATCH("Points (Auto-generate)",INDIRECT("'"&amp;$A77&amp;"'!$A$12:$Z$12"),0),0)="","?",VLOOKUP(P$1,INDIRECT("'"&amp;$A77&amp;"'!$A$12:$Z$41"),MATCH("Points (Auto-generate)",INDIRECT("'"&amp;$A77&amp;"'!$A$12:$Z$12"),0),0)),"ER"))</f>
        <v>?</v>
      </c>
      <c r="Q77" s="86" t="str">
        <f aca="true">IF($H77=0,"NA",IF($A77=INDIRECT("'"&amp;$A77&amp;"'!$B$1"),IF(VLOOKUP(Q$1,INDIRECT("'"&amp;$A77&amp;"'!$A$12:$Z$41"),MATCH("Points (Auto-generate)",INDIRECT("'"&amp;$A77&amp;"'!$A$12:$Z$12"),0),0)="","?",VLOOKUP(Q$1,INDIRECT("'"&amp;$A77&amp;"'!$A$12:$Z$41"),MATCH("Points (Auto-generate)",INDIRECT("'"&amp;$A77&amp;"'!$A$12:$Z$12"),0),0)),"ER"))</f>
        <v>?</v>
      </c>
      <c r="R77" s="86" t="str">
        <f aca="true">IF($H77=0,"NA",IF($A77=INDIRECT("'"&amp;$A77&amp;"'!$B$1"),IF(VLOOKUP(R$1,INDIRECT("'"&amp;$A77&amp;"'!$A$12:$Z$41"),MATCH("Points (Auto-generate)",INDIRECT("'"&amp;$A77&amp;"'!$A$12:$Z$12"),0),0)="","?",VLOOKUP(R$1,INDIRECT("'"&amp;$A77&amp;"'!$A$12:$Z$41"),MATCH("Points (Auto-generate)",INDIRECT("'"&amp;$A77&amp;"'!$A$12:$Z$12"),0),0)),"ER"))</f>
        <v>?</v>
      </c>
      <c r="S77" s="86" t="str">
        <f aca="true">IF($H77=0,"NA",IF($A77=INDIRECT("'"&amp;$A77&amp;"'!$B$1"),IF(VLOOKUP(S$1,INDIRECT("'"&amp;$A77&amp;"'!$A$12:$Z$41"),MATCH("Points (Auto-generate)",INDIRECT("'"&amp;$A77&amp;"'!$A$12:$Z$12"),0),0)="","?",VLOOKUP(S$1,INDIRECT("'"&amp;$A77&amp;"'!$A$12:$Z$41"),MATCH("Points (Auto-generate)",INDIRECT("'"&amp;$A77&amp;"'!$A$12:$Z$12"),0),0)),"ER"))</f>
        <v>?</v>
      </c>
      <c r="T77" s="86" t="str">
        <f aca="true">IF($H77=0,"NA",IF($A77=INDIRECT("'"&amp;$A77&amp;"'!$B$1"),IF(VLOOKUP(T$1,INDIRECT("'"&amp;$A77&amp;"'!$A$12:$Z$41"),MATCH("Points (Auto-generate)",INDIRECT("'"&amp;$A77&amp;"'!$A$12:$Z$12"),0),0)="","?",VLOOKUP(T$1,INDIRECT("'"&amp;$A77&amp;"'!$A$12:$Z$41"),MATCH("Points (Auto-generate)",INDIRECT("'"&amp;$A77&amp;"'!$A$12:$Z$12"),0),0)),"ER"))</f>
        <v>?</v>
      </c>
      <c r="U77" s="86" t="str">
        <f aca="true">IF($H77=0,"NA",IF($A77=INDIRECT("'"&amp;$A77&amp;"'!$B$1"),IF(VLOOKUP(U$1,INDIRECT("'"&amp;$A77&amp;"'!$A$12:$Z$41"),MATCH("Points (Auto-generate)",INDIRECT("'"&amp;$A77&amp;"'!$A$12:$Z$12"),0),0)="","?",VLOOKUP(U$1,INDIRECT("'"&amp;$A77&amp;"'!$A$12:$Z$41"),MATCH("Points (Auto-generate)",INDIRECT("'"&amp;$A77&amp;"'!$A$12:$Z$12"),0),0)),"ER"))</f>
        <v>?</v>
      </c>
      <c r="V77" s="86" t="str">
        <f aca="true">IF($H77=0,"NA",IF($A77=INDIRECT("'"&amp;$A77&amp;"'!$B$1"),IF(VLOOKUP(V$1,INDIRECT("'"&amp;$A77&amp;"'!$A$12:$Z$41"),MATCH("Points (Auto-generate)",INDIRECT("'"&amp;$A77&amp;"'!$A$12:$Z$12"),0),0)="","?",VLOOKUP(V$1,INDIRECT("'"&amp;$A77&amp;"'!$A$12:$Z$41"),MATCH("Points (Auto-generate)",INDIRECT("'"&amp;$A77&amp;"'!$A$12:$Z$12"),0),0)),"ER"))</f>
        <v>?</v>
      </c>
      <c r="W77" s="86" t="str">
        <f aca="true">IF($H77=0,"NA",IF($A77=INDIRECT("'"&amp;$A77&amp;"'!$B$1"),IF(VLOOKUP(W$1,INDIRECT("'"&amp;$A77&amp;"'!$A$12:$Z$41"),MATCH("Points (Auto-generate)",INDIRECT("'"&amp;$A77&amp;"'!$A$12:$Z$12"),0),0)="","?",VLOOKUP(W$1,INDIRECT("'"&amp;$A77&amp;"'!$A$12:$Z$41"),MATCH("Points (Auto-generate)",INDIRECT("'"&amp;$A77&amp;"'!$A$12:$Z$12"),0),0)),"ER"))</f>
        <v>?</v>
      </c>
      <c r="X77" s="86" t="str">
        <f aca="true">IF($H77=0,"NA",IF($A77=INDIRECT("'"&amp;$A77&amp;"'!$B$1"),IF(VLOOKUP(X$1,INDIRECT("'"&amp;$A77&amp;"'!$A$12:$Z$41"),MATCH("Points (Auto-generate)",INDIRECT("'"&amp;$A77&amp;"'!$A$12:$Z$12"),0),0)="","?",VLOOKUP(X$1,INDIRECT("'"&amp;$A77&amp;"'!$A$12:$Z$41"),MATCH("Points (Auto-generate)",INDIRECT("'"&amp;$A77&amp;"'!$A$12:$Z$12"),0),0)),"ER"))</f>
        <v>?</v>
      </c>
      <c r="Y77" s="86" t="str">
        <f aca="true">IF($H77=0,"NA",IF($A77=INDIRECT("'"&amp;$A77&amp;"'!$B$1"),IF(VLOOKUP(Y$1,INDIRECT("'"&amp;$A77&amp;"'!$A$12:$Z$41"),MATCH("Points (Auto-generate)",INDIRECT("'"&amp;$A77&amp;"'!$A$12:$Z$12"),0),0)="","?",VLOOKUP(Y$1,INDIRECT("'"&amp;$A77&amp;"'!$A$12:$Z$41"),MATCH("Points (Auto-generate)",INDIRECT("'"&amp;$A77&amp;"'!$A$12:$Z$12"),0),0)),"ER"))</f>
        <v>?</v>
      </c>
      <c r="Z77" s="86" t="str">
        <f aca="true">IF($H77=0,"NA",IF($A77=INDIRECT("'"&amp;$A77&amp;"'!$B$1"),IF(VLOOKUP(Z$1,INDIRECT("'"&amp;$A77&amp;"'!$A$12:$Z$41"),MATCH("Points (Auto-generate)",INDIRECT("'"&amp;$A77&amp;"'!$A$12:$Z$12"),0),0)="","?",VLOOKUP(Z$1,INDIRECT("'"&amp;$A77&amp;"'!$A$12:$Z$41"),MATCH("Points (Auto-generate)",INDIRECT("'"&amp;$A77&amp;"'!$A$12:$Z$12"),0),0)),"ER"))</f>
        <v>?</v>
      </c>
      <c r="AA77" s="86" t="str">
        <f aca="true">IF($H77=0,"NA",IF($A77=INDIRECT("'"&amp;$A77&amp;"'!$B$1"),IF(VLOOKUP(AA$1,INDIRECT("'"&amp;$A77&amp;"'!$A$12:$Z$41"),MATCH("Points (Auto-generate)",INDIRECT("'"&amp;$A77&amp;"'!$A$12:$Z$12"),0),0)="","?",VLOOKUP(AA$1,INDIRECT("'"&amp;$A77&amp;"'!$A$12:$Z$41"),MATCH("Points (Auto-generate)",INDIRECT("'"&amp;$A77&amp;"'!$A$12:$Z$12"),0),0)),"ER"))</f>
        <v>?</v>
      </c>
      <c r="AB77" s="86" t="str">
        <f aca="true">IF($H77=0,"NA",IF($A77=INDIRECT("'"&amp;$A77&amp;"'!$B$1"),IF(VLOOKUP(AB$1,INDIRECT("'"&amp;$A77&amp;"'!$A$12:$Z$41"),MATCH("Points (Auto-generate)",INDIRECT("'"&amp;$A77&amp;"'!$A$12:$Z$12"),0),0)="","?",VLOOKUP(AB$1,INDIRECT("'"&amp;$A77&amp;"'!$A$12:$Z$41"),MATCH("Points (Auto-generate)",INDIRECT("'"&amp;$A77&amp;"'!$A$12:$Z$12"),0),0)),"ER"))</f>
        <v>?</v>
      </c>
      <c r="AC77" s="86" t="str">
        <f aca="true">IF($H77=0,"NA",IF($A77=INDIRECT("'"&amp;$A77&amp;"'!$B$1"),IF(VLOOKUP(AC$1,INDIRECT("'"&amp;$A77&amp;"'!$A$12:$Z$41"),MATCH("Points (Auto-generate)",INDIRECT("'"&amp;$A77&amp;"'!$A$12:$Z$12"),0),0)="","?",VLOOKUP(AC$1,INDIRECT("'"&amp;$A77&amp;"'!$A$12:$Z$41"),MATCH("Points (Auto-generate)",INDIRECT("'"&amp;$A77&amp;"'!$A$12:$Z$12"),0),0)),"ER"))</f>
        <v>?</v>
      </c>
      <c r="AD77" s="86" t="str">
        <f aca="true">IF($H77=0,"NA",IF($A77=INDIRECT("'"&amp;$A77&amp;"'!$B$1"),IF(VLOOKUP(AD$1,INDIRECT("'"&amp;$A77&amp;"'!$A$12:$Z$41"),MATCH("Points (Auto-generate)",INDIRECT("'"&amp;$A77&amp;"'!$A$12:$Z$12"),0),0)="","?",VLOOKUP(AD$1,INDIRECT("'"&amp;$A77&amp;"'!$A$12:$Z$41"),MATCH("Points (Auto-generate)",INDIRECT("'"&amp;$A77&amp;"'!$A$12:$Z$12"),0),0)),"ER"))</f>
        <v>?</v>
      </c>
      <c r="AE77" s="86" t="str">
        <f aca="true">IF($H77=0,"NA",IF($A77=INDIRECT("'"&amp;$A77&amp;"'!$B$1"),IF(VLOOKUP(AE$1,INDIRECT("'"&amp;$A77&amp;"'!$A$12:$Z$41"),MATCH("Points (Auto-generate)",INDIRECT("'"&amp;$A77&amp;"'!$A$12:$Z$12"),0),0)="","?",VLOOKUP(AE$1,INDIRECT("'"&amp;$A77&amp;"'!$A$12:$Z$41"),MATCH("Points (Auto-generate)",INDIRECT("'"&amp;$A77&amp;"'!$A$12:$Z$12"),0),0)),"ER"))</f>
        <v>?</v>
      </c>
      <c r="AF77" s="86" t="str">
        <f aca="true">IF($H77=0,"NA",IF($A77=INDIRECT("'"&amp;$A77&amp;"'!$B$1"),IF(VLOOKUP(AF$1,INDIRECT("'"&amp;$A77&amp;"'!$A$12:$Z$41"),MATCH("Points (Auto-generate)",INDIRECT("'"&amp;$A77&amp;"'!$A$12:$Z$12"),0),0)="","?",VLOOKUP(AF$1,INDIRECT("'"&amp;$A77&amp;"'!$A$12:$Z$41"),MATCH("Points (Auto-generate)",INDIRECT("'"&amp;$A77&amp;"'!$A$12:$Z$12"),0),0)),"ER"))</f>
        <v>?</v>
      </c>
      <c r="AG77" s="86" t="str">
        <f aca="true">IF($H77=0,"NA",IF($A77=INDIRECT("'"&amp;$A77&amp;"'!$B$1"),IF(VLOOKUP(AG$1,INDIRECT("'"&amp;$A77&amp;"'!$A$12:$Z$41"),MATCH("Points (Auto-generate)",INDIRECT("'"&amp;$A77&amp;"'!$A$12:$Z$12"),0),0)="","?",VLOOKUP(AG$1,INDIRECT("'"&amp;$A77&amp;"'!$A$12:$Z$41"),MATCH("Points (Auto-generate)",INDIRECT("'"&amp;$A77&amp;"'!$A$12:$Z$12"),0),0)),"ER"))</f>
        <v>?</v>
      </c>
      <c r="AH77" s="86" t="str">
        <f aca="true">IF($H77=0,"NA",IF($A77=INDIRECT("'"&amp;$A77&amp;"'!$B$1"),IF(VLOOKUP(AH$1,INDIRECT("'"&amp;$A77&amp;"'!$A$12:$Z$41"),MATCH("Points (Auto-generate)",INDIRECT("'"&amp;$A77&amp;"'!$A$12:$Z$12"),0),0)="","?",VLOOKUP(AH$1,INDIRECT("'"&amp;$A77&amp;"'!$A$12:$Z$41"),MATCH("Points (Auto-generate)",INDIRECT("'"&amp;$A77&amp;"'!$A$12:$Z$12"),0),0)),"ER"))</f>
        <v>?</v>
      </c>
      <c r="AI77" s="86" t="str">
        <f aca="true">IF($H77=0,"NA",IF($A77=INDIRECT("'"&amp;$A77&amp;"'!$B$1"),IF(VLOOKUP(AI$1,INDIRECT("'"&amp;$A77&amp;"'!$A$12:$Z$41"),MATCH("Points (Auto-generate)",INDIRECT("'"&amp;$A77&amp;"'!$A$12:$Z$12"),0),0)="","?",VLOOKUP(AI$1,INDIRECT("'"&amp;$A77&amp;"'!$A$12:$Z$41"),MATCH("Points (Auto-generate)",INDIRECT("'"&amp;$A77&amp;"'!$A$12:$Z$12"),0),0)),"ER"))</f>
        <v>?</v>
      </c>
      <c r="AJ77" s="86" t="str">
        <f aca="true">IF($H77=0,"NA",IF($A77=INDIRECT("'"&amp;$A77&amp;"'!$B$1"),IF(VLOOKUP(AJ$1,INDIRECT("'"&amp;$A77&amp;"'!$A$12:$Z$41"),MATCH("Points (Auto-generate)",INDIRECT("'"&amp;$A77&amp;"'!$A$12:$Z$12"),0),0)="","?",VLOOKUP(AJ$1,INDIRECT("'"&amp;$A77&amp;"'!$A$12:$Z$41"),MATCH("Points (Auto-generate)",INDIRECT("'"&amp;$A77&amp;"'!$A$12:$Z$12"),0),0)),"ER"))</f>
        <v>?</v>
      </c>
      <c r="AK77" s="86" t="str">
        <f aca="true">IF($H77=0,"NA",IF($A77=INDIRECT("'"&amp;$A77&amp;"'!$B$1"),IF(VLOOKUP(AK$1,INDIRECT("'"&amp;$A77&amp;"'!$A$12:$Z$41"),MATCH("Points (Auto-generate)",INDIRECT("'"&amp;$A77&amp;"'!$A$12:$Z$12"),0),0)="","?",VLOOKUP(AK$1,INDIRECT("'"&amp;$A77&amp;"'!$A$12:$Z$41"),MATCH("Points (Auto-generate)",INDIRECT("'"&amp;$A77&amp;"'!$A$12:$Z$12"),0),0)),"ER"))</f>
        <v>?</v>
      </c>
    </row>
    <row r="78" customFormat="false" ht="14.25" hidden="false" customHeight="false" outlineLevel="0" collapsed="false">
      <c r="A78" s="82" t="s">
        <v>237</v>
      </c>
      <c r="B78" s="83" t="str">
        <f aca="false">IF(ISBLANK($A78),"NO_CODE",VLOOKUP($A78,'UPD Questions_290926 '!$E$1:$N$300,MATCH(B$1,'UPD Questions_290926 '!$E$1:$N$1,0),0)&amp;"")</f>
        <v>Implementation</v>
      </c>
      <c r="C78" s="83" t="str">
        <f aca="false">IF(ISBLANK($A78),"NO_CODE",VLOOKUP($A78,'UPD Questions_290926 '!$E$1:$N$300,MATCH(C$1,'UPD Questions_290926 '!$E$1:$N$1,0),0)&amp;"")</f>
        <v>Specialised institutional capacity</v>
      </c>
      <c r="D78" s="83" t="str">
        <f aca="false">IF(ISBLANK($A78),"NO_CODE",VLOOKUP($A78,'UPD Questions_290926 '!$E$1:$N$300,MATCH(D$1,'UPD Questions_290926 '!$E$1:$N$1,0),0)&amp;"")</f>
        <v>Specialised institutional capacity</v>
      </c>
      <c r="E78" s="83" t="str">
        <f aca="false">IF(ISBLANK($A78),"NO_CODE",VLOOKUP($A78,'UPD Questions_290926 '!$E$1:$N$300,MATCH(E$1,'UPD Questions_290926 '!$E$1:$N$1,0),0)&amp;"")</f>
        <v>SQ</v>
      </c>
      <c r="F78" s="83" t="str">
        <f aca="false">IF(ISBLANK($A78),"NO_CODE",VLOOKUP($A78,'UPD Questions_290926 '!$E$1:$N$300,MATCH(F$1,'UPD Questions_290926 '!$E$1:$N$1,0),0)&amp;"")</f>
        <v>What proportion of the city's professional town-planning workforce is women?</v>
      </c>
      <c r="G78" s="83" t="str">
        <f aca="false">IF(ISBLANK($A78),"NO_CODE",VLOOKUP($A78,'UPD Questions_290926 '!$E$1:$N$300,MATCH(G$1,'UPD Questions_290926 '!$E$1:$N$1,0),0)&amp;"")</f>
        <v>Implementation</v>
      </c>
      <c r="H78" s="85" t="n">
        <f aca="false">IF(ISBLANK($A78),"NO_CODE",VLOOKUP($A78,'UPD Questions_290926 '!$E$1:$N$300,MATCH(H$1,'UPD Questions_290926 '!$E$1:$N$1,0),0))</f>
        <v>5</v>
      </c>
      <c r="I78" s="86" t="str">
        <f aca="true">IF($H78=0,"NA",IF($A78=INDIRECT("'"&amp;$A78&amp;"'!$B$1"),IF(VLOOKUP(I$1,INDIRECT("'"&amp;$A78&amp;"'!$A$12:$Z$41"),MATCH("Points (Auto-generate)",INDIRECT("'"&amp;$A78&amp;"'!$A$12:$Z$12"),0),0)="","?",VLOOKUP(I$1,INDIRECT("'"&amp;$A78&amp;"'!$A$12:$Z$41"),MATCH("Points (Auto-generate)",INDIRECT("'"&amp;$A78&amp;"'!$A$12:$Z$12"),0),0)),"ER"))</f>
        <v>?</v>
      </c>
      <c r="J78" s="86" t="str">
        <f aca="true">IF($H78=0,"NA",IF($A78=INDIRECT("'"&amp;$A78&amp;"'!$B$1"),IF(VLOOKUP(J$1,INDIRECT("'"&amp;$A78&amp;"'!$A$12:$Z$41"),MATCH("Points (Auto-generate)",INDIRECT("'"&amp;$A78&amp;"'!$A$12:$Z$12"),0),0)="","?",VLOOKUP(J$1,INDIRECT("'"&amp;$A78&amp;"'!$A$12:$Z$41"),MATCH("Points (Auto-generate)",INDIRECT("'"&amp;$A78&amp;"'!$A$12:$Z$12"),0),0)),"ER"))</f>
        <v>?</v>
      </c>
      <c r="K78" s="86" t="str">
        <f aca="true">IF($H78=0,"NA",IF($A78=INDIRECT("'"&amp;$A78&amp;"'!$B$1"),IF(VLOOKUP(K$1,INDIRECT("'"&amp;$A78&amp;"'!$A$12:$Z$41"),MATCH("Points (Auto-generate)",INDIRECT("'"&amp;$A78&amp;"'!$A$12:$Z$12"),0),0)="","?",VLOOKUP(K$1,INDIRECT("'"&amp;$A78&amp;"'!$A$12:$Z$41"),MATCH("Points (Auto-generate)",INDIRECT("'"&amp;$A78&amp;"'!$A$12:$Z$12"),0),0)),"ER"))</f>
        <v>?</v>
      </c>
      <c r="L78" s="86" t="str">
        <f aca="true">IF($H78=0,"NA",IF($A78=INDIRECT("'"&amp;$A78&amp;"'!$B$1"),IF(VLOOKUP(L$1,INDIRECT("'"&amp;$A78&amp;"'!$A$12:$Z$41"),MATCH("Points (Auto-generate)",INDIRECT("'"&amp;$A78&amp;"'!$A$12:$Z$12"),0),0)="","?",VLOOKUP(L$1,INDIRECT("'"&amp;$A78&amp;"'!$A$12:$Z$41"),MATCH("Points (Auto-generate)",INDIRECT("'"&amp;$A78&amp;"'!$A$12:$Z$12"),0),0)),"ER"))</f>
        <v>?</v>
      </c>
      <c r="M78" s="86" t="str">
        <f aca="true">IF($H78=0,"NA",IF($A78=INDIRECT("'"&amp;$A78&amp;"'!$B$1"),IF(VLOOKUP(M$1,INDIRECT("'"&amp;$A78&amp;"'!$A$12:$Z$41"),MATCH("Points (Auto-generate)",INDIRECT("'"&amp;$A78&amp;"'!$A$12:$Z$12"),0),0)="","?",VLOOKUP(M$1,INDIRECT("'"&amp;$A78&amp;"'!$A$12:$Z$41"),MATCH("Points (Auto-generate)",INDIRECT("'"&amp;$A78&amp;"'!$A$12:$Z$12"),0),0)),"ER"))</f>
        <v>?</v>
      </c>
      <c r="N78" s="86" t="str">
        <f aca="true">IF($H78=0,"NA",IF($A78=INDIRECT("'"&amp;$A78&amp;"'!$B$1"),IF(VLOOKUP(N$1,INDIRECT("'"&amp;$A78&amp;"'!$A$12:$Z$41"),MATCH("Points (Auto-generate)",INDIRECT("'"&amp;$A78&amp;"'!$A$12:$Z$12"),0),0)="","?",VLOOKUP(N$1,INDIRECT("'"&amp;$A78&amp;"'!$A$12:$Z$41"),MATCH("Points (Auto-generate)",INDIRECT("'"&amp;$A78&amp;"'!$A$12:$Z$12"),0),0)),"ER"))</f>
        <v>?</v>
      </c>
      <c r="O78" s="86" t="str">
        <f aca="true">IF($H78=0,"NA",IF($A78=INDIRECT("'"&amp;$A78&amp;"'!$B$1"),IF(VLOOKUP(O$1,INDIRECT("'"&amp;$A78&amp;"'!$A$12:$Z$41"),MATCH("Points (Auto-generate)",INDIRECT("'"&amp;$A78&amp;"'!$A$12:$Z$12"),0),0)="","?",VLOOKUP(O$1,INDIRECT("'"&amp;$A78&amp;"'!$A$12:$Z$41"),MATCH("Points (Auto-generate)",INDIRECT("'"&amp;$A78&amp;"'!$A$12:$Z$12"),0),0)),"ER"))</f>
        <v>?</v>
      </c>
      <c r="P78" s="86" t="str">
        <f aca="true">IF($H78=0,"NA",IF($A78=INDIRECT("'"&amp;$A78&amp;"'!$B$1"),IF(VLOOKUP(P$1,INDIRECT("'"&amp;$A78&amp;"'!$A$12:$Z$41"),MATCH("Points (Auto-generate)",INDIRECT("'"&amp;$A78&amp;"'!$A$12:$Z$12"),0),0)="","?",VLOOKUP(P$1,INDIRECT("'"&amp;$A78&amp;"'!$A$12:$Z$41"),MATCH("Points (Auto-generate)",INDIRECT("'"&amp;$A78&amp;"'!$A$12:$Z$12"),0),0)),"ER"))</f>
        <v>?</v>
      </c>
      <c r="Q78" s="86" t="str">
        <f aca="true">IF($H78=0,"NA",IF($A78=INDIRECT("'"&amp;$A78&amp;"'!$B$1"),IF(VLOOKUP(Q$1,INDIRECT("'"&amp;$A78&amp;"'!$A$12:$Z$41"),MATCH("Points (Auto-generate)",INDIRECT("'"&amp;$A78&amp;"'!$A$12:$Z$12"),0),0)="","?",VLOOKUP(Q$1,INDIRECT("'"&amp;$A78&amp;"'!$A$12:$Z$41"),MATCH("Points (Auto-generate)",INDIRECT("'"&amp;$A78&amp;"'!$A$12:$Z$12"),0),0)),"ER"))</f>
        <v>?</v>
      </c>
      <c r="R78" s="86" t="str">
        <f aca="true">IF($H78=0,"NA",IF($A78=INDIRECT("'"&amp;$A78&amp;"'!$B$1"),IF(VLOOKUP(R$1,INDIRECT("'"&amp;$A78&amp;"'!$A$12:$Z$41"),MATCH("Points (Auto-generate)",INDIRECT("'"&amp;$A78&amp;"'!$A$12:$Z$12"),0),0)="","?",VLOOKUP(R$1,INDIRECT("'"&amp;$A78&amp;"'!$A$12:$Z$41"),MATCH("Points (Auto-generate)",INDIRECT("'"&amp;$A78&amp;"'!$A$12:$Z$12"),0),0)),"ER"))</f>
        <v>?</v>
      </c>
      <c r="S78" s="86" t="str">
        <f aca="true">IF($H78=0,"NA",IF($A78=INDIRECT("'"&amp;$A78&amp;"'!$B$1"),IF(VLOOKUP(S$1,INDIRECT("'"&amp;$A78&amp;"'!$A$12:$Z$41"),MATCH("Points (Auto-generate)",INDIRECT("'"&amp;$A78&amp;"'!$A$12:$Z$12"),0),0)="","?",VLOOKUP(S$1,INDIRECT("'"&amp;$A78&amp;"'!$A$12:$Z$41"),MATCH("Points (Auto-generate)",INDIRECT("'"&amp;$A78&amp;"'!$A$12:$Z$12"),0),0)),"ER"))</f>
        <v>?</v>
      </c>
      <c r="T78" s="86" t="str">
        <f aca="true">IF($H78=0,"NA",IF($A78=INDIRECT("'"&amp;$A78&amp;"'!$B$1"),IF(VLOOKUP(T$1,INDIRECT("'"&amp;$A78&amp;"'!$A$12:$Z$41"),MATCH("Points (Auto-generate)",INDIRECT("'"&amp;$A78&amp;"'!$A$12:$Z$12"),0),0)="","?",VLOOKUP(T$1,INDIRECT("'"&amp;$A78&amp;"'!$A$12:$Z$41"),MATCH("Points (Auto-generate)",INDIRECT("'"&amp;$A78&amp;"'!$A$12:$Z$12"),0),0)),"ER"))</f>
        <v>?</v>
      </c>
      <c r="U78" s="86" t="str">
        <f aca="true">IF($H78=0,"NA",IF($A78=INDIRECT("'"&amp;$A78&amp;"'!$B$1"),IF(VLOOKUP(U$1,INDIRECT("'"&amp;$A78&amp;"'!$A$12:$Z$41"),MATCH("Points (Auto-generate)",INDIRECT("'"&amp;$A78&amp;"'!$A$12:$Z$12"),0),0)="","?",VLOOKUP(U$1,INDIRECT("'"&amp;$A78&amp;"'!$A$12:$Z$41"),MATCH("Points (Auto-generate)",INDIRECT("'"&amp;$A78&amp;"'!$A$12:$Z$12"),0),0)),"ER"))</f>
        <v>?</v>
      </c>
      <c r="V78" s="86" t="str">
        <f aca="true">IF($H78=0,"NA",IF($A78=INDIRECT("'"&amp;$A78&amp;"'!$B$1"),IF(VLOOKUP(V$1,INDIRECT("'"&amp;$A78&amp;"'!$A$12:$Z$41"),MATCH("Points (Auto-generate)",INDIRECT("'"&amp;$A78&amp;"'!$A$12:$Z$12"),0),0)="","?",VLOOKUP(V$1,INDIRECT("'"&amp;$A78&amp;"'!$A$12:$Z$41"),MATCH("Points (Auto-generate)",INDIRECT("'"&amp;$A78&amp;"'!$A$12:$Z$12"),0),0)),"ER"))</f>
        <v>?</v>
      </c>
      <c r="W78" s="86" t="str">
        <f aca="true">IF($H78=0,"NA",IF($A78=INDIRECT("'"&amp;$A78&amp;"'!$B$1"),IF(VLOOKUP(W$1,INDIRECT("'"&amp;$A78&amp;"'!$A$12:$Z$41"),MATCH("Points (Auto-generate)",INDIRECT("'"&amp;$A78&amp;"'!$A$12:$Z$12"),0),0)="","?",VLOOKUP(W$1,INDIRECT("'"&amp;$A78&amp;"'!$A$12:$Z$41"),MATCH("Points (Auto-generate)",INDIRECT("'"&amp;$A78&amp;"'!$A$12:$Z$12"),0),0)),"ER"))</f>
        <v>?</v>
      </c>
      <c r="X78" s="86" t="str">
        <f aca="true">IF($H78=0,"NA",IF($A78=INDIRECT("'"&amp;$A78&amp;"'!$B$1"),IF(VLOOKUP(X$1,INDIRECT("'"&amp;$A78&amp;"'!$A$12:$Z$41"),MATCH("Points (Auto-generate)",INDIRECT("'"&amp;$A78&amp;"'!$A$12:$Z$12"),0),0)="","?",VLOOKUP(X$1,INDIRECT("'"&amp;$A78&amp;"'!$A$12:$Z$41"),MATCH("Points (Auto-generate)",INDIRECT("'"&amp;$A78&amp;"'!$A$12:$Z$12"),0),0)),"ER"))</f>
        <v>?</v>
      </c>
      <c r="Y78" s="86" t="str">
        <f aca="true">IF($H78=0,"NA",IF($A78=INDIRECT("'"&amp;$A78&amp;"'!$B$1"),IF(VLOOKUP(Y$1,INDIRECT("'"&amp;$A78&amp;"'!$A$12:$Z$41"),MATCH("Points (Auto-generate)",INDIRECT("'"&amp;$A78&amp;"'!$A$12:$Z$12"),0),0)="","?",VLOOKUP(Y$1,INDIRECT("'"&amp;$A78&amp;"'!$A$12:$Z$41"),MATCH("Points (Auto-generate)",INDIRECT("'"&amp;$A78&amp;"'!$A$12:$Z$12"),0),0)),"ER"))</f>
        <v>?</v>
      </c>
      <c r="Z78" s="86" t="str">
        <f aca="true">IF($H78=0,"NA",IF($A78=INDIRECT("'"&amp;$A78&amp;"'!$B$1"),IF(VLOOKUP(Z$1,INDIRECT("'"&amp;$A78&amp;"'!$A$12:$Z$41"),MATCH("Points (Auto-generate)",INDIRECT("'"&amp;$A78&amp;"'!$A$12:$Z$12"),0),0)="","?",VLOOKUP(Z$1,INDIRECT("'"&amp;$A78&amp;"'!$A$12:$Z$41"),MATCH("Points (Auto-generate)",INDIRECT("'"&amp;$A78&amp;"'!$A$12:$Z$12"),0),0)),"ER"))</f>
        <v>?</v>
      </c>
      <c r="AA78" s="86" t="str">
        <f aca="true">IF($H78=0,"NA",IF($A78=INDIRECT("'"&amp;$A78&amp;"'!$B$1"),IF(VLOOKUP(AA$1,INDIRECT("'"&amp;$A78&amp;"'!$A$12:$Z$41"),MATCH("Points (Auto-generate)",INDIRECT("'"&amp;$A78&amp;"'!$A$12:$Z$12"),0),0)="","?",VLOOKUP(AA$1,INDIRECT("'"&amp;$A78&amp;"'!$A$12:$Z$41"),MATCH("Points (Auto-generate)",INDIRECT("'"&amp;$A78&amp;"'!$A$12:$Z$12"),0),0)),"ER"))</f>
        <v>?</v>
      </c>
      <c r="AB78" s="86" t="str">
        <f aca="true">IF($H78=0,"NA",IF($A78=INDIRECT("'"&amp;$A78&amp;"'!$B$1"),IF(VLOOKUP(AB$1,INDIRECT("'"&amp;$A78&amp;"'!$A$12:$Z$41"),MATCH("Points (Auto-generate)",INDIRECT("'"&amp;$A78&amp;"'!$A$12:$Z$12"),0),0)="","?",VLOOKUP(AB$1,INDIRECT("'"&amp;$A78&amp;"'!$A$12:$Z$41"),MATCH("Points (Auto-generate)",INDIRECT("'"&amp;$A78&amp;"'!$A$12:$Z$12"),0),0)),"ER"))</f>
        <v>?</v>
      </c>
      <c r="AC78" s="86" t="str">
        <f aca="true">IF($H78=0,"NA",IF($A78=INDIRECT("'"&amp;$A78&amp;"'!$B$1"),IF(VLOOKUP(AC$1,INDIRECT("'"&amp;$A78&amp;"'!$A$12:$Z$41"),MATCH("Points (Auto-generate)",INDIRECT("'"&amp;$A78&amp;"'!$A$12:$Z$12"),0),0)="","?",VLOOKUP(AC$1,INDIRECT("'"&amp;$A78&amp;"'!$A$12:$Z$41"),MATCH("Points (Auto-generate)",INDIRECT("'"&amp;$A78&amp;"'!$A$12:$Z$12"),0),0)),"ER"))</f>
        <v>?</v>
      </c>
      <c r="AD78" s="86" t="str">
        <f aca="true">IF($H78=0,"NA",IF($A78=INDIRECT("'"&amp;$A78&amp;"'!$B$1"),IF(VLOOKUP(AD$1,INDIRECT("'"&amp;$A78&amp;"'!$A$12:$Z$41"),MATCH("Points (Auto-generate)",INDIRECT("'"&amp;$A78&amp;"'!$A$12:$Z$12"),0),0)="","?",VLOOKUP(AD$1,INDIRECT("'"&amp;$A78&amp;"'!$A$12:$Z$41"),MATCH("Points (Auto-generate)",INDIRECT("'"&amp;$A78&amp;"'!$A$12:$Z$12"),0),0)),"ER"))</f>
        <v>?</v>
      </c>
      <c r="AE78" s="86" t="str">
        <f aca="true">IF($H78=0,"NA",IF($A78=INDIRECT("'"&amp;$A78&amp;"'!$B$1"),IF(VLOOKUP(AE$1,INDIRECT("'"&amp;$A78&amp;"'!$A$12:$Z$41"),MATCH("Points (Auto-generate)",INDIRECT("'"&amp;$A78&amp;"'!$A$12:$Z$12"),0),0)="","?",VLOOKUP(AE$1,INDIRECT("'"&amp;$A78&amp;"'!$A$12:$Z$41"),MATCH("Points (Auto-generate)",INDIRECT("'"&amp;$A78&amp;"'!$A$12:$Z$12"),0),0)),"ER"))</f>
        <v>?</v>
      </c>
      <c r="AF78" s="86" t="str">
        <f aca="true">IF($H78=0,"NA",IF($A78=INDIRECT("'"&amp;$A78&amp;"'!$B$1"),IF(VLOOKUP(AF$1,INDIRECT("'"&amp;$A78&amp;"'!$A$12:$Z$41"),MATCH("Points (Auto-generate)",INDIRECT("'"&amp;$A78&amp;"'!$A$12:$Z$12"),0),0)="","?",VLOOKUP(AF$1,INDIRECT("'"&amp;$A78&amp;"'!$A$12:$Z$41"),MATCH("Points (Auto-generate)",INDIRECT("'"&amp;$A78&amp;"'!$A$12:$Z$12"),0),0)),"ER"))</f>
        <v>?</v>
      </c>
      <c r="AG78" s="86" t="str">
        <f aca="true">IF($H78=0,"NA",IF($A78=INDIRECT("'"&amp;$A78&amp;"'!$B$1"),IF(VLOOKUP(AG$1,INDIRECT("'"&amp;$A78&amp;"'!$A$12:$Z$41"),MATCH("Points (Auto-generate)",INDIRECT("'"&amp;$A78&amp;"'!$A$12:$Z$12"),0),0)="","?",VLOOKUP(AG$1,INDIRECT("'"&amp;$A78&amp;"'!$A$12:$Z$41"),MATCH("Points (Auto-generate)",INDIRECT("'"&amp;$A78&amp;"'!$A$12:$Z$12"),0),0)),"ER"))</f>
        <v>?</v>
      </c>
      <c r="AH78" s="86" t="str">
        <f aca="true">IF($H78=0,"NA",IF($A78=INDIRECT("'"&amp;$A78&amp;"'!$B$1"),IF(VLOOKUP(AH$1,INDIRECT("'"&amp;$A78&amp;"'!$A$12:$Z$41"),MATCH("Points (Auto-generate)",INDIRECT("'"&amp;$A78&amp;"'!$A$12:$Z$12"),0),0)="","?",VLOOKUP(AH$1,INDIRECT("'"&amp;$A78&amp;"'!$A$12:$Z$41"),MATCH("Points (Auto-generate)",INDIRECT("'"&amp;$A78&amp;"'!$A$12:$Z$12"),0),0)),"ER"))</f>
        <v>?</v>
      </c>
      <c r="AI78" s="86" t="str">
        <f aca="true">IF($H78=0,"NA",IF($A78=INDIRECT("'"&amp;$A78&amp;"'!$B$1"),IF(VLOOKUP(AI$1,INDIRECT("'"&amp;$A78&amp;"'!$A$12:$Z$41"),MATCH("Points (Auto-generate)",INDIRECT("'"&amp;$A78&amp;"'!$A$12:$Z$12"),0),0)="","?",VLOOKUP(AI$1,INDIRECT("'"&amp;$A78&amp;"'!$A$12:$Z$41"),MATCH("Points (Auto-generate)",INDIRECT("'"&amp;$A78&amp;"'!$A$12:$Z$12"),0),0)),"ER"))</f>
        <v>?</v>
      </c>
      <c r="AJ78" s="86" t="str">
        <f aca="true">IF($H78=0,"NA",IF($A78=INDIRECT("'"&amp;$A78&amp;"'!$B$1"),IF(VLOOKUP(AJ$1,INDIRECT("'"&amp;$A78&amp;"'!$A$12:$Z$41"),MATCH("Points (Auto-generate)",INDIRECT("'"&amp;$A78&amp;"'!$A$12:$Z$12"),0),0)="","?",VLOOKUP(AJ$1,INDIRECT("'"&amp;$A78&amp;"'!$A$12:$Z$41"),MATCH("Points (Auto-generate)",INDIRECT("'"&amp;$A78&amp;"'!$A$12:$Z$12"),0),0)),"ER"))</f>
        <v>?</v>
      </c>
      <c r="AK78" s="86" t="str">
        <f aca="true">IF($H78=0,"NA",IF($A78=INDIRECT("'"&amp;$A78&amp;"'!$B$1"),IF(VLOOKUP(AK$1,INDIRECT("'"&amp;$A78&amp;"'!$A$12:$Z$41"),MATCH("Points (Auto-generate)",INDIRECT("'"&amp;$A78&amp;"'!$A$12:$Z$12"),0),0)="","?",VLOOKUP(AK$1,INDIRECT("'"&amp;$A78&amp;"'!$A$12:$Z$41"),MATCH("Points (Auto-generate)",INDIRECT("'"&amp;$A78&amp;"'!$A$12:$Z$12"),0),0)),"ER"))</f>
        <v>?</v>
      </c>
    </row>
    <row r="79" customFormat="false" ht="14.25" hidden="false" customHeight="false" outlineLevel="0" collapsed="false">
      <c r="A79" s="82" t="s">
        <v>503</v>
      </c>
      <c r="B79" s="83" t="str">
        <f aca="false">IF(ISBLANK($A79),"NO_CODE",VLOOKUP($A79,'UPD Questions_290926 '!$E$1:$N$300,MATCH(B$1,'UPD Questions_290926 '!$E$1:$N$1,0),0)&amp;"")</f>
        <v>Implementation</v>
      </c>
      <c r="C79" s="83" t="str">
        <f aca="false">IF(ISBLANK($A79),"NO_CODE",VLOOKUP($A79,'UPD Questions_290926 '!$E$1:$N$300,MATCH(C$1,'UPD Questions_290926 '!$E$1:$N$1,0),0)&amp;"")</f>
        <v>Specialised institutional capacity</v>
      </c>
      <c r="D79" s="83" t="str">
        <f aca="false">IF(ISBLANK($A79),"NO_CODE",VLOOKUP($A79,'UPD Questions_290926 '!$E$1:$N$300,MATCH(D$1,'UPD Questions_290926 '!$E$1:$N$1,0),0)&amp;"")</f>
        <v>Specialised institutional capacity</v>
      </c>
      <c r="E79" s="83" t="str">
        <f aca="false">IF(ISBLANK($A79),"NO_CODE",VLOOKUP($A79,'UPD Questions_290926 '!$E$1:$N$300,MATCH(E$1,'UPD Questions_290926 '!$E$1:$N$1,0),0)&amp;"")</f>
        <v>MQ</v>
      </c>
      <c r="F79" s="83" t="str">
        <f aca="false">IF(ISBLANK($A79),"NO_CODE",VLOOKUP($A79,'UPD Questions_290926 '!$E$1:$N$300,MATCH(F$1,'UPD Questions_290926 '!$E$1:$N$1,0),0)&amp;"")</f>
        <v>Does the city have dedicated institutional cells/units for specialised functions?</v>
      </c>
      <c r="G79" s="83" t="str">
        <f aca="false">IF(ISBLANK($A79),"NO_CODE",VLOOKUP($A79,'UPD Questions_290926 '!$E$1:$N$300,MATCH(G$1,'UPD Questions_290926 '!$E$1:$N$1,0),0)&amp;"")</f>
        <v>Implementation</v>
      </c>
      <c r="H79" s="85" t="n">
        <f aca="false">IF(ISBLANK($A79),"NO_CODE",VLOOKUP($A79,'UPD Questions_290926 '!$E$1:$N$300,MATCH(H$1,'UPD Questions_290926 '!$E$1:$N$1,0),0))</f>
        <v>10</v>
      </c>
      <c r="I79" s="86" t="str">
        <f aca="false">IF(OR(I80="ER",I81="ER",I82="ER",I83="ER"),"ER",IF(OR(I80="?",I81="?",I82="?",I83="?"),"?",IF(AND(I80="NA",I81="NA",I82="NA",I83="NA"),"NA",SUM(I80,I81,I82,I83)/((I80&lt;&gt;"NA")*$H$80+(I81&lt;&gt;"NA")*$H$81+(I82&lt;&gt;"NA")*$H$82+(I83&lt;&gt;"NA")*$H$83)*$H79)))</f>
        <v>?</v>
      </c>
      <c r="J79" s="86" t="str">
        <f aca="false">IF(OR(J80="ER",J81="ER",J82="ER",J83="ER"),"ER",IF(OR(J80="?",J81="?",J82="?",J83="?"),"?",IF(AND(J80="NA",J81="NA",J82="NA",J83="NA"),"NA",SUM(J80,J81,J82,J83)/((J80&lt;&gt;"NA")*$H$80+(J81&lt;&gt;"NA")*$H$81+(J82&lt;&gt;"NA")*$H$82+(J83&lt;&gt;"NA")*$H$83)*$H79)))</f>
        <v>?</v>
      </c>
      <c r="K79" s="86" t="str">
        <f aca="false">IF(OR(K80="ER",K81="ER",K82="ER",K83="ER"),"ER",IF(OR(K80="?",K81="?",K82="?",K83="?"),"?",IF(AND(K80="NA",K81="NA",K82="NA",K83="NA"),"NA",SUM(K80,K81,K82,K83)/((K80&lt;&gt;"NA")*$H$80+(K81&lt;&gt;"NA")*$H$81+(K82&lt;&gt;"NA")*$H$82+(K83&lt;&gt;"NA")*$H$83)*$H79)))</f>
        <v>?</v>
      </c>
      <c r="L79" s="86" t="str">
        <f aca="false">IF(OR(L80="ER",L81="ER",L82="ER",L83="ER"),"ER",IF(OR(L80="?",L81="?",L82="?",L83="?"),"?",IF(AND(L80="NA",L81="NA",L82="NA",L83="NA"),"NA",SUM(L80,L81,L82,L83)/((L80&lt;&gt;"NA")*$H$80+(L81&lt;&gt;"NA")*$H$81+(L82&lt;&gt;"NA")*$H$82+(L83&lt;&gt;"NA")*$H$83)*$H79)))</f>
        <v>?</v>
      </c>
      <c r="M79" s="86" t="str">
        <f aca="false">IF(OR(M80="ER",M81="ER",M82="ER",M83="ER"),"ER",IF(OR(M80="?",M81="?",M82="?",M83="?"),"?",IF(AND(M80="NA",M81="NA",M82="NA",M83="NA"),"NA",SUM(M80,M81,M82,M83)/((M80&lt;&gt;"NA")*$H$80+(M81&lt;&gt;"NA")*$H$81+(M82&lt;&gt;"NA")*$H$82+(M83&lt;&gt;"NA")*$H$83)*$H79)))</f>
        <v>?</v>
      </c>
      <c r="N79" s="86" t="str">
        <f aca="false">IF(OR(N80="ER",N81="ER",N82="ER",N83="ER"),"ER",IF(OR(N80="?",N81="?",N82="?",N83="?"),"?",IF(AND(N80="NA",N81="NA",N82="NA",N83="NA"),"NA",SUM(N80,N81,N82,N83)/((N80&lt;&gt;"NA")*$H$80+(N81&lt;&gt;"NA")*$H$81+(N82&lt;&gt;"NA")*$H$82+(N83&lt;&gt;"NA")*$H$83)*$H79)))</f>
        <v>?</v>
      </c>
      <c r="O79" s="86" t="str">
        <f aca="false">IF(OR(O80="ER",O81="ER",O82="ER",O83="ER"),"ER",IF(OR(O80="?",O81="?",O82="?",O83="?"),"?",IF(AND(O80="NA",O81="NA",O82="NA",O83="NA"),"NA",SUM(O80,O81,O82,O83)/((O80&lt;&gt;"NA")*$H$80+(O81&lt;&gt;"NA")*$H$81+(O82&lt;&gt;"NA")*$H$82+(O83&lt;&gt;"NA")*$H$83)*$H79)))</f>
        <v>?</v>
      </c>
      <c r="P79" s="86" t="str">
        <f aca="false">IF(OR(P80="ER",P81="ER",P82="ER",P83="ER"),"ER",IF(OR(P80="?",P81="?",P82="?",P83="?"),"?",IF(AND(P80="NA",P81="NA",P82="NA",P83="NA"),"NA",SUM(P80,P81,P82,P83)/((P80&lt;&gt;"NA")*$H$80+(P81&lt;&gt;"NA")*$H$81+(P82&lt;&gt;"NA")*$H$82+(P83&lt;&gt;"NA")*$H$83)*$H79)))</f>
        <v>?</v>
      </c>
      <c r="Q79" s="86" t="str">
        <f aca="false">IF(OR(Q80="ER",Q81="ER",Q82="ER",Q83="ER"),"ER",IF(OR(Q80="?",Q81="?",Q82="?",Q83="?"),"?",IF(AND(Q80="NA",Q81="NA",Q82="NA",Q83="NA"),"NA",SUM(Q80,Q81,Q82,Q83)/((Q80&lt;&gt;"NA")*$H$80+(Q81&lt;&gt;"NA")*$H$81+(Q82&lt;&gt;"NA")*$H$82+(Q83&lt;&gt;"NA")*$H$83)*$H79)))</f>
        <v>?</v>
      </c>
      <c r="R79" s="86" t="str">
        <f aca="false">IF(OR(R80="ER",R81="ER",R82="ER",R83="ER"),"ER",IF(OR(R80="?",R81="?",R82="?",R83="?"),"?",IF(AND(R80="NA",R81="NA",R82="NA",R83="NA"),"NA",SUM(R80,R81,R82,R83)/((R80&lt;&gt;"NA")*$H$80+(R81&lt;&gt;"NA")*$H$81+(R82&lt;&gt;"NA")*$H$82+(R83&lt;&gt;"NA")*$H$83)*$H79)))</f>
        <v>?</v>
      </c>
      <c r="S79" s="86" t="str">
        <f aca="false">IF(OR(S80="ER",S81="ER",S82="ER",S83="ER"),"ER",IF(OR(S80="?",S81="?",S82="?",S83="?"),"?",IF(AND(S80="NA",S81="NA",S82="NA",S83="NA"),"NA",SUM(S80,S81,S82,S83)/((S80&lt;&gt;"NA")*$H$80+(S81&lt;&gt;"NA")*$H$81+(S82&lt;&gt;"NA")*$H$82+(S83&lt;&gt;"NA")*$H$83)*$H79)))</f>
        <v>?</v>
      </c>
      <c r="T79" s="86" t="str">
        <f aca="false">IF(OR(T80="ER",T81="ER",T82="ER",T83="ER"),"ER",IF(OR(T80="?",T81="?",T82="?",T83="?"),"?",IF(AND(T80="NA",T81="NA",T82="NA",T83="NA"),"NA",SUM(T80,T81,T82,T83)/((T80&lt;&gt;"NA")*$H$80+(T81&lt;&gt;"NA")*$H$81+(T82&lt;&gt;"NA")*$H$82+(T83&lt;&gt;"NA")*$H$83)*$H79)))</f>
        <v>?</v>
      </c>
      <c r="U79" s="86" t="str">
        <f aca="false">IF(OR(U80="ER",U81="ER",U82="ER",U83="ER"),"ER",IF(OR(U80="?",U81="?",U82="?",U83="?"),"?",IF(AND(U80="NA",U81="NA",U82="NA",U83="NA"),"NA",SUM(U80,U81,U82,U83)/((U80&lt;&gt;"NA")*$H$80+(U81&lt;&gt;"NA")*$H$81+(U82&lt;&gt;"NA")*$H$82+(U83&lt;&gt;"NA")*$H$83)*$H79)))</f>
        <v>?</v>
      </c>
      <c r="V79" s="86" t="str">
        <f aca="false">IF(OR(V80="ER",V81="ER",V82="ER",V83="ER"),"ER",IF(OR(V80="?",V81="?",V82="?",V83="?"),"?",IF(AND(V80="NA",V81="NA",V82="NA",V83="NA"),"NA",SUM(V80,V81,V82,V83)/((V80&lt;&gt;"NA")*$H$80+(V81&lt;&gt;"NA")*$H$81+(V82&lt;&gt;"NA")*$H$82+(V83&lt;&gt;"NA")*$H$83)*$H79)))</f>
        <v>?</v>
      </c>
      <c r="W79" s="86" t="str">
        <f aca="false">IF(OR(W80="ER",W81="ER",W82="ER",W83="ER"),"ER",IF(OR(W80="?",W81="?",W82="?",W83="?"),"?",IF(AND(W80="NA",W81="NA",W82="NA",W83="NA"),"NA",SUM(W80,W81,W82,W83)/((W80&lt;&gt;"NA")*$H$80+(W81&lt;&gt;"NA")*$H$81+(W82&lt;&gt;"NA")*$H$82+(W83&lt;&gt;"NA")*$H$83)*$H79)))</f>
        <v>?</v>
      </c>
      <c r="X79" s="86" t="str">
        <f aca="false">IF(OR(X80="ER",X81="ER",X82="ER",X83="ER"),"ER",IF(OR(X80="?",X81="?",X82="?",X83="?"),"?",IF(AND(X80="NA",X81="NA",X82="NA",X83="NA"),"NA",SUM(X80,X81,X82,X83)/((X80&lt;&gt;"NA")*$H$80+(X81&lt;&gt;"NA")*$H$81+(X82&lt;&gt;"NA")*$H$82+(X83&lt;&gt;"NA")*$H$83)*$H79)))</f>
        <v>?</v>
      </c>
      <c r="Y79" s="86" t="str">
        <f aca="false">IF(OR(Y80="ER",Y81="ER",Y82="ER",Y83="ER"),"ER",IF(OR(Y80="?",Y81="?",Y82="?",Y83="?"),"?",IF(AND(Y80="NA",Y81="NA",Y82="NA",Y83="NA"),"NA",SUM(Y80,Y81,Y82,Y83)/((Y80&lt;&gt;"NA")*$H$80+(Y81&lt;&gt;"NA")*$H$81+(Y82&lt;&gt;"NA")*$H$82+(Y83&lt;&gt;"NA")*$H$83)*$H79)))</f>
        <v>?</v>
      </c>
      <c r="Z79" s="86" t="str">
        <f aca="false">IF(OR(Z80="ER",Z81="ER",Z82="ER",Z83="ER"),"ER",IF(OR(Z80="?",Z81="?",Z82="?",Z83="?"),"?",IF(AND(Z80="NA",Z81="NA",Z82="NA",Z83="NA"),"NA",SUM(Z80,Z81,Z82,Z83)/((Z80&lt;&gt;"NA")*$H$80+(Z81&lt;&gt;"NA")*$H$81+(Z82&lt;&gt;"NA")*$H$82+(Z83&lt;&gt;"NA")*$H$83)*$H79)))</f>
        <v>?</v>
      </c>
      <c r="AA79" s="86" t="str">
        <f aca="false">IF(OR(AA80="ER",AA81="ER",AA82="ER",AA83="ER"),"ER",IF(OR(AA80="?",AA81="?",AA82="?",AA83="?"),"?",IF(AND(AA80="NA",AA81="NA",AA82="NA",AA83="NA"),"NA",SUM(AA80,AA81,AA82,AA83)/((AA80&lt;&gt;"NA")*$H$80+(AA81&lt;&gt;"NA")*$H$81+(AA82&lt;&gt;"NA")*$H$82+(AA83&lt;&gt;"NA")*$H$83)*$H79)))</f>
        <v>?</v>
      </c>
      <c r="AB79" s="86" t="str">
        <f aca="false">IF(OR(AB80="ER",AB81="ER",AB82="ER",AB83="ER"),"ER",IF(OR(AB80="?",AB81="?",AB82="?",AB83="?"),"?",IF(AND(AB80="NA",AB81="NA",AB82="NA",AB83="NA"),"NA",SUM(AB80,AB81,AB82,AB83)/((AB80&lt;&gt;"NA")*$H$80+(AB81&lt;&gt;"NA")*$H$81+(AB82&lt;&gt;"NA")*$H$82+(AB83&lt;&gt;"NA")*$H$83)*$H79)))</f>
        <v>?</v>
      </c>
      <c r="AC79" s="86" t="str">
        <f aca="false">IF(OR(AC80="ER",AC81="ER",AC82="ER",AC83="ER"),"ER",IF(OR(AC80="?",AC81="?",AC82="?",AC83="?"),"?",IF(AND(AC80="NA",AC81="NA",AC82="NA",AC83="NA"),"NA",SUM(AC80,AC81,AC82,AC83)/((AC80&lt;&gt;"NA")*$H$80+(AC81&lt;&gt;"NA")*$H$81+(AC82&lt;&gt;"NA")*$H$82+(AC83&lt;&gt;"NA")*$H$83)*$H79)))</f>
        <v>?</v>
      </c>
      <c r="AD79" s="86" t="str">
        <f aca="false">IF(OR(AD80="ER",AD81="ER",AD82="ER",AD83="ER"),"ER",IF(OR(AD80="?",AD81="?",AD82="?",AD83="?"),"?",IF(AND(AD80="NA",AD81="NA",AD82="NA",AD83="NA"),"NA",SUM(AD80,AD81,AD82,AD83)/((AD80&lt;&gt;"NA")*$H$80+(AD81&lt;&gt;"NA")*$H$81+(AD82&lt;&gt;"NA")*$H$82+(AD83&lt;&gt;"NA")*$H$83)*$H79)))</f>
        <v>?</v>
      </c>
      <c r="AE79" s="86" t="str">
        <f aca="false">IF(OR(AE80="ER",AE81="ER",AE82="ER",AE83="ER"),"ER",IF(OR(AE80="?",AE81="?",AE82="?",AE83="?"),"?",IF(AND(AE80="NA",AE81="NA",AE82="NA",AE83="NA"),"NA",SUM(AE80,AE81,AE82,AE83)/((AE80&lt;&gt;"NA")*$H$80+(AE81&lt;&gt;"NA")*$H$81+(AE82&lt;&gt;"NA")*$H$82+(AE83&lt;&gt;"NA")*$H$83)*$H79)))</f>
        <v>?</v>
      </c>
      <c r="AF79" s="86" t="str">
        <f aca="false">IF(OR(AF80="ER",AF81="ER",AF82="ER",AF83="ER"),"ER",IF(OR(AF80="?",AF81="?",AF82="?",AF83="?"),"?",IF(AND(AF80="NA",AF81="NA",AF82="NA",AF83="NA"),"NA",SUM(AF80,AF81,AF82,AF83)/((AF80&lt;&gt;"NA")*$H$80+(AF81&lt;&gt;"NA")*$H$81+(AF82&lt;&gt;"NA")*$H$82+(AF83&lt;&gt;"NA")*$H$83)*$H79)))</f>
        <v>?</v>
      </c>
      <c r="AG79" s="86" t="str">
        <f aca="false">IF(OR(AG80="ER",AG81="ER",AG82="ER",AG83="ER"),"ER",IF(OR(AG80="?",AG81="?",AG82="?",AG83="?"),"?",IF(AND(AG80="NA",AG81="NA",AG82="NA",AG83="NA"),"NA",SUM(AG80,AG81,AG82,AG83)/((AG80&lt;&gt;"NA")*$H$80+(AG81&lt;&gt;"NA")*$H$81+(AG82&lt;&gt;"NA")*$H$82+(AG83&lt;&gt;"NA")*$H$83)*$H79)))</f>
        <v>?</v>
      </c>
      <c r="AH79" s="86" t="str">
        <f aca="false">IF(OR(AH80="ER",AH81="ER",AH82="ER",AH83="ER"),"ER",IF(OR(AH80="?",AH81="?",AH82="?",AH83="?"),"?",IF(AND(AH80="NA",AH81="NA",AH82="NA",AH83="NA"),"NA",SUM(AH80,AH81,AH82,AH83)/((AH80&lt;&gt;"NA")*$H$80+(AH81&lt;&gt;"NA")*$H$81+(AH82&lt;&gt;"NA")*$H$82+(AH83&lt;&gt;"NA")*$H$83)*$H79)))</f>
        <v>?</v>
      </c>
      <c r="AI79" s="86" t="str">
        <f aca="false">IF(OR(AI80="ER",AI81="ER",AI82="ER",AI83="ER"),"ER",IF(OR(AI80="?",AI81="?",AI82="?",AI83="?"),"?",IF(AND(AI80="NA",AI81="NA",AI82="NA",AI83="NA"),"NA",SUM(AI80,AI81,AI82,AI83)/((AI80&lt;&gt;"NA")*$H$80+(AI81&lt;&gt;"NA")*$H$81+(AI82&lt;&gt;"NA")*$H$82+(AI83&lt;&gt;"NA")*$H$83)*$H79)))</f>
        <v>?</v>
      </c>
      <c r="AJ79" s="86" t="str">
        <f aca="false">IF(OR(AJ80="ER",AJ81="ER",AJ82="ER",AJ83="ER"),"ER",IF(OR(AJ80="?",AJ81="?",AJ82="?",AJ83="?"),"?",IF(AND(AJ80="NA",AJ81="NA",AJ82="NA",AJ83="NA"),"NA",SUM(AJ80,AJ81,AJ82,AJ83)/((AJ80&lt;&gt;"NA")*$H$80+(AJ81&lt;&gt;"NA")*$H$81+(AJ82&lt;&gt;"NA")*$H$82+(AJ83&lt;&gt;"NA")*$H$83)*$H79)))</f>
        <v>?</v>
      </c>
      <c r="AK79" s="86" t="str">
        <f aca="false">IF(OR(AK80="ER",AK81="ER",AK82="ER",AK83="ER"),"ER",IF(OR(AK80="?",AK81="?",AK82="?",AK83="?"),"?",IF(AND(AK80="NA",AK81="NA",AK82="NA",AK83="NA"),"NA",SUM(AK80,AK81,AK82,AK83)/((AK80&lt;&gt;"NA")*$H$80+(AK81&lt;&gt;"NA")*$H$81+(AK82&lt;&gt;"NA")*$H$82+(AK83&lt;&gt;"NA")*$H$83)*$H79)))</f>
        <v>?</v>
      </c>
    </row>
    <row r="80" customFormat="false" ht="14.25" hidden="false" customHeight="false" outlineLevel="0" collapsed="false">
      <c r="A80" s="82" t="s">
        <v>240</v>
      </c>
      <c r="B80" s="83" t="str">
        <f aca="false">IF(ISBLANK($A80),"NO_CODE",VLOOKUP($A80,'UPD Questions_290926 '!$E$1:$N$300,MATCH(B$1,'UPD Questions_290926 '!$E$1:$N$1,0),0)&amp;"")</f>
        <v>Implementation</v>
      </c>
      <c r="C80" s="83" t="str">
        <f aca="false">IF(ISBLANK($A80),"NO_CODE",VLOOKUP($A80,'UPD Questions_290926 '!$E$1:$N$300,MATCH(C$1,'UPD Questions_290926 '!$E$1:$N$1,0),0)&amp;"")</f>
        <v>Specialised institutional capacity</v>
      </c>
      <c r="D80" s="83" t="str">
        <f aca="false">IF(ISBLANK($A80),"NO_CODE",VLOOKUP($A80,'UPD Questions_290926 '!$E$1:$N$300,MATCH(D$1,'UPD Questions_290926 '!$E$1:$N$1,0),0)&amp;"")</f>
        <v>Urban design</v>
      </c>
      <c r="E80" s="83" t="str">
        <f aca="false">IF(ISBLANK($A80),"NO_CODE",VLOOKUP($A80,'UPD Questions_290926 '!$E$1:$N$300,MATCH(E$1,'UPD Questions_290926 '!$E$1:$N$1,0),0)&amp;"")</f>
        <v>SQ</v>
      </c>
      <c r="F80" s="83" t="str">
        <f aca="false">IF(ISBLANK($A80),"NO_CODE",VLOOKUP($A80,'UPD Questions_290926 '!$E$1:$N$300,MATCH(F$1,'UPD Questions_290926 '!$E$1:$N$1,0),0)&amp;"")</f>
        <v>Does the city have an Urban Design Cell?</v>
      </c>
      <c r="G80" s="83" t="str">
        <f aca="false">IF(ISBLANK($A80),"NO_CODE",VLOOKUP($A80,'UPD Questions_290926 '!$E$1:$N$300,MATCH(G$1,'UPD Questions_290926 '!$E$1:$N$1,0),0)&amp;"")</f>
        <v>Implementation</v>
      </c>
      <c r="H80" s="85" t="n">
        <f aca="false">IF(ISBLANK($A80),"NO_CODE",VLOOKUP($A80,'UPD Questions_290926 '!$E$1:$N$300,MATCH(H$1,'UPD Questions_290926 '!$E$1:$N$1,0),0))</f>
        <v>2.5</v>
      </c>
      <c r="I80" s="86" t="str">
        <f aca="true">IF($H80=0,"NA",IF($A80=INDIRECT("'"&amp;$A80&amp;"'!$B$1"),IF(VLOOKUP(I$1,INDIRECT("'"&amp;$A80&amp;"'!$A$12:$Z$41"),MATCH("Points (Auto-generate)",INDIRECT("'"&amp;$A80&amp;"'!$A$12:$Z$12"),0),0)="","?",VLOOKUP(I$1,INDIRECT("'"&amp;$A80&amp;"'!$A$12:$Z$41"),MATCH("Points (Auto-generate)",INDIRECT("'"&amp;$A80&amp;"'!$A$12:$Z$12"),0),0)),"ER"))</f>
        <v>?</v>
      </c>
      <c r="J80" s="86" t="str">
        <f aca="true">IF($H80=0,"NA",IF($A80=INDIRECT("'"&amp;$A80&amp;"'!$B$1"),IF(VLOOKUP(J$1,INDIRECT("'"&amp;$A80&amp;"'!$A$12:$Z$41"),MATCH("Points (Auto-generate)",INDIRECT("'"&amp;$A80&amp;"'!$A$12:$Z$12"),0),0)="","?",VLOOKUP(J$1,INDIRECT("'"&amp;$A80&amp;"'!$A$12:$Z$41"),MATCH("Points (Auto-generate)",INDIRECT("'"&amp;$A80&amp;"'!$A$12:$Z$12"),0),0)),"ER"))</f>
        <v>?</v>
      </c>
      <c r="K80" s="86" t="str">
        <f aca="true">IF($H80=0,"NA",IF($A80=INDIRECT("'"&amp;$A80&amp;"'!$B$1"),IF(VLOOKUP(K$1,INDIRECT("'"&amp;$A80&amp;"'!$A$12:$Z$41"),MATCH("Points (Auto-generate)",INDIRECT("'"&amp;$A80&amp;"'!$A$12:$Z$12"),0),0)="","?",VLOOKUP(K$1,INDIRECT("'"&amp;$A80&amp;"'!$A$12:$Z$41"),MATCH("Points (Auto-generate)",INDIRECT("'"&amp;$A80&amp;"'!$A$12:$Z$12"),0),0)),"ER"))</f>
        <v>?</v>
      </c>
      <c r="L80" s="86" t="str">
        <f aca="true">IF($H80=0,"NA",IF($A80=INDIRECT("'"&amp;$A80&amp;"'!$B$1"),IF(VLOOKUP(L$1,INDIRECT("'"&amp;$A80&amp;"'!$A$12:$Z$41"),MATCH("Points (Auto-generate)",INDIRECT("'"&amp;$A80&amp;"'!$A$12:$Z$12"),0),0)="","?",VLOOKUP(L$1,INDIRECT("'"&amp;$A80&amp;"'!$A$12:$Z$41"),MATCH("Points (Auto-generate)",INDIRECT("'"&amp;$A80&amp;"'!$A$12:$Z$12"),0),0)),"ER"))</f>
        <v>?</v>
      </c>
      <c r="M80" s="86" t="str">
        <f aca="true">IF($H80=0,"NA",IF($A80=INDIRECT("'"&amp;$A80&amp;"'!$B$1"),IF(VLOOKUP(M$1,INDIRECT("'"&amp;$A80&amp;"'!$A$12:$Z$41"),MATCH("Points (Auto-generate)",INDIRECT("'"&amp;$A80&amp;"'!$A$12:$Z$12"),0),0)="","?",VLOOKUP(M$1,INDIRECT("'"&amp;$A80&amp;"'!$A$12:$Z$41"),MATCH("Points (Auto-generate)",INDIRECT("'"&amp;$A80&amp;"'!$A$12:$Z$12"),0),0)),"ER"))</f>
        <v>?</v>
      </c>
      <c r="N80" s="86" t="str">
        <f aca="true">IF($H80=0,"NA",IF($A80=INDIRECT("'"&amp;$A80&amp;"'!$B$1"),IF(VLOOKUP(N$1,INDIRECT("'"&amp;$A80&amp;"'!$A$12:$Z$41"),MATCH("Points (Auto-generate)",INDIRECT("'"&amp;$A80&amp;"'!$A$12:$Z$12"),0),0)="","?",VLOOKUP(N$1,INDIRECT("'"&amp;$A80&amp;"'!$A$12:$Z$41"),MATCH("Points (Auto-generate)",INDIRECT("'"&amp;$A80&amp;"'!$A$12:$Z$12"),0),0)),"ER"))</f>
        <v>?</v>
      </c>
      <c r="O80" s="86" t="str">
        <f aca="true">IF($H80=0,"NA",IF($A80=INDIRECT("'"&amp;$A80&amp;"'!$B$1"),IF(VLOOKUP(O$1,INDIRECT("'"&amp;$A80&amp;"'!$A$12:$Z$41"),MATCH("Points (Auto-generate)",INDIRECT("'"&amp;$A80&amp;"'!$A$12:$Z$12"),0),0)="","?",VLOOKUP(O$1,INDIRECT("'"&amp;$A80&amp;"'!$A$12:$Z$41"),MATCH("Points (Auto-generate)",INDIRECT("'"&amp;$A80&amp;"'!$A$12:$Z$12"),0),0)),"ER"))</f>
        <v>?</v>
      </c>
      <c r="P80" s="86" t="str">
        <f aca="true">IF($H80=0,"NA",IF($A80=INDIRECT("'"&amp;$A80&amp;"'!$B$1"),IF(VLOOKUP(P$1,INDIRECT("'"&amp;$A80&amp;"'!$A$12:$Z$41"),MATCH("Points (Auto-generate)",INDIRECT("'"&amp;$A80&amp;"'!$A$12:$Z$12"),0),0)="","?",VLOOKUP(P$1,INDIRECT("'"&amp;$A80&amp;"'!$A$12:$Z$41"),MATCH("Points (Auto-generate)",INDIRECT("'"&amp;$A80&amp;"'!$A$12:$Z$12"),0),0)),"ER"))</f>
        <v>?</v>
      </c>
      <c r="Q80" s="86" t="str">
        <f aca="true">IF($H80=0,"NA",IF($A80=INDIRECT("'"&amp;$A80&amp;"'!$B$1"),IF(VLOOKUP(Q$1,INDIRECT("'"&amp;$A80&amp;"'!$A$12:$Z$41"),MATCH("Points (Auto-generate)",INDIRECT("'"&amp;$A80&amp;"'!$A$12:$Z$12"),0),0)="","?",VLOOKUP(Q$1,INDIRECT("'"&amp;$A80&amp;"'!$A$12:$Z$41"),MATCH("Points (Auto-generate)",INDIRECT("'"&amp;$A80&amp;"'!$A$12:$Z$12"),0),0)),"ER"))</f>
        <v>?</v>
      </c>
      <c r="R80" s="86" t="str">
        <f aca="true">IF($H80=0,"NA",IF($A80=INDIRECT("'"&amp;$A80&amp;"'!$B$1"),IF(VLOOKUP(R$1,INDIRECT("'"&amp;$A80&amp;"'!$A$12:$Z$41"),MATCH("Points (Auto-generate)",INDIRECT("'"&amp;$A80&amp;"'!$A$12:$Z$12"),0),0)="","?",VLOOKUP(R$1,INDIRECT("'"&amp;$A80&amp;"'!$A$12:$Z$41"),MATCH("Points (Auto-generate)",INDIRECT("'"&amp;$A80&amp;"'!$A$12:$Z$12"),0),0)),"ER"))</f>
        <v>?</v>
      </c>
      <c r="S80" s="86" t="str">
        <f aca="true">IF($H80=0,"NA",IF($A80=INDIRECT("'"&amp;$A80&amp;"'!$B$1"),IF(VLOOKUP(S$1,INDIRECT("'"&amp;$A80&amp;"'!$A$12:$Z$41"),MATCH("Points (Auto-generate)",INDIRECT("'"&amp;$A80&amp;"'!$A$12:$Z$12"),0),0)="","?",VLOOKUP(S$1,INDIRECT("'"&amp;$A80&amp;"'!$A$12:$Z$41"),MATCH("Points (Auto-generate)",INDIRECT("'"&amp;$A80&amp;"'!$A$12:$Z$12"),0),0)),"ER"))</f>
        <v>?</v>
      </c>
      <c r="T80" s="86" t="str">
        <f aca="true">IF($H80=0,"NA",IF($A80=INDIRECT("'"&amp;$A80&amp;"'!$B$1"),IF(VLOOKUP(T$1,INDIRECT("'"&amp;$A80&amp;"'!$A$12:$Z$41"),MATCH("Points (Auto-generate)",INDIRECT("'"&amp;$A80&amp;"'!$A$12:$Z$12"),0),0)="","?",VLOOKUP(T$1,INDIRECT("'"&amp;$A80&amp;"'!$A$12:$Z$41"),MATCH("Points (Auto-generate)",INDIRECT("'"&amp;$A80&amp;"'!$A$12:$Z$12"),0),0)),"ER"))</f>
        <v>?</v>
      </c>
      <c r="U80" s="86" t="str">
        <f aca="true">IF($H80=0,"NA",IF($A80=INDIRECT("'"&amp;$A80&amp;"'!$B$1"),IF(VLOOKUP(U$1,INDIRECT("'"&amp;$A80&amp;"'!$A$12:$Z$41"),MATCH("Points (Auto-generate)",INDIRECT("'"&amp;$A80&amp;"'!$A$12:$Z$12"),0),0)="","?",VLOOKUP(U$1,INDIRECT("'"&amp;$A80&amp;"'!$A$12:$Z$41"),MATCH("Points (Auto-generate)",INDIRECT("'"&amp;$A80&amp;"'!$A$12:$Z$12"),0),0)),"ER"))</f>
        <v>?</v>
      </c>
      <c r="V80" s="86" t="str">
        <f aca="true">IF($H80=0,"NA",IF($A80=INDIRECT("'"&amp;$A80&amp;"'!$B$1"),IF(VLOOKUP(V$1,INDIRECT("'"&amp;$A80&amp;"'!$A$12:$Z$41"),MATCH("Points (Auto-generate)",INDIRECT("'"&amp;$A80&amp;"'!$A$12:$Z$12"),0),0)="","?",VLOOKUP(V$1,INDIRECT("'"&amp;$A80&amp;"'!$A$12:$Z$41"),MATCH("Points (Auto-generate)",INDIRECT("'"&amp;$A80&amp;"'!$A$12:$Z$12"),0),0)),"ER"))</f>
        <v>?</v>
      </c>
      <c r="W80" s="86" t="str">
        <f aca="true">IF($H80=0,"NA",IF($A80=INDIRECT("'"&amp;$A80&amp;"'!$B$1"),IF(VLOOKUP(W$1,INDIRECT("'"&amp;$A80&amp;"'!$A$12:$Z$41"),MATCH("Points (Auto-generate)",INDIRECT("'"&amp;$A80&amp;"'!$A$12:$Z$12"),0),0)="","?",VLOOKUP(W$1,INDIRECT("'"&amp;$A80&amp;"'!$A$12:$Z$41"),MATCH("Points (Auto-generate)",INDIRECT("'"&amp;$A80&amp;"'!$A$12:$Z$12"),0),0)),"ER"))</f>
        <v>?</v>
      </c>
      <c r="X80" s="86" t="str">
        <f aca="true">IF($H80=0,"NA",IF($A80=INDIRECT("'"&amp;$A80&amp;"'!$B$1"),IF(VLOOKUP(X$1,INDIRECT("'"&amp;$A80&amp;"'!$A$12:$Z$41"),MATCH("Points (Auto-generate)",INDIRECT("'"&amp;$A80&amp;"'!$A$12:$Z$12"),0),0)="","?",VLOOKUP(X$1,INDIRECT("'"&amp;$A80&amp;"'!$A$12:$Z$41"),MATCH("Points (Auto-generate)",INDIRECT("'"&amp;$A80&amp;"'!$A$12:$Z$12"),0),0)),"ER"))</f>
        <v>?</v>
      </c>
      <c r="Y80" s="86" t="str">
        <f aca="true">IF($H80=0,"NA",IF($A80=INDIRECT("'"&amp;$A80&amp;"'!$B$1"),IF(VLOOKUP(Y$1,INDIRECT("'"&amp;$A80&amp;"'!$A$12:$Z$41"),MATCH("Points (Auto-generate)",INDIRECT("'"&amp;$A80&amp;"'!$A$12:$Z$12"),0),0)="","?",VLOOKUP(Y$1,INDIRECT("'"&amp;$A80&amp;"'!$A$12:$Z$41"),MATCH("Points (Auto-generate)",INDIRECT("'"&amp;$A80&amp;"'!$A$12:$Z$12"),0),0)),"ER"))</f>
        <v>?</v>
      </c>
      <c r="Z80" s="86" t="str">
        <f aca="true">IF($H80=0,"NA",IF($A80=INDIRECT("'"&amp;$A80&amp;"'!$B$1"),IF(VLOOKUP(Z$1,INDIRECT("'"&amp;$A80&amp;"'!$A$12:$Z$41"),MATCH("Points (Auto-generate)",INDIRECT("'"&amp;$A80&amp;"'!$A$12:$Z$12"),0),0)="","?",VLOOKUP(Z$1,INDIRECT("'"&amp;$A80&amp;"'!$A$12:$Z$41"),MATCH("Points (Auto-generate)",INDIRECT("'"&amp;$A80&amp;"'!$A$12:$Z$12"),0),0)),"ER"))</f>
        <v>?</v>
      </c>
      <c r="AA80" s="86" t="str">
        <f aca="true">IF($H80=0,"NA",IF($A80=INDIRECT("'"&amp;$A80&amp;"'!$B$1"),IF(VLOOKUP(AA$1,INDIRECT("'"&amp;$A80&amp;"'!$A$12:$Z$41"),MATCH("Points (Auto-generate)",INDIRECT("'"&amp;$A80&amp;"'!$A$12:$Z$12"),0),0)="","?",VLOOKUP(AA$1,INDIRECT("'"&amp;$A80&amp;"'!$A$12:$Z$41"),MATCH("Points (Auto-generate)",INDIRECT("'"&amp;$A80&amp;"'!$A$12:$Z$12"),0),0)),"ER"))</f>
        <v>?</v>
      </c>
      <c r="AB80" s="86" t="str">
        <f aca="true">IF($H80=0,"NA",IF($A80=INDIRECT("'"&amp;$A80&amp;"'!$B$1"),IF(VLOOKUP(AB$1,INDIRECT("'"&amp;$A80&amp;"'!$A$12:$Z$41"),MATCH("Points (Auto-generate)",INDIRECT("'"&amp;$A80&amp;"'!$A$12:$Z$12"),0),0)="","?",VLOOKUP(AB$1,INDIRECT("'"&amp;$A80&amp;"'!$A$12:$Z$41"),MATCH("Points (Auto-generate)",INDIRECT("'"&amp;$A80&amp;"'!$A$12:$Z$12"),0),0)),"ER"))</f>
        <v>?</v>
      </c>
      <c r="AC80" s="86" t="str">
        <f aca="true">IF($H80=0,"NA",IF($A80=INDIRECT("'"&amp;$A80&amp;"'!$B$1"),IF(VLOOKUP(AC$1,INDIRECT("'"&amp;$A80&amp;"'!$A$12:$Z$41"),MATCH("Points (Auto-generate)",INDIRECT("'"&amp;$A80&amp;"'!$A$12:$Z$12"),0),0)="","?",VLOOKUP(AC$1,INDIRECT("'"&amp;$A80&amp;"'!$A$12:$Z$41"),MATCH("Points (Auto-generate)",INDIRECT("'"&amp;$A80&amp;"'!$A$12:$Z$12"),0),0)),"ER"))</f>
        <v>?</v>
      </c>
      <c r="AD80" s="86" t="str">
        <f aca="true">IF($H80=0,"NA",IF($A80=INDIRECT("'"&amp;$A80&amp;"'!$B$1"),IF(VLOOKUP(AD$1,INDIRECT("'"&amp;$A80&amp;"'!$A$12:$Z$41"),MATCH("Points (Auto-generate)",INDIRECT("'"&amp;$A80&amp;"'!$A$12:$Z$12"),0),0)="","?",VLOOKUP(AD$1,INDIRECT("'"&amp;$A80&amp;"'!$A$12:$Z$41"),MATCH("Points (Auto-generate)",INDIRECT("'"&amp;$A80&amp;"'!$A$12:$Z$12"),0),0)),"ER"))</f>
        <v>?</v>
      </c>
      <c r="AE80" s="86" t="str">
        <f aca="true">IF($H80=0,"NA",IF($A80=INDIRECT("'"&amp;$A80&amp;"'!$B$1"),IF(VLOOKUP(AE$1,INDIRECT("'"&amp;$A80&amp;"'!$A$12:$Z$41"),MATCH("Points (Auto-generate)",INDIRECT("'"&amp;$A80&amp;"'!$A$12:$Z$12"),0),0)="","?",VLOOKUP(AE$1,INDIRECT("'"&amp;$A80&amp;"'!$A$12:$Z$41"),MATCH("Points (Auto-generate)",INDIRECT("'"&amp;$A80&amp;"'!$A$12:$Z$12"),0),0)),"ER"))</f>
        <v>?</v>
      </c>
      <c r="AF80" s="86" t="str">
        <f aca="true">IF($H80=0,"NA",IF($A80=INDIRECT("'"&amp;$A80&amp;"'!$B$1"),IF(VLOOKUP(AF$1,INDIRECT("'"&amp;$A80&amp;"'!$A$12:$Z$41"),MATCH("Points (Auto-generate)",INDIRECT("'"&amp;$A80&amp;"'!$A$12:$Z$12"),0),0)="","?",VLOOKUP(AF$1,INDIRECT("'"&amp;$A80&amp;"'!$A$12:$Z$41"),MATCH("Points (Auto-generate)",INDIRECT("'"&amp;$A80&amp;"'!$A$12:$Z$12"),0),0)),"ER"))</f>
        <v>?</v>
      </c>
      <c r="AG80" s="86" t="str">
        <f aca="true">IF($H80=0,"NA",IF($A80=INDIRECT("'"&amp;$A80&amp;"'!$B$1"),IF(VLOOKUP(AG$1,INDIRECT("'"&amp;$A80&amp;"'!$A$12:$Z$41"),MATCH("Points (Auto-generate)",INDIRECT("'"&amp;$A80&amp;"'!$A$12:$Z$12"),0),0)="","?",VLOOKUP(AG$1,INDIRECT("'"&amp;$A80&amp;"'!$A$12:$Z$41"),MATCH("Points (Auto-generate)",INDIRECT("'"&amp;$A80&amp;"'!$A$12:$Z$12"),0),0)),"ER"))</f>
        <v>?</v>
      </c>
      <c r="AH80" s="86" t="str">
        <f aca="true">IF($H80=0,"NA",IF($A80=INDIRECT("'"&amp;$A80&amp;"'!$B$1"),IF(VLOOKUP(AH$1,INDIRECT("'"&amp;$A80&amp;"'!$A$12:$Z$41"),MATCH("Points (Auto-generate)",INDIRECT("'"&amp;$A80&amp;"'!$A$12:$Z$12"),0),0)="","?",VLOOKUP(AH$1,INDIRECT("'"&amp;$A80&amp;"'!$A$12:$Z$41"),MATCH("Points (Auto-generate)",INDIRECT("'"&amp;$A80&amp;"'!$A$12:$Z$12"),0),0)),"ER"))</f>
        <v>?</v>
      </c>
      <c r="AI80" s="86" t="str">
        <f aca="true">IF($H80=0,"NA",IF($A80=INDIRECT("'"&amp;$A80&amp;"'!$B$1"),IF(VLOOKUP(AI$1,INDIRECT("'"&amp;$A80&amp;"'!$A$12:$Z$41"),MATCH("Points (Auto-generate)",INDIRECT("'"&amp;$A80&amp;"'!$A$12:$Z$12"),0),0)="","?",VLOOKUP(AI$1,INDIRECT("'"&amp;$A80&amp;"'!$A$12:$Z$41"),MATCH("Points (Auto-generate)",INDIRECT("'"&amp;$A80&amp;"'!$A$12:$Z$12"),0),0)),"ER"))</f>
        <v>?</v>
      </c>
      <c r="AJ80" s="86" t="str">
        <f aca="true">IF($H80=0,"NA",IF($A80=INDIRECT("'"&amp;$A80&amp;"'!$B$1"),IF(VLOOKUP(AJ$1,INDIRECT("'"&amp;$A80&amp;"'!$A$12:$Z$41"),MATCH("Points (Auto-generate)",INDIRECT("'"&amp;$A80&amp;"'!$A$12:$Z$12"),0),0)="","?",VLOOKUP(AJ$1,INDIRECT("'"&amp;$A80&amp;"'!$A$12:$Z$41"),MATCH("Points (Auto-generate)",INDIRECT("'"&amp;$A80&amp;"'!$A$12:$Z$12"),0),0)),"ER"))</f>
        <v>?</v>
      </c>
      <c r="AK80" s="86" t="str">
        <f aca="true">IF($H80=0,"NA",IF($A80=INDIRECT("'"&amp;$A80&amp;"'!$B$1"),IF(VLOOKUP(AK$1,INDIRECT("'"&amp;$A80&amp;"'!$A$12:$Z$41"),MATCH("Points (Auto-generate)",INDIRECT("'"&amp;$A80&amp;"'!$A$12:$Z$12"),0),0)="","?",VLOOKUP(AK$1,INDIRECT("'"&amp;$A80&amp;"'!$A$12:$Z$41"),MATCH("Points (Auto-generate)",INDIRECT("'"&amp;$A80&amp;"'!$A$12:$Z$12"),0),0)),"ER"))</f>
        <v>?</v>
      </c>
    </row>
    <row r="81" customFormat="false" ht="14.25" hidden="false" customHeight="false" outlineLevel="0" collapsed="false">
      <c r="A81" s="82" t="s">
        <v>244</v>
      </c>
      <c r="B81" s="83" t="str">
        <f aca="false">IF(ISBLANK($A81),"NO_CODE",VLOOKUP($A81,'UPD Questions_290926 '!$E$1:$N$300,MATCH(B$1,'UPD Questions_290926 '!$E$1:$N$1,0),0)&amp;"")</f>
        <v>Implementation</v>
      </c>
      <c r="C81" s="83" t="str">
        <f aca="false">IF(ISBLANK($A81),"NO_CODE",VLOOKUP($A81,'UPD Questions_290926 '!$E$1:$N$300,MATCH(C$1,'UPD Questions_290926 '!$E$1:$N$1,0),0)&amp;"")</f>
        <v>Does the city have dedicated institutional capacity to undertake specialised planning and development functions?</v>
      </c>
      <c r="D81" s="83" t="str">
        <f aca="false">IF(ISBLANK($A81),"NO_CODE",VLOOKUP($A81,'UPD Questions_290926 '!$E$1:$N$300,MATCH(D$1,'UPD Questions_290926 '!$E$1:$N$1,0),0)&amp;"")</f>
        <v>Climate</v>
      </c>
      <c r="E81" s="83" t="str">
        <f aca="false">IF(ISBLANK($A81),"NO_CODE",VLOOKUP($A81,'UPD Questions_290926 '!$E$1:$N$300,MATCH(E$1,'UPD Questions_290926 '!$E$1:$N$1,0),0)&amp;"")</f>
        <v>SQ</v>
      </c>
      <c r="F81" s="83" t="str">
        <f aca="false">IF(ISBLANK($A81),"NO_CODE",VLOOKUP($A81,'UPD Questions_290926 '!$E$1:$N$300,MATCH(F$1,'UPD Questions_290926 '!$E$1:$N$1,0),0)&amp;"")</f>
        <v>Does the city have a Climate Action/Sustainability/Disaster Management Cell?</v>
      </c>
      <c r="G81" s="83" t="str">
        <f aca="false">IF(ISBLANK($A81),"NO_CODE",VLOOKUP($A81,'UPD Questions_290926 '!$E$1:$N$300,MATCH(G$1,'UPD Questions_290926 '!$E$1:$N$1,0),0)&amp;"")</f>
        <v>Implementation</v>
      </c>
      <c r="H81" s="85" t="n">
        <f aca="false">IF(ISBLANK($A81),"NO_CODE",VLOOKUP($A81,'UPD Questions_290926 '!$E$1:$N$300,MATCH(H$1,'UPD Questions_290926 '!$E$1:$N$1,0),0))</f>
        <v>2.5</v>
      </c>
      <c r="I81" s="86" t="str">
        <f aca="true">IF($H81=0,"NA",IF($A81=INDIRECT("'"&amp;$A81&amp;"'!$B$1"),IF(VLOOKUP(I$1,INDIRECT("'"&amp;$A81&amp;"'!$A$12:$Z$41"),MATCH("Points (Auto-generate)",INDIRECT("'"&amp;$A81&amp;"'!$A$12:$Z$12"),0),0)="","?",VLOOKUP(I$1,INDIRECT("'"&amp;$A81&amp;"'!$A$12:$Z$41"),MATCH("Points (Auto-generate)",INDIRECT("'"&amp;$A81&amp;"'!$A$12:$Z$12"),0),0)),"ER"))</f>
        <v>?</v>
      </c>
      <c r="J81" s="86" t="str">
        <f aca="true">IF($H81=0,"NA",IF($A81=INDIRECT("'"&amp;$A81&amp;"'!$B$1"),IF(VLOOKUP(J$1,INDIRECT("'"&amp;$A81&amp;"'!$A$12:$Z$41"),MATCH("Points (Auto-generate)",INDIRECT("'"&amp;$A81&amp;"'!$A$12:$Z$12"),0),0)="","?",VLOOKUP(J$1,INDIRECT("'"&amp;$A81&amp;"'!$A$12:$Z$41"),MATCH("Points (Auto-generate)",INDIRECT("'"&amp;$A81&amp;"'!$A$12:$Z$12"),0),0)),"ER"))</f>
        <v>?</v>
      </c>
      <c r="K81" s="86" t="str">
        <f aca="true">IF($H81=0,"NA",IF($A81=INDIRECT("'"&amp;$A81&amp;"'!$B$1"),IF(VLOOKUP(K$1,INDIRECT("'"&amp;$A81&amp;"'!$A$12:$Z$41"),MATCH("Points (Auto-generate)",INDIRECT("'"&amp;$A81&amp;"'!$A$12:$Z$12"),0),0)="","?",VLOOKUP(K$1,INDIRECT("'"&amp;$A81&amp;"'!$A$12:$Z$41"),MATCH("Points (Auto-generate)",INDIRECT("'"&amp;$A81&amp;"'!$A$12:$Z$12"),0),0)),"ER"))</f>
        <v>?</v>
      </c>
      <c r="L81" s="86" t="str">
        <f aca="true">IF($H81=0,"NA",IF($A81=INDIRECT("'"&amp;$A81&amp;"'!$B$1"),IF(VLOOKUP(L$1,INDIRECT("'"&amp;$A81&amp;"'!$A$12:$Z$41"),MATCH("Points (Auto-generate)",INDIRECT("'"&amp;$A81&amp;"'!$A$12:$Z$12"),0),0)="","?",VLOOKUP(L$1,INDIRECT("'"&amp;$A81&amp;"'!$A$12:$Z$41"),MATCH("Points (Auto-generate)",INDIRECT("'"&amp;$A81&amp;"'!$A$12:$Z$12"),0),0)),"ER"))</f>
        <v>?</v>
      </c>
      <c r="M81" s="86" t="str">
        <f aca="true">IF($H81=0,"NA",IF($A81=INDIRECT("'"&amp;$A81&amp;"'!$B$1"),IF(VLOOKUP(M$1,INDIRECT("'"&amp;$A81&amp;"'!$A$12:$Z$41"),MATCH("Points (Auto-generate)",INDIRECT("'"&amp;$A81&amp;"'!$A$12:$Z$12"),0),0)="","?",VLOOKUP(M$1,INDIRECT("'"&amp;$A81&amp;"'!$A$12:$Z$41"),MATCH("Points (Auto-generate)",INDIRECT("'"&amp;$A81&amp;"'!$A$12:$Z$12"),0),0)),"ER"))</f>
        <v>?</v>
      </c>
      <c r="N81" s="86" t="str">
        <f aca="true">IF($H81=0,"NA",IF($A81=INDIRECT("'"&amp;$A81&amp;"'!$B$1"),IF(VLOOKUP(N$1,INDIRECT("'"&amp;$A81&amp;"'!$A$12:$Z$41"),MATCH("Points (Auto-generate)",INDIRECT("'"&amp;$A81&amp;"'!$A$12:$Z$12"),0),0)="","?",VLOOKUP(N$1,INDIRECT("'"&amp;$A81&amp;"'!$A$12:$Z$41"),MATCH("Points (Auto-generate)",INDIRECT("'"&amp;$A81&amp;"'!$A$12:$Z$12"),0),0)),"ER"))</f>
        <v>?</v>
      </c>
      <c r="O81" s="86" t="str">
        <f aca="true">IF($H81=0,"NA",IF($A81=INDIRECT("'"&amp;$A81&amp;"'!$B$1"),IF(VLOOKUP(O$1,INDIRECT("'"&amp;$A81&amp;"'!$A$12:$Z$41"),MATCH("Points (Auto-generate)",INDIRECT("'"&amp;$A81&amp;"'!$A$12:$Z$12"),0),0)="","?",VLOOKUP(O$1,INDIRECT("'"&amp;$A81&amp;"'!$A$12:$Z$41"),MATCH("Points (Auto-generate)",INDIRECT("'"&amp;$A81&amp;"'!$A$12:$Z$12"),0),0)),"ER"))</f>
        <v>?</v>
      </c>
      <c r="P81" s="86" t="str">
        <f aca="true">IF($H81=0,"NA",IF($A81=INDIRECT("'"&amp;$A81&amp;"'!$B$1"),IF(VLOOKUP(P$1,INDIRECT("'"&amp;$A81&amp;"'!$A$12:$Z$41"),MATCH("Points (Auto-generate)",INDIRECT("'"&amp;$A81&amp;"'!$A$12:$Z$12"),0),0)="","?",VLOOKUP(P$1,INDIRECT("'"&amp;$A81&amp;"'!$A$12:$Z$41"),MATCH("Points (Auto-generate)",INDIRECT("'"&amp;$A81&amp;"'!$A$12:$Z$12"),0),0)),"ER"))</f>
        <v>?</v>
      </c>
      <c r="Q81" s="86" t="str">
        <f aca="true">IF($H81=0,"NA",IF($A81=INDIRECT("'"&amp;$A81&amp;"'!$B$1"),IF(VLOOKUP(Q$1,INDIRECT("'"&amp;$A81&amp;"'!$A$12:$Z$41"),MATCH("Points (Auto-generate)",INDIRECT("'"&amp;$A81&amp;"'!$A$12:$Z$12"),0),0)="","?",VLOOKUP(Q$1,INDIRECT("'"&amp;$A81&amp;"'!$A$12:$Z$41"),MATCH("Points (Auto-generate)",INDIRECT("'"&amp;$A81&amp;"'!$A$12:$Z$12"),0),0)),"ER"))</f>
        <v>?</v>
      </c>
      <c r="R81" s="86" t="str">
        <f aca="true">IF($H81=0,"NA",IF($A81=INDIRECT("'"&amp;$A81&amp;"'!$B$1"),IF(VLOOKUP(R$1,INDIRECT("'"&amp;$A81&amp;"'!$A$12:$Z$41"),MATCH("Points (Auto-generate)",INDIRECT("'"&amp;$A81&amp;"'!$A$12:$Z$12"),0),0)="","?",VLOOKUP(R$1,INDIRECT("'"&amp;$A81&amp;"'!$A$12:$Z$41"),MATCH("Points (Auto-generate)",INDIRECT("'"&amp;$A81&amp;"'!$A$12:$Z$12"),0),0)),"ER"))</f>
        <v>?</v>
      </c>
      <c r="S81" s="86" t="str">
        <f aca="true">IF($H81=0,"NA",IF($A81=INDIRECT("'"&amp;$A81&amp;"'!$B$1"),IF(VLOOKUP(S$1,INDIRECT("'"&amp;$A81&amp;"'!$A$12:$Z$41"),MATCH("Points (Auto-generate)",INDIRECT("'"&amp;$A81&amp;"'!$A$12:$Z$12"),0),0)="","?",VLOOKUP(S$1,INDIRECT("'"&amp;$A81&amp;"'!$A$12:$Z$41"),MATCH("Points (Auto-generate)",INDIRECT("'"&amp;$A81&amp;"'!$A$12:$Z$12"),0),0)),"ER"))</f>
        <v>?</v>
      </c>
      <c r="T81" s="86" t="str">
        <f aca="true">IF($H81=0,"NA",IF($A81=INDIRECT("'"&amp;$A81&amp;"'!$B$1"),IF(VLOOKUP(T$1,INDIRECT("'"&amp;$A81&amp;"'!$A$12:$Z$41"),MATCH("Points (Auto-generate)",INDIRECT("'"&amp;$A81&amp;"'!$A$12:$Z$12"),0),0)="","?",VLOOKUP(T$1,INDIRECT("'"&amp;$A81&amp;"'!$A$12:$Z$41"),MATCH("Points (Auto-generate)",INDIRECT("'"&amp;$A81&amp;"'!$A$12:$Z$12"),0),0)),"ER"))</f>
        <v>?</v>
      </c>
      <c r="U81" s="86" t="str">
        <f aca="true">IF($H81=0,"NA",IF($A81=INDIRECT("'"&amp;$A81&amp;"'!$B$1"),IF(VLOOKUP(U$1,INDIRECT("'"&amp;$A81&amp;"'!$A$12:$Z$41"),MATCH("Points (Auto-generate)",INDIRECT("'"&amp;$A81&amp;"'!$A$12:$Z$12"),0),0)="","?",VLOOKUP(U$1,INDIRECT("'"&amp;$A81&amp;"'!$A$12:$Z$41"),MATCH("Points (Auto-generate)",INDIRECT("'"&amp;$A81&amp;"'!$A$12:$Z$12"),0),0)),"ER"))</f>
        <v>?</v>
      </c>
      <c r="V81" s="86" t="str">
        <f aca="true">IF($H81=0,"NA",IF($A81=INDIRECT("'"&amp;$A81&amp;"'!$B$1"),IF(VLOOKUP(V$1,INDIRECT("'"&amp;$A81&amp;"'!$A$12:$Z$41"),MATCH("Points (Auto-generate)",INDIRECT("'"&amp;$A81&amp;"'!$A$12:$Z$12"),0),0)="","?",VLOOKUP(V$1,INDIRECT("'"&amp;$A81&amp;"'!$A$12:$Z$41"),MATCH("Points (Auto-generate)",INDIRECT("'"&amp;$A81&amp;"'!$A$12:$Z$12"),0),0)),"ER"))</f>
        <v>?</v>
      </c>
      <c r="W81" s="86" t="str">
        <f aca="true">IF($H81=0,"NA",IF($A81=INDIRECT("'"&amp;$A81&amp;"'!$B$1"),IF(VLOOKUP(W$1,INDIRECT("'"&amp;$A81&amp;"'!$A$12:$Z$41"),MATCH("Points (Auto-generate)",INDIRECT("'"&amp;$A81&amp;"'!$A$12:$Z$12"),0),0)="","?",VLOOKUP(W$1,INDIRECT("'"&amp;$A81&amp;"'!$A$12:$Z$41"),MATCH("Points (Auto-generate)",INDIRECT("'"&amp;$A81&amp;"'!$A$12:$Z$12"),0),0)),"ER"))</f>
        <v>?</v>
      </c>
      <c r="X81" s="86" t="str">
        <f aca="true">IF($H81=0,"NA",IF($A81=INDIRECT("'"&amp;$A81&amp;"'!$B$1"),IF(VLOOKUP(X$1,INDIRECT("'"&amp;$A81&amp;"'!$A$12:$Z$41"),MATCH("Points (Auto-generate)",INDIRECT("'"&amp;$A81&amp;"'!$A$12:$Z$12"),0),0)="","?",VLOOKUP(X$1,INDIRECT("'"&amp;$A81&amp;"'!$A$12:$Z$41"),MATCH("Points (Auto-generate)",INDIRECT("'"&amp;$A81&amp;"'!$A$12:$Z$12"),0),0)),"ER"))</f>
        <v>?</v>
      </c>
      <c r="Y81" s="86" t="str">
        <f aca="true">IF($H81=0,"NA",IF($A81=INDIRECT("'"&amp;$A81&amp;"'!$B$1"),IF(VLOOKUP(Y$1,INDIRECT("'"&amp;$A81&amp;"'!$A$12:$Z$41"),MATCH("Points (Auto-generate)",INDIRECT("'"&amp;$A81&amp;"'!$A$12:$Z$12"),0),0)="","?",VLOOKUP(Y$1,INDIRECT("'"&amp;$A81&amp;"'!$A$12:$Z$41"),MATCH("Points (Auto-generate)",INDIRECT("'"&amp;$A81&amp;"'!$A$12:$Z$12"),0),0)),"ER"))</f>
        <v>?</v>
      </c>
      <c r="Z81" s="86" t="str">
        <f aca="true">IF($H81=0,"NA",IF($A81=INDIRECT("'"&amp;$A81&amp;"'!$B$1"),IF(VLOOKUP(Z$1,INDIRECT("'"&amp;$A81&amp;"'!$A$12:$Z$41"),MATCH("Points (Auto-generate)",INDIRECT("'"&amp;$A81&amp;"'!$A$12:$Z$12"),0),0)="","?",VLOOKUP(Z$1,INDIRECT("'"&amp;$A81&amp;"'!$A$12:$Z$41"),MATCH("Points (Auto-generate)",INDIRECT("'"&amp;$A81&amp;"'!$A$12:$Z$12"),0),0)),"ER"))</f>
        <v>?</v>
      </c>
      <c r="AA81" s="86" t="str">
        <f aca="true">IF($H81=0,"NA",IF($A81=INDIRECT("'"&amp;$A81&amp;"'!$B$1"),IF(VLOOKUP(AA$1,INDIRECT("'"&amp;$A81&amp;"'!$A$12:$Z$41"),MATCH("Points (Auto-generate)",INDIRECT("'"&amp;$A81&amp;"'!$A$12:$Z$12"),0),0)="","?",VLOOKUP(AA$1,INDIRECT("'"&amp;$A81&amp;"'!$A$12:$Z$41"),MATCH("Points (Auto-generate)",INDIRECT("'"&amp;$A81&amp;"'!$A$12:$Z$12"),0),0)),"ER"))</f>
        <v>?</v>
      </c>
      <c r="AB81" s="86" t="str">
        <f aca="true">IF($H81=0,"NA",IF($A81=INDIRECT("'"&amp;$A81&amp;"'!$B$1"),IF(VLOOKUP(AB$1,INDIRECT("'"&amp;$A81&amp;"'!$A$12:$Z$41"),MATCH("Points (Auto-generate)",INDIRECT("'"&amp;$A81&amp;"'!$A$12:$Z$12"),0),0)="","?",VLOOKUP(AB$1,INDIRECT("'"&amp;$A81&amp;"'!$A$12:$Z$41"),MATCH("Points (Auto-generate)",INDIRECT("'"&amp;$A81&amp;"'!$A$12:$Z$12"),0),0)),"ER"))</f>
        <v>?</v>
      </c>
      <c r="AC81" s="86" t="str">
        <f aca="true">IF($H81=0,"NA",IF($A81=INDIRECT("'"&amp;$A81&amp;"'!$B$1"),IF(VLOOKUP(AC$1,INDIRECT("'"&amp;$A81&amp;"'!$A$12:$Z$41"),MATCH("Points (Auto-generate)",INDIRECT("'"&amp;$A81&amp;"'!$A$12:$Z$12"),0),0)="","?",VLOOKUP(AC$1,INDIRECT("'"&amp;$A81&amp;"'!$A$12:$Z$41"),MATCH("Points (Auto-generate)",INDIRECT("'"&amp;$A81&amp;"'!$A$12:$Z$12"),0),0)),"ER"))</f>
        <v>?</v>
      </c>
      <c r="AD81" s="86" t="str">
        <f aca="true">IF($H81=0,"NA",IF($A81=INDIRECT("'"&amp;$A81&amp;"'!$B$1"),IF(VLOOKUP(AD$1,INDIRECT("'"&amp;$A81&amp;"'!$A$12:$Z$41"),MATCH("Points (Auto-generate)",INDIRECT("'"&amp;$A81&amp;"'!$A$12:$Z$12"),0),0)="","?",VLOOKUP(AD$1,INDIRECT("'"&amp;$A81&amp;"'!$A$12:$Z$41"),MATCH("Points (Auto-generate)",INDIRECT("'"&amp;$A81&amp;"'!$A$12:$Z$12"),0),0)),"ER"))</f>
        <v>?</v>
      </c>
      <c r="AE81" s="86" t="str">
        <f aca="true">IF($H81=0,"NA",IF($A81=INDIRECT("'"&amp;$A81&amp;"'!$B$1"),IF(VLOOKUP(AE$1,INDIRECT("'"&amp;$A81&amp;"'!$A$12:$Z$41"),MATCH("Points (Auto-generate)",INDIRECT("'"&amp;$A81&amp;"'!$A$12:$Z$12"),0),0)="","?",VLOOKUP(AE$1,INDIRECT("'"&amp;$A81&amp;"'!$A$12:$Z$41"),MATCH("Points (Auto-generate)",INDIRECT("'"&amp;$A81&amp;"'!$A$12:$Z$12"),0),0)),"ER"))</f>
        <v>?</v>
      </c>
      <c r="AF81" s="86" t="str">
        <f aca="true">IF($H81=0,"NA",IF($A81=INDIRECT("'"&amp;$A81&amp;"'!$B$1"),IF(VLOOKUP(AF$1,INDIRECT("'"&amp;$A81&amp;"'!$A$12:$Z$41"),MATCH("Points (Auto-generate)",INDIRECT("'"&amp;$A81&amp;"'!$A$12:$Z$12"),0),0)="","?",VLOOKUP(AF$1,INDIRECT("'"&amp;$A81&amp;"'!$A$12:$Z$41"),MATCH("Points (Auto-generate)",INDIRECT("'"&amp;$A81&amp;"'!$A$12:$Z$12"),0),0)),"ER"))</f>
        <v>?</v>
      </c>
      <c r="AG81" s="86" t="str">
        <f aca="true">IF($H81=0,"NA",IF($A81=INDIRECT("'"&amp;$A81&amp;"'!$B$1"),IF(VLOOKUP(AG$1,INDIRECT("'"&amp;$A81&amp;"'!$A$12:$Z$41"),MATCH("Points (Auto-generate)",INDIRECT("'"&amp;$A81&amp;"'!$A$12:$Z$12"),0),0)="","?",VLOOKUP(AG$1,INDIRECT("'"&amp;$A81&amp;"'!$A$12:$Z$41"),MATCH("Points (Auto-generate)",INDIRECT("'"&amp;$A81&amp;"'!$A$12:$Z$12"),0),0)),"ER"))</f>
        <v>?</v>
      </c>
      <c r="AH81" s="86" t="str">
        <f aca="true">IF($H81=0,"NA",IF($A81=INDIRECT("'"&amp;$A81&amp;"'!$B$1"),IF(VLOOKUP(AH$1,INDIRECT("'"&amp;$A81&amp;"'!$A$12:$Z$41"),MATCH("Points (Auto-generate)",INDIRECT("'"&amp;$A81&amp;"'!$A$12:$Z$12"),0),0)="","?",VLOOKUP(AH$1,INDIRECT("'"&amp;$A81&amp;"'!$A$12:$Z$41"),MATCH("Points (Auto-generate)",INDIRECT("'"&amp;$A81&amp;"'!$A$12:$Z$12"),0),0)),"ER"))</f>
        <v>?</v>
      </c>
      <c r="AI81" s="86" t="str">
        <f aca="true">IF($H81=0,"NA",IF($A81=INDIRECT("'"&amp;$A81&amp;"'!$B$1"),IF(VLOOKUP(AI$1,INDIRECT("'"&amp;$A81&amp;"'!$A$12:$Z$41"),MATCH("Points (Auto-generate)",INDIRECT("'"&amp;$A81&amp;"'!$A$12:$Z$12"),0),0)="","?",VLOOKUP(AI$1,INDIRECT("'"&amp;$A81&amp;"'!$A$12:$Z$41"),MATCH("Points (Auto-generate)",INDIRECT("'"&amp;$A81&amp;"'!$A$12:$Z$12"),0),0)),"ER"))</f>
        <v>?</v>
      </c>
      <c r="AJ81" s="86" t="str">
        <f aca="true">IF($H81=0,"NA",IF($A81=INDIRECT("'"&amp;$A81&amp;"'!$B$1"),IF(VLOOKUP(AJ$1,INDIRECT("'"&amp;$A81&amp;"'!$A$12:$Z$41"),MATCH("Points (Auto-generate)",INDIRECT("'"&amp;$A81&amp;"'!$A$12:$Z$12"),0),0)="","?",VLOOKUP(AJ$1,INDIRECT("'"&amp;$A81&amp;"'!$A$12:$Z$41"),MATCH("Points (Auto-generate)",INDIRECT("'"&amp;$A81&amp;"'!$A$12:$Z$12"),0),0)),"ER"))</f>
        <v>?</v>
      </c>
      <c r="AK81" s="86" t="str">
        <f aca="true">IF($H81=0,"NA",IF($A81=INDIRECT("'"&amp;$A81&amp;"'!$B$1"),IF(VLOOKUP(AK$1,INDIRECT("'"&amp;$A81&amp;"'!$A$12:$Z$41"),MATCH("Points (Auto-generate)",INDIRECT("'"&amp;$A81&amp;"'!$A$12:$Z$12"),0),0)="","?",VLOOKUP(AK$1,INDIRECT("'"&amp;$A81&amp;"'!$A$12:$Z$41"),MATCH("Points (Auto-generate)",INDIRECT("'"&amp;$A81&amp;"'!$A$12:$Z$12"),0),0)),"ER"))</f>
        <v>?</v>
      </c>
    </row>
    <row r="82" customFormat="false" ht="14.25" hidden="false" customHeight="false" outlineLevel="0" collapsed="false">
      <c r="A82" s="82" t="s">
        <v>247</v>
      </c>
      <c r="B82" s="83" t="str">
        <f aca="false">IF(ISBLANK($A82),"NO_CODE",VLOOKUP($A82,'UPD Questions_290926 '!$E$1:$N$300,MATCH(B$1,'UPD Questions_290926 '!$E$1:$N$1,0),0)&amp;"")</f>
        <v>Implementation</v>
      </c>
      <c r="C82" s="83" t="str">
        <f aca="false">IF(ISBLANK($A82),"NO_CODE",VLOOKUP($A82,'UPD Questions_290926 '!$E$1:$N$300,MATCH(C$1,'UPD Questions_290926 '!$E$1:$N$1,0),0)&amp;"")</f>
        <v>Does the city have dedicated institutional capacity to undertake specialised planning and development functions?</v>
      </c>
      <c r="D82" s="83" t="str">
        <f aca="false">IF(ISBLANK($A82),"NO_CODE",VLOOKUP($A82,'UPD Questions_290926 '!$E$1:$N$300,MATCH(D$1,'UPD Questions_290926 '!$E$1:$N$1,0),0)&amp;"")</f>
        <v>Economic development</v>
      </c>
      <c r="E82" s="83" t="str">
        <f aca="false">IF(ISBLANK($A82),"NO_CODE",VLOOKUP($A82,'UPD Questions_290926 '!$E$1:$N$300,MATCH(E$1,'UPD Questions_290926 '!$E$1:$N$1,0),0)&amp;"")</f>
        <v>SQ</v>
      </c>
      <c r="F82" s="83" t="str">
        <f aca="false">IF(ISBLANK($A82),"NO_CODE",VLOOKUP($A82,'UPD Questions_290926 '!$E$1:$N$300,MATCH(F$1,'UPD Questions_290926 '!$E$1:$N$1,0),0)&amp;"")</f>
        <v>Does the city have an Economic Develepment Cell ?</v>
      </c>
      <c r="G82" s="83" t="str">
        <f aca="false">IF(ISBLANK($A82),"NO_CODE",VLOOKUP($A82,'UPD Questions_290926 '!$E$1:$N$300,MATCH(G$1,'UPD Questions_290926 '!$E$1:$N$1,0),0)&amp;"")</f>
        <v>Implementation</v>
      </c>
      <c r="H82" s="85" t="n">
        <f aca="false">IF(ISBLANK($A82),"NO_CODE",VLOOKUP($A82,'UPD Questions_290926 '!$E$1:$N$300,MATCH(H$1,'UPD Questions_290926 '!$E$1:$N$1,0),0))</f>
        <v>2.5</v>
      </c>
      <c r="I82" s="86" t="str">
        <f aca="true">IF($H82=0,"NA",IF($A82=INDIRECT("'"&amp;$A82&amp;"'!$B$1"),IF(VLOOKUP(I$1,INDIRECT("'"&amp;$A82&amp;"'!$A$12:$Z$41"),MATCH("Points (Auto-generate)",INDIRECT("'"&amp;$A82&amp;"'!$A$12:$Z$12"),0),0)="","?",VLOOKUP(I$1,INDIRECT("'"&amp;$A82&amp;"'!$A$12:$Z$41"),MATCH("Points (Auto-generate)",INDIRECT("'"&amp;$A82&amp;"'!$A$12:$Z$12"),0),0)),"ER"))</f>
        <v>?</v>
      </c>
      <c r="J82" s="86" t="str">
        <f aca="true">IF($H82=0,"NA",IF($A82=INDIRECT("'"&amp;$A82&amp;"'!$B$1"),IF(VLOOKUP(J$1,INDIRECT("'"&amp;$A82&amp;"'!$A$12:$Z$41"),MATCH("Points (Auto-generate)",INDIRECT("'"&amp;$A82&amp;"'!$A$12:$Z$12"),0),0)="","?",VLOOKUP(J$1,INDIRECT("'"&amp;$A82&amp;"'!$A$12:$Z$41"),MATCH("Points (Auto-generate)",INDIRECT("'"&amp;$A82&amp;"'!$A$12:$Z$12"),0),0)),"ER"))</f>
        <v>?</v>
      </c>
      <c r="K82" s="86" t="str">
        <f aca="true">IF($H82=0,"NA",IF($A82=INDIRECT("'"&amp;$A82&amp;"'!$B$1"),IF(VLOOKUP(K$1,INDIRECT("'"&amp;$A82&amp;"'!$A$12:$Z$41"),MATCH("Points (Auto-generate)",INDIRECT("'"&amp;$A82&amp;"'!$A$12:$Z$12"),0),0)="","?",VLOOKUP(K$1,INDIRECT("'"&amp;$A82&amp;"'!$A$12:$Z$41"),MATCH("Points (Auto-generate)",INDIRECT("'"&amp;$A82&amp;"'!$A$12:$Z$12"),0),0)),"ER"))</f>
        <v>?</v>
      </c>
      <c r="L82" s="86" t="str">
        <f aca="true">IF($H82=0,"NA",IF($A82=INDIRECT("'"&amp;$A82&amp;"'!$B$1"),IF(VLOOKUP(L$1,INDIRECT("'"&amp;$A82&amp;"'!$A$12:$Z$41"),MATCH("Points (Auto-generate)",INDIRECT("'"&amp;$A82&amp;"'!$A$12:$Z$12"),0),0)="","?",VLOOKUP(L$1,INDIRECT("'"&amp;$A82&amp;"'!$A$12:$Z$41"),MATCH("Points (Auto-generate)",INDIRECT("'"&amp;$A82&amp;"'!$A$12:$Z$12"),0),0)),"ER"))</f>
        <v>?</v>
      </c>
      <c r="M82" s="86" t="str">
        <f aca="true">IF($H82=0,"NA",IF($A82=INDIRECT("'"&amp;$A82&amp;"'!$B$1"),IF(VLOOKUP(M$1,INDIRECT("'"&amp;$A82&amp;"'!$A$12:$Z$41"),MATCH("Points (Auto-generate)",INDIRECT("'"&amp;$A82&amp;"'!$A$12:$Z$12"),0),0)="","?",VLOOKUP(M$1,INDIRECT("'"&amp;$A82&amp;"'!$A$12:$Z$41"),MATCH("Points (Auto-generate)",INDIRECT("'"&amp;$A82&amp;"'!$A$12:$Z$12"),0),0)),"ER"))</f>
        <v>?</v>
      </c>
      <c r="N82" s="86" t="str">
        <f aca="true">IF($H82=0,"NA",IF($A82=INDIRECT("'"&amp;$A82&amp;"'!$B$1"),IF(VLOOKUP(N$1,INDIRECT("'"&amp;$A82&amp;"'!$A$12:$Z$41"),MATCH("Points (Auto-generate)",INDIRECT("'"&amp;$A82&amp;"'!$A$12:$Z$12"),0),0)="","?",VLOOKUP(N$1,INDIRECT("'"&amp;$A82&amp;"'!$A$12:$Z$41"),MATCH("Points (Auto-generate)",INDIRECT("'"&amp;$A82&amp;"'!$A$12:$Z$12"),0),0)),"ER"))</f>
        <v>?</v>
      </c>
      <c r="O82" s="86" t="str">
        <f aca="true">IF($H82=0,"NA",IF($A82=INDIRECT("'"&amp;$A82&amp;"'!$B$1"),IF(VLOOKUP(O$1,INDIRECT("'"&amp;$A82&amp;"'!$A$12:$Z$41"),MATCH("Points (Auto-generate)",INDIRECT("'"&amp;$A82&amp;"'!$A$12:$Z$12"),0),0)="","?",VLOOKUP(O$1,INDIRECT("'"&amp;$A82&amp;"'!$A$12:$Z$41"),MATCH("Points (Auto-generate)",INDIRECT("'"&amp;$A82&amp;"'!$A$12:$Z$12"),0),0)),"ER"))</f>
        <v>?</v>
      </c>
      <c r="P82" s="86" t="str">
        <f aca="true">IF($H82=0,"NA",IF($A82=INDIRECT("'"&amp;$A82&amp;"'!$B$1"),IF(VLOOKUP(P$1,INDIRECT("'"&amp;$A82&amp;"'!$A$12:$Z$41"),MATCH("Points (Auto-generate)",INDIRECT("'"&amp;$A82&amp;"'!$A$12:$Z$12"),0),0)="","?",VLOOKUP(P$1,INDIRECT("'"&amp;$A82&amp;"'!$A$12:$Z$41"),MATCH("Points (Auto-generate)",INDIRECT("'"&amp;$A82&amp;"'!$A$12:$Z$12"),0),0)),"ER"))</f>
        <v>?</v>
      </c>
      <c r="Q82" s="86" t="str">
        <f aca="true">IF($H82=0,"NA",IF($A82=INDIRECT("'"&amp;$A82&amp;"'!$B$1"),IF(VLOOKUP(Q$1,INDIRECT("'"&amp;$A82&amp;"'!$A$12:$Z$41"),MATCH("Points (Auto-generate)",INDIRECT("'"&amp;$A82&amp;"'!$A$12:$Z$12"),0),0)="","?",VLOOKUP(Q$1,INDIRECT("'"&amp;$A82&amp;"'!$A$12:$Z$41"),MATCH("Points (Auto-generate)",INDIRECT("'"&amp;$A82&amp;"'!$A$12:$Z$12"),0),0)),"ER"))</f>
        <v>?</v>
      </c>
      <c r="R82" s="86" t="str">
        <f aca="true">IF($H82=0,"NA",IF($A82=INDIRECT("'"&amp;$A82&amp;"'!$B$1"),IF(VLOOKUP(R$1,INDIRECT("'"&amp;$A82&amp;"'!$A$12:$Z$41"),MATCH("Points (Auto-generate)",INDIRECT("'"&amp;$A82&amp;"'!$A$12:$Z$12"),0),0)="","?",VLOOKUP(R$1,INDIRECT("'"&amp;$A82&amp;"'!$A$12:$Z$41"),MATCH("Points (Auto-generate)",INDIRECT("'"&amp;$A82&amp;"'!$A$12:$Z$12"),0),0)),"ER"))</f>
        <v>?</v>
      </c>
      <c r="S82" s="86" t="str">
        <f aca="true">IF($H82=0,"NA",IF($A82=INDIRECT("'"&amp;$A82&amp;"'!$B$1"),IF(VLOOKUP(S$1,INDIRECT("'"&amp;$A82&amp;"'!$A$12:$Z$41"),MATCH("Points (Auto-generate)",INDIRECT("'"&amp;$A82&amp;"'!$A$12:$Z$12"),0),0)="","?",VLOOKUP(S$1,INDIRECT("'"&amp;$A82&amp;"'!$A$12:$Z$41"),MATCH("Points (Auto-generate)",INDIRECT("'"&amp;$A82&amp;"'!$A$12:$Z$12"),0),0)),"ER"))</f>
        <v>?</v>
      </c>
      <c r="T82" s="86" t="str">
        <f aca="true">IF($H82=0,"NA",IF($A82=INDIRECT("'"&amp;$A82&amp;"'!$B$1"),IF(VLOOKUP(T$1,INDIRECT("'"&amp;$A82&amp;"'!$A$12:$Z$41"),MATCH("Points (Auto-generate)",INDIRECT("'"&amp;$A82&amp;"'!$A$12:$Z$12"),0),0)="","?",VLOOKUP(T$1,INDIRECT("'"&amp;$A82&amp;"'!$A$12:$Z$41"),MATCH("Points (Auto-generate)",INDIRECT("'"&amp;$A82&amp;"'!$A$12:$Z$12"),0),0)),"ER"))</f>
        <v>?</v>
      </c>
      <c r="U82" s="86" t="str">
        <f aca="true">IF($H82=0,"NA",IF($A82=INDIRECT("'"&amp;$A82&amp;"'!$B$1"),IF(VLOOKUP(U$1,INDIRECT("'"&amp;$A82&amp;"'!$A$12:$Z$41"),MATCH("Points (Auto-generate)",INDIRECT("'"&amp;$A82&amp;"'!$A$12:$Z$12"),0),0)="","?",VLOOKUP(U$1,INDIRECT("'"&amp;$A82&amp;"'!$A$12:$Z$41"),MATCH("Points (Auto-generate)",INDIRECT("'"&amp;$A82&amp;"'!$A$12:$Z$12"),0),0)),"ER"))</f>
        <v>?</v>
      </c>
      <c r="V82" s="86" t="str">
        <f aca="true">IF($H82=0,"NA",IF($A82=INDIRECT("'"&amp;$A82&amp;"'!$B$1"),IF(VLOOKUP(V$1,INDIRECT("'"&amp;$A82&amp;"'!$A$12:$Z$41"),MATCH("Points (Auto-generate)",INDIRECT("'"&amp;$A82&amp;"'!$A$12:$Z$12"),0),0)="","?",VLOOKUP(V$1,INDIRECT("'"&amp;$A82&amp;"'!$A$12:$Z$41"),MATCH("Points (Auto-generate)",INDIRECT("'"&amp;$A82&amp;"'!$A$12:$Z$12"),0),0)),"ER"))</f>
        <v>?</v>
      </c>
      <c r="W82" s="86" t="str">
        <f aca="true">IF($H82=0,"NA",IF($A82=INDIRECT("'"&amp;$A82&amp;"'!$B$1"),IF(VLOOKUP(W$1,INDIRECT("'"&amp;$A82&amp;"'!$A$12:$Z$41"),MATCH("Points (Auto-generate)",INDIRECT("'"&amp;$A82&amp;"'!$A$12:$Z$12"),0),0)="","?",VLOOKUP(W$1,INDIRECT("'"&amp;$A82&amp;"'!$A$12:$Z$41"),MATCH("Points (Auto-generate)",INDIRECT("'"&amp;$A82&amp;"'!$A$12:$Z$12"),0),0)),"ER"))</f>
        <v>?</v>
      </c>
      <c r="X82" s="86" t="str">
        <f aca="true">IF($H82=0,"NA",IF($A82=INDIRECT("'"&amp;$A82&amp;"'!$B$1"),IF(VLOOKUP(X$1,INDIRECT("'"&amp;$A82&amp;"'!$A$12:$Z$41"),MATCH("Points (Auto-generate)",INDIRECT("'"&amp;$A82&amp;"'!$A$12:$Z$12"),0),0)="","?",VLOOKUP(X$1,INDIRECT("'"&amp;$A82&amp;"'!$A$12:$Z$41"),MATCH("Points (Auto-generate)",INDIRECT("'"&amp;$A82&amp;"'!$A$12:$Z$12"),0),0)),"ER"))</f>
        <v>?</v>
      </c>
      <c r="Y82" s="86" t="str">
        <f aca="true">IF($H82=0,"NA",IF($A82=INDIRECT("'"&amp;$A82&amp;"'!$B$1"),IF(VLOOKUP(Y$1,INDIRECT("'"&amp;$A82&amp;"'!$A$12:$Z$41"),MATCH("Points (Auto-generate)",INDIRECT("'"&amp;$A82&amp;"'!$A$12:$Z$12"),0),0)="","?",VLOOKUP(Y$1,INDIRECT("'"&amp;$A82&amp;"'!$A$12:$Z$41"),MATCH("Points (Auto-generate)",INDIRECT("'"&amp;$A82&amp;"'!$A$12:$Z$12"),0),0)),"ER"))</f>
        <v>?</v>
      </c>
      <c r="Z82" s="86" t="str">
        <f aca="true">IF($H82=0,"NA",IF($A82=INDIRECT("'"&amp;$A82&amp;"'!$B$1"),IF(VLOOKUP(Z$1,INDIRECT("'"&amp;$A82&amp;"'!$A$12:$Z$41"),MATCH("Points (Auto-generate)",INDIRECT("'"&amp;$A82&amp;"'!$A$12:$Z$12"),0),0)="","?",VLOOKUP(Z$1,INDIRECT("'"&amp;$A82&amp;"'!$A$12:$Z$41"),MATCH("Points (Auto-generate)",INDIRECT("'"&amp;$A82&amp;"'!$A$12:$Z$12"),0),0)),"ER"))</f>
        <v>?</v>
      </c>
      <c r="AA82" s="86" t="str">
        <f aca="true">IF($H82=0,"NA",IF($A82=INDIRECT("'"&amp;$A82&amp;"'!$B$1"),IF(VLOOKUP(AA$1,INDIRECT("'"&amp;$A82&amp;"'!$A$12:$Z$41"),MATCH("Points (Auto-generate)",INDIRECT("'"&amp;$A82&amp;"'!$A$12:$Z$12"),0),0)="","?",VLOOKUP(AA$1,INDIRECT("'"&amp;$A82&amp;"'!$A$12:$Z$41"),MATCH("Points (Auto-generate)",INDIRECT("'"&amp;$A82&amp;"'!$A$12:$Z$12"),0),0)),"ER"))</f>
        <v>?</v>
      </c>
      <c r="AB82" s="86" t="str">
        <f aca="true">IF($H82=0,"NA",IF($A82=INDIRECT("'"&amp;$A82&amp;"'!$B$1"),IF(VLOOKUP(AB$1,INDIRECT("'"&amp;$A82&amp;"'!$A$12:$Z$41"),MATCH("Points (Auto-generate)",INDIRECT("'"&amp;$A82&amp;"'!$A$12:$Z$12"),0),0)="","?",VLOOKUP(AB$1,INDIRECT("'"&amp;$A82&amp;"'!$A$12:$Z$41"),MATCH("Points (Auto-generate)",INDIRECT("'"&amp;$A82&amp;"'!$A$12:$Z$12"),0),0)),"ER"))</f>
        <v>?</v>
      </c>
      <c r="AC82" s="86" t="str">
        <f aca="true">IF($H82=0,"NA",IF($A82=INDIRECT("'"&amp;$A82&amp;"'!$B$1"),IF(VLOOKUP(AC$1,INDIRECT("'"&amp;$A82&amp;"'!$A$12:$Z$41"),MATCH("Points (Auto-generate)",INDIRECT("'"&amp;$A82&amp;"'!$A$12:$Z$12"),0),0)="","?",VLOOKUP(AC$1,INDIRECT("'"&amp;$A82&amp;"'!$A$12:$Z$41"),MATCH("Points (Auto-generate)",INDIRECT("'"&amp;$A82&amp;"'!$A$12:$Z$12"),0),0)),"ER"))</f>
        <v>?</v>
      </c>
      <c r="AD82" s="86" t="str">
        <f aca="true">IF($H82=0,"NA",IF($A82=INDIRECT("'"&amp;$A82&amp;"'!$B$1"),IF(VLOOKUP(AD$1,INDIRECT("'"&amp;$A82&amp;"'!$A$12:$Z$41"),MATCH("Points (Auto-generate)",INDIRECT("'"&amp;$A82&amp;"'!$A$12:$Z$12"),0),0)="","?",VLOOKUP(AD$1,INDIRECT("'"&amp;$A82&amp;"'!$A$12:$Z$41"),MATCH("Points (Auto-generate)",INDIRECT("'"&amp;$A82&amp;"'!$A$12:$Z$12"),0),0)),"ER"))</f>
        <v>?</v>
      </c>
      <c r="AE82" s="86" t="str">
        <f aca="true">IF($H82=0,"NA",IF($A82=INDIRECT("'"&amp;$A82&amp;"'!$B$1"),IF(VLOOKUP(AE$1,INDIRECT("'"&amp;$A82&amp;"'!$A$12:$Z$41"),MATCH("Points (Auto-generate)",INDIRECT("'"&amp;$A82&amp;"'!$A$12:$Z$12"),0),0)="","?",VLOOKUP(AE$1,INDIRECT("'"&amp;$A82&amp;"'!$A$12:$Z$41"),MATCH("Points (Auto-generate)",INDIRECT("'"&amp;$A82&amp;"'!$A$12:$Z$12"),0),0)),"ER"))</f>
        <v>?</v>
      </c>
      <c r="AF82" s="86" t="str">
        <f aca="true">IF($H82=0,"NA",IF($A82=INDIRECT("'"&amp;$A82&amp;"'!$B$1"),IF(VLOOKUP(AF$1,INDIRECT("'"&amp;$A82&amp;"'!$A$12:$Z$41"),MATCH("Points (Auto-generate)",INDIRECT("'"&amp;$A82&amp;"'!$A$12:$Z$12"),0),0)="","?",VLOOKUP(AF$1,INDIRECT("'"&amp;$A82&amp;"'!$A$12:$Z$41"),MATCH("Points (Auto-generate)",INDIRECT("'"&amp;$A82&amp;"'!$A$12:$Z$12"),0),0)),"ER"))</f>
        <v>?</v>
      </c>
      <c r="AG82" s="86" t="str">
        <f aca="true">IF($H82=0,"NA",IF($A82=INDIRECT("'"&amp;$A82&amp;"'!$B$1"),IF(VLOOKUP(AG$1,INDIRECT("'"&amp;$A82&amp;"'!$A$12:$Z$41"),MATCH("Points (Auto-generate)",INDIRECT("'"&amp;$A82&amp;"'!$A$12:$Z$12"),0),0)="","?",VLOOKUP(AG$1,INDIRECT("'"&amp;$A82&amp;"'!$A$12:$Z$41"),MATCH("Points (Auto-generate)",INDIRECT("'"&amp;$A82&amp;"'!$A$12:$Z$12"),0),0)),"ER"))</f>
        <v>?</v>
      </c>
      <c r="AH82" s="86" t="str">
        <f aca="true">IF($H82=0,"NA",IF($A82=INDIRECT("'"&amp;$A82&amp;"'!$B$1"),IF(VLOOKUP(AH$1,INDIRECT("'"&amp;$A82&amp;"'!$A$12:$Z$41"),MATCH("Points (Auto-generate)",INDIRECT("'"&amp;$A82&amp;"'!$A$12:$Z$12"),0),0)="","?",VLOOKUP(AH$1,INDIRECT("'"&amp;$A82&amp;"'!$A$12:$Z$41"),MATCH("Points (Auto-generate)",INDIRECT("'"&amp;$A82&amp;"'!$A$12:$Z$12"),0),0)),"ER"))</f>
        <v>?</v>
      </c>
      <c r="AI82" s="86" t="str">
        <f aca="true">IF($H82=0,"NA",IF($A82=INDIRECT("'"&amp;$A82&amp;"'!$B$1"),IF(VLOOKUP(AI$1,INDIRECT("'"&amp;$A82&amp;"'!$A$12:$Z$41"),MATCH("Points (Auto-generate)",INDIRECT("'"&amp;$A82&amp;"'!$A$12:$Z$12"),0),0)="","?",VLOOKUP(AI$1,INDIRECT("'"&amp;$A82&amp;"'!$A$12:$Z$41"),MATCH("Points (Auto-generate)",INDIRECT("'"&amp;$A82&amp;"'!$A$12:$Z$12"),0),0)),"ER"))</f>
        <v>?</v>
      </c>
      <c r="AJ82" s="86" t="str">
        <f aca="true">IF($H82=0,"NA",IF($A82=INDIRECT("'"&amp;$A82&amp;"'!$B$1"),IF(VLOOKUP(AJ$1,INDIRECT("'"&amp;$A82&amp;"'!$A$12:$Z$41"),MATCH("Points (Auto-generate)",INDIRECT("'"&amp;$A82&amp;"'!$A$12:$Z$12"),0),0)="","?",VLOOKUP(AJ$1,INDIRECT("'"&amp;$A82&amp;"'!$A$12:$Z$41"),MATCH("Points (Auto-generate)",INDIRECT("'"&amp;$A82&amp;"'!$A$12:$Z$12"),0),0)),"ER"))</f>
        <v>?</v>
      </c>
      <c r="AK82" s="86" t="str">
        <f aca="true">IF($H82=0,"NA",IF($A82=INDIRECT("'"&amp;$A82&amp;"'!$B$1"),IF(VLOOKUP(AK$1,INDIRECT("'"&amp;$A82&amp;"'!$A$12:$Z$41"),MATCH("Points (Auto-generate)",INDIRECT("'"&amp;$A82&amp;"'!$A$12:$Z$12"),0),0)="","?",VLOOKUP(AK$1,INDIRECT("'"&amp;$A82&amp;"'!$A$12:$Z$41"),MATCH("Points (Auto-generate)",INDIRECT("'"&amp;$A82&amp;"'!$A$12:$Z$12"),0),0)),"ER"))</f>
        <v>?</v>
      </c>
    </row>
    <row r="83" customFormat="false" ht="14.25" hidden="false" customHeight="false" outlineLevel="0" collapsed="false">
      <c r="A83" s="82" t="s">
        <v>250</v>
      </c>
      <c r="B83" s="83" t="str">
        <f aca="false">IF(ISBLANK($A83),"NO_CODE",VLOOKUP($A83,'UPD Questions_290926 '!$E$1:$N$300,MATCH(B$1,'UPD Questions_290926 '!$E$1:$N$1,0),0)&amp;"")</f>
        <v>Implementation</v>
      </c>
      <c r="C83" s="83" t="str">
        <f aca="false">IF(ISBLANK($A83),"NO_CODE",VLOOKUP($A83,'UPD Questions_290926 '!$E$1:$N$300,MATCH(C$1,'UPD Questions_290926 '!$E$1:$N$1,0),0)&amp;"")</f>
        <v>Does the city have dedicated institutional capacity to undertake specialised planning and development functions?</v>
      </c>
      <c r="D83" s="83" t="str">
        <f aca="false">IF(ISBLANK($A83),"NO_CODE",VLOOKUP($A83,'UPD Questions_290926 '!$E$1:$N$300,MATCH(D$1,'UPD Questions_290926 '!$E$1:$N$1,0),0)&amp;"")</f>
        <v>Women's welfare or development</v>
      </c>
      <c r="E83" s="83" t="str">
        <f aca="false">IF(ISBLANK($A83),"NO_CODE",VLOOKUP($A83,'UPD Questions_290926 '!$E$1:$N$300,MATCH(E$1,'UPD Questions_290926 '!$E$1:$N$1,0),0)&amp;"")</f>
        <v>SQ</v>
      </c>
      <c r="F83" s="83" t="str">
        <f aca="false">IF(ISBLANK($A83),"NO_CODE",VLOOKUP($A83,'UPD Questions_290926 '!$E$1:$N$300,MATCH(F$1,'UPD Questions_290926 '!$E$1:$N$1,0),0)&amp;"")</f>
        <v>Does the city have a dedicated Women's Welfare/Development Cell?</v>
      </c>
      <c r="G83" s="83" t="str">
        <f aca="false">IF(ISBLANK($A83),"NO_CODE",VLOOKUP($A83,'UPD Questions_290926 '!$E$1:$N$300,MATCH(G$1,'UPD Questions_290926 '!$E$1:$N$1,0),0)&amp;"")</f>
        <v>Implementation</v>
      </c>
      <c r="H83" s="85" t="n">
        <f aca="false">IF(ISBLANK($A83),"NO_CODE",VLOOKUP($A83,'UPD Questions_290926 '!$E$1:$N$300,MATCH(H$1,'UPD Questions_290926 '!$E$1:$N$1,0),0))</f>
        <v>2.5</v>
      </c>
      <c r="I83" s="86" t="str">
        <f aca="true">IF($H83=0,"NA",IF($A83=INDIRECT("'"&amp;$A83&amp;"'!$B$1"),IF(VLOOKUP(I$1,INDIRECT("'"&amp;$A83&amp;"'!$A$12:$Z$41"),MATCH("Points (Auto-generate)",INDIRECT("'"&amp;$A83&amp;"'!$A$12:$Z$12"),0),0)="","?",VLOOKUP(I$1,INDIRECT("'"&amp;$A83&amp;"'!$A$12:$Z$41"),MATCH("Points (Auto-generate)",INDIRECT("'"&amp;$A83&amp;"'!$A$12:$Z$12"),0),0)),"ER"))</f>
        <v>?</v>
      </c>
      <c r="J83" s="86" t="str">
        <f aca="true">IF($H83=0,"NA",IF($A83=INDIRECT("'"&amp;$A83&amp;"'!$B$1"),IF(VLOOKUP(J$1,INDIRECT("'"&amp;$A83&amp;"'!$A$12:$Z$41"),MATCH("Points (Auto-generate)",INDIRECT("'"&amp;$A83&amp;"'!$A$12:$Z$12"),0),0)="","?",VLOOKUP(J$1,INDIRECT("'"&amp;$A83&amp;"'!$A$12:$Z$41"),MATCH("Points (Auto-generate)",INDIRECT("'"&amp;$A83&amp;"'!$A$12:$Z$12"),0),0)),"ER"))</f>
        <v>?</v>
      </c>
      <c r="K83" s="86" t="str">
        <f aca="true">IF($H83=0,"NA",IF($A83=INDIRECT("'"&amp;$A83&amp;"'!$B$1"),IF(VLOOKUP(K$1,INDIRECT("'"&amp;$A83&amp;"'!$A$12:$Z$41"),MATCH("Points (Auto-generate)",INDIRECT("'"&amp;$A83&amp;"'!$A$12:$Z$12"),0),0)="","?",VLOOKUP(K$1,INDIRECT("'"&amp;$A83&amp;"'!$A$12:$Z$41"),MATCH("Points (Auto-generate)",INDIRECT("'"&amp;$A83&amp;"'!$A$12:$Z$12"),0),0)),"ER"))</f>
        <v>?</v>
      </c>
      <c r="L83" s="86" t="str">
        <f aca="true">IF($H83=0,"NA",IF($A83=INDIRECT("'"&amp;$A83&amp;"'!$B$1"),IF(VLOOKUP(L$1,INDIRECT("'"&amp;$A83&amp;"'!$A$12:$Z$41"),MATCH("Points (Auto-generate)",INDIRECT("'"&amp;$A83&amp;"'!$A$12:$Z$12"),0),0)="","?",VLOOKUP(L$1,INDIRECT("'"&amp;$A83&amp;"'!$A$12:$Z$41"),MATCH("Points (Auto-generate)",INDIRECT("'"&amp;$A83&amp;"'!$A$12:$Z$12"),0),0)),"ER"))</f>
        <v>?</v>
      </c>
      <c r="M83" s="86" t="str">
        <f aca="true">IF($H83=0,"NA",IF($A83=INDIRECT("'"&amp;$A83&amp;"'!$B$1"),IF(VLOOKUP(M$1,INDIRECT("'"&amp;$A83&amp;"'!$A$12:$Z$41"),MATCH("Points (Auto-generate)",INDIRECT("'"&amp;$A83&amp;"'!$A$12:$Z$12"),0),0)="","?",VLOOKUP(M$1,INDIRECT("'"&amp;$A83&amp;"'!$A$12:$Z$41"),MATCH("Points (Auto-generate)",INDIRECT("'"&amp;$A83&amp;"'!$A$12:$Z$12"),0),0)),"ER"))</f>
        <v>?</v>
      </c>
      <c r="N83" s="86" t="str">
        <f aca="true">IF($H83=0,"NA",IF($A83=INDIRECT("'"&amp;$A83&amp;"'!$B$1"),IF(VLOOKUP(N$1,INDIRECT("'"&amp;$A83&amp;"'!$A$12:$Z$41"),MATCH("Points (Auto-generate)",INDIRECT("'"&amp;$A83&amp;"'!$A$12:$Z$12"),0),0)="","?",VLOOKUP(N$1,INDIRECT("'"&amp;$A83&amp;"'!$A$12:$Z$41"),MATCH("Points (Auto-generate)",INDIRECT("'"&amp;$A83&amp;"'!$A$12:$Z$12"),0),0)),"ER"))</f>
        <v>?</v>
      </c>
      <c r="O83" s="86" t="str">
        <f aca="true">IF($H83=0,"NA",IF($A83=INDIRECT("'"&amp;$A83&amp;"'!$B$1"),IF(VLOOKUP(O$1,INDIRECT("'"&amp;$A83&amp;"'!$A$12:$Z$41"),MATCH("Points (Auto-generate)",INDIRECT("'"&amp;$A83&amp;"'!$A$12:$Z$12"),0),0)="","?",VLOOKUP(O$1,INDIRECT("'"&amp;$A83&amp;"'!$A$12:$Z$41"),MATCH("Points (Auto-generate)",INDIRECT("'"&amp;$A83&amp;"'!$A$12:$Z$12"),0),0)),"ER"))</f>
        <v>?</v>
      </c>
      <c r="P83" s="86" t="str">
        <f aca="true">IF($H83=0,"NA",IF($A83=INDIRECT("'"&amp;$A83&amp;"'!$B$1"),IF(VLOOKUP(P$1,INDIRECT("'"&amp;$A83&amp;"'!$A$12:$Z$41"),MATCH("Points (Auto-generate)",INDIRECT("'"&amp;$A83&amp;"'!$A$12:$Z$12"),0),0)="","?",VLOOKUP(P$1,INDIRECT("'"&amp;$A83&amp;"'!$A$12:$Z$41"),MATCH("Points (Auto-generate)",INDIRECT("'"&amp;$A83&amp;"'!$A$12:$Z$12"),0),0)),"ER"))</f>
        <v>?</v>
      </c>
      <c r="Q83" s="86" t="str">
        <f aca="true">IF($H83=0,"NA",IF($A83=INDIRECT("'"&amp;$A83&amp;"'!$B$1"),IF(VLOOKUP(Q$1,INDIRECT("'"&amp;$A83&amp;"'!$A$12:$Z$41"),MATCH("Points (Auto-generate)",INDIRECT("'"&amp;$A83&amp;"'!$A$12:$Z$12"),0),0)="","?",VLOOKUP(Q$1,INDIRECT("'"&amp;$A83&amp;"'!$A$12:$Z$41"),MATCH("Points (Auto-generate)",INDIRECT("'"&amp;$A83&amp;"'!$A$12:$Z$12"),0),0)),"ER"))</f>
        <v>?</v>
      </c>
      <c r="R83" s="86" t="str">
        <f aca="true">IF($H83=0,"NA",IF($A83=INDIRECT("'"&amp;$A83&amp;"'!$B$1"),IF(VLOOKUP(R$1,INDIRECT("'"&amp;$A83&amp;"'!$A$12:$Z$41"),MATCH("Points (Auto-generate)",INDIRECT("'"&amp;$A83&amp;"'!$A$12:$Z$12"),0),0)="","?",VLOOKUP(R$1,INDIRECT("'"&amp;$A83&amp;"'!$A$12:$Z$41"),MATCH("Points (Auto-generate)",INDIRECT("'"&amp;$A83&amp;"'!$A$12:$Z$12"),0),0)),"ER"))</f>
        <v>?</v>
      </c>
      <c r="S83" s="86" t="str">
        <f aca="true">IF($H83=0,"NA",IF($A83=INDIRECT("'"&amp;$A83&amp;"'!$B$1"),IF(VLOOKUP(S$1,INDIRECT("'"&amp;$A83&amp;"'!$A$12:$Z$41"),MATCH("Points (Auto-generate)",INDIRECT("'"&amp;$A83&amp;"'!$A$12:$Z$12"),0),0)="","?",VLOOKUP(S$1,INDIRECT("'"&amp;$A83&amp;"'!$A$12:$Z$41"),MATCH("Points (Auto-generate)",INDIRECT("'"&amp;$A83&amp;"'!$A$12:$Z$12"),0),0)),"ER"))</f>
        <v>?</v>
      </c>
      <c r="T83" s="86" t="str">
        <f aca="true">IF($H83=0,"NA",IF($A83=INDIRECT("'"&amp;$A83&amp;"'!$B$1"),IF(VLOOKUP(T$1,INDIRECT("'"&amp;$A83&amp;"'!$A$12:$Z$41"),MATCH("Points (Auto-generate)",INDIRECT("'"&amp;$A83&amp;"'!$A$12:$Z$12"),0),0)="","?",VLOOKUP(T$1,INDIRECT("'"&amp;$A83&amp;"'!$A$12:$Z$41"),MATCH("Points (Auto-generate)",INDIRECT("'"&amp;$A83&amp;"'!$A$12:$Z$12"),0),0)),"ER"))</f>
        <v>?</v>
      </c>
      <c r="U83" s="86" t="str">
        <f aca="true">IF($H83=0,"NA",IF($A83=INDIRECT("'"&amp;$A83&amp;"'!$B$1"),IF(VLOOKUP(U$1,INDIRECT("'"&amp;$A83&amp;"'!$A$12:$Z$41"),MATCH("Points (Auto-generate)",INDIRECT("'"&amp;$A83&amp;"'!$A$12:$Z$12"),0),0)="","?",VLOOKUP(U$1,INDIRECT("'"&amp;$A83&amp;"'!$A$12:$Z$41"),MATCH("Points (Auto-generate)",INDIRECT("'"&amp;$A83&amp;"'!$A$12:$Z$12"),0),0)),"ER"))</f>
        <v>?</v>
      </c>
      <c r="V83" s="86" t="str">
        <f aca="true">IF($H83=0,"NA",IF($A83=INDIRECT("'"&amp;$A83&amp;"'!$B$1"),IF(VLOOKUP(V$1,INDIRECT("'"&amp;$A83&amp;"'!$A$12:$Z$41"),MATCH("Points (Auto-generate)",INDIRECT("'"&amp;$A83&amp;"'!$A$12:$Z$12"),0),0)="","?",VLOOKUP(V$1,INDIRECT("'"&amp;$A83&amp;"'!$A$12:$Z$41"),MATCH("Points (Auto-generate)",INDIRECT("'"&amp;$A83&amp;"'!$A$12:$Z$12"),0),0)),"ER"))</f>
        <v>?</v>
      </c>
      <c r="W83" s="86" t="str">
        <f aca="true">IF($H83=0,"NA",IF($A83=INDIRECT("'"&amp;$A83&amp;"'!$B$1"),IF(VLOOKUP(W$1,INDIRECT("'"&amp;$A83&amp;"'!$A$12:$Z$41"),MATCH("Points (Auto-generate)",INDIRECT("'"&amp;$A83&amp;"'!$A$12:$Z$12"),0),0)="","?",VLOOKUP(W$1,INDIRECT("'"&amp;$A83&amp;"'!$A$12:$Z$41"),MATCH("Points (Auto-generate)",INDIRECT("'"&amp;$A83&amp;"'!$A$12:$Z$12"),0),0)),"ER"))</f>
        <v>?</v>
      </c>
      <c r="X83" s="86" t="str">
        <f aca="true">IF($H83=0,"NA",IF($A83=INDIRECT("'"&amp;$A83&amp;"'!$B$1"),IF(VLOOKUP(X$1,INDIRECT("'"&amp;$A83&amp;"'!$A$12:$Z$41"),MATCH("Points (Auto-generate)",INDIRECT("'"&amp;$A83&amp;"'!$A$12:$Z$12"),0),0)="","?",VLOOKUP(X$1,INDIRECT("'"&amp;$A83&amp;"'!$A$12:$Z$41"),MATCH("Points (Auto-generate)",INDIRECT("'"&amp;$A83&amp;"'!$A$12:$Z$12"),0),0)),"ER"))</f>
        <v>?</v>
      </c>
      <c r="Y83" s="86" t="str">
        <f aca="true">IF($H83=0,"NA",IF($A83=INDIRECT("'"&amp;$A83&amp;"'!$B$1"),IF(VLOOKUP(Y$1,INDIRECT("'"&amp;$A83&amp;"'!$A$12:$Z$41"),MATCH("Points (Auto-generate)",INDIRECT("'"&amp;$A83&amp;"'!$A$12:$Z$12"),0),0)="","?",VLOOKUP(Y$1,INDIRECT("'"&amp;$A83&amp;"'!$A$12:$Z$41"),MATCH("Points (Auto-generate)",INDIRECT("'"&amp;$A83&amp;"'!$A$12:$Z$12"),0),0)),"ER"))</f>
        <v>?</v>
      </c>
      <c r="Z83" s="86" t="str">
        <f aca="true">IF($H83=0,"NA",IF($A83=INDIRECT("'"&amp;$A83&amp;"'!$B$1"),IF(VLOOKUP(Z$1,INDIRECT("'"&amp;$A83&amp;"'!$A$12:$Z$41"),MATCH("Points (Auto-generate)",INDIRECT("'"&amp;$A83&amp;"'!$A$12:$Z$12"),0),0)="","?",VLOOKUP(Z$1,INDIRECT("'"&amp;$A83&amp;"'!$A$12:$Z$41"),MATCH("Points (Auto-generate)",INDIRECT("'"&amp;$A83&amp;"'!$A$12:$Z$12"),0),0)),"ER"))</f>
        <v>?</v>
      </c>
      <c r="AA83" s="86" t="str">
        <f aca="true">IF($H83=0,"NA",IF($A83=INDIRECT("'"&amp;$A83&amp;"'!$B$1"),IF(VLOOKUP(AA$1,INDIRECT("'"&amp;$A83&amp;"'!$A$12:$Z$41"),MATCH("Points (Auto-generate)",INDIRECT("'"&amp;$A83&amp;"'!$A$12:$Z$12"),0),0)="","?",VLOOKUP(AA$1,INDIRECT("'"&amp;$A83&amp;"'!$A$12:$Z$41"),MATCH("Points (Auto-generate)",INDIRECT("'"&amp;$A83&amp;"'!$A$12:$Z$12"),0),0)),"ER"))</f>
        <v>?</v>
      </c>
      <c r="AB83" s="86" t="str">
        <f aca="true">IF($H83=0,"NA",IF($A83=INDIRECT("'"&amp;$A83&amp;"'!$B$1"),IF(VLOOKUP(AB$1,INDIRECT("'"&amp;$A83&amp;"'!$A$12:$Z$41"),MATCH("Points (Auto-generate)",INDIRECT("'"&amp;$A83&amp;"'!$A$12:$Z$12"),0),0)="","?",VLOOKUP(AB$1,INDIRECT("'"&amp;$A83&amp;"'!$A$12:$Z$41"),MATCH("Points (Auto-generate)",INDIRECT("'"&amp;$A83&amp;"'!$A$12:$Z$12"),0),0)),"ER"))</f>
        <v>?</v>
      </c>
      <c r="AC83" s="86" t="str">
        <f aca="true">IF($H83=0,"NA",IF($A83=INDIRECT("'"&amp;$A83&amp;"'!$B$1"),IF(VLOOKUP(AC$1,INDIRECT("'"&amp;$A83&amp;"'!$A$12:$Z$41"),MATCH("Points (Auto-generate)",INDIRECT("'"&amp;$A83&amp;"'!$A$12:$Z$12"),0),0)="","?",VLOOKUP(AC$1,INDIRECT("'"&amp;$A83&amp;"'!$A$12:$Z$41"),MATCH("Points (Auto-generate)",INDIRECT("'"&amp;$A83&amp;"'!$A$12:$Z$12"),0),0)),"ER"))</f>
        <v>?</v>
      </c>
      <c r="AD83" s="86" t="str">
        <f aca="true">IF($H83=0,"NA",IF($A83=INDIRECT("'"&amp;$A83&amp;"'!$B$1"),IF(VLOOKUP(AD$1,INDIRECT("'"&amp;$A83&amp;"'!$A$12:$Z$41"),MATCH("Points (Auto-generate)",INDIRECT("'"&amp;$A83&amp;"'!$A$12:$Z$12"),0),0)="","?",VLOOKUP(AD$1,INDIRECT("'"&amp;$A83&amp;"'!$A$12:$Z$41"),MATCH("Points (Auto-generate)",INDIRECT("'"&amp;$A83&amp;"'!$A$12:$Z$12"),0),0)),"ER"))</f>
        <v>?</v>
      </c>
      <c r="AE83" s="86" t="str">
        <f aca="true">IF($H83=0,"NA",IF($A83=INDIRECT("'"&amp;$A83&amp;"'!$B$1"),IF(VLOOKUP(AE$1,INDIRECT("'"&amp;$A83&amp;"'!$A$12:$Z$41"),MATCH("Points (Auto-generate)",INDIRECT("'"&amp;$A83&amp;"'!$A$12:$Z$12"),0),0)="","?",VLOOKUP(AE$1,INDIRECT("'"&amp;$A83&amp;"'!$A$12:$Z$41"),MATCH("Points (Auto-generate)",INDIRECT("'"&amp;$A83&amp;"'!$A$12:$Z$12"),0),0)),"ER"))</f>
        <v>?</v>
      </c>
      <c r="AF83" s="86" t="str">
        <f aca="true">IF($H83=0,"NA",IF($A83=INDIRECT("'"&amp;$A83&amp;"'!$B$1"),IF(VLOOKUP(AF$1,INDIRECT("'"&amp;$A83&amp;"'!$A$12:$Z$41"),MATCH("Points (Auto-generate)",INDIRECT("'"&amp;$A83&amp;"'!$A$12:$Z$12"),0),0)="","?",VLOOKUP(AF$1,INDIRECT("'"&amp;$A83&amp;"'!$A$12:$Z$41"),MATCH("Points (Auto-generate)",INDIRECT("'"&amp;$A83&amp;"'!$A$12:$Z$12"),0),0)),"ER"))</f>
        <v>?</v>
      </c>
      <c r="AG83" s="86" t="str">
        <f aca="true">IF($H83=0,"NA",IF($A83=INDIRECT("'"&amp;$A83&amp;"'!$B$1"),IF(VLOOKUP(AG$1,INDIRECT("'"&amp;$A83&amp;"'!$A$12:$Z$41"),MATCH("Points (Auto-generate)",INDIRECT("'"&amp;$A83&amp;"'!$A$12:$Z$12"),0),0)="","?",VLOOKUP(AG$1,INDIRECT("'"&amp;$A83&amp;"'!$A$12:$Z$41"),MATCH("Points (Auto-generate)",INDIRECT("'"&amp;$A83&amp;"'!$A$12:$Z$12"),0),0)),"ER"))</f>
        <v>?</v>
      </c>
      <c r="AH83" s="86" t="str">
        <f aca="true">IF($H83=0,"NA",IF($A83=INDIRECT("'"&amp;$A83&amp;"'!$B$1"),IF(VLOOKUP(AH$1,INDIRECT("'"&amp;$A83&amp;"'!$A$12:$Z$41"),MATCH("Points (Auto-generate)",INDIRECT("'"&amp;$A83&amp;"'!$A$12:$Z$12"),0),0)="","?",VLOOKUP(AH$1,INDIRECT("'"&amp;$A83&amp;"'!$A$12:$Z$41"),MATCH("Points (Auto-generate)",INDIRECT("'"&amp;$A83&amp;"'!$A$12:$Z$12"),0),0)),"ER"))</f>
        <v>?</v>
      </c>
      <c r="AI83" s="86" t="str">
        <f aca="true">IF($H83=0,"NA",IF($A83=INDIRECT("'"&amp;$A83&amp;"'!$B$1"),IF(VLOOKUP(AI$1,INDIRECT("'"&amp;$A83&amp;"'!$A$12:$Z$41"),MATCH("Points (Auto-generate)",INDIRECT("'"&amp;$A83&amp;"'!$A$12:$Z$12"),0),0)="","?",VLOOKUP(AI$1,INDIRECT("'"&amp;$A83&amp;"'!$A$12:$Z$41"),MATCH("Points (Auto-generate)",INDIRECT("'"&amp;$A83&amp;"'!$A$12:$Z$12"),0),0)),"ER"))</f>
        <v>?</v>
      </c>
      <c r="AJ83" s="86" t="str">
        <f aca="true">IF($H83=0,"NA",IF($A83=INDIRECT("'"&amp;$A83&amp;"'!$B$1"),IF(VLOOKUP(AJ$1,INDIRECT("'"&amp;$A83&amp;"'!$A$12:$Z$41"),MATCH("Points (Auto-generate)",INDIRECT("'"&amp;$A83&amp;"'!$A$12:$Z$12"),0),0)="","?",VLOOKUP(AJ$1,INDIRECT("'"&amp;$A83&amp;"'!$A$12:$Z$41"),MATCH("Points (Auto-generate)",INDIRECT("'"&amp;$A83&amp;"'!$A$12:$Z$12"),0),0)),"ER"))</f>
        <v>?</v>
      </c>
      <c r="AK83" s="86" t="str">
        <f aca="true">IF($H83=0,"NA",IF($A83=INDIRECT("'"&amp;$A83&amp;"'!$B$1"),IF(VLOOKUP(AK$1,INDIRECT("'"&amp;$A83&amp;"'!$A$12:$Z$41"),MATCH("Points (Auto-generate)",INDIRECT("'"&amp;$A83&amp;"'!$A$12:$Z$12"),0),0)="","?",VLOOKUP(AK$1,INDIRECT("'"&amp;$A83&amp;"'!$A$12:$Z$41"),MATCH("Points (Auto-generate)",INDIRECT("'"&amp;$A83&amp;"'!$A$12:$Z$12"),0),0)),"ER"))</f>
        <v>?</v>
      </c>
    </row>
    <row r="84" customFormat="false" ht="14.25" hidden="false" customHeight="false" outlineLevel="0" collapsed="false">
      <c r="A84" s="82" t="s">
        <v>513</v>
      </c>
      <c r="B84" s="83" t="str">
        <f aca="false">IF(ISBLANK($A84),"NO_CODE",VLOOKUP($A84,'UPD Questions_290926 '!$E$1:$N$300,MATCH(B$1,'UPD Questions_290926 '!$E$1:$N$1,0),0)&amp;"")</f>
        <v>Implementation</v>
      </c>
      <c r="C84" s="83" t="str">
        <f aca="false">IF(ISBLANK($A84),"NO_CODE",VLOOKUP($A84,'UPD Questions_290926 '!$E$1:$N$300,MATCH(C$1,'UPD Questions_290926 '!$E$1:$N$1,0),0)&amp;"")</f>
        <v>Urban design, accessibility and parking</v>
      </c>
      <c r="D84" s="83" t="str">
        <f aca="false">IF(ISBLANK($A84),"NO_CODE",VLOOKUP($A84,'UPD Questions_290926 '!$E$1:$N$300,MATCH(D$1,'UPD Questions_290926 '!$E$1:$N$1,0),0)&amp;"")</f>
        <v>Urban design standards and universal accessibility</v>
      </c>
      <c r="E84" s="83" t="str">
        <f aca="false">IF(ISBLANK($A84),"NO_CODE",VLOOKUP($A84,'UPD Questions_290926 '!$E$1:$N$300,MATCH(E$1,'UPD Questions_290926 '!$E$1:$N$1,0),0)&amp;"")</f>
        <v>MQ</v>
      </c>
      <c r="F84" s="83" t="str">
        <f aca="false">IF(ISBLANK($A84),"NO_CODE",VLOOKUP($A84,'UPD Questions_290926 '!$E$1:$N$300,MATCH(F$1,'UPD Questions_290926 '!$E$1:$N$1,0),0)&amp;"")</f>
        <v>Are there prescribed urban design standards to guide the execution of urban projects, including standards for universal accessibility?</v>
      </c>
      <c r="G84" s="83" t="str">
        <f aca="false">IF(ISBLANK($A84),"NO_CODE",VLOOKUP($A84,'UPD Questions_290926 '!$E$1:$N$300,MATCH(G$1,'UPD Questions_290926 '!$E$1:$N$1,0),0)&amp;"")</f>
        <v>Law or Policy</v>
      </c>
      <c r="H84" s="85" t="n">
        <f aca="false">IF(ISBLANK($A84),"NO_CODE",VLOOKUP($A84,'UPD Questions_290926 '!$E$1:$N$300,MATCH(H$1,'UPD Questions_290926 '!$E$1:$N$1,0),0))</f>
        <v>10</v>
      </c>
      <c r="I84" s="86" t="str">
        <f aca="false">IF(OR(I85="ER",I86="ER"),"ER",IF(OR(I85="?",I86="?"),"?",IF(AND(I85="NA",I86="NA"),"NA",SUM(I85,I86)/((I85&lt;&gt;"NA")*$H$85+(I86&lt;&gt;"NA")*$H$86)*$H84)))</f>
        <v>?</v>
      </c>
      <c r="J84" s="86" t="str">
        <f aca="false">IF(OR(J85="ER",J86="ER"),"ER",IF(OR(J85="?",J86="?"),"?",IF(AND(J85="NA",J86="NA"),"NA",SUM(J85,J86)/((J85&lt;&gt;"NA")*$H$85+(J86&lt;&gt;"NA")*$H$86)*$H84)))</f>
        <v>?</v>
      </c>
      <c r="K84" s="86" t="str">
        <f aca="false">IF(OR(K85="ER",K86="ER"),"ER",IF(OR(K85="?",K86="?"),"?",IF(AND(K85="NA",K86="NA"),"NA",SUM(K85,K86)/((K85&lt;&gt;"NA")*$H$85+(K86&lt;&gt;"NA")*$H$86)*$H84)))</f>
        <v>?</v>
      </c>
      <c r="L84" s="86" t="str">
        <f aca="false">IF(OR(L85="ER",L86="ER"),"ER",IF(OR(L85="?",L86="?"),"?",IF(AND(L85="NA",L86="NA"),"NA",SUM(L85,L86)/((L85&lt;&gt;"NA")*$H$85+(L86&lt;&gt;"NA")*$H$86)*$H84)))</f>
        <v>?</v>
      </c>
      <c r="M84" s="86" t="str">
        <f aca="false">IF(OR(M85="ER",M86="ER"),"ER",IF(OR(M85="?",M86="?"),"?",IF(AND(M85="NA",M86="NA"),"NA",SUM(M85,M86)/((M85&lt;&gt;"NA")*$H$85+(M86&lt;&gt;"NA")*$H$86)*$H84)))</f>
        <v>?</v>
      </c>
      <c r="N84" s="86" t="str">
        <f aca="false">IF(OR(N85="ER",N86="ER"),"ER",IF(OR(N85="?",N86="?"),"?",IF(AND(N85="NA",N86="NA"),"NA",SUM(N85,N86)/((N85&lt;&gt;"NA")*$H$85+(N86&lt;&gt;"NA")*$H$86)*$H84)))</f>
        <v>?</v>
      </c>
      <c r="O84" s="86" t="str">
        <f aca="false">IF(OR(O85="ER",O86="ER"),"ER",IF(OR(O85="?",O86="?"),"?",IF(AND(O85="NA",O86="NA"),"NA",SUM(O85,O86)/((O85&lt;&gt;"NA")*$H$85+(O86&lt;&gt;"NA")*$H$86)*$H84)))</f>
        <v>?</v>
      </c>
      <c r="P84" s="86" t="str">
        <f aca="false">IF(OR(P85="ER",P86="ER"),"ER",IF(OR(P85="?",P86="?"),"?",IF(AND(P85="NA",P86="NA"),"NA",SUM(P85,P86)/((P85&lt;&gt;"NA")*$H$85+(P86&lt;&gt;"NA")*$H$86)*$H84)))</f>
        <v>?</v>
      </c>
      <c r="Q84" s="86" t="str">
        <f aca="false">IF(OR(Q85="ER",Q86="ER"),"ER",IF(OR(Q85="?",Q86="?"),"?",IF(AND(Q85="NA",Q86="NA"),"NA",SUM(Q85,Q86)/((Q85&lt;&gt;"NA")*$H$85+(Q86&lt;&gt;"NA")*$H$86)*$H84)))</f>
        <v>?</v>
      </c>
      <c r="R84" s="86" t="str">
        <f aca="false">IF(OR(R85="ER",R86="ER"),"ER",IF(OR(R85="?",R86="?"),"?",IF(AND(R85="NA",R86="NA"),"NA",SUM(R85,R86)/((R85&lt;&gt;"NA")*$H$85+(R86&lt;&gt;"NA")*$H$86)*$H84)))</f>
        <v>?</v>
      </c>
      <c r="S84" s="86" t="str">
        <f aca="false">IF(OR(S85="ER",S86="ER"),"ER",IF(OR(S85="?",S86="?"),"?",IF(AND(S85="NA",S86="NA"),"NA",SUM(S85,S86)/((S85&lt;&gt;"NA")*$H$85+(S86&lt;&gt;"NA")*$H$86)*$H84)))</f>
        <v>?</v>
      </c>
      <c r="T84" s="86" t="str">
        <f aca="false">IF(OR(T85="ER",T86="ER"),"ER",IF(OR(T85="?",T86="?"),"?",IF(AND(T85="NA",T86="NA"),"NA",SUM(T85,T86)/((T85&lt;&gt;"NA")*$H$85+(T86&lt;&gt;"NA")*$H$86)*$H84)))</f>
        <v>?</v>
      </c>
      <c r="U84" s="86" t="str">
        <f aca="false">IF(OR(U85="ER",U86="ER"),"ER",IF(OR(U85="?",U86="?"),"?",IF(AND(U85="NA",U86="NA"),"NA",SUM(U85,U86)/((U85&lt;&gt;"NA")*$H$85+(U86&lt;&gt;"NA")*$H$86)*$H84)))</f>
        <v>?</v>
      </c>
      <c r="V84" s="86" t="str">
        <f aca="false">IF(OR(V85="ER",V86="ER"),"ER",IF(OR(V85="?",V86="?"),"?",IF(AND(V85="NA",V86="NA"),"NA",SUM(V85,V86)/((V85&lt;&gt;"NA")*$H$85+(V86&lt;&gt;"NA")*$H$86)*$H84)))</f>
        <v>?</v>
      </c>
      <c r="W84" s="86" t="str">
        <f aca="false">IF(OR(W85="ER",W86="ER"),"ER",IF(OR(W85="?",W86="?"),"?",IF(AND(W85="NA",W86="NA"),"NA",SUM(W85,W86)/((W85&lt;&gt;"NA")*$H$85+(W86&lt;&gt;"NA")*$H$86)*$H84)))</f>
        <v>?</v>
      </c>
      <c r="X84" s="86" t="str">
        <f aca="false">IF(OR(X85="ER",X86="ER"),"ER",IF(OR(X85="?",X86="?"),"?",IF(AND(X85="NA",X86="NA"),"NA",SUM(X85,X86)/((X85&lt;&gt;"NA")*$H$85+(X86&lt;&gt;"NA")*$H$86)*$H84)))</f>
        <v>?</v>
      </c>
      <c r="Y84" s="86" t="str">
        <f aca="false">IF(OR(Y85="ER",Y86="ER"),"ER",IF(OR(Y85="?",Y86="?"),"?",IF(AND(Y85="NA",Y86="NA"),"NA",SUM(Y85,Y86)/((Y85&lt;&gt;"NA")*$H$85+(Y86&lt;&gt;"NA")*$H$86)*$H84)))</f>
        <v>?</v>
      </c>
      <c r="Z84" s="86" t="str">
        <f aca="false">IF(OR(Z85="ER",Z86="ER"),"ER",IF(OR(Z85="?",Z86="?"),"?",IF(AND(Z85="NA",Z86="NA"),"NA",SUM(Z85,Z86)/((Z85&lt;&gt;"NA")*$H$85+(Z86&lt;&gt;"NA")*$H$86)*$H84)))</f>
        <v>?</v>
      </c>
      <c r="AA84" s="86" t="str">
        <f aca="false">IF(OR(AA85="ER",AA86="ER"),"ER",IF(OR(AA85="?",AA86="?"),"?",IF(AND(AA85="NA",AA86="NA"),"NA",SUM(AA85,AA86)/((AA85&lt;&gt;"NA")*$H$85+(AA86&lt;&gt;"NA")*$H$86)*$H84)))</f>
        <v>?</v>
      </c>
      <c r="AB84" s="86" t="str">
        <f aca="false">IF(OR(AB85="ER",AB86="ER"),"ER",IF(OR(AB85="?",AB86="?"),"?",IF(AND(AB85="NA",AB86="NA"),"NA",SUM(AB85,AB86)/((AB85&lt;&gt;"NA")*$H$85+(AB86&lt;&gt;"NA")*$H$86)*$H84)))</f>
        <v>?</v>
      </c>
      <c r="AC84" s="86" t="str">
        <f aca="false">IF(OR(AC85="ER",AC86="ER"),"ER",IF(OR(AC85="?",AC86="?"),"?",IF(AND(AC85="NA",AC86="NA"),"NA",SUM(AC85,AC86)/((AC85&lt;&gt;"NA")*$H$85+(AC86&lt;&gt;"NA")*$H$86)*$H84)))</f>
        <v>?</v>
      </c>
      <c r="AD84" s="86" t="str">
        <f aca="false">IF(OR(AD85="ER",AD86="ER"),"ER",IF(OR(AD85="?",AD86="?"),"?",IF(AND(AD85="NA",AD86="NA"),"NA",SUM(AD85,AD86)/((AD85&lt;&gt;"NA")*$H$85+(AD86&lt;&gt;"NA")*$H$86)*$H84)))</f>
        <v>?</v>
      </c>
      <c r="AE84" s="86" t="str">
        <f aca="false">IF(OR(AE85="ER",AE86="ER"),"ER",IF(OR(AE85="?",AE86="?"),"?",IF(AND(AE85="NA",AE86="NA"),"NA",SUM(AE85,AE86)/((AE85&lt;&gt;"NA")*$H$85+(AE86&lt;&gt;"NA")*$H$86)*$H84)))</f>
        <v>?</v>
      </c>
      <c r="AF84" s="86" t="str">
        <f aca="false">IF(OR(AF85="ER",AF86="ER"),"ER",IF(OR(AF85="?",AF86="?"),"?",IF(AND(AF85="NA",AF86="NA"),"NA",SUM(AF85,AF86)/((AF85&lt;&gt;"NA")*$H$85+(AF86&lt;&gt;"NA")*$H$86)*$H84)))</f>
        <v>?</v>
      </c>
      <c r="AG84" s="86" t="str">
        <f aca="false">IF(OR(AG85="ER",AG86="ER"),"ER",IF(OR(AG85="?",AG86="?"),"?",IF(AND(AG85="NA",AG86="NA"),"NA",SUM(AG85,AG86)/((AG85&lt;&gt;"NA")*$H$85+(AG86&lt;&gt;"NA")*$H$86)*$H84)))</f>
        <v>?</v>
      </c>
      <c r="AH84" s="86" t="str">
        <f aca="false">IF(OR(AH85="ER",AH86="ER"),"ER",IF(OR(AH85="?",AH86="?"),"?",IF(AND(AH85="NA",AH86="NA"),"NA",SUM(AH85,AH86)/((AH85&lt;&gt;"NA")*$H$85+(AH86&lt;&gt;"NA")*$H$86)*$H84)))</f>
        <v>?</v>
      </c>
      <c r="AI84" s="86" t="str">
        <f aca="false">IF(OR(AI85="ER",AI86="ER"),"ER",IF(OR(AI85="?",AI86="?"),"?",IF(AND(AI85="NA",AI86="NA"),"NA",SUM(AI85,AI86)/((AI85&lt;&gt;"NA")*$H$85+(AI86&lt;&gt;"NA")*$H$86)*$H84)))</f>
        <v>?</v>
      </c>
      <c r="AJ84" s="86" t="str">
        <f aca="false">IF(OR(AJ85="ER",AJ86="ER"),"ER",IF(OR(AJ85="?",AJ86="?"),"?",IF(AND(AJ85="NA",AJ86="NA"),"NA",SUM(AJ85,AJ86)/((AJ85&lt;&gt;"NA")*$H$85+(AJ86&lt;&gt;"NA")*$H$86)*$H84)))</f>
        <v>?</v>
      </c>
      <c r="AK84" s="86" t="str">
        <f aca="false">IF(OR(AK85="ER",AK86="ER"),"ER",IF(OR(AK85="?",AK86="?"),"?",IF(AND(AK85="NA",AK86="NA"),"NA",SUM(AK85,AK86)/((AK85&lt;&gt;"NA")*$H$85+(AK86&lt;&gt;"NA")*$H$86)*$H84)))</f>
        <v>?</v>
      </c>
    </row>
    <row r="85" customFormat="false" ht="14.25" hidden="false" customHeight="false" outlineLevel="0" collapsed="false">
      <c r="A85" s="82" t="s">
        <v>253</v>
      </c>
      <c r="B85" s="83" t="str">
        <f aca="false">IF(ISBLANK($A85),"NO_CODE",VLOOKUP($A85,'UPD Questions_290926 '!$E$1:$N$300,MATCH(B$1,'UPD Questions_290926 '!$E$1:$N$1,0),0)&amp;"")</f>
        <v>Implementation</v>
      </c>
      <c r="C85" s="83" t="str">
        <f aca="false">IF(ISBLANK($A85),"NO_CODE",VLOOKUP($A85,'UPD Questions_290926 '!$E$1:$N$300,MATCH(C$1,'UPD Questions_290926 '!$E$1:$N$1,0),0)&amp;"")</f>
        <v>Urban design, accessibility and parking</v>
      </c>
      <c r="D85" s="83" t="str">
        <f aca="false">IF(ISBLANK($A85),"NO_CODE",VLOOKUP($A85,'UPD Questions_290926 '!$E$1:$N$300,MATCH(D$1,'UPD Questions_290926 '!$E$1:$N$1,0),0)&amp;"")</f>
        <v>Urban design standards and universal accessibility</v>
      </c>
      <c r="E85" s="83" t="str">
        <f aca="false">IF(ISBLANK($A85),"NO_CODE",VLOOKUP($A85,'UPD Questions_290926 '!$E$1:$N$300,MATCH(E$1,'UPD Questions_290926 '!$E$1:$N$1,0),0)&amp;"")</f>
        <v>SQ</v>
      </c>
      <c r="F85" s="83" t="str">
        <f aca="false">IF(ISBLANK($A85),"NO_CODE",VLOOKUP($A85,'UPD Questions_290926 '!$E$1:$N$300,MATCH(F$1,'UPD Questions_290926 '!$E$1:$N$1,0),0)&amp;"")</f>
        <v>Does the law mandate comprehensive urban design standards and universal accessibility?</v>
      </c>
      <c r="G85" s="83" t="str">
        <f aca="false">IF(ISBLANK($A85),"NO_CODE",VLOOKUP($A85,'UPD Questions_290926 '!$E$1:$N$300,MATCH(G$1,'UPD Questions_290926 '!$E$1:$N$1,0),0)&amp;"")</f>
        <v>Law or Policy</v>
      </c>
      <c r="H85" s="85" t="n">
        <f aca="false">IF(ISBLANK($A85),"NO_CODE",VLOOKUP($A85,'UPD Questions_290926 '!$E$1:$N$300,MATCH(H$1,'UPD Questions_290926 '!$E$1:$N$1,0),0))</f>
        <v>5</v>
      </c>
      <c r="I85" s="86" t="str">
        <f aca="true">IF($H85=0,"NA",IF($A85=INDIRECT("'"&amp;$A85&amp;"'!$B$1"),IF(VLOOKUP(I$1,INDIRECT("'"&amp;$A85&amp;"'!$A$12:$Z$41"),MATCH("Points (Auto-generate)",INDIRECT("'"&amp;$A85&amp;"'!$A$12:$Z$12"),0),0)="","?",VLOOKUP(I$1,INDIRECT("'"&amp;$A85&amp;"'!$A$12:$Z$41"),MATCH("Points (Auto-generate)",INDIRECT("'"&amp;$A85&amp;"'!$A$12:$Z$12"),0),0)),"ER"))</f>
        <v>?</v>
      </c>
      <c r="J85" s="86" t="str">
        <f aca="true">IF($H85=0,"NA",IF($A85=INDIRECT("'"&amp;$A85&amp;"'!$B$1"),IF(VLOOKUP(J$1,INDIRECT("'"&amp;$A85&amp;"'!$A$12:$Z$41"),MATCH("Points (Auto-generate)",INDIRECT("'"&amp;$A85&amp;"'!$A$12:$Z$12"),0),0)="","?",VLOOKUP(J$1,INDIRECT("'"&amp;$A85&amp;"'!$A$12:$Z$41"),MATCH("Points (Auto-generate)",INDIRECT("'"&amp;$A85&amp;"'!$A$12:$Z$12"),0),0)),"ER"))</f>
        <v>?</v>
      </c>
      <c r="K85" s="86" t="str">
        <f aca="true">IF($H85=0,"NA",IF($A85=INDIRECT("'"&amp;$A85&amp;"'!$B$1"),IF(VLOOKUP(K$1,INDIRECT("'"&amp;$A85&amp;"'!$A$12:$Z$41"),MATCH("Points (Auto-generate)",INDIRECT("'"&amp;$A85&amp;"'!$A$12:$Z$12"),0),0)="","?",VLOOKUP(K$1,INDIRECT("'"&amp;$A85&amp;"'!$A$12:$Z$41"),MATCH("Points (Auto-generate)",INDIRECT("'"&amp;$A85&amp;"'!$A$12:$Z$12"),0),0)),"ER"))</f>
        <v>?</v>
      </c>
      <c r="L85" s="86" t="str">
        <f aca="true">IF($H85=0,"NA",IF($A85=INDIRECT("'"&amp;$A85&amp;"'!$B$1"),IF(VLOOKUP(L$1,INDIRECT("'"&amp;$A85&amp;"'!$A$12:$Z$41"),MATCH("Points (Auto-generate)",INDIRECT("'"&amp;$A85&amp;"'!$A$12:$Z$12"),0),0)="","?",VLOOKUP(L$1,INDIRECT("'"&amp;$A85&amp;"'!$A$12:$Z$41"),MATCH("Points (Auto-generate)",INDIRECT("'"&amp;$A85&amp;"'!$A$12:$Z$12"),0),0)),"ER"))</f>
        <v>?</v>
      </c>
      <c r="M85" s="86" t="str">
        <f aca="true">IF($H85=0,"NA",IF($A85=INDIRECT("'"&amp;$A85&amp;"'!$B$1"),IF(VLOOKUP(M$1,INDIRECT("'"&amp;$A85&amp;"'!$A$12:$Z$41"),MATCH("Points (Auto-generate)",INDIRECT("'"&amp;$A85&amp;"'!$A$12:$Z$12"),0),0)="","?",VLOOKUP(M$1,INDIRECT("'"&amp;$A85&amp;"'!$A$12:$Z$41"),MATCH("Points (Auto-generate)",INDIRECT("'"&amp;$A85&amp;"'!$A$12:$Z$12"),0),0)),"ER"))</f>
        <v>?</v>
      </c>
      <c r="N85" s="86" t="str">
        <f aca="true">IF($H85=0,"NA",IF($A85=INDIRECT("'"&amp;$A85&amp;"'!$B$1"),IF(VLOOKUP(N$1,INDIRECT("'"&amp;$A85&amp;"'!$A$12:$Z$41"),MATCH("Points (Auto-generate)",INDIRECT("'"&amp;$A85&amp;"'!$A$12:$Z$12"),0),0)="","?",VLOOKUP(N$1,INDIRECT("'"&amp;$A85&amp;"'!$A$12:$Z$41"),MATCH("Points (Auto-generate)",INDIRECT("'"&amp;$A85&amp;"'!$A$12:$Z$12"),0),0)),"ER"))</f>
        <v>?</v>
      </c>
      <c r="O85" s="86" t="str">
        <f aca="true">IF($H85=0,"NA",IF($A85=INDIRECT("'"&amp;$A85&amp;"'!$B$1"),IF(VLOOKUP(O$1,INDIRECT("'"&amp;$A85&amp;"'!$A$12:$Z$41"),MATCH("Points (Auto-generate)",INDIRECT("'"&amp;$A85&amp;"'!$A$12:$Z$12"),0),0)="","?",VLOOKUP(O$1,INDIRECT("'"&amp;$A85&amp;"'!$A$12:$Z$41"),MATCH("Points (Auto-generate)",INDIRECT("'"&amp;$A85&amp;"'!$A$12:$Z$12"),0),0)),"ER"))</f>
        <v>?</v>
      </c>
      <c r="P85" s="86" t="str">
        <f aca="true">IF($H85=0,"NA",IF($A85=INDIRECT("'"&amp;$A85&amp;"'!$B$1"),IF(VLOOKUP(P$1,INDIRECT("'"&amp;$A85&amp;"'!$A$12:$Z$41"),MATCH("Points (Auto-generate)",INDIRECT("'"&amp;$A85&amp;"'!$A$12:$Z$12"),0),0)="","?",VLOOKUP(P$1,INDIRECT("'"&amp;$A85&amp;"'!$A$12:$Z$41"),MATCH("Points (Auto-generate)",INDIRECT("'"&amp;$A85&amp;"'!$A$12:$Z$12"),0),0)),"ER"))</f>
        <v>?</v>
      </c>
      <c r="Q85" s="86" t="str">
        <f aca="true">IF($H85=0,"NA",IF($A85=INDIRECT("'"&amp;$A85&amp;"'!$B$1"),IF(VLOOKUP(Q$1,INDIRECT("'"&amp;$A85&amp;"'!$A$12:$Z$41"),MATCH("Points (Auto-generate)",INDIRECT("'"&amp;$A85&amp;"'!$A$12:$Z$12"),0),0)="","?",VLOOKUP(Q$1,INDIRECT("'"&amp;$A85&amp;"'!$A$12:$Z$41"),MATCH("Points (Auto-generate)",INDIRECT("'"&amp;$A85&amp;"'!$A$12:$Z$12"),0),0)),"ER"))</f>
        <v>?</v>
      </c>
      <c r="R85" s="86" t="str">
        <f aca="true">IF($H85=0,"NA",IF($A85=INDIRECT("'"&amp;$A85&amp;"'!$B$1"),IF(VLOOKUP(R$1,INDIRECT("'"&amp;$A85&amp;"'!$A$12:$Z$41"),MATCH("Points (Auto-generate)",INDIRECT("'"&amp;$A85&amp;"'!$A$12:$Z$12"),0),0)="","?",VLOOKUP(R$1,INDIRECT("'"&amp;$A85&amp;"'!$A$12:$Z$41"),MATCH("Points (Auto-generate)",INDIRECT("'"&amp;$A85&amp;"'!$A$12:$Z$12"),0),0)),"ER"))</f>
        <v>?</v>
      </c>
      <c r="S85" s="86" t="str">
        <f aca="true">IF($H85=0,"NA",IF($A85=INDIRECT("'"&amp;$A85&amp;"'!$B$1"),IF(VLOOKUP(S$1,INDIRECT("'"&amp;$A85&amp;"'!$A$12:$Z$41"),MATCH("Points (Auto-generate)",INDIRECT("'"&amp;$A85&amp;"'!$A$12:$Z$12"),0),0)="","?",VLOOKUP(S$1,INDIRECT("'"&amp;$A85&amp;"'!$A$12:$Z$41"),MATCH("Points (Auto-generate)",INDIRECT("'"&amp;$A85&amp;"'!$A$12:$Z$12"),0),0)),"ER"))</f>
        <v>?</v>
      </c>
      <c r="T85" s="86" t="str">
        <f aca="true">IF($H85=0,"NA",IF($A85=INDIRECT("'"&amp;$A85&amp;"'!$B$1"),IF(VLOOKUP(T$1,INDIRECT("'"&amp;$A85&amp;"'!$A$12:$Z$41"),MATCH("Points (Auto-generate)",INDIRECT("'"&amp;$A85&amp;"'!$A$12:$Z$12"),0),0)="","?",VLOOKUP(T$1,INDIRECT("'"&amp;$A85&amp;"'!$A$12:$Z$41"),MATCH("Points (Auto-generate)",INDIRECT("'"&amp;$A85&amp;"'!$A$12:$Z$12"),0),0)),"ER"))</f>
        <v>?</v>
      </c>
      <c r="U85" s="86" t="str">
        <f aca="true">IF($H85=0,"NA",IF($A85=INDIRECT("'"&amp;$A85&amp;"'!$B$1"),IF(VLOOKUP(U$1,INDIRECT("'"&amp;$A85&amp;"'!$A$12:$Z$41"),MATCH("Points (Auto-generate)",INDIRECT("'"&amp;$A85&amp;"'!$A$12:$Z$12"),0),0)="","?",VLOOKUP(U$1,INDIRECT("'"&amp;$A85&amp;"'!$A$12:$Z$41"),MATCH("Points (Auto-generate)",INDIRECT("'"&amp;$A85&amp;"'!$A$12:$Z$12"),0),0)),"ER"))</f>
        <v>?</v>
      </c>
      <c r="V85" s="86" t="str">
        <f aca="true">IF($H85=0,"NA",IF($A85=INDIRECT("'"&amp;$A85&amp;"'!$B$1"),IF(VLOOKUP(V$1,INDIRECT("'"&amp;$A85&amp;"'!$A$12:$Z$41"),MATCH("Points (Auto-generate)",INDIRECT("'"&amp;$A85&amp;"'!$A$12:$Z$12"),0),0)="","?",VLOOKUP(V$1,INDIRECT("'"&amp;$A85&amp;"'!$A$12:$Z$41"),MATCH("Points (Auto-generate)",INDIRECT("'"&amp;$A85&amp;"'!$A$12:$Z$12"),0),0)),"ER"))</f>
        <v>?</v>
      </c>
      <c r="W85" s="86" t="str">
        <f aca="true">IF($H85=0,"NA",IF($A85=INDIRECT("'"&amp;$A85&amp;"'!$B$1"),IF(VLOOKUP(W$1,INDIRECT("'"&amp;$A85&amp;"'!$A$12:$Z$41"),MATCH("Points (Auto-generate)",INDIRECT("'"&amp;$A85&amp;"'!$A$12:$Z$12"),0),0)="","?",VLOOKUP(W$1,INDIRECT("'"&amp;$A85&amp;"'!$A$12:$Z$41"),MATCH("Points (Auto-generate)",INDIRECT("'"&amp;$A85&amp;"'!$A$12:$Z$12"),0),0)),"ER"))</f>
        <v>?</v>
      </c>
      <c r="X85" s="86" t="str">
        <f aca="true">IF($H85=0,"NA",IF($A85=INDIRECT("'"&amp;$A85&amp;"'!$B$1"),IF(VLOOKUP(X$1,INDIRECT("'"&amp;$A85&amp;"'!$A$12:$Z$41"),MATCH("Points (Auto-generate)",INDIRECT("'"&amp;$A85&amp;"'!$A$12:$Z$12"),0),0)="","?",VLOOKUP(X$1,INDIRECT("'"&amp;$A85&amp;"'!$A$12:$Z$41"),MATCH("Points (Auto-generate)",INDIRECT("'"&amp;$A85&amp;"'!$A$12:$Z$12"),0),0)),"ER"))</f>
        <v>?</v>
      </c>
      <c r="Y85" s="86" t="str">
        <f aca="true">IF($H85=0,"NA",IF($A85=INDIRECT("'"&amp;$A85&amp;"'!$B$1"),IF(VLOOKUP(Y$1,INDIRECT("'"&amp;$A85&amp;"'!$A$12:$Z$41"),MATCH("Points (Auto-generate)",INDIRECT("'"&amp;$A85&amp;"'!$A$12:$Z$12"),0),0)="","?",VLOOKUP(Y$1,INDIRECT("'"&amp;$A85&amp;"'!$A$12:$Z$41"),MATCH("Points (Auto-generate)",INDIRECT("'"&amp;$A85&amp;"'!$A$12:$Z$12"),0),0)),"ER"))</f>
        <v>?</v>
      </c>
      <c r="Z85" s="86" t="str">
        <f aca="true">IF($H85=0,"NA",IF($A85=INDIRECT("'"&amp;$A85&amp;"'!$B$1"),IF(VLOOKUP(Z$1,INDIRECT("'"&amp;$A85&amp;"'!$A$12:$Z$41"),MATCH("Points (Auto-generate)",INDIRECT("'"&amp;$A85&amp;"'!$A$12:$Z$12"),0),0)="","?",VLOOKUP(Z$1,INDIRECT("'"&amp;$A85&amp;"'!$A$12:$Z$41"),MATCH("Points (Auto-generate)",INDIRECT("'"&amp;$A85&amp;"'!$A$12:$Z$12"),0),0)),"ER"))</f>
        <v>?</v>
      </c>
      <c r="AA85" s="86" t="str">
        <f aca="true">IF($H85=0,"NA",IF($A85=INDIRECT("'"&amp;$A85&amp;"'!$B$1"),IF(VLOOKUP(AA$1,INDIRECT("'"&amp;$A85&amp;"'!$A$12:$Z$41"),MATCH("Points (Auto-generate)",INDIRECT("'"&amp;$A85&amp;"'!$A$12:$Z$12"),0),0)="","?",VLOOKUP(AA$1,INDIRECT("'"&amp;$A85&amp;"'!$A$12:$Z$41"),MATCH("Points (Auto-generate)",INDIRECT("'"&amp;$A85&amp;"'!$A$12:$Z$12"),0),0)),"ER"))</f>
        <v>?</v>
      </c>
      <c r="AB85" s="86" t="str">
        <f aca="true">IF($H85=0,"NA",IF($A85=INDIRECT("'"&amp;$A85&amp;"'!$B$1"),IF(VLOOKUP(AB$1,INDIRECT("'"&amp;$A85&amp;"'!$A$12:$Z$41"),MATCH("Points (Auto-generate)",INDIRECT("'"&amp;$A85&amp;"'!$A$12:$Z$12"),0),0)="","?",VLOOKUP(AB$1,INDIRECT("'"&amp;$A85&amp;"'!$A$12:$Z$41"),MATCH("Points (Auto-generate)",INDIRECT("'"&amp;$A85&amp;"'!$A$12:$Z$12"),0),0)),"ER"))</f>
        <v>?</v>
      </c>
      <c r="AC85" s="86" t="str">
        <f aca="true">IF($H85=0,"NA",IF($A85=INDIRECT("'"&amp;$A85&amp;"'!$B$1"),IF(VLOOKUP(AC$1,INDIRECT("'"&amp;$A85&amp;"'!$A$12:$Z$41"),MATCH("Points (Auto-generate)",INDIRECT("'"&amp;$A85&amp;"'!$A$12:$Z$12"),0),0)="","?",VLOOKUP(AC$1,INDIRECT("'"&amp;$A85&amp;"'!$A$12:$Z$41"),MATCH("Points (Auto-generate)",INDIRECT("'"&amp;$A85&amp;"'!$A$12:$Z$12"),0),0)),"ER"))</f>
        <v>?</v>
      </c>
      <c r="AD85" s="86" t="str">
        <f aca="true">IF($H85=0,"NA",IF($A85=INDIRECT("'"&amp;$A85&amp;"'!$B$1"),IF(VLOOKUP(AD$1,INDIRECT("'"&amp;$A85&amp;"'!$A$12:$Z$41"),MATCH("Points (Auto-generate)",INDIRECT("'"&amp;$A85&amp;"'!$A$12:$Z$12"),0),0)="","?",VLOOKUP(AD$1,INDIRECT("'"&amp;$A85&amp;"'!$A$12:$Z$41"),MATCH("Points (Auto-generate)",INDIRECT("'"&amp;$A85&amp;"'!$A$12:$Z$12"),0),0)),"ER"))</f>
        <v>?</v>
      </c>
      <c r="AE85" s="86" t="str">
        <f aca="true">IF($H85=0,"NA",IF($A85=INDIRECT("'"&amp;$A85&amp;"'!$B$1"),IF(VLOOKUP(AE$1,INDIRECT("'"&amp;$A85&amp;"'!$A$12:$Z$41"),MATCH("Points (Auto-generate)",INDIRECT("'"&amp;$A85&amp;"'!$A$12:$Z$12"),0),0)="","?",VLOOKUP(AE$1,INDIRECT("'"&amp;$A85&amp;"'!$A$12:$Z$41"),MATCH("Points (Auto-generate)",INDIRECT("'"&amp;$A85&amp;"'!$A$12:$Z$12"),0),0)),"ER"))</f>
        <v>?</v>
      </c>
      <c r="AF85" s="86" t="str">
        <f aca="true">IF($H85=0,"NA",IF($A85=INDIRECT("'"&amp;$A85&amp;"'!$B$1"),IF(VLOOKUP(AF$1,INDIRECT("'"&amp;$A85&amp;"'!$A$12:$Z$41"),MATCH("Points (Auto-generate)",INDIRECT("'"&amp;$A85&amp;"'!$A$12:$Z$12"),0),0)="","?",VLOOKUP(AF$1,INDIRECT("'"&amp;$A85&amp;"'!$A$12:$Z$41"),MATCH("Points (Auto-generate)",INDIRECT("'"&amp;$A85&amp;"'!$A$12:$Z$12"),0),0)),"ER"))</f>
        <v>?</v>
      </c>
      <c r="AG85" s="86" t="str">
        <f aca="true">IF($H85=0,"NA",IF($A85=INDIRECT("'"&amp;$A85&amp;"'!$B$1"),IF(VLOOKUP(AG$1,INDIRECT("'"&amp;$A85&amp;"'!$A$12:$Z$41"),MATCH("Points (Auto-generate)",INDIRECT("'"&amp;$A85&amp;"'!$A$12:$Z$12"),0),0)="","?",VLOOKUP(AG$1,INDIRECT("'"&amp;$A85&amp;"'!$A$12:$Z$41"),MATCH("Points (Auto-generate)",INDIRECT("'"&amp;$A85&amp;"'!$A$12:$Z$12"),0),0)),"ER"))</f>
        <v>?</v>
      </c>
      <c r="AH85" s="86" t="str">
        <f aca="true">IF($H85=0,"NA",IF($A85=INDIRECT("'"&amp;$A85&amp;"'!$B$1"),IF(VLOOKUP(AH$1,INDIRECT("'"&amp;$A85&amp;"'!$A$12:$Z$41"),MATCH("Points (Auto-generate)",INDIRECT("'"&amp;$A85&amp;"'!$A$12:$Z$12"),0),0)="","?",VLOOKUP(AH$1,INDIRECT("'"&amp;$A85&amp;"'!$A$12:$Z$41"),MATCH("Points (Auto-generate)",INDIRECT("'"&amp;$A85&amp;"'!$A$12:$Z$12"),0),0)),"ER"))</f>
        <v>?</v>
      </c>
      <c r="AI85" s="86" t="str">
        <f aca="true">IF($H85=0,"NA",IF($A85=INDIRECT("'"&amp;$A85&amp;"'!$B$1"),IF(VLOOKUP(AI$1,INDIRECT("'"&amp;$A85&amp;"'!$A$12:$Z$41"),MATCH("Points (Auto-generate)",INDIRECT("'"&amp;$A85&amp;"'!$A$12:$Z$12"),0),0)="","?",VLOOKUP(AI$1,INDIRECT("'"&amp;$A85&amp;"'!$A$12:$Z$41"),MATCH("Points (Auto-generate)",INDIRECT("'"&amp;$A85&amp;"'!$A$12:$Z$12"),0),0)),"ER"))</f>
        <v>?</v>
      </c>
      <c r="AJ85" s="86" t="str">
        <f aca="true">IF($H85=0,"NA",IF($A85=INDIRECT("'"&amp;$A85&amp;"'!$B$1"),IF(VLOOKUP(AJ$1,INDIRECT("'"&amp;$A85&amp;"'!$A$12:$Z$41"),MATCH("Points (Auto-generate)",INDIRECT("'"&amp;$A85&amp;"'!$A$12:$Z$12"),0),0)="","?",VLOOKUP(AJ$1,INDIRECT("'"&amp;$A85&amp;"'!$A$12:$Z$41"),MATCH("Points (Auto-generate)",INDIRECT("'"&amp;$A85&amp;"'!$A$12:$Z$12"),0),0)),"ER"))</f>
        <v>?</v>
      </c>
      <c r="AK85" s="86" t="str">
        <f aca="true">IF($H85=0,"NA",IF($A85=INDIRECT("'"&amp;$A85&amp;"'!$B$1"),IF(VLOOKUP(AK$1,INDIRECT("'"&amp;$A85&amp;"'!$A$12:$Z$41"),MATCH("Points (Auto-generate)",INDIRECT("'"&amp;$A85&amp;"'!$A$12:$Z$12"),0),0)="","?",VLOOKUP(AK$1,INDIRECT("'"&amp;$A85&amp;"'!$A$12:$Z$41"),MATCH("Points (Auto-generate)",INDIRECT("'"&amp;$A85&amp;"'!$A$12:$Z$12"),0),0)),"ER"))</f>
        <v>?</v>
      </c>
    </row>
    <row r="86" customFormat="false" ht="14.25" hidden="false" customHeight="false" outlineLevel="0" collapsed="false">
      <c r="A86" s="82" t="s">
        <v>259</v>
      </c>
      <c r="B86" s="83" t="str">
        <f aca="false">IF(ISBLANK($A86),"NO_CODE",VLOOKUP($A86,'UPD Questions_290926 '!$E$1:$N$300,MATCH(B$1,'UPD Questions_290926 '!$E$1:$N$1,0),0)&amp;"")</f>
        <v>Implementation</v>
      </c>
      <c r="C86" s="83" t="str">
        <f aca="false">IF(ISBLANK($A86),"NO_CODE",VLOOKUP($A86,'UPD Questions_290926 '!$E$1:$N$300,MATCH(C$1,'UPD Questions_290926 '!$E$1:$N$1,0),0)&amp;"")</f>
        <v>Urban design, accessibility and parking</v>
      </c>
      <c r="D86" s="83" t="str">
        <f aca="false">IF(ISBLANK($A86),"NO_CODE",VLOOKUP($A86,'UPD Questions_290926 '!$E$1:$N$300,MATCH(D$1,'UPD Questions_290926 '!$E$1:$N$1,0),0)&amp;"")</f>
        <v>Urban design standards and universal accessibility</v>
      </c>
      <c r="E86" s="83" t="str">
        <f aca="false">IF(ISBLANK($A86),"NO_CODE",VLOOKUP($A86,'UPD Questions_290926 '!$E$1:$N$300,MATCH(E$1,'UPD Questions_290926 '!$E$1:$N$1,0),0)&amp;"")</f>
        <v>SQ</v>
      </c>
      <c r="F86" s="83" t="str">
        <f aca="false">IF(ISBLANK($A86),"NO_CODE",VLOOKUP($A86,'UPD Questions_290926 '!$E$1:$N$300,MATCH(F$1,'UPD Questions_290926 '!$E$1:$N$1,0),0)&amp;"")</f>
        <v>Does the city have urban design standards to guide the execution of urban projects?</v>
      </c>
      <c r="G86" s="83" t="str">
        <f aca="false">IF(ISBLANK($A86),"NO_CODE",VLOOKUP($A86,'UPD Questions_290926 '!$E$1:$N$300,MATCH(G$1,'UPD Questions_290926 '!$E$1:$N$1,0),0)&amp;"")</f>
        <v>Implementation</v>
      </c>
      <c r="H86" s="85" t="n">
        <f aca="false">IF(ISBLANK($A86),"NO_CODE",VLOOKUP($A86,'UPD Questions_290926 '!$E$1:$N$300,MATCH(H$1,'UPD Questions_290926 '!$E$1:$N$1,0),0))</f>
        <v>5</v>
      </c>
      <c r="I86" s="86" t="str">
        <f aca="true">IF($H86=0,"NA",IF($A86=INDIRECT("'"&amp;$A86&amp;"'!$B$1"),IF(VLOOKUP(I$1,INDIRECT("'"&amp;$A86&amp;"'!$A$12:$Z$41"),MATCH("Points (Auto-generate)",INDIRECT("'"&amp;$A86&amp;"'!$A$12:$Z$12"),0),0)="","?",VLOOKUP(I$1,INDIRECT("'"&amp;$A86&amp;"'!$A$12:$Z$41"),MATCH("Points (Auto-generate)",INDIRECT("'"&amp;$A86&amp;"'!$A$12:$Z$12"),0),0)),"ER"))</f>
        <v>?</v>
      </c>
      <c r="J86" s="86" t="str">
        <f aca="true">IF($H86=0,"NA",IF($A86=INDIRECT("'"&amp;$A86&amp;"'!$B$1"),IF(VLOOKUP(J$1,INDIRECT("'"&amp;$A86&amp;"'!$A$12:$Z$41"),MATCH("Points (Auto-generate)",INDIRECT("'"&amp;$A86&amp;"'!$A$12:$Z$12"),0),0)="","?",VLOOKUP(J$1,INDIRECT("'"&amp;$A86&amp;"'!$A$12:$Z$41"),MATCH("Points (Auto-generate)",INDIRECT("'"&amp;$A86&amp;"'!$A$12:$Z$12"),0),0)),"ER"))</f>
        <v>?</v>
      </c>
      <c r="K86" s="86" t="str">
        <f aca="true">IF($H86=0,"NA",IF($A86=INDIRECT("'"&amp;$A86&amp;"'!$B$1"),IF(VLOOKUP(K$1,INDIRECT("'"&amp;$A86&amp;"'!$A$12:$Z$41"),MATCH("Points (Auto-generate)",INDIRECT("'"&amp;$A86&amp;"'!$A$12:$Z$12"),0),0)="","?",VLOOKUP(K$1,INDIRECT("'"&amp;$A86&amp;"'!$A$12:$Z$41"),MATCH("Points (Auto-generate)",INDIRECT("'"&amp;$A86&amp;"'!$A$12:$Z$12"),0),0)),"ER"))</f>
        <v>?</v>
      </c>
      <c r="L86" s="86" t="str">
        <f aca="true">IF($H86=0,"NA",IF($A86=INDIRECT("'"&amp;$A86&amp;"'!$B$1"),IF(VLOOKUP(L$1,INDIRECT("'"&amp;$A86&amp;"'!$A$12:$Z$41"),MATCH("Points (Auto-generate)",INDIRECT("'"&amp;$A86&amp;"'!$A$12:$Z$12"),0),0)="","?",VLOOKUP(L$1,INDIRECT("'"&amp;$A86&amp;"'!$A$12:$Z$41"),MATCH("Points (Auto-generate)",INDIRECT("'"&amp;$A86&amp;"'!$A$12:$Z$12"),0),0)),"ER"))</f>
        <v>?</v>
      </c>
      <c r="M86" s="86" t="str">
        <f aca="true">IF($H86=0,"NA",IF($A86=INDIRECT("'"&amp;$A86&amp;"'!$B$1"),IF(VLOOKUP(M$1,INDIRECT("'"&amp;$A86&amp;"'!$A$12:$Z$41"),MATCH("Points (Auto-generate)",INDIRECT("'"&amp;$A86&amp;"'!$A$12:$Z$12"),0),0)="","?",VLOOKUP(M$1,INDIRECT("'"&amp;$A86&amp;"'!$A$12:$Z$41"),MATCH("Points (Auto-generate)",INDIRECT("'"&amp;$A86&amp;"'!$A$12:$Z$12"),0),0)),"ER"))</f>
        <v>?</v>
      </c>
      <c r="N86" s="86" t="str">
        <f aca="true">IF($H86=0,"NA",IF($A86=INDIRECT("'"&amp;$A86&amp;"'!$B$1"),IF(VLOOKUP(N$1,INDIRECT("'"&amp;$A86&amp;"'!$A$12:$Z$41"),MATCH("Points (Auto-generate)",INDIRECT("'"&amp;$A86&amp;"'!$A$12:$Z$12"),0),0)="","?",VLOOKUP(N$1,INDIRECT("'"&amp;$A86&amp;"'!$A$12:$Z$41"),MATCH("Points (Auto-generate)",INDIRECT("'"&amp;$A86&amp;"'!$A$12:$Z$12"),0),0)),"ER"))</f>
        <v>?</v>
      </c>
      <c r="O86" s="86" t="str">
        <f aca="true">IF($H86=0,"NA",IF($A86=INDIRECT("'"&amp;$A86&amp;"'!$B$1"),IF(VLOOKUP(O$1,INDIRECT("'"&amp;$A86&amp;"'!$A$12:$Z$41"),MATCH("Points (Auto-generate)",INDIRECT("'"&amp;$A86&amp;"'!$A$12:$Z$12"),0),0)="","?",VLOOKUP(O$1,INDIRECT("'"&amp;$A86&amp;"'!$A$12:$Z$41"),MATCH("Points (Auto-generate)",INDIRECT("'"&amp;$A86&amp;"'!$A$12:$Z$12"),0),0)),"ER"))</f>
        <v>?</v>
      </c>
      <c r="P86" s="86" t="str">
        <f aca="true">IF($H86=0,"NA",IF($A86=INDIRECT("'"&amp;$A86&amp;"'!$B$1"),IF(VLOOKUP(P$1,INDIRECT("'"&amp;$A86&amp;"'!$A$12:$Z$41"),MATCH("Points (Auto-generate)",INDIRECT("'"&amp;$A86&amp;"'!$A$12:$Z$12"),0),0)="","?",VLOOKUP(P$1,INDIRECT("'"&amp;$A86&amp;"'!$A$12:$Z$41"),MATCH("Points (Auto-generate)",INDIRECT("'"&amp;$A86&amp;"'!$A$12:$Z$12"),0),0)),"ER"))</f>
        <v>?</v>
      </c>
      <c r="Q86" s="86" t="str">
        <f aca="true">IF($H86=0,"NA",IF($A86=INDIRECT("'"&amp;$A86&amp;"'!$B$1"),IF(VLOOKUP(Q$1,INDIRECT("'"&amp;$A86&amp;"'!$A$12:$Z$41"),MATCH("Points (Auto-generate)",INDIRECT("'"&amp;$A86&amp;"'!$A$12:$Z$12"),0),0)="","?",VLOOKUP(Q$1,INDIRECT("'"&amp;$A86&amp;"'!$A$12:$Z$41"),MATCH("Points (Auto-generate)",INDIRECT("'"&amp;$A86&amp;"'!$A$12:$Z$12"),0),0)),"ER"))</f>
        <v>?</v>
      </c>
      <c r="R86" s="86" t="str">
        <f aca="true">IF($H86=0,"NA",IF($A86=INDIRECT("'"&amp;$A86&amp;"'!$B$1"),IF(VLOOKUP(R$1,INDIRECT("'"&amp;$A86&amp;"'!$A$12:$Z$41"),MATCH("Points (Auto-generate)",INDIRECT("'"&amp;$A86&amp;"'!$A$12:$Z$12"),0),0)="","?",VLOOKUP(R$1,INDIRECT("'"&amp;$A86&amp;"'!$A$12:$Z$41"),MATCH("Points (Auto-generate)",INDIRECT("'"&amp;$A86&amp;"'!$A$12:$Z$12"),0),0)),"ER"))</f>
        <v>?</v>
      </c>
      <c r="S86" s="86" t="str">
        <f aca="true">IF($H86=0,"NA",IF($A86=INDIRECT("'"&amp;$A86&amp;"'!$B$1"),IF(VLOOKUP(S$1,INDIRECT("'"&amp;$A86&amp;"'!$A$12:$Z$41"),MATCH("Points (Auto-generate)",INDIRECT("'"&amp;$A86&amp;"'!$A$12:$Z$12"),0),0)="","?",VLOOKUP(S$1,INDIRECT("'"&amp;$A86&amp;"'!$A$12:$Z$41"),MATCH("Points (Auto-generate)",INDIRECT("'"&amp;$A86&amp;"'!$A$12:$Z$12"),0),0)),"ER"))</f>
        <v>?</v>
      </c>
      <c r="T86" s="86" t="str">
        <f aca="true">IF($H86=0,"NA",IF($A86=INDIRECT("'"&amp;$A86&amp;"'!$B$1"),IF(VLOOKUP(T$1,INDIRECT("'"&amp;$A86&amp;"'!$A$12:$Z$41"),MATCH("Points (Auto-generate)",INDIRECT("'"&amp;$A86&amp;"'!$A$12:$Z$12"),0),0)="","?",VLOOKUP(T$1,INDIRECT("'"&amp;$A86&amp;"'!$A$12:$Z$41"),MATCH("Points (Auto-generate)",INDIRECT("'"&amp;$A86&amp;"'!$A$12:$Z$12"),0),0)),"ER"))</f>
        <v>?</v>
      </c>
      <c r="U86" s="86" t="str">
        <f aca="true">IF($H86=0,"NA",IF($A86=INDIRECT("'"&amp;$A86&amp;"'!$B$1"),IF(VLOOKUP(U$1,INDIRECT("'"&amp;$A86&amp;"'!$A$12:$Z$41"),MATCH("Points (Auto-generate)",INDIRECT("'"&amp;$A86&amp;"'!$A$12:$Z$12"),0),0)="","?",VLOOKUP(U$1,INDIRECT("'"&amp;$A86&amp;"'!$A$12:$Z$41"),MATCH("Points (Auto-generate)",INDIRECT("'"&amp;$A86&amp;"'!$A$12:$Z$12"),0),0)),"ER"))</f>
        <v>?</v>
      </c>
      <c r="V86" s="86" t="str">
        <f aca="true">IF($H86=0,"NA",IF($A86=INDIRECT("'"&amp;$A86&amp;"'!$B$1"),IF(VLOOKUP(V$1,INDIRECT("'"&amp;$A86&amp;"'!$A$12:$Z$41"),MATCH("Points (Auto-generate)",INDIRECT("'"&amp;$A86&amp;"'!$A$12:$Z$12"),0),0)="","?",VLOOKUP(V$1,INDIRECT("'"&amp;$A86&amp;"'!$A$12:$Z$41"),MATCH("Points (Auto-generate)",INDIRECT("'"&amp;$A86&amp;"'!$A$12:$Z$12"),0),0)),"ER"))</f>
        <v>?</v>
      </c>
      <c r="W86" s="86" t="str">
        <f aca="true">IF($H86=0,"NA",IF($A86=INDIRECT("'"&amp;$A86&amp;"'!$B$1"),IF(VLOOKUP(W$1,INDIRECT("'"&amp;$A86&amp;"'!$A$12:$Z$41"),MATCH("Points (Auto-generate)",INDIRECT("'"&amp;$A86&amp;"'!$A$12:$Z$12"),0),0)="","?",VLOOKUP(W$1,INDIRECT("'"&amp;$A86&amp;"'!$A$12:$Z$41"),MATCH("Points (Auto-generate)",INDIRECT("'"&amp;$A86&amp;"'!$A$12:$Z$12"),0),0)),"ER"))</f>
        <v>?</v>
      </c>
      <c r="X86" s="86" t="str">
        <f aca="true">IF($H86=0,"NA",IF($A86=INDIRECT("'"&amp;$A86&amp;"'!$B$1"),IF(VLOOKUP(X$1,INDIRECT("'"&amp;$A86&amp;"'!$A$12:$Z$41"),MATCH("Points (Auto-generate)",INDIRECT("'"&amp;$A86&amp;"'!$A$12:$Z$12"),0),0)="","?",VLOOKUP(X$1,INDIRECT("'"&amp;$A86&amp;"'!$A$12:$Z$41"),MATCH("Points (Auto-generate)",INDIRECT("'"&amp;$A86&amp;"'!$A$12:$Z$12"),0),0)),"ER"))</f>
        <v>?</v>
      </c>
      <c r="Y86" s="86" t="str">
        <f aca="true">IF($H86=0,"NA",IF($A86=INDIRECT("'"&amp;$A86&amp;"'!$B$1"),IF(VLOOKUP(Y$1,INDIRECT("'"&amp;$A86&amp;"'!$A$12:$Z$41"),MATCH("Points (Auto-generate)",INDIRECT("'"&amp;$A86&amp;"'!$A$12:$Z$12"),0),0)="","?",VLOOKUP(Y$1,INDIRECT("'"&amp;$A86&amp;"'!$A$12:$Z$41"),MATCH("Points (Auto-generate)",INDIRECT("'"&amp;$A86&amp;"'!$A$12:$Z$12"),0),0)),"ER"))</f>
        <v>?</v>
      </c>
      <c r="Z86" s="86" t="str">
        <f aca="true">IF($H86=0,"NA",IF($A86=INDIRECT("'"&amp;$A86&amp;"'!$B$1"),IF(VLOOKUP(Z$1,INDIRECT("'"&amp;$A86&amp;"'!$A$12:$Z$41"),MATCH("Points (Auto-generate)",INDIRECT("'"&amp;$A86&amp;"'!$A$12:$Z$12"),0),0)="","?",VLOOKUP(Z$1,INDIRECT("'"&amp;$A86&amp;"'!$A$12:$Z$41"),MATCH("Points (Auto-generate)",INDIRECT("'"&amp;$A86&amp;"'!$A$12:$Z$12"),0),0)),"ER"))</f>
        <v>?</v>
      </c>
      <c r="AA86" s="86" t="str">
        <f aca="true">IF($H86=0,"NA",IF($A86=INDIRECT("'"&amp;$A86&amp;"'!$B$1"),IF(VLOOKUP(AA$1,INDIRECT("'"&amp;$A86&amp;"'!$A$12:$Z$41"),MATCH("Points (Auto-generate)",INDIRECT("'"&amp;$A86&amp;"'!$A$12:$Z$12"),0),0)="","?",VLOOKUP(AA$1,INDIRECT("'"&amp;$A86&amp;"'!$A$12:$Z$41"),MATCH("Points (Auto-generate)",INDIRECT("'"&amp;$A86&amp;"'!$A$12:$Z$12"),0),0)),"ER"))</f>
        <v>?</v>
      </c>
      <c r="AB86" s="86" t="str">
        <f aca="true">IF($H86=0,"NA",IF($A86=INDIRECT("'"&amp;$A86&amp;"'!$B$1"),IF(VLOOKUP(AB$1,INDIRECT("'"&amp;$A86&amp;"'!$A$12:$Z$41"),MATCH("Points (Auto-generate)",INDIRECT("'"&amp;$A86&amp;"'!$A$12:$Z$12"),0),0)="","?",VLOOKUP(AB$1,INDIRECT("'"&amp;$A86&amp;"'!$A$12:$Z$41"),MATCH("Points (Auto-generate)",INDIRECT("'"&amp;$A86&amp;"'!$A$12:$Z$12"),0),0)),"ER"))</f>
        <v>?</v>
      </c>
      <c r="AC86" s="86" t="str">
        <f aca="true">IF($H86=0,"NA",IF($A86=INDIRECT("'"&amp;$A86&amp;"'!$B$1"),IF(VLOOKUP(AC$1,INDIRECT("'"&amp;$A86&amp;"'!$A$12:$Z$41"),MATCH("Points (Auto-generate)",INDIRECT("'"&amp;$A86&amp;"'!$A$12:$Z$12"),0),0)="","?",VLOOKUP(AC$1,INDIRECT("'"&amp;$A86&amp;"'!$A$12:$Z$41"),MATCH("Points (Auto-generate)",INDIRECT("'"&amp;$A86&amp;"'!$A$12:$Z$12"),0),0)),"ER"))</f>
        <v>?</v>
      </c>
      <c r="AD86" s="86" t="str">
        <f aca="true">IF($H86=0,"NA",IF($A86=INDIRECT("'"&amp;$A86&amp;"'!$B$1"),IF(VLOOKUP(AD$1,INDIRECT("'"&amp;$A86&amp;"'!$A$12:$Z$41"),MATCH("Points (Auto-generate)",INDIRECT("'"&amp;$A86&amp;"'!$A$12:$Z$12"),0),0)="","?",VLOOKUP(AD$1,INDIRECT("'"&amp;$A86&amp;"'!$A$12:$Z$41"),MATCH("Points (Auto-generate)",INDIRECT("'"&amp;$A86&amp;"'!$A$12:$Z$12"),0),0)),"ER"))</f>
        <v>?</v>
      </c>
      <c r="AE86" s="86" t="str">
        <f aca="true">IF($H86=0,"NA",IF($A86=INDIRECT("'"&amp;$A86&amp;"'!$B$1"),IF(VLOOKUP(AE$1,INDIRECT("'"&amp;$A86&amp;"'!$A$12:$Z$41"),MATCH("Points (Auto-generate)",INDIRECT("'"&amp;$A86&amp;"'!$A$12:$Z$12"),0),0)="","?",VLOOKUP(AE$1,INDIRECT("'"&amp;$A86&amp;"'!$A$12:$Z$41"),MATCH("Points (Auto-generate)",INDIRECT("'"&amp;$A86&amp;"'!$A$12:$Z$12"),0),0)),"ER"))</f>
        <v>?</v>
      </c>
      <c r="AF86" s="86" t="str">
        <f aca="true">IF($H86=0,"NA",IF($A86=INDIRECT("'"&amp;$A86&amp;"'!$B$1"),IF(VLOOKUP(AF$1,INDIRECT("'"&amp;$A86&amp;"'!$A$12:$Z$41"),MATCH("Points (Auto-generate)",INDIRECT("'"&amp;$A86&amp;"'!$A$12:$Z$12"),0),0)="","?",VLOOKUP(AF$1,INDIRECT("'"&amp;$A86&amp;"'!$A$12:$Z$41"),MATCH("Points (Auto-generate)",INDIRECT("'"&amp;$A86&amp;"'!$A$12:$Z$12"),0),0)),"ER"))</f>
        <v>?</v>
      </c>
      <c r="AG86" s="86" t="str">
        <f aca="true">IF($H86=0,"NA",IF($A86=INDIRECT("'"&amp;$A86&amp;"'!$B$1"),IF(VLOOKUP(AG$1,INDIRECT("'"&amp;$A86&amp;"'!$A$12:$Z$41"),MATCH("Points (Auto-generate)",INDIRECT("'"&amp;$A86&amp;"'!$A$12:$Z$12"),0),0)="","?",VLOOKUP(AG$1,INDIRECT("'"&amp;$A86&amp;"'!$A$12:$Z$41"),MATCH("Points (Auto-generate)",INDIRECT("'"&amp;$A86&amp;"'!$A$12:$Z$12"),0),0)),"ER"))</f>
        <v>?</v>
      </c>
      <c r="AH86" s="86" t="str">
        <f aca="true">IF($H86=0,"NA",IF($A86=INDIRECT("'"&amp;$A86&amp;"'!$B$1"),IF(VLOOKUP(AH$1,INDIRECT("'"&amp;$A86&amp;"'!$A$12:$Z$41"),MATCH("Points (Auto-generate)",INDIRECT("'"&amp;$A86&amp;"'!$A$12:$Z$12"),0),0)="","?",VLOOKUP(AH$1,INDIRECT("'"&amp;$A86&amp;"'!$A$12:$Z$41"),MATCH("Points (Auto-generate)",INDIRECT("'"&amp;$A86&amp;"'!$A$12:$Z$12"),0),0)),"ER"))</f>
        <v>?</v>
      </c>
      <c r="AI86" s="86" t="str">
        <f aca="true">IF($H86=0,"NA",IF($A86=INDIRECT("'"&amp;$A86&amp;"'!$B$1"),IF(VLOOKUP(AI$1,INDIRECT("'"&amp;$A86&amp;"'!$A$12:$Z$41"),MATCH("Points (Auto-generate)",INDIRECT("'"&amp;$A86&amp;"'!$A$12:$Z$12"),0),0)="","?",VLOOKUP(AI$1,INDIRECT("'"&amp;$A86&amp;"'!$A$12:$Z$41"),MATCH("Points (Auto-generate)",INDIRECT("'"&amp;$A86&amp;"'!$A$12:$Z$12"),0),0)),"ER"))</f>
        <v>?</v>
      </c>
      <c r="AJ86" s="86" t="str">
        <f aca="true">IF($H86=0,"NA",IF($A86=INDIRECT("'"&amp;$A86&amp;"'!$B$1"),IF(VLOOKUP(AJ$1,INDIRECT("'"&amp;$A86&amp;"'!$A$12:$Z$41"),MATCH("Points (Auto-generate)",INDIRECT("'"&amp;$A86&amp;"'!$A$12:$Z$12"),0),0)="","?",VLOOKUP(AJ$1,INDIRECT("'"&amp;$A86&amp;"'!$A$12:$Z$41"),MATCH("Points (Auto-generate)",INDIRECT("'"&amp;$A86&amp;"'!$A$12:$Z$12"),0),0)),"ER"))</f>
        <v>?</v>
      </c>
      <c r="AK86" s="86" t="str">
        <f aca="true">IF($H86=0,"NA",IF($A86=INDIRECT("'"&amp;$A86&amp;"'!$B$1"),IF(VLOOKUP(AK$1,INDIRECT("'"&amp;$A86&amp;"'!$A$12:$Z$41"),MATCH("Points (Auto-generate)",INDIRECT("'"&amp;$A86&amp;"'!$A$12:$Z$12"),0),0)="","?",VLOOKUP(AK$1,INDIRECT("'"&amp;$A86&amp;"'!$A$12:$Z$41"),MATCH("Points (Auto-generate)",INDIRECT("'"&amp;$A86&amp;"'!$A$12:$Z$12"),0),0)),"ER"))</f>
        <v>?</v>
      </c>
    </row>
    <row r="87" customFormat="false" ht="14.25" hidden="false" customHeight="false" outlineLevel="0" collapsed="false">
      <c r="A87" s="82" t="s">
        <v>650</v>
      </c>
      <c r="B87" s="83" t="str">
        <f aca="false">IF(ISBLANK($A87),"NO_CODE",VLOOKUP($A87,'UPD Questions_290926 '!$E$1:$N$300,MATCH(B$1,'UPD Questions_290926 '!$E$1:$N$1,0),0)&amp;"")</f>
        <v>Implementation</v>
      </c>
      <c r="C87" s="83" t="str">
        <f aca="false">IF(ISBLANK($A87),"NO_CODE",VLOOKUP($A87,'UPD Questions_290926 '!$E$1:$N$300,MATCH(C$1,'UPD Questions_290926 '!$E$1:$N$1,0),0)&amp;"")</f>
        <v>Urban design, accessibility and parking</v>
      </c>
      <c r="D87" s="83" t="str">
        <f aca="false">IF(ISBLANK($A87),"NO_CODE",VLOOKUP($A87,'UPD Questions_290926 '!$E$1:$N$300,MATCH(D$1,'UPD Questions_290926 '!$E$1:$N$1,0),0)&amp;"")</f>
        <v>Parking policy</v>
      </c>
      <c r="E87" s="83" t="str">
        <f aca="false">IF(ISBLANK($A87),"NO_CODE",VLOOKUP($A87,'UPD Questions_290926 '!$E$1:$N$300,MATCH(E$1,'UPD Questions_290926 '!$E$1:$N$1,0),0)&amp;"")</f>
        <v>MQ</v>
      </c>
      <c r="F87" s="83" t="str">
        <f aca="false">IF(ISBLANK($A87),"NO_CODE",VLOOKUP($A87,'UPD Questions_290926 '!$E$1:$N$300,MATCH(F$1,'UPD Questions_290926 '!$E$1:$N$1,0),0)&amp;"")</f>
        <v>Does the city have a parking policy? </v>
      </c>
      <c r="G87" s="83" t="str">
        <f aca="false">IF(ISBLANK($A87),"NO_CODE",VLOOKUP($A87,'UPD Questions_290926 '!$E$1:$N$300,MATCH(G$1,'UPD Questions_290926 '!$E$1:$N$1,0),0)&amp;"")</f>
        <v>Implementation</v>
      </c>
      <c r="H87" s="85" t="n">
        <f aca="false">IF(ISBLANK($A87),"NO_CODE",VLOOKUP($A87,'UPD Questions_290926 '!$E$1:$N$300,MATCH(H$1,'UPD Questions_290926 '!$E$1:$N$1,0),0))</f>
        <v>10</v>
      </c>
      <c r="I87" s="86" t="str">
        <f aca="false">IF(OR(I88="ER",I89="ER"),"ER",IF(OR(I88="?",I89="?"),"?",IF(AND(I88="NA",I89="NA"),"NA",SUM(I88,I89)/((I88&lt;&gt;"NA")*$H$88+(I89&lt;&gt;"NA")*$H$89)*$H87)))</f>
        <v>?</v>
      </c>
      <c r="J87" s="86" t="str">
        <f aca="false">IF(OR(J88="ER",J89="ER"),"ER",IF(OR(J88="?",J89="?"),"?",IF(AND(J88="NA",J89="NA"),"NA",SUM(J88,J89)/((J88&lt;&gt;"NA")*$H$88+(J89&lt;&gt;"NA")*$H$89)*$H87)))</f>
        <v>?</v>
      </c>
      <c r="K87" s="86" t="str">
        <f aca="false">IF(OR(K88="ER",K89="ER"),"ER",IF(OR(K88="?",K89="?"),"?",IF(AND(K88="NA",K89="NA"),"NA",SUM(K88,K89)/((K88&lt;&gt;"NA")*$H$88+(K89&lt;&gt;"NA")*$H$89)*$H87)))</f>
        <v>?</v>
      </c>
      <c r="L87" s="86" t="str">
        <f aca="false">IF(OR(L88="ER",L89="ER"),"ER",IF(OR(L88="?",L89="?"),"?",IF(AND(L88="NA",L89="NA"),"NA",SUM(L88,L89)/((L88&lt;&gt;"NA")*$H$88+(L89&lt;&gt;"NA")*$H$89)*$H87)))</f>
        <v>?</v>
      </c>
      <c r="M87" s="86" t="str">
        <f aca="false">IF(OR(M88="ER",M89="ER"),"ER",IF(OR(M88="?",M89="?"),"?",IF(AND(M88="NA",M89="NA"),"NA",SUM(M88,M89)/((M88&lt;&gt;"NA")*$H$88+(M89&lt;&gt;"NA")*$H$89)*$H87)))</f>
        <v>?</v>
      </c>
      <c r="N87" s="86" t="str">
        <f aca="false">IF(OR(N88="ER",N89="ER"),"ER",IF(OR(N88="?",N89="?"),"?",IF(AND(N88="NA",N89="NA"),"NA",SUM(N88,N89)/((N88&lt;&gt;"NA")*$H$88+(N89&lt;&gt;"NA")*$H$89)*$H87)))</f>
        <v>?</v>
      </c>
      <c r="O87" s="86" t="str">
        <f aca="false">IF(OR(O88="ER",O89="ER"),"ER",IF(OR(O88="?",O89="?"),"?",IF(AND(O88="NA",O89="NA"),"NA",SUM(O88,O89)/((O88&lt;&gt;"NA")*$H$88+(O89&lt;&gt;"NA")*$H$89)*$H87)))</f>
        <v>?</v>
      </c>
      <c r="P87" s="86" t="str">
        <f aca="false">IF(OR(P88="ER",P89="ER"),"ER",IF(OR(P88="?",P89="?"),"?",IF(AND(P88="NA",P89="NA"),"NA",SUM(P88,P89)/((P88&lt;&gt;"NA")*$H$88+(P89&lt;&gt;"NA")*$H$89)*$H87)))</f>
        <v>?</v>
      </c>
      <c r="Q87" s="86" t="str">
        <f aca="false">IF(OR(Q88="ER",Q89="ER"),"ER",IF(OR(Q88="?",Q89="?"),"?",IF(AND(Q88="NA",Q89="NA"),"NA",SUM(Q88,Q89)/((Q88&lt;&gt;"NA")*$H$88+(Q89&lt;&gt;"NA")*$H$89)*$H87)))</f>
        <v>?</v>
      </c>
      <c r="R87" s="86" t="str">
        <f aca="false">IF(OR(R88="ER",R89="ER"),"ER",IF(OR(R88="?",R89="?"),"?",IF(AND(R88="NA",R89="NA"),"NA",SUM(R88,R89)/((R88&lt;&gt;"NA")*$H$88+(R89&lt;&gt;"NA")*$H$89)*$H87)))</f>
        <v>?</v>
      </c>
      <c r="S87" s="86" t="str">
        <f aca="false">IF(OR(S88="ER",S89="ER"),"ER",IF(OR(S88="?",S89="?"),"?",IF(AND(S88="NA",S89="NA"),"NA",SUM(S88,S89)/((S88&lt;&gt;"NA")*$H$88+(S89&lt;&gt;"NA")*$H$89)*$H87)))</f>
        <v>?</v>
      </c>
      <c r="T87" s="86" t="str">
        <f aca="false">IF(OR(T88="ER",T89="ER"),"ER",IF(OR(T88="?",T89="?"),"?",IF(AND(T88="NA",T89="NA"),"NA",SUM(T88,T89)/((T88&lt;&gt;"NA")*$H$88+(T89&lt;&gt;"NA")*$H$89)*$H87)))</f>
        <v>?</v>
      </c>
      <c r="U87" s="86" t="str">
        <f aca="false">IF(OR(U88="ER",U89="ER"),"ER",IF(OR(U88="?",U89="?"),"?",IF(AND(U88="NA",U89="NA"),"NA",SUM(U88,U89)/((U88&lt;&gt;"NA")*$H$88+(U89&lt;&gt;"NA")*$H$89)*$H87)))</f>
        <v>?</v>
      </c>
      <c r="V87" s="86" t="str">
        <f aca="false">IF(OR(V88="ER",V89="ER"),"ER",IF(OR(V88="?",V89="?"),"?",IF(AND(V88="NA",V89="NA"),"NA",SUM(V88,V89)/((V88&lt;&gt;"NA")*$H$88+(V89&lt;&gt;"NA")*$H$89)*$H87)))</f>
        <v>?</v>
      </c>
      <c r="W87" s="86" t="str">
        <f aca="false">IF(OR(W88="ER",W89="ER"),"ER",IF(OR(W88="?",W89="?"),"?",IF(AND(W88="NA",W89="NA"),"NA",SUM(W88,W89)/((W88&lt;&gt;"NA")*$H$88+(W89&lt;&gt;"NA")*$H$89)*$H87)))</f>
        <v>?</v>
      </c>
      <c r="X87" s="86" t="str">
        <f aca="false">IF(OR(X88="ER",X89="ER"),"ER",IF(OR(X88="?",X89="?"),"?",IF(AND(X88="NA",X89="NA"),"NA",SUM(X88,X89)/((X88&lt;&gt;"NA")*$H$88+(X89&lt;&gt;"NA")*$H$89)*$H87)))</f>
        <v>?</v>
      </c>
      <c r="Y87" s="86" t="str">
        <f aca="false">IF(OR(Y88="ER",Y89="ER"),"ER",IF(OR(Y88="?",Y89="?"),"?",IF(AND(Y88="NA",Y89="NA"),"NA",SUM(Y88,Y89)/((Y88&lt;&gt;"NA")*$H$88+(Y89&lt;&gt;"NA")*$H$89)*$H87)))</f>
        <v>?</v>
      </c>
      <c r="Z87" s="86" t="str">
        <f aca="false">IF(OR(Z88="ER",Z89="ER"),"ER",IF(OR(Z88="?",Z89="?"),"?",IF(AND(Z88="NA",Z89="NA"),"NA",SUM(Z88,Z89)/((Z88&lt;&gt;"NA")*$H$88+(Z89&lt;&gt;"NA")*$H$89)*$H87)))</f>
        <v>?</v>
      </c>
      <c r="AA87" s="86" t="str">
        <f aca="false">IF(OR(AA88="ER",AA89="ER"),"ER",IF(OR(AA88="?",AA89="?"),"?",IF(AND(AA88="NA",AA89="NA"),"NA",SUM(AA88,AA89)/((AA88&lt;&gt;"NA")*$H$88+(AA89&lt;&gt;"NA")*$H$89)*$H87)))</f>
        <v>?</v>
      </c>
      <c r="AB87" s="86" t="str">
        <f aca="false">IF(OR(AB88="ER",AB89="ER"),"ER",IF(OR(AB88="?",AB89="?"),"?",IF(AND(AB88="NA",AB89="NA"),"NA",SUM(AB88,AB89)/((AB88&lt;&gt;"NA")*$H$88+(AB89&lt;&gt;"NA")*$H$89)*$H87)))</f>
        <v>?</v>
      </c>
      <c r="AC87" s="86" t="str">
        <f aca="false">IF(OR(AC88="ER",AC89="ER"),"ER",IF(OR(AC88="?",AC89="?"),"?",IF(AND(AC88="NA",AC89="NA"),"NA",SUM(AC88,AC89)/((AC88&lt;&gt;"NA")*$H$88+(AC89&lt;&gt;"NA")*$H$89)*$H87)))</f>
        <v>?</v>
      </c>
      <c r="AD87" s="86" t="str">
        <f aca="false">IF(OR(AD88="ER",AD89="ER"),"ER",IF(OR(AD88="?",AD89="?"),"?",IF(AND(AD88="NA",AD89="NA"),"NA",SUM(AD88,AD89)/((AD88&lt;&gt;"NA")*$H$88+(AD89&lt;&gt;"NA")*$H$89)*$H87)))</f>
        <v>?</v>
      </c>
      <c r="AE87" s="86" t="str">
        <f aca="false">IF(OR(AE88="ER",AE89="ER"),"ER",IF(OR(AE88="?",AE89="?"),"?",IF(AND(AE88="NA",AE89="NA"),"NA",SUM(AE88,AE89)/((AE88&lt;&gt;"NA")*$H$88+(AE89&lt;&gt;"NA")*$H$89)*$H87)))</f>
        <v>?</v>
      </c>
      <c r="AF87" s="86" t="str">
        <f aca="false">IF(OR(AF88="ER",AF89="ER"),"ER",IF(OR(AF88="?",AF89="?"),"?",IF(AND(AF88="NA",AF89="NA"),"NA",SUM(AF88,AF89)/((AF88&lt;&gt;"NA")*$H$88+(AF89&lt;&gt;"NA")*$H$89)*$H87)))</f>
        <v>?</v>
      </c>
      <c r="AG87" s="86" t="str">
        <f aca="false">IF(OR(AG88="ER",AG89="ER"),"ER",IF(OR(AG88="?",AG89="?"),"?",IF(AND(AG88="NA",AG89="NA"),"NA",SUM(AG88,AG89)/((AG88&lt;&gt;"NA")*$H$88+(AG89&lt;&gt;"NA")*$H$89)*$H87)))</f>
        <v>?</v>
      </c>
      <c r="AH87" s="86" t="str">
        <f aca="false">IF(OR(AH88="ER",AH89="ER"),"ER",IF(OR(AH88="?",AH89="?"),"?",IF(AND(AH88="NA",AH89="NA"),"NA",SUM(AH88,AH89)/((AH88&lt;&gt;"NA")*$H$88+(AH89&lt;&gt;"NA")*$H$89)*$H87)))</f>
        <v>?</v>
      </c>
      <c r="AI87" s="86" t="str">
        <f aca="false">IF(OR(AI88="ER",AI89="ER"),"ER",IF(OR(AI88="?",AI89="?"),"?",IF(AND(AI88="NA",AI89="NA"),"NA",SUM(AI88,AI89)/((AI88&lt;&gt;"NA")*$H$88+(AI89&lt;&gt;"NA")*$H$89)*$H87)))</f>
        <v>?</v>
      </c>
      <c r="AJ87" s="86" t="str">
        <f aca="false">IF(OR(AJ88="ER",AJ89="ER"),"ER",IF(OR(AJ88="?",AJ89="?"),"?",IF(AND(AJ88="NA",AJ89="NA"),"NA",SUM(AJ88,AJ89)/((AJ88&lt;&gt;"NA")*$H$88+(AJ89&lt;&gt;"NA")*$H$89)*$H87)))</f>
        <v>?</v>
      </c>
      <c r="AK87" s="86" t="str">
        <f aca="false">IF(OR(AK88="ER",AK89="ER"),"ER",IF(OR(AK88="?",AK89="?"),"?",IF(AND(AK88="NA",AK89="NA"),"NA",SUM(AK88,AK89)/((AK88&lt;&gt;"NA")*$H$88+(AK89&lt;&gt;"NA")*$H$89)*$H87)))</f>
        <v>?</v>
      </c>
    </row>
    <row r="88" customFormat="false" ht="14.25" hidden="false" customHeight="false" outlineLevel="0" collapsed="false">
      <c r="A88" s="82" t="s">
        <v>262</v>
      </c>
      <c r="B88" s="83" t="str">
        <f aca="false">IF(ISBLANK($A88),"NO_CODE",VLOOKUP($A88,'UPD Questions_290926 '!$E$1:$N$300,MATCH(B$1,'UPD Questions_290926 '!$E$1:$N$1,0),0)&amp;"")</f>
        <v>Implementation</v>
      </c>
      <c r="C88" s="83" t="str">
        <f aca="false">IF(ISBLANK($A88),"NO_CODE",VLOOKUP($A88,'UPD Questions_290926 '!$E$1:$N$300,MATCH(C$1,'UPD Questions_290926 '!$E$1:$N$1,0),0)&amp;"")</f>
        <v>Urban design, accessibility and parking</v>
      </c>
      <c r="D88" s="83" t="str">
        <f aca="false">IF(ISBLANK($A88),"NO_CODE",VLOOKUP($A88,'UPD Questions_290926 '!$E$1:$N$300,MATCH(D$1,'UPD Questions_290926 '!$E$1:$N$1,0),0)&amp;"")</f>
        <v>Parking policy</v>
      </c>
      <c r="E88" s="83" t="str">
        <f aca="false">IF(ISBLANK($A88),"NO_CODE",VLOOKUP($A88,'UPD Questions_290926 '!$E$1:$N$300,MATCH(E$1,'UPD Questions_290926 '!$E$1:$N$1,0),0)&amp;"")</f>
        <v>SQ</v>
      </c>
      <c r="F88" s="83" t="str">
        <f aca="false">IF(ISBLANK($A88),"NO_CODE",VLOOKUP($A88,'UPD Questions_290926 '!$E$1:$N$300,MATCH(F$1,'UPD Questions_290926 '!$E$1:$N$1,0),0)&amp;"")</f>
        <v>Is there a clear mandate in the law for a parking policy?</v>
      </c>
      <c r="G88" s="83" t="str">
        <f aca="false">IF(ISBLANK($A88),"NO_CODE",VLOOKUP($A88,'UPD Questions_290926 '!$E$1:$N$300,MATCH(G$1,'UPD Questions_290926 '!$E$1:$N$1,0),0)&amp;"")</f>
        <v>Law or Policy</v>
      </c>
      <c r="H88" s="85" t="n">
        <f aca="false">IF(ISBLANK($A88),"NO_CODE",VLOOKUP($A88,'UPD Questions_290926 '!$E$1:$N$300,MATCH(H$1,'UPD Questions_290926 '!$E$1:$N$1,0),0))</f>
        <v>5</v>
      </c>
      <c r="I88" s="86" t="str">
        <f aca="true">IF($H88=0,"NA",IF($A88=INDIRECT("'"&amp;$A88&amp;"'!$B$1"),IF(VLOOKUP(I$1,INDIRECT("'"&amp;$A88&amp;"'!$A$12:$Z$41"),MATCH("Points (Auto-generate)",INDIRECT("'"&amp;$A88&amp;"'!$A$12:$Z$12"),0),0)="","?",VLOOKUP(I$1,INDIRECT("'"&amp;$A88&amp;"'!$A$12:$Z$41"),MATCH("Points (Auto-generate)",INDIRECT("'"&amp;$A88&amp;"'!$A$12:$Z$12"),0),0)),"ER"))</f>
        <v>?</v>
      </c>
      <c r="J88" s="86" t="str">
        <f aca="true">IF($H88=0,"NA",IF($A88=INDIRECT("'"&amp;$A88&amp;"'!$B$1"),IF(VLOOKUP(J$1,INDIRECT("'"&amp;$A88&amp;"'!$A$12:$Z$41"),MATCH("Points (Auto-generate)",INDIRECT("'"&amp;$A88&amp;"'!$A$12:$Z$12"),0),0)="","?",VLOOKUP(J$1,INDIRECT("'"&amp;$A88&amp;"'!$A$12:$Z$41"),MATCH("Points (Auto-generate)",INDIRECT("'"&amp;$A88&amp;"'!$A$12:$Z$12"),0),0)),"ER"))</f>
        <v>?</v>
      </c>
      <c r="K88" s="86" t="str">
        <f aca="true">IF($H88=0,"NA",IF($A88=INDIRECT("'"&amp;$A88&amp;"'!$B$1"),IF(VLOOKUP(K$1,INDIRECT("'"&amp;$A88&amp;"'!$A$12:$Z$41"),MATCH("Points (Auto-generate)",INDIRECT("'"&amp;$A88&amp;"'!$A$12:$Z$12"),0),0)="","?",VLOOKUP(K$1,INDIRECT("'"&amp;$A88&amp;"'!$A$12:$Z$41"),MATCH("Points (Auto-generate)",INDIRECT("'"&amp;$A88&amp;"'!$A$12:$Z$12"),0),0)),"ER"))</f>
        <v>?</v>
      </c>
      <c r="L88" s="86" t="str">
        <f aca="true">IF($H88=0,"NA",IF($A88=INDIRECT("'"&amp;$A88&amp;"'!$B$1"),IF(VLOOKUP(L$1,INDIRECT("'"&amp;$A88&amp;"'!$A$12:$Z$41"),MATCH("Points (Auto-generate)",INDIRECT("'"&amp;$A88&amp;"'!$A$12:$Z$12"),0),0)="","?",VLOOKUP(L$1,INDIRECT("'"&amp;$A88&amp;"'!$A$12:$Z$41"),MATCH("Points (Auto-generate)",INDIRECT("'"&amp;$A88&amp;"'!$A$12:$Z$12"),0),0)),"ER"))</f>
        <v>?</v>
      </c>
      <c r="M88" s="86" t="str">
        <f aca="true">IF($H88=0,"NA",IF($A88=INDIRECT("'"&amp;$A88&amp;"'!$B$1"),IF(VLOOKUP(M$1,INDIRECT("'"&amp;$A88&amp;"'!$A$12:$Z$41"),MATCH("Points (Auto-generate)",INDIRECT("'"&amp;$A88&amp;"'!$A$12:$Z$12"),0),0)="","?",VLOOKUP(M$1,INDIRECT("'"&amp;$A88&amp;"'!$A$12:$Z$41"),MATCH("Points (Auto-generate)",INDIRECT("'"&amp;$A88&amp;"'!$A$12:$Z$12"),0),0)),"ER"))</f>
        <v>?</v>
      </c>
      <c r="N88" s="86" t="str">
        <f aca="true">IF($H88=0,"NA",IF($A88=INDIRECT("'"&amp;$A88&amp;"'!$B$1"),IF(VLOOKUP(N$1,INDIRECT("'"&amp;$A88&amp;"'!$A$12:$Z$41"),MATCH("Points (Auto-generate)",INDIRECT("'"&amp;$A88&amp;"'!$A$12:$Z$12"),0),0)="","?",VLOOKUP(N$1,INDIRECT("'"&amp;$A88&amp;"'!$A$12:$Z$41"),MATCH("Points (Auto-generate)",INDIRECT("'"&amp;$A88&amp;"'!$A$12:$Z$12"),0),0)),"ER"))</f>
        <v>?</v>
      </c>
      <c r="O88" s="86" t="str">
        <f aca="true">IF($H88=0,"NA",IF($A88=INDIRECT("'"&amp;$A88&amp;"'!$B$1"),IF(VLOOKUP(O$1,INDIRECT("'"&amp;$A88&amp;"'!$A$12:$Z$41"),MATCH("Points (Auto-generate)",INDIRECT("'"&amp;$A88&amp;"'!$A$12:$Z$12"),0),0)="","?",VLOOKUP(O$1,INDIRECT("'"&amp;$A88&amp;"'!$A$12:$Z$41"),MATCH("Points (Auto-generate)",INDIRECT("'"&amp;$A88&amp;"'!$A$12:$Z$12"),0),0)),"ER"))</f>
        <v>?</v>
      </c>
      <c r="P88" s="86" t="str">
        <f aca="true">IF($H88=0,"NA",IF($A88=INDIRECT("'"&amp;$A88&amp;"'!$B$1"),IF(VLOOKUP(P$1,INDIRECT("'"&amp;$A88&amp;"'!$A$12:$Z$41"),MATCH("Points (Auto-generate)",INDIRECT("'"&amp;$A88&amp;"'!$A$12:$Z$12"),0),0)="","?",VLOOKUP(P$1,INDIRECT("'"&amp;$A88&amp;"'!$A$12:$Z$41"),MATCH("Points (Auto-generate)",INDIRECT("'"&amp;$A88&amp;"'!$A$12:$Z$12"),0),0)),"ER"))</f>
        <v>?</v>
      </c>
      <c r="Q88" s="86" t="str">
        <f aca="true">IF($H88=0,"NA",IF($A88=INDIRECT("'"&amp;$A88&amp;"'!$B$1"),IF(VLOOKUP(Q$1,INDIRECT("'"&amp;$A88&amp;"'!$A$12:$Z$41"),MATCH("Points (Auto-generate)",INDIRECT("'"&amp;$A88&amp;"'!$A$12:$Z$12"),0),0)="","?",VLOOKUP(Q$1,INDIRECT("'"&amp;$A88&amp;"'!$A$12:$Z$41"),MATCH("Points (Auto-generate)",INDIRECT("'"&amp;$A88&amp;"'!$A$12:$Z$12"),0),0)),"ER"))</f>
        <v>?</v>
      </c>
      <c r="R88" s="86" t="str">
        <f aca="true">IF($H88=0,"NA",IF($A88=INDIRECT("'"&amp;$A88&amp;"'!$B$1"),IF(VLOOKUP(R$1,INDIRECT("'"&amp;$A88&amp;"'!$A$12:$Z$41"),MATCH("Points (Auto-generate)",INDIRECT("'"&amp;$A88&amp;"'!$A$12:$Z$12"),0),0)="","?",VLOOKUP(R$1,INDIRECT("'"&amp;$A88&amp;"'!$A$12:$Z$41"),MATCH("Points (Auto-generate)",INDIRECT("'"&amp;$A88&amp;"'!$A$12:$Z$12"),0),0)),"ER"))</f>
        <v>?</v>
      </c>
      <c r="S88" s="86" t="str">
        <f aca="true">IF($H88=0,"NA",IF($A88=INDIRECT("'"&amp;$A88&amp;"'!$B$1"),IF(VLOOKUP(S$1,INDIRECT("'"&amp;$A88&amp;"'!$A$12:$Z$41"),MATCH("Points (Auto-generate)",INDIRECT("'"&amp;$A88&amp;"'!$A$12:$Z$12"),0),0)="","?",VLOOKUP(S$1,INDIRECT("'"&amp;$A88&amp;"'!$A$12:$Z$41"),MATCH("Points (Auto-generate)",INDIRECT("'"&amp;$A88&amp;"'!$A$12:$Z$12"),0),0)),"ER"))</f>
        <v>?</v>
      </c>
      <c r="T88" s="86" t="str">
        <f aca="true">IF($H88=0,"NA",IF($A88=INDIRECT("'"&amp;$A88&amp;"'!$B$1"),IF(VLOOKUP(T$1,INDIRECT("'"&amp;$A88&amp;"'!$A$12:$Z$41"),MATCH("Points (Auto-generate)",INDIRECT("'"&amp;$A88&amp;"'!$A$12:$Z$12"),0),0)="","?",VLOOKUP(T$1,INDIRECT("'"&amp;$A88&amp;"'!$A$12:$Z$41"),MATCH("Points (Auto-generate)",INDIRECT("'"&amp;$A88&amp;"'!$A$12:$Z$12"),0),0)),"ER"))</f>
        <v>?</v>
      </c>
      <c r="U88" s="86" t="str">
        <f aca="true">IF($H88=0,"NA",IF($A88=INDIRECT("'"&amp;$A88&amp;"'!$B$1"),IF(VLOOKUP(U$1,INDIRECT("'"&amp;$A88&amp;"'!$A$12:$Z$41"),MATCH("Points (Auto-generate)",INDIRECT("'"&amp;$A88&amp;"'!$A$12:$Z$12"),0),0)="","?",VLOOKUP(U$1,INDIRECT("'"&amp;$A88&amp;"'!$A$12:$Z$41"),MATCH("Points (Auto-generate)",INDIRECT("'"&amp;$A88&amp;"'!$A$12:$Z$12"),0),0)),"ER"))</f>
        <v>?</v>
      </c>
      <c r="V88" s="86" t="str">
        <f aca="true">IF($H88=0,"NA",IF($A88=INDIRECT("'"&amp;$A88&amp;"'!$B$1"),IF(VLOOKUP(V$1,INDIRECT("'"&amp;$A88&amp;"'!$A$12:$Z$41"),MATCH("Points (Auto-generate)",INDIRECT("'"&amp;$A88&amp;"'!$A$12:$Z$12"),0),0)="","?",VLOOKUP(V$1,INDIRECT("'"&amp;$A88&amp;"'!$A$12:$Z$41"),MATCH("Points (Auto-generate)",INDIRECT("'"&amp;$A88&amp;"'!$A$12:$Z$12"),0),0)),"ER"))</f>
        <v>?</v>
      </c>
      <c r="W88" s="86" t="str">
        <f aca="true">IF($H88=0,"NA",IF($A88=INDIRECT("'"&amp;$A88&amp;"'!$B$1"),IF(VLOOKUP(W$1,INDIRECT("'"&amp;$A88&amp;"'!$A$12:$Z$41"),MATCH("Points (Auto-generate)",INDIRECT("'"&amp;$A88&amp;"'!$A$12:$Z$12"),0),0)="","?",VLOOKUP(W$1,INDIRECT("'"&amp;$A88&amp;"'!$A$12:$Z$41"),MATCH("Points (Auto-generate)",INDIRECT("'"&amp;$A88&amp;"'!$A$12:$Z$12"),0),0)),"ER"))</f>
        <v>?</v>
      </c>
      <c r="X88" s="86" t="str">
        <f aca="true">IF($H88=0,"NA",IF($A88=INDIRECT("'"&amp;$A88&amp;"'!$B$1"),IF(VLOOKUP(X$1,INDIRECT("'"&amp;$A88&amp;"'!$A$12:$Z$41"),MATCH("Points (Auto-generate)",INDIRECT("'"&amp;$A88&amp;"'!$A$12:$Z$12"),0),0)="","?",VLOOKUP(X$1,INDIRECT("'"&amp;$A88&amp;"'!$A$12:$Z$41"),MATCH("Points (Auto-generate)",INDIRECT("'"&amp;$A88&amp;"'!$A$12:$Z$12"),0),0)),"ER"))</f>
        <v>?</v>
      </c>
      <c r="Y88" s="86" t="str">
        <f aca="true">IF($H88=0,"NA",IF($A88=INDIRECT("'"&amp;$A88&amp;"'!$B$1"),IF(VLOOKUP(Y$1,INDIRECT("'"&amp;$A88&amp;"'!$A$12:$Z$41"),MATCH("Points (Auto-generate)",INDIRECT("'"&amp;$A88&amp;"'!$A$12:$Z$12"),0),0)="","?",VLOOKUP(Y$1,INDIRECT("'"&amp;$A88&amp;"'!$A$12:$Z$41"),MATCH("Points (Auto-generate)",INDIRECT("'"&amp;$A88&amp;"'!$A$12:$Z$12"),0),0)),"ER"))</f>
        <v>?</v>
      </c>
      <c r="Z88" s="86" t="str">
        <f aca="true">IF($H88=0,"NA",IF($A88=INDIRECT("'"&amp;$A88&amp;"'!$B$1"),IF(VLOOKUP(Z$1,INDIRECT("'"&amp;$A88&amp;"'!$A$12:$Z$41"),MATCH("Points (Auto-generate)",INDIRECT("'"&amp;$A88&amp;"'!$A$12:$Z$12"),0),0)="","?",VLOOKUP(Z$1,INDIRECT("'"&amp;$A88&amp;"'!$A$12:$Z$41"),MATCH("Points (Auto-generate)",INDIRECT("'"&amp;$A88&amp;"'!$A$12:$Z$12"),0),0)),"ER"))</f>
        <v>?</v>
      </c>
      <c r="AA88" s="86" t="str">
        <f aca="true">IF($H88=0,"NA",IF($A88=INDIRECT("'"&amp;$A88&amp;"'!$B$1"),IF(VLOOKUP(AA$1,INDIRECT("'"&amp;$A88&amp;"'!$A$12:$Z$41"),MATCH("Points (Auto-generate)",INDIRECT("'"&amp;$A88&amp;"'!$A$12:$Z$12"),0),0)="","?",VLOOKUP(AA$1,INDIRECT("'"&amp;$A88&amp;"'!$A$12:$Z$41"),MATCH("Points (Auto-generate)",INDIRECT("'"&amp;$A88&amp;"'!$A$12:$Z$12"),0),0)),"ER"))</f>
        <v>?</v>
      </c>
      <c r="AB88" s="86" t="str">
        <f aca="true">IF($H88=0,"NA",IF($A88=INDIRECT("'"&amp;$A88&amp;"'!$B$1"),IF(VLOOKUP(AB$1,INDIRECT("'"&amp;$A88&amp;"'!$A$12:$Z$41"),MATCH("Points (Auto-generate)",INDIRECT("'"&amp;$A88&amp;"'!$A$12:$Z$12"),0),0)="","?",VLOOKUP(AB$1,INDIRECT("'"&amp;$A88&amp;"'!$A$12:$Z$41"),MATCH("Points (Auto-generate)",INDIRECT("'"&amp;$A88&amp;"'!$A$12:$Z$12"),0),0)),"ER"))</f>
        <v>?</v>
      </c>
      <c r="AC88" s="86" t="str">
        <f aca="true">IF($H88=0,"NA",IF($A88=INDIRECT("'"&amp;$A88&amp;"'!$B$1"),IF(VLOOKUP(AC$1,INDIRECT("'"&amp;$A88&amp;"'!$A$12:$Z$41"),MATCH("Points (Auto-generate)",INDIRECT("'"&amp;$A88&amp;"'!$A$12:$Z$12"),0),0)="","?",VLOOKUP(AC$1,INDIRECT("'"&amp;$A88&amp;"'!$A$12:$Z$41"),MATCH("Points (Auto-generate)",INDIRECT("'"&amp;$A88&amp;"'!$A$12:$Z$12"),0),0)),"ER"))</f>
        <v>?</v>
      </c>
      <c r="AD88" s="86" t="str">
        <f aca="true">IF($H88=0,"NA",IF($A88=INDIRECT("'"&amp;$A88&amp;"'!$B$1"),IF(VLOOKUP(AD$1,INDIRECT("'"&amp;$A88&amp;"'!$A$12:$Z$41"),MATCH("Points (Auto-generate)",INDIRECT("'"&amp;$A88&amp;"'!$A$12:$Z$12"),0),0)="","?",VLOOKUP(AD$1,INDIRECT("'"&amp;$A88&amp;"'!$A$12:$Z$41"),MATCH("Points (Auto-generate)",INDIRECT("'"&amp;$A88&amp;"'!$A$12:$Z$12"),0),0)),"ER"))</f>
        <v>?</v>
      </c>
      <c r="AE88" s="86" t="str">
        <f aca="true">IF($H88=0,"NA",IF($A88=INDIRECT("'"&amp;$A88&amp;"'!$B$1"),IF(VLOOKUP(AE$1,INDIRECT("'"&amp;$A88&amp;"'!$A$12:$Z$41"),MATCH("Points (Auto-generate)",INDIRECT("'"&amp;$A88&amp;"'!$A$12:$Z$12"),0),0)="","?",VLOOKUP(AE$1,INDIRECT("'"&amp;$A88&amp;"'!$A$12:$Z$41"),MATCH("Points (Auto-generate)",INDIRECT("'"&amp;$A88&amp;"'!$A$12:$Z$12"),0),0)),"ER"))</f>
        <v>?</v>
      </c>
      <c r="AF88" s="86" t="str">
        <f aca="true">IF($H88=0,"NA",IF($A88=INDIRECT("'"&amp;$A88&amp;"'!$B$1"),IF(VLOOKUP(AF$1,INDIRECT("'"&amp;$A88&amp;"'!$A$12:$Z$41"),MATCH("Points (Auto-generate)",INDIRECT("'"&amp;$A88&amp;"'!$A$12:$Z$12"),0),0)="","?",VLOOKUP(AF$1,INDIRECT("'"&amp;$A88&amp;"'!$A$12:$Z$41"),MATCH("Points (Auto-generate)",INDIRECT("'"&amp;$A88&amp;"'!$A$12:$Z$12"),0),0)),"ER"))</f>
        <v>?</v>
      </c>
      <c r="AG88" s="86" t="str">
        <f aca="true">IF($H88=0,"NA",IF($A88=INDIRECT("'"&amp;$A88&amp;"'!$B$1"),IF(VLOOKUP(AG$1,INDIRECT("'"&amp;$A88&amp;"'!$A$12:$Z$41"),MATCH("Points (Auto-generate)",INDIRECT("'"&amp;$A88&amp;"'!$A$12:$Z$12"),0),0)="","?",VLOOKUP(AG$1,INDIRECT("'"&amp;$A88&amp;"'!$A$12:$Z$41"),MATCH("Points (Auto-generate)",INDIRECT("'"&amp;$A88&amp;"'!$A$12:$Z$12"),0),0)),"ER"))</f>
        <v>?</v>
      </c>
      <c r="AH88" s="86" t="str">
        <f aca="true">IF($H88=0,"NA",IF($A88=INDIRECT("'"&amp;$A88&amp;"'!$B$1"),IF(VLOOKUP(AH$1,INDIRECT("'"&amp;$A88&amp;"'!$A$12:$Z$41"),MATCH("Points (Auto-generate)",INDIRECT("'"&amp;$A88&amp;"'!$A$12:$Z$12"),0),0)="","?",VLOOKUP(AH$1,INDIRECT("'"&amp;$A88&amp;"'!$A$12:$Z$41"),MATCH("Points (Auto-generate)",INDIRECT("'"&amp;$A88&amp;"'!$A$12:$Z$12"),0),0)),"ER"))</f>
        <v>?</v>
      </c>
      <c r="AI88" s="86" t="str">
        <f aca="true">IF($H88=0,"NA",IF($A88=INDIRECT("'"&amp;$A88&amp;"'!$B$1"),IF(VLOOKUP(AI$1,INDIRECT("'"&amp;$A88&amp;"'!$A$12:$Z$41"),MATCH("Points (Auto-generate)",INDIRECT("'"&amp;$A88&amp;"'!$A$12:$Z$12"),0),0)="","?",VLOOKUP(AI$1,INDIRECT("'"&amp;$A88&amp;"'!$A$12:$Z$41"),MATCH("Points (Auto-generate)",INDIRECT("'"&amp;$A88&amp;"'!$A$12:$Z$12"),0),0)),"ER"))</f>
        <v>?</v>
      </c>
      <c r="AJ88" s="86" t="str">
        <f aca="true">IF($H88=0,"NA",IF($A88=INDIRECT("'"&amp;$A88&amp;"'!$B$1"),IF(VLOOKUP(AJ$1,INDIRECT("'"&amp;$A88&amp;"'!$A$12:$Z$41"),MATCH("Points (Auto-generate)",INDIRECT("'"&amp;$A88&amp;"'!$A$12:$Z$12"),0),0)="","?",VLOOKUP(AJ$1,INDIRECT("'"&amp;$A88&amp;"'!$A$12:$Z$41"),MATCH("Points (Auto-generate)",INDIRECT("'"&amp;$A88&amp;"'!$A$12:$Z$12"),0),0)),"ER"))</f>
        <v>?</v>
      </c>
      <c r="AK88" s="86" t="str">
        <f aca="true">IF($H88=0,"NA",IF($A88=INDIRECT("'"&amp;$A88&amp;"'!$B$1"),IF(VLOOKUP(AK$1,INDIRECT("'"&amp;$A88&amp;"'!$A$12:$Z$41"),MATCH("Points (Auto-generate)",INDIRECT("'"&amp;$A88&amp;"'!$A$12:$Z$12"),0),0)="","?",VLOOKUP(AK$1,INDIRECT("'"&amp;$A88&amp;"'!$A$12:$Z$41"),MATCH("Points (Auto-generate)",INDIRECT("'"&amp;$A88&amp;"'!$A$12:$Z$12"),0),0)),"ER"))</f>
        <v>?</v>
      </c>
    </row>
    <row r="89" customFormat="false" ht="14.25" hidden="false" customHeight="false" outlineLevel="0" collapsed="false">
      <c r="A89" s="82" t="s">
        <v>268</v>
      </c>
      <c r="B89" s="83" t="str">
        <f aca="false">IF(ISBLANK($A89),"NO_CODE",VLOOKUP($A89,'UPD Questions_290926 '!$E$1:$N$300,MATCH(B$1,'UPD Questions_290926 '!$E$1:$N$1,0),0)&amp;"")</f>
        <v>Implementation</v>
      </c>
      <c r="C89" s="83" t="str">
        <f aca="false">IF(ISBLANK($A89),"NO_CODE",VLOOKUP($A89,'UPD Questions_290926 '!$E$1:$N$300,MATCH(C$1,'UPD Questions_290926 '!$E$1:$N$1,0),0)&amp;"")</f>
        <v>Urban design, accessibility and parking</v>
      </c>
      <c r="D89" s="83" t="str">
        <f aca="false">IF(ISBLANK($A89),"NO_CODE",VLOOKUP($A89,'UPD Questions_290926 '!$E$1:$N$300,MATCH(D$1,'UPD Questions_290926 '!$E$1:$N$1,0),0)&amp;"")</f>
        <v>Parking policy</v>
      </c>
      <c r="E89" s="83" t="str">
        <f aca="false">IF(ISBLANK($A89),"NO_CODE",VLOOKUP($A89,'UPD Questions_290926 '!$E$1:$N$300,MATCH(E$1,'UPD Questions_290926 '!$E$1:$N$1,0),0)&amp;"")</f>
        <v>SQ</v>
      </c>
      <c r="F89" s="83" t="str">
        <f aca="false">IF(ISBLANK($A89),"NO_CODE",VLOOKUP($A89,'UPD Questions_290926 '!$E$1:$N$300,MATCH(F$1,'UPD Questions_290926 '!$E$1:$N$1,0),0)&amp;"")</f>
        <v>Has the parking policy been implemented?</v>
      </c>
      <c r="G89" s="83" t="str">
        <f aca="false">IF(ISBLANK($A89),"NO_CODE",VLOOKUP($A89,'UPD Questions_290926 '!$E$1:$N$300,MATCH(G$1,'UPD Questions_290926 '!$E$1:$N$1,0),0)&amp;"")</f>
        <v>Implementation</v>
      </c>
      <c r="H89" s="85" t="n">
        <f aca="false">IF(ISBLANK($A89),"NO_CODE",VLOOKUP($A89,'UPD Questions_290926 '!$E$1:$N$300,MATCH(H$1,'UPD Questions_290926 '!$E$1:$N$1,0),0))</f>
        <v>5</v>
      </c>
      <c r="I89" s="86" t="str">
        <f aca="true">IF($H89=0,"NA",IF($A89=INDIRECT("'"&amp;$A89&amp;"'!$B$1"),IF(VLOOKUP(I$1,INDIRECT("'"&amp;$A89&amp;"'!$A$12:$Z$41"),MATCH("Points (Auto-generate)",INDIRECT("'"&amp;$A89&amp;"'!$A$12:$Z$12"),0),0)="","?",VLOOKUP(I$1,INDIRECT("'"&amp;$A89&amp;"'!$A$12:$Z$41"),MATCH("Points (Auto-generate)",INDIRECT("'"&amp;$A89&amp;"'!$A$12:$Z$12"),0),0)),"ER"))</f>
        <v>?</v>
      </c>
      <c r="J89" s="86" t="str">
        <f aca="true">IF($H89=0,"NA",IF($A89=INDIRECT("'"&amp;$A89&amp;"'!$B$1"),IF(VLOOKUP(J$1,INDIRECT("'"&amp;$A89&amp;"'!$A$12:$Z$41"),MATCH("Points (Auto-generate)",INDIRECT("'"&amp;$A89&amp;"'!$A$12:$Z$12"),0),0)="","?",VLOOKUP(J$1,INDIRECT("'"&amp;$A89&amp;"'!$A$12:$Z$41"),MATCH("Points (Auto-generate)",INDIRECT("'"&amp;$A89&amp;"'!$A$12:$Z$12"),0),0)),"ER"))</f>
        <v>?</v>
      </c>
      <c r="K89" s="86" t="str">
        <f aca="true">IF($H89=0,"NA",IF($A89=INDIRECT("'"&amp;$A89&amp;"'!$B$1"),IF(VLOOKUP(K$1,INDIRECT("'"&amp;$A89&amp;"'!$A$12:$Z$41"),MATCH("Points (Auto-generate)",INDIRECT("'"&amp;$A89&amp;"'!$A$12:$Z$12"),0),0)="","?",VLOOKUP(K$1,INDIRECT("'"&amp;$A89&amp;"'!$A$12:$Z$41"),MATCH("Points (Auto-generate)",INDIRECT("'"&amp;$A89&amp;"'!$A$12:$Z$12"),0),0)),"ER"))</f>
        <v>?</v>
      </c>
      <c r="L89" s="86" t="str">
        <f aca="true">IF($H89=0,"NA",IF($A89=INDIRECT("'"&amp;$A89&amp;"'!$B$1"),IF(VLOOKUP(L$1,INDIRECT("'"&amp;$A89&amp;"'!$A$12:$Z$41"),MATCH("Points (Auto-generate)",INDIRECT("'"&amp;$A89&amp;"'!$A$12:$Z$12"),0),0)="","?",VLOOKUP(L$1,INDIRECT("'"&amp;$A89&amp;"'!$A$12:$Z$41"),MATCH("Points (Auto-generate)",INDIRECT("'"&amp;$A89&amp;"'!$A$12:$Z$12"),0),0)),"ER"))</f>
        <v>?</v>
      </c>
      <c r="M89" s="86" t="str">
        <f aca="true">IF($H89=0,"NA",IF($A89=INDIRECT("'"&amp;$A89&amp;"'!$B$1"),IF(VLOOKUP(M$1,INDIRECT("'"&amp;$A89&amp;"'!$A$12:$Z$41"),MATCH("Points (Auto-generate)",INDIRECT("'"&amp;$A89&amp;"'!$A$12:$Z$12"),0),0)="","?",VLOOKUP(M$1,INDIRECT("'"&amp;$A89&amp;"'!$A$12:$Z$41"),MATCH("Points (Auto-generate)",INDIRECT("'"&amp;$A89&amp;"'!$A$12:$Z$12"),0),0)),"ER"))</f>
        <v>?</v>
      </c>
      <c r="N89" s="86" t="str">
        <f aca="true">IF($H89=0,"NA",IF($A89=INDIRECT("'"&amp;$A89&amp;"'!$B$1"),IF(VLOOKUP(N$1,INDIRECT("'"&amp;$A89&amp;"'!$A$12:$Z$41"),MATCH("Points (Auto-generate)",INDIRECT("'"&amp;$A89&amp;"'!$A$12:$Z$12"),0),0)="","?",VLOOKUP(N$1,INDIRECT("'"&amp;$A89&amp;"'!$A$12:$Z$41"),MATCH("Points (Auto-generate)",INDIRECT("'"&amp;$A89&amp;"'!$A$12:$Z$12"),0),0)),"ER"))</f>
        <v>?</v>
      </c>
      <c r="O89" s="86" t="str">
        <f aca="true">IF($H89=0,"NA",IF($A89=INDIRECT("'"&amp;$A89&amp;"'!$B$1"),IF(VLOOKUP(O$1,INDIRECT("'"&amp;$A89&amp;"'!$A$12:$Z$41"),MATCH("Points (Auto-generate)",INDIRECT("'"&amp;$A89&amp;"'!$A$12:$Z$12"),0),0)="","?",VLOOKUP(O$1,INDIRECT("'"&amp;$A89&amp;"'!$A$12:$Z$41"),MATCH("Points (Auto-generate)",INDIRECT("'"&amp;$A89&amp;"'!$A$12:$Z$12"),0),0)),"ER"))</f>
        <v>?</v>
      </c>
      <c r="P89" s="86" t="str">
        <f aca="true">IF($H89=0,"NA",IF($A89=INDIRECT("'"&amp;$A89&amp;"'!$B$1"),IF(VLOOKUP(P$1,INDIRECT("'"&amp;$A89&amp;"'!$A$12:$Z$41"),MATCH("Points (Auto-generate)",INDIRECT("'"&amp;$A89&amp;"'!$A$12:$Z$12"),0),0)="","?",VLOOKUP(P$1,INDIRECT("'"&amp;$A89&amp;"'!$A$12:$Z$41"),MATCH("Points (Auto-generate)",INDIRECT("'"&amp;$A89&amp;"'!$A$12:$Z$12"),0),0)),"ER"))</f>
        <v>?</v>
      </c>
      <c r="Q89" s="86" t="str">
        <f aca="true">IF($H89=0,"NA",IF($A89=INDIRECT("'"&amp;$A89&amp;"'!$B$1"),IF(VLOOKUP(Q$1,INDIRECT("'"&amp;$A89&amp;"'!$A$12:$Z$41"),MATCH("Points (Auto-generate)",INDIRECT("'"&amp;$A89&amp;"'!$A$12:$Z$12"),0),0)="","?",VLOOKUP(Q$1,INDIRECT("'"&amp;$A89&amp;"'!$A$12:$Z$41"),MATCH("Points (Auto-generate)",INDIRECT("'"&amp;$A89&amp;"'!$A$12:$Z$12"),0),0)),"ER"))</f>
        <v>?</v>
      </c>
      <c r="R89" s="86" t="str">
        <f aca="true">IF($H89=0,"NA",IF($A89=INDIRECT("'"&amp;$A89&amp;"'!$B$1"),IF(VLOOKUP(R$1,INDIRECT("'"&amp;$A89&amp;"'!$A$12:$Z$41"),MATCH("Points (Auto-generate)",INDIRECT("'"&amp;$A89&amp;"'!$A$12:$Z$12"),0),0)="","?",VLOOKUP(R$1,INDIRECT("'"&amp;$A89&amp;"'!$A$12:$Z$41"),MATCH("Points (Auto-generate)",INDIRECT("'"&amp;$A89&amp;"'!$A$12:$Z$12"),0),0)),"ER"))</f>
        <v>?</v>
      </c>
      <c r="S89" s="86" t="str">
        <f aca="true">IF($H89=0,"NA",IF($A89=INDIRECT("'"&amp;$A89&amp;"'!$B$1"),IF(VLOOKUP(S$1,INDIRECT("'"&amp;$A89&amp;"'!$A$12:$Z$41"),MATCH("Points (Auto-generate)",INDIRECT("'"&amp;$A89&amp;"'!$A$12:$Z$12"),0),0)="","?",VLOOKUP(S$1,INDIRECT("'"&amp;$A89&amp;"'!$A$12:$Z$41"),MATCH("Points (Auto-generate)",INDIRECT("'"&amp;$A89&amp;"'!$A$12:$Z$12"),0),0)),"ER"))</f>
        <v>?</v>
      </c>
      <c r="T89" s="86" t="str">
        <f aca="true">IF($H89=0,"NA",IF($A89=INDIRECT("'"&amp;$A89&amp;"'!$B$1"),IF(VLOOKUP(T$1,INDIRECT("'"&amp;$A89&amp;"'!$A$12:$Z$41"),MATCH("Points (Auto-generate)",INDIRECT("'"&amp;$A89&amp;"'!$A$12:$Z$12"),0),0)="","?",VLOOKUP(T$1,INDIRECT("'"&amp;$A89&amp;"'!$A$12:$Z$41"),MATCH("Points (Auto-generate)",INDIRECT("'"&amp;$A89&amp;"'!$A$12:$Z$12"),0),0)),"ER"))</f>
        <v>?</v>
      </c>
      <c r="U89" s="86" t="str">
        <f aca="true">IF($H89=0,"NA",IF($A89=INDIRECT("'"&amp;$A89&amp;"'!$B$1"),IF(VLOOKUP(U$1,INDIRECT("'"&amp;$A89&amp;"'!$A$12:$Z$41"),MATCH("Points (Auto-generate)",INDIRECT("'"&amp;$A89&amp;"'!$A$12:$Z$12"),0),0)="","?",VLOOKUP(U$1,INDIRECT("'"&amp;$A89&amp;"'!$A$12:$Z$41"),MATCH("Points (Auto-generate)",INDIRECT("'"&amp;$A89&amp;"'!$A$12:$Z$12"),0),0)),"ER"))</f>
        <v>?</v>
      </c>
      <c r="V89" s="86" t="str">
        <f aca="true">IF($H89=0,"NA",IF($A89=INDIRECT("'"&amp;$A89&amp;"'!$B$1"),IF(VLOOKUP(V$1,INDIRECT("'"&amp;$A89&amp;"'!$A$12:$Z$41"),MATCH("Points (Auto-generate)",INDIRECT("'"&amp;$A89&amp;"'!$A$12:$Z$12"),0),0)="","?",VLOOKUP(V$1,INDIRECT("'"&amp;$A89&amp;"'!$A$12:$Z$41"),MATCH("Points (Auto-generate)",INDIRECT("'"&amp;$A89&amp;"'!$A$12:$Z$12"),0),0)),"ER"))</f>
        <v>?</v>
      </c>
      <c r="W89" s="86" t="str">
        <f aca="true">IF($H89=0,"NA",IF($A89=INDIRECT("'"&amp;$A89&amp;"'!$B$1"),IF(VLOOKUP(W$1,INDIRECT("'"&amp;$A89&amp;"'!$A$12:$Z$41"),MATCH("Points (Auto-generate)",INDIRECT("'"&amp;$A89&amp;"'!$A$12:$Z$12"),0),0)="","?",VLOOKUP(W$1,INDIRECT("'"&amp;$A89&amp;"'!$A$12:$Z$41"),MATCH("Points (Auto-generate)",INDIRECT("'"&amp;$A89&amp;"'!$A$12:$Z$12"),0),0)),"ER"))</f>
        <v>?</v>
      </c>
      <c r="X89" s="86" t="str">
        <f aca="true">IF($H89=0,"NA",IF($A89=INDIRECT("'"&amp;$A89&amp;"'!$B$1"),IF(VLOOKUP(X$1,INDIRECT("'"&amp;$A89&amp;"'!$A$12:$Z$41"),MATCH("Points (Auto-generate)",INDIRECT("'"&amp;$A89&amp;"'!$A$12:$Z$12"),0),0)="","?",VLOOKUP(X$1,INDIRECT("'"&amp;$A89&amp;"'!$A$12:$Z$41"),MATCH("Points (Auto-generate)",INDIRECT("'"&amp;$A89&amp;"'!$A$12:$Z$12"),0),0)),"ER"))</f>
        <v>?</v>
      </c>
      <c r="Y89" s="86" t="str">
        <f aca="true">IF($H89=0,"NA",IF($A89=INDIRECT("'"&amp;$A89&amp;"'!$B$1"),IF(VLOOKUP(Y$1,INDIRECT("'"&amp;$A89&amp;"'!$A$12:$Z$41"),MATCH("Points (Auto-generate)",INDIRECT("'"&amp;$A89&amp;"'!$A$12:$Z$12"),0),0)="","?",VLOOKUP(Y$1,INDIRECT("'"&amp;$A89&amp;"'!$A$12:$Z$41"),MATCH("Points (Auto-generate)",INDIRECT("'"&amp;$A89&amp;"'!$A$12:$Z$12"),0),0)),"ER"))</f>
        <v>?</v>
      </c>
      <c r="Z89" s="86" t="str">
        <f aca="true">IF($H89=0,"NA",IF($A89=INDIRECT("'"&amp;$A89&amp;"'!$B$1"),IF(VLOOKUP(Z$1,INDIRECT("'"&amp;$A89&amp;"'!$A$12:$Z$41"),MATCH("Points (Auto-generate)",INDIRECT("'"&amp;$A89&amp;"'!$A$12:$Z$12"),0),0)="","?",VLOOKUP(Z$1,INDIRECT("'"&amp;$A89&amp;"'!$A$12:$Z$41"),MATCH("Points (Auto-generate)",INDIRECT("'"&amp;$A89&amp;"'!$A$12:$Z$12"),0),0)),"ER"))</f>
        <v>?</v>
      </c>
      <c r="AA89" s="86" t="str">
        <f aca="true">IF($H89=0,"NA",IF($A89=INDIRECT("'"&amp;$A89&amp;"'!$B$1"),IF(VLOOKUP(AA$1,INDIRECT("'"&amp;$A89&amp;"'!$A$12:$Z$41"),MATCH("Points (Auto-generate)",INDIRECT("'"&amp;$A89&amp;"'!$A$12:$Z$12"),0),0)="","?",VLOOKUP(AA$1,INDIRECT("'"&amp;$A89&amp;"'!$A$12:$Z$41"),MATCH("Points (Auto-generate)",INDIRECT("'"&amp;$A89&amp;"'!$A$12:$Z$12"),0),0)),"ER"))</f>
        <v>?</v>
      </c>
      <c r="AB89" s="86" t="str">
        <f aca="true">IF($H89=0,"NA",IF($A89=INDIRECT("'"&amp;$A89&amp;"'!$B$1"),IF(VLOOKUP(AB$1,INDIRECT("'"&amp;$A89&amp;"'!$A$12:$Z$41"),MATCH("Points (Auto-generate)",INDIRECT("'"&amp;$A89&amp;"'!$A$12:$Z$12"),0),0)="","?",VLOOKUP(AB$1,INDIRECT("'"&amp;$A89&amp;"'!$A$12:$Z$41"),MATCH("Points (Auto-generate)",INDIRECT("'"&amp;$A89&amp;"'!$A$12:$Z$12"),0),0)),"ER"))</f>
        <v>?</v>
      </c>
      <c r="AC89" s="86" t="str">
        <f aca="true">IF($H89=0,"NA",IF($A89=INDIRECT("'"&amp;$A89&amp;"'!$B$1"),IF(VLOOKUP(AC$1,INDIRECT("'"&amp;$A89&amp;"'!$A$12:$Z$41"),MATCH("Points (Auto-generate)",INDIRECT("'"&amp;$A89&amp;"'!$A$12:$Z$12"),0),0)="","?",VLOOKUP(AC$1,INDIRECT("'"&amp;$A89&amp;"'!$A$12:$Z$41"),MATCH("Points (Auto-generate)",INDIRECT("'"&amp;$A89&amp;"'!$A$12:$Z$12"),0),0)),"ER"))</f>
        <v>?</v>
      </c>
      <c r="AD89" s="86" t="str">
        <f aca="true">IF($H89=0,"NA",IF($A89=INDIRECT("'"&amp;$A89&amp;"'!$B$1"),IF(VLOOKUP(AD$1,INDIRECT("'"&amp;$A89&amp;"'!$A$12:$Z$41"),MATCH("Points (Auto-generate)",INDIRECT("'"&amp;$A89&amp;"'!$A$12:$Z$12"),0),0)="","?",VLOOKUP(AD$1,INDIRECT("'"&amp;$A89&amp;"'!$A$12:$Z$41"),MATCH("Points (Auto-generate)",INDIRECT("'"&amp;$A89&amp;"'!$A$12:$Z$12"),0),0)),"ER"))</f>
        <v>?</v>
      </c>
      <c r="AE89" s="86" t="str">
        <f aca="true">IF($H89=0,"NA",IF($A89=INDIRECT("'"&amp;$A89&amp;"'!$B$1"),IF(VLOOKUP(AE$1,INDIRECT("'"&amp;$A89&amp;"'!$A$12:$Z$41"),MATCH("Points (Auto-generate)",INDIRECT("'"&amp;$A89&amp;"'!$A$12:$Z$12"),0),0)="","?",VLOOKUP(AE$1,INDIRECT("'"&amp;$A89&amp;"'!$A$12:$Z$41"),MATCH("Points (Auto-generate)",INDIRECT("'"&amp;$A89&amp;"'!$A$12:$Z$12"),0),0)),"ER"))</f>
        <v>?</v>
      </c>
      <c r="AF89" s="86" t="str">
        <f aca="true">IF($H89=0,"NA",IF($A89=INDIRECT("'"&amp;$A89&amp;"'!$B$1"),IF(VLOOKUP(AF$1,INDIRECT("'"&amp;$A89&amp;"'!$A$12:$Z$41"),MATCH("Points (Auto-generate)",INDIRECT("'"&amp;$A89&amp;"'!$A$12:$Z$12"),0),0)="","?",VLOOKUP(AF$1,INDIRECT("'"&amp;$A89&amp;"'!$A$12:$Z$41"),MATCH("Points (Auto-generate)",INDIRECT("'"&amp;$A89&amp;"'!$A$12:$Z$12"),0),0)),"ER"))</f>
        <v>?</v>
      </c>
      <c r="AG89" s="86" t="str">
        <f aca="true">IF($H89=0,"NA",IF($A89=INDIRECT("'"&amp;$A89&amp;"'!$B$1"),IF(VLOOKUP(AG$1,INDIRECT("'"&amp;$A89&amp;"'!$A$12:$Z$41"),MATCH("Points (Auto-generate)",INDIRECT("'"&amp;$A89&amp;"'!$A$12:$Z$12"),0),0)="","?",VLOOKUP(AG$1,INDIRECT("'"&amp;$A89&amp;"'!$A$12:$Z$41"),MATCH("Points (Auto-generate)",INDIRECT("'"&amp;$A89&amp;"'!$A$12:$Z$12"),0),0)),"ER"))</f>
        <v>?</v>
      </c>
      <c r="AH89" s="86" t="str">
        <f aca="true">IF($H89=0,"NA",IF($A89=INDIRECT("'"&amp;$A89&amp;"'!$B$1"),IF(VLOOKUP(AH$1,INDIRECT("'"&amp;$A89&amp;"'!$A$12:$Z$41"),MATCH("Points (Auto-generate)",INDIRECT("'"&amp;$A89&amp;"'!$A$12:$Z$12"),0),0)="","?",VLOOKUP(AH$1,INDIRECT("'"&amp;$A89&amp;"'!$A$12:$Z$41"),MATCH("Points (Auto-generate)",INDIRECT("'"&amp;$A89&amp;"'!$A$12:$Z$12"),0),0)),"ER"))</f>
        <v>?</v>
      </c>
      <c r="AI89" s="86" t="str">
        <f aca="true">IF($H89=0,"NA",IF($A89=INDIRECT("'"&amp;$A89&amp;"'!$B$1"),IF(VLOOKUP(AI$1,INDIRECT("'"&amp;$A89&amp;"'!$A$12:$Z$41"),MATCH("Points (Auto-generate)",INDIRECT("'"&amp;$A89&amp;"'!$A$12:$Z$12"),0),0)="","?",VLOOKUP(AI$1,INDIRECT("'"&amp;$A89&amp;"'!$A$12:$Z$41"),MATCH("Points (Auto-generate)",INDIRECT("'"&amp;$A89&amp;"'!$A$12:$Z$12"),0),0)),"ER"))</f>
        <v>?</v>
      </c>
      <c r="AJ89" s="86" t="str">
        <f aca="true">IF($H89=0,"NA",IF($A89=INDIRECT("'"&amp;$A89&amp;"'!$B$1"),IF(VLOOKUP(AJ$1,INDIRECT("'"&amp;$A89&amp;"'!$A$12:$Z$41"),MATCH("Points (Auto-generate)",INDIRECT("'"&amp;$A89&amp;"'!$A$12:$Z$12"),0),0)="","?",VLOOKUP(AJ$1,INDIRECT("'"&amp;$A89&amp;"'!$A$12:$Z$41"),MATCH("Points (Auto-generate)",INDIRECT("'"&amp;$A89&amp;"'!$A$12:$Z$12"),0),0)),"ER"))</f>
        <v>?</v>
      </c>
      <c r="AK89" s="86" t="str">
        <f aca="true">IF($H89=0,"NA",IF($A89=INDIRECT("'"&amp;$A89&amp;"'!$B$1"),IF(VLOOKUP(AK$1,INDIRECT("'"&amp;$A89&amp;"'!$A$12:$Z$41"),MATCH("Points (Auto-generate)",INDIRECT("'"&amp;$A89&amp;"'!$A$12:$Z$12"),0),0)="","?",VLOOKUP(AK$1,INDIRECT("'"&amp;$A89&amp;"'!$A$12:$Z$41"),MATCH("Points (Auto-generate)",INDIRECT("'"&amp;$A89&amp;"'!$A$12:$Z$12"),0),0)),"ER"))</f>
        <v>?</v>
      </c>
    </row>
    <row r="90" customFormat="false" ht="14.25" hidden="false" customHeight="false" outlineLevel="0" collapsed="false">
      <c r="A90" s="82" t="s">
        <v>271</v>
      </c>
      <c r="B90" s="83" t="str">
        <f aca="false">IF(ISBLANK($A90),"NO_CODE",VLOOKUP($A90,'UPD Questions_290926 '!$E$1:$N$300,MATCH(B$1,'UPD Questions_290926 '!$E$1:$N$1,0),0)&amp;"")</f>
        <v>Implementation</v>
      </c>
      <c r="C90" s="83" t="str">
        <f aca="false">IF(ISBLANK($A90),"NO_CODE",VLOOKUP($A90,'UPD Questions_290926 '!$E$1:$N$300,MATCH(C$1,'UPD Questions_290926 '!$E$1:$N$1,0),0)&amp;"")</f>
        <v>Development Control Regulations and land-management instruments</v>
      </c>
      <c r="D90" s="83" t="str">
        <f aca="false">IF(ISBLANK($A90),"NO_CODE",VLOOKUP($A90,'UPD Questions_290926 '!$E$1:$N$300,MATCH(D$1,'UPD Questions_290926 '!$E$1:$N$1,0),0)&amp;"")</f>
        <v>Applicability and currency of DCRs</v>
      </c>
      <c r="E90" s="83" t="str">
        <f aca="false">IF(ISBLANK($A90),"NO_CODE",VLOOKUP($A90,'UPD Questions_290926 '!$E$1:$N$300,MATCH(E$1,'UPD Questions_290926 '!$E$1:$N$1,0),0)&amp;"")</f>
        <v>MQ</v>
      </c>
      <c r="F90" s="83" t="str">
        <f aca="false">IF(ISBLANK($A90),"NO_CODE",VLOOKUP($A90,'UPD Questions_290926 '!$E$1:$N$300,MATCH(F$1,'UPD Questions_290926 '!$E$1:$N$1,0),0)&amp;"")</f>
        <v>Does the city have a city-specific Development Control Regulation (DCR)?</v>
      </c>
      <c r="G90" s="83" t="str">
        <f aca="false">IF(ISBLANK($A90),"NO_CODE",VLOOKUP($A90,'UPD Questions_290926 '!$E$1:$N$300,MATCH(G$1,'UPD Questions_290926 '!$E$1:$N$1,0),0)&amp;"")</f>
        <v>Law or Policy &amp; Implementation</v>
      </c>
      <c r="H90" s="85" t="n">
        <f aca="false">IF(ISBLANK($A90),"NO_CODE",VLOOKUP($A90,'UPD Questions_290926 '!$E$1:$N$300,MATCH(H$1,'UPD Questions_290926 '!$E$1:$N$1,0),0))</f>
        <v>10</v>
      </c>
      <c r="I90" s="86" t="str">
        <f aca="true">IF($H90=0,"NA",IF($A90=INDIRECT("'"&amp;$A90&amp;"'!$B$1"),IF(VLOOKUP(I$1,INDIRECT("'"&amp;$A90&amp;"'!$A$12:$Z$41"),MATCH("Points (Auto-generate)",INDIRECT("'"&amp;$A90&amp;"'!$A$12:$Z$12"),0),0)="","?",VLOOKUP(I$1,INDIRECT("'"&amp;$A90&amp;"'!$A$12:$Z$41"),MATCH("Points (Auto-generate)",INDIRECT("'"&amp;$A90&amp;"'!$A$12:$Z$12"),0),0)),"ER"))</f>
        <v>?</v>
      </c>
      <c r="J90" s="86" t="str">
        <f aca="true">IF($H90=0,"NA",IF($A90=INDIRECT("'"&amp;$A90&amp;"'!$B$1"),IF(VLOOKUP(J$1,INDIRECT("'"&amp;$A90&amp;"'!$A$12:$Z$41"),MATCH("Points (Auto-generate)",INDIRECT("'"&amp;$A90&amp;"'!$A$12:$Z$12"),0),0)="","?",VLOOKUP(J$1,INDIRECT("'"&amp;$A90&amp;"'!$A$12:$Z$41"),MATCH("Points (Auto-generate)",INDIRECT("'"&amp;$A90&amp;"'!$A$12:$Z$12"),0),0)),"ER"))</f>
        <v>?</v>
      </c>
      <c r="K90" s="86" t="str">
        <f aca="true">IF($H90=0,"NA",IF($A90=INDIRECT("'"&amp;$A90&amp;"'!$B$1"),IF(VLOOKUP(K$1,INDIRECT("'"&amp;$A90&amp;"'!$A$12:$Z$41"),MATCH("Points (Auto-generate)",INDIRECT("'"&amp;$A90&amp;"'!$A$12:$Z$12"),0),0)="","?",VLOOKUP(K$1,INDIRECT("'"&amp;$A90&amp;"'!$A$12:$Z$41"),MATCH("Points (Auto-generate)",INDIRECT("'"&amp;$A90&amp;"'!$A$12:$Z$12"),0),0)),"ER"))</f>
        <v>?</v>
      </c>
      <c r="L90" s="86" t="str">
        <f aca="true">IF($H90=0,"NA",IF($A90=INDIRECT("'"&amp;$A90&amp;"'!$B$1"),IF(VLOOKUP(L$1,INDIRECT("'"&amp;$A90&amp;"'!$A$12:$Z$41"),MATCH("Points (Auto-generate)",INDIRECT("'"&amp;$A90&amp;"'!$A$12:$Z$12"),0),0)="","?",VLOOKUP(L$1,INDIRECT("'"&amp;$A90&amp;"'!$A$12:$Z$41"),MATCH("Points (Auto-generate)",INDIRECT("'"&amp;$A90&amp;"'!$A$12:$Z$12"),0),0)),"ER"))</f>
        <v>?</v>
      </c>
      <c r="M90" s="86" t="str">
        <f aca="true">IF($H90=0,"NA",IF($A90=INDIRECT("'"&amp;$A90&amp;"'!$B$1"),IF(VLOOKUP(M$1,INDIRECT("'"&amp;$A90&amp;"'!$A$12:$Z$41"),MATCH("Points (Auto-generate)",INDIRECT("'"&amp;$A90&amp;"'!$A$12:$Z$12"),0),0)="","?",VLOOKUP(M$1,INDIRECT("'"&amp;$A90&amp;"'!$A$12:$Z$41"),MATCH("Points (Auto-generate)",INDIRECT("'"&amp;$A90&amp;"'!$A$12:$Z$12"),0),0)),"ER"))</f>
        <v>?</v>
      </c>
      <c r="N90" s="86" t="str">
        <f aca="true">IF($H90=0,"NA",IF($A90=INDIRECT("'"&amp;$A90&amp;"'!$B$1"),IF(VLOOKUP(N$1,INDIRECT("'"&amp;$A90&amp;"'!$A$12:$Z$41"),MATCH("Points (Auto-generate)",INDIRECT("'"&amp;$A90&amp;"'!$A$12:$Z$12"),0),0)="","?",VLOOKUP(N$1,INDIRECT("'"&amp;$A90&amp;"'!$A$12:$Z$41"),MATCH("Points (Auto-generate)",INDIRECT("'"&amp;$A90&amp;"'!$A$12:$Z$12"),0),0)),"ER"))</f>
        <v>?</v>
      </c>
      <c r="O90" s="86" t="str">
        <f aca="true">IF($H90=0,"NA",IF($A90=INDIRECT("'"&amp;$A90&amp;"'!$B$1"),IF(VLOOKUP(O$1,INDIRECT("'"&amp;$A90&amp;"'!$A$12:$Z$41"),MATCH("Points (Auto-generate)",INDIRECT("'"&amp;$A90&amp;"'!$A$12:$Z$12"),0),0)="","?",VLOOKUP(O$1,INDIRECT("'"&amp;$A90&amp;"'!$A$12:$Z$41"),MATCH("Points (Auto-generate)",INDIRECT("'"&amp;$A90&amp;"'!$A$12:$Z$12"),0),0)),"ER"))</f>
        <v>?</v>
      </c>
      <c r="P90" s="86" t="str">
        <f aca="true">IF($H90=0,"NA",IF($A90=INDIRECT("'"&amp;$A90&amp;"'!$B$1"),IF(VLOOKUP(P$1,INDIRECT("'"&amp;$A90&amp;"'!$A$12:$Z$41"),MATCH("Points (Auto-generate)",INDIRECT("'"&amp;$A90&amp;"'!$A$12:$Z$12"),0),0)="","?",VLOOKUP(P$1,INDIRECT("'"&amp;$A90&amp;"'!$A$12:$Z$41"),MATCH("Points (Auto-generate)",INDIRECT("'"&amp;$A90&amp;"'!$A$12:$Z$12"),0),0)),"ER"))</f>
        <v>?</v>
      </c>
      <c r="Q90" s="86" t="str">
        <f aca="true">IF($H90=0,"NA",IF($A90=INDIRECT("'"&amp;$A90&amp;"'!$B$1"),IF(VLOOKUP(Q$1,INDIRECT("'"&amp;$A90&amp;"'!$A$12:$Z$41"),MATCH("Points (Auto-generate)",INDIRECT("'"&amp;$A90&amp;"'!$A$12:$Z$12"),0),0)="","?",VLOOKUP(Q$1,INDIRECT("'"&amp;$A90&amp;"'!$A$12:$Z$41"),MATCH("Points (Auto-generate)",INDIRECT("'"&amp;$A90&amp;"'!$A$12:$Z$12"),0),0)),"ER"))</f>
        <v>?</v>
      </c>
      <c r="R90" s="86" t="str">
        <f aca="true">IF($H90=0,"NA",IF($A90=INDIRECT("'"&amp;$A90&amp;"'!$B$1"),IF(VLOOKUP(R$1,INDIRECT("'"&amp;$A90&amp;"'!$A$12:$Z$41"),MATCH("Points (Auto-generate)",INDIRECT("'"&amp;$A90&amp;"'!$A$12:$Z$12"),0),0)="","?",VLOOKUP(R$1,INDIRECT("'"&amp;$A90&amp;"'!$A$12:$Z$41"),MATCH("Points (Auto-generate)",INDIRECT("'"&amp;$A90&amp;"'!$A$12:$Z$12"),0),0)),"ER"))</f>
        <v>?</v>
      </c>
      <c r="S90" s="86" t="str">
        <f aca="true">IF($H90=0,"NA",IF($A90=INDIRECT("'"&amp;$A90&amp;"'!$B$1"),IF(VLOOKUP(S$1,INDIRECT("'"&amp;$A90&amp;"'!$A$12:$Z$41"),MATCH("Points (Auto-generate)",INDIRECT("'"&amp;$A90&amp;"'!$A$12:$Z$12"),0),0)="","?",VLOOKUP(S$1,INDIRECT("'"&amp;$A90&amp;"'!$A$12:$Z$41"),MATCH("Points (Auto-generate)",INDIRECT("'"&amp;$A90&amp;"'!$A$12:$Z$12"),0),0)),"ER"))</f>
        <v>?</v>
      </c>
      <c r="T90" s="86" t="str">
        <f aca="true">IF($H90=0,"NA",IF($A90=INDIRECT("'"&amp;$A90&amp;"'!$B$1"),IF(VLOOKUP(T$1,INDIRECT("'"&amp;$A90&amp;"'!$A$12:$Z$41"),MATCH("Points (Auto-generate)",INDIRECT("'"&amp;$A90&amp;"'!$A$12:$Z$12"),0),0)="","?",VLOOKUP(T$1,INDIRECT("'"&amp;$A90&amp;"'!$A$12:$Z$41"),MATCH("Points (Auto-generate)",INDIRECT("'"&amp;$A90&amp;"'!$A$12:$Z$12"),0),0)),"ER"))</f>
        <v>?</v>
      </c>
      <c r="U90" s="86" t="str">
        <f aca="true">IF($H90=0,"NA",IF($A90=INDIRECT("'"&amp;$A90&amp;"'!$B$1"),IF(VLOOKUP(U$1,INDIRECT("'"&amp;$A90&amp;"'!$A$12:$Z$41"),MATCH("Points (Auto-generate)",INDIRECT("'"&amp;$A90&amp;"'!$A$12:$Z$12"),0),0)="","?",VLOOKUP(U$1,INDIRECT("'"&amp;$A90&amp;"'!$A$12:$Z$41"),MATCH("Points (Auto-generate)",INDIRECT("'"&amp;$A90&amp;"'!$A$12:$Z$12"),0),0)),"ER"))</f>
        <v>?</v>
      </c>
      <c r="V90" s="86" t="str">
        <f aca="true">IF($H90=0,"NA",IF($A90=INDIRECT("'"&amp;$A90&amp;"'!$B$1"),IF(VLOOKUP(V$1,INDIRECT("'"&amp;$A90&amp;"'!$A$12:$Z$41"),MATCH("Points (Auto-generate)",INDIRECT("'"&amp;$A90&amp;"'!$A$12:$Z$12"),0),0)="","?",VLOOKUP(V$1,INDIRECT("'"&amp;$A90&amp;"'!$A$12:$Z$41"),MATCH("Points (Auto-generate)",INDIRECT("'"&amp;$A90&amp;"'!$A$12:$Z$12"),0),0)),"ER"))</f>
        <v>?</v>
      </c>
      <c r="W90" s="86" t="str">
        <f aca="true">IF($H90=0,"NA",IF($A90=INDIRECT("'"&amp;$A90&amp;"'!$B$1"),IF(VLOOKUP(W$1,INDIRECT("'"&amp;$A90&amp;"'!$A$12:$Z$41"),MATCH("Points (Auto-generate)",INDIRECT("'"&amp;$A90&amp;"'!$A$12:$Z$12"),0),0)="","?",VLOOKUP(W$1,INDIRECT("'"&amp;$A90&amp;"'!$A$12:$Z$41"),MATCH("Points (Auto-generate)",INDIRECT("'"&amp;$A90&amp;"'!$A$12:$Z$12"),0),0)),"ER"))</f>
        <v>?</v>
      </c>
      <c r="X90" s="86" t="str">
        <f aca="true">IF($H90=0,"NA",IF($A90=INDIRECT("'"&amp;$A90&amp;"'!$B$1"),IF(VLOOKUP(X$1,INDIRECT("'"&amp;$A90&amp;"'!$A$12:$Z$41"),MATCH("Points (Auto-generate)",INDIRECT("'"&amp;$A90&amp;"'!$A$12:$Z$12"),0),0)="","?",VLOOKUP(X$1,INDIRECT("'"&amp;$A90&amp;"'!$A$12:$Z$41"),MATCH("Points (Auto-generate)",INDIRECT("'"&amp;$A90&amp;"'!$A$12:$Z$12"),0),0)),"ER"))</f>
        <v>?</v>
      </c>
      <c r="Y90" s="86" t="str">
        <f aca="true">IF($H90=0,"NA",IF($A90=INDIRECT("'"&amp;$A90&amp;"'!$B$1"),IF(VLOOKUP(Y$1,INDIRECT("'"&amp;$A90&amp;"'!$A$12:$Z$41"),MATCH("Points (Auto-generate)",INDIRECT("'"&amp;$A90&amp;"'!$A$12:$Z$12"),0),0)="","?",VLOOKUP(Y$1,INDIRECT("'"&amp;$A90&amp;"'!$A$12:$Z$41"),MATCH("Points (Auto-generate)",INDIRECT("'"&amp;$A90&amp;"'!$A$12:$Z$12"),0),0)),"ER"))</f>
        <v>?</v>
      </c>
      <c r="Z90" s="86" t="str">
        <f aca="true">IF($H90=0,"NA",IF($A90=INDIRECT("'"&amp;$A90&amp;"'!$B$1"),IF(VLOOKUP(Z$1,INDIRECT("'"&amp;$A90&amp;"'!$A$12:$Z$41"),MATCH("Points (Auto-generate)",INDIRECT("'"&amp;$A90&amp;"'!$A$12:$Z$12"),0),0)="","?",VLOOKUP(Z$1,INDIRECT("'"&amp;$A90&amp;"'!$A$12:$Z$41"),MATCH("Points (Auto-generate)",INDIRECT("'"&amp;$A90&amp;"'!$A$12:$Z$12"),0),0)),"ER"))</f>
        <v>?</v>
      </c>
      <c r="AA90" s="86" t="str">
        <f aca="true">IF($H90=0,"NA",IF($A90=INDIRECT("'"&amp;$A90&amp;"'!$B$1"),IF(VLOOKUP(AA$1,INDIRECT("'"&amp;$A90&amp;"'!$A$12:$Z$41"),MATCH("Points (Auto-generate)",INDIRECT("'"&amp;$A90&amp;"'!$A$12:$Z$12"),0),0)="","?",VLOOKUP(AA$1,INDIRECT("'"&amp;$A90&amp;"'!$A$12:$Z$41"),MATCH("Points (Auto-generate)",INDIRECT("'"&amp;$A90&amp;"'!$A$12:$Z$12"),0),0)),"ER"))</f>
        <v>?</v>
      </c>
      <c r="AB90" s="86" t="str">
        <f aca="true">IF($H90=0,"NA",IF($A90=INDIRECT("'"&amp;$A90&amp;"'!$B$1"),IF(VLOOKUP(AB$1,INDIRECT("'"&amp;$A90&amp;"'!$A$12:$Z$41"),MATCH("Points (Auto-generate)",INDIRECT("'"&amp;$A90&amp;"'!$A$12:$Z$12"),0),0)="","?",VLOOKUP(AB$1,INDIRECT("'"&amp;$A90&amp;"'!$A$12:$Z$41"),MATCH("Points (Auto-generate)",INDIRECT("'"&amp;$A90&amp;"'!$A$12:$Z$12"),0),0)),"ER"))</f>
        <v>?</v>
      </c>
      <c r="AC90" s="86" t="str">
        <f aca="true">IF($H90=0,"NA",IF($A90=INDIRECT("'"&amp;$A90&amp;"'!$B$1"),IF(VLOOKUP(AC$1,INDIRECT("'"&amp;$A90&amp;"'!$A$12:$Z$41"),MATCH("Points (Auto-generate)",INDIRECT("'"&amp;$A90&amp;"'!$A$12:$Z$12"),0),0)="","?",VLOOKUP(AC$1,INDIRECT("'"&amp;$A90&amp;"'!$A$12:$Z$41"),MATCH("Points (Auto-generate)",INDIRECT("'"&amp;$A90&amp;"'!$A$12:$Z$12"),0),0)),"ER"))</f>
        <v>?</v>
      </c>
      <c r="AD90" s="86" t="str">
        <f aca="true">IF($H90=0,"NA",IF($A90=INDIRECT("'"&amp;$A90&amp;"'!$B$1"),IF(VLOOKUP(AD$1,INDIRECT("'"&amp;$A90&amp;"'!$A$12:$Z$41"),MATCH("Points (Auto-generate)",INDIRECT("'"&amp;$A90&amp;"'!$A$12:$Z$12"),0),0)="","?",VLOOKUP(AD$1,INDIRECT("'"&amp;$A90&amp;"'!$A$12:$Z$41"),MATCH("Points (Auto-generate)",INDIRECT("'"&amp;$A90&amp;"'!$A$12:$Z$12"),0),0)),"ER"))</f>
        <v>?</v>
      </c>
      <c r="AE90" s="86" t="str">
        <f aca="true">IF($H90=0,"NA",IF($A90=INDIRECT("'"&amp;$A90&amp;"'!$B$1"),IF(VLOOKUP(AE$1,INDIRECT("'"&amp;$A90&amp;"'!$A$12:$Z$41"),MATCH("Points (Auto-generate)",INDIRECT("'"&amp;$A90&amp;"'!$A$12:$Z$12"),0),0)="","?",VLOOKUP(AE$1,INDIRECT("'"&amp;$A90&amp;"'!$A$12:$Z$41"),MATCH("Points (Auto-generate)",INDIRECT("'"&amp;$A90&amp;"'!$A$12:$Z$12"),0),0)),"ER"))</f>
        <v>?</v>
      </c>
      <c r="AF90" s="86" t="str">
        <f aca="true">IF($H90=0,"NA",IF($A90=INDIRECT("'"&amp;$A90&amp;"'!$B$1"),IF(VLOOKUP(AF$1,INDIRECT("'"&amp;$A90&amp;"'!$A$12:$Z$41"),MATCH("Points (Auto-generate)",INDIRECT("'"&amp;$A90&amp;"'!$A$12:$Z$12"),0),0)="","?",VLOOKUP(AF$1,INDIRECT("'"&amp;$A90&amp;"'!$A$12:$Z$41"),MATCH("Points (Auto-generate)",INDIRECT("'"&amp;$A90&amp;"'!$A$12:$Z$12"),0),0)),"ER"))</f>
        <v>?</v>
      </c>
      <c r="AG90" s="86" t="str">
        <f aca="true">IF($H90=0,"NA",IF($A90=INDIRECT("'"&amp;$A90&amp;"'!$B$1"),IF(VLOOKUP(AG$1,INDIRECT("'"&amp;$A90&amp;"'!$A$12:$Z$41"),MATCH("Points (Auto-generate)",INDIRECT("'"&amp;$A90&amp;"'!$A$12:$Z$12"),0),0)="","?",VLOOKUP(AG$1,INDIRECT("'"&amp;$A90&amp;"'!$A$12:$Z$41"),MATCH("Points (Auto-generate)",INDIRECT("'"&amp;$A90&amp;"'!$A$12:$Z$12"),0),0)),"ER"))</f>
        <v>?</v>
      </c>
      <c r="AH90" s="86" t="str">
        <f aca="true">IF($H90=0,"NA",IF($A90=INDIRECT("'"&amp;$A90&amp;"'!$B$1"),IF(VLOOKUP(AH$1,INDIRECT("'"&amp;$A90&amp;"'!$A$12:$Z$41"),MATCH("Points (Auto-generate)",INDIRECT("'"&amp;$A90&amp;"'!$A$12:$Z$12"),0),0)="","?",VLOOKUP(AH$1,INDIRECT("'"&amp;$A90&amp;"'!$A$12:$Z$41"),MATCH("Points (Auto-generate)",INDIRECT("'"&amp;$A90&amp;"'!$A$12:$Z$12"),0),0)),"ER"))</f>
        <v>?</v>
      </c>
      <c r="AI90" s="86" t="str">
        <f aca="true">IF($H90=0,"NA",IF($A90=INDIRECT("'"&amp;$A90&amp;"'!$B$1"),IF(VLOOKUP(AI$1,INDIRECT("'"&amp;$A90&amp;"'!$A$12:$Z$41"),MATCH("Points (Auto-generate)",INDIRECT("'"&amp;$A90&amp;"'!$A$12:$Z$12"),0),0)="","?",VLOOKUP(AI$1,INDIRECT("'"&amp;$A90&amp;"'!$A$12:$Z$41"),MATCH("Points (Auto-generate)",INDIRECT("'"&amp;$A90&amp;"'!$A$12:$Z$12"),0),0)),"ER"))</f>
        <v>?</v>
      </c>
      <c r="AJ90" s="86" t="str">
        <f aca="true">IF($H90=0,"NA",IF($A90=INDIRECT("'"&amp;$A90&amp;"'!$B$1"),IF(VLOOKUP(AJ$1,INDIRECT("'"&amp;$A90&amp;"'!$A$12:$Z$41"),MATCH("Points (Auto-generate)",INDIRECT("'"&amp;$A90&amp;"'!$A$12:$Z$12"),0),0)="","?",VLOOKUP(AJ$1,INDIRECT("'"&amp;$A90&amp;"'!$A$12:$Z$41"),MATCH("Points (Auto-generate)",INDIRECT("'"&amp;$A90&amp;"'!$A$12:$Z$12"),0),0)),"ER"))</f>
        <v>?</v>
      </c>
      <c r="AK90" s="86" t="str">
        <f aca="true">IF($H90=0,"NA",IF($A90=INDIRECT("'"&amp;$A90&amp;"'!$B$1"),IF(VLOOKUP(AK$1,INDIRECT("'"&amp;$A90&amp;"'!$A$12:$Z$41"),MATCH("Points (Auto-generate)",INDIRECT("'"&amp;$A90&amp;"'!$A$12:$Z$12"),0),0)="","?",VLOOKUP(AK$1,INDIRECT("'"&amp;$A90&amp;"'!$A$12:$Z$41"),MATCH("Points (Auto-generate)",INDIRECT("'"&amp;$A90&amp;"'!$A$12:$Z$12"),0),0)),"ER"))</f>
        <v>?</v>
      </c>
    </row>
    <row r="91" customFormat="false" ht="14.25" hidden="false" customHeight="false" outlineLevel="0" collapsed="false">
      <c r="A91" s="82" t="s">
        <v>666</v>
      </c>
      <c r="B91" s="83" t="str">
        <f aca="false">IF(ISBLANK($A91),"NO_CODE",VLOOKUP($A91,'UPD Questions_290926 '!$E$1:$N$300,MATCH(B$1,'UPD Questions_290926 '!$E$1:$N$1,0),0)&amp;"")</f>
        <v>Implementation</v>
      </c>
      <c r="C91" s="83" t="str">
        <f aca="false">IF(ISBLANK($A91),"NO_CODE",VLOOKUP($A91,'UPD Questions_290926 '!$E$1:$N$300,MATCH(C$1,'UPD Questions_290926 '!$E$1:$N$1,0),0)&amp;"")</f>
        <v>Development Control Regulations and land-management instruments</v>
      </c>
      <c r="D91" s="83" t="str">
        <f aca="false">IF(ISBLANK($A91),"NO_CODE",VLOOKUP($A91,'UPD Questions_290926 '!$E$1:$N$300,MATCH(D$1,'UPD Questions_290926 '!$E$1:$N$1,0),0)&amp;"")</f>
        <v>DCR revision and public consultation</v>
      </c>
      <c r="E91" s="83" t="str">
        <f aca="false">IF(ISBLANK($A91),"NO_CODE",VLOOKUP($A91,'UPD Questions_290926 '!$E$1:$N$300,MATCH(E$1,'UPD Questions_290926 '!$E$1:$N$1,0),0)&amp;"")</f>
        <v>MQ</v>
      </c>
      <c r="F91" s="83" t="str">
        <f aca="false">IF(ISBLANK($A91),"NO_CODE",VLOOKUP($A91,'UPD Questions_290926 '!$E$1:$N$300,MATCH(F$1,'UPD Questions_290926 '!$E$1:$N$1,0),0)&amp;"")</f>
        <v>Does the city’s DCR provide development controls, standards or incentives that enable positive economic, environmental, public health, heritage, and inclusion outcomes?</v>
      </c>
      <c r="G91" s="83" t="str">
        <f aca="false">IF(ISBLANK($A91),"NO_CODE",VLOOKUP($A91,'UPD Questions_290926 '!$E$1:$N$300,MATCH(G$1,'UPD Questions_290926 '!$E$1:$N$1,0),0)&amp;"")</f>
        <v>Law or Policy</v>
      </c>
      <c r="H91" s="85" t="n">
        <f aca="false">IF(ISBLANK($A91),"NO_CODE",VLOOKUP($A91,'UPD Questions_290926 '!$E$1:$N$300,MATCH(H$1,'UPD Questions_290926 '!$E$1:$N$1,0),0))</f>
        <v>10</v>
      </c>
      <c r="I91" s="86" t="str">
        <f aca="false">IF(OR(I92="ER",I93="ER",I94="ER",I95="ER",I96="ER"),"ER",IF(OR(I92="?",I93="?",I94="?",I95="?",I96="?"),"?",IF(AND(I92="NA",I93="NA",I94="NA",I95="NA",I96="NA"),"NA",SUM(I92,I93,I94,I95,I96)/((I92&lt;&gt;"NA")*$H$92+(I93&lt;&gt;"NA")*$H$93+(I94&lt;&gt;"NA")*$H$94+(I95&lt;&gt;"NA")*$H$95+(I96&lt;&gt;"NA")*$H$96)*$H91)))</f>
        <v>?</v>
      </c>
      <c r="J91" s="86" t="n">
        <f aca="false">IF(OR(J92="ER",J93="ER",J94="ER",J95="ER",J96="ER"),"ER",IF(OR(J92="?",J93="?",J94="?",J95="?",J96="?"),"?",IF(AND(J92="NA",J93="NA",J94="NA",J95="NA",J96="NA"),"NA",SUM(J92,J93,J94,J95,J96)/((J92&lt;&gt;"NA")*$H$92+(J93&lt;&gt;"NA")*$H$93+(J94&lt;&gt;"NA")*$H$94+(J95&lt;&gt;"NA")*$H$95+(J96&lt;&gt;"NA")*$H$96)*$H91)))</f>
        <v>0</v>
      </c>
      <c r="K91" s="86" t="str">
        <f aca="false">IF(OR(K92="ER",K93="ER",K94="ER",K95="ER",K96="ER"),"ER",IF(OR(K92="?",K93="?",K94="?",K95="?",K96="?"),"?",IF(AND(K92="NA",K93="NA",K94="NA",K95="NA",K96="NA"),"NA",SUM(K92,K93,K94,K95,K96)/((K92&lt;&gt;"NA")*$H$92+(K93&lt;&gt;"NA")*$H$93+(K94&lt;&gt;"NA")*$H$94+(K95&lt;&gt;"NA")*$H$95+(K96&lt;&gt;"NA")*$H$96)*$H91)))</f>
        <v>?</v>
      </c>
      <c r="L91" s="86" t="str">
        <f aca="false">IF(OR(L92="ER",L93="ER",L94="ER",L95="ER",L96="ER"),"ER",IF(OR(L92="?",L93="?",L94="?",L95="?",L96="?"),"?",IF(AND(L92="NA",L93="NA",L94="NA",L95="NA",L96="NA"),"NA",SUM(L92,L93,L94,L95,L96)/((L92&lt;&gt;"NA")*$H$92+(L93&lt;&gt;"NA")*$H$93+(L94&lt;&gt;"NA")*$H$94+(L95&lt;&gt;"NA")*$H$95+(L96&lt;&gt;"NA")*$H$96)*$H91)))</f>
        <v>?</v>
      </c>
      <c r="M91" s="86" t="str">
        <f aca="false">IF(OR(M92="ER",M93="ER",M94="ER",M95="ER",M96="ER"),"ER",IF(OR(M92="?",M93="?",M94="?",M95="?",M96="?"),"?",IF(AND(M92="NA",M93="NA",M94="NA",M95="NA",M96="NA"),"NA",SUM(M92,M93,M94,M95,M96)/((M92&lt;&gt;"NA")*$H$92+(M93&lt;&gt;"NA")*$H$93+(M94&lt;&gt;"NA")*$H$94+(M95&lt;&gt;"NA")*$H$95+(M96&lt;&gt;"NA")*$H$96)*$H91)))</f>
        <v>?</v>
      </c>
      <c r="N91" s="86" t="str">
        <f aca="false">IF(OR(N92="ER",N93="ER",N94="ER",N95="ER",N96="ER"),"ER",IF(OR(N92="?",N93="?",N94="?",N95="?",N96="?"),"?",IF(AND(N92="NA",N93="NA",N94="NA",N95="NA",N96="NA"),"NA",SUM(N92,N93,N94,N95,N96)/((N92&lt;&gt;"NA")*$H$92+(N93&lt;&gt;"NA")*$H$93+(N94&lt;&gt;"NA")*$H$94+(N95&lt;&gt;"NA")*$H$95+(N96&lt;&gt;"NA")*$H$96)*$H91)))</f>
        <v>?</v>
      </c>
      <c r="O91" s="86" t="str">
        <f aca="false">IF(OR(O92="ER",O93="ER",O94="ER",O95="ER",O96="ER"),"ER",IF(OR(O92="?",O93="?",O94="?",O95="?",O96="?"),"?",IF(AND(O92="NA",O93="NA",O94="NA",O95="NA",O96="NA"),"NA",SUM(O92,O93,O94,O95,O96)/((O92&lt;&gt;"NA")*$H$92+(O93&lt;&gt;"NA")*$H$93+(O94&lt;&gt;"NA")*$H$94+(O95&lt;&gt;"NA")*$H$95+(O96&lt;&gt;"NA")*$H$96)*$H91)))</f>
        <v>?</v>
      </c>
      <c r="P91" s="86" t="str">
        <f aca="false">IF(OR(P92="ER",P93="ER",P94="ER",P95="ER",P96="ER"),"ER",IF(OR(P92="?",P93="?",P94="?",P95="?",P96="?"),"?",IF(AND(P92="NA",P93="NA",P94="NA",P95="NA",P96="NA"),"NA",SUM(P92,P93,P94,P95,P96)/((P92&lt;&gt;"NA")*$H$92+(P93&lt;&gt;"NA")*$H$93+(P94&lt;&gt;"NA")*$H$94+(P95&lt;&gt;"NA")*$H$95+(P96&lt;&gt;"NA")*$H$96)*$H91)))</f>
        <v>?</v>
      </c>
      <c r="Q91" s="86" t="str">
        <f aca="false">IF(OR(Q92="ER",Q93="ER",Q94="ER",Q95="ER",Q96="ER"),"ER",IF(OR(Q92="?",Q93="?",Q94="?",Q95="?",Q96="?"),"?",IF(AND(Q92="NA",Q93="NA",Q94="NA",Q95="NA",Q96="NA"),"NA",SUM(Q92,Q93,Q94,Q95,Q96)/((Q92&lt;&gt;"NA")*$H$92+(Q93&lt;&gt;"NA")*$H$93+(Q94&lt;&gt;"NA")*$H$94+(Q95&lt;&gt;"NA")*$H$95+(Q96&lt;&gt;"NA")*$H$96)*$H91)))</f>
        <v>?</v>
      </c>
      <c r="R91" s="86" t="str">
        <f aca="false">IF(OR(R92="ER",R93="ER",R94="ER",R95="ER",R96="ER"),"ER",IF(OR(R92="?",R93="?",R94="?",R95="?",R96="?"),"?",IF(AND(R92="NA",R93="NA",R94="NA",R95="NA",R96="NA"),"NA",SUM(R92,R93,R94,R95,R96)/((R92&lt;&gt;"NA")*$H$92+(R93&lt;&gt;"NA")*$H$93+(R94&lt;&gt;"NA")*$H$94+(R95&lt;&gt;"NA")*$H$95+(R96&lt;&gt;"NA")*$H$96)*$H91)))</f>
        <v>?</v>
      </c>
      <c r="S91" s="86" t="str">
        <f aca="false">IF(OR(S92="ER",S93="ER",S94="ER",S95="ER",S96="ER"),"ER",IF(OR(S92="?",S93="?",S94="?",S95="?",S96="?"),"?",IF(AND(S92="NA",S93="NA",S94="NA",S95="NA",S96="NA"),"NA",SUM(S92,S93,S94,S95,S96)/((S92&lt;&gt;"NA")*$H$92+(S93&lt;&gt;"NA")*$H$93+(S94&lt;&gt;"NA")*$H$94+(S95&lt;&gt;"NA")*$H$95+(S96&lt;&gt;"NA")*$H$96)*$H91)))</f>
        <v>?</v>
      </c>
      <c r="T91" s="86" t="str">
        <f aca="false">IF(OR(T92="ER",T93="ER",T94="ER",T95="ER",T96="ER"),"ER",IF(OR(T92="?",T93="?",T94="?",T95="?",T96="?"),"?",IF(AND(T92="NA",T93="NA",T94="NA",T95="NA",T96="NA"),"NA",SUM(T92,T93,T94,T95,T96)/((T92&lt;&gt;"NA")*$H$92+(T93&lt;&gt;"NA")*$H$93+(T94&lt;&gt;"NA")*$H$94+(T95&lt;&gt;"NA")*$H$95+(T96&lt;&gt;"NA")*$H$96)*$H91)))</f>
        <v>?</v>
      </c>
      <c r="U91" s="86" t="str">
        <f aca="false">IF(OR(U92="ER",U93="ER",U94="ER",U95="ER",U96="ER"),"ER",IF(OR(U92="?",U93="?",U94="?",U95="?",U96="?"),"?",IF(AND(U92="NA",U93="NA",U94="NA",U95="NA",U96="NA"),"NA",SUM(U92,U93,U94,U95,U96)/((U92&lt;&gt;"NA")*$H$92+(U93&lt;&gt;"NA")*$H$93+(U94&lt;&gt;"NA")*$H$94+(U95&lt;&gt;"NA")*$H$95+(U96&lt;&gt;"NA")*$H$96)*$H91)))</f>
        <v>?</v>
      </c>
      <c r="V91" s="86" t="str">
        <f aca="false">IF(OR(V92="ER",V93="ER",V94="ER",V95="ER",V96="ER"),"ER",IF(OR(V92="?",V93="?",V94="?",V95="?",V96="?"),"?",IF(AND(V92="NA",V93="NA",V94="NA",V95="NA",V96="NA"),"NA",SUM(V92,V93,V94,V95,V96)/((V92&lt;&gt;"NA")*$H$92+(V93&lt;&gt;"NA")*$H$93+(V94&lt;&gt;"NA")*$H$94+(V95&lt;&gt;"NA")*$H$95+(V96&lt;&gt;"NA")*$H$96)*$H91)))</f>
        <v>?</v>
      </c>
      <c r="W91" s="86" t="str">
        <f aca="false">IF(OR(W92="ER",W93="ER",W94="ER",W95="ER",W96="ER"),"ER",IF(OR(W92="?",W93="?",W94="?",W95="?",W96="?"),"?",IF(AND(W92="NA",W93="NA",W94="NA",W95="NA",W96="NA"),"NA",SUM(W92,W93,W94,W95,W96)/((W92&lt;&gt;"NA")*$H$92+(W93&lt;&gt;"NA")*$H$93+(W94&lt;&gt;"NA")*$H$94+(W95&lt;&gt;"NA")*$H$95+(W96&lt;&gt;"NA")*$H$96)*$H91)))</f>
        <v>?</v>
      </c>
      <c r="X91" s="86" t="str">
        <f aca="false">IF(OR(X92="ER",X93="ER",X94="ER",X95="ER",X96="ER"),"ER",IF(OR(X92="?",X93="?",X94="?",X95="?",X96="?"),"?",IF(AND(X92="NA",X93="NA",X94="NA",X95="NA",X96="NA"),"NA",SUM(X92,X93,X94,X95,X96)/((X92&lt;&gt;"NA")*$H$92+(X93&lt;&gt;"NA")*$H$93+(X94&lt;&gt;"NA")*$H$94+(X95&lt;&gt;"NA")*$H$95+(X96&lt;&gt;"NA")*$H$96)*$H91)))</f>
        <v>?</v>
      </c>
      <c r="Y91" s="86" t="str">
        <f aca="false">IF(OR(Y92="ER",Y93="ER",Y94="ER",Y95="ER",Y96="ER"),"ER",IF(OR(Y92="?",Y93="?",Y94="?",Y95="?",Y96="?"),"?",IF(AND(Y92="NA",Y93="NA",Y94="NA",Y95="NA",Y96="NA"),"NA",SUM(Y92,Y93,Y94,Y95,Y96)/((Y92&lt;&gt;"NA")*$H$92+(Y93&lt;&gt;"NA")*$H$93+(Y94&lt;&gt;"NA")*$H$94+(Y95&lt;&gt;"NA")*$H$95+(Y96&lt;&gt;"NA")*$H$96)*$H91)))</f>
        <v>?</v>
      </c>
      <c r="Z91" s="86" t="str">
        <f aca="false">IF(OR(Z92="ER",Z93="ER",Z94="ER",Z95="ER",Z96="ER"),"ER",IF(OR(Z92="?",Z93="?",Z94="?",Z95="?",Z96="?"),"?",IF(AND(Z92="NA",Z93="NA",Z94="NA",Z95="NA",Z96="NA"),"NA",SUM(Z92,Z93,Z94,Z95,Z96)/((Z92&lt;&gt;"NA")*$H$92+(Z93&lt;&gt;"NA")*$H$93+(Z94&lt;&gt;"NA")*$H$94+(Z95&lt;&gt;"NA")*$H$95+(Z96&lt;&gt;"NA")*$H$96)*$H91)))</f>
        <v>?</v>
      </c>
      <c r="AA91" s="86" t="str">
        <f aca="false">IF(OR(AA92="ER",AA93="ER",AA94="ER",AA95="ER",AA96="ER"),"ER",IF(OR(AA92="?",AA93="?",AA94="?",AA95="?",AA96="?"),"?",IF(AND(AA92="NA",AA93="NA",AA94="NA",AA95="NA",AA96="NA"),"NA",SUM(AA92,AA93,AA94,AA95,AA96)/((AA92&lt;&gt;"NA")*$H$92+(AA93&lt;&gt;"NA")*$H$93+(AA94&lt;&gt;"NA")*$H$94+(AA95&lt;&gt;"NA")*$H$95+(AA96&lt;&gt;"NA")*$H$96)*$H91)))</f>
        <v>?</v>
      </c>
      <c r="AB91" s="86" t="str">
        <f aca="false">IF(OR(AB92="ER",AB93="ER",AB94="ER",AB95="ER",AB96="ER"),"ER",IF(OR(AB92="?",AB93="?",AB94="?",AB95="?",AB96="?"),"?",IF(AND(AB92="NA",AB93="NA",AB94="NA",AB95="NA",AB96="NA"),"NA",SUM(AB92,AB93,AB94,AB95,AB96)/((AB92&lt;&gt;"NA")*$H$92+(AB93&lt;&gt;"NA")*$H$93+(AB94&lt;&gt;"NA")*$H$94+(AB95&lt;&gt;"NA")*$H$95+(AB96&lt;&gt;"NA")*$H$96)*$H91)))</f>
        <v>?</v>
      </c>
      <c r="AC91" s="86" t="str">
        <f aca="false">IF(OR(AC92="ER",AC93="ER",AC94="ER",AC95="ER",AC96="ER"),"ER",IF(OR(AC92="?",AC93="?",AC94="?",AC95="?",AC96="?"),"?",IF(AND(AC92="NA",AC93="NA",AC94="NA",AC95="NA",AC96="NA"),"NA",SUM(AC92,AC93,AC94,AC95,AC96)/((AC92&lt;&gt;"NA")*$H$92+(AC93&lt;&gt;"NA")*$H$93+(AC94&lt;&gt;"NA")*$H$94+(AC95&lt;&gt;"NA")*$H$95+(AC96&lt;&gt;"NA")*$H$96)*$H91)))</f>
        <v>?</v>
      </c>
      <c r="AD91" s="86" t="str">
        <f aca="false">IF(OR(AD92="ER",AD93="ER",AD94="ER",AD95="ER",AD96="ER"),"ER",IF(OR(AD92="?",AD93="?",AD94="?",AD95="?",AD96="?"),"?",IF(AND(AD92="NA",AD93="NA",AD94="NA",AD95="NA",AD96="NA"),"NA",SUM(AD92,AD93,AD94,AD95,AD96)/((AD92&lt;&gt;"NA")*$H$92+(AD93&lt;&gt;"NA")*$H$93+(AD94&lt;&gt;"NA")*$H$94+(AD95&lt;&gt;"NA")*$H$95+(AD96&lt;&gt;"NA")*$H$96)*$H91)))</f>
        <v>?</v>
      </c>
      <c r="AE91" s="86" t="str">
        <f aca="false">IF(OR(AE92="ER",AE93="ER",AE94="ER",AE95="ER",AE96="ER"),"ER",IF(OR(AE92="?",AE93="?",AE94="?",AE95="?",AE96="?"),"?",IF(AND(AE92="NA",AE93="NA",AE94="NA",AE95="NA",AE96="NA"),"NA",SUM(AE92,AE93,AE94,AE95,AE96)/((AE92&lt;&gt;"NA")*$H$92+(AE93&lt;&gt;"NA")*$H$93+(AE94&lt;&gt;"NA")*$H$94+(AE95&lt;&gt;"NA")*$H$95+(AE96&lt;&gt;"NA")*$H$96)*$H91)))</f>
        <v>?</v>
      </c>
      <c r="AF91" s="86" t="str">
        <f aca="false">IF(OR(AF92="ER",AF93="ER",AF94="ER",AF95="ER",AF96="ER"),"ER",IF(OR(AF92="?",AF93="?",AF94="?",AF95="?",AF96="?"),"?",IF(AND(AF92="NA",AF93="NA",AF94="NA",AF95="NA",AF96="NA"),"NA",SUM(AF92,AF93,AF94,AF95,AF96)/((AF92&lt;&gt;"NA")*$H$92+(AF93&lt;&gt;"NA")*$H$93+(AF94&lt;&gt;"NA")*$H$94+(AF95&lt;&gt;"NA")*$H$95+(AF96&lt;&gt;"NA")*$H$96)*$H91)))</f>
        <v>?</v>
      </c>
      <c r="AG91" s="86" t="str">
        <f aca="false">IF(OR(AG92="ER",AG93="ER",AG94="ER",AG95="ER",AG96="ER"),"ER",IF(OR(AG92="?",AG93="?",AG94="?",AG95="?",AG96="?"),"?",IF(AND(AG92="NA",AG93="NA",AG94="NA",AG95="NA",AG96="NA"),"NA",SUM(AG92,AG93,AG94,AG95,AG96)/((AG92&lt;&gt;"NA")*$H$92+(AG93&lt;&gt;"NA")*$H$93+(AG94&lt;&gt;"NA")*$H$94+(AG95&lt;&gt;"NA")*$H$95+(AG96&lt;&gt;"NA")*$H$96)*$H91)))</f>
        <v>?</v>
      </c>
      <c r="AH91" s="86" t="str">
        <f aca="false">IF(OR(AH92="ER",AH93="ER",AH94="ER",AH95="ER",AH96="ER"),"ER",IF(OR(AH92="?",AH93="?",AH94="?",AH95="?",AH96="?"),"?",IF(AND(AH92="NA",AH93="NA",AH94="NA",AH95="NA",AH96="NA"),"NA",SUM(AH92,AH93,AH94,AH95,AH96)/((AH92&lt;&gt;"NA")*$H$92+(AH93&lt;&gt;"NA")*$H$93+(AH94&lt;&gt;"NA")*$H$94+(AH95&lt;&gt;"NA")*$H$95+(AH96&lt;&gt;"NA")*$H$96)*$H91)))</f>
        <v>?</v>
      </c>
      <c r="AI91" s="86" t="str">
        <f aca="false">IF(OR(AI92="ER",AI93="ER",AI94="ER",AI95="ER",AI96="ER"),"ER",IF(OR(AI92="?",AI93="?",AI94="?",AI95="?",AI96="?"),"?",IF(AND(AI92="NA",AI93="NA",AI94="NA",AI95="NA",AI96="NA"),"NA",SUM(AI92,AI93,AI94,AI95,AI96)/((AI92&lt;&gt;"NA")*$H$92+(AI93&lt;&gt;"NA")*$H$93+(AI94&lt;&gt;"NA")*$H$94+(AI95&lt;&gt;"NA")*$H$95+(AI96&lt;&gt;"NA")*$H$96)*$H91)))</f>
        <v>?</v>
      </c>
      <c r="AJ91" s="86" t="str">
        <f aca="false">IF(OR(AJ92="ER",AJ93="ER",AJ94="ER",AJ95="ER",AJ96="ER"),"ER",IF(OR(AJ92="?",AJ93="?",AJ94="?",AJ95="?",AJ96="?"),"?",IF(AND(AJ92="NA",AJ93="NA",AJ94="NA",AJ95="NA",AJ96="NA"),"NA",SUM(AJ92,AJ93,AJ94,AJ95,AJ96)/((AJ92&lt;&gt;"NA")*$H$92+(AJ93&lt;&gt;"NA")*$H$93+(AJ94&lt;&gt;"NA")*$H$94+(AJ95&lt;&gt;"NA")*$H$95+(AJ96&lt;&gt;"NA")*$H$96)*$H91)))</f>
        <v>?</v>
      </c>
      <c r="AK91" s="86" t="str">
        <f aca="false">IF(OR(AK92="ER",AK93="ER",AK94="ER",AK95="ER",AK96="ER"),"ER",IF(OR(AK92="?",AK93="?",AK94="?",AK95="?",AK96="?"),"?",IF(AND(AK92="NA",AK93="NA",AK94="NA",AK95="NA",AK96="NA"),"NA",SUM(AK92,AK93,AK94,AK95,AK96)/((AK92&lt;&gt;"NA")*$H$92+(AK93&lt;&gt;"NA")*$H$93+(AK94&lt;&gt;"NA")*$H$94+(AK95&lt;&gt;"NA")*$H$95+(AK96&lt;&gt;"NA")*$H$96)*$H91)))</f>
        <v>?</v>
      </c>
    </row>
    <row r="92" customFormat="false" ht="14.25" hidden="false" customHeight="false" outlineLevel="0" collapsed="false">
      <c r="A92" s="82" t="s">
        <v>276</v>
      </c>
      <c r="B92" s="83" t="str">
        <f aca="false">IF(ISBLANK($A92),"NO_CODE",VLOOKUP($A92,'UPD Questions_290926 '!$E$1:$N$300,MATCH(B$1,'UPD Questions_290926 '!$E$1:$N$1,0),0)&amp;"")</f>
        <v>Implementation</v>
      </c>
      <c r="C92" s="83" t="str">
        <f aca="false">IF(ISBLANK($A92),"NO_CODE",VLOOKUP($A92,'UPD Questions_290926 '!$E$1:$N$300,MATCH(C$1,'UPD Questions_290926 '!$E$1:$N$1,0),0)&amp;"")</f>
        <v>Development Control Regulations and land-management instruments</v>
      </c>
      <c r="D92" s="83" t="str">
        <f aca="false">IF(ISBLANK($A92),"NO_CODE",VLOOKUP($A92,'UPD Questions_290926 '!$E$1:$N$300,MATCH(D$1,'UPD Questions_290926 '!$E$1:$N$1,0),0)&amp;"")</f>
        <v>DCR revision and public consultation</v>
      </c>
      <c r="E92" s="83" t="str">
        <f aca="false">IF(ISBLANK($A92),"NO_CODE",VLOOKUP($A92,'UPD Questions_290926 '!$E$1:$N$300,MATCH(E$1,'UPD Questions_290926 '!$E$1:$N$1,0),0)&amp;"")</f>
        <v>SQ</v>
      </c>
      <c r="F92" s="83" t="str">
        <f aca="false">IF(ISBLANK($A92),"NO_CODE",VLOOKUP($A92,'UPD Questions_290926 '!$E$1:$N$300,MATCH(F$1,'UPD Questions_290926 '!$E$1:$N$1,0),0)&amp;"")</f>
        <v>Do the DCRs provide development controls, standards or incentives that enable different types and scales of economic activity?</v>
      </c>
      <c r="G92" s="83" t="str">
        <f aca="false">IF(ISBLANK($A92),"NO_CODE",VLOOKUP($A92,'UPD Questions_290926 '!$E$1:$N$300,MATCH(G$1,'UPD Questions_290926 '!$E$1:$N$1,0),0)&amp;"")</f>
        <v>Law or Policy</v>
      </c>
      <c r="H92" s="85" t="n">
        <f aca="false">IF(ISBLANK($A92),"NO_CODE",VLOOKUP($A92,'UPD Questions_290926 '!$E$1:$N$300,MATCH(H$1,'UPD Questions_290926 '!$E$1:$N$1,0),0))</f>
        <v>2</v>
      </c>
      <c r="I92" s="86" t="str">
        <f aca="true">IF($H92=0,"NA",IF($A92=INDIRECT("'"&amp;$A92&amp;"'!$B$1"),IF(VLOOKUP(I$1,INDIRECT("'"&amp;$A92&amp;"'!$A$12:$Z$41"),MATCH("Points (Auto-generate)",INDIRECT("'"&amp;$A92&amp;"'!$A$12:$Z$12"),0),0)="","?",VLOOKUP(I$1,INDIRECT("'"&amp;$A92&amp;"'!$A$12:$Z$41"),MATCH("Points (Auto-generate)",INDIRECT("'"&amp;$A92&amp;"'!$A$12:$Z$12"),0),0)),"ER"))</f>
        <v>?</v>
      </c>
      <c r="J92" s="86" t="n">
        <f aca="true">IF($H92=0,"NA",IF($A92=INDIRECT("'"&amp;$A92&amp;"'!$B$1"),IF(VLOOKUP(J$1,INDIRECT("'"&amp;$A92&amp;"'!$A$12:$Z$41"),MATCH("Points (Auto-generate)",INDIRECT("'"&amp;$A92&amp;"'!$A$12:$Z$12"),0),0)="","?",VLOOKUP(J$1,INDIRECT("'"&amp;$A92&amp;"'!$A$12:$Z$41"),MATCH("Points (Auto-generate)",INDIRECT("'"&amp;$A92&amp;"'!$A$12:$Z$12"),0),0)),"ER"))</f>
        <v>0</v>
      </c>
      <c r="K92" s="86" t="str">
        <f aca="true">IF($H92=0,"NA",IF($A92=INDIRECT("'"&amp;$A92&amp;"'!$B$1"),IF(VLOOKUP(K$1,INDIRECT("'"&amp;$A92&amp;"'!$A$12:$Z$41"),MATCH("Points (Auto-generate)",INDIRECT("'"&amp;$A92&amp;"'!$A$12:$Z$12"),0),0)="","?",VLOOKUP(K$1,INDIRECT("'"&amp;$A92&amp;"'!$A$12:$Z$41"),MATCH("Points (Auto-generate)",INDIRECT("'"&amp;$A92&amp;"'!$A$12:$Z$12"),0),0)),"ER"))</f>
        <v>?</v>
      </c>
      <c r="L92" s="86" t="str">
        <f aca="true">IF($H92=0,"NA",IF($A92=INDIRECT("'"&amp;$A92&amp;"'!$B$1"),IF(VLOOKUP(L$1,INDIRECT("'"&amp;$A92&amp;"'!$A$12:$Z$41"),MATCH("Points (Auto-generate)",INDIRECT("'"&amp;$A92&amp;"'!$A$12:$Z$12"),0),0)="","?",VLOOKUP(L$1,INDIRECT("'"&amp;$A92&amp;"'!$A$12:$Z$41"),MATCH("Points (Auto-generate)",INDIRECT("'"&amp;$A92&amp;"'!$A$12:$Z$12"),0),0)),"ER"))</f>
        <v>?</v>
      </c>
      <c r="M92" s="86" t="str">
        <f aca="true">IF($H92=0,"NA",IF($A92=INDIRECT("'"&amp;$A92&amp;"'!$B$1"),IF(VLOOKUP(M$1,INDIRECT("'"&amp;$A92&amp;"'!$A$12:$Z$41"),MATCH("Points (Auto-generate)",INDIRECT("'"&amp;$A92&amp;"'!$A$12:$Z$12"),0),0)="","?",VLOOKUP(M$1,INDIRECT("'"&amp;$A92&amp;"'!$A$12:$Z$41"),MATCH("Points (Auto-generate)",INDIRECT("'"&amp;$A92&amp;"'!$A$12:$Z$12"),0),0)),"ER"))</f>
        <v>?</v>
      </c>
      <c r="N92" s="86" t="str">
        <f aca="true">IF($H92=0,"NA",IF($A92=INDIRECT("'"&amp;$A92&amp;"'!$B$1"),IF(VLOOKUP(N$1,INDIRECT("'"&amp;$A92&amp;"'!$A$12:$Z$41"),MATCH("Points (Auto-generate)",INDIRECT("'"&amp;$A92&amp;"'!$A$12:$Z$12"),0),0)="","?",VLOOKUP(N$1,INDIRECT("'"&amp;$A92&amp;"'!$A$12:$Z$41"),MATCH("Points (Auto-generate)",INDIRECT("'"&amp;$A92&amp;"'!$A$12:$Z$12"),0),0)),"ER"))</f>
        <v>?</v>
      </c>
      <c r="O92" s="86" t="str">
        <f aca="true">IF($H92=0,"NA",IF($A92=INDIRECT("'"&amp;$A92&amp;"'!$B$1"),IF(VLOOKUP(O$1,INDIRECT("'"&amp;$A92&amp;"'!$A$12:$Z$41"),MATCH("Points (Auto-generate)",INDIRECT("'"&amp;$A92&amp;"'!$A$12:$Z$12"),0),0)="","?",VLOOKUP(O$1,INDIRECT("'"&amp;$A92&amp;"'!$A$12:$Z$41"),MATCH("Points (Auto-generate)",INDIRECT("'"&amp;$A92&amp;"'!$A$12:$Z$12"),0),0)),"ER"))</f>
        <v>?</v>
      </c>
      <c r="P92" s="86" t="str">
        <f aca="true">IF($H92=0,"NA",IF($A92=INDIRECT("'"&amp;$A92&amp;"'!$B$1"),IF(VLOOKUP(P$1,INDIRECT("'"&amp;$A92&amp;"'!$A$12:$Z$41"),MATCH("Points (Auto-generate)",INDIRECT("'"&amp;$A92&amp;"'!$A$12:$Z$12"),0),0)="","?",VLOOKUP(P$1,INDIRECT("'"&amp;$A92&amp;"'!$A$12:$Z$41"),MATCH("Points (Auto-generate)",INDIRECT("'"&amp;$A92&amp;"'!$A$12:$Z$12"),0),0)),"ER"))</f>
        <v>?</v>
      </c>
      <c r="Q92" s="86" t="str">
        <f aca="true">IF($H92=0,"NA",IF($A92=INDIRECT("'"&amp;$A92&amp;"'!$B$1"),IF(VLOOKUP(Q$1,INDIRECT("'"&amp;$A92&amp;"'!$A$12:$Z$41"),MATCH("Points (Auto-generate)",INDIRECT("'"&amp;$A92&amp;"'!$A$12:$Z$12"),0),0)="","?",VLOOKUP(Q$1,INDIRECT("'"&amp;$A92&amp;"'!$A$12:$Z$41"),MATCH("Points (Auto-generate)",INDIRECT("'"&amp;$A92&amp;"'!$A$12:$Z$12"),0),0)),"ER"))</f>
        <v>?</v>
      </c>
      <c r="R92" s="86" t="str">
        <f aca="true">IF($H92=0,"NA",IF($A92=INDIRECT("'"&amp;$A92&amp;"'!$B$1"),IF(VLOOKUP(R$1,INDIRECT("'"&amp;$A92&amp;"'!$A$12:$Z$41"),MATCH("Points (Auto-generate)",INDIRECT("'"&amp;$A92&amp;"'!$A$12:$Z$12"),0),0)="","?",VLOOKUP(R$1,INDIRECT("'"&amp;$A92&amp;"'!$A$12:$Z$41"),MATCH("Points (Auto-generate)",INDIRECT("'"&amp;$A92&amp;"'!$A$12:$Z$12"),0),0)),"ER"))</f>
        <v>?</v>
      </c>
      <c r="S92" s="86" t="str">
        <f aca="true">IF($H92=0,"NA",IF($A92=INDIRECT("'"&amp;$A92&amp;"'!$B$1"),IF(VLOOKUP(S$1,INDIRECT("'"&amp;$A92&amp;"'!$A$12:$Z$41"),MATCH("Points (Auto-generate)",INDIRECT("'"&amp;$A92&amp;"'!$A$12:$Z$12"),0),0)="","?",VLOOKUP(S$1,INDIRECT("'"&amp;$A92&amp;"'!$A$12:$Z$41"),MATCH("Points (Auto-generate)",INDIRECT("'"&amp;$A92&amp;"'!$A$12:$Z$12"),0),0)),"ER"))</f>
        <v>?</v>
      </c>
      <c r="T92" s="86" t="str">
        <f aca="true">IF($H92=0,"NA",IF($A92=INDIRECT("'"&amp;$A92&amp;"'!$B$1"),IF(VLOOKUP(T$1,INDIRECT("'"&amp;$A92&amp;"'!$A$12:$Z$41"),MATCH("Points (Auto-generate)",INDIRECT("'"&amp;$A92&amp;"'!$A$12:$Z$12"),0),0)="","?",VLOOKUP(T$1,INDIRECT("'"&amp;$A92&amp;"'!$A$12:$Z$41"),MATCH("Points (Auto-generate)",INDIRECT("'"&amp;$A92&amp;"'!$A$12:$Z$12"),0),0)),"ER"))</f>
        <v>?</v>
      </c>
      <c r="U92" s="86" t="str">
        <f aca="true">IF($H92=0,"NA",IF($A92=INDIRECT("'"&amp;$A92&amp;"'!$B$1"),IF(VLOOKUP(U$1,INDIRECT("'"&amp;$A92&amp;"'!$A$12:$Z$41"),MATCH("Points (Auto-generate)",INDIRECT("'"&amp;$A92&amp;"'!$A$12:$Z$12"),0),0)="","?",VLOOKUP(U$1,INDIRECT("'"&amp;$A92&amp;"'!$A$12:$Z$41"),MATCH("Points (Auto-generate)",INDIRECT("'"&amp;$A92&amp;"'!$A$12:$Z$12"),0),0)),"ER"))</f>
        <v>?</v>
      </c>
      <c r="V92" s="86" t="str">
        <f aca="true">IF($H92=0,"NA",IF($A92=INDIRECT("'"&amp;$A92&amp;"'!$B$1"),IF(VLOOKUP(V$1,INDIRECT("'"&amp;$A92&amp;"'!$A$12:$Z$41"),MATCH("Points (Auto-generate)",INDIRECT("'"&amp;$A92&amp;"'!$A$12:$Z$12"),0),0)="","?",VLOOKUP(V$1,INDIRECT("'"&amp;$A92&amp;"'!$A$12:$Z$41"),MATCH("Points (Auto-generate)",INDIRECT("'"&amp;$A92&amp;"'!$A$12:$Z$12"),0),0)),"ER"))</f>
        <v>?</v>
      </c>
      <c r="W92" s="86" t="str">
        <f aca="true">IF($H92=0,"NA",IF($A92=INDIRECT("'"&amp;$A92&amp;"'!$B$1"),IF(VLOOKUP(W$1,INDIRECT("'"&amp;$A92&amp;"'!$A$12:$Z$41"),MATCH("Points (Auto-generate)",INDIRECT("'"&amp;$A92&amp;"'!$A$12:$Z$12"),0),0)="","?",VLOOKUP(W$1,INDIRECT("'"&amp;$A92&amp;"'!$A$12:$Z$41"),MATCH("Points (Auto-generate)",INDIRECT("'"&amp;$A92&amp;"'!$A$12:$Z$12"),0),0)),"ER"))</f>
        <v>?</v>
      </c>
      <c r="X92" s="86" t="str">
        <f aca="true">IF($H92=0,"NA",IF($A92=INDIRECT("'"&amp;$A92&amp;"'!$B$1"),IF(VLOOKUP(X$1,INDIRECT("'"&amp;$A92&amp;"'!$A$12:$Z$41"),MATCH("Points (Auto-generate)",INDIRECT("'"&amp;$A92&amp;"'!$A$12:$Z$12"),0),0)="","?",VLOOKUP(X$1,INDIRECT("'"&amp;$A92&amp;"'!$A$12:$Z$41"),MATCH("Points (Auto-generate)",INDIRECT("'"&amp;$A92&amp;"'!$A$12:$Z$12"),0),0)),"ER"))</f>
        <v>?</v>
      </c>
      <c r="Y92" s="86" t="str">
        <f aca="true">IF($H92=0,"NA",IF($A92=INDIRECT("'"&amp;$A92&amp;"'!$B$1"),IF(VLOOKUP(Y$1,INDIRECT("'"&amp;$A92&amp;"'!$A$12:$Z$41"),MATCH("Points (Auto-generate)",INDIRECT("'"&amp;$A92&amp;"'!$A$12:$Z$12"),0),0)="","?",VLOOKUP(Y$1,INDIRECT("'"&amp;$A92&amp;"'!$A$12:$Z$41"),MATCH("Points (Auto-generate)",INDIRECT("'"&amp;$A92&amp;"'!$A$12:$Z$12"),0),0)),"ER"))</f>
        <v>?</v>
      </c>
      <c r="Z92" s="86" t="str">
        <f aca="true">IF($H92=0,"NA",IF($A92=INDIRECT("'"&amp;$A92&amp;"'!$B$1"),IF(VLOOKUP(Z$1,INDIRECT("'"&amp;$A92&amp;"'!$A$12:$Z$41"),MATCH("Points (Auto-generate)",INDIRECT("'"&amp;$A92&amp;"'!$A$12:$Z$12"),0),0)="","?",VLOOKUP(Z$1,INDIRECT("'"&amp;$A92&amp;"'!$A$12:$Z$41"),MATCH("Points (Auto-generate)",INDIRECT("'"&amp;$A92&amp;"'!$A$12:$Z$12"),0),0)),"ER"))</f>
        <v>?</v>
      </c>
      <c r="AA92" s="86" t="str">
        <f aca="true">IF($H92=0,"NA",IF($A92=INDIRECT("'"&amp;$A92&amp;"'!$B$1"),IF(VLOOKUP(AA$1,INDIRECT("'"&amp;$A92&amp;"'!$A$12:$Z$41"),MATCH("Points (Auto-generate)",INDIRECT("'"&amp;$A92&amp;"'!$A$12:$Z$12"),0),0)="","?",VLOOKUP(AA$1,INDIRECT("'"&amp;$A92&amp;"'!$A$12:$Z$41"),MATCH("Points (Auto-generate)",INDIRECT("'"&amp;$A92&amp;"'!$A$12:$Z$12"),0),0)),"ER"))</f>
        <v>?</v>
      </c>
      <c r="AB92" s="86" t="str">
        <f aca="true">IF($H92=0,"NA",IF($A92=INDIRECT("'"&amp;$A92&amp;"'!$B$1"),IF(VLOOKUP(AB$1,INDIRECT("'"&amp;$A92&amp;"'!$A$12:$Z$41"),MATCH("Points (Auto-generate)",INDIRECT("'"&amp;$A92&amp;"'!$A$12:$Z$12"),0),0)="","?",VLOOKUP(AB$1,INDIRECT("'"&amp;$A92&amp;"'!$A$12:$Z$41"),MATCH("Points (Auto-generate)",INDIRECT("'"&amp;$A92&amp;"'!$A$12:$Z$12"),0),0)),"ER"))</f>
        <v>?</v>
      </c>
      <c r="AC92" s="86" t="str">
        <f aca="true">IF($H92=0,"NA",IF($A92=INDIRECT("'"&amp;$A92&amp;"'!$B$1"),IF(VLOOKUP(AC$1,INDIRECT("'"&amp;$A92&amp;"'!$A$12:$Z$41"),MATCH("Points (Auto-generate)",INDIRECT("'"&amp;$A92&amp;"'!$A$12:$Z$12"),0),0)="","?",VLOOKUP(AC$1,INDIRECT("'"&amp;$A92&amp;"'!$A$12:$Z$41"),MATCH("Points (Auto-generate)",INDIRECT("'"&amp;$A92&amp;"'!$A$12:$Z$12"),0),0)),"ER"))</f>
        <v>?</v>
      </c>
      <c r="AD92" s="86" t="str">
        <f aca="true">IF($H92=0,"NA",IF($A92=INDIRECT("'"&amp;$A92&amp;"'!$B$1"),IF(VLOOKUP(AD$1,INDIRECT("'"&amp;$A92&amp;"'!$A$12:$Z$41"),MATCH("Points (Auto-generate)",INDIRECT("'"&amp;$A92&amp;"'!$A$12:$Z$12"),0),0)="","?",VLOOKUP(AD$1,INDIRECT("'"&amp;$A92&amp;"'!$A$12:$Z$41"),MATCH("Points (Auto-generate)",INDIRECT("'"&amp;$A92&amp;"'!$A$12:$Z$12"),0),0)),"ER"))</f>
        <v>?</v>
      </c>
      <c r="AE92" s="86" t="str">
        <f aca="true">IF($H92=0,"NA",IF($A92=INDIRECT("'"&amp;$A92&amp;"'!$B$1"),IF(VLOOKUP(AE$1,INDIRECT("'"&amp;$A92&amp;"'!$A$12:$Z$41"),MATCH("Points (Auto-generate)",INDIRECT("'"&amp;$A92&amp;"'!$A$12:$Z$12"),0),0)="","?",VLOOKUP(AE$1,INDIRECT("'"&amp;$A92&amp;"'!$A$12:$Z$41"),MATCH("Points (Auto-generate)",INDIRECT("'"&amp;$A92&amp;"'!$A$12:$Z$12"),0),0)),"ER"))</f>
        <v>?</v>
      </c>
      <c r="AF92" s="86" t="str">
        <f aca="true">IF($H92=0,"NA",IF($A92=INDIRECT("'"&amp;$A92&amp;"'!$B$1"),IF(VLOOKUP(AF$1,INDIRECT("'"&amp;$A92&amp;"'!$A$12:$Z$41"),MATCH("Points (Auto-generate)",INDIRECT("'"&amp;$A92&amp;"'!$A$12:$Z$12"),0),0)="","?",VLOOKUP(AF$1,INDIRECT("'"&amp;$A92&amp;"'!$A$12:$Z$41"),MATCH("Points (Auto-generate)",INDIRECT("'"&amp;$A92&amp;"'!$A$12:$Z$12"),0),0)),"ER"))</f>
        <v>?</v>
      </c>
      <c r="AG92" s="86" t="str">
        <f aca="true">IF($H92=0,"NA",IF($A92=INDIRECT("'"&amp;$A92&amp;"'!$B$1"),IF(VLOOKUP(AG$1,INDIRECT("'"&amp;$A92&amp;"'!$A$12:$Z$41"),MATCH("Points (Auto-generate)",INDIRECT("'"&amp;$A92&amp;"'!$A$12:$Z$12"),0),0)="","?",VLOOKUP(AG$1,INDIRECT("'"&amp;$A92&amp;"'!$A$12:$Z$41"),MATCH("Points (Auto-generate)",INDIRECT("'"&amp;$A92&amp;"'!$A$12:$Z$12"),0),0)),"ER"))</f>
        <v>?</v>
      </c>
      <c r="AH92" s="86" t="str">
        <f aca="true">IF($H92=0,"NA",IF($A92=INDIRECT("'"&amp;$A92&amp;"'!$B$1"),IF(VLOOKUP(AH$1,INDIRECT("'"&amp;$A92&amp;"'!$A$12:$Z$41"),MATCH("Points (Auto-generate)",INDIRECT("'"&amp;$A92&amp;"'!$A$12:$Z$12"),0),0)="","?",VLOOKUP(AH$1,INDIRECT("'"&amp;$A92&amp;"'!$A$12:$Z$41"),MATCH("Points (Auto-generate)",INDIRECT("'"&amp;$A92&amp;"'!$A$12:$Z$12"),0),0)),"ER"))</f>
        <v>?</v>
      </c>
      <c r="AI92" s="86" t="str">
        <f aca="true">IF($H92=0,"NA",IF($A92=INDIRECT("'"&amp;$A92&amp;"'!$B$1"),IF(VLOOKUP(AI$1,INDIRECT("'"&amp;$A92&amp;"'!$A$12:$Z$41"),MATCH("Points (Auto-generate)",INDIRECT("'"&amp;$A92&amp;"'!$A$12:$Z$12"),0),0)="","?",VLOOKUP(AI$1,INDIRECT("'"&amp;$A92&amp;"'!$A$12:$Z$41"),MATCH("Points (Auto-generate)",INDIRECT("'"&amp;$A92&amp;"'!$A$12:$Z$12"),0),0)),"ER"))</f>
        <v>?</v>
      </c>
      <c r="AJ92" s="86" t="str">
        <f aca="true">IF($H92=0,"NA",IF($A92=INDIRECT("'"&amp;$A92&amp;"'!$B$1"),IF(VLOOKUP(AJ$1,INDIRECT("'"&amp;$A92&amp;"'!$A$12:$Z$41"),MATCH("Points (Auto-generate)",INDIRECT("'"&amp;$A92&amp;"'!$A$12:$Z$12"),0),0)="","?",VLOOKUP(AJ$1,INDIRECT("'"&amp;$A92&amp;"'!$A$12:$Z$41"),MATCH("Points (Auto-generate)",INDIRECT("'"&amp;$A92&amp;"'!$A$12:$Z$12"),0),0)),"ER"))</f>
        <v>?</v>
      </c>
      <c r="AK92" s="86" t="str">
        <f aca="true">IF($H92=0,"NA",IF($A92=INDIRECT("'"&amp;$A92&amp;"'!$B$1"),IF(VLOOKUP(AK$1,INDIRECT("'"&amp;$A92&amp;"'!$A$12:$Z$41"),MATCH("Points (Auto-generate)",INDIRECT("'"&amp;$A92&amp;"'!$A$12:$Z$12"),0),0)="","?",VLOOKUP(AK$1,INDIRECT("'"&amp;$A92&amp;"'!$A$12:$Z$41"),MATCH("Points (Auto-generate)",INDIRECT("'"&amp;$A92&amp;"'!$A$12:$Z$12"),0),0)),"ER"))</f>
        <v>?</v>
      </c>
    </row>
    <row r="93" customFormat="false" ht="14.25" hidden="false" customHeight="false" outlineLevel="0" collapsed="false">
      <c r="A93" s="82" t="s">
        <v>280</v>
      </c>
      <c r="B93" s="83" t="str">
        <f aca="false">IF(ISBLANK($A93),"NO_CODE",VLOOKUP($A93,'UPD Questions_290926 '!$E$1:$N$300,MATCH(B$1,'UPD Questions_290926 '!$E$1:$N$1,0),0)&amp;"")</f>
        <v>Implementation</v>
      </c>
      <c r="C93" s="83" t="str">
        <f aca="false">IF(ISBLANK($A93),"NO_CODE",VLOOKUP($A93,'UPD Questions_290926 '!$E$1:$N$300,MATCH(C$1,'UPD Questions_290926 '!$E$1:$N$1,0),0)&amp;"")</f>
        <v>Development Control Regulations and land-management instruments</v>
      </c>
      <c r="D93" s="83" t="str">
        <f aca="false">IF(ISBLANK($A93),"NO_CODE",VLOOKUP($A93,'UPD Questions_290926 '!$E$1:$N$300,MATCH(D$1,'UPD Questions_290926 '!$E$1:$N$1,0),0)&amp;"")</f>
        <v>DCR revision and public consultation</v>
      </c>
      <c r="E93" s="83" t="str">
        <f aca="false">IF(ISBLANK($A93),"NO_CODE",VLOOKUP($A93,'UPD Questions_290926 '!$E$1:$N$300,MATCH(E$1,'UPD Questions_290926 '!$E$1:$N$1,0),0)&amp;"")</f>
        <v>SQ</v>
      </c>
      <c r="F93" s="83" t="str">
        <f aca="false">IF(ISBLANK($A93),"NO_CODE",VLOOKUP($A93,'UPD Questions_290926 '!$E$1:$N$300,MATCH(F$1,'UPD Questions_290926 '!$E$1:$N$1,0),0)&amp;"")</f>
        <v>Do the DCRs provide development controls, standards or incentives that improve access, safety, affordability and development outcomes for women and the urban poor?</v>
      </c>
      <c r="G93" s="83" t="str">
        <f aca="false">IF(ISBLANK($A93),"NO_CODE",VLOOKUP($A93,'UPD Questions_290926 '!$E$1:$N$300,MATCH(G$1,'UPD Questions_290926 '!$E$1:$N$1,0),0)&amp;"")</f>
        <v>Law or Policy</v>
      </c>
      <c r="H93" s="85" t="n">
        <f aca="false">IF(ISBLANK($A93),"NO_CODE",VLOOKUP($A93,'UPD Questions_290926 '!$E$1:$N$300,MATCH(H$1,'UPD Questions_290926 '!$E$1:$N$1,0),0))</f>
        <v>2</v>
      </c>
      <c r="I93" s="86" t="str">
        <f aca="true">IF($H93=0,"NA",IF($A93=INDIRECT("'"&amp;$A93&amp;"'!$B$1"),IF(VLOOKUP(I$1,INDIRECT("'"&amp;$A93&amp;"'!$A$12:$Z$41"),MATCH("Points (Auto-generate)",INDIRECT("'"&amp;$A93&amp;"'!$A$12:$Z$12"),0),0)="","?",VLOOKUP(I$1,INDIRECT("'"&amp;$A93&amp;"'!$A$12:$Z$41"),MATCH("Points (Auto-generate)",INDIRECT("'"&amp;$A93&amp;"'!$A$12:$Z$12"),0),0)),"ER"))</f>
        <v>?</v>
      </c>
      <c r="J93" s="86" t="n">
        <f aca="true">IF($H93=0,"NA",IF($A93=INDIRECT("'"&amp;$A93&amp;"'!$B$1"),IF(VLOOKUP(J$1,INDIRECT("'"&amp;$A93&amp;"'!$A$12:$Z$41"),MATCH("Points (Auto-generate)",INDIRECT("'"&amp;$A93&amp;"'!$A$12:$Z$12"),0),0)="","?",VLOOKUP(J$1,INDIRECT("'"&amp;$A93&amp;"'!$A$12:$Z$41"),MATCH("Points (Auto-generate)",INDIRECT("'"&amp;$A93&amp;"'!$A$12:$Z$12"),0),0)),"ER"))</f>
        <v>0</v>
      </c>
      <c r="K93" s="86" t="str">
        <f aca="true">IF($H93=0,"NA",IF($A93=INDIRECT("'"&amp;$A93&amp;"'!$B$1"),IF(VLOOKUP(K$1,INDIRECT("'"&amp;$A93&amp;"'!$A$12:$Z$41"),MATCH("Points (Auto-generate)",INDIRECT("'"&amp;$A93&amp;"'!$A$12:$Z$12"),0),0)="","?",VLOOKUP(K$1,INDIRECT("'"&amp;$A93&amp;"'!$A$12:$Z$41"),MATCH("Points (Auto-generate)",INDIRECT("'"&amp;$A93&amp;"'!$A$12:$Z$12"),0),0)),"ER"))</f>
        <v>?</v>
      </c>
      <c r="L93" s="86" t="str">
        <f aca="true">IF($H93=0,"NA",IF($A93=INDIRECT("'"&amp;$A93&amp;"'!$B$1"),IF(VLOOKUP(L$1,INDIRECT("'"&amp;$A93&amp;"'!$A$12:$Z$41"),MATCH("Points (Auto-generate)",INDIRECT("'"&amp;$A93&amp;"'!$A$12:$Z$12"),0),0)="","?",VLOOKUP(L$1,INDIRECT("'"&amp;$A93&amp;"'!$A$12:$Z$41"),MATCH("Points (Auto-generate)",INDIRECT("'"&amp;$A93&amp;"'!$A$12:$Z$12"),0),0)),"ER"))</f>
        <v>?</v>
      </c>
      <c r="M93" s="86" t="str">
        <f aca="true">IF($H93=0,"NA",IF($A93=INDIRECT("'"&amp;$A93&amp;"'!$B$1"),IF(VLOOKUP(M$1,INDIRECT("'"&amp;$A93&amp;"'!$A$12:$Z$41"),MATCH("Points (Auto-generate)",INDIRECT("'"&amp;$A93&amp;"'!$A$12:$Z$12"),0),0)="","?",VLOOKUP(M$1,INDIRECT("'"&amp;$A93&amp;"'!$A$12:$Z$41"),MATCH("Points (Auto-generate)",INDIRECT("'"&amp;$A93&amp;"'!$A$12:$Z$12"),0),0)),"ER"))</f>
        <v>?</v>
      </c>
      <c r="N93" s="86" t="str">
        <f aca="true">IF($H93=0,"NA",IF($A93=INDIRECT("'"&amp;$A93&amp;"'!$B$1"),IF(VLOOKUP(N$1,INDIRECT("'"&amp;$A93&amp;"'!$A$12:$Z$41"),MATCH("Points (Auto-generate)",INDIRECT("'"&amp;$A93&amp;"'!$A$12:$Z$12"),0),0)="","?",VLOOKUP(N$1,INDIRECT("'"&amp;$A93&amp;"'!$A$12:$Z$41"),MATCH("Points (Auto-generate)",INDIRECT("'"&amp;$A93&amp;"'!$A$12:$Z$12"),0),0)),"ER"))</f>
        <v>?</v>
      </c>
      <c r="O93" s="86" t="str">
        <f aca="true">IF($H93=0,"NA",IF($A93=INDIRECT("'"&amp;$A93&amp;"'!$B$1"),IF(VLOOKUP(O$1,INDIRECT("'"&amp;$A93&amp;"'!$A$12:$Z$41"),MATCH("Points (Auto-generate)",INDIRECT("'"&amp;$A93&amp;"'!$A$12:$Z$12"),0),0)="","?",VLOOKUP(O$1,INDIRECT("'"&amp;$A93&amp;"'!$A$12:$Z$41"),MATCH("Points (Auto-generate)",INDIRECT("'"&amp;$A93&amp;"'!$A$12:$Z$12"),0),0)),"ER"))</f>
        <v>?</v>
      </c>
      <c r="P93" s="86" t="str">
        <f aca="true">IF($H93=0,"NA",IF($A93=INDIRECT("'"&amp;$A93&amp;"'!$B$1"),IF(VLOOKUP(P$1,INDIRECT("'"&amp;$A93&amp;"'!$A$12:$Z$41"),MATCH("Points (Auto-generate)",INDIRECT("'"&amp;$A93&amp;"'!$A$12:$Z$12"),0),0)="","?",VLOOKUP(P$1,INDIRECT("'"&amp;$A93&amp;"'!$A$12:$Z$41"),MATCH("Points (Auto-generate)",INDIRECT("'"&amp;$A93&amp;"'!$A$12:$Z$12"),0),0)),"ER"))</f>
        <v>?</v>
      </c>
      <c r="Q93" s="86" t="str">
        <f aca="true">IF($H93=0,"NA",IF($A93=INDIRECT("'"&amp;$A93&amp;"'!$B$1"),IF(VLOOKUP(Q$1,INDIRECT("'"&amp;$A93&amp;"'!$A$12:$Z$41"),MATCH("Points (Auto-generate)",INDIRECT("'"&amp;$A93&amp;"'!$A$12:$Z$12"),0),0)="","?",VLOOKUP(Q$1,INDIRECT("'"&amp;$A93&amp;"'!$A$12:$Z$41"),MATCH("Points (Auto-generate)",INDIRECT("'"&amp;$A93&amp;"'!$A$12:$Z$12"),0),0)),"ER"))</f>
        <v>?</v>
      </c>
      <c r="R93" s="86" t="str">
        <f aca="true">IF($H93=0,"NA",IF($A93=INDIRECT("'"&amp;$A93&amp;"'!$B$1"),IF(VLOOKUP(R$1,INDIRECT("'"&amp;$A93&amp;"'!$A$12:$Z$41"),MATCH("Points (Auto-generate)",INDIRECT("'"&amp;$A93&amp;"'!$A$12:$Z$12"),0),0)="","?",VLOOKUP(R$1,INDIRECT("'"&amp;$A93&amp;"'!$A$12:$Z$41"),MATCH("Points (Auto-generate)",INDIRECT("'"&amp;$A93&amp;"'!$A$12:$Z$12"),0),0)),"ER"))</f>
        <v>?</v>
      </c>
      <c r="S93" s="86" t="str">
        <f aca="true">IF($H93=0,"NA",IF($A93=INDIRECT("'"&amp;$A93&amp;"'!$B$1"),IF(VLOOKUP(S$1,INDIRECT("'"&amp;$A93&amp;"'!$A$12:$Z$41"),MATCH("Points (Auto-generate)",INDIRECT("'"&amp;$A93&amp;"'!$A$12:$Z$12"),0),0)="","?",VLOOKUP(S$1,INDIRECT("'"&amp;$A93&amp;"'!$A$12:$Z$41"),MATCH("Points (Auto-generate)",INDIRECT("'"&amp;$A93&amp;"'!$A$12:$Z$12"),0),0)),"ER"))</f>
        <v>?</v>
      </c>
      <c r="T93" s="86" t="str">
        <f aca="true">IF($H93=0,"NA",IF($A93=INDIRECT("'"&amp;$A93&amp;"'!$B$1"),IF(VLOOKUP(T$1,INDIRECT("'"&amp;$A93&amp;"'!$A$12:$Z$41"),MATCH("Points (Auto-generate)",INDIRECT("'"&amp;$A93&amp;"'!$A$12:$Z$12"),0),0)="","?",VLOOKUP(T$1,INDIRECT("'"&amp;$A93&amp;"'!$A$12:$Z$41"),MATCH("Points (Auto-generate)",INDIRECT("'"&amp;$A93&amp;"'!$A$12:$Z$12"),0),0)),"ER"))</f>
        <v>?</v>
      </c>
      <c r="U93" s="86" t="str">
        <f aca="true">IF($H93=0,"NA",IF($A93=INDIRECT("'"&amp;$A93&amp;"'!$B$1"),IF(VLOOKUP(U$1,INDIRECT("'"&amp;$A93&amp;"'!$A$12:$Z$41"),MATCH("Points (Auto-generate)",INDIRECT("'"&amp;$A93&amp;"'!$A$12:$Z$12"),0),0)="","?",VLOOKUP(U$1,INDIRECT("'"&amp;$A93&amp;"'!$A$12:$Z$41"),MATCH("Points (Auto-generate)",INDIRECT("'"&amp;$A93&amp;"'!$A$12:$Z$12"),0),0)),"ER"))</f>
        <v>?</v>
      </c>
      <c r="V93" s="86" t="str">
        <f aca="true">IF($H93=0,"NA",IF($A93=INDIRECT("'"&amp;$A93&amp;"'!$B$1"),IF(VLOOKUP(V$1,INDIRECT("'"&amp;$A93&amp;"'!$A$12:$Z$41"),MATCH("Points (Auto-generate)",INDIRECT("'"&amp;$A93&amp;"'!$A$12:$Z$12"),0),0)="","?",VLOOKUP(V$1,INDIRECT("'"&amp;$A93&amp;"'!$A$12:$Z$41"),MATCH("Points (Auto-generate)",INDIRECT("'"&amp;$A93&amp;"'!$A$12:$Z$12"),0),0)),"ER"))</f>
        <v>?</v>
      </c>
      <c r="W93" s="86" t="str">
        <f aca="true">IF($H93=0,"NA",IF($A93=INDIRECT("'"&amp;$A93&amp;"'!$B$1"),IF(VLOOKUP(W$1,INDIRECT("'"&amp;$A93&amp;"'!$A$12:$Z$41"),MATCH("Points (Auto-generate)",INDIRECT("'"&amp;$A93&amp;"'!$A$12:$Z$12"),0),0)="","?",VLOOKUP(W$1,INDIRECT("'"&amp;$A93&amp;"'!$A$12:$Z$41"),MATCH("Points (Auto-generate)",INDIRECT("'"&amp;$A93&amp;"'!$A$12:$Z$12"),0),0)),"ER"))</f>
        <v>?</v>
      </c>
      <c r="X93" s="86" t="str">
        <f aca="true">IF($H93=0,"NA",IF($A93=INDIRECT("'"&amp;$A93&amp;"'!$B$1"),IF(VLOOKUP(X$1,INDIRECT("'"&amp;$A93&amp;"'!$A$12:$Z$41"),MATCH("Points (Auto-generate)",INDIRECT("'"&amp;$A93&amp;"'!$A$12:$Z$12"),0),0)="","?",VLOOKUP(X$1,INDIRECT("'"&amp;$A93&amp;"'!$A$12:$Z$41"),MATCH("Points (Auto-generate)",INDIRECT("'"&amp;$A93&amp;"'!$A$12:$Z$12"),0),0)),"ER"))</f>
        <v>?</v>
      </c>
      <c r="Y93" s="86" t="str">
        <f aca="true">IF($H93=0,"NA",IF($A93=INDIRECT("'"&amp;$A93&amp;"'!$B$1"),IF(VLOOKUP(Y$1,INDIRECT("'"&amp;$A93&amp;"'!$A$12:$Z$41"),MATCH("Points (Auto-generate)",INDIRECT("'"&amp;$A93&amp;"'!$A$12:$Z$12"),0),0)="","?",VLOOKUP(Y$1,INDIRECT("'"&amp;$A93&amp;"'!$A$12:$Z$41"),MATCH("Points (Auto-generate)",INDIRECT("'"&amp;$A93&amp;"'!$A$12:$Z$12"),0),0)),"ER"))</f>
        <v>?</v>
      </c>
      <c r="Z93" s="86" t="str">
        <f aca="true">IF($H93=0,"NA",IF($A93=INDIRECT("'"&amp;$A93&amp;"'!$B$1"),IF(VLOOKUP(Z$1,INDIRECT("'"&amp;$A93&amp;"'!$A$12:$Z$41"),MATCH("Points (Auto-generate)",INDIRECT("'"&amp;$A93&amp;"'!$A$12:$Z$12"),0),0)="","?",VLOOKUP(Z$1,INDIRECT("'"&amp;$A93&amp;"'!$A$12:$Z$41"),MATCH("Points (Auto-generate)",INDIRECT("'"&amp;$A93&amp;"'!$A$12:$Z$12"),0),0)),"ER"))</f>
        <v>?</v>
      </c>
      <c r="AA93" s="86" t="str">
        <f aca="true">IF($H93=0,"NA",IF($A93=INDIRECT("'"&amp;$A93&amp;"'!$B$1"),IF(VLOOKUP(AA$1,INDIRECT("'"&amp;$A93&amp;"'!$A$12:$Z$41"),MATCH("Points (Auto-generate)",INDIRECT("'"&amp;$A93&amp;"'!$A$12:$Z$12"),0),0)="","?",VLOOKUP(AA$1,INDIRECT("'"&amp;$A93&amp;"'!$A$12:$Z$41"),MATCH("Points (Auto-generate)",INDIRECT("'"&amp;$A93&amp;"'!$A$12:$Z$12"),0),0)),"ER"))</f>
        <v>?</v>
      </c>
      <c r="AB93" s="86" t="str">
        <f aca="true">IF($H93=0,"NA",IF($A93=INDIRECT("'"&amp;$A93&amp;"'!$B$1"),IF(VLOOKUP(AB$1,INDIRECT("'"&amp;$A93&amp;"'!$A$12:$Z$41"),MATCH("Points (Auto-generate)",INDIRECT("'"&amp;$A93&amp;"'!$A$12:$Z$12"),0),0)="","?",VLOOKUP(AB$1,INDIRECT("'"&amp;$A93&amp;"'!$A$12:$Z$41"),MATCH("Points (Auto-generate)",INDIRECT("'"&amp;$A93&amp;"'!$A$12:$Z$12"),0),0)),"ER"))</f>
        <v>?</v>
      </c>
      <c r="AC93" s="86" t="str">
        <f aca="true">IF($H93=0,"NA",IF($A93=INDIRECT("'"&amp;$A93&amp;"'!$B$1"),IF(VLOOKUP(AC$1,INDIRECT("'"&amp;$A93&amp;"'!$A$12:$Z$41"),MATCH("Points (Auto-generate)",INDIRECT("'"&amp;$A93&amp;"'!$A$12:$Z$12"),0),0)="","?",VLOOKUP(AC$1,INDIRECT("'"&amp;$A93&amp;"'!$A$12:$Z$41"),MATCH("Points (Auto-generate)",INDIRECT("'"&amp;$A93&amp;"'!$A$12:$Z$12"),0),0)),"ER"))</f>
        <v>?</v>
      </c>
      <c r="AD93" s="86" t="str">
        <f aca="true">IF($H93=0,"NA",IF($A93=INDIRECT("'"&amp;$A93&amp;"'!$B$1"),IF(VLOOKUP(AD$1,INDIRECT("'"&amp;$A93&amp;"'!$A$12:$Z$41"),MATCH("Points (Auto-generate)",INDIRECT("'"&amp;$A93&amp;"'!$A$12:$Z$12"),0),0)="","?",VLOOKUP(AD$1,INDIRECT("'"&amp;$A93&amp;"'!$A$12:$Z$41"),MATCH("Points (Auto-generate)",INDIRECT("'"&amp;$A93&amp;"'!$A$12:$Z$12"),0),0)),"ER"))</f>
        <v>?</v>
      </c>
      <c r="AE93" s="86" t="str">
        <f aca="true">IF($H93=0,"NA",IF($A93=INDIRECT("'"&amp;$A93&amp;"'!$B$1"),IF(VLOOKUP(AE$1,INDIRECT("'"&amp;$A93&amp;"'!$A$12:$Z$41"),MATCH("Points (Auto-generate)",INDIRECT("'"&amp;$A93&amp;"'!$A$12:$Z$12"),0),0)="","?",VLOOKUP(AE$1,INDIRECT("'"&amp;$A93&amp;"'!$A$12:$Z$41"),MATCH("Points (Auto-generate)",INDIRECT("'"&amp;$A93&amp;"'!$A$12:$Z$12"),0),0)),"ER"))</f>
        <v>?</v>
      </c>
      <c r="AF93" s="86" t="str">
        <f aca="true">IF($H93=0,"NA",IF($A93=INDIRECT("'"&amp;$A93&amp;"'!$B$1"),IF(VLOOKUP(AF$1,INDIRECT("'"&amp;$A93&amp;"'!$A$12:$Z$41"),MATCH("Points (Auto-generate)",INDIRECT("'"&amp;$A93&amp;"'!$A$12:$Z$12"),0),0)="","?",VLOOKUP(AF$1,INDIRECT("'"&amp;$A93&amp;"'!$A$12:$Z$41"),MATCH("Points (Auto-generate)",INDIRECT("'"&amp;$A93&amp;"'!$A$12:$Z$12"),0),0)),"ER"))</f>
        <v>?</v>
      </c>
      <c r="AG93" s="86" t="str">
        <f aca="true">IF($H93=0,"NA",IF($A93=INDIRECT("'"&amp;$A93&amp;"'!$B$1"),IF(VLOOKUP(AG$1,INDIRECT("'"&amp;$A93&amp;"'!$A$12:$Z$41"),MATCH("Points (Auto-generate)",INDIRECT("'"&amp;$A93&amp;"'!$A$12:$Z$12"),0),0)="","?",VLOOKUP(AG$1,INDIRECT("'"&amp;$A93&amp;"'!$A$12:$Z$41"),MATCH("Points (Auto-generate)",INDIRECT("'"&amp;$A93&amp;"'!$A$12:$Z$12"),0),0)),"ER"))</f>
        <v>?</v>
      </c>
      <c r="AH93" s="86" t="str">
        <f aca="true">IF($H93=0,"NA",IF($A93=INDIRECT("'"&amp;$A93&amp;"'!$B$1"),IF(VLOOKUP(AH$1,INDIRECT("'"&amp;$A93&amp;"'!$A$12:$Z$41"),MATCH("Points (Auto-generate)",INDIRECT("'"&amp;$A93&amp;"'!$A$12:$Z$12"),0),0)="","?",VLOOKUP(AH$1,INDIRECT("'"&amp;$A93&amp;"'!$A$12:$Z$41"),MATCH("Points (Auto-generate)",INDIRECT("'"&amp;$A93&amp;"'!$A$12:$Z$12"),0),0)),"ER"))</f>
        <v>?</v>
      </c>
      <c r="AI93" s="86" t="str">
        <f aca="true">IF($H93=0,"NA",IF($A93=INDIRECT("'"&amp;$A93&amp;"'!$B$1"),IF(VLOOKUP(AI$1,INDIRECT("'"&amp;$A93&amp;"'!$A$12:$Z$41"),MATCH("Points (Auto-generate)",INDIRECT("'"&amp;$A93&amp;"'!$A$12:$Z$12"),0),0)="","?",VLOOKUP(AI$1,INDIRECT("'"&amp;$A93&amp;"'!$A$12:$Z$41"),MATCH("Points (Auto-generate)",INDIRECT("'"&amp;$A93&amp;"'!$A$12:$Z$12"),0),0)),"ER"))</f>
        <v>?</v>
      </c>
      <c r="AJ93" s="86" t="str">
        <f aca="true">IF($H93=0,"NA",IF($A93=INDIRECT("'"&amp;$A93&amp;"'!$B$1"),IF(VLOOKUP(AJ$1,INDIRECT("'"&amp;$A93&amp;"'!$A$12:$Z$41"),MATCH("Points (Auto-generate)",INDIRECT("'"&amp;$A93&amp;"'!$A$12:$Z$12"),0),0)="","?",VLOOKUP(AJ$1,INDIRECT("'"&amp;$A93&amp;"'!$A$12:$Z$41"),MATCH("Points (Auto-generate)",INDIRECT("'"&amp;$A93&amp;"'!$A$12:$Z$12"),0),0)),"ER"))</f>
        <v>?</v>
      </c>
      <c r="AK93" s="86" t="str">
        <f aca="true">IF($H93=0,"NA",IF($A93=INDIRECT("'"&amp;$A93&amp;"'!$B$1"),IF(VLOOKUP(AK$1,INDIRECT("'"&amp;$A93&amp;"'!$A$12:$Z$41"),MATCH("Points (Auto-generate)",INDIRECT("'"&amp;$A93&amp;"'!$A$12:$Z$12"),0),0)="","?",VLOOKUP(AK$1,INDIRECT("'"&amp;$A93&amp;"'!$A$12:$Z$41"),MATCH("Points (Auto-generate)",INDIRECT("'"&amp;$A93&amp;"'!$A$12:$Z$12"),0),0)),"ER"))</f>
        <v>?</v>
      </c>
    </row>
    <row r="94" customFormat="false" ht="14.25" hidden="false" customHeight="false" outlineLevel="0" collapsed="false">
      <c r="A94" s="82" t="s">
        <v>283</v>
      </c>
      <c r="B94" s="83" t="str">
        <f aca="false">IF(ISBLANK($A94),"NO_CODE",VLOOKUP($A94,'UPD Questions_290926 '!$E$1:$N$300,MATCH(B$1,'UPD Questions_290926 '!$E$1:$N$1,0),0)&amp;"")</f>
        <v>Implementation</v>
      </c>
      <c r="C94" s="83" t="str">
        <f aca="false">IF(ISBLANK($A94),"NO_CODE",VLOOKUP($A94,'UPD Questions_290926 '!$E$1:$N$300,MATCH(C$1,'UPD Questions_290926 '!$E$1:$N$1,0),0)&amp;"")</f>
        <v>Development Control Regulations and land-management instruments</v>
      </c>
      <c r="D94" s="83" t="str">
        <f aca="false">IF(ISBLANK($A94),"NO_CODE",VLOOKUP($A94,'UPD Questions_290926 '!$E$1:$N$300,MATCH(D$1,'UPD Questions_290926 '!$E$1:$N$1,0),0)&amp;"")</f>
        <v>DCR revision and public consultation</v>
      </c>
      <c r="E94" s="83" t="str">
        <f aca="false">IF(ISBLANK($A94),"NO_CODE",VLOOKUP($A94,'UPD Questions_290926 '!$E$1:$N$300,MATCH(E$1,'UPD Questions_290926 '!$E$1:$N$1,0),0)&amp;"")</f>
        <v>SQ</v>
      </c>
      <c r="F94" s="83" t="str">
        <f aca="false">IF(ISBLANK($A94),"NO_CODE",VLOOKUP($A94,'UPD Questions_290926 '!$E$1:$N$300,MATCH(F$1,'UPD Questions_290926 '!$E$1:$N$1,0),0)&amp;"")</f>
        <v>Do the DCRs provide development controls, standards or incentives that promote environmental sustainability and climate resilience?</v>
      </c>
      <c r="G94" s="83" t="str">
        <f aca="false">IF(ISBLANK($A94),"NO_CODE",VLOOKUP($A94,'UPD Questions_290926 '!$E$1:$N$300,MATCH(G$1,'UPD Questions_290926 '!$E$1:$N$1,0),0)&amp;"")</f>
        <v>Law or Policy</v>
      </c>
      <c r="H94" s="85" t="n">
        <f aca="false">IF(ISBLANK($A94),"NO_CODE",VLOOKUP($A94,'UPD Questions_290926 '!$E$1:$N$300,MATCH(H$1,'UPD Questions_290926 '!$E$1:$N$1,0),0))</f>
        <v>2</v>
      </c>
      <c r="I94" s="86" t="str">
        <f aca="true">IF($H94=0,"NA",IF($A94=INDIRECT("'"&amp;$A94&amp;"'!$B$1"),IF(VLOOKUP(I$1,INDIRECT("'"&amp;$A94&amp;"'!$A$12:$Z$41"),MATCH("Points (Auto-generate)",INDIRECT("'"&amp;$A94&amp;"'!$A$12:$Z$12"),0),0)="","?",VLOOKUP(I$1,INDIRECT("'"&amp;$A94&amp;"'!$A$12:$Z$41"),MATCH("Points (Auto-generate)",INDIRECT("'"&amp;$A94&amp;"'!$A$12:$Z$12"),0),0)),"ER"))</f>
        <v>?</v>
      </c>
      <c r="J94" s="86" t="n">
        <f aca="true">IF($H94=0,"NA",IF($A94=INDIRECT("'"&amp;$A94&amp;"'!$B$1"),IF(VLOOKUP(J$1,INDIRECT("'"&amp;$A94&amp;"'!$A$12:$Z$41"),MATCH("Points (Auto-generate)",INDIRECT("'"&amp;$A94&amp;"'!$A$12:$Z$12"),0),0)="","?",VLOOKUP(J$1,INDIRECT("'"&amp;$A94&amp;"'!$A$12:$Z$41"),MATCH("Points (Auto-generate)",INDIRECT("'"&amp;$A94&amp;"'!$A$12:$Z$12"),0),0)),"ER"))</f>
        <v>0</v>
      </c>
      <c r="K94" s="86" t="str">
        <f aca="true">IF($H94=0,"NA",IF($A94=INDIRECT("'"&amp;$A94&amp;"'!$B$1"),IF(VLOOKUP(K$1,INDIRECT("'"&amp;$A94&amp;"'!$A$12:$Z$41"),MATCH("Points (Auto-generate)",INDIRECT("'"&amp;$A94&amp;"'!$A$12:$Z$12"),0),0)="","?",VLOOKUP(K$1,INDIRECT("'"&amp;$A94&amp;"'!$A$12:$Z$41"),MATCH("Points (Auto-generate)",INDIRECT("'"&amp;$A94&amp;"'!$A$12:$Z$12"),0),0)),"ER"))</f>
        <v>?</v>
      </c>
      <c r="L94" s="86" t="str">
        <f aca="true">IF($H94=0,"NA",IF($A94=INDIRECT("'"&amp;$A94&amp;"'!$B$1"),IF(VLOOKUP(L$1,INDIRECT("'"&amp;$A94&amp;"'!$A$12:$Z$41"),MATCH("Points (Auto-generate)",INDIRECT("'"&amp;$A94&amp;"'!$A$12:$Z$12"),0),0)="","?",VLOOKUP(L$1,INDIRECT("'"&amp;$A94&amp;"'!$A$12:$Z$41"),MATCH("Points (Auto-generate)",INDIRECT("'"&amp;$A94&amp;"'!$A$12:$Z$12"),0),0)),"ER"))</f>
        <v>?</v>
      </c>
      <c r="M94" s="86" t="str">
        <f aca="true">IF($H94=0,"NA",IF($A94=INDIRECT("'"&amp;$A94&amp;"'!$B$1"),IF(VLOOKUP(M$1,INDIRECT("'"&amp;$A94&amp;"'!$A$12:$Z$41"),MATCH("Points (Auto-generate)",INDIRECT("'"&amp;$A94&amp;"'!$A$12:$Z$12"),0),0)="","?",VLOOKUP(M$1,INDIRECT("'"&amp;$A94&amp;"'!$A$12:$Z$41"),MATCH("Points (Auto-generate)",INDIRECT("'"&amp;$A94&amp;"'!$A$12:$Z$12"),0),0)),"ER"))</f>
        <v>?</v>
      </c>
      <c r="N94" s="86" t="str">
        <f aca="true">IF($H94=0,"NA",IF($A94=INDIRECT("'"&amp;$A94&amp;"'!$B$1"),IF(VLOOKUP(N$1,INDIRECT("'"&amp;$A94&amp;"'!$A$12:$Z$41"),MATCH("Points (Auto-generate)",INDIRECT("'"&amp;$A94&amp;"'!$A$12:$Z$12"),0),0)="","?",VLOOKUP(N$1,INDIRECT("'"&amp;$A94&amp;"'!$A$12:$Z$41"),MATCH("Points (Auto-generate)",INDIRECT("'"&amp;$A94&amp;"'!$A$12:$Z$12"),0),0)),"ER"))</f>
        <v>?</v>
      </c>
      <c r="O94" s="86" t="str">
        <f aca="true">IF($H94=0,"NA",IF($A94=INDIRECT("'"&amp;$A94&amp;"'!$B$1"),IF(VLOOKUP(O$1,INDIRECT("'"&amp;$A94&amp;"'!$A$12:$Z$41"),MATCH("Points (Auto-generate)",INDIRECT("'"&amp;$A94&amp;"'!$A$12:$Z$12"),0),0)="","?",VLOOKUP(O$1,INDIRECT("'"&amp;$A94&amp;"'!$A$12:$Z$41"),MATCH("Points (Auto-generate)",INDIRECT("'"&amp;$A94&amp;"'!$A$12:$Z$12"),0),0)),"ER"))</f>
        <v>?</v>
      </c>
      <c r="P94" s="86" t="str">
        <f aca="true">IF($H94=0,"NA",IF($A94=INDIRECT("'"&amp;$A94&amp;"'!$B$1"),IF(VLOOKUP(P$1,INDIRECT("'"&amp;$A94&amp;"'!$A$12:$Z$41"),MATCH("Points (Auto-generate)",INDIRECT("'"&amp;$A94&amp;"'!$A$12:$Z$12"),0),0)="","?",VLOOKUP(P$1,INDIRECT("'"&amp;$A94&amp;"'!$A$12:$Z$41"),MATCH("Points (Auto-generate)",INDIRECT("'"&amp;$A94&amp;"'!$A$12:$Z$12"),0),0)),"ER"))</f>
        <v>?</v>
      </c>
      <c r="Q94" s="86" t="str">
        <f aca="true">IF($H94=0,"NA",IF($A94=INDIRECT("'"&amp;$A94&amp;"'!$B$1"),IF(VLOOKUP(Q$1,INDIRECT("'"&amp;$A94&amp;"'!$A$12:$Z$41"),MATCH("Points (Auto-generate)",INDIRECT("'"&amp;$A94&amp;"'!$A$12:$Z$12"),0),0)="","?",VLOOKUP(Q$1,INDIRECT("'"&amp;$A94&amp;"'!$A$12:$Z$41"),MATCH("Points (Auto-generate)",INDIRECT("'"&amp;$A94&amp;"'!$A$12:$Z$12"),0),0)),"ER"))</f>
        <v>?</v>
      </c>
      <c r="R94" s="86" t="str">
        <f aca="true">IF($H94=0,"NA",IF($A94=INDIRECT("'"&amp;$A94&amp;"'!$B$1"),IF(VLOOKUP(R$1,INDIRECT("'"&amp;$A94&amp;"'!$A$12:$Z$41"),MATCH("Points (Auto-generate)",INDIRECT("'"&amp;$A94&amp;"'!$A$12:$Z$12"),0),0)="","?",VLOOKUP(R$1,INDIRECT("'"&amp;$A94&amp;"'!$A$12:$Z$41"),MATCH("Points (Auto-generate)",INDIRECT("'"&amp;$A94&amp;"'!$A$12:$Z$12"),0),0)),"ER"))</f>
        <v>?</v>
      </c>
      <c r="S94" s="86" t="str">
        <f aca="true">IF($H94=0,"NA",IF($A94=INDIRECT("'"&amp;$A94&amp;"'!$B$1"),IF(VLOOKUP(S$1,INDIRECT("'"&amp;$A94&amp;"'!$A$12:$Z$41"),MATCH("Points (Auto-generate)",INDIRECT("'"&amp;$A94&amp;"'!$A$12:$Z$12"),0),0)="","?",VLOOKUP(S$1,INDIRECT("'"&amp;$A94&amp;"'!$A$12:$Z$41"),MATCH("Points (Auto-generate)",INDIRECT("'"&amp;$A94&amp;"'!$A$12:$Z$12"),0),0)),"ER"))</f>
        <v>?</v>
      </c>
      <c r="T94" s="86" t="str">
        <f aca="true">IF($H94=0,"NA",IF($A94=INDIRECT("'"&amp;$A94&amp;"'!$B$1"),IF(VLOOKUP(T$1,INDIRECT("'"&amp;$A94&amp;"'!$A$12:$Z$41"),MATCH("Points (Auto-generate)",INDIRECT("'"&amp;$A94&amp;"'!$A$12:$Z$12"),0),0)="","?",VLOOKUP(T$1,INDIRECT("'"&amp;$A94&amp;"'!$A$12:$Z$41"),MATCH("Points (Auto-generate)",INDIRECT("'"&amp;$A94&amp;"'!$A$12:$Z$12"),0),0)),"ER"))</f>
        <v>?</v>
      </c>
      <c r="U94" s="86" t="str">
        <f aca="true">IF($H94=0,"NA",IF($A94=INDIRECT("'"&amp;$A94&amp;"'!$B$1"),IF(VLOOKUP(U$1,INDIRECT("'"&amp;$A94&amp;"'!$A$12:$Z$41"),MATCH("Points (Auto-generate)",INDIRECT("'"&amp;$A94&amp;"'!$A$12:$Z$12"),0),0)="","?",VLOOKUP(U$1,INDIRECT("'"&amp;$A94&amp;"'!$A$12:$Z$41"),MATCH("Points (Auto-generate)",INDIRECT("'"&amp;$A94&amp;"'!$A$12:$Z$12"),0),0)),"ER"))</f>
        <v>?</v>
      </c>
      <c r="V94" s="86" t="str">
        <f aca="true">IF($H94=0,"NA",IF($A94=INDIRECT("'"&amp;$A94&amp;"'!$B$1"),IF(VLOOKUP(V$1,INDIRECT("'"&amp;$A94&amp;"'!$A$12:$Z$41"),MATCH("Points (Auto-generate)",INDIRECT("'"&amp;$A94&amp;"'!$A$12:$Z$12"),0),0)="","?",VLOOKUP(V$1,INDIRECT("'"&amp;$A94&amp;"'!$A$12:$Z$41"),MATCH("Points (Auto-generate)",INDIRECT("'"&amp;$A94&amp;"'!$A$12:$Z$12"),0),0)),"ER"))</f>
        <v>?</v>
      </c>
      <c r="W94" s="86" t="str">
        <f aca="true">IF($H94=0,"NA",IF($A94=INDIRECT("'"&amp;$A94&amp;"'!$B$1"),IF(VLOOKUP(W$1,INDIRECT("'"&amp;$A94&amp;"'!$A$12:$Z$41"),MATCH("Points (Auto-generate)",INDIRECT("'"&amp;$A94&amp;"'!$A$12:$Z$12"),0),0)="","?",VLOOKUP(W$1,INDIRECT("'"&amp;$A94&amp;"'!$A$12:$Z$41"),MATCH("Points (Auto-generate)",INDIRECT("'"&amp;$A94&amp;"'!$A$12:$Z$12"),0),0)),"ER"))</f>
        <v>?</v>
      </c>
      <c r="X94" s="86" t="str">
        <f aca="true">IF($H94=0,"NA",IF($A94=INDIRECT("'"&amp;$A94&amp;"'!$B$1"),IF(VLOOKUP(X$1,INDIRECT("'"&amp;$A94&amp;"'!$A$12:$Z$41"),MATCH("Points (Auto-generate)",INDIRECT("'"&amp;$A94&amp;"'!$A$12:$Z$12"),0),0)="","?",VLOOKUP(X$1,INDIRECT("'"&amp;$A94&amp;"'!$A$12:$Z$41"),MATCH("Points (Auto-generate)",INDIRECT("'"&amp;$A94&amp;"'!$A$12:$Z$12"),0),0)),"ER"))</f>
        <v>?</v>
      </c>
      <c r="Y94" s="86" t="str">
        <f aca="true">IF($H94=0,"NA",IF($A94=INDIRECT("'"&amp;$A94&amp;"'!$B$1"),IF(VLOOKUP(Y$1,INDIRECT("'"&amp;$A94&amp;"'!$A$12:$Z$41"),MATCH("Points (Auto-generate)",INDIRECT("'"&amp;$A94&amp;"'!$A$12:$Z$12"),0),0)="","?",VLOOKUP(Y$1,INDIRECT("'"&amp;$A94&amp;"'!$A$12:$Z$41"),MATCH("Points (Auto-generate)",INDIRECT("'"&amp;$A94&amp;"'!$A$12:$Z$12"),0),0)),"ER"))</f>
        <v>?</v>
      </c>
      <c r="Z94" s="86" t="str">
        <f aca="true">IF($H94=0,"NA",IF($A94=INDIRECT("'"&amp;$A94&amp;"'!$B$1"),IF(VLOOKUP(Z$1,INDIRECT("'"&amp;$A94&amp;"'!$A$12:$Z$41"),MATCH("Points (Auto-generate)",INDIRECT("'"&amp;$A94&amp;"'!$A$12:$Z$12"),0),0)="","?",VLOOKUP(Z$1,INDIRECT("'"&amp;$A94&amp;"'!$A$12:$Z$41"),MATCH("Points (Auto-generate)",INDIRECT("'"&amp;$A94&amp;"'!$A$12:$Z$12"),0),0)),"ER"))</f>
        <v>?</v>
      </c>
      <c r="AA94" s="86" t="str">
        <f aca="true">IF($H94=0,"NA",IF($A94=INDIRECT("'"&amp;$A94&amp;"'!$B$1"),IF(VLOOKUP(AA$1,INDIRECT("'"&amp;$A94&amp;"'!$A$12:$Z$41"),MATCH("Points (Auto-generate)",INDIRECT("'"&amp;$A94&amp;"'!$A$12:$Z$12"),0),0)="","?",VLOOKUP(AA$1,INDIRECT("'"&amp;$A94&amp;"'!$A$12:$Z$41"),MATCH("Points (Auto-generate)",INDIRECT("'"&amp;$A94&amp;"'!$A$12:$Z$12"),0),0)),"ER"))</f>
        <v>?</v>
      </c>
      <c r="AB94" s="86" t="str">
        <f aca="true">IF($H94=0,"NA",IF($A94=INDIRECT("'"&amp;$A94&amp;"'!$B$1"),IF(VLOOKUP(AB$1,INDIRECT("'"&amp;$A94&amp;"'!$A$12:$Z$41"),MATCH("Points (Auto-generate)",INDIRECT("'"&amp;$A94&amp;"'!$A$12:$Z$12"),0),0)="","?",VLOOKUP(AB$1,INDIRECT("'"&amp;$A94&amp;"'!$A$12:$Z$41"),MATCH("Points (Auto-generate)",INDIRECT("'"&amp;$A94&amp;"'!$A$12:$Z$12"),0),0)),"ER"))</f>
        <v>?</v>
      </c>
      <c r="AC94" s="86" t="str">
        <f aca="true">IF($H94=0,"NA",IF($A94=INDIRECT("'"&amp;$A94&amp;"'!$B$1"),IF(VLOOKUP(AC$1,INDIRECT("'"&amp;$A94&amp;"'!$A$12:$Z$41"),MATCH("Points (Auto-generate)",INDIRECT("'"&amp;$A94&amp;"'!$A$12:$Z$12"),0),0)="","?",VLOOKUP(AC$1,INDIRECT("'"&amp;$A94&amp;"'!$A$12:$Z$41"),MATCH("Points (Auto-generate)",INDIRECT("'"&amp;$A94&amp;"'!$A$12:$Z$12"),0),0)),"ER"))</f>
        <v>?</v>
      </c>
      <c r="AD94" s="86" t="str">
        <f aca="true">IF($H94=0,"NA",IF($A94=INDIRECT("'"&amp;$A94&amp;"'!$B$1"),IF(VLOOKUP(AD$1,INDIRECT("'"&amp;$A94&amp;"'!$A$12:$Z$41"),MATCH("Points (Auto-generate)",INDIRECT("'"&amp;$A94&amp;"'!$A$12:$Z$12"),0),0)="","?",VLOOKUP(AD$1,INDIRECT("'"&amp;$A94&amp;"'!$A$12:$Z$41"),MATCH("Points (Auto-generate)",INDIRECT("'"&amp;$A94&amp;"'!$A$12:$Z$12"),0),0)),"ER"))</f>
        <v>?</v>
      </c>
      <c r="AE94" s="86" t="str">
        <f aca="true">IF($H94=0,"NA",IF($A94=INDIRECT("'"&amp;$A94&amp;"'!$B$1"),IF(VLOOKUP(AE$1,INDIRECT("'"&amp;$A94&amp;"'!$A$12:$Z$41"),MATCH("Points (Auto-generate)",INDIRECT("'"&amp;$A94&amp;"'!$A$12:$Z$12"),0),0)="","?",VLOOKUP(AE$1,INDIRECT("'"&amp;$A94&amp;"'!$A$12:$Z$41"),MATCH("Points (Auto-generate)",INDIRECT("'"&amp;$A94&amp;"'!$A$12:$Z$12"),0),0)),"ER"))</f>
        <v>?</v>
      </c>
      <c r="AF94" s="86" t="str">
        <f aca="true">IF($H94=0,"NA",IF($A94=INDIRECT("'"&amp;$A94&amp;"'!$B$1"),IF(VLOOKUP(AF$1,INDIRECT("'"&amp;$A94&amp;"'!$A$12:$Z$41"),MATCH("Points (Auto-generate)",INDIRECT("'"&amp;$A94&amp;"'!$A$12:$Z$12"),0),0)="","?",VLOOKUP(AF$1,INDIRECT("'"&amp;$A94&amp;"'!$A$12:$Z$41"),MATCH("Points (Auto-generate)",INDIRECT("'"&amp;$A94&amp;"'!$A$12:$Z$12"),0),0)),"ER"))</f>
        <v>?</v>
      </c>
      <c r="AG94" s="86" t="str">
        <f aca="true">IF($H94=0,"NA",IF($A94=INDIRECT("'"&amp;$A94&amp;"'!$B$1"),IF(VLOOKUP(AG$1,INDIRECT("'"&amp;$A94&amp;"'!$A$12:$Z$41"),MATCH("Points (Auto-generate)",INDIRECT("'"&amp;$A94&amp;"'!$A$12:$Z$12"),0),0)="","?",VLOOKUP(AG$1,INDIRECT("'"&amp;$A94&amp;"'!$A$12:$Z$41"),MATCH("Points (Auto-generate)",INDIRECT("'"&amp;$A94&amp;"'!$A$12:$Z$12"),0),0)),"ER"))</f>
        <v>?</v>
      </c>
      <c r="AH94" s="86" t="str">
        <f aca="true">IF($H94=0,"NA",IF($A94=INDIRECT("'"&amp;$A94&amp;"'!$B$1"),IF(VLOOKUP(AH$1,INDIRECT("'"&amp;$A94&amp;"'!$A$12:$Z$41"),MATCH("Points (Auto-generate)",INDIRECT("'"&amp;$A94&amp;"'!$A$12:$Z$12"),0),0)="","?",VLOOKUP(AH$1,INDIRECT("'"&amp;$A94&amp;"'!$A$12:$Z$41"),MATCH("Points (Auto-generate)",INDIRECT("'"&amp;$A94&amp;"'!$A$12:$Z$12"),0),0)),"ER"))</f>
        <v>?</v>
      </c>
      <c r="AI94" s="86" t="str">
        <f aca="true">IF($H94=0,"NA",IF($A94=INDIRECT("'"&amp;$A94&amp;"'!$B$1"),IF(VLOOKUP(AI$1,INDIRECT("'"&amp;$A94&amp;"'!$A$12:$Z$41"),MATCH("Points (Auto-generate)",INDIRECT("'"&amp;$A94&amp;"'!$A$12:$Z$12"),0),0)="","?",VLOOKUP(AI$1,INDIRECT("'"&amp;$A94&amp;"'!$A$12:$Z$41"),MATCH("Points (Auto-generate)",INDIRECT("'"&amp;$A94&amp;"'!$A$12:$Z$12"),0),0)),"ER"))</f>
        <v>?</v>
      </c>
      <c r="AJ94" s="86" t="str">
        <f aca="true">IF($H94=0,"NA",IF($A94=INDIRECT("'"&amp;$A94&amp;"'!$B$1"),IF(VLOOKUP(AJ$1,INDIRECT("'"&amp;$A94&amp;"'!$A$12:$Z$41"),MATCH("Points (Auto-generate)",INDIRECT("'"&amp;$A94&amp;"'!$A$12:$Z$12"),0),0)="","?",VLOOKUP(AJ$1,INDIRECT("'"&amp;$A94&amp;"'!$A$12:$Z$41"),MATCH("Points (Auto-generate)",INDIRECT("'"&amp;$A94&amp;"'!$A$12:$Z$12"),0),0)),"ER"))</f>
        <v>?</v>
      </c>
      <c r="AK94" s="86" t="str">
        <f aca="true">IF($H94=0,"NA",IF($A94=INDIRECT("'"&amp;$A94&amp;"'!$B$1"),IF(VLOOKUP(AK$1,INDIRECT("'"&amp;$A94&amp;"'!$A$12:$Z$41"),MATCH("Points (Auto-generate)",INDIRECT("'"&amp;$A94&amp;"'!$A$12:$Z$12"),0),0)="","?",VLOOKUP(AK$1,INDIRECT("'"&amp;$A94&amp;"'!$A$12:$Z$41"),MATCH("Points (Auto-generate)",INDIRECT("'"&amp;$A94&amp;"'!$A$12:$Z$12"),0),0)),"ER"))</f>
        <v>?</v>
      </c>
    </row>
    <row r="95" customFormat="false" ht="14.25" hidden="false" customHeight="false" outlineLevel="0" collapsed="false">
      <c r="A95" s="82" t="s">
        <v>289</v>
      </c>
      <c r="B95" s="83" t="str">
        <f aca="false">IF(ISBLANK($A95),"NO_CODE",VLOOKUP($A95,'UPD Questions_290926 '!$E$1:$N$300,MATCH(B$1,'UPD Questions_290926 '!$E$1:$N$1,0),0)&amp;"")</f>
        <v>Implementation</v>
      </c>
      <c r="C95" s="83" t="str">
        <f aca="false">IF(ISBLANK($A95),"NO_CODE",VLOOKUP($A95,'UPD Questions_290926 '!$E$1:$N$300,MATCH(C$1,'UPD Questions_290926 '!$E$1:$N$1,0),0)&amp;"")</f>
        <v>Development Control Regulations and land-management instruments</v>
      </c>
      <c r="D95" s="83" t="str">
        <f aca="false">IF(ISBLANK($A95),"NO_CODE",VLOOKUP($A95,'UPD Questions_290926 '!$E$1:$N$300,MATCH(D$1,'UPD Questions_290926 '!$E$1:$N$1,0),0)&amp;"")</f>
        <v>DCR revision and public consultation</v>
      </c>
      <c r="E95" s="83" t="str">
        <f aca="false">IF(ISBLANK($A95),"NO_CODE",VLOOKUP($A95,'UPD Questions_290926 '!$E$1:$N$300,MATCH(E$1,'UPD Questions_290926 '!$E$1:$N$1,0),0)&amp;"")</f>
        <v>SQ</v>
      </c>
      <c r="F95" s="83" t="str">
        <f aca="false">IF(ISBLANK($A95),"NO_CODE",VLOOKUP($A95,'UPD Questions_290926 '!$E$1:$N$300,MATCH(F$1,'UPD Questions_290926 '!$E$1:$N$1,0),0)&amp;"")</f>
        <v>Do the DCRs provide development controls or standards that promote positive public-health outcomes?</v>
      </c>
      <c r="G95" s="83" t="str">
        <f aca="false">IF(ISBLANK($A95),"NO_CODE",VLOOKUP($A95,'UPD Questions_290926 '!$E$1:$N$300,MATCH(G$1,'UPD Questions_290926 '!$E$1:$N$1,0),0)&amp;"")</f>
        <v>Law or Policy</v>
      </c>
      <c r="H95" s="85" t="n">
        <f aca="false">IF(ISBLANK($A95),"NO_CODE",VLOOKUP($A95,'UPD Questions_290926 '!$E$1:$N$300,MATCH(H$1,'UPD Questions_290926 '!$E$1:$N$1,0),0))</f>
        <v>2</v>
      </c>
      <c r="I95" s="86" t="str">
        <f aca="true">IF($H95=0,"NA",IF($A95=INDIRECT("'"&amp;$A95&amp;"'!$B$1"),IF(VLOOKUP(I$1,INDIRECT("'"&amp;$A95&amp;"'!$A$12:$Z$41"),MATCH("Points (Auto-generate)",INDIRECT("'"&amp;$A95&amp;"'!$A$12:$Z$12"),0),0)="","?",VLOOKUP(I$1,INDIRECT("'"&amp;$A95&amp;"'!$A$12:$Z$41"),MATCH("Points (Auto-generate)",INDIRECT("'"&amp;$A95&amp;"'!$A$12:$Z$12"),0),0)),"ER"))</f>
        <v>?</v>
      </c>
      <c r="J95" s="86" t="n">
        <f aca="true">IF($H95=0,"NA",IF($A95=INDIRECT("'"&amp;$A95&amp;"'!$B$1"),IF(VLOOKUP(J$1,INDIRECT("'"&amp;$A95&amp;"'!$A$12:$Z$41"),MATCH("Points (Auto-generate)",INDIRECT("'"&amp;$A95&amp;"'!$A$12:$Z$12"),0),0)="","?",VLOOKUP(J$1,INDIRECT("'"&amp;$A95&amp;"'!$A$12:$Z$41"),MATCH("Points (Auto-generate)",INDIRECT("'"&amp;$A95&amp;"'!$A$12:$Z$12"),0),0)),"ER"))</f>
        <v>0</v>
      </c>
      <c r="K95" s="86" t="str">
        <f aca="true">IF($H95=0,"NA",IF($A95=INDIRECT("'"&amp;$A95&amp;"'!$B$1"),IF(VLOOKUP(K$1,INDIRECT("'"&amp;$A95&amp;"'!$A$12:$Z$41"),MATCH("Points (Auto-generate)",INDIRECT("'"&amp;$A95&amp;"'!$A$12:$Z$12"),0),0)="","?",VLOOKUP(K$1,INDIRECT("'"&amp;$A95&amp;"'!$A$12:$Z$41"),MATCH("Points (Auto-generate)",INDIRECT("'"&amp;$A95&amp;"'!$A$12:$Z$12"),0),0)),"ER"))</f>
        <v>?</v>
      </c>
      <c r="L95" s="86" t="str">
        <f aca="true">IF($H95=0,"NA",IF($A95=INDIRECT("'"&amp;$A95&amp;"'!$B$1"),IF(VLOOKUP(L$1,INDIRECT("'"&amp;$A95&amp;"'!$A$12:$Z$41"),MATCH("Points (Auto-generate)",INDIRECT("'"&amp;$A95&amp;"'!$A$12:$Z$12"),0),0)="","?",VLOOKUP(L$1,INDIRECT("'"&amp;$A95&amp;"'!$A$12:$Z$41"),MATCH("Points (Auto-generate)",INDIRECT("'"&amp;$A95&amp;"'!$A$12:$Z$12"),0),0)),"ER"))</f>
        <v>?</v>
      </c>
      <c r="M95" s="86" t="str">
        <f aca="true">IF($H95=0,"NA",IF($A95=INDIRECT("'"&amp;$A95&amp;"'!$B$1"),IF(VLOOKUP(M$1,INDIRECT("'"&amp;$A95&amp;"'!$A$12:$Z$41"),MATCH("Points (Auto-generate)",INDIRECT("'"&amp;$A95&amp;"'!$A$12:$Z$12"),0),0)="","?",VLOOKUP(M$1,INDIRECT("'"&amp;$A95&amp;"'!$A$12:$Z$41"),MATCH("Points (Auto-generate)",INDIRECT("'"&amp;$A95&amp;"'!$A$12:$Z$12"),0),0)),"ER"))</f>
        <v>?</v>
      </c>
      <c r="N95" s="86" t="str">
        <f aca="true">IF($H95=0,"NA",IF($A95=INDIRECT("'"&amp;$A95&amp;"'!$B$1"),IF(VLOOKUP(N$1,INDIRECT("'"&amp;$A95&amp;"'!$A$12:$Z$41"),MATCH("Points (Auto-generate)",INDIRECT("'"&amp;$A95&amp;"'!$A$12:$Z$12"),0),0)="","?",VLOOKUP(N$1,INDIRECT("'"&amp;$A95&amp;"'!$A$12:$Z$41"),MATCH("Points (Auto-generate)",INDIRECT("'"&amp;$A95&amp;"'!$A$12:$Z$12"),0),0)),"ER"))</f>
        <v>?</v>
      </c>
      <c r="O95" s="86" t="str">
        <f aca="true">IF($H95=0,"NA",IF($A95=INDIRECT("'"&amp;$A95&amp;"'!$B$1"),IF(VLOOKUP(O$1,INDIRECT("'"&amp;$A95&amp;"'!$A$12:$Z$41"),MATCH("Points (Auto-generate)",INDIRECT("'"&amp;$A95&amp;"'!$A$12:$Z$12"),0),0)="","?",VLOOKUP(O$1,INDIRECT("'"&amp;$A95&amp;"'!$A$12:$Z$41"),MATCH("Points (Auto-generate)",INDIRECT("'"&amp;$A95&amp;"'!$A$12:$Z$12"),0),0)),"ER"))</f>
        <v>?</v>
      </c>
      <c r="P95" s="86" t="str">
        <f aca="true">IF($H95=0,"NA",IF($A95=INDIRECT("'"&amp;$A95&amp;"'!$B$1"),IF(VLOOKUP(P$1,INDIRECT("'"&amp;$A95&amp;"'!$A$12:$Z$41"),MATCH("Points (Auto-generate)",INDIRECT("'"&amp;$A95&amp;"'!$A$12:$Z$12"),0),0)="","?",VLOOKUP(P$1,INDIRECT("'"&amp;$A95&amp;"'!$A$12:$Z$41"),MATCH("Points (Auto-generate)",INDIRECT("'"&amp;$A95&amp;"'!$A$12:$Z$12"),0),0)),"ER"))</f>
        <v>?</v>
      </c>
      <c r="Q95" s="86" t="str">
        <f aca="true">IF($H95=0,"NA",IF($A95=INDIRECT("'"&amp;$A95&amp;"'!$B$1"),IF(VLOOKUP(Q$1,INDIRECT("'"&amp;$A95&amp;"'!$A$12:$Z$41"),MATCH("Points (Auto-generate)",INDIRECT("'"&amp;$A95&amp;"'!$A$12:$Z$12"),0),0)="","?",VLOOKUP(Q$1,INDIRECT("'"&amp;$A95&amp;"'!$A$12:$Z$41"),MATCH("Points (Auto-generate)",INDIRECT("'"&amp;$A95&amp;"'!$A$12:$Z$12"),0),0)),"ER"))</f>
        <v>?</v>
      </c>
      <c r="R95" s="86" t="str">
        <f aca="true">IF($H95=0,"NA",IF($A95=INDIRECT("'"&amp;$A95&amp;"'!$B$1"),IF(VLOOKUP(R$1,INDIRECT("'"&amp;$A95&amp;"'!$A$12:$Z$41"),MATCH("Points (Auto-generate)",INDIRECT("'"&amp;$A95&amp;"'!$A$12:$Z$12"),0),0)="","?",VLOOKUP(R$1,INDIRECT("'"&amp;$A95&amp;"'!$A$12:$Z$41"),MATCH("Points (Auto-generate)",INDIRECT("'"&amp;$A95&amp;"'!$A$12:$Z$12"),0),0)),"ER"))</f>
        <v>?</v>
      </c>
      <c r="S95" s="86" t="str">
        <f aca="true">IF($H95=0,"NA",IF($A95=INDIRECT("'"&amp;$A95&amp;"'!$B$1"),IF(VLOOKUP(S$1,INDIRECT("'"&amp;$A95&amp;"'!$A$12:$Z$41"),MATCH("Points (Auto-generate)",INDIRECT("'"&amp;$A95&amp;"'!$A$12:$Z$12"),0),0)="","?",VLOOKUP(S$1,INDIRECT("'"&amp;$A95&amp;"'!$A$12:$Z$41"),MATCH("Points (Auto-generate)",INDIRECT("'"&amp;$A95&amp;"'!$A$12:$Z$12"),0),0)),"ER"))</f>
        <v>?</v>
      </c>
      <c r="T95" s="86" t="str">
        <f aca="true">IF($H95=0,"NA",IF($A95=INDIRECT("'"&amp;$A95&amp;"'!$B$1"),IF(VLOOKUP(T$1,INDIRECT("'"&amp;$A95&amp;"'!$A$12:$Z$41"),MATCH("Points (Auto-generate)",INDIRECT("'"&amp;$A95&amp;"'!$A$12:$Z$12"),0),0)="","?",VLOOKUP(T$1,INDIRECT("'"&amp;$A95&amp;"'!$A$12:$Z$41"),MATCH("Points (Auto-generate)",INDIRECT("'"&amp;$A95&amp;"'!$A$12:$Z$12"),0),0)),"ER"))</f>
        <v>?</v>
      </c>
      <c r="U95" s="86" t="str">
        <f aca="true">IF($H95=0,"NA",IF($A95=INDIRECT("'"&amp;$A95&amp;"'!$B$1"),IF(VLOOKUP(U$1,INDIRECT("'"&amp;$A95&amp;"'!$A$12:$Z$41"),MATCH("Points (Auto-generate)",INDIRECT("'"&amp;$A95&amp;"'!$A$12:$Z$12"),0),0)="","?",VLOOKUP(U$1,INDIRECT("'"&amp;$A95&amp;"'!$A$12:$Z$41"),MATCH("Points (Auto-generate)",INDIRECT("'"&amp;$A95&amp;"'!$A$12:$Z$12"),0),0)),"ER"))</f>
        <v>?</v>
      </c>
      <c r="V95" s="86" t="str">
        <f aca="true">IF($H95=0,"NA",IF($A95=INDIRECT("'"&amp;$A95&amp;"'!$B$1"),IF(VLOOKUP(V$1,INDIRECT("'"&amp;$A95&amp;"'!$A$12:$Z$41"),MATCH("Points (Auto-generate)",INDIRECT("'"&amp;$A95&amp;"'!$A$12:$Z$12"),0),0)="","?",VLOOKUP(V$1,INDIRECT("'"&amp;$A95&amp;"'!$A$12:$Z$41"),MATCH("Points (Auto-generate)",INDIRECT("'"&amp;$A95&amp;"'!$A$12:$Z$12"),0),0)),"ER"))</f>
        <v>?</v>
      </c>
      <c r="W95" s="86" t="str">
        <f aca="true">IF($H95=0,"NA",IF($A95=INDIRECT("'"&amp;$A95&amp;"'!$B$1"),IF(VLOOKUP(W$1,INDIRECT("'"&amp;$A95&amp;"'!$A$12:$Z$41"),MATCH("Points (Auto-generate)",INDIRECT("'"&amp;$A95&amp;"'!$A$12:$Z$12"),0),0)="","?",VLOOKUP(W$1,INDIRECT("'"&amp;$A95&amp;"'!$A$12:$Z$41"),MATCH("Points (Auto-generate)",INDIRECT("'"&amp;$A95&amp;"'!$A$12:$Z$12"),0),0)),"ER"))</f>
        <v>?</v>
      </c>
      <c r="X95" s="86" t="str">
        <f aca="true">IF($H95=0,"NA",IF($A95=INDIRECT("'"&amp;$A95&amp;"'!$B$1"),IF(VLOOKUP(X$1,INDIRECT("'"&amp;$A95&amp;"'!$A$12:$Z$41"),MATCH("Points (Auto-generate)",INDIRECT("'"&amp;$A95&amp;"'!$A$12:$Z$12"),0),0)="","?",VLOOKUP(X$1,INDIRECT("'"&amp;$A95&amp;"'!$A$12:$Z$41"),MATCH("Points (Auto-generate)",INDIRECT("'"&amp;$A95&amp;"'!$A$12:$Z$12"),0),0)),"ER"))</f>
        <v>?</v>
      </c>
      <c r="Y95" s="86" t="str">
        <f aca="true">IF($H95=0,"NA",IF($A95=INDIRECT("'"&amp;$A95&amp;"'!$B$1"),IF(VLOOKUP(Y$1,INDIRECT("'"&amp;$A95&amp;"'!$A$12:$Z$41"),MATCH("Points (Auto-generate)",INDIRECT("'"&amp;$A95&amp;"'!$A$12:$Z$12"),0),0)="","?",VLOOKUP(Y$1,INDIRECT("'"&amp;$A95&amp;"'!$A$12:$Z$41"),MATCH("Points (Auto-generate)",INDIRECT("'"&amp;$A95&amp;"'!$A$12:$Z$12"),0),0)),"ER"))</f>
        <v>?</v>
      </c>
      <c r="Z95" s="86" t="str">
        <f aca="true">IF($H95=0,"NA",IF($A95=INDIRECT("'"&amp;$A95&amp;"'!$B$1"),IF(VLOOKUP(Z$1,INDIRECT("'"&amp;$A95&amp;"'!$A$12:$Z$41"),MATCH("Points (Auto-generate)",INDIRECT("'"&amp;$A95&amp;"'!$A$12:$Z$12"),0),0)="","?",VLOOKUP(Z$1,INDIRECT("'"&amp;$A95&amp;"'!$A$12:$Z$41"),MATCH("Points (Auto-generate)",INDIRECT("'"&amp;$A95&amp;"'!$A$12:$Z$12"),0),0)),"ER"))</f>
        <v>?</v>
      </c>
      <c r="AA95" s="86" t="str">
        <f aca="true">IF($H95=0,"NA",IF($A95=INDIRECT("'"&amp;$A95&amp;"'!$B$1"),IF(VLOOKUP(AA$1,INDIRECT("'"&amp;$A95&amp;"'!$A$12:$Z$41"),MATCH("Points (Auto-generate)",INDIRECT("'"&amp;$A95&amp;"'!$A$12:$Z$12"),0),0)="","?",VLOOKUP(AA$1,INDIRECT("'"&amp;$A95&amp;"'!$A$12:$Z$41"),MATCH("Points (Auto-generate)",INDIRECT("'"&amp;$A95&amp;"'!$A$12:$Z$12"),0),0)),"ER"))</f>
        <v>?</v>
      </c>
      <c r="AB95" s="86" t="str">
        <f aca="true">IF($H95=0,"NA",IF($A95=INDIRECT("'"&amp;$A95&amp;"'!$B$1"),IF(VLOOKUP(AB$1,INDIRECT("'"&amp;$A95&amp;"'!$A$12:$Z$41"),MATCH("Points (Auto-generate)",INDIRECT("'"&amp;$A95&amp;"'!$A$12:$Z$12"),0),0)="","?",VLOOKUP(AB$1,INDIRECT("'"&amp;$A95&amp;"'!$A$12:$Z$41"),MATCH("Points (Auto-generate)",INDIRECT("'"&amp;$A95&amp;"'!$A$12:$Z$12"),0),0)),"ER"))</f>
        <v>?</v>
      </c>
      <c r="AC95" s="86" t="str">
        <f aca="true">IF($H95=0,"NA",IF($A95=INDIRECT("'"&amp;$A95&amp;"'!$B$1"),IF(VLOOKUP(AC$1,INDIRECT("'"&amp;$A95&amp;"'!$A$12:$Z$41"),MATCH("Points (Auto-generate)",INDIRECT("'"&amp;$A95&amp;"'!$A$12:$Z$12"),0),0)="","?",VLOOKUP(AC$1,INDIRECT("'"&amp;$A95&amp;"'!$A$12:$Z$41"),MATCH("Points (Auto-generate)",INDIRECT("'"&amp;$A95&amp;"'!$A$12:$Z$12"),0),0)),"ER"))</f>
        <v>?</v>
      </c>
      <c r="AD95" s="86" t="str">
        <f aca="true">IF($H95=0,"NA",IF($A95=INDIRECT("'"&amp;$A95&amp;"'!$B$1"),IF(VLOOKUP(AD$1,INDIRECT("'"&amp;$A95&amp;"'!$A$12:$Z$41"),MATCH("Points (Auto-generate)",INDIRECT("'"&amp;$A95&amp;"'!$A$12:$Z$12"),0),0)="","?",VLOOKUP(AD$1,INDIRECT("'"&amp;$A95&amp;"'!$A$12:$Z$41"),MATCH("Points (Auto-generate)",INDIRECT("'"&amp;$A95&amp;"'!$A$12:$Z$12"),0),0)),"ER"))</f>
        <v>?</v>
      </c>
      <c r="AE95" s="86" t="str">
        <f aca="true">IF($H95=0,"NA",IF($A95=INDIRECT("'"&amp;$A95&amp;"'!$B$1"),IF(VLOOKUP(AE$1,INDIRECT("'"&amp;$A95&amp;"'!$A$12:$Z$41"),MATCH("Points (Auto-generate)",INDIRECT("'"&amp;$A95&amp;"'!$A$12:$Z$12"),0),0)="","?",VLOOKUP(AE$1,INDIRECT("'"&amp;$A95&amp;"'!$A$12:$Z$41"),MATCH("Points (Auto-generate)",INDIRECT("'"&amp;$A95&amp;"'!$A$12:$Z$12"),0),0)),"ER"))</f>
        <v>?</v>
      </c>
      <c r="AF95" s="86" t="str">
        <f aca="true">IF($H95=0,"NA",IF($A95=INDIRECT("'"&amp;$A95&amp;"'!$B$1"),IF(VLOOKUP(AF$1,INDIRECT("'"&amp;$A95&amp;"'!$A$12:$Z$41"),MATCH("Points (Auto-generate)",INDIRECT("'"&amp;$A95&amp;"'!$A$12:$Z$12"),0),0)="","?",VLOOKUP(AF$1,INDIRECT("'"&amp;$A95&amp;"'!$A$12:$Z$41"),MATCH("Points (Auto-generate)",INDIRECT("'"&amp;$A95&amp;"'!$A$12:$Z$12"),0),0)),"ER"))</f>
        <v>?</v>
      </c>
      <c r="AG95" s="86" t="str">
        <f aca="true">IF($H95=0,"NA",IF($A95=INDIRECT("'"&amp;$A95&amp;"'!$B$1"),IF(VLOOKUP(AG$1,INDIRECT("'"&amp;$A95&amp;"'!$A$12:$Z$41"),MATCH("Points (Auto-generate)",INDIRECT("'"&amp;$A95&amp;"'!$A$12:$Z$12"),0),0)="","?",VLOOKUP(AG$1,INDIRECT("'"&amp;$A95&amp;"'!$A$12:$Z$41"),MATCH("Points (Auto-generate)",INDIRECT("'"&amp;$A95&amp;"'!$A$12:$Z$12"),0),0)),"ER"))</f>
        <v>?</v>
      </c>
      <c r="AH95" s="86" t="str">
        <f aca="true">IF($H95=0,"NA",IF($A95=INDIRECT("'"&amp;$A95&amp;"'!$B$1"),IF(VLOOKUP(AH$1,INDIRECT("'"&amp;$A95&amp;"'!$A$12:$Z$41"),MATCH("Points (Auto-generate)",INDIRECT("'"&amp;$A95&amp;"'!$A$12:$Z$12"),0),0)="","?",VLOOKUP(AH$1,INDIRECT("'"&amp;$A95&amp;"'!$A$12:$Z$41"),MATCH("Points (Auto-generate)",INDIRECT("'"&amp;$A95&amp;"'!$A$12:$Z$12"),0),0)),"ER"))</f>
        <v>?</v>
      </c>
      <c r="AI95" s="86" t="str">
        <f aca="true">IF($H95=0,"NA",IF($A95=INDIRECT("'"&amp;$A95&amp;"'!$B$1"),IF(VLOOKUP(AI$1,INDIRECT("'"&amp;$A95&amp;"'!$A$12:$Z$41"),MATCH("Points (Auto-generate)",INDIRECT("'"&amp;$A95&amp;"'!$A$12:$Z$12"),0),0)="","?",VLOOKUP(AI$1,INDIRECT("'"&amp;$A95&amp;"'!$A$12:$Z$41"),MATCH("Points (Auto-generate)",INDIRECT("'"&amp;$A95&amp;"'!$A$12:$Z$12"),0),0)),"ER"))</f>
        <v>?</v>
      </c>
      <c r="AJ95" s="86" t="str">
        <f aca="true">IF($H95=0,"NA",IF($A95=INDIRECT("'"&amp;$A95&amp;"'!$B$1"),IF(VLOOKUP(AJ$1,INDIRECT("'"&amp;$A95&amp;"'!$A$12:$Z$41"),MATCH("Points (Auto-generate)",INDIRECT("'"&amp;$A95&amp;"'!$A$12:$Z$12"),0),0)="","?",VLOOKUP(AJ$1,INDIRECT("'"&amp;$A95&amp;"'!$A$12:$Z$41"),MATCH("Points (Auto-generate)",INDIRECT("'"&amp;$A95&amp;"'!$A$12:$Z$12"),0),0)),"ER"))</f>
        <v>?</v>
      </c>
      <c r="AK95" s="86" t="str">
        <f aca="true">IF($H95=0,"NA",IF($A95=INDIRECT("'"&amp;$A95&amp;"'!$B$1"),IF(VLOOKUP(AK$1,INDIRECT("'"&amp;$A95&amp;"'!$A$12:$Z$41"),MATCH("Points (Auto-generate)",INDIRECT("'"&amp;$A95&amp;"'!$A$12:$Z$12"),0),0)="","?",VLOOKUP(AK$1,INDIRECT("'"&amp;$A95&amp;"'!$A$12:$Z$41"),MATCH("Points (Auto-generate)",INDIRECT("'"&amp;$A95&amp;"'!$A$12:$Z$12"),0),0)),"ER"))</f>
        <v>?</v>
      </c>
    </row>
    <row r="96" customFormat="false" ht="14.25" hidden="false" customHeight="false" outlineLevel="0" collapsed="false">
      <c r="A96" s="82" t="s">
        <v>292</v>
      </c>
      <c r="B96" s="83" t="str">
        <f aca="false">IF(ISBLANK($A96),"NO_CODE",VLOOKUP($A96,'UPD Questions_290926 '!$E$1:$N$300,MATCH(B$1,'UPD Questions_290926 '!$E$1:$N$1,0),0)&amp;"")</f>
        <v>Implementation</v>
      </c>
      <c r="C96" s="83" t="str">
        <f aca="false">IF(ISBLANK($A96),"NO_CODE",VLOOKUP($A96,'UPD Questions_290926 '!$E$1:$N$300,MATCH(C$1,'UPD Questions_290926 '!$E$1:$N$1,0),0)&amp;"")</f>
        <v>Development Control Regulations and land-management instruments</v>
      </c>
      <c r="D96" s="83" t="str">
        <f aca="false">IF(ISBLANK($A96),"NO_CODE",VLOOKUP($A96,'UPD Questions_290926 '!$E$1:$N$300,MATCH(D$1,'UPD Questions_290926 '!$E$1:$N$1,0),0)&amp;"")</f>
        <v>DCR revision and public consultation</v>
      </c>
      <c r="E96" s="83" t="str">
        <f aca="false">IF(ISBLANK($A96),"NO_CODE",VLOOKUP($A96,'UPD Questions_290926 '!$E$1:$N$300,MATCH(E$1,'UPD Questions_290926 '!$E$1:$N$1,0),0)&amp;"")</f>
        <v>SQ</v>
      </c>
      <c r="F96" s="83" t="str">
        <f aca="false">IF(ISBLANK($A96),"NO_CODE",VLOOKUP($A96,'UPD Questions_290926 '!$E$1:$N$300,MATCH(F$1,'UPD Questions_290926 '!$E$1:$N$1,0),0)&amp;"")</f>
        <v>Do the DCRs provide development controls, standards or incentives that enable the conservation and adaptive reuse of heritage buildings, precincts or historic areas?</v>
      </c>
      <c r="G96" s="83" t="str">
        <f aca="false">IF(ISBLANK($A96),"NO_CODE",VLOOKUP($A96,'UPD Questions_290926 '!$E$1:$N$300,MATCH(G$1,'UPD Questions_290926 '!$E$1:$N$1,0),0)&amp;"")</f>
        <v>Law or Policy</v>
      </c>
      <c r="H96" s="85" t="n">
        <f aca="false">IF(ISBLANK($A96),"NO_CODE",VLOOKUP($A96,'UPD Questions_290926 '!$E$1:$N$300,MATCH(H$1,'UPD Questions_290926 '!$E$1:$N$1,0),0))</f>
        <v>2</v>
      </c>
      <c r="I96" s="86" t="str">
        <f aca="true">IF($H96=0,"NA",IF($A96=INDIRECT("'"&amp;$A96&amp;"'!$B$1"),IF(VLOOKUP(I$1,INDIRECT("'"&amp;$A96&amp;"'!$A$12:$Z$41"),MATCH("Points (Auto-generate)",INDIRECT("'"&amp;$A96&amp;"'!$A$12:$Z$12"),0),0)="","?",VLOOKUP(I$1,INDIRECT("'"&amp;$A96&amp;"'!$A$12:$Z$41"),MATCH("Points (Auto-generate)",INDIRECT("'"&amp;$A96&amp;"'!$A$12:$Z$12"),0),0)),"ER"))</f>
        <v>?</v>
      </c>
      <c r="J96" s="86" t="n">
        <f aca="true">IF($H96=0,"NA",IF($A96=INDIRECT("'"&amp;$A96&amp;"'!$B$1"),IF(VLOOKUP(J$1,INDIRECT("'"&amp;$A96&amp;"'!$A$12:$Z$41"),MATCH("Points (Auto-generate)",INDIRECT("'"&amp;$A96&amp;"'!$A$12:$Z$12"),0),0)="","?",VLOOKUP(J$1,INDIRECT("'"&amp;$A96&amp;"'!$A$12:$Z$41"),MATCH("Points (Auto-generate)",INDIRECT("'"&amp;$A96&amp;"'!$A$12:$Z$12"),0),0)),"ER"))</f>
        <v>0</v>
      </c>
      <c r="K96" s="86" t="str">
        <f aca="true">IF($H96=0,"NA",IF($A96=INDIRECT("'"&amp;$A96&amp;"'!$B$1"),IF(VLOOKUP(K$1,INDIRECT("'"&amp;$A96&amp;"'!$A$12:$Z$41"),MATCH("Points (Auto-generate)",INDIRECT("'"&amp;$A96&amp;"'!$A$12:$Z$12"),0),0)="","?",VLOOKUP(K$1,INDIRECT("'"&amp;$A96&amp;"'!$A$12:$Z$41"),MATCH("Points (Auto-generate)",INDIRECT("'"&amp;$A96&amp;"'!$A$12:$Z$12"),0),0)),"ER"))</f>
        <v>?</v>
      </c>
      <c r="L96" s="86" t="str">
        <f aca="true">IF($H96=0,"NA",IF($A96=INDIRECT("'"&amp;$A96&amp;"'!$B$1"),IF(VLOOKUP(L$1,INDIRECT("'"&amp;$A96&amp;"'!$A$12:$Z$41"),MATCH("Points (Auto-generate)",INDIRECT("'"&amp;$A96&amp;"'!$A$12:$Z$12"),0),0)="","?",VLOOKUP(L$1,INDIRECT("'"&amp;$A96&amp;"'!$A$12:$Z$41"),MATCH("Points (Auto-generate)",INDIRECT("'"&amp;$A96&amp;"'!$A$12:$Z$12"),0),0)),"ER"))</f>
        <v>?</v>
      </c>
      <c r="M96" s="86" t="str">
        <f aca="true">IF($H96=0,"NA",IF($A96=INDIRECT("'"&amp;$A96&amp;"'!$B$1"),IF(VLOOKUP(M$1,INDIRECT("'"&amp;$A96&amp;"'!$A$12:$Z$41"),MATCH("Points (Auto-generate)",INDIRECT("'"&amp;$A96&amp;"'!$A$12:$Z$12"),0),0)="","?",VLOOKUP(M$1,INDIRECT("'"&amp;$A96&amp;"'!$A$12:$Z$41"),MATCH("Points (Auto-generate)",INDIRECT("'"&amp;$A96&amp;"'!$A$12:$Z$12"),0),0)),"ER"))</f>
        <v>?</v>
      </c>
      <c r="N96" s="86" t="str">
        <f aca="true">IF($H96=0,"NA",IF($A96=INDIRECT("'"&amp;$A96&amp;"'!$B$1"),IF(VLOOKUP(N$1,INDIRECT("'"&amp;$A96&amp;"'!$A$12:$Z$41"),MATCH("Points (Auto-generate)",INDIRECT("'"&amp;$A96&amp;"'!$A$12:$Z$12"),0),0)="","?",VLOOKUP(N$1,INDIRECT("'"&amp;$A96&amp;"'!$A$12:$Z$41"),MATCH("Points (Auto-generate)",INDIRECT("'"&amp;$A96&amp;"'!$A$12:$Z$12"),0),0)),"ER"))</f>
        <v>?</v>
      </c>
      <c r="O96" s="86" t="str">
        <f aca="true">IF($H96=0,"NA",IF($A96=INDIRECT("'"&amp;$A96&amp;"'!$B$1"),IF(VLOOKUP(O$1,INDIRECT("'"&amp;$A96&amp;"'!$A$12:$Z$41"),MATCH("Points (Auto-generate)",INDIRECT("'"&amp;$A96&amp;"'!$A$12:$Z$12"),0),0)="","?",VLOOKUP(O$1,INDIRECT("'"&amp;$A96&amp;"'!$A$12:$Z$41"),MATCH("Points (Auto-generate)",INDIRECT("'"&amp;$A96&amp;"'!$A$12:$Z$12"),0),0)),"ER"))</f>
        <v>?</v>
      </c>
      <c r="P96" s="86" t="str">
        <f aca="true">IF($H96=0,"NA",IF($A96=INDIRECT("'"&amp;$A96&amp;"'!$B$1"),IF(VLOOKUP(P$1,INDIRECT("'"&amp;$A96&amp;"'!$A$12:$Z$41"),MATCH("Points (Auto-generate)",INDIRECT("'"&amp;$A96&amp;"'!$A$12:$Z$12"),0),0)="","?",VLOOKUP(P$1,INDIRECT("'"&amp;$A96&amp;"'!$A$12:$Z$41"),MATCH("Points (Auto-generate)",INDIRECT("'"&amp;$A96&amp;"'!$A$12:$Z$12"),0),0)),"ER"))</f>
        <v>?</v>
      </c>
      <c r="Q96" s="86" t="str">
        <f aca="true">IF($H96=0,"NA",IF($A96=INDIRECT("'"&amp;$A96&amp;"'!$B$1"),IF(VLOOKUP(Q$1,INDIRECT("'"&amp;$A96&amp;"'!$A$12:$Z$41"),MATCH("Points (Auto-generate)",INDIRECT("'"&amp;$A96&amp;"'!$A$12:$Z$12"),0),0)="","?",VLOOKUP(Q$1,INDIRECT("'"&amp;$A96&amp;"'!$A$12:$Z$41"),MATCH("Points (Auto-generate)",INDIRECT("'"&amp;$A96&amp;"'!$A$12:$Z$12"),0),0)),"ER"))</f>
        <v>?</v>
      </c>
      <c r="R96" s="86" t="str">
        <f aca="true">IF($H96=0,"NA",IF($A96=INDIRECT("'"&amp;$A96&amp;"'!$B$1"),IF(VLOOKUP(R$1,INDIRECT("'"&amp;$A96&amp;"'!$A$12:$Z$41"),MATCH("Points (Auto-generate)",INDIRECT("'"&amp;$A96&amp;"'!$A$12:$Z$12"),0),0)="","?",VLOOKUP(R$1,INDIRECT("'"&amp;$A96&amp;"'!$A$12:$Z$41"),MATCH("Points (Auto-generate)",INDIRECT("'"&amp;$A96&amp;"'!$A$12:$Z$12"),0),0)),"ER"))</f>
        <v>?</v>
      </c>
      <c r="S96" s="86" t="str">
        <f aca="true">IF($H96=0,"NA",IF($A96=INDIRECT("'"&amp;$A96&amp;"'!$B$1"),IF(VLOOKUP(S$1,INDIRECT("'"&amp;$A96&amp;"'!$A$12:$Z$41"),MATCH("Points (Auto-generate)",INDIRECT("'"&amp;$A96&amp;"'!$A$12:$Z$12"),0),0)="","?",VLOOKUP(S$1,INDIRECT("'"&amp;$A96&amp;"'!$A$12:$Z$41"),MATCH("Points (Auto-generate)",INDIRECT("'"&amp;$A96&amp;"'!$A$12:$Z$12"),0),0)),"ER"))</f>
        <v>?</v>
      </c>
      <c r="T96" s="86" t="str">
        <f aca="true">IF($H96=0,"NA",IF($A96=INDIRECT("'"&amp;$A96&amp;"'!$B$1"),IF(VLOOKUP(T$1,INDIRECT("'"&amp;$A96&amp;"'!$A$12:$Z$41"),MATCH("Points (Auto-generate)",INDIRECT("'"&amp;$A96&amp;"'!$A$12:$Z$12"),0),0)="","?",VLOOKUP(T$1,INDIRECT("'"&amp;$A96&amp;"'!$A$12:$Z$41"),MATCH("Points (Auto-generate)",INDIRECT("'"&amp;$A96&amp;"'!$A$12:$Z$12"),0),0)),"ER"))</f>
        <v>?</v>
      </c>
      <c r="U96" s="86" t="str">
        <f aca="true">IF($H96=0,"NA",IF($A96=INDIRECT("'"&amp;$A96&amp;"'!$B$1"),IF(VLOOKUP(U$1,INDIRECT("'"&amp;$A96&amp;"'!$A$12:$Z$41"),MATCH("Points (Auto-generate)",INDIRECT("'"&amp;$A96&amp;"'!$A$12:$Z$12"),0),0)="","?",VLOOKUP(U$1,INDIRECT("'"&amp;$A96&amp;"'!$A$12:$Z$41"),MATCH("Points (Auto-generate)",INDIRECT("'"&amp;$A96&amp;"'!$A$12:$Z$12"),0),0)),"ER"))</f>
        <v>?</v>
      </c>
      <c r="V96" s="86" t="str">
        <f aca="true">IF($H96=0,"NA",IF($A96=INDIRECT("'"&amp;$A96&amp;"'!$B$1"),IF(VLOOKUP(V$1,INDIRECT("'"&amp;$A96&amp;"'!$A$12:$Z$41"),MATCH("Points (Auto-generate)",INDIRECT("'"&amp;$A96&amp;"'!$A$12:$Z$12"),0),0)="","?",VLOOKUP(V$1,INDIRECT("'"&amp;$A96&amp;"'!$A$12:$Z$41"),MATCH("Points (Auto-generate)",INDIRECT("'"&amp;$A96&amp;"'!$A$12:$Z$12"),0),0)),"ER"))</f>
        <v>?</v>
      </c>
      <c r="W96" s="86" t="str">
        <f aca="true">IF($H96=0,"NA",IF($A96=INDIRECT("'"&amp;$A96&amp;"'!$B$1"),IF(VLOOKUP(W$1,INDIRECT("'"&amp;$A96&amp;"'!$A$12:$Z$41"),MATCH("Points (Auto-generate)",INDIRECT("'"&amp;$A96&amp;"'!$A$12:$Z$12"),0),0)="","?",VLOOKUP(W$1,INDIRECT("'"&amp;$A96&amp;"'!$A$12:$Z$41"),MATCH("Points (Auto-generate)",INDIRECT("'"&amp;$A96&amp;"'!$A$12:$Z$12"),0),0)),"ER"))</f>
        <v>?</v>
      </c>
      <c r="X96" s="86" t="str">
        <f aca="true">IF($H96=0,"NA",IF($A96=INDIRECT("'"&amp;$A96&amp;"'!$B$1"),IF(VLOOKUP(X$1,INDIRECT("'"&amp;$A96&amp;"'!$A$12:$Z$41"),MATCH("Points (Auto-generate)",INDIRECT("'"&amp;$A96&amp;"'!$A$12:$Z$12"),0),0)="","?",VLOOKUP(X$1,INDIRECT("'"&amp;$A96&amp;"'!$A$12:$Z$41"),MATCH("Points (Auto-generate)",INDIRECT("'"&amp;$A96&amp;"'!$A$12:$Z$12"),0),0)),"ER"))</f>
        <v>?</v>
      </c>
      <c r="Y96" s="86" t="str">
        <f aca="true">IF($H96=0,"NA",IF($A96=INDIRECT("'"&amp;$A96&amp;"'!$B$1"),IF(VLOOKUP(Y$1,INDIRECT("'"&amp;$A96&amp;"'!$A$12:$Z$41"),MATCH("Points (Auto-generate)",INDIRECT("'"&amp;$A96&amp;"'!$A$12:$Z$12"),0),0)="","?",VLOOKUP(Y$1,INDIRECT("'"&amp;$A96&amp;"'!$A$12:$Z$41"),MATCH("Points (Auto-generate)",INDIRECT("'"&amp;$A96&amp;"'!$A$12:$Z$12"),0),0)),"ER"))</f>
        <v>?</v>
      </c>
      <c r="Z96" s="86" t="str">
        <f aca="true">IF($H96=0,"NA",IF($A96=INDIRECT("'"&amp;$A96&amp;"'!$B$1"),IF(VLOOKUP(Z$1,INDIRECT("'"&amp;$A96&amp;"'!$A$12:$Z$41"),MATCH("Points (Auto-generate)",INDIRECT("'"&amp;$A96&amp;"'!$A$12:$Z$12"),0),0)="","?",VLOOKUP(Z$1,INDIRECT("'"&amp;$A96&amp;"'!$A$12:$Z$41"),MATCH("Points (Auto-generate)",INDIRECT("'"&amp;$A96&amp;"'!$A$12:$Z$12"),0),0)),"ER"))</f>
        <v>?</v>
      </c>
      <c r="AA96" s="86" t="str">
        <f aca="true">IF($H96=0,"NA",IF($A96=INDIRECT("'"&amp;$A96&amp;"'!$B$1"),IF(VLOOKUP(AA$1,INDIRECT("'"&amp;$A96&amp;"'!$A$12:$Z$41"),MATCH("Points (Auto-generate)",INDIRECT("'"&amp;$A96&amp;"'!$A$12:$Z$12"),0),0)="","?",VLOOKUP(AA$1,INDIRECT("'"&amp;$A96&amp;"'!$A$12:$Z$41"),MATCH("Points (Auto-generate)",INDIRECT("'"&amp;$A96&amp;"'!$A$12:$Z$12"),0),0)),"ER"))</f>
        <v>?</v>
      </c>
      <c r="AB96" s="86" t="str">
        <f aca="true">IF($H96=0,"NA",IF($A96=INDIRECT("'"&amp;$A96&amp;"'!$B$1"),IF(VLOOKUP(AB$1,INDIRECT("'"&amp;$A96&amp;"'!$A$12:$Z$41"),MATCH("Points (Auto-generate)",INDIRECT("'"&amp;$A96&amp;"'!$A$12:$Z$12"),0),0)="","?",VLOOKUP(AB$1,INDIRECT("'"&amp;$A96&amp;"'!$A$12:$Z$41"),MATCH("Points (Auto-generate)",INDIRECT("'"&amp;$A96&amp;"'!$A$12:$Z$12"),0),0)),"ER"))</f>
        <v>?</v>
      </c>
      <c r="AC96" s="86" t="str">
        <f aca="true">IF($H96=0,"NA",IF($A96=INDIRECT("'"&amp;$A96&amp;"'!$B$1"),IF(VLOOKUP(AC$1,INDIRECT("'"&amp;$A96&amp;"'!$A$12:$Z$41"),MATCH("Points (Auto-generate)",INDIRECT("'"&amp;$A96&amp;"'!$A$12:$Z$12"),0),0)="","?",VLOOKUP(AC$1,INDIRECT("'"&amp;$A96&amp;"'!$A$12:$Z$41"),MATCH("Points (Auto-generate)",INDIRECT("'"&amp;$A96&amp;"'!$A$12:$Z$12"),0),0)),"ER"))</f>
        <v>?</v>
      </c>
      <c r="AD96" s="86" t="str">
        <f aca="true">IF($H96=0,"NA",IF($A96=INDIRECT("'"&amp;$A96&amp;"'!$B$1"),IF(VLOOKUP(AD$1,INDIRECT("'"&amp;$A96&amp;"'!$A$12:$Z$41"),MATCH("Points (Auto-generate)",INDIRECT("'"&amp;$A96&amp;"'!$A$12:$Z$12"),0),0)="","?",VLOOKUP(AD$1,INDIRECT("'"&amp;$A96&amp;"'!$A$12:$Z$41"),MATCH("Points (Auto-generate)",INDIRECT("'"&amp;$A96&amp;"'!$A$12:$Z$12"),0),0)),"ER"))</f>
        <v>?</v>
      </c>
      <c r="AE96" s="86" t="str">
        <f aca="true">IF($H96=0,"NA",IF($A96=INDIRECT("'"&amp;$A96&amp;"'!$B$1"),IF(VLOOKUP(AE$1,INDIRECT("'"&amp;$A96&amp;"'!$A$12:$Z$41"),MATCH("Points (Auto-generate)",INDIRECT("'"&amp;$A96&amp;"'!$A$12:$Z$12"),0),0)="","?",VLOOKUP(AE$1,INDIRECT("'"&amp;$A96&amp;"'!$A$12:$Z$41"),MATCH("Points (Auto-generate)",INDIRECT("'"&amp;$A96&amp;"'!$A$12:$Z$12"),0),0)),"ER"))</f>
        <v>?</v>
      </c>
      <c r="AF96" s="86" t="str">
        <f aca="true">IF($H96=0,"NA",IF($A96=INDIRECT("'"&amp;$A96&amp;"'!$B$1"),IF(VLOOKUP(AF$1,INDIRECT("'"&amp;$A96&amp;"'!$A$12:$Z$41"),MATCH("Points (Auto-generate)",INDIRECT("'"&amp;$A96&amp;"'!$A$12:$Z$12"),0),0)="","?",VLOOKUP(AF$1,INDIRECT("'"&amp;$A96&amp;"'!$A$12:$Z$41"),MATCH("Points (Auto-generate)",INDIRECT("'"&amp;$A96&amp;"'!$A$12:$Z$12"),0),0)),"ER"))</f>
        <v>?</v>
      </c>
      <c r="AG96" s="86" t="str">
        <f aca="true">IF($H96=0,"NA",IF($A96=INDIRECT("'"&amp;$A96&amp;"'!$B$1"),IF(VLOOKUP(AG$1,INDIRECT("'"&amp;$A96&amp;"'!$A$12:$Z$41"),MATCH("Points (Auto-generate)",INDIRECT("'"&amp;$A96&amp;"'!$A$12:$Z$12"),0),0)="","?",VLOOKUP(AG$1,INDIRECT("'"&amp;$A96&amp;"'!$A$12:$Z$41"),MATCH("Points (Auto-generate)",INDIRECT("'"&amp;$A96&amp;"'!$A$12:$Z$12"),0),0)),"ER"))</f>
        <v>?</v>
      </c>
      <c r="AH96" s="86" t="str">
        <f aca="true">IF($H96=0,"NA",IF($A96=INDIRECT("'"&amp;$A96&amp;"'!$B$1"),IF(VLOOKUP(AH$1,INDIRECT("'"&amp;$A96&amp;"'!$A$12:$Z$41"),MATCH("Points (Auto-generate)",INDIRECT("'"&amp;$A96&amp;"'!$A$12:$Z$12"),0),0)="","?",VLOOKUP(AH$1,INDIRECT("'"&amp;$A96&amp;"'!$A$12:$Z$41"),MATCH("Points (Auto-generate)",INDIRECT("'"&amp;$A96&amp;"'!$A$12:$Z$12"),0),0)),"ER"))</f>
        <v>?</v>
      </c>
      <c r="AI96" s="86" t="str">
        <f aca="true">IF($H96=0,"NA",IF($A96=INDIRECT("'"&amp;$A96&amp;"'!$B$1"),IF(VLOOKUP(AI$1,INDIRECT("'"&amp;$A96&amp;"'!$A$12:$Z$41"),MATCH("Points (Auto-generate)",INDIRECT("'"&amp;$A96&amp;"'!$A$12:$Z$12"),0),0)="","?",VLOOKUP(AI$1,INDIRECT("'"&amp;$A96&amp;"'!$A$12:$Z$41"),MATCH("Points (Auto-generate)",INDIRECT("'"&amp;$A96&amp;"'!$A$12:$Z$12"),0),0)),"ER"))</f>
        <v>?</v>
      </c>
      <c r="AJ96" s="86" t="str">
        <f aca="true">IF($H96=0,"NA",IF($A96=INDIRECT("'"&amp;$A96&amp;"'!$B$1"),IF(VLOOKUP(AJ$1,INDIRECT("'"&amp;$A96&amp;"'!$A$12:$Z$41"),MATCH("Points (Auto-generate)",INDIRECT("'"&amp;$A96&amp;"'!$A$12:$Z$12"),0),0)="","?",VLOOKUP(AJ$1,INDIRECT("'"&amp;$A96&amp;"'!$A$12:$Z$41"),MATCH("Points (Auto-generate)",INDIRECT("'"&amp;$A96&amp;"'!$A$12:$Z$12"),0),0)),"ER"))</f>
        <v>?</v>
      </c>
      <c r="AK96" s="86" t="str">
        <f aca="true">IF($H96=0,"NA",IF($A96=INDIRECT("'"&amp;$A96&amp;"'!$B$1"),IF(VLOOKUP(AK$1,INDIRECT("'"&amp;$A96&amp;"'!$A$12:$Z$41"),MATCH("Points (Auto-generate)",INDIRECT("'"&amp;$A96&amp;"'!$A$12:$Z$12"),0),0)="","?",VLOOKUP(AK$1,INDIRECT("'"&amp;$A96&amp;"'!$A$12:$Z$41"),MATCH("Points (Auto-generate)",INDIRECT("'"&amp;$A96&amp;"'!$A$12:$Z$12"),0),0)),"ER"))</f>
        <v>?</v>
      </c>
    </row>
    <row r="97" customFormat="false" ht="14.25" hidden="false" customHeight="false" outlineLevel="0" collapsed="false">
      <c r="A97" s="82" t="s">
        <v>422</v>
      </c>
      <c r="B97" s="83" t="str">
        <f aca="false">IF(ISBLANK($A97),"NO_CODE",VLOOKUP($A97,'UPD Questions_290926 '!$E$1:$N$300,MATCH(B$1,'UPD Questions_290926 '!$E$1:$N$1,0),0)&amp;"")</f>
        <v>Implementation</v>
      </c>
      <c r="C97" s="83" t="str">
        <f aca="false">IF(ISBLANK($A97),"NO_CODE",VLOOKUP($A97,'UPD Questions_290926 '!$E$1:$N$300,MATCH(C$1,'UPD Questions_290926 '!$E$1:$N$1,0),0)&amp;"")</f>
        <v>Development Control Regulations and land-management instruments</v>
      </c>
      <c r="D97" s="83" t="str">
        <f aca="false">IF(ISBLANK($A97),"NO_CODE",VLOOKUP($A97,'UPD Questions_290926 '!$E$1:$N$300,MATCH(D$1,'UPD Questions_290926 '!$E$1:$N$1,0),0)&amp;"")</f>
        <v>Green-building incentives</v>
      </c>
      <c r="E97" s="83" t="str">
        <f aca="false">IF(ISBLANK($A97),"NO_CODE",VLOOKUP($A97,'UPD Questions_290926 '!$E$1:$N$300,MATCH(E$1,'UPD Questions_290926 '!$E$1:$N$1,0),0)&amp;"")</f>
        <v>MQ</v>
      </c>
      <c r="F97" s="83" t="str">
        <f aca="false">IF(ISBLANK($A97),"NO_CODE",VLOOKUP($A97,'UPD Questions_290926 '!$E$1:$N$300,MATCH(F$1,'UPD Questions_290926 '!$E$1:$N$1,0),0)&amp;"")</f>
        <v>Does the city have a mandate to provide incentives for green buildings, and are these incentives operationalised?</v>
      </c>
      <c r="G97" s="83" t="str">
        <f aca="false">IF(ISBLANK($A97),"NO_CODE",VLOOKUP($A97,'UPD Questions_290926 '!$E$1:$N$300,MATCH(G$1,'UPD Questions_290926 '!$E$1:$N$1,0),0)&amp;"")</f>
        <v>Law or Policy &amp; Implementation</v>
      </c>
      <c r="H97" s="85" t="n">
        <f aca="false">IF(ISBLANK($A97),"NO_CODE",VLOOKUP($A97,'UPD Questions_290926 '!$E$1:$N$300,MATCH(H$1,'UPD Questions_290926 '!$E$1:$N$1,0),0))</f>
        <v>10</v>
      </c>
      <c r="I97" s="86" t="str">
        <f aca="false">IF(OR(I98="ER",I99="ER"),"ER",IF(OR(I98="?",I99="?"),"?",IF(AND(I98="NA",I99="NA"),"NA",SUM(I98,I99)/((I98&lt;&gt;"NA")*$H$98+(I99&lt;&gt;"NA")*$H$99)*$H97)))</f>
        <v>?</v>
      </c>
      <c r="J97" s="86" t="str">
        <f aca="false">IF(OR(J98="ER",J99="ER"),"ER",IF(OR(J98="?",J99="?"),"?",IF(AND(J98="NA",J99="NA"),"NA",SUM(J98,J99)/((J98&lt;&gt;"NA")*$H$98+(J99&lt;&gt;"NA")*$H$99)*$H97)))</f>
        <v>?</v>
      </c>
      <c r="K97" s="86" t="str">
        <f aca="false">IF(OR(K98="ER",K99="ER"),"ER",IF(OR(K98="?",K99="?"),"?",IF(AND(K98="NA",K99="NA"),"NA",SUM(K98,K99)/((K98&lt;&gt;"NA")*$H$98+(K99&lt;&gt;"NA")*$H$99)*$H97)))</f>
        <v>?</v>
      </c>
      <c r="L97" s="86" t="str">
        <f aca="false">IF(OR(L98="ER",L99="ER"),"ER",IF(OR(L98="?",L99="?"),"?",IF(AND(L98="NA",L99="NA"),"NA",SUM(L98,L99)/((L98&lt;&gt;"NA")*$H$98+(L99&lt;&gt;"NA")*$H$99)*$H97)))</f>
        <v>?</v>
      </c>
      <c r="M97" s="86" t="str">
        <f aca="false">IF(OR(M98="ER",M99="ER"),"ER",IF(OR(M98="?",M99="?"),"?",IF(AND(M98="NA",M99="NA"),"NA",SUM(M98,M99)/((M98&lt;&gt;"NA")*$H$98+(M99&lt;&gt;"NA")*$H$99)*$H97)))</f>
        <v>?</v>
      </c>
      <c r="N97" s="86" t="str">
        <f aca="false">IF(OR(N98="ER",N99="ER"),"ER",IF(OR(N98="?",N99="?"),"?",IF(AND(N98="NA",N99="NA"),"NA",SUM(N98,N99)/((N98&lt;&gt;"NA")*$H$98+(N99&lt;&gt;"NA")*$H$99)*$H97)))</f>
        <v>?</v>
      </c>
      <c r="O97" s="86" t="str">
        <f aca="false">IF(OR(O98="ER",O99="ER"),"ER",IF(OR(O98="?",O99="?"),"?",IF(AND(O98="NA",O99="NA"),"NA",SUM(O98,O99)/((O98&lt;&gt;"NA")*$H$98+(O99&lt;&gt;"NA")*$H$99)*$H97)))</f>
        <v>?</v>
      </c>
      <c r="P97" s="86" t="str">
        <f aca="false">IF(OR(P98="ER",P99="ER"),"ER",IF(OR(P98="?",P99="?"),"?",IF(AND(P98="NA",P99="NA"),"NA",SUM(P98,P99)/((P98&lt;&gt;"NA")*$H$98+(P99&lt;&gt;"NA")*$H$99)*$H97)))</f>
        <v>?</v>
      </c>
      <c r="Q97" s="86" t="str">
        <f aca="false">IF(OR(Q98="ER",Q99="ER"),"ER",IF(OR(Q98="?",Q99="?"),"?",IF(AND(Q98="NA",Q99="NA"),"NA",SUM(Q98,Q99)/((Q98&lt;&gt;"NA")*$H$98+(Q99&lt;&gt;"NA")*$H$99)*$H97)))</f>
        <v>?</v>
      </c>
      <c r="R97" s="86" t="str">
        <f aca="false">IF(OR(R98="ER",R99="ER"),"ER",IF(OR(R98="?",R99="?"),"?",IF(AND(R98="NA",R99="NA"),"NA",SUM(R98,R99)/((R98&lt;&gt;"NA")*$H$98+(R99&lt;&gt;"NA")*$H$99)*$H97)))</f>
        <v>?</v>
      </c>
      <c r="S97" s="86" t="str">
        <f aca="false">IF(OR(S98="ER",S99="ER"),"ER",IF(OR(S98="?",S99="?"),"?",IF(AND(S98="NA",S99="NA"),"NA",SUM(S98,S99)/((S98&lt;&gt;"NA")*$H$98+(S99&lt;&gt;"NA")*$H$99)*$H97)))</f>
        <v>?</v>
      </c>
      <c r="T97" s="86" t="str">
        <f aca="false">IF(OR(T98="ER",T99="ER"),"ER",IF(OR(T98="?",T99="?"),"?",IF(AND(T98="NA",T99="NA"),"NA",SUM(T98,T99)/((T98&lt;&gt;"NA")*$H$98+(T99&lt;&gt;"NA")*$H$99)*$H97)))</f>
        <v>?</v>
      </c>
      <c r="U97" s="86" t="str">
        <f aca="false">IF(OR(U98="ER",U99="ER"),"ER",IF(OR(U98="?",U99="?"),"?",IF(AND(U98="NA",U99="NA"),"NA",SUM(U98,U99)/((U98&lt;&gt;"NA")*$H$98+(U99&lt;&gt;"NA")*$H$99)*$H97)))</f>
        <v>?</v>
      </c>
      <c r="V97" s="86" t="str">
        <f aca="false">IF(OR(V98="ER",V99="ER"),"ER",IF(OR(V98="?",V99="?"),"?",IF(AND(V98="NA",V99="NA"),"NA",SUM(V98,V99)/((V98&lt;&gt;"NA")*$H$98+(V99&lt;&gt;"NA")*$H$99)*$H97)))</f>
        <v>?</v>
      </c>
      <c r="W97" s="86" t="str">
        <f aca="false">IF(OR(W98="ER",W99="ER"),"ER",IF(OR(W98="?",W99="?"),"?",IF(AND(W98="NA",W99="NA"),"NA",SUM(W98,W99)/((W98&lt;&gt;"NA")*$H$98+(W99&lt;&gt;"NA")*$H$99)*$H97)))</f>
        <v>?</v>
      </c>
      <c r="X97" s="86" t="str">
        <f aca="false">IF(OR(X98="ER",X99="ER"),"ER",IF(OR(X98="?",X99="?"),"?",IF(AND(X98="NA",X99="NA"),"NA",SUM(X98,X99)/((X98&lt;&gt;"NA")*$H$98+(X99&lt;&gt;"NA")*$H$99)*$H97)))</f>
        <v>?</v>
      </c>
      <c r="Y97" s="86" t="str">
        <f aca="false">IF(OR(Y98="ER",Y99="ER"),"ER",IF(OR(Y98="?",Y99="?"),"?",IF(AND(Y98="NA",Y99="NA"),"NA",SUM(Y98,Y99)/((Y98&lt;&gt;"NA")*$H$98+(Y99&lt;&gt;"NA")*$H$99)*$H97)))</f>
        <v>?</v>
      </c>
      <c r="Z97" s="86" t="str">
        <f aca="false">IF(OR(Z98="ER",Z99="ER"),"ER",IF(OR(Z98="?",Z99="?"),"?",IF(AND(Z98="NA",Z99="NA"),"NA",SUM(Z98,Z99)/((Z98&lt;&gt;"NA")*$H$98+(Z99&lt;&gt;"NA")*$H$99)*$H97)))</f>
        <v>?</v>
      </c>
      <c r="AA97" s="86" t="str">
        <f aca="false">IF(OR(AA98="ER",AA99="ER"),"ER",IF(OR(AA98="?",AA99="?"),"?",IF(AND(AA98="NA",AA99="NA"),"NA",SUM(AA98,AA99)/((AA98&lt;&gt;"NA")*$H$98+(AA99&lt;&gt;"NA")*$H$99)*$H97)))</f>
        <v>?</v>
      </c>
      <c r="AB97" s="86" t="str">
        <f aca="false">IF(OR(AB98="ER",AB99="ER"),"ER",IF(OR(AB98="?",AB99="?"),"?",IF(AND(AB98="NA",AB99="NA"),"NA",SUM(AB98,AB99)/((AB98&lt;&gt;"NA")*$H$98+(AB99&lt;&gt;"NA")*$H$99)*$H97)))</f>
        <v>?</v>
      </c>
      <c r="AC97" s="86" t="str">
        <f aca="false">IF(OR(AC98="ER",AC99="ER"),"ER",IF(OR(AC98="?",AC99="?"),"?",IF(AND(AC98="NA",AC99="NA"),"NA",SUM(AC98,AC99)/((AC98&lt;&gt;"NA")*$H$98+(AC99&lt;&gt;"NA")*$H$99)*$H97)))</f>
        <v>?</v>
      </c>
      <c r="AD97" s="86" t="str">
        <f aca="false">IF(OR(AD98="ER",AD99="ER"),"ER",IF(OR(AD98="?",AD99="?"),"?",IF(AND(AD98="NA",AD99="NA"),"NA",SUM(AD98,AD99)/((AD98&lt;&gt;"NA")*$H$98+(AD99&lt;&gt;"NA")*$H$99)*$H97)))</f>
        <v>?</v>
      </c>
      <c r="AE97" s="86" t="str">
        <f aca="false">IF(OR(AE98="ER",AE99="ER"),"ER",IF(OR(AE98="?",AE99="?"),"?",IF(AND(AE98="NA",AE99="NA"),"NA",SUM(AE98,AE99)/((AE98&lt;&gt;"NA")*$H$98+(AE99&lt;&gt;"NA")*$H$99)*$H97)))</f>
        <v>?</v>
      </c>
      <c r="AF97" s="86" t="str">
        <f aca="false">IF(OR(AF98="ER",AF99="ER"),"ER",IF(OR(AF98="?",AF99="?"),"?",IF(AND(AF98="NA",AF99="NA"),"NA",SUM(AF98,AF99)/((AF98&lt;&gt;"NA")*$H$98+(AF99&lt;&gt;"NA")*$H$99)*$H97)))</f>
        <v>?</v>
      </c>
      <c r="AG97" s="86" t="str">
        <f aca="false">IF(OR(AG98="ER",AG99="ER"),"ER",IF(OR(AG98="?",AG99="?"),"?",IF(AND(AG98="NA",AG99="NA"),"NA",SUM(AG98,AG99)/((AG98&lt;&gt;"NA")*$H$98+(AG99&lt;&gt;"NA")*$H$99)*$H97)))</f>
        <v>?</v>
      </c>
      <c r="AH97" s="86" t="str">
        <f aca="false">IF(OR(AH98="ER",AH99="ER"),"ER",IF(OR(AH98="?",AH99="?"),"?",IF(AND(AH98="NA",AH99="NA"),"NA",SUM(AH98,AH99)/((AH98&lt;&gt;"NA")*$H$98+(AH99&lt;&gt;"NA")*$H$99)*$H97)))</f>
        <v>?</v>
      </c>
      <c r="AI97" s="86" t="str">
        <f aca="false">IF(OR(AI98="ER",AI99="ER"),"ER",IF(OR(AI98="?",AI99="?"),"?",IF(AND(AI98="NA",AI99="NA"),"NA",SUM(AI98,AI99)/((AI98&lt;&gt;"NA")*$H$98+(AI99&lt;&gt;"NA")*$H$99)*$H97)))</f>
        <v>?</v>
      </c>
      <c r="AJ97" s="86" t="str">
        <f aca="false">IF(OR(AJ98="ER",AJ99="ER"),"ER",IF(OR(AJ98="?",AJ99="?"),"?",IF(AND(AJ98="NA",AJ99="NA"),"NA",SUM(AJ98,AJ99)/((AJ98&lt;&gt;"NA")*$H$98+(AJ99&lt;&gt;"NA")*$H$99)*$H97)))</f>
        <v>?</v>
      </c>
      <c r="AK97" s="86" t="str">
        <f aca="false">IF(OR(AK98="ER",AK99="ER"),"ER",IF(OR(AK98="?",AK99="?"),"?",IF(AND(AK98="NA",AK99="NA"),"NA",SUM(AK98,AK99)/((AK98&lt;&gt;"NA")*$H$98+(AK99&lt;&gt;"NA")*$H$99)*$H97)))</f>
        <v>?</v>
      </c>
    </row>
    <row r="98" customFormat="false" ht="14.25" hidden="false" customHeight="false" outlineLevel="0" collapsed="false">
      <c r="A98" s="82" t="s">
        <v>297</v>
      </c>
      <c r="B98" s="83" t="str">
        <f aca="false">IF(ISBLANK($A98),"NO_CODE",VLOOKUP($A98,'UPD Questions_290926 '!$E$1:$N$300,MATCH(B$1,'UPD Questions_290926 '!$E$1:$N$1,0),0)&amp;"")</f>
        <v>Implementation</v>
      </c>
      <c r="C98" s="83" t="str">
        <f aca="false">IF(ISBLANK($A98),"NO_CODE",VLOOKUP($A98,'UPD Questions_290926 '!$E$1:$N$300,MATCH(C$1,'UPD Questions_290926 '!$E$1:$N$1,0),0)&amp;"")</f>
        <v>Development Control Regulations and land-management instruments</v>
      </c>
      <c r="D98" s="83" t="str">
        <f aca="false">IF(ISBLANK($A98),"NO_CODE",VLOOKUP($A98,'UPD Questions_290926 '!$E$1:$N$300,MATCH(D$1,'UPD Questions_290926 '!$E$1:$N$1,0),0)&amp;"")</f>
        <v>Green-building incentives</v>
      </c>
      <c r="E98" s="83" t="str">
        <f aca="false">IF(ISBLANK($A98),"NO_CODE",VLOOKUP($A98,'UPD Questions_290926 '!$E$1:$N$300,MATCH(E$1,'UPD Questions_290926 '!$E$1:$N$1,0),0)&amp;"")</f>
        <v>SQ</v>
      </c>
      <c r="F98" s="83" t="str">
        <f aca="false">IF(ISBLANK($A98),"NO_CODE",VLOOKUP($A98,'UPD Questions_290926 '!$E$1:$N$300,MATCH(F$1,'UPD Questions_290926 '!$E$1:$N$1,0),0)&amp;"")</f>
        <v>Does the law mandate incentives for green buildings ?</v>
      </c>
      <c r="G98" s="83" t="str">
        <f aca="false">IF(ISBLANK($A98),"NO_CODE",VLOOKUP($A98,'UPD Questions_290926 '!$E$1:$N$300,MATCH(G$1,'UPD Questions_290926 '!$E$1:$N$1,0),0)&amp;"")</f>
        <v>Law or Policy</v>
      </c>
      <c r="H98" s="85" t="n">
        <f aca="false">IF(ISBLANK($A98),"NO_CODE",VLOOKUP($A98,'UPD Questions_290926 '!$E$1:$N$300,MATCH(H$1,'UPD Questions_290926 '!$E$1:$N$1,0),0))</f>
        <v>5</v>
      </c>
      <c r="I98" s="86" t="str">
        <f aca="true">IF($H98=0,"NA",IF($A98=INDIRECT("'"&amp;$A98&amp;"'!$B$1"),IF(VLOOKUP(I$1,INDIRECT("'"&amp;$A98&amp;"'!$A$12:$Z$41"),MATCH("Points (Auto-generate)",INDIRECT("'"&amp;$A98&amp;"'!$A$12:$Z$12"),0),0)="","?",VLOOKUP(I$1,INDIRECT("'"&amp;$A98&amp;"'!$A$12:$Z$41"),MATCH("Points (Auto-generate)",INDIRECT("'"&amp;$A98&amp;"'!$A$12:$Z$12"),0),0)),"ER"))</f>
        <v>?</v>
      </c>
      <c r="J98" s="86" t="str">
        <f aca="true">IF($H98=0,"NA",IF($A98=INDIRECT("'"&amp;$A98&amp;"'!$B$1"),IF(VLOOKUP(J$1,INDIRECT("'"&amp;$A98&amp;"'!$A$12:$Z$41"),MATCH("Points (Auto-generate)",INDIRECT("'"&amp;$A98&amp;"'!$A$12:$Z$12"),0),0)="","?",VLOOKUP(J$1,INDIRECT("'"&amp;$A98&amp;"'!$A$12:$Z$41"),MATCH("Points (Auto-generate)",INDIRECT("'"&amp;$A98&amp;"'!$A$12:$Z$12"),0),0)),"ER"))</f>
        <v>?</v>
      </c>
      <c r="K98" s="86" t="str">
        <f aca="true">IF($H98=0,"NA",IF($A98=INDIRECT("'"&amp;$A98&amp;"'!$B$1"),IF(VLOOKUP(K$1,INDIRECT("'"&amp;$A98&amp;"'!$A$12:$Z$41"),MATCH("Points (Auto-generate)",INDIRECT("'"&amp;$A98&amp;"'!$A$12:$Z$12"),0),0)="","?",VLOOKUP(K$1,INDIRECT("'"&amp;$A98&amp;"'!$A$12:$Z$41"),MATCH("Points (Auto-generate)",INDIRECT("'"&amp;$A98&amp;"'!$A$12:$Z$12"),0),0)),"ER"))</f>
        <v>?</v>
      </c>
      <c r="L98" s="86" t="str">
        <f aca="true">IF($H98=0,"NA",IF($A98=INDIRECT("'"&amp;$A98&amp;"'!$B$1"),IF(VLOOKUP(L$1,INDIRECT("'"&amp;$A98&amp;"'!$A$12:$Z$41"),MATCH("Points (Auto-generate)",INDIRECT("'"&amp;$A98&amp;"'!$A$12:$Z$12"),0),0)="","?",VLOOKUP(L$1,INDIRECT("'"&amp;$A98&amp;"'!$A$12:$Z$41"),MATCH("Points (Auto-generate)",INDIRECT("'"&amp;$A98&amp;"'!$A$12:$Z$12"),0),0)),"ER"))</f>
        <v>?</v>
      </c>
      <c r="M98" s="86" t="str">
        <f aca="true">IF($H98=0,"NA",IF($A98=INDIRECT("'"&amp;$A98&amp;"'!$B$1"),IF(VLOOKUP(M$1,INDIRECT("'"&amp;$A98&amp;"'!$A$12:$Z$41"),MATCH("Points (Auto-generate)",INDIRECT("'"&amp;$A98&amp;"'!$A$12:$Z$12"),0),0)="","?",VLOOKUP(M$1,INDIRECT("'"&amp;$A98&amp;"'!$A$12:$Z$41"),MATCH("Points (Auto-generate)",INDIRECT("'"&amp;$A98&amp;"'!$A$12:$Z$12"),0),0)),"ER"))</f>
        <v>?</v>
      </c>
      <c r="N98" s="86" t="str">
        <f aca="true">IF($H98=0,"NA",IF($A98=INDIRECT("'"&amp;$A98&amp;"'!$B$1"),IF(VLOOKUP(N$1,INDIRECT("'"&amp;$A98&amp;"'!$A$12:$Z$41"),MATCH("Points (Auto-generate)",INDIRECT("'"&amp;$A98&amp;"'!$A$12:$Z$12"),0),0)="","?",VLOOKUP(N$1,INDIRECT("'"&amp;$A98&amp;"'!$A$12:$Z$41"),MATCH("Points (Auto-generate)",INDIRECT("'"&amp;$A98&amp;"'!$A$12:$Z$12"),0),0)),"ER"))</f>
        <v>?</v>
      </c>
      <c r="O98" s="86" t="str">
        <f aca="true">IF($H98=0,"NA",IF($A98=INDIRECT("'"&amp;$A98&amp;"'!$B$1"),IF(VLOOKUP(O$1,INDIRECT("'"&amp;$A98&amp;"'!$A$12:$Z$41"),MATCH("Points (Auto-generate)",INDIRECT("'"&amp;$A98&amp;"'!$A$12:$Z$12"),0),0)="","?",VLOOKUP(O$1,INDIRECT("'"&amp;$A98&amp;"'!$A$12:$Z$41"),MATCH("Points (Auto-generate)",INDIRECT("'"&amp;$A98&amp;"'!$A$12:$Z$12"),0),0)),"ER"))</f>
        <v>?</v>
      </c>
      <c r="P98" s="86" t="str">
        <f aca="true">IF($H98=0,"NA",IF($A98=INDIRECT("'"&amp;$A98&amp;"'!$B$1"),IF(VLOOKUP(P$1,INDIRECT("'"&amp;$A98&amp;"'!$A$12:$Z$41"),MATCH("Points (Auto-generate)",INDIRECT("'"&amp;$A98&amp;"'!$A$12:$Z$12"),0),0)="","?",VLOOKUP(P$1,INDIRECT("'"&amp;$A98&amp;"'!$A$12:$Z$41"),MATCH("Points (Auto-generate)",INDIRECT("'"&amp;$A98&amp;"'!$A$12:$Z$12"),0),0)),"ER"))</f>
        <v>?</v>
      </c>
      <c r="Q98" s="86" t="str">
        <f aca="true">IF($H98=0,"NA",IF($A98=INDIRECT("'"&amp;$A98&amp;"'!$B$1"),IF(VLOOKUP(Q$1,INDIRECT("'"&amp;$A98&amp;"'!$A$12:$Z$41"),MATCH("Points (Auto-generate)",INDIRECT("'"&amp;$A98&amp;"'!$A$12:$Z$12"),0),0)="","?",VLOOKUP(Q$1,INDIRECT("'"&amp;$A98&amp;"'!$A$12:$Z$41"),MATCH("Points (Auto-generate)",INDIRECT("'"&amp;$A98&amp;"'!$A$12:$Z$12"),0),0)),"ER"))</f>
        <v>?</v>
      </c>
      <c r="R98" s="86" t="str">
        <f aca="true">IF($H98=0,"NA",IF($A98=INDIRECT("'"&amp;$A98&amp;"'!$B$1"),IF(VLOOKUP(R$1,INDIRECT("'"&amp;$A98&amp;"'!$A$12:$Z$41"),MATCH("Points (Auto-generate)",INDIRECT("'"&amp;$A98&amp;"'!$A$12:$Z$12"),0),0)="","?",VLOOKUP(R$1,INDIRECT("'"&amp;$A98&amp;"'!$A$12:$Z$41"),MATCH("Points (Auto-generate)",INDIRECT("'"&amp;$A98&amp;"'!$A$12:$Z$12"),0),0)),"ER"))</f>
        <v>?</v>
      </c>
      <c r="S98" s="86" t="str">
        <f aca="true">IF($H98=0,"NA",IF($A98=INDIRECT("'"&amp;$A98&amp;"'!$B$1"),IF(VLOOKUP(S$1,INDIRECT("'"&amp;$A98&amp;"'!$A$12:$Z$41"),MATCH("Points (Auto-generate)",INDIRECT("'"&amp;$A98&amp;"'!$A$12:$Z$12"),0),0)="","?",VLOOKUP(S$1,INDIRECT("'"&amp;$A98&amp;"'!$A$12:$Z$41"),MATCH("Points (Auto-generate)",INDIRECT("'"&amp;$A98&amp;"'!$A$12:$Z$12"),0),0)),"ER"))</f>
        <v>?</v>
      </c>
      <c r="T98" s="86" t="str">
        <f aca="true">IF($H98=0,"NA",IF($A98=INDIRECT("'"&amp;$A98&amp;"'!$B$1"),IF(VLOOKUP(T$1,INDIRECT("'"&amp;$A98&amp;"'!$A$12:$Z$41"),MATCH("Points (Auto-generate)",INDIRECT("'"&amp;$A98&amp;"'!$A$12:$Z$12"),0),0)="","?",VLOOKUP(T$1,INDIRECT("'"&amp;$A98&amp;"'!$A$12:$Z$41"),MATCH("Points (Auto-generate)",INDIRECT("'"&amp;$A98&amp;"'!$A$12:$Z$12"),0),0)),"ER"))</f>
        <v>?</v>
      </c>
      <c r="U98" s="86" t="str">
        <f aca="true">IF($H98=0,"NA",IF($A98=INDIRECT("'"&amp;$A98&amp;"'!$B$1"),IF(VLOOKUP(U$1,INDIRECT("'"&amp;$A98&amp;"'!$A$12:$Z$41"),MATCH("Points (Auto-generate)",INDIRECT("'"&amp;$A98&amp;"'!$A$12:$Z$12"),0),0)="","?",VLOOKUP(U$1,INDIRECT("'"&amp;$A98&amp;"'!$A$12:$Z$41"),MATCH("Points (Auto-generate)",INDIRECT("'"&amp;$A98&amp;"'!$A$12:$Z$12"),0),0)),"ER"))</f>
        <v>?</v>
      </c>
      <c r="V98" s="86" t="str">
        <f aca="true">IF($H98=0,"NA",IF($A98=INDIRECT("'"&amp;$A98&amp;"'!$B$1"),IF(VLOOKUP(V$1,INDIRECT("'"&amp;$A98&amp;"'!$A$12:$Z$41"),MATCH("Points (Auto-generate)",INDIRECT("'"&amp;$A98&amp;"'!$A$12:$Z$12"),0),0)="","?",VLOOKUP(V$1,INDIRECT("'"&amp;$A98&amp;"'!$A$12:$Z$41"),MATCH("Points (Auto-generate)",INDIRECT("'"&amp;$A98&amp;"'!$A$12:$Z$12"),0),0)),"ER"))</f>
        <v>?</v>
      </c>
      <c r="W98" s="86" t="str">
        <f aca="true">IF($H98=0,"NA",IF($A98=INDIRECT("'"&amp;$A98&amp;"'!$B$1"),IF(VLOOKUP(W$1,INDIRECT("'"&amp;$A98&amp;"'!$A$12:$Z$41"),MATCH("Points (Auto-generate)",INDIRECT("'"&amp;$A98&amp;"'!$A$12:$Z$12"),0),0)="","?",VLOOKUP(W$1,INDIRECT("'"&amp;$A98&amp;"'!$A$12:$Z$41"),MATCH("Points (Auto-generate)",INDIRECT("'"&amp;$A98&amp;"'!$A$12:$Z$12"),0),0)),"ER"))</f>
        <v>?</v>
      </c>
      <c r="X98" s="86" t="str">
        <f aca="true">IF($H98=0,"NA",IF($A98=INDIRECT("'"&amp;$A98&amp;"'!$B$1"),IF(VLOOKUP(X$1,INDIRECT("'"&amp;$A98&amp;"'!$A$12:$Z$41"),MATCH("Points (Auto-generate)",INDIRECT("'"&amp;$A98&amp;"'!$A$12:$Z$12"),0),0)="","?",VLOOKUP(X$1,INDIRECT("'"&amp;$A98&amp;"'!$A$12:$Z$41"),MATCH("Points (Auto-generate)",INDIRECT("'"&amp;$A98&amp;"'!$A$12:$Z$12"),0),0)),"ER"))</f>
        <v>?</v>
      </c>
      <c r="Y98" s="86" t="str">
        <f aca="true">IF($H98=0,"NA",IF($A98=INDIRECT("'"&amp;$A98&amp;"'!$B$1"),IF(VLOOKUP(Y$1,INDIRECT("'"&amp;$A98&amp;"'!$A$12:$Z$41"),MATCH("Points (Auto-generate)",INDIRECT("'"&amp;$A98&amp;"'!$A$12:$Z$12"),0),0)="","?",VLOOKUP(Y$1,INDIRECT("'"&amp;$A98&amp;"'!$A$12:$Z$41"),MATCH("Points (Auto-generate)",INDIRECT("'"&amp;$A98&amp;"'!$A$12:$Z$12"),0),0)),"ER"))</f>
        <v>?</v>
      </c>
      <c r="Z98" s="86" t="str">
        <f aca="true">IF($H98=0,"NA",IF($A98=INDIRECT("'"&amp;$A98&amp;"'!$B$1"),IF(VLOOKUP(Z$1,INDIRECT("'"&amp;$A98&amp;"'!$A$12:$Z$41"),MATCH("Points (Auto-generate)",INDIRECT("'"&amp;$A98&amp;"'!$A$12:$Z$12"),0),0)="","?",VLOOKUP(Z$1,INDIRECT("'"&amp;$A98&amp;"'!$A$12:$Z$41"),MATCH("Points (Auto-generate)",INDIRECT("'"&amp;$A98&amp;"'!$A$12:$Z$12"),0),0)),"ER"))</f>
        <v>?</v>
      </c>
      <c r="AA98" s="86" t="str">
        <f aca="true">IF($H98=0,"NA",IF($A98=INDIRECT("'"&amp;$A98&amp;"'!$B$1"),IF(VLOOKUP(AA$1,INDIRECT("'"&amp;$A98&amp;"'!$A$12:$Z$41"),MATCH("Points (Auto-generate)",INDIRECT("'"&amp;$A98&amp;"'!$A$12:$Z$12"),0),0)="","?",VLOOKUP(AA$1,INDIRECT("'"&amp;$A98&amp;"'!$A$12:$Z$41"),MATCH("Points (Auto-generate)",INDIRECT("'"&amp;$A98&amp;"'!$A$12:$Z$12"),0),0)),"ER"))</f>
        <v>?</v>
      </c>
      <c r="AB98" s="86" t="str">
        <f aca="true">IF($H98=0,"NA",IF($A98=INDIRECT("'"&amp;$A98&amp;"'!$B$1"),IF(VLOOKUP(AB$1,INDIRECT("'"&amp;$A98&amp;"'!$A$12:$Z$41"),MATCH("Points (Auto-generate)",INDIRECT("'"&amp;$A98&amp;"'!$A$12:$Z$12"),0),0)="","?",VLOOKUP(AB$1,INDIRECT("'"&amp;$A98&amp;"'!$A$12:$Z$41"),MATCH("Points (Auto-generate)",INDIRECT("'"&amp;$A98&amp;"'!$A$12:$Z$12"),0),0)),"ER"))</f>
        <v>?</v>
      </c>
      <c r="AC98" s="86" t="str">
        <f aca="true">IF($H98=0,"NA",IF($A98=INDIRECT("'"&amp;$A98&amp;"'!$B$1"),IF(VLOOKUP(AC$1,INDIRECT("'"&amp;$A98&amp;"'!$A$12:$Z$41"),MATCH("Points (Auto-generate)",INDIRECT("'"&amp;$A98&amp;"'!$A$12:$Z$12"),0),0)="","?",VLOOKUP(AC$1,INDIRECT("'"&amp;$A98&amp;"'!$A$12:$Z$41"),MATCH("Points (Auto-generate)",INDIRECT("'"&amp;$A98&amp;"'!$A$12:$Z$12"),0),0)),"ER"))</f>
        <v>?</v>
      </c>
      <c r="AD98" s="86" t="str">
        <f aca="true">IF($H98=0,"NA",IF($A98=INDIRECT("'"&amp;$A98&amp;"'!$B$1"),IF(VLOOKUP(AD$1,INDIRECT("'"&amp;$A98&amp;"'!$A$12:$Z$41"),MATCH("Points (Auto-generate)",INDIRECT("'"&amp;$A98&amp;"'!$A$12:$Z$12"),0),0)="","?",VLOOKUP(AD$1,INDIRECT("'"&amp;$A98&amp;"'!$A$12:$Z$41"),MATCH("Points (Auto-generate)",INDIRECT("'"&amp;$A98&amp;"'!$A$12:$Z$12"),0),0)),"ER"))</f>
        <v>?</v>
      </c>
      <c r="AE98" s="86" t="str">
        <f aca="true">IF($H98=0,"NA",IF($A98=INDIRECT("'"&amp;$A98&amp;"'!$B$1"),IF(VLOOKUP(AE$1,INDIRECT("'"&amp;$A98&amp;"'!$A$12:$Z$41"),MATCH("Points (Auto-generate)",INDIRECT("'"&amp;$A98&amp;"'!$A$12:$Z$12"),0),0)="","?",VLOOKUP(AE$1,INDIRECT("'"&amp;$A98&amp;"'!$A$12:$Z$41"),MATCH("Points (Auto-generate)",INDIRECT("'"&amp;$A98&amp;"'!$A$12:$Z$12"),0),0)),"ER"))</f>
        <v>?</v>
      </c>
      <c r="AF98" s="86" t="str">
        <f aca="true">IF($H98=0,"NA",IF($A98=INDIRECT("'"&amp;$A98&amp;"'!$B$1"),IF(VLOOKUP(AF$1,INDIRECT("'"&amp;$A98&amp;"'!$A$12:$Z$41"),MATCH("Points (Auto-generate)",INDIRECT("'"&amp;$A98&amp;"'!$A$12:$Z$12"),0),0)="","?",VLOOKUP(AF$1,INDIRECT("'"&amp;$A98&amp;"'!$A$12:$Z$41"),MATCH("Points (Auto-generate)",INDIRECT("'"&amp;$A98&amp;"'!$A$12:$Z$12"),0),0)),"ER"))</f>
        <v>?</v>
      </c>
      <c r="AG98" s="86" t="str">
        <f aca="true">IF($H98=0,"NA",IF($A98=INDIRECT("'"&amp;$A98&amp;"'!$B$1"),IF(VLOOKUP(AG$1,INDIRECT("'"&amp;$A98&amp;"'!$A$12:$Z$41"),MATCH("Points (Auto-generate)",INDIRECT("'"&amp;$A98&amp;"'!$A$12:$Z$12"),0),0)="","?",VLOOKUP(AG$1,INDIRECT("'"&amp;$A98&amp;"'!$A$12:$Z$41"),MATCH("Points (Auto-generate)",INDIRECT("'"&amp;$A98&amp;"'!$A$12:$Z$12"),0),0)),"ER"))</f>
        <v>?</v>
      </c>
      <c r="AH98" s="86" t="str">
        <f aca="true">IF($H98=0,"NA",IF($A98=INDIRECT("'"&amp;$A98&amp;"'!$B$1"),IF(VLOOKUP(AH$1,INDIRECT("'"&amp;$A98&amp;"'!$A$12:$Z$41"),MATCH("Points (Auto-generate)",INDIRECT("'"&amp;$A98&amp;"'!$A$12:$Z$12"),0),0)="","?",VLOOKUP(AH$1,INDIRECT("'"&amp;$A98&amp;"'!$A$12:$Z$41"),MATCH("Points (Auto-generate)",INDIRECT("'"&amp;$A98&amp;"'!$A$12:$Z$12"),0),0)),"ER"))</f>
        <v>?</v>
      </c>
      <c r="AI98" s="86" t="str">
        <f aca="true">IF($H98=0,"NA",IF($A98=INDIRECT("'"&amp;$A98&amp;"'!$B$1"),IF(VLOOKUP(AI$1,INDIRECT("'"&amp;$A98&amp;"'!$A$12:$Z$41"),MATCH("Points (Auto-generate)",INDIRECT("'"&amp;$A98&amp;"'!$A$12:$Z$12"),0),0)="","?",VLOOKUP(AI$1,INDIRECT("'"&amp;$A98&amp;"'!$A$12:$Z$41"),MATCH("Points (Auto-generate)",INDIRECT("'"&amp;$A98&amp;"'!$A$12:$Z$12"),0),0)),"ER"))</f>
        <v>?</v>
      </c>
      <c r="AJ98" s="86" t="str">
        <f aca="true">IF($H98=0,"NA",IF($A98=INDIRECT("'"&amp;$A98&amp;"'!$B$1"),IF(VLOOKUP(AJ$1,INDIRECT("'"&amp;$A98&amp;"'!$A$12:$Z$41"),MATCH("Points (Auto-generate)",INDIRECT("'"&amp;$A98&amp;"'!$A$12:$Z$12"),0),0)="","?",VLOOKUP(AJ$1,INDIRECT("'"&amp;$A98&amp;"'!$A$12:$Z$41"),MATCH("Points (Auto-generate)",INDIRECT("'"&amp;$A98&amp;"'!$A$12:$Z$12"),0),0)),"ER"))</f>
        <v>?</v>
      </c>
      <c r="AK98" s="86" t="str">
        <f aca="true">IF($H98=0,"NA",IF($A98=INDIRECT("'"&amp;$A98&amp;"'!$B$1"),IF(VLOOKUP(AK$1,INDIRECT("'"&amp;$A98&amp;"'!$A$12:$Z$41"),MATCH("Points (Auto-generate)",INDIRECT("'"&amp;$A98&amp;"'!$A$12:$Z$12"),0),0)="","?",VLOOKUP(AK$1,INDIRECT("'"&amp;$A98&amp;"'!$A$12:$Z$41"),MATCH("Points (Auto-generate)",INDIRECT("'"&amp;$A98&amp;"'!$A$12:$Z$12"),0),0)),"ER"))</f>
        <v>?</v>
      </c>
    </row>
    <row r="99" customFormat="false" ht="14.25" hidden="false" customHeight="false" outlineLevel="0" collapsed="false">
      <c r="A99" s="82" t="s">
        <v>302</v>
      </c>
      <c r="B99" s="83" t="str">
        <f aca="false">IF(ISBLANK($A99),"NO_CODE",VLOOKUP($A99,'UPD Questions_290926 '!$E$1:$N$300,MATCH(B$1,'UPD Questions_290926 '!$E$1:$N$1,0),0)&amp;"")</f>
        <v>Implementation</v>
      </c>
      <c r="C99" s="83" t="str">
        <f aca="false">IF(ISBLANK($A99),"NO_CODE",VLOOKUP($A99,'UPD Questions_290926 '!$E$1:$N$300,MATCH(C$1,'UPD Questions_290926 '!$E$1:$N$1,0),0)&amp;"")</f>
        <v>Development Control Regulations and land-management instruments</v>
      </c>
      <c r="D99" s="83" t="str">
        <f aca="false">IF(ISBLANK($A99),"NO_CODE",VLOOKUP($A99,'UPD Questions_290926 '!$E$1:$N$300,MATCH(D$1,'UPD Questions_290926 '!$E$1:$N$1,0),0)&amp;"")</f>
        <v>Green-building incentives</v>
      </c>
      <c r="E99" s="83" t="str">
        <f aca="false">IF(ISBLANK($A99),"NO_CODE",VLOOKUP($A99,'UPD Questions_290926 '!$E$1:$N$300,MATCH(E$1,'UPD Questions_290926 '!$E$1:$N$1,0),0)&amp;"")</f>
        <v>SQ</v>
      </c>
      <c r="F99" s="83" t="str">
        <f aca="false">IF(ISBLANK($A99),"NO_CODE",VLOOKUP($A99,'UPD Questions_290926 '!$E$1:$N$300,MATCH(F$1,'UPD Questions_290926 '!$E$1:$N$1,0),0)&amp;"")</f>
        <v>Does your city give incentives for green buildings ?</v>
      </c>
      <c r="G99" s="83" t="str">
        <f aca="false">IF(ISBLANK($A99),"NO_CODE",VLOOKUP($A99,'UPD Questions_290926 '!$E$1:$N$300,MATCH(G$1,'UPD Questions_290926 '!$E$1:$N$1,0),0)&amp;"")</f>
        <v>Implementation</v>
      </c>
      <c r="H99" s="85" t="n">
        <f aca="false">IF(ISBLANK($A99),"NO_CODE",VLOOKUP($A99,'UPD Questions_290926 '!$E$1:$N$300,MATCH(H$1,'UPD Questions_290926 '!$E$1:$N$1,0),0))</f>
        <v>5</v>
      </c>
      <c r="I99" s="86" t="str">
        <f aca="true">IF($H99=0,"NA",IF($A99=INDIRECT("'"&amp;$A99&amp;"'!$B$1"),IF(VLOOKUP(I$1,INDIRECT("'"&amp;$A99&amp;"'!$A$12:$Z$41"),MATCH("Points (Auto-generate)",INDIRECT("'"&amp;$A99&amp;"'!$A$12:$Z$12"),0),0)="","?",VLOOKUP(I$1,INDIRECT("'"&amp;$A99&amp;"'!$A$12:$Z$41"),MATCH("Points (Auto-generate)",INDIRECT("'"&amp;$A99&amp;"'!$A$12:$Z$12"),0),0)),"ER"))</f>
        <v>?</v>
      </c>
      <c r="J99" s="86" t="str">
        <f aca="true">IF($H99=0,"NA",IF($A99=INDIRECT("'"&amp;$A99&amp;"'!$B$1"),IF(VLOOKUP(J$1,INDIRECT("'"&amp;$A99&amp;"'!$A$12:$Z$41"),MATCH("Points (Auto-generate)",INDIRECT("'"&amp;$A99&amp;"'!$A$12:$Z$12"),0),0)="","?",VLOOKUP(J$1,INDIRECT("'"&amp;$A99&amp;"'!$A$12:$Z$41"),MATCH("Points (Auto-generate)",INDIRECT("'"&amp;$A99&amp;"'!$A$12:$Z$12"),0),0)),"ER"))</f>
        <v>?</v>
      </c>
      <c r="K99" s="86" t="str">
        <f aca="true">IF($H99=0,"NA",IF($A99=INDIRECT("'"&amp;$A99&amp;"'!$B$1"),IF(VLOOKUP(K$1,INDIRECT("'"&amp;$A99&amp;"'!$A$12:$Z$41"),MATCH("Points (Auto-generate)",INDIRECT("'"&amp;$A99&amp;"'!$A$12:$Z$12"),0),0)="","?",VLOOKUP(K$1,INDIRECT("'"&amp;$A99&amp;"'!$A$12:$Z$41"),MATCH("Points (Auto-generate)",INDIRECT("'"&amp;$A99&amp;"'!$A$12:$Z$12"),0),0)),"ER"))</f>
        <v>?</v>
      </c>
      <c r="L99" s="86" t="str">
        <f aca="true">IF($H99=0,"NA",IF($A99=INDIRECT("'"&amp;$A99&amp;"'!$B$1"),IF(VLOOKUP(L$1,INDIRECT("'"&amp;$A99&amp;"'!$A$12:$Z$41"),MATCH("Points (Auto-generate)",INDIRECT("'"&amp;$A99&amp;"'!$A$12:$Z$12"),0),0)="","?",VLOOKUP(L$1,INDIRECT("'"&amp;$A99&amp;"'!$A$12:$Z$41"),MATCH("Points (Auto-generate)",INDIRECT("'"&amp;$A99&amp;"'!$A$12:$Z$12"),0),0)),"ER"))</f>
        <v>?</v>
      </c>
      <c r="M99" s="86" t="str">
        <f aca="true">IF($H99=0,"NA",IF($A99=INDIRECT("'"&amp;$A99&amp;"'!$B$1"),IF(VLOOKUP(M$1,INDIRECT("'"&amp;$A99&amp;"'!$A$12:$Z$41"),MATCH("Points (Auto-generate)",INDIRECT("'"&amp;$A99&amp;"'!$A$12:$Z$12"),0),0)="","?",VLOOKUP(M$1,INDIRECT("'"&amp;$A99&amp;"'!$A$12:$Z$41"),MATCH("Points (Auto-generate)",INDIRECT("'"&amp;$A99&amp;"'!$A$12:$Z$12"),0),0)),"ER"))</f>
        <v>?</v>
      </c>
      <c r="N99" s="86" t="str">
        <f aca="true">IF($H99=0,"NA",IF($A99=INDIRECT("'"&amp;$A99&amp;"'!$B$1"),IF(VLOOKUP(N$1,INDIRECT("'"&amp;$A99&amp;"'!$A$12:$Z$41"),MATCH("Points (Auto-generate)",INDIRECT("'"&amp;$A99&amp;"'!$A$12:$Z$12"),0),0)="","?",VLOOKUP(N$1,INDIRECT("'"&amp;$A99&amp;"'!$A$12:$Z$41"),MATCH("Points (Auto-generate)",INDIRECT("'"&amp;$A99&amp;"'!$A$12:$Z$12"),0),0)),"ER"))</f>
        <v>?</v>
      </c>
      <c r="O99" s="86" t="str">
        <f aca="true">IF($H99=0,"NA",IF($A99=INDIRECT("'"&amp;$A99&amp;"'!$B$1"),IF(VLOOKUP(O$1,INDIRECT("'"&amp;$A99&amp;"'!$A$12:$Z$41"),MATCH("Points (Auto-generate)",INDIRECT("'"&amp;$A99&amp;"'!$A$12:$Z$12"),0),0)="","?",VLOOKUP(O$1,INDIRECT("'"&amp;$A99&amp;"'!$A$12:$Z$41"),MATCH("Points (Auto-generate)",INDIRECT("'"&amp;$A99&amp;"'!$A$12:$Z$12"),0),0)),"ER"))</f>
        <v>?</v>
      </c>
      <c r="P99" s="86" t="str">
        <f aca="true">IF($H99=0,"NA",IF($A99=INDIRECT("'"&amp;$A99&amp;"'!$B$1"),IF(VLOOKUP(P$1,INDIRECT("'"&amp;$A99&amp;"'!$A$12:$Z$41"),MATCH("Points (Auto-generate)",INDIRECT("'"&amp;$A99&amp;"'!$A$12:$Z$12"),0),0)="","?",VLOOKUP(P$1,INDIRECT("'"&amp;$A99&amp;"'!$A$12:$Z$41"),MATCH("Points (Auto-generate)",INDIRECT("'"&amp;$A99&amp;"'!$A$12:$Z$12"),0),0)),"ER"))</f>
        <v>?</v>
      </c>
      <c r="Q99" s="86" t="str">
        <f aca="true">IF($H99=0,"NA",IF($A99=INDIRECT("'"&amp;$A99&amp;"'!$B$1"),IF(VLOOKUP(Q$1,INDIRECT("'"&amp;$A99&amp;"'!$A$12:$Z$41"),MATCH("Points (Auto-generate)",INDIRECT("'"&amp;$A99&amp;"'!$A$12:$Z$12"),0),0)="","?",VLOOKUP(Q$1,INDIRECT("'"&amp;$A99&amp;"'!$A$12:$Z$41"),MATCH("Points (Auto-generate)",INDIRECT("'"&amp;$A99&amp;"'!$A$12:$Z$12"),0),0)),"ER"))</f>
        <v>?</v>
      </c>
      <c r="R99" s="86" t="str">
        <f aca="true">IF($H99=0,"NA",IF($A99=INDIRECT("'"&amp;$A99&amp;"'!$B$1"),IF(VLOOKUP(R$1,INDIRECT("'"&amp;$A99&amp;"'!$A$12:$Z$41"),MATCH("Points (Auto-generate)",INDIRECT("'"&amp;$A99&amp;"'!$A$12:$Z$12"),0),0)="","?",VLOOKUP(R$1,INDIRECT("'"&amp;$A99&amp;"'!$A$12:$Z$41"),MATCH("Points (Auto-generate)",INDIRECT("'"&amp;$A99&amp;"'!$A$12:$Z$12"),0),0)),"ER"))</f>
        <v>?</v>
      </c>
      <c r="S99" s="86" t="str">
        <f aca="true">IF($H99=0,"NA",IF($A99=INDIRECT("'"&amp;$A99&amp;"'!$B$1"),IF(VLOOKUP(S$1,INDIRECT("'"&amp;$A99&amp;"'!$A$12:$Z$41"),MATCH("Points (Auto-generate)",INDIRECT("'"&amp;$A99&amp;"'!$A$12:$Z$12"),0),0)="","?",VLOOKUP(S$1,INDIRECT("'"&amp;$A99&amp;"'!$A$12:$Z$41"),MATCH("Points (Auto-generate)",INDIRECT("'"&amp;$A99&amp;"'!$A$12:$Z$12"),0),0)),"ER"))</f>
        <v>?</v>
      </c>
      <c r="T99" s="86" t="str">
        <f aca="true">IF($H99=0,"NA",IF($A99=INDIRECT("'"&amp;$A99&amp;"'!$B$1"),IF(VLOOKUP(T$1,INDIRECT("'"&amp;$A99&amp;"'!$A$12:$Z$41"),MATCH("Points (Auto-generate)",INDIRECT("'"&amp;$A99&amp;"'!$A$12:$Z$12"),0),0)="","?",VLOOKUP(T$1,INDIRECT("'"&amp;$A99&amp;"'!$A$12:$Z$41"),MATCH("Points (Auto-generate)",INDIRECT("'"&amp;$A99&amp;"'!$A$12:$Z$12"),0),0)),"ER"))</f>
        <v>?</v>
      </c>
      <c r="U99" s="86" t="str">
        <f aca="true">IF($H99=0,"NA",IF($A99=INDIRECT("'"&amp;$A99&amp;"'!$B$1"),IF(VLOOKUP(U$1,INDIRECT("'"&amp;$A99&amp;"'!$A$12:$Z$41"),MATCH("Points (Auto-generate)",INDIRECT("'"&amp;$A99&amp;"'!$A$12:$Z$12"),0),0)="","?",VLOOKUP(U$1,INDIRECT("'"&amp;$A99&amp;"'!$A$12:$Z$41"),MATCH("Points (Auto-generate)",INDIRECT("'"&amp;$A99&amp;"'!$A$12:$Z$12"),0),0)),"ER"))</f>
        <v>?</v>
      </c>
      <c r="V99" s="86" t="str">
        <f aca="true">IF($H99=0,"NA",IF($A99=INDIRECT("'"&amp;$A99&amp;"'!$B$1"),IF(VLOOKUP(V$1,INDIRECT("'"&amp;$A99&amp;"'!$A$12:$Z$41"),MATCH("Points (Auto-generate)",INDIRECT("'"&amp;$A99&amp;"'!$A$12:$Z$12"),0),0)="","?",VLOOKUP(V$1,INDIRECT("'"&amp;$A99&amp;"'!$A$12:$Z$41"),MATCH("Points (Auto-generate)",INDIRECT("'"&amp;$A99&amp;"'!$A$12:$Z$12"),0),0)),"ER"))</f>
        <v>?</v>
      </c>
      <c r="W99" s="86" t="str">
        <f aca="true">IF($H99=0,"NA",IF($A99=INDIRECT("'"&amp;$A99&amp;"'!$B$1"),IF(VLOOKUP(W$1,INDIRECT("'"&amp;$A99&amp;"'!$A$12:$Z$41"),MATCH("Points (Auto-generate)",INDIRECT("'"&amp;$A99&amp;"'!$A$12:$Z$12"),0),0)="","?",VLOOKUP(W$1,INDIRECT("'"&amp;$A99&amp;"'!$A$12:$Z$41"),MATCH("Points (Auto-generate)",INDIRECT("'"&amp;$A99&amp;"'!$A$12:$Z$12"),0),0)),"ER"))</f>
        <v>?</v>
      </c>
      <c r="X99" s="86" t="str">
        <f aca="true">IF($H99=0,"NA",IF($A99=INDIRECT("'"&amp;$A99&amp;"'!$B$1"),IF(VLOOKUP(X$1,INDIRECT("'"&amp;$A99&amp;"'!$A$12:$Z$41"),MATCH("Points (Auto-generate)",INDIRECT("'"&amp;$A99&amp;"'!$A$12:$Z$12"),0),0)="","?",VLOOKUP(X$1,INDIRECT("'"&amp;$A99&amp;"'!$A$12:$Z$41"),MATCH("Points (Auto-generate)",INDIRECT("'"&amp;$A99&amp;"'!$A$12:$Z$12"),0),0)),"ER"))</f>
        <v>?</v>
      </c>
      <c r="Y99" s="86" t="str">
        <f aca="true">IF($H99=0,"NA",IF($A99=INDIRECT("'"&amp;$A99&amp;"'!$B$1"),IF(VLOOKUP(Y$1,INDIRECT("'"&amp;$A99&amp;"'!$A$12:$Z$41"),MATCH("Points (Auto-generate)",INDIRECT("'"&amp;$A99&amp;"'!$A$12:$Z$12"),0),0)="","?",VLOOKUP(Y$1,INDIRECT("'"&amp;$A99&amp;"'!$A$12:$Z$41"),MATCH("Points (Auto-generate)",INDIRECT("'"&amp;$A99&amp;"'!$A$12:$Z$12"),0),0)),"ER"))</f>
        <v>?</v>
      </c>
      <c r="Z99" s="86" t="str">
        <f aca="true">IF($H99=0,"NA",IF($A99=INDIRECT("'"&amp;$A99&amp;"'!$B$1"),IF(VLOOKUP(Z$1,INDIRECT("'"&amp;$A99&amp;"'!$A$12:$Z$41"),MATCH("Points (Auto-generate)",INDIRECT("'"&amp;$A99&amp;"'!$A$12:$Z$12"),0),0)="","?",VLOOKUP(Z$1,INDIRECT("'"&amp;$A99&amp;"'!$A$12:$Z$41"),MATCH("Points (Auto-generate)",INDIRECT("'"&amp;$A99&amp;"'!$A$12:$Z$12"),0),0)),"ER"))</f>
        <v>?</v>
      </c>
      <c r="AA99" s="86" t="str">
        <f aca="true">IF($H99=0,"NA",IF($A99=INDIRECT("'"&amp;$A99&amp;"'!$B$1"),IF(VLOOKUP(AA$1,INDIRECT("'"&amp;$A99&amp;"'!$A$12:$Z$41"),MATCH("Points (Auto-generate)",INDIRECT("'"&amp;$A99&amp;"'!$A$12:$Z$12"),0),0)="","?",VLOOKUP(AA$1,INDIRECT("'"&amp;$A99&amp;"'!$A$12:$Z$41"),MATCH("Points (Auto-generate)",INDIRECT("'"&amp;$A99&amp;"'!$A$12:$Z$12"),0),0)),"ER"))</f>
        <v>?</v>
      </c>
      <c r="AB99" s="86" t="str">
        <f aca="true">IF($H99=0,"NA",IF($A99=INDIRECT("'"&amp;$A99&amp;"'!$B$1"),IF(VLOOKUP(AB$1,INDIRECT("'"&amp;$A99&amp;"'!$A$12:$Z$41"),MATCH("Points (Auto-generate)",INDIRECT("'"&amp;$A99&amp;"'!$A$12:$Z$12"),0),0)="","?",VLOOKUP(AB$1,INDIRECT("'"&amp;$A99&amp;"'!$A$12:$Z$41"),MATCH("Points (Auto-generate)",INDIRECT("'"&amp;$A99&amp;"'!$A$12:$Z$12"),0),0)),"ER"))</f>
        <v>?</v>
      </c>
      <c r="AC99" s="86" t="str">
        <f aca="true">IF($H99=0,"NA",IF($A99=INDIRECT("'"&amp;$A99&amp;"'!$B$1"),IF(VLOOKUP(AC$1,INDIRECT("'"&amp;$A99&amp;"'!$A$12:$Z$41"),MATCH("Points (Auto-generate)",INDIRECT("'"&amp;$A99&amp;"'!$A$12:$Z$12"),0),0)="","?",VLOOKUP(AC$1,INDIRECT("'"&amp;$A99&amp;"'!$A$12:$Z$41"),MATCH("Points (Auto-generate)",INDIRECT("'"&amp;$A99&amp;"'!$A$12:$Z$12"),0),0)),"ER"))</f>
        <v>?</v>
      </c>
      <c r="AD99" s="86" t="str">
        <f aca="true">IF($H99=0,"NA",IF($A99=INDIRECT("'"&amp;$A99&amp;"'!$B$1"),IF(VLOOKUP(AD$1,INDIRECT("'"&amp;$A99&amp;"'!$A$12:$Z$41"),MATCH("Points (Auto-generate)",INDIRECT("'"&amp;$A99&amp;"'!$A$12:$Z$12"),0),0)="","?",VLOOKUP(AD$1,INDIRECT("'"&amp;$A99&amp;"'!$A$12:$Z$41"),MATCH("Points (Auto-generate)",INDIRECT("'"&amp;$A99&amp;"'!$A$12:$Z$12"),0),0)),"ER"))</f>
        <v>?</v>
      </c>
      <c r="AE99" s="86" t="str">
        <f aca="true">IF($H99=0,"NA",IF($A99=INDIRECT("'"&amp;$A99&amp;"'!$B$1"),IF(VLOOKUP(AE$1,INDIRECT("'"&amp;$A99&amp;"'!$A$12:$Z$41"),MATCH("Points (Auto-generate)",INDIRECT("'"&amp;$A99&amp;"'!$A$12:$Z$12"),0),0)="","?",VLOOKUP(AE$1,INDIRECT("'"&amp;$A99&amp;"'!$A$12:$Z$41"),MATCH("Points (Auto-generate)",INDIRECT("'"&amp;$A99&amp;"'!$A$12:$Z$12"),0),0)),"ER"))</f>
        <v>?</v>
      </c>
      <c r="AF99" s="86" t="str">
        <f aca="true">IF($H99=0,"NA",IF($A99=INDIRECT("'"&amp;$A99&amp;"'!$B$1"),IF(VLOOKUP(AF$1,INDIRECT("'"&amp;$A99&amp;"'!$A$12:$Z$41"),MATCH("Points (Auto-generate)",INDIRECT("'"&amp;$A99&amp;"'!$A$12:$Z$12"),0),0)="","?",VLOOKUP(AF$1,INDIRECT("'"&amp;$A99&amp;"'!$A$12:$Z$41"),MATCH("Points (Auto-generate)",INDIRECT("'"&amp;$A99&amp;"'!$A$12:$Z$12"),0),0)),"ER"))</f>
        <v>?</v>
      </c>
      <c r="AG99" s="86" t="str">
        <f aca="true">IF($H99=0,"NA",IF($A99=INDIRECT("'"&amp;$A99&amp;"'!$B$1"),IF(VLOOKUP(AG$1,INDIRECT("'"&amp;$A99&amp;"'!$A$12:$Z$41"),MATCH("Points (Auto-generate)",INDIRECT("'"&amp;$A99&amp;"'!$A$12:$Z$12"),0),0)="","?",VLOOKUP(AG$1,INDIRECT("'"&amp;$A99&amp;"'!$A$12:$Z$41"),MATCH("Points (Auto-generate)",INDIRECT("'"&amp;$A99&amp;"'!$A$12:$Z$12"),0),0)),"ER"))</f>
        <v>?</v>
      </c>
      <c r="AH99" s="86" t="str">
        <f aca="true">IF($H99=0,"NA",IF($A99=INDIRECT("'"&amp;$A99&amp;"'!$B$1"),IF(VLOOKUP(AH$1,INDIRECT("'"&amp;$A99&amp;"'!$A$12:$Z$41"),MATCH("Points (Auto-generate)",INDIRECT("'"&amp;$A99&amp;"'!$A$12:$Z$12"),0),0)="","?",VLOOKUP(AH$1,INDIRECT("'"&amp;$A99&amp;"'!$A$12:$Z$41"),MATCH("Points (Auto-generate)",INDIRECT("'"&amp;$A99&amp;"'!$A$12:$Z$12"),0),0)),"ER"))</f>
        <v>?</v>
      </c>
      <c r="AI99" s="86" t="str">
        <f aca="true">IF($H99=0,"NA",IF($A99=INDIRECT("'"&amp;$A99&amp;"'!$B$1"),IF(VLOOKUP(AI$1,INDIRECT("'"&amp;$A99&amp;"'!$A$12:$Z$41"),MATCH("Points (Auto-generate)",INDIRECT("'"&amp;$A99&amp;"'!$A$12:$Z$12"),0),0)="","?",VLOOKUP(AI$1,INDIRECT("'"&amp;$A99&amp;"'!$A$12:$Z$41"),MATCH("Points (Auto-generate)",INDIRECT("'"&amp;$A99&amp;"'!$A$12:$Z$12"),0),0)),"ER"))</f>
        <v>?</v>
      </c>
      <c r="AJ99" s="86" t="str">
        <f aca="true">IF($H99=0,"NA",IF($A99=INDIRECT("'"&amp;$A99&amp;"'!$B$1"),IF(VLOOKUP(AJ$1,INDIRECT("'"&amp;$A99&amp;"'!$A$12:$Z$41"),MATCH("Points (Auto-generate)",INDIRECT("'"&amp;$A99&amp;"'!$A$12:$Z$12"),0),0)="","?",VLOOKUP(AJ$1,INDIRECT("'"&amp;$A99&amp;"'!$A$12:$Z$41"),MATCH("Points (Auto-generate)",INDIRECT("'"&amp;$A99&amp;"'!$A$12:$Z$12"),0),0)),"ER"))</f>
        <v>?</v>
      </c>
      <c r="AK99" s="86" t="str">
        <f aca="true">IF($H99=0,"NA",IF($A99=INDIRECT("'"&amp;$A99&amp;"'!$B$1"),IF(VLOOKUP(AK$1,INDIRECT("'"&amp;$A99&amp;"'!$A$12:$Z$41"),MATCH("Points (Auto-generate)",INDIRECT("'"&amp;$A99&amp;"'!$A$12:$Z$12"),0),0)="","?",VLOOKUP(AK$1,INDIRECT("'"&amp;$A99&amp;"'!$A$12:$Z$41"),MATCH("Points (Auto-generate)",INDIRECT("'"&amp;$A99&amp;"'!$A$12:$Z$12"),0),0)),"ER"))</f>
        <v>?</v>
      </c>
    </row>
    <row r="100" customFormat="false" ht="14.25" hidden="false" customHeight="false" outlineLevel="0" collapsed="false">
      <c r="A100" s="82" t="s">
        <v>305</v>
      </c>
      <c r="B100" s="83" t="str">
        <f aca="false">IF(ISBLANK($A100),"NO_CODE",VLOOKUP($A100,'UPD Questions_290926 '!$E$1:$N$300,MATCH(B$1,'UPD Questions_290926 '!$E$1:$N$1,0),0)&amp;"")</f>
        <v>Implementation</v>
      </c>
      <c r="C100" s="83" t="str">
        <f aca="false">IF(ISBLANK($A100),"NO_CODE",VLOOKUP($A100,'UPD Questions_290926 '!$E$1:$N$300,MATCH(C$1,'UPD Questions_290926 '!$E$1:$N$1,0),0)&amp;"")</f>
        <v>Development Control Regulations and land-management instruments</v>
      </c>
      <c r="D100" s="83" t="str">
        <f aca="false">IF(ISBLANK($A100),"NO_CODE",VLOOKUP($A100,'UPD Questions_290926 '!$E$1:$N$300,MATCH(D$1,'UPD Questions_290926 '!$E$1:$N$1,0),0)&amp;"")</f>
        <v>Land-management instruments</v>
      </c>
      <c r="E100" s="83" t="str">
        <f aca="false">IF(ISBLANK($A100),"NO_CODE",VLOOKUP($A100,'UPD Questions_290926 '!$E$1:$N$300,MATCH(E$1,'UPD Questions_290926 '!$E$1:$N$1,0),0)&amp;"")</f>
        <v>MQ</v>
      </c>
      <c r="F100" s="83" t="str">
        <f aca="false">IF(ISBLANK($A100),"NO_CODE",VLOOKUP($A100,'UPD Questions_290926 '!$E$1:$N$300,MATCH(F$1,'UPD Questions_290926 '!$E$1:$N$1,0),0)&amp;"")</f>
        <v>Does the law enable a guaranteed land titling system ?</v>
      </c>
      <c r="G100" s="83" t="str">
        <f aca="false">IF(ISBLANK($A100),"NO_CODE",VLOOKUP($A100,'UPD Questions_290926 '!$E$1:$N$300,MATCH(G$1,'UPD Questions_290926 '!$E$1:$N$1,0),0)&amp;"")</f>
        <v>Law or Policy</v>
      </c>
      <c r="H100" s="85" t="n">
        <f aca="false">IF(ISBLANK($A100),"NO_CODE",VLOOKUP($A100,'UPD Questions_290926 '!$E$1:$N$300,MATCH(H$1,'UPD Questions_290926 '!$E$1:$N$1,0),0))</f>
        <v>10</v>
      </c>
      <c r="I100" s="86" t="str">
        <f aca="true">IF($H100=0,"NA",IF($A100=INDIRECT("'"&amp;$A100&amp;"'!$B$1"),IF(VLOOKUP(I$1,INDIRECT("'"&amp;$A100&amp;"'!$A$12:$Z$41"),MATCH("Points (Auto-generate)",INDIRECT("'"&amp;$A100&amp;"'!$A$12:$Z$12"),0),0)="","?",VLOOKUP(I$1,INDIRECT("'"&amp;$A100&amp;"'!$A$12:$Z$41"),MATCH("Points (Auto-generate)",INDIRECT("'"&amp;$A100&amp;"'!$A$12:$Z$12"),0),0)),"ER"))</f>
        <v>?</v>
      </c>
      <c r="J100" s="86" t="str">
        <f aca="true">IF($H100=0,"NA",IF($A100=INDIRECT("'"&amp;$A100&amp;"'!$B$1"),IF(VLOOKUP(J$1,INDIRECT("'"&amp;$A100&amp;"'!$A$12:$Z$41"),MATCH("Points (Auto-generate)",INDIRECT("'"&amp;$A100&amp;"'!$A$12:$Z$12"),0),0)="","?",VLOOKUP(J$1,INDIRECT("'"&amp;$A100&amp;"'!$A$12:$Z$41"),MATCH("Points (Auto-generate)",INDIRECT("'"&amp;$A100&amp;"'!$A$12:$Z$12"),0),0)),"ER"))</f>
        <v>?</v>
      </c>
      <c r="K100" s="86" t="str">
        <f aca="true">IF($H100=0,"NA",IF($A100=INDIRECT("'"&amp;$A100&amp;"'!$B$1"),IF(VLOOKUP(K$1,INDIRECT("'"&amp;$A100&amp;"'!$A$12:$Z$41"),MATCH("Points (Auto-generate)",INDIRECT("'"&amp;$A100&amp;"'!$A$12:$Z$12"),0),0)="","?",VLOOKUP(K$1,INDIRECT("'"&amp;$A100&amp;"'!$A$12:$Z$41"),MATCH("Points (Auto-generate)",INDIRECT("'"&amp;$A100&amp;"'!$A$12:$Z$12"),0),0)),"ER"))</f>
        <v>?</v>
      </c>
      <c r="L100" s="86" t="str">
        <f aca="true">IF($H100=0,"NA",IF($A100=INDIRECT("'"&amp;$A100&amp;"'!$B$1"),IF(VLOOKUP(L$1,INDIRECT("'"&amp;$A100&amp;"'!$A$12:$Z$41"),MATCH("Points (Auto-generate)",INDIRECT("'"&amp;$A100&amp;"'!$A$12:$Z$12"),0),0)="","?",VLOOKUP(L$1,INDIRECT("'"&amp;$A100&amp;"'!$A$12:$Z$41"),MATCH("Points (Auto-generate)",INDIRECT("'"&amp;$A100&amp;"'!$A$12:$Z$12"),0),0)),"ER"))</f>
        <v>?</v>
      </c>
      <c r="M100" s="86" t="str">
        <f aca="true">IF($H100=0,"NA",IF($A100=INDIRECT("'"&amp;$A100&amp;"'!$B$1"),IF(VLOOKUP(M$1,INDIRECT("'"&amp;$A100&amp;"'!$A$12:$Z$41"),MATCH("Points (Auto-generate)",INDIRECT("'"&amp;$A100&amp;"'!$A$12:$Z$12"),0),0)="","?",VLOOKUP(M$1,INDIRECT("'"&amp;$A100&amp;"'!$A$12:$Z$41"),MATCH("Points (Auto-generate)",INDIRECT("'"&amp;$A100&amp;"'!$A$12:$Z$12"),0),0)),"ER"))</f>
        <v>?</v>
      </c>
      <c r="N100" s="86" t="str">
        <f aca="true">IF($H100=0,"NA",IF($A100=INDIRECT("'"&amp;$A100&amp;"'!$B$1"),IF(VLOOKUP(N$1,INDIRECT("'"&amp;$A100&amp;"'!$A$12:$Z$41"),MATCH("Points (Auto-generate)",INDIRECT("'"&amp;$A100&amp;"'!$A$12:$Z$12"),0),0)="","?",VLOOKUP(N$1,INDIRECT("'"&amp;$A100&amp;"'!$A$12:$Z$41"),MATCH("Points (Auto-generate)",INDIRECT("'"&amp;$A100&amp;"'!$A$12:$Z$12"),0),0)),"ER"))</f>
        <v>?</v>
      </c>
      <c r="O100" s="86" t="str">
        <f aca="true">IF($H100=0,"NA",IF($A100=INDIRECT("'"&amp;$A100&amp;"'!$B$1"),IF(VLOOKUP(O$1,INDIRECT("'"&amp;$A100&amp;"'!$A$12:$Z$41"),MATCH("Points (Auto-generate)",INDIRECT("'"&amp;$A100&amp;"'!$A$12:$Z$12"),0),0)="","?",VLOOKUP(O$1,INDIRECT("'"&amp;$A100&amp;"'!$A$12:$Z$41"),MATCH("Points (Auto-generate)",INDIRECT("'"&amp;$A100&amp;"'!$A$12:$Z$12"),0),0)),"ER"))</f>
        <v>?</v>
      </c>
      <c r="P100" s="86" t="str">
        <f aca="true">IF($H100=0,"NA",IF($A100=INDIRECT("'"&amp;$A100&amp;"'!$B$1"),IF(VLOOKUP(P$1,INDIRECT("'"&amp;$A100&amp;"'!$A$12:$Z$41"),MATCH("Points (Auto-generate)",INDIRECT("'"&amp;$A100&amp;"'!$A$12:$Z$12"),0),0)="","?",VLOOKUP(P$1,INDIRECT("'"&amp;$A100&amp;"'!$A$12:$Z$41"),MATCH("Points (Auto-generate)",INDIRECT("'"&amp;$A100&amp;"'!$A$12:$Z$12"),0),0)),"ER"))</f>
        <v>?</v>
      </c>
      <c r="Q100" s="86" t="str">
        <f aca="true">IF($H100=0,"NA",IF($A100=INDIRECT("'"&amp;$A100&amp;"'!$B$1"),IF(VLOOKUP(Q$1,INDIRECT("'"&amp;$A100&amp;"'!$A$12:$Z$41"),MATCH("Points (Auto-generate)",INDIRECT("'"&amp;$A100&amp;"'!$A$12:$Z$12"),0),0)="","?",VLOOKUP(Q$1,INDIRECT("'"&amp;$A100&amp;"'!$A$12:$Z$41"),MATCH("Points (Auto-generate)",INDIRECT("'"&amp;$A100&amp;"'!$A$12:$Z$12"),0),0)),"ER"))</f>
        <v>?</v>
      </c>
      <c r="R100" s="86" t="str">
        <f aca="true">IF($H100=0,"NA",IF($A100=INDIRECT("'"&amp;$A100&amp;"'!$B$1"),IF(VLOOKUP(R$1,INDIRECT("'"&amp;$A100&amp;"'!$A$12:$Z$41"),MATCH("Points (Auto-generate)",INDIRECT("'"&amp;$A100&amp;"'!$A$12:$Z$12"),0),0)="","?",VLOOKUP(R$1,INDIRECT("'"&amp;$A100&amp;"'!$A$12:$Z$41"),MATCH("Points (Auto-generate)",INDIRECT("'"&amp;$A100&amp;"'!$A$12:$Z$12"),0),0)),"ER"))</f>
        <v>?</v>
      </c>
      <c r="S100" s="86" t="str">
        <f aca="true">IF($H100=0,"NA",IF($A100=INDIRECT("'"&amp;$A100&amp;"'!$B$1"),IF(VLOOKUP(S$1,INDIRECT("'"&amp;$A100&amp;"'!$A$12:$Z$41"),MATCH("Points (Auto-generate)",INDIRECT("'"&amp;$A100&amp;"'!$A$12:$Z$12"),0),0)="","?",VLOOKUP(S$1,INDIRECT("'"&amp;$A100&amp;"'!$A$12:$Z$41"),MATCH("Points (Auto-generate)",INDIRECT("'"&amp;$A100&amp;"'!$A$12:$Z$12"),0),0)),"ER"))</f>
        <v>?</v>
      </c>
      <c r="T100" s="86" t="str">
        <f aca="true">IF($H100=0,"NA",IF($A100=INDIRECT("'"&amp;$A100&amp;"'!$B$1"),IF(VLOOKUP(T$1,INDIRECT("'"&amp;$A100&amp;"'!$A$12:$Z$41"),MATCH("Points (Auto-generate)",INDIRECT("'"&amp;$A100&amp;"'!$A$12:$Z$12"),0),0)="","?",VLOOKUP(T$1,INDIRECT("'"&amp;$A100&amp;"'!$A$12:$Z$41"),MATCH("Points (Auto-generate)",INDIRECT("'"&amp;$A100&amp;"'!$A$12:$Z$12"),0),0)),"ER"))</f>
        <v>?</v>
      </c>
      <c r="U100" s="86" t="str">
        <f aca="true">IF($H100=0,"NA",IF($A100=INDIRECT("'"&amp;$A100&amp;"'!$B$1"),IF(VLOOKUP(U$1,INDIRECT("'"&amp;$A100&amp;"'!$A$12:$Z$41"),MATCH("Points (Auto-generate)",INDIRECT("'"&amp;$A100&amp;"'!$A$12:$Z$12"),0),0)="","?",VLOOKUP(U$1,INDIRECT("'"&amp;$A100&amp;"'!$A$12:$Z$41"),MATCH("Points (Auto-generate)",INDIRECT("'"&amp;$A100&amp;"'!$A$12:$Z$12"),0),0)),"ER"))</f>
        <v>?</v>
      </c>
      <c r="V100" s="86" t="str">
        <f aca="true">IF($H100=0,"NA",IF($A100=INDIRECT("'"&amp;$A100&amp;"'!$B$1"),IF(VLOOKUP(V$1,INDIRECT("'"&amp;$A100&amp;"'!$A$12:$Z$41"),MATCH("Points (Auto-generate)",INDIRECT("'"&amp;$A100&amp;"'!$A$12:$Z$12"),0),0)="","?",VLOOKUP(V$1,INDIRECT("'"&amp;$A100&amp;"'!$A$12:$Z$41"),MATCH("Points (Auto-generate)",INDIRECT("'"&amp;$A100&amp;"'!$A$12:$Z$12"),0),0)),"ER"))</f>
        <v>?</v>
      </c>
      <c r="W100" s="86" t="str">
        <f aca="true">IF($H100=0,"NA",IF($A100=INDIRECT("'"&amp;$A100&amp;"'!$B$1"),IF(VLOOKUP(W$1,INDIRECT("'"&amp;$A100&amp;"'!$A$12:$Z$41"),MATCH("Points (Auto-generate)",INDIRECT("'"&amp;$A100&amp;"'!$A$12:$Z$12"),0),0)="","?",VLOOKUP(W$1,INDIRECT("'"&amp;$A100&amp;"'!$A$12:$Z$41"),MATCH("Points (Auto-generate)",INDIRECT("'"&amp;$A100&amp;"'!$A$12:$Z$12"),0),0)),"ER"))</f>
        <v>?</v>
      </c>
      <c r="X100" s="86" t="str">
        <f aca="true">IF($H100=0,"NA",IF($A100=INDIRECT("'"&amp;$A100&amp;"'!$B$1"),IF(VLOOKUP(X$1,INDIRECT("'"&amp;$A100&amp;"'!$A$12:$Z$41"),MATCH("Points (Auto-generate)",INDIRECT("'"&amp;$A100&amp;"'!$A$12:$Z$12"),0),0)="","?",VLOOKUP(X$1,INDIRECT("'"&amp;$A100&amp;"'!$A$12:$Z$41"),MATCH("Points (Auto-generate)",INDIRECT("'"&amp;$A100&amp;"'!$A$12:$Z$12"),0),0)),"ER"))</f>
        <v>?</v>
      </c>
      <c r="Y100" s="86" t="str">
        <f aca="true">IF($H100=0,"NA",IF($A100=INDIRECT("'"&amp;$A100&amp;"'!$B$1"),IF(VLOOKUP(Y$1,INDIRECT("'"&amp;$A100&amp;"'!$A$12:$Z$41"),MATCH("Points (Auto-generate)",INDIRECT("'"&amp;$A100&amp;"'!$A$12:$Z$12"),0),0)="","?",VLOOKUP(Y$1,INDIRECT("'"&amp;$A100&amp;"'!$A$12:$Z$41"),MATCH("Points (Auto-generate)",INDIRECT("'"&amp;$A100&amp;"'!$A$12:$Z$12"),0),0)),"ER"))</f>
        <v>?</v>
      </c>
      <c r="Z100" s="86" t="str">
        <f aca="true">IF($H100=0,"NA",IF($A100=INDIRECT("'"&amp;$A100&amp;"'!$B$1"),IF(VLOOKUP(Z$1,INDIRECT("'"&amp;$A100&amp;"'!$A$12:$Z$41"),MATCH("Points (Auto-generate)",INDIRECT("'"&amp;$A100&amp;"'!$A$12:$Z$12"),0),0)="","?",VLOOKUP(Z$1,INDIRECT("'"&amp;$A100&amp;"'!$A$12:$Z$41"),MATCH("Points (Auto-generate)",INDIRECT("'"&amp;$A100&amp;"'!$A$12:$Z$12"),0),0)),"ER"))</f>
        <v>?</v>
      </c>
      <c r="AA100" s="86" t="str">
        <f aca="true">IF($H100=0,"NA",IF($A100=INDIRECT("'"&amp;$A100&amp;"'!$B$1"),IF(VLOOKUP(AA$1,INDIRECT("'"&amp;$A100&amp;"'!$A$12:$Z$41"),MATCH("Points (Auto-generate)",INDIRECT("'"&amp;$A100&amp;"'!$A$12:$Z$12"),0),0)="","?",VLOOKUP(AA$1,INDIRECT("'"&amp;$A100&amp;"'!$A$12:$Z$41"),MATCH("Points (Auto-generate)",INDIRECT("'"&amp;$A100&amp;"'!$A$12:$Z$12"),0),0)),"ER"))</f>
        <v>?</v>
      </c>
      <c r="AB100" s="86" t="str">
        <f aca="true">IF($H100=0,"NA",IF($A100=INDIRECT("'"&amp;$A100&amp;"'!$B$1"),IF(VLOOKUP(AB$1,INDIRECT("'"&amp;$A100&amp;"'!$A$12:$Z$41"),MATCH("Points (Auto-generate)",INDIRECT("'"&amp;$A100&amp;"'!$A$12:$Z$12"),0),0)="","?",VLOOKUP(AB$1,INDIRECT("'"&amp;$A100&amp;"'!$A$12:$Z$41"),MATCH("Points (Auto-generate)",INDIRECT("'"&amp;$A100&amp;"'!$A$12:$Z$12"),0),0)),"ER"))</f>
        <v>?</v>
      </c>
      <c r="AC100" s="86" t="str">
        <f aca="true">IF($H100=0,"NA",IF($A100=INDIRECT("'"&amp;$A100&amp;"'!$B$1"),IF(VLOOKUP(AC$1,INDIRECT("'"&amp;$A100&amp;"'!$A$12:$Z$41"),MATCH("Points (Auto-generate)",INDIRECT("'"&amp;$A100&amp;"'!$A$12:$Z$12"),0),0)="","?",VLOOKUP(AC$1,INDIRECT("'"&amp;$A100&amp;"'!$A$12:$Z$41"),MATCH("Points (Auto-generate)",INDIRECT("'"&amp;$A100&amp;"'!$A$12:$Z$12"),0),0)),"ER"))</f>
        <v>?</v>
      </c>
      <c r="AD100" s="86" t="str">
        <f aca="true">IF($H100=0,"NA",IF($A100=INDIRECT("'"&amp;$A100&amp;"'!$B$1"),IF(VLOOKUP(AD$1,INDIRECT("'"&amp;$A100&amp;"'!$A$12:$Z$41"),MATCH("Points (Auto-generate)",INDIRECT("'"&amp;$A100&amp;"'!$A$12:$Z$12"),0),0)="","?",VLOOKUP(AD$1,INDIRECT("'"&amp;$A100&amp;"'!$A$12:$Z$41"),MATCH("Points (Auto-generate)",INDIRECT("'"&amp;$A100&amp;"'!$A$12:$Z$12"),0),0)),"ER"))</f>
        <v>?</v>
      </c>
      <c r="AE100" s="86" t="str">
        <f aca="true">IF($H100=0,"NA",IF($A100=INDIRECT("'"&amp;$A100&amp;"'!$B$1"),IF(VLOOKUP(AE$1,INDIRECT("'"&amp;$A100&amp;"'!$A$12:$Z$41"),MATCH("Points (Auto-generate)",INDIRECT("'"&amp;$A100&amp;"'!$A$12:$Z$12"),0),0)="","?",VLOOKUP(AE$1,INDIRECT("'"&amp;$A100&amp;"'!$A$12:$Z$41"),MATCH("Points (Auto-generate)",INDIRECT("'"&amp;$A100&amp;"'!$A$12:$Z$12"),0),0)),"ER"))</f>
        <v>?</v>
      </c>
      <c r="AF100" s="86" t="str">
        <f aca="true">IF($H100=0,"NA",IF($A100=INDIRECT("'"&amp;$A100&amp;"'!$B$1"),IF(VLOOKUP(AF$1,INDIRECT("'"&amp;$A100&amp;"'!$A$12:$Z$41"),MATCH("Points (Auto-generate)",INDIRECT("'"&amp;$A100&amp;"'!$A$12:$Z$12"),0),0)="","?",VLOOKUP(AF$1,INDIRECT("'"&amp;$A100&amp;"'!$A$12:$Z$41"),MATCH("Points (Auto-generate)",INDIRECT("'"&amp;$A100&amp;"'!$A$12:$Z$12"),0),0)),"ER"))</f>
        <v>?</v>
      </c>
      <c r="AG100" s="86" t="str">
        <f aca="true">IF($H100=0,"NA",IF($A100=INDIRECT("'"&amp;$A100&amp;"'!$B$1"),IF(VLOOKUP(AG$1,INDIRECT("'"&amp;$A100&amp;"'!$A$12:$Z$41"),MATCH("Points (Auto-generate)",INDIRECT("'"&amp;$A100&amp;"'!$A$12:$Z$12"),0),0)="","?",VLOOKUP(AG$1,INDIRECT("'"&amp;$A100&amp;"'!$A$12:$Z$41"),MATCH("Points (Auto-generate)",INDIRECT("'"&amp;$A100&amp;"'!$A$12:$Z$12"),0),0)),"ER"))</f>
        <v>?</v>
      </c>
      <c r="AH100" s="86" t="str">
        <f aca="true">IF($H100=0,"NA",IF($A100=INDIRECT("'"&amp;$A100&amp;"'!$B$1"),IF(VLOOKUP(AH$1,INDIRECT("'"&amp;$A100&amp;"'!$A$12:$Z$41"),MATCH("Points (Auto-generate)",INDIRECT("'"&amp;$A100&amp;"'!$A$12:$Z$12"),0),0)="","?",VLOOKUP(AH$1,INDIRECT("'"&amp;$A100&amp;"'!$A$12:$Z$41"),MATCH("Points (Auto-generate)",INDIRECT("'"&amp;$A100&amp;"'!$A$12:$Z$12"),0),0)),"ER"))</f>
        <v>?</v>
      </c>
      <c r="AI100" s="86" t="str">
        <f aca="true">IF($H100=0,"NA",IF($A100=INDIRECT("'"&amp;$A100&amp;"'!$B$1"),IF(VLOOKUP(AI$1,INDIRECT("'"&amp;$A100&amp;"'!$A$12:$Z$41"),MATCH("Points (Auto-generate)",INDIRECT("'"&amp;$A100&amp;"'!$A$12:$Z$12"),0),0)="","?",VLOOKUP(AI$1,INDIRECT("'"&amp;$A100&amp;"'!$A$12:$Z$41"),MATCH("Points (Auto-generate)",INDIRECT("'"&amp;$A100&amp;"'!$A$12:$Z$12"),0),0)),"ER"))</f>
        <v>?</v>
      </c>
      <c r="AJ100" s="86" t="str">
        <f aca="true">IF($H100=0,"NA",IF($A100=INDIRECT("'"&amp;$A100&amp;"'!$B$1"),IF(VLOOKUP(AJ$1,INDIRECT("'"&amp;$A100&amp;"'!$A$12:$Z$41"),MATCH("Points (Auto-generate)",INDIRECT("'"&amp;$A100&amp;"'!$A$12:$Z$12"),0),0)="","?",VLOOKUP(AJ$1,INDIRECT("'"&amp;$A100&amp;"'!$A$12:$Z$41"),MATCH("Points (Auto-generate)",INDIRECT("'"&amp;$A100&amp;"'!$A$12:$Z$12"),0),0)),"ER"))</f>
        <v>?</v>
      </c>
      <c r="AK100" s="86" t="str">
        <f aca="true">IF($H100=0,"NA",IF($A100=INDIRECT("'"&amp;$A100&amp;"'!$B$1"),IF(VLOOKUP(AK$1,INDIRECT("'"&amp;$A100&amp;"'!$A$12:$Z$41"),MATCH("Points (Auto-generate)",INDIRECT("'"&amp;$A100&amp;"'!$A$12:$Z$12"),0),0)="","?",VLOOKUP(AK$1,INDIRECT("'"&amp;$A100&amp;"'!$A$12:$Z$41"),MATCH("Points (Auto-generate)",INDIRECT("'"&amp;$A100&amp;"'!$A$12:$Z$12"),0),0)),"ER"))</f>
        <v>?</v>
      </c>
    </row>
    <row r="101" customFormat="false" ht="14.25" hidden="false" customHeight="false" outlineLevel="0" collapsed="false">
      <c r="A101" s="82" t="s">
        <v>308</v>
      </c>
      <c r="B101" s="83" t="str">
        <f aca="false">IF(ISBLANK($A101),"NO_CODE",VLOOKUP($A101,'UPD Questions_290926 '!$E$1:$N$300,MATCH(B$1,'UPD Questions_290926 '!$E$1:$N$1,0),0)&amp;"")</f>
        <v>Implementation</v>
      </c>
      <c r="C101" s="83" t="str">
        <f aca="false">IF(ISBLANK($A101),"NO_CODE",VLOOKUP($A101,'UPD Questions_290926 '!$E$1:$N$300,MATCH(C$1,'UPD Questions_290926 '!$E$1:$N$1,0),0)&amp;"")</f>
        <v>Development Control Regulations and land-management instruments</v>
      </c>
      <c r="D101" s="83" t="str">
        <f aca="false">IF(ISBLANK($A101),"NO_CODE",VLOOKUP($A101,'UPD Questions_290926 '!$E$1:$N$300,MATCH(D$1,'UPD Questions_290926 '!$E$1:$N$1,0),0)&amp;"")</f>
        <v>Land-management instruments</v>
      </c>
      <c r="E101" s="83" t="str">
        <f aca="false">IF(ISBLANK($A101),"NO_CODE",VLOOKUP($A101,'UPD Questions_290926 '!$E$1:$N$300,MATCH(E$1,'UPD Questions_290926 '!$E$1:$N$1,0),0)&amp;"")</f>
        <v>MQ</v>
      </c>
      <c r="F101" s="83" t="str">
        <f aca="false">IF(ISBLANK($A101),"NO_CODE",VLOOKUP($A101,'UPD Questions_290926 '!$E$1:$N$300,MATCH(F$1,'UPD Questions_290926 '!$E$1:$N$1,0),0)&amp;"")</f>
        <v>Does the law enable a guaranteed land pooling system ?</v>
      </c>
      <c r="G101" s="83" t="str">
        <f aca="false">IF(ISBLANK($A101),"NO_CODE",VLOOKUP($A101,'UPD Questions_290926 '!$E$1:$N$300,MATCH(G$1,'UPD Questions_290926 '!$E$1:$N$1,0),0)&amp;"")</f>
        <v>Law or Policy</v>
      </c>
      <c r="H101" s="85" t="n">
        <f aca="false">IF(ISBLANK($A101),"NO_CODE",VLOOKUP($A101,'UPD Questions_290926 '!$E$1:$N$300,MATCH(H$1,'UPD Questions_290926 '!$E$1:$N$1,0),0))</f>
        <v>10</v>
      </c>
      <c r="I101" s="86" t="str">
        <f aca="true">IF($H101=0,"NA",IF($A101=INDIRECT("'"&amp;$A101&amp;"'!$B$1"),IF(VLOOKUP(I$1,INDIRECT("'"&amp;$A101&amp;"'!$A$12:$Z$41"),MATCH("Points (Auto-generate)",INDIRECT("'"&amp;$A101&amp;"'!$A$12:$Z$12"),0),0)="","?",VLOOKUP(I$1,INDIRECT("'"&amp;$A101&amp;"'!$A$12:$Z$41"),MATCH("Points (Auto-generate)",INDIRECT("'"&amp;$A101&amp;"'!$A$12:$Z$12"),0),0)),"ER"))</f>
        <v>?</v>
      </c>
      <c r="J101" s="86" t="str">
        <f aca="true">IF($H101=0,"NA",IF($A101=INDIRECT("'"&amp;$A101&amp;"'!$B$1"),IF(VLOOKUP(J$1,INDIRECT("'"&amp;$A101&amp;"'!$A$12:$Z$41"),MATCH("Points (Auto-generate)",INDIRECT("'"&amp;$A101&amp;"'!$A$12:$Z$12"),0),0)="","?",VLOOKUP(J$1,INDIRECT("'"&amp;$A101&amp;"'!$A$12:$Z$41"),MATCH("Points (Auto-generate)",INDIRECT("'"&amp;$A101&amp;"'!$A$12:$Z$12"),0),0)),"ER"))</f>
        <v>?</v>
      </c>
      <c r="K101" s="86" t="str">
        <f aca="true">IF($H101=0,"NA",IF($A101=INDIRECT("'"&amp;$A101&amp;"'!$B$1"),IF(VLOOKUP(K$1,INDIRECT("'"&amp;$A101&amp;"'!$A$12:$Z$41"),MATCH("Points (Auto-generate)",INDIRECT("'"&amp;$A101&amp;"'!$A$12:$Z$12"),0),0)="","?",VLOOKUP(K$1,INDIRECT("'"&amp;$A101&amp;"'!$A$12:$Z$41"),MATCH("Points (Auto-generate)",INDIRECT("'"&amp;$A101&amp;"'!$A$12:$Z$12"),0),0)),"ER"))</f>
        <v>?</v>
      </c>
      <c r="L101" s="86" t="str">
        <f aca="true">IF($H101=0,"NA",IF($A101=INDIRECT("'"&amp;$A101&amp;"'!$B$1"),IF(VLOOKUP(L$1,INDIRECT("'"&amp;$A101&amp;"'!$A$12:$Z$41"),MATCH("Points (Auto-generate)",INDIRECT("'"&amp;$A101&amp;"'!$A$12:$Z$12"),0),0)="","?",VLOOKUP(L$1,INDIRECT("'"&amp;$A101&amp;"'!$A$12:$Z$41"),MATCH("Points (Auto-generate)",INDIRECT("'"&amp;$A101&amp;"'!$A$12:$Z$12"),0),0)),"ER"))</f>
        <v>?</v>
      </c>
      <c r="M101" s="86" t="str">
        <f aca="true">IF($H101=0,"NA",IF($A101=INDIRECT("'"&amp;$A101&amp;"'!$B$1"),IF(VLOOKUP(M$1,INDIRECT("'"&amp;$A101&amp;"'!$A$12:$Z$41"),MATCH("Points (Auto-generate)",INDIRECT("'"&amp;$A101&amp;"'!$A$12:$Z$12"),0),0)="","?",VLOOKUP(M$1,INDIRECT("'"&amp;$A101&amp;"'!$A$12:$Z$41"),MATCH("Points (Auto-generate)",INDIRECT("'"&amp;$A101&amp;"'!$A$12:$Z$12"),0),0)),"ER"))</f>
        <v>?</v>
      </c>
      <c r="N101" s="86" t="str">
        <f aca="true">IF($H101=0,"NA",IF($A101=INDIRECT("'"&amp;$A101&amp;"'!$B$1"),IF(VLOOKUP(N$1,INDIRECT("'"&amp;$A101&amp;"'!$A$12:$Z$41"),MATCH("Points (Auto-generate)",INDIRECT("'"&amp;$A101&amp;"'!$A$12:$Z$12"),0),0)="","?",VLOOKUP(N$1,INDIRECT("'"&amp;$A101&amp;"'!$A$12:$Z$41"),MATCH("Points (Auto-generate)",INDIRECT("'"&amp;$A101&amp;"'!$A$12:$Z$12"),0),0)),"ER"))</f>
        <v>?</v>
      </c>
      <c r="O101" s="86" t="str">
        <f aca="true">IF($H101=0,"NA",IF($A101=INDIRECT("'"&amp;$A101&amp;"'!$B$1"),IF(VLOOKUP(O$1,INDIRECT("'"&amp;$A101&amp;"'!$A$12:$Z$41"),MATCH("Points (Auto-generate)",INDIRECT("'"&amp;$A101&amp;"'!$A$12:$Z$12"),0),0)="","?",VLOOKUP(O$1,INDIRECT("'"&amp;$A101&amp;"'!$A$12:$Z$41"),MATCH("Points (Auto-generate)",INDIRECT("'"&amp;$A101&amp;"'!$A$12:$Z$12"),0),0)),"ER"))</f>
        <v>?</v>
      </c>
      <c r="P101" s="86" t="str">
        <f aca="true">IF($H101=0,"NA",IF($A101=INDIRECT("'"&amp;$A101&amp;"'!$B$1"),IF(VLOOKUP(P$1,INDIRECT("'"&amp;$A101&amp;"'!$A$12:$Z$41"),MATCH("Points (Auto-generate)",INDIRECT("'"&amp;$A101&amp;"'!$A$12:$Z$12"),0),0)="","?",VLOOKUP(P$1,INDIRECT("'"&amp;$A101&amp;"'!$A$12:$Z$41"),MATCH("Points (Auto-generate)",INDIRECT("'"&amp;$A101&amp;"'!$A$12:$Z$12"),0),0)),"ER"))</f>
        <v>?</v>
      </c>
      <c r="Q101" s="86" t="str">
        <f aca="true">IF($H101=0,"NA",IF($A101=INDIRECT("'"&amp;$A101&amp;"'!$B$1"),IF(VLOOKUP(Q$1,INDIRECT("'"&amp;$A101&amp;"'!$A$12:$Z$41"),MATCH("Points (Auto-generate)",INDIRECT("'"&amp;$A101&amp;"'!$A$12:$Z$12"),0),0)="","?",VLOOKUP(Q$1,INDIRECT("'"&amp;$A101&amp;"'!$A$12:$Z$41"),MATCH("Points (Auto-generate)",INDIRECT("'"&amp;$A101&amp;"'!$A$12:$Z$12"),0),0)),"ER"))</f>
        <v>?</v>
      </c>
      <c r="R101" s="86" t="str">
        <f aca="true">IF($H101=0,"NA",IF($A101=INDIRECT("'"&amp;$A101&amp;"'!$B$1"),IF(VLOOKUP(R$1,INDIRECT("'"&amp;$A101&amp;"'!$A$12:$Z$41"),MATCH("Points (Auto-generate)",INDIRECT("'"&amp;$A101&amp;"'!$A$12:$Z$12"),0),0)="","?",VLOOKUP(R$1,INDIRECT("'"&amp;$A101&amp;"'!$A$12:$Z$41"),MATCH("Points (Auto-generate)",INDIRECT("'"&amp;$A101&amp;"'!$A$12:$Z$12"),0),0)),"ER"))</f>
        <v>?</v>
      </c>
      <c r="S101" s="86" t="str">
        <f aca="true">IF($H101=0,"NA",IF($A101=INDIRECT("'"&amp;$A101&amp;"'!$B$1"),IF(VLOOKUP(S$1,INDIRECT("'"&amp;$A101&amp;"'!$A$12:$Z$41"),MATCH("Points (Auto-generate)",INDIRECT("'"&amp;$A101&amp;"'!$A$12:$Z$12"),0),0)="","?",VLOOKUP(S$1,INDIRECT("'"&amp;$A101&amp;"'!$A$12:$Z$41"),MATCH("Points (Auto-generate)",INDIRECT("'"&amp;$A101&amp;"'!$A$12:$Z$12"),0),0)),"ER"))</f>
        <v>?</v>
      </c>
      <c r="T101" s="86" t="str">
        <f aca="true">IF($H101=0,"NA",IF($A101=INDIRECT("'"&amp;$A101&amp;"'!$B$1"),IF(VLOOKUP(T$1,INDIRECT("'"&amp;$A101&amp;"'!$A$12:$Z$41"),MATCH("Points (Auto-generate)",INDIRECT("'"&amp;$A101&amp;"'!$A$12:$Z$12"),0),0)="","?",VLOOKUP(T$1,INDIRECT("'"&amp;$A101&amp;"'!$A$12:$Z$41"),MATCH("Points (Auto-generate)",INDIRECT("'"&amp;$A101&amp;"'!$A$12:$Z$12"),0),0)),"ER"))</f>
        <v>?</v>
      </c>
      <c r="U101" s="86" t="str">
        <f aca="true">IF($H101=0,"NA",IF($A101=INDIRECT("'"&amp;$A101&amp;"'!$B$1"),IF(VLOOKUP(U$1,INDIRECT("'"&amp;$A101&amp;"'!$A$12:$Z$41"),MATCH("Points (Auto-generate)",INDIRECT("'"&amp;$A101&amp;"'!$A$12:$Z$12"),0),0)="","?",VLOOKUP(U$1,INDIRECT("'"&amp;$A101&amp;"'!$A$12:$Z$41"),MATCH("Points (Auto-generate)",INDIRECT("'"&amp;$A101&amp;"'!$A$12:$Z$12"),0),0)),"ER"))</f>
        <v>?</v>
      </c>
      <c r="V101" s="86" t="str">
        <f aca="true">IF($H101=0,"NA",IF($A101=INDIRECT("'"&amp;$A101&amp;"'!$B$1"),IF(VLOOKUP(V$1,INDIRECT("'"&amp;$A101&amp;"'!$A$12:$Z$41"),MATCH("Points (Auto-generate)",INDIRECT("'"&amp;$A101&amp;"'!$A$12:$Z$12"),0),0)="","?",VLOOKUP(V$1,INDIRECT("'"&amp;$A101&amp;"'!$A$12:$Z$41"),MATCH("Points (Auto-generate)",INDIRECT("'"&amp;$A101&amp;"'!$A$12:$Z$12"),0),0)),"ER"))</f>
        <v>?</v>
      </c>
      <c r="W101" s="86" t="str">
        <f aca="true">IF($H101=0,"NA",IF($A101=INDIRECT("'"&amp;$A101&amp;"'!$B$1"),IF(VLOOKUP(W$1,INDIRECT("'"&amp;$A101&amp;"'!$A$12:$Z$41"),MATCH("Points (Auto-generate)",INDIRECT("'"&amp;$A101&amp;"'!$A$12:$Z$12"),0),0)="","?",VLOOKUP(W$1,INDIRECT("'"&amp;$A101&amp;"'!$A$12:$Z$41"),MATCH("Points (Auto-generate)",INDIRECT("'"&amp;$A101&amp;"'!$A$12:$Z$12"),0),0)),"ER"))</f>
        <v>?</v>
      </c>
      <c r="X101" s="86" t="str">
        <f aca="true">IF($H101=0,"NA",IF($A101=INDIRECT("'"&amp;$A101&amp;"'!$B$1"),IF(VLOOKUP(X$1,INDIRECT("'"&amp;$A101&amp;"'!$A$12:$Z$41"),MATCH("Points (Auto-generate)",INDIRECT("'"&amp;$A101&amp;"'!$A$12:$Z$12"),0),0)="","?",VLOOKUP(X$1,INDIRECT("'"&amp;$A101&amp;"'!$A$12:$Z$41"),MATCH("Points (Auto-generate)",INDIRECT("'"&amp;$A101&amp;"'!$A$12:$Z$12"),0),0)),"ER"))</f>
        <v>?</v>
      </c>
      <c r="Y101" s="86" t="str">
        <f aca="true">IF($H101=0,"NA",IF($A101=INDIRECT("'"&amp;$A101&amp;"'!$B$1"),IF(VLOOKUP(Y$1,INDIRECT("'"&amp;$A101&amp;"'!$A$12:$Z$41"),MATCH("Points (Auto-generate)",INDIRECT("'"&amp;$A101&amp;"'!$A$12:$Z$12"),0),0)="","?",VLOOKUP(Y$1,INDIRECT("'"&amp;$A101&amp;"'!$A$12:$Z$41"),MATCH("Points (Auto-generate)",INDIRECT("'"&amp;$A101&amp;"'!$A$12:$Z$12"),0),0)),"ER"))</f>
        <v>?</v>
      </c>
      <c r="Z101" s="86" t="str">
        <f aca="true">IF($H101=0,"NA",IF($A101=INDIRECT("'"&amp;$A101&amp;"'!$B$1"),IF(VLOOKUP(Z$1,INDIRECT("'"&amp;$A101&amp;"'!$A$12:$Z$41"),MATCH("Points (Auto-generate)",INDIRECT("'"&amp;$A101&amp;"'!$A$12:$Z$12"),0),0)="","?",VLOOKUP(Z$1,INDIRECT("'"&amp;$A101&amp;"'!$A$12:$Z$41"),MATCH("Points (Auto-generate)",INDIRECT("'"&amp;$A101&amp;"'!$A$12:$Z$12"),0),0)),"ER"))</f>
        <v>?</v>
      </c>
      <c r="AA101" s="86" t="str">
        <f aca="true">IF($H101=0,"NA",IF($A101=INDIRECT("'"&amp;$A101&amp;"'!$B$1"),IF(VLOOKUP(AA$1,INDIRECT("'"&amp;$A101&amp;"'!$A$12:$Z$41"),MATCH("Points (Auto-generate)",INDIRECT("'"&amp;$A101&amp;"'!$A$12:$Z$12"),0),0)="","?",VLOOKUP(AA$1,INDIRECT("'"&amp;$A101&amp;"'!$A$12:$Z$41"),MATCH("Points (Auto-generate)",INDIRECT("'"&amp;$A101&amp;"'!$A$12:$Z$12"),0),0)),"ER"))</f>
        <v>?</v>
      </c>
      <c r="AB101" s="86" t="str">
        <f aca="true">IF($H101=0,"NA",IF($A101=INDIRECT("'"&amp;$A101&amp;"'!$B$1"),IF(VLOOKUP(AB$1,INDIRECT("'"&amp;$A101&amp;"'!$A$12:$Z$41"),MATCH("Points (Auto-generate)",INDIRECT("'"&amp;$A101&amp;"'!$A$12:$Z$12"),0),0)="","?",VLOOKUP(AB$1,INDIRECT("'"&amp;$A101&amp;"'!$A$12:$Z$41"),MATCH("Points (Auto-generate)",INDIRECT("'"&amp;$A101&amp;"'!$A$12:$Z$12"),0),0)),"ER"))</f>
        <v>?</v>
      </c>
      <c r="AC101" s="86" t="str">
        <f aca="true">IF($H101=0,"NA",IF($A101=INDIRECT("'"&amp;$A101&amp;"'!$B$1"),IF(VLOOKUP(AC$1,INDIRECT("'"&amp;$A101&amp;"'!$A$12:$Z$41"),MATCH("Points (Auto-generate)",INDIRECT("'"&amp;$A101&amp;"'!$A$12:$Z$12"),0),0)="","?",VLOOKUP(AC$1,INDIRECT("'"&amp;$A101&amp;"'!$A$12:$Z$41"),MATCH("Points (Auto-generate)",INDIRECT("'"&amp;$A101&amp;"'!$A$12:$Z$12"),0),0)),"ER"))</f>
        <v>?</v>
      </c>
      <c r="AD101" s="86" t="str">
        <f aca="true">IF($H101=0,"NA",IF($A101=INDIRECT("'"&amp;$A101&amp;"'!$B$1"),IF(VLOOKUP(AD$1,INDIRECT("'"&amp;$A101&amp;"'!$A$12:$Z$41"),MATCH("Points (Auto-generate)",INDIRECT("'"&amp;$A101&amp;"'!$A$12:$Z$12"),0),0)="","?",VLOOKUP(AD$1,INDIRECT("'"&amp;$A101&amp;"'!$A$12:$Z$41"),MATCH("Points (Auto-generate)",INDIRECT("'"&amp;$A101&amp;"'!$A$12:$Z$12"),0),0)),"ER"))</f>
        <v>?</v>
      </c>
      <c r="AE101" s="86" t="str">
        <f aca="true">IF($H101=0,"NA",IF($A101=INDIRECT("'"&amp;$A101&amp;"'!$B$1"),IF(VLOOKUP(AE$1,INDIRECT("'"&amp;$A101&amp;"'!$A$12:$Z$41"),MATCH("Points (Auto-generate)",INDIRECT("'"&amp;$A101&amp;"'!$A$12:$Z$12"),0),0)="","?",VLOOKUP(AE$1,INDIRECT("'"&amp;$A101&amp;"'!$A$12:$Z$41"),MATCH("Points (Auto-generate)",INDIRECT("'"&amp;$A101&amp;"'!$A$12:$Z$12"),0),0)),"ER"))</f>
        <v>?</v>
      </c>
      <c r="AF101" s="86" t="str">
        <f aca="true">IF($H101=0,"NA",IF($A101=INDIRECT("'"&amp;$A101&amp;"'!$B$1"),IF(VLOOKUP(AF$1,INDIRECT("'"&amp;$A101&amp;"'!$A$12:$Z$41"),MATCH("Points (Auto-generate)",INDIRECT("'"&amp;$A101&amp;"'!$A$12:$Z$12"),0),0)="","?",VLOOKUP(AF$1,INDIRECT("'"&amp;$A101&amp;"'!$A$12:$Z$41"),MATCH("Points (Auto-generate)",INDIRECT("'"&amp;$A101&amp;"'!$A$12:$Z$12"),0),0)),"ER"))</f>
        <v>?</v>
      </c>
      <c r="AG101" s="86" t="str">
        <f aca="true">IF($H101=0,"NA",IF($A101=INDIRECT("'"&amp;$A101&amp;"'!$B$1"),IF(VLOOKUP(AG$1,INDIRECT("'"&amp;$A101&amp;"'!$A$12:$Z$41"),MATCH("Points (Auto-generate)",INDIRECT("'"&amp;$A101&amp;"'!$A$12:$Z$12"),0),0)="","?",VLOOKUP(AG$1,INDIRECT("'"&amp;$A101&amp;"'!$A$12:$Z$41"),MATCH("Points (Auto-generate)",INDIRECT("'"&amp;$A101&amp;"'!$A$12:$Z$12"),0),0)),"ER"))</f>
        <v>?</v>
      </c>
      <c r="AH101" s="86" t="str">
        <f aca="true">IF($H101=0,"NA",IF($A101=INDIRECT("'"&amp;$A101&amp;"'!$B$1"),IF(VLOOKUP(AH$1,INDIRECT("'"&amp;$A101&amp;"'!$A$12:$Z$41"),MATCH("Points (Auto-generate)",INDIRECT("'"&amp;$A101&amp;"'!$A$12:$Z$12"),0),0)="","?",VLOOKUP(AH$1,INDIRECT("'"&amp;$A101&amp;"'!$A$12:$Z$41"),MATCH("Points (Auto-generate)",INDIRECT("'"&amp;$A101&amp;"'!$A$12:$Z$12"),0),0)),"ER"))</f>
        <v>?</v>
      </c>
      <c r="AI101" s="86" t="str">
        <f aca="true">IF($H101=0,"NA",IF($A101=INDIRECT("'"&amp;$A101&amp;"'!$B$1"),IF(VLOOKUP(AI$1,INDIRECT("'"&amp;$A101&amp;"'!$A$12:$Z$41"),MATCH("Points (Auto-generate)",INDIRECT("'"&amp;$A101&amp;"'!$A$12:$Z$12"),0),0)="","?",VLOOKUP(AI$1,INDIRECT("'"&amp;$A101&amp;"'!$A$12:$Z$41"),MATCH("Points (Auto-generate)",INDIRECT("'"&amp;$A101&amp;"'!$A$12:$Z$12"),0),0)),"ER"))</f>
        <v>?</v>
      </c>
      <c r="AJ101" s="86" t="str">
        <f aca="true">IF($H101=0,"NA",IF($A101=INDIRECT("'"&amp;$A101&amp;"'!$B$1"),IF(VLOOKUP(AJ$1,INDIRECT("'"&amp;$A101&amp;"'!$A$12:$Z$41"),MATCH("Points (Auto-generate)",INDIRECT("'"&amp;$A101&amp;"'!$A$12:$Z$12"),0),0)="","?",VLOOKUP(AJ$1,INDIRECT("'"&amp;$A101&amp;"'!$A$12:$Z$41"),MATCH("Points (Auto-generate)",INDIRECT("'"&amp;$A101&amp;"'!$A$12:$Z$12"),0),0)),"ER"))</f>
        <v>?</v>
      </c>
      <c r="AK101" s="86" t="str">
        <f aca="true">IF($H101=0,"NA",IF($A101=INDIRECT("'"&amp;$A101&amp;"'!$B$1"),IF(VLOOKUP(AK$1,INDIRECT("'"&amp;$A101&amp;"'!$A$12:$Z$41"),MATCH("Points (Auto-generate)",INDIRECT("'"&amp;$A101&amp;"'!$A$12:$Z$12"),0),0)="","?",VLOOKUP(AK$1,INDIRECT("'"&amp;$A101&amp;"'!$A$12:$Z$41"),MATCH("Points (Auto-generate)",INDIRECT("'"&amp;$A101&amp;"'!$A$12:$Z$12"),0),0)),"ER"))</f>
        <v>?</v>
      </c>
    </row>
    <row r="102" customFormat="false" ht="14.25" hidden="false" customHeight="false" outlineLevel="0" collapsed="false">
      <c r="A102" s="82" t="s">
        <v>313</v>
      </c>
      <c r="B102" s="83" t="str">
        <f aca="false">IF(ISBLANK($A102),"NO_CODE",VLOOKUP($A102,'UPD Questions_290926 '!$E$1:$N$300,MATCH(B$1,'UPD Questions_290926 '!$E$1:$N$1,0),0)&amp;"")</f>
        <v>Implementation</v>
      </c>
      <c r="C102" s="83" t="str">
        <f aca="false">IF(ISBLANK($A102),"NO_CODE",VLOOKUP($A102,'UPD Questions_290926 '!$E$1:$N$300,MATCH(C$1,'UPD Questions_290926 '!$E$1:$N$1,0),0)&amp;"")</f>
        <v>Development Compliance</v>
      </c>
      <c r="D102" s="83" t="str">
        <f aca="false">IF(ISBLANK($A102),"NO_CODE",VLOOKUP($A102,'UPD Questions_290926 '!$E$1:$N$300,MATCH(D$1,'UPD Questions_290926 '!$E$1:$N$1,0),0)&amp;"")</f>
        <v>Development approvals</v>
      </c>
      <c r="E102" s="83" t="str">
        <f aca="false">IF(ISBLANK($A102),"NO_CODE",VLOOKUP($A102,'UPD Questions_290926 '!$E$1:$N$300,MATCH(E$1,'UPD Questions_290926 '!$E$1:$N$1,0),0)&amp;"")</f>
        <v>MQ</v>
      </c>
      <c r="F102" s="83" t="str">
        <f aca="false">IF(ISBLANK($A102),"NO_CODE",VLOOKUP($A102,'UPD Questions_290926 '!$E$1:$N$300,MATCH(F$1,'UPD Questions_290926 '!$E$1:$N$1,0),0)&amp;"")</f>
        <v>Does your city have a single window clearance process in place for  development projects that are in conformity with municipal/city plans?</v>
      </c>
      <c r="G102" s="83" t="str">
        <f aca="false">IF(ISBLANK($A102),"NO_CODE",VLOOKUP($A102,'UPD Questions_290926 '!$E$1:$N$300,MATCH(G$1,'UPD Questions_290926 '!$E$1:$N$1,0),0)&amp;"")</f>
        <v>Implementation</v>
      </c>
      <c r="H102" s="85" t="n">
        <f aca="false">IF(ISBLANK($A102),"NO_CODE",VLOOKUP($A102,'UPD Questions_290926 '!$E$1:$N$300,MATCH(H$1,'UPD Questions_290926 '!$E$1:$N$1,0),0))</f>
        <v>10</v>
      </c>
      <c r="I102" s="86" t="str">
        <f aca="true">IF($H102=0,"NA",IF($A102=INDIRECT("'"&amp;$A102&amp;"'!$B$1"),IF(VLOOKUP(I$1,INDIRECT("'"&amp;$A102&amp;"'!$A$12:$Z$41"),MATCH("Points (Auto-generate)",INDIRECT("'"&amp;$A102&amp;"'!$A$12:$Z$12"),0),0)="","?",VLOOKUP(I$1,INDIRECT("'"&amp;$A102&amp;"'!$A$12:$Z$41"),MATCH("Points (Auto-generate)",INDIRECT("'"&amp;$A102&amp;"'!$A$12:$Z$12"),0),0)),"ER"))</f>
        <v>?</v>
      </c>
      <c r="J102" s="86" t="str">
        <f aca="true">IF($H102=0,"NA",IF($A102=INDIRECT("'"&amp;$A102&amp;"'!$B$1"),IF(VLOOKUP(J$1,INDIRECT("'"&amp;$A102&amp;"'!$A$12:$Z$41"),MATCH("Points (Auto-generate)",INDIRECT("'"&amp;$A102&amp;"'!$A$12:$Z$12"),0),0)="","?",VLOOKUP(J$1,INDIRECT("'"&amp;$A102&amp;"'!$A$12:$Z$41"),MATCH("Points (Auto-generate)",INDIRECT("'"&amp;$A102&amp;"'!$A$12:$Z$12"),0),0)),"ER"))</f>
        <v>?</v>
      </c>
      <c r="K102" s="86" t="str">
        <f aca="true">IF($H102=0,"NA",IF($A102=INDIRECT("'"&amp;$A102&amp;"'!$B$1"),IF(VLOOKUP(K$1,INDIRECT("'"&amp;$A102&amp;"'!$A$12:$Z$41"),MATCH("Points (Auto-generate)",INDIRECT("'"&amp;$A102&amp;"'!$A$12:$Z$12"),0),0)="","?",VLOOKUP(K$1,INDIRECT("'"&amp;$A102&amp;"'!$A$12:$Z$41"),MATCH("Points (Auto-generate)",INDIRECT("'"&amp;$A102&amp;"'!$A$12:$Z$12"),0),0)),"ER"))</f>
        <v>?</v>
      </c>
      <c r="L102" s="86" t="str">
        <f aca="true">IF($H102=0,"NA",IF($A102=INDIRECT("'"&amp;$A102&amp;"'!$B$1"),IF(VLOOKUP(L$1,INDIRECT("'"&amp;$A102&amp;"'!$A$12:$Z$41"),MATCH("Points (Auto-generate)",INDIRECT("'"&amp;$A102&amp;"'!$A$12:$Z$12"),0),0)="","?",VLOOKUP(L$1,INDIRECT("'"&amp;$A102&amp;"'!$A$12:$Z$41"),MATCH("Points (Auto-generate)",INDIRECT("'"&amp;$A102&amp;"'!$A$12:$Z$12"),0),0)),"ER"))</f>
        <v>?</v>
      </c>
      <c r="M102" s="86" t="str">
        <f aca="true">IF($H102=0,"NA",IF($A102=INDIRECT("'"&amp;$A102&amp;"'!$B$1"),IF(VLOOKUP(M$1,INDIRECT("'"&amp;$A102&amp;"'!$A$12:$Z$41"),MATCH("Points (Auto-generate)",INDIRECT("'"&amp;$A102&amp;"'!$A$12:$Z$12"),0),0)="","?",VLOOKUP(M$1,INDIRECT("'"&amp;$A102&amp;"'!$A$12:$Z$41"),MATCH("Points (Auto-generate)",INDIRECT("'"&amp;$A102&amp;"'!$A$12:$Z$12"),0),0)),"ER"))</f>
        <v>?</v>
      </c>
      <c r="N102" s="86" t="str">
        <f aca="true">IF($H102=0,"NA",IF($A102=INDIRECT("'"&amp;$A102&amp;"'!$B$1"),IF(VLOOKUP(N$1,INDIRECT("'"&amp;$A102&amp;"'!$A$12:$Z$41"),MATCH("Points (Auto-generate)",INDIRECT("'"&amp;$A102&amp;"'!$A$12:$Z$12"),0),0)="","?",VLOOKUP(N$1,INDIRECT("'"&amp;$A102&amp;"'!$A$12:$Z$41"),MATCH("Points (Auto-generate)",INDIRECT("'"&amp;$A102&amp;"'!$A$12:$Z$12"),0),0)),"ER"))</f>
        <v>?</v>
      </c>
      <c r="O102" s="86" t="str">
        <f aca="true">IF($H102=0,"NA",IF($A102=INDIRECT("'"&amp;$A102&amp;"'!$B$1"),IF(VLOOKUP(O$1,INDIRECT("'"&amp;$A102&amp;"'!$A$12:$Z$41"),MATCH("Points (Auto-generate)",INDIRECT("'"&amp;$A102&amp;"'!$A$12:$Z$12"),0),0)="","?",VLOOKUP(O$1,INDIRECT("'"&amp;$A102&amp;"'!$A$12:$Z$41"),MATCH("Points (Auto-generate)",INDIRECT("'"&amp;$A102&amp;"'!$A$12:$Z$12"),0),0)),"ER"))</f>
        <v>?</v>
      </c>
      <c r="P102" s="86" t="str">
        <f aca="true">IF($H102=0,"NA",IF($A102=INDIRECT("'"&amp;$A102&amp;"'!$B$1"),IF(VLOOKUP(P$1,INDIRECT("'"&amp;$A102&amp;"'!$A$12:$Z$41"),MATCH("Points (Auto-generate)",INDIRECT("'"&amp;$A102&amp;"'!$A$12:$Z$12"),0),0)="","?",VLOOKUP(P$1,INDIRECT("'"&amp;$A102&amp;"'!$A$12:$Z$41"),MATCH("Points (Auto-generate)",INDIRECT("'"&amp;$A102&amp;"'!$A$12:$Z$12"),0),0)),"ER"))</f>
        <v>?</v>
      </c>
      <c r="Q102" s="86" t="str">
        <f aca="true">IF($H102=0,"NA",IF($A102=INDIRECT("'"&amp;$A102&amp;"'!$B$1"),IF(VLOOKUP(Q$1,INDIRECT("'"&amp;$A102&amp;"'!$A$12:$Z$41"),MATCH("Points (Auto-generate)",INDIRECT("'"&amp;$A102&amp;"'!$A$12:$Z$12"),0),0)="","?",VLOOKUP(Q$1,INDIRECT("'"&amp;$A102&amp;"'!$A$12:$Z$41"),MATCH("Points (Auto-generate)",INDIRECT("'"&amp;$A102&amp;"'!$A$12:$Z$12"),0),0)),"ER"))</f>
        <v>?</v>
      </c>
      <c r="R102" s="86" t="str">
        <f aca="true">IF($H102=0,"NA",IF($A102=INDIRECT("'"&amp;$A102&amp;"'!$B$1"),IF(VLOOKUP(R$1,INDIRECT("'"&amp;$A102&amp;"'!$A$12:$Z$41"),MATCH("Points (Auto-generate)",INDIRECT("'"&amp;$A102&amp;"'!$A$12:$Z$12"),0),0)="","?",VLOOKUP(R$1,INDIRECT("'"&amp;$A102&amp;"'!$A$12:$Z$41"),MATCH("Points (Auto-generate)",INDIRECT("'"&amp;$A102&amp;"'!$A$12:$Z$12"),0),0)),"ER"))</f>
        <v>?</v>
      </c>
      <c r="S102" s="86" t="str">
        <f aca="true">IF($H102=0,"NA",IF($A102=INDIRECT("'"&amp;$A102&amp;"'!$B$1"),IF(VLOOKUP(S$1,INDIRECT("'"&amp;$A102&amp;"'!$A$12:$Z$41"),MATCH("Points (Auto-generate)",INDIRECT("'"&amp;$A102&amp;"'!$A$12:$Z$12"),0),0)="","?",VLOOKUP(S$1,INDIRECT("'"&amp;$A102&amp;"'!$A$12:$Z$41"),MATCH("Points (Auto-generate)",INDIRECT("'"&amp;$A102&amp;"'!$A$12:$Z$12"),0),0)),"ER"))</f>
        <v>?</v>
      </c>
      <c r="T102" s="86" t="str">
        <f aca="true">IF($H102=0,"NA",IF($A102=INDIRECT("'"&amp;$A102&amp;"'!$B$1"),IF(VLOOKUP(T$1,INDIRECT("'"&amp;$A102&amp;"'!$A$12:$Z$41"),MATCH("Points (Auto-generate)",INDIRECT("'"&amp;$A102&amp;"'!$A$12:$Z$12"),0),0)="","?",VLOOKUP(T$1,INDIRECT("'"&amp;$A102&amp;"'!$A$12:$Z$41"),MATCH("Points (Auto-generate)",INDIRECT("'"&amp;$A102&amp;"'!$A$12:$Z$12"),0),0)),"ER"))</f>
        <v>?</v>
      </c>
      <c r="U102" s="86" t="str">
        <f aca="true">IF($H102=0,"NA",IF($A102=INDIRECT("'"&amp;$A102&amp;"'!$B$1"),IF(VLOOKUP(U$1,INDIRECT("'"&amp;$A102&amp;"'!$A$12:$Z$41"),MATCH("Points (Auto-generate)",INDIRECT("'"&amp;$A102&amp;"'!$A$12:$Z$12"),0),0)="","?",VLOOKUP(U$1,INDIRECT("'"&amp;$A102&amp;"'!$A$12:$Z$41"),MATCH("Points (Auto-generate)",INDIRECT("'"&amp;$A102&amp;"'!$A$12:$Z$12"),0),0)),"ER"))</f>
        <v>?</v>
      </c>
      <c r="V102" s="86" t="str">
        <f aca="true">IF($H102=0,"NA",IF($A102=INDIRECT("'"&amp;$A102&amp;"'!$B$1"),IF(VLOOKUP(V$1,INDIRECT("'"&amp;$A102&amp;"'!$A$12:$Z$41"),MATCH("Points (Auto-generate)",INDIRECT("'"&amp;$A102&amp;"'!$A$12:$Z$12"),0),0)="","?",VLOOKUP(V$1,INDIRECT("'"&amp;$A102&amp;"'!$A$12:$Z$41"),MATCH("Points (Auto-generate)",INDIRECT("'"&amp;$A102&amp;"'!$A$12:$Z$12"),0),0)),"ER"))</f>
        <v>?</v>
      </c>
      <c r="W102" s="86" t="str">
        <f aca="true">IF($H102=0,"NA",IF($A102=INDIRECT("'"&amp;$A102&amp;"'!$B$1"),IF(VLOOKUP(W$1,INDIRECT("'"&amp;$A102&amp;"'!$A$12:$Z$41"),MATCH("Points (Auto-generate)",INDIRECT("'"&amp;$A102&amp;"'!$A$12:$Z$12"),0),0)="","?",VLOOKUP(W$1,INDIRECT("'"&amp;$A102&amp;"'!$A$12:$Z$41"),MATCH("Points (Auto-generate)",INDIRECT("'"&amp;$A102&amp;"'!$A$12:$Z$12"),0),0)),"ER"))</f>
        <v>?</v>
      </c>
      <c r="X102" s="86" t="str">
        <f aca="true">IF($H102=0,"NA",IF($A102=INDIRECT("'"&amp;$A102&amp;"'!$B$1"),IF(VLOOKUP(X$1,INDIRECT("'"&amp;$A102&amp;"'!$A$12:$Z$41"),MATCH("Points (Auto-generate)",INDIRECT("'"&amp;$A102&amp;"'!$A$12:$Z$12"),0),0)="","?",VLOOKUP(X$1,INDIRECT("'"&amp;$A102&amp;"'!$A$12:$Z$41"),MATCH("Points (Auto-generate)",INDIRECT("'"&amp;$A102&amp;"'!$A$12:$Z$12"),0),0)),"ER"))</f>
        <v>?</v>
      </c>
      <c r="Y102" s="86" t="str">
        <f aca="true">IF($H102=0,"NA",IF($A102=INDIRECT("'"&amp;$A102&amp;"'!$B$1"),IF(VLOOKUP(Y$1,INDIRECT("'"&amp;$A102&amp;"'!$A$12:$Z$41"),MATCH("Points (Auto-generate)",INDIRECT("'"&amp;$A102&amp;"'!$A$12:$Z$12"),0),0)="","?",VLOOKUP(Y$1,INDIRECT("'"&amp;$A102&amp;"'!$A$12:$Z$41"),MATCH("Points (Auto-generate)",INDIRECT("'"&amp;$A102&amp;"'!$A$12:$Z$12"),0),0)),"ER"))</f>
        <v>?</v>
      </c>
      <c r="Z102" s="86" t="str">
        <f aca="true">IF($H102=0,"NA",IF($A102=INDIRECT("'"&amp;$A102&amp;"'!$B$1"),IF(VLOOKUP(Z$1,INDIRECT("'"&amp;$A102&amp;"'!$A$12:$Z$41"),MATCH("Points (Auto-generate)",INDIRECT("'"&amp;$A102&amp;"'!$A$12:$Z$12"),0),0)="","?",VLOOKUP(Z$1,INDIRECT("'"&amp;$A102&amp;"'!$A$12:$Z$41"),MATCH("Points (Auto-generate)",INDIRECT("'"&amp;$A102&amp;"'!$A$12:$Z$12"),0),0)),"ER"))</f>
        <v>?</v>
      </c>
      <c r="AA102" s="86" t="str">
        <f aca="true">IF($H102=0,"NA",IF($A102=INDIRECT("'"&amp;$A102&amp;"'!$B$1"),IF(VLOOKUP(AA$1,INDIRECT("'"&amp;$A102&amp;"'!$A$12:$Z$41"),MATCH("Points (Auto-generate)",INDIRECT("'"&amp;$A102&amp;"'!$A$12:$Z$12"),0),0)="","?",VLOOKUP(AA$1,INDIRECT("'"&amp;$A102&amp;"'!$A$12:$Z$41"),MATCH("Points (Auto-generate)",INDIRECT("'"&amp;$A102&amp;"'!$A$12:$Z$12"),0),0)),"ER"))</f>
        <v>?</v>
      </c>
      <c r="AB102" s="86" t="str">
        <f aca="true">IF($H102=0,"NA",IF($A102=INDIRECT("'"&amp;$A102&amp;"'!$B$1"),IF(VLOOKUP(AB$1,INDIRECT("'"&amp;$A102&amp;"'!$A$12:$Z$41"),MATCH("Points (Auto-generate)",INDIRECT("'"&amp;$A102&amp;"'!$A$12:$Z$12"),0),0)="","?",VLOOKUP(AB$1,INDIRECT("'"&amp;$A102&amp;"'!$A$12:$Z$41"),MATCH("Points (Auto-generate)",INDIRECT("'"&amp;$A102&amp;"'!$A$12:$Z$12"),0),0)),"ER"))</f>
        <v>?</v>
      </c>
      <c r="AC102" s="86" t="str">
        <f aca="true">IF($H102=0,"NA",IF($A102=INDIRECT("'"&amp;$A102&amp;"'!$B$1"),IF(VLOOKUP(AC$1,INDIRECT("'"&amp;$A102&amp;"'!$A$12:$Z$41"),MATCH("Points (Auto-generate)",INDIRECT("'"&amp;$A102&amp;"'!$A$12:$Z$12"),0),0)="","?",VLOOKUP(AC$1,INDIRECT("'"&amp;$A102&amp;"'!$A$12:$Z$41"),MATCH("Points (Auto-generate)",INDIRECT("'"&amp;$A102&amp;"'!$A$12:$Z$12"),0),0)),"ER"))</f>
        <v>?</v>
      </c>
      <c r="AD102" s="86" t="str">
        <f aca="true">IF($H102=0,"NA",IF($A102=INDIRECT("'"&amp;$A102&amp;"'!$B$1"),IF(VLOOKUP(AD$1,INDIRECT("'"&amp;$A102&amp;"'!$A$12:$Z$41"),MATCH("Points (Auto-generate)",INDIRECT("'"&amp;$A102&amp;"'!$A$12:$Z$12"),0),0)="","?",VLOOKUP(AD$1,INDIRECT("'"&amp;$A102&amp;"'!$A$12:$Z$41"),MATCH("Points (Auto-generate)",INDIRECT("'"&amp;$A102&amp;"'!$A$12:$Z$12"),0),0)),"ER"))</f>
        <v>?</v>
      </c>
      <c r="AE102" s="86" t="str">
        <f aca="true">IF($H102=0,"NA",IF($A102=INDIRECT("'"&amp;$A102&amp;"'!$B$1"),IF(VLOOKUP(AE$1,INDIRECT("'"&amp;$A102&amp;"'!$A$12:$Z$41"),MATCH("Points (Auto-generate)",INDIRECT("'"&amp;$A102&amp;"'!$A$12:$Z$12"),0),0)="","?",VLOOKUP(AE$1,INDIRECT("'"&amp;$A102&amp;"'!$A$12:$Z$41"),MATCH("Points (Auto-generate)",INDIRECT("'"&amp;$A102&amp;"'!$A$12:$Z$12"),0),0)),"ER"))</f>
        <v>?</v>
      </c>
      <c r="AF102" s="86" t="str">
        <f aca="true">IF($H102=0,"NA",IF($A102=INDIRECT("'"&amp;$A102&amp;"'!$B$1"),IF(VLOOKUP(AF$1,INDIRECT("'"&amp;$A102&amp;"'!$A$12:$Z$41"),MATCH("Points (Auto-generate)",INDIRECT("'"&amp;$A102&amp;"'!$A$12:$Z$12"),0),0)="","?",VLOOKUP(AF$1,INDIRECT("'"&amp;$A102&amp;"'!$A$12:$Z$41"),MATCH("Points (Auto-generate)",INDIRECT("'"&amp;$A102&amp;"'!$A$12:$Z$12"),0),0)),"ER"))</f>
        <v>?</v>
      </c>
      <c r="AG102" s="86" t="str">
        <f aca="true">IF($H102=0,"NA",IF($A102=INDIRECT("'"&amp;$A102&amp;"'!$B$1"),IF(VLOOKUP(AG$1,INDIRECT("'"&amp;$A102&amp;"'!$A$12:$Z$41"),MATCH("Points (Auto-generate)",INDIRECT("'"&amp;$A102&amp;"'!$A$12:$Z$12"),0),0)="","?",VLOOKUP(AG$1,INDIRECT("'"&amp;$A102&amp;"'!$A$12:$Z$41"),MATCH("Points (Auto-generate)",INDIRECT("'"&amp;$A102&amp;"'!$A$12:$Z$12"),0),0)),"ER"))</f>
        <v>?</v>
      </c>
      <c r="AH102" s="86" t="str">
        <f aca="true">IF($H102=0,"NA",IF($A102=INDIRECT("'"&amp;$A102&amp;"'!$B$1"),IF(VLOOKUP(AH$1,INDIRECT("'"&amp;$A102&amp;"'!$A$12:$Z$41"),MATCH("Points (Auto-generate)",INDIRECT("'"&amp;$A102&amp;"'!$A$12:$Z$12"),0),0)="","?",VLOOKUP(AH$1,INDIRECT("'"&amp;$A102&amp;"'!$A$12:$Z$41"),MATCH("Points (Auto-generate)",INDIRECT("'"&amp;$A102&amp;"'!$A$12:$Z$12"),0),0)),"ER"))</f>
        <v>?</v>
      </c>
      <c r="AI102" s="86" t="str">
        <f aca="true">IF($H102=0,"NA",IF($A102=INDIRECT("'"&amp;$A102&amp;"'!$B$1"),IF(VLOOKUP(AI$1,INDIRECT("'"&amp;$A102&amp;"'!$A$12:$Z$41"),MATCH("Points (Auto-generate)",INDIRECT("'"&amp;$A102&amp;"'!$A$12:$Z$12"),0),0)="","?",VLOOKUP(AI$1,INDIRECT("'"&amp;$A102&amp;"'!$A$12:$Z$41"),MATCH("Points (Auto-generate)",INDIRECT("'"&amp;$A102&amp;"'!$A$12:$Z$12"),0),0)),"ER"))</f>
        <v>?</v>
      </c>
      <c r="AJ102" s="86" t="str">
        <f aca="true">IF($H102=0,"NA",IF($A102=INDIRECT("'"&amp;$A102&amp;"'!$B$1"),IF(VLOOKUP(AJ$1,INDIRECT("'"&amp;$A102&amp;"'!$A$12:$Z$41"),MATCH("Points (Auto-generate)",INDIRECT("'"&amp;$A102&amp;"'!$A$12:$Z$12"),0),0)="","?",VLOOKUP(AJ$1,INDIRECT("'"&amp;$A102&amp;"'!$A$12:$Z$41"),MATCH("Points (Auto-generate)",INDIRECT("'"&amp;$A102&amp;"'!$A$12:$Z$12"),0),0)),"ER"))</f>
        <v>?</v>
      </c>
      <c r="AK102" s="86" t="str">
        <f aca="true">IF($H102=0,"NA",IF($A102=INDIRECT("'"&amp;$A102&amp;"'!$B$1"),IF(VLOOKUP(AK$1,INDIRECT("'"&amp;$A102&amp;"'!$A$12:$Z$41"),MATCH("Points (Auto-generate)",INDIRECT("'"&amp;$A102&amp;"'!$A$12:$Z$12"),0),0)="","?",VLOOKUP(AK$1,INDIRECT("'"&amp;$A102&amp;"'!$A$12:$Z$41"),MATCH("Points (Auto-generate)",INDIRECT("'"&amp;$A102&amp;"'!$A$12:$Z$12"),0),0)),"ER"))</f>
        <v>?</v>
      </c>
    </row>
    <row r="103" customFormat="false" ht="14.25" hidden="false" customHeight="false" outlineLevel="0" collapsed="false">
      <c r="A103" s="82" t="s">
        <v>316</v>
      </c>
      <c r="B103" s="83" t="str">
        <f aca="false">IF(ISBLANK($A103),"NO_CODE",VLOOKUP($A103,'UPD Questions_290926 '!$E$1:$N$300,MATCH(B$1,'UPD Questions_290926 '!$E$1:$N$1,0),0)&amp;"")</f>
        <v>Enforcement</v>
      </c>
      <c r="C103" s="83" t="str">
        <f aca="false">IF(ISBLANK($A103),"NO_CODE",VLOOKUP($A103,'UPD Questions_290926 '!$E$1:$N$300,MATCH(C$1,'UPD Questions_290926 '!$E$1:$N$1,0),0)&amp;"")</f>
        <v>Development Compliance</v>
      </c>
      <c r="D103" s="83" t="str">
        <f aca="false">IF(ISBLANK($A103),"NO_CODE",VLOOKUP($A103,'UPD Questions_290926 '!$E$1:$N$300,MATCH(D$1,'UPD Questions_290926 '!$E$1:$N$1,0),0)&amp;"")</f>
        <v>Development approvals</v>
      </c>
      <c r="E103" s="83" t="str">
        <f aca="false">IF(ISBLANK($A103),"NO_CODE",VLOOKUP($A103,'UPD Questions_290926 '!$E$1:$N$300,MATCH(E$1,'UPD Questions_290926 '!$E$1:$N$1,0),0)&amp;"")</f>
        <v>MQ</v>
      </c>
      <c r="F103" s="83" t="str">
        <f aca="false">IF(ISBLANK($A103),"NO_CODE",VLOOKUP($A103,'UPD Questions_290926 '!$E$1:$N$300,MATCH(F$1,'UPD Questions_290926 '!$E$1:$N$1,0),0)&amp;"")</f>
        <v>Is there an effective system to prevent approval of plans that are not in conformity with municipal/city plan?</v>
      </c>
      <c r="G103" s="83" t="str">
        <f aca="false">IF(ISBLANK($A103),"NO_CODE",VLOOKUP($A103,'UPD Questions_290926 '!$E$1:$N$300,MATCH(G$1,'UPD Questions_290926 '!$E$1:$N$1,0),0)&amp;"")</f>
        <v>Law or Policy/Implementation</v>
      </c>
      <c r="H103" s="85" t="n">
        <f aca="false">IF(ISBLANK($A103),"NO_CODE",VLOOKUP($A103,'UPD Questions_290926 '!$E$1:$N$300,MATCH(H$1,'UPD Questions_290926 '!$E$1:$N$1,0),0))</f>
        <v>10</v>
      </c>
      <c r="I103" s="86" t="str">
        <f aca="true">IF($H103=0,"NA",IF($A103=INDIRECT("'"&amp;$A103&amp;"'!$B$1"),IF(VLOOKUP(I$1,INDIRECT("'"&amp;$A103&amp;"'!$A$12:$Z$41"),MATCH("Points (Auto-generate)",INDIRECT("'"&amp;$A103&amp;"'!$A$12:$Z$12"),0),0)="","?",VLOOKUP(I$1,INDIRECT("'"&amp;$A103&amp;"'!$A$12:$Z$41"),MATCH("Points (Auto-generate)",INDIRECT("'"&amp;$A103&amp;"'!$A$12:$Z$12"),0),0)),"ER"))</f>
        <v>?</v>
      </c>
      <c r="J103" s="86" t="str">
        <f aca="true">IF($H103=0,"NA",IF($A103=INDIRECT("'"&amp;$A103&amp;"'!$B$1"),IF(VLOOKUP(J$1,INDIRECT("'"&amp;$A103&amp;"'!$A$12:$Z$41"),MATCH("Points (Auto-generate)",INDIRECT("'"&amp;$A103&amp;"'!$A$12:$Z$12"),0),0)="","?",VLOOKUP(J$1,INDIRECT("'"&amp;$A103&amp;"'!$A$12:$Z$41"),MATCH("Points (Auto-generate)",INDIRECT("'"&amp;$A103&amp;"'!$A$12:$Z$12"),0),0)),"ER"))</f>
        <v>?</v>
      </c>
      <c r="K103" s="86" t="str">
        <f aca="true">IF($H103=0,"NA",IF($A103=INDIRECT("'"&amp;$A103&amp;"'!$B$1"),IF(VLOOKUP(K$1,INDIRECT("'"&amp;$A103&amp;"'!$A$12:$Z$41"),MATCH("Points (Auto-generate)",INDIRECT("'"&amp;$A103&amp;"'!$A$12:$Z$12"),0),0)="","?",VLOOKUP(K$1,INDIRECT("'"&amp;$A103&amp;"'!$A$12:$Z$41"),MATCH("Points (Auto-generate)",INDIRECT("'"&amp;$A103&amp;"'!$A$12:$Z$12"),0),0)),"ER"))</f>
        <v>?</v>
      </c>
      <c r="L103" s="86" t="str">
        <f aca="true">IF($H103=0,"NA",IF($A103=INDIRECT("'"&amp;$A103&amp;"'!$B$1"),IF(VLOOKUP(L$1,INDIRECT("'"&amp;$A103&amp;"'!$A$12:$Z$41"),MATCH("Points (Auto-generate)",INDIRECT("'"&amp;$A103&amp;"'!$A$12:$Z$12"),0),0)="","?",VLOOKUP(L$1,INDIRECT("'"&amp;$A103&amp;"'!$A$12:$Z$41"),MATCH("Points (Auto-generate)",INDIRECT("'"&amp;$A103&amp;"'!$A$12:$Z$12"),0),0)),"ER"))</f>
        <v>?</v>
      </c>
      <c r="M103" s="86" t="str">
        <f aca="true">IF($H103=0,"NA",IF($A103=INDIRECT("'"&amp;$A103&amp;"'!$B$1"),IF(VLOOKUP(M$1,INDIRECT("'"&amp;$A103&amp;"'!$A$12:$Z$41"),MATCH("Points (Auto-generate)",INDIRECT("'"&amp;$A103&amp;"'!$A$12:$Z$12"),0),0)="","?",VLOOKUP(M$1,INDIRECT("'"&amp;$A103&amp;"'!$A$12:$Z$41"),MATCH("Points (Auto-generate)",INDIRECT("'"&amp;$A103&amp;"'!$A$12:$Z$12"),0),0)),"ER"))</f>
        <v>?</v>
      </c>
      <c r="N103" s="86" t="str">
        <f aca="true">IF($H103=0,"NA",IF($A103=INDIRECT("'"&amp;$A103&amp;"'!$B$1"),IF(VLOOKUP(N$1,INDIRECT("'"&amp;$A103&amp;"'!$A$12:$Z$41"),MATCH("Points (Auto-generate)",INDIRECT("'"&amp;$A103&amp;"'!$A$12:$Z$12"),0),0)="","?",VLOOKUP(N$1,INDIRECT("'"&amp;$A103&amp;"'!$A$12:$Z$41"),MATCH("Points (Auto-generate)",INDIRECT("'"&amp;$A103&amp;"'!$A$12:$Z$12"),0),0)),"ER"))</f>
        <v>?</v>
      </c>
      <c r="O103" s="86" t="str">
        <f aca="true">IF($H103=0,"NA",IF($A103=INDIRECT("'"&amp;$A103&amp;"'!$B$1"),IF(VLOOKUP(O$1,INDIRECT("'"&amp;$A103&amp;"'!$A$12:$Z$41"),MATCH("Points (Auto-generate)",INDIRECT("'"&amp;$A103&amp;"'!$A$12:$Z$12"),0),0)="","?",VLOOKUP(O$1,INDIRECT("'"&amp;$A103&amp;"'!$A$12:$Z$41"),MATCH("Points (Auto-generate)",INDIRECT("'"&amp;$A103&amp;"'!$A$12:$Z$12"),0),0)),"ER"))</f>
        <v>?</v>
      </c>
      <c r="P103" s="86" t="str">
        <f aca="true">IF($H103=0,"NA",IF($A103=INDIRECT("'"&amp;$A103&amp;"'!$B$1"),IF(VLOOKUP(P$1,INDIRECT("'"&amp;$A103&amp;"'!$A$12:$Z$41"),MATCH("Points (Auto-generate)",INDIRECT("'"&amp;$A103&amp;"'!$A$12:$Z$12"),0),0)="","?",VLOOKUP(P$1,INDIRECT("'"&amp;$A103&amp;"'!$A$12:$Z$41"),MATCH("Points (Auto-generate)",INDIRECT("'"&amp;$A103&amp;"'!$A$12:$Z$12"),0),0)),"ER"))</f>
        <v>?</v>
      </c>
      <c r="Q103" s="86" t="str">
        <f aca="true">IF($H103=0,"NA",IF($A103=INDIRECT("'"&amp;$A103&amp;"'!$B$1"),IF(VLOOKUP(Q$1,INDIRECT("'"&amp;$A103&amp;"'!$A$12:$Z$41"),MATCH("Points (Auto-generate)",INDIRECT("'"&amp;$A103&amp;"'!$A$12:$Z$12"),0),0)="","?",VLOOKUP(Q$1,INDIRECT("'"&amp;$A103&amp;"'!$A$12:$Z$41"),MATCH("Points (Auto-generate)",INDIRECT("'"&amp;$A103&amp;"'!$A$12:$Z$12"),0),0)),"ER"))</f>
        <v>?</v>
      </c>
      <c r="R103" s="86" t="str">
        <f aca="true">IF($H103=0,"NA",IF($A103=INDIRECT("'"&amp;$A103&amp;"'!$B$1"),IF(VLOOKUP(R$1,INDIRECT("'"&amp;$A103&amp;"'!$A$12:$Z$41"),MATCH("Points (Auto-generate)",INDIRECT("'"&amp;$A103&amp;"'!$A$12:$Z$12"),0),0)="","?",VLOOKUP(R$1,INDIRECT("'"&amp;$A103&amp;"'!$A$12:$Z$41"),MATCH("Points (Auto-generate)",INDIRECT("'"&amp;$A103&amp;"'!$A$12:$Z$12"),0),0)),"ER"))</f>
        <v>?</v>
      </c>
      <c r="S103" s="86" t="str">
        <f aca="true">IF($H103=0,"NA",IF($A103=INDIRECT("'"&amp;$A103&amp;"'!$B$1"),IF(VLOOKUP(S$1,INDIRECT("'"&amp;$A103&amp;"'!$A$12:$Z$41"),MATCH("Points (Auto-generate)",INDIRECT("'"&amp;$A103&amp;"'!$A$12:$Z$12"),0),0)="","?",VLOOKUP(S$1,INDIRECT("'"&amp;$A103&amp;"'!$A$12:$Z$41"),MATCH("Points (Auto-generate)",INDIRECT("'"&amp;$A103&amp;"'!$A$12:$Z$12"),0),0)),"ER"))</f>
        <v>?</v>
      </c>
      <c r="T103" s="86" t="str">
        <f aca="true">IF($H103=0,"NA",IF($A103=INDIRECT("'"&amp;$A103&amp;"'!$B$1"),IF(VLOOKUP(T$1,INDIRECT("'"&amp;$A103&amp;"'!$A$12:$Z$41"),MATCH("Points (Auto-generate)",INDIRECT("'"&amp;$A103&amp;"'!$A$12:$Z$12"),0),0)="","?",VLOOKUP(T$1,INDIRECT("'"&amp;$A103&amp;"'!$A$12:$Z$41"),MATCH("Points (Auto-generate)",INDIRECT("'"&amp;$A103&amp;"'!$A$12:$Z$12"),0),0)),"ER"))</f>
        <v>?</v>
      </c>
      <c r="U103" s="86" t="str">
        <f aca="true">IF($H103=0,"NA",IF($A103=INDIRECT("'"&amp;$A103&amp;"'!$B$1"),IF(VLOOKUP(U$1,INDIRECT("'"&amp;$A103&amp;"'!$A$12:$Z$41"),MATCH("Points (Auto-generate)",INDIRECT("'"&amp;$A103&amp;"'!$A$12:$Z$12"),0),0)="","?",VLOOKUP(U$1,INDIRECT("'"&amp;$A103&amp;"'!$A$12:$Z$41"),MATCH("Points (Auto-generate)",INDIRECT("'"&amp;$A103&amp;"'!$A$12:$Z$12"),0),0)),"ER"))</f>
        <v>?</v>
      </c>
      <c r="V103" s="86" t="str">
        <f aca="true">IF($H103=0,"NA",IF($A103=INDIRECT("'"&amp;$A103&amp;"'!$B$1"),IF(VLOOKUP(V$1,INDIRECT("'"&amp;$A103&amp;"'!$A$12:$Z$41"),MATCH("Points (Auto-generate)",INDIRECT("'"&amp;$A103&amp;"'!$A$12:$Z$12"),0),0)="","?",VLOOKUP(V$1,INDIRECT("'"&amp;$A103&amp;"'!$A$12:$Z$41"),MATCH("Points (Auto-generate)",INDIRECT("'"&amp;$A103&amp;"'!$A$12:$Z$12"),0),0)),"ER"))</f>
        <v>?</v>
      </c>
      <c r="W103" s="86" t="str">
        <f aca="true">IF($H103=0,"NA",IF($A103=INDIRECT("'"&amp;$A103&amp;"'!$B$1"),IF(VLOOKUP(W$1,INDIRECT("'"&amp;$A103&amp;"'!$A$12:$Z$41"),MATCH("Points (Auto-generate)",INDIRECT("'"&amp;$A103&amp;"'!$A$12:$Z$12"),0),0)="","?",VLOOKUP(W$1,INDIRECT("'"&amp;$A103&amp;"'!$A$12:$Z$41"),MATCH("Points (Auto-generate)",INDIRECT("'"&amp;$A103&amp;"'!$A$12:$Z$12"),0),0)),"ER"))</f>
        <v>?</v>
      </c>
      <c r="X103" s="86" t="str">
        <f aca="true">IF($H103=0,"NA",IF($A103=INDIRECT("'"&amp;$A103&amp;"'!$B$1"),IF(VLOOKUP(X$1,INDIRECT("'"&amp;$A103&amp;"'!$A$12:$Z$41"),MATCH("Points (Auto-generate)",INDIRECT("'"&amp;$A103&amp;"'!$A$12:$Z$12"),0),0)="","?",VLOOKUP(X$1,INDIRECT("'"&amp;$A103&amp;"'!$A$12:$Z$41"),MATCH("Points (Auto-generate)",INDIRECT("'"&amp;$A103&amp;"'!$A$12:$Z$12"),0),0)),"ER"))</f>
        <v>?</v>
      </c>
      <c r="Y103" s="86" t="str">
        <f aca="true">IF($H103=0,"NA",IF($A103=INDIRECT("'"&amp;$A103&amp;"'!$B$1"),IF(VLOOKUP(Y$1,INDIRECT("'"&amp;$A103&amp;"'!$A$12:$Z$41"),MATCH("Points (Auto-generate)",INDIRECT("'"&amp;$A103&amp;"'!$A$12:$Z$12"),0),0)="","?",VLOOKUP(Y$1,INDIRECT("'"&amp;$A103&amp;"'!$A$12:$Z$41"),MATCH("Points (Auto-generate)",INDIRECT("'"&amp;$A103&amp;"'!$A$12:$Z$12"),0),0)),"ER"))</f>
        <v>?</v>
      </c>
      <c r="Z103" s="86" t="str">
        <f aca="true">IF($H103=0,"NA",IF($A103=INDIRECT("'"&amp;$A103&amp;"'!$B$1"),IF(VLOOKUP(Z$1,INDIRECT("'"&amp;$A103&amp;"'!$A$12:$Z$41"),MATCH("Points (Auto-generate)",INDIRECT("'"&amp;$A103&amp;"'!$A$12:$Z$12"),0),0)="","?",VLOOKUP(Z$1,INDIRECT("'"&amp;$A103&amp;"'!$A$12:$Z$41"),MATCH("Points (Auto-generate)",INDIRECT("'"&amp;$A103&amp;"'!$A$12:$Z$12"),0),0)),"ER"))</f>
        <v>?</v>
      </c>
      <c r="AA103" s="86" t="str">
        <f aca="true">IF($H103=0,"NA",IF($A103=INDIRECT("'"&amp;$A103&amp;"'!$B$1"),IF(VLOOKUP(AA$1,INDIRECT("'"&amp;$A103&amp;"'!$A$12:$Z$41"),MATCH("Points (Auto-generate)",INDIRECT("'"&amp;$A103&amp;"'!$A$12:$Z$12"),0),0)="","?",VLOOKUP(AA$1,INDIRECT("'"&amp;$A103&amp;"'!$A$12:$Z$41"),MATCH("Points (Auto-generate)",INDIRECT("'"&amp;$A103&amp;"'!$A$12:$Z$12"),0),0)),"ER"))</f>
        <v>?</v>
      </c>
      <c r="AB103" s="86" t="str">
        <f aca="true">IF($H103=0,"NA",IF($A103=INDIRECT("'"&amp;$A103&amp;"'!$B$1"),IF(VLOOKUP(AB$1,INDIRECT("'"&amp;$A103&amp;"'!$A$12:$Z$41"),MATCH("Points (Auto-generate)",INDIRECT("'"&amp;$A103&amp;"'!$A$12:$Z$12"),0),0)="","?",VLOOKUP(AB$1,INDIRECT("'"&amp;$A103&amp;"'!$A$12:$Z$41"),MATCH("Points (Auto-generate)",INDIRECT("'"&amp;$A103&amp;"'!$A$12:$Z$12"),0),0)),"ER"))</f>
        <v>?</v>
      </c>
      <c r="AC103" s="86" t="str">
        <f aca="true">IF($H103=0,"NA",IF($A103=INDIRECT("'"&amp;$A103&amp;"'!$B$1"),IF(VLOOKUP(AC$1,INDIRECT("'"&amp;$A103&amp;"'!$A$12:$Z$41"),MATCH("Points (Auto-generate)",INDIRECT("'"&amp;$A103&amp;"'!$A$12:$Z$12"),0),0)="","?",VLOOKUP(AC$1,INDIRECT("'"&amp;$A103&amp;"'!$A$12:$Z$41"),MATCH("Points (Auto-generate)",INDIRECT("'"&amp;$A103&amp;"'!$A$12:$Z$12"),0),0)),"ER"))</f>
        <v>?</v>
      </c>
      <c r="AD103" s="86" t="str">
        <f aca="true">IF($H103=0,"NA",IF($A103=INDIRECT("'"&amp;$A103&amp;"'!$B$1"),IF(VLOOKUP(AD$1,INDIRECT("'"&amp;$A103&amp;"'!$A$12:$Z$41"),MATCH("Points (Auto-generate)",INDIRECT("'"&amp;$A103&amp;"'!$A$12:$Z$12"),0),0)="","?",VLOOKUP(AD$1,INDIRECT("'"&amp;$A103&amp;"'!$A$12:$Z$41"),MATCH("Points (Auto-generate)",INDIRECT("'"&amp;$A103&amp;"'!$A$12:$Z$12"),0),0)),"ER"))</f>
        <v>?</v>
      </c>
      <c r="AE103" s="86" t="str">
        <f aca="true">IF($H103=0,"NA",IF($A103=INDIRECT("'"&amp;$A103&amp;"'!$B$1"),IF(VLOOKUP(AE$1,INDIRECT("'"&amp;$A103&amp;"'!$A$12:$Z$41"),MATCH("Points (Auto-generate)",INDIRECT("'"&amp;$A103&amp;"'!$A$12:$Z$12"),0),0)="","?",VLOOKUP(AE$1,INDIRECT("'"&amp;$A103&amp;"'!$A$12:$Z$41"),MATCH("Points (Auto-generate)",INDIRECT("'"&amp;$A103&amp;"'!$A$12:$Z$12"),0),0)),"ER"))</f>
        <v>?</v>
      </c>
      <c r="AF103" s="86" t="str">
        <f aca="true">IF($H103=0,"NA",IF($A103=INDIRECT("'"&amp;$A103&amp;"'!$B$1"),IF(VLOOKUP(AF$1,INDIRECT("'"&amp;$A103&amp;"'!$A$12:$Z$41"),MATCH("Points (Auto-generate)",INDIRECT("'"&amp;$A103&amp;"'!$A$12:$Z$12"),0),0)="","?",VLOOKUP(AF$1,INDIRECT("'"&amp;$A103&amp;"'!$A$12:$Z$41"),MATCH("Points (Auto-generate)",INDIRECT("'"&amp;$A103&amp;"'!$A$12:$Z$12"),0),0)),"ER"))</f>
        <v>?</v>
      </c>
      <c r="AG103" s="86" t="str">
        <f aca="true">IF($H103=0,"NA",IF($A103=INDIRECT("'"&amp;$A103&amp;"'!$B$1"),IF(VLOOKUP(AG$1,INDIRECT("'"&amp;$A103&amp;"'!$A$12:$Z$41"),MATCH("Points (Auto-generate)",INDIRECT("'"&amp;$A103&amp;"'!$A$12:$Z$12"),0),0)="","?",VLOOKUP(AG$1,INDIRECT("'"&amp;$A103&amp;"'!$A$12:$Z$41"),MATCH("Points (Auto-generate)",INDIRECT("'"&amp;$A103&amp;"'!$A$12:$Z$12"),0),0)),"ER"))</f>
        <v>?</v>
      </c>
      <c r="AH103" s="86" t="str">
        <f aca="true">IF($H103=0,"NA",IF($A103=INDIRECT("'"&amp;$A103&amp;"'!$B$1"),IF(VLOOKUP(AH$1,INDIRECT("'"&amp;$A103&amp;"'!$A$12:$Z$41"),MATCH("Points (Auto-generate)",INDIRECT("'"&amp;$A103&amp;"'!$A$12:$Z$12"),0),0)="","?",VLOOKUP(AH$1,INDIRECT("'"&amp;$A103&amp;"'!$A$12:$Z$41"),MATCH("Points (Auto-generate)",INDIRECT("'"&amp;$A103&amp;"'!$A$12:$Z$12"),0),0)),"ER"))</f>
        <v>?</v>
      </c>
      <c r="AI103" s="86" t="str">
        <f aca="true">IF($H103=0,"NA",IF($A103=INDIRECT("'"&amp;$A103&amp;"'!$B$1"),IF(VLOOKUP(AI$1,INDIRECT("'"&amp;$A103&amp;"'!$A$12:$Z$41"),MATCH("Points (Auto-generate)",INDIRECT("'"&amp;$A103&amp;"'!$A$12:$Z$12"),0),0)="","?",VLOOKUP(AI$1,INDIRECT("'"&amp;$A103&amp;"'!$A$12:$Z$41"),MATCH("Points (Auto-generate)",INDIRECT("'"&amp;$A103&amp;"'!$A$12:$Z$12"),0),0)),"ER"))</f>
        <v>?</v>
      </c>
      <c r="AJ103" s="86" t="str">
        <f aca="true">IF($H103=0,"NA",IF($A103=INDIRECT("'"&amp;$A103&amp;"'!$B$1"),IF(VLOOKUP(AJ$1,INDIRECT("'"&amp;$A103&amp;"'!$A$12:$Z$41"),MATCH("Points (Auto-generate)",INDIRECT("'"&amp;$A103&amp;"'!$A$12:$Z$12"),0),0)="","?",VLOOKUP(AJ$1,INDIRECT("'"&amp;$A103&amp;"'!$A$12:$Z$41"),MATCH("Points (Auto-generate)",INDIRECT("'"&amp;$A103&amp;"'!$A$12:$Z$12"),0),0)),"ER"))</f>
        <v>?</v>
      </c>
      <c r="AK103" s="86" t="str">
        <f aca="true">IF($H103=0,"NA",IF($A103=INDIRECT("'"&amp;$A103&amp;"'!$B$1"),IF(VLOOKUP(AK$1,INDIRECT("'"&amp;$A103&amp;"'!$A$12:$Z$41"),MATCH("Points (Auto-generate)",INDIRECT("'"&amp;$A103&amp;"'!$A$12:$Z$12"),0),0)="","?",VLOOKUP(AK$1,INDIRECT("'"&amp;$A103&amp;"'!$A$12:$Z$41"),MATCH("Points (Auto-generate)",INDIRECT("'"&amp;$A103&amp;"'!$A$12:$Z$12"),0),0)),"ER"))</f>
        <v>?</v>
      </c>
    </row>
    <row r="104" customFormat="false" ht="14.25" hidden="false" customHeight="false" outlineLevel="0" collapsed="false">
      <c r="A104" s="82" t="s">
        <v>712</v>
      </c>
      <c r="B104" s="83" t="str">
        <f aca="false">IF(ISBLANK($A104),"NO_CODE",VLOOKUP($A104,'UPD Questions_290926 '!$E$1:$N$300,MATCH(B$1,'UPD Questions_290926 '!$E$1:$N$1,0),0)&amp;"")</f>
        <v>Enforcement</v>
      </c>
      <c r="C104" s="83" t="str">
        <f aca="false">IF(ISBLANK($A104),"NO_CODE",VLOOKUP($A104,'UPD Questions_290926 '!$E$1:$N$300,MATCH(C$1,'UPD Questions_290926 '!$E$1:$N$1,0),0)&amp;"")</f>
        <v>Development Compliance</v>
      </c>
      <c r="D104" s="83" t="str">
        <f aca="false">IF(ISBLANK($A104),"NO_CODE",VLOOKUP($A104,'UPD Questions_290926 '!$E$1:$N$300,MATCH(D$1,'UPD Questions_290926 '!$E$1:$N$1,0),0)&amp;"")</f>
        <v>Construction monitoring</v>
      </c>
      <c r="E104" s="83" t="str">
        <f aca="false">IF(ISBLANK($A104),"NO_CODE",VLOOKUP($A104,'UPD Questions_290926 '!$E$1:$N$300,MATCH(E$1,'UPD Questions_290926 '!$E$1:$N$1,0),0)&amp;"")</f>
        <v>MQ</v>
      </c>
      <c r="F104" s="83" t="str">
        <f aca="false">IF(ISBLANK($A104),"NO_CODE",VLOOKUP($A104,'UPD Questions_290926 '!$E$1:$N$300,MATCH(F$1,'UPD Questions_290926 '!$E$1:$N$1,0),0)&amp;"")</f>
        <v>Does the law mandate mechanisms for monitoring ongoing construction/development projects for compliance with approved plans and permissions?  </v>
      </c>
      <c r="G104" s="83" t="str">
        <f aca="false">IF(ISBLANK($A104),"NO_CODE",VLOOKUP($A104,'UPD Questions_290926 '!$E$1:$N$300,MATCH(G$1,'UPD Questions_290926 '!$E$1:$N$1,0),0)&amp;"")</f>
        <v>Implementation</v>
      </c>
      <c r="H104" s="85" t="n">
        <f aca="false">IF(ISBLANK($A104),"NO_CODE",VLOOKUP($A104,'UPD Questions_290926 '!$E$1:$N$300,MATCH(H$1,'UPD Questions_290926 '!$E$1:$N$1,0),0))</f>
        <v>10</v>
      </c>
      <c r="I104" s="86" t="str">
        <f aca="false">IF(OR(I105="ER",I106="ER"),"ER",IF(OR(I105="?",I106="?"),"?",IF(AND(I105="NA",I106="NA"),"NA",SUM(I105,I106)/((I105&lt;&gt;"NA")*$H$105+(I106&lt;&gt;"NA")*$H$106)*$H104)))</f>
        <v>?</v>
      </c>
      <c r="J104" s="86" t="str">
        <f aca="false">IF(OR(J105="ER",J106="ER"),"ER",IF(OR(J105="?",J106="?"),"?",IF(AND(J105="NA",J106="NA"),"NA",SUM(J105,J106)/((J105&lt;&gt;"NA")*$H$105+(J106&lt;&gt;"NA")*$H$106)*$H104)))</f>
        <v>?</v>
      </c>
      <c r="K104" s="86" t="str">
        <f aca="false">IF(OR(K105="ER",K106="ER"),"ER",IF(OR(K105="?",K106="?"),"?",IF(AND(K105="NA",K106="NA"),"NA",SUM(K105,K106)/((K105&lt;&gt;"NA")*$H$105+(K106&lt;&gt;"NA")*$H$106)*$H104)))</f>
        <v>?</v>
      </c>
      <c r="L104" s="86" t="str">
        <f aca="false">IF(OR(L105="ER",L106="ER"),"ER",IF(OR(L105="?",L106="?"),"?",IF(AND(L105="NA",L106="NA"),"NA",SUM(L105,L106)/((L105&lt;&gt;"NA")*$H$105+(L106&lt;&gt;"NA")*$H$106)*$H104)))</f>
        <v>?</v>
      </c>
      <c r="M104" s="86" t="str">
        <f aca="false">IF(OR(M105="ER",M106="ER"),"ER",IF(OR(M105="?",M106="?"),"?",IF(AND(M105="NA",M106="NA"),"NA",SUM(M105,M106)/((M105&lt;&gt;"NA")*$H$105+(M106&lt;&gt;"NA")*$H$106)*$H104)))</f>
        <v>?</v>
      </c>
      <c r="N104" s="86" t="str">
        <f aca="false">IF(OR(N105="ER",N106="ER"),"ER",IF(OR(N105="?",N106="?"),"?",IF(AND(N105="NA",N106="NA"),"NA",SUM(N105,N106)/((N105&lt;&gt;"NA")*$H$105+(N106&lt;&gt;"NA")*$H$106)*$H104)))</f>
        <v>?</v>
      </c>
      <c r="O104" s="86" t="str">
        <f aca="false">IF(OR(O105="ER",O106="ER"),"ER",IF(OR(O105="?",O106="?"),"?",IF(AND(O105="NA",O106="NA"),"NA",SUM(O105,O106)/((O105&lt;&gt;"NA")*$H$105+(O106&lt;&gt;"NA")*$H$106)*$H104)))</f>
        <v>?</v>
      </c>
      <c r="P104" s="86" t="str">
        <f aca="false">IF(OR(P105="ER",P106="ER"),"ER",IF(OR(P105="?",P106="?"),"?",IF(AND(P105="NA",P106="NA"),"NA",SUM(P105,P106)/((P105&lt;&gt;"NA")*$H$105+(P106&lt;&gt;"NA")*$H$106)*$H104)))</f>
        <v>?</v>
      </c>
      <c r="Q104" s="86" t="str">
        <f aca="false">IF(OR(Q105="ER",Q106="ER"),"ER",IF(OR(Q105="?",Q106="?"),"?",IF(AND(Q105="NA",Q106="NA"),"NA",SUM(Q105,Q106)/((Q105&lt;&gt;"NA")*$H$105+(Q106&lt;&gt;"NA")*$H$106)*$H104)))</f>
        <v>?</v>
      </c>
      <c r="R104" s="86" t="str">
        <f aca="false">IF(OR(R105="ER",R106="ER"),"ER",IF(OR(R105="?",R106="?"),"?",IF(AND(R105="NA",R106="NA"),"NA",SUM(R105,R106)/((R105&lt;&gt;"NA")*$H$105+(R106&lt;&gt;"NA")*$H$106)*$H104)))</f>
        <v>?</v>
      </c>
      <c r="S104" s="86" t="str">
        <f aca="false">IF(OR(S105="ER",S106="ER"),"ER",IF(OR(S105="?",S106="?"),"?",IF(AND(S105="NA",S106="NA"),"NA",SUM(S105,S106)/((S105&lt;&gt;"NA")*$H$105+(S106&lt;&gt;"NA")*$H$106)*$H104)))</f>
        <v>?</v>
      </c>
      <c r="T104" s="86" t="str">
        <f aca="false">IF(OR(T105="ER",T106="ER"),"ER",IF(OR(T105="?",T106="?"),"?",IF(AND(T105="NA",T106="NA"),"NA",SUM(T105,T106)/((T105&lt;&gt;"NA")*$H$105+(T106&lt;&gt;"NA")*$H$106)*$H104)))</f>
        <v>?</v>
      </c>
      <c r="U104" s="86" t="str">
        <f aca="false">IF(OR(U105="ER",U106="ER"),"ER",IF(OR(U105="?",U106="?"),"?",IF(AND(U105="NA",U106="NA"),"NA",SUM(U105,U106)/((U105&lt;&gt;"NA")*$H$105+(U106&lt;&gt;"NA")*$H$106)*$H104)))</f>
        <v>?</v>
      </c>
      <c r="V104" s="86" t="str">
        <f aca="false">IF(OR(V105="ER",V106="ER"),"ER",IF(OR(V105="?",V106="?"),"?",IF(AND(V105="NA",V106="NA"),"NA",SUM(V105,V106)/((V105&lt;&gt;"NA")*$H$105+(V106&lt;&gt;"NA")*$H$106)*$H104)))</f>
        <v>?</v>
      </c>
      <c r="W104" s="86" t="str">
        <f aca="false">IF(OR(W105="ER",W106="ER"),"ER",IF(OR(W105="?",W106="?"),"?",IF(AND(W105="NA",W106="NA"),"NA",SUM(W105,W106)/((W105&lt;&gt;"NA")*$H$105+(W106&lt;&gt;"NA")*$H$106)*$H104)))</f>
        <v>?</v>
      </c>
      <c r="X104" s="86" t="str">
        <f aca="false">IF(OR(X105="ER",X106="ER"),"ER",IF(OR(X105="?",X106="?"),"?",IF(AND(X105="NA",X106="NA"),"NA",SUM(X105,X106)/((X105&lt;&gt;"NA")*$H$105+(X106&lt;&gt;"NA")*$H$106)*$H104)))</f>
        <v>?</v>
      </c>
      <c r="Y104" s="86" t="str">
        <f aca="false">IF(OR(Y105="ER",Y106="ER"),"ER",IF(OR(Y105="?",Y106="?"),"?",IF(AND(Y105="NA",Y106="NA"),"NA",SUM(Y105,Y106)/((Y105&lt;&gt;"NA")*$H$105+(Y106&lt;&gt;"NA")*$H$106)*$H104)))</f>
        <v>?</v>
      </c>
      <c r="Z104" s="86" t="str">
        <f aca="false">IF(OR(Z105="ER",Z106="ER"),"ER",IF(OR(Z105="?",Z106="?"),"?",IF(AND(Z105="NA",Z106="NA"),"NA",SUM(Z105,Z106)/((Z105&lt;&gt;"NA")*$H$105+(Z106&lt;&gt;"NA")*$H$106)*$H104)))</f>
        <v>?</v>
      </c>
      <c r="AA104" s="86" t="str">
        <f aca="false">IF(OR(AA105="ER",AA106="ER"),"ER",IF(OR(AA105="?",AA106="?"),"?",IF(AND(AA105="NA",AA106="NA"),"NA",SUM(AA105,AA106)/((AA105&lt;&gt;"NA")*$H$105+(AA106&lt;&gt;"NA")*$H$106)*$H104)))</f>
        <v>?</v>
      </c>
      <c r="AB104" s="86" t="str">
        <f aca="false">IF(OR(AB105="ER",AB106="ER"),"ER",IF(OR(AB105="?",AB106="?"),"?",IF(AND(AB105="NA",AB106="NA"),"NA",SUM(AB105,AB106)/((AB105&lt;&gt;"NA")*$H$105+(AB106&lt;&gt;"NA")*$H$106)*$H104)))</f>
        <v>?</v>
      </c>
      <c r="AC104" s="86" t="str">
        <f aca="false">IF(OR(AC105="ER",AC106="ER"),"ER",IF(OR(AC105="?",AC106="?"),"?",IF(AND(AC105="NA",AC106="NA"),"NA",SUM(AC105,AC106)/((AC105&lt;&gt;"NA")*$H$105+(AC106&lt;&gt;"NA")*$H$106)*$H104)))</f>
        <v>?</v>
      </c>
      <c r="AD104" s="86" t="str">
        <f aca="false">IF(OR(AD105="ER",AD106="ER"),"ER",IF(OR(AD105="?",AD106="?"),"?",IF(AND(AD105="NA",AD106="NA"),"NA",SUM(AD105,AD106)/((AD105&lt;&gt;"NA")*$H$105+(AD106&lt;&gt;"NA")*$H$106)*$H104)))</f>
        <v>?</v>
      </c>
      <c r="AE104" s="86" t="str">
        <f aca="false">IF(OR(AE105="ER",AE106="ER"),"ER",IF(OR(AE105="?",AE106="?"),"?",IF(AND(AE105="NA",AE106="NA"),"NA",SUM(AE105,AE106)/((AE105&lt;&gt;"NA")*$H$105+(AE106&lt;&gt;"NA")*$H$106)*$H104)))</f>
        <v>?</v>
      </c>
      <c r="AF104" s="86" t="str">
        <f aca="false">IF(OR(AF105="ER",AF106="ER"),"ER",IF(OR(AF105="?",AF106="?"),"?",IF(AND(AF105="NA",AF106="NA"),"NA",SUM(AF105,AF106)/((AF105&lt;&gt;"NA")*$H$105+(AF106&lt;&gt;"NA")*$H$106)*$H104)))</f>
        <v>?</v>
      </c>
      <c r="AG104" s="86" t="str">
        <f aca="false">IF(OR(AG105="ER",AG106="ER"),"ER",IF(OR(AG105="?",AG106="?"),"?",IF(AND(AG105="NA",AG106="NA"),"NA",SUM(AG105,AG106)/((AG105&lt;&gt;"NA")*$H$105+(AG106&lt;&gt;"NA")*$H$106)*$H104)))</f>
        <v>?</v>
      </c>
      <c r="AH104" s="86" t="str">
        <f aca="false">IF(OR(AH105="ER",AH106="ER"),"ER",IF(OR(AH105="?",AH106="?"),"?",IF(AND(AH105="NA",AH106="NA"),"NA",SUM(AH105,AH106)/((AH105&lt;&gt;"NA")*$H$105+(AH106&lt;&gt;"NA")*$H$106)*$H104)))</f>
        <v>?</v>
      </c>
      <c r="AI104" s="86" t="str">
        <f aca="false">IF(OR(AI105="ER",AI106="ER"),"ER",IF(OR(AI105="?",AI106="?"),"?",IF(AND(AI105="NA",AI106="NA"),"NA",SUM(AI105,AI106)/((AI105&lt;&gt;"NA")*$H$105+(AI106&lt;&gt;"NA")*$H$106)*$H104)))</f>
        <v>?</v>
      </c>
      <c r="AJ104" s="86" t="str">
        <f aca="false">IF(OR(AJ105="ER",AJ106="ER"),"ER",IF(OR(AJ105="?",AJ106="?"),"?",IF(AND(AJ105="NA",AJ106="NA"),"NA",SUM(AJ105,AJ106)/((AJ105&lt;&gt;"NA")*$H$105+(AJ106&lt;&gt;"NA")*$H$106)*$H104)))</f>
        <v>?</v>
      </c>
      <c r="AK104" s="86" t="str">
        <f aca="false">IF(OR(AK105="ER",AK106="ER"),"ER",IF(OR(AK105="?",AK106="?"),"?",IF(AND(AK105="NA",AK106="NA"),"NA",SUM(AK105,AK106)/((AK105&lt;&gt;"NA")*$H$105+(AK106&lt;&gt;"NA")*$H$106)*$H104)))</f>
        <v>?</v>
      </c>
    </row>
    <row r="105" customFormat="false" ht="14.25" hidden="false" customHeight="false" outlineLevel="0" collapsed="false">
      <c r="A105" s="82" t="s">
        <v>322</v>
      </c>
      <c r="B105" s="83" t="str">
        <f aca="false">IF(ISBLANK($A105),"NO_CODE",VLOOKUP($A105,'UPD Questions_290926 '!$E$1:$N$300,MATCH(B$1,'UPD Questions_290926 '!$E$1:$N$1,0),0)&amp;"")</f>
        <v>Enforcement</v>
      </c>
      <c r="C105" s="83" t="str">
        <f aca="false">IF(ISBLANK($A105),"NO_CODE",VLOOKUP($A105,'UPD Questions_290926 '!$E$1:$N$300,MATCH(C$1,'UPD Questions_290926 '!$E$1:$N$1,0),0)&amp;"")</f>
        <v>Development Compliance</v>
      </c>
      <c r="D105" s="83" t="str">
        <f aca="false">IF(ISBLANK($A105),"NO_CODE",VLOOKUP($A105,'UPD Questions_290926 '!$E$1:$N$300,MATCH(D$1,'UPD Questions_290926 '!$E$1:$N$1,0),0)&amp;"")</f>
        <v>Construction monitoring</v>
      </c>
      <c r="E105" s="83" t="str">
        <f aca="false">IF(ISBLANK($A105),"NO_CODE",VLOOKUP($A105,'UPD Questions_290926 '!$E$1:$N$300,MATCH(E$1,'UPD Questions_290926 '!$E$1:$N$1,0),0)&amp;"")</f>
        <v>SQ</v>
      </c>
      <c r="F105" s="83" t="str">
        <f aca="false">IF(ISBLANK($A105),"NO_CODE",VLOOKUP($A105,'UPD Questions_290926 '!$E$1:$N$300,MATCH(F$1,'UPD Questions_290926 '!$E$1:$N$1,0),0)&amp;"")</f>
        <v>Does the law mandate a system for monitoring ongoing construction/projects for possible violations?</v>
      </c>
      <c r="G105" s="83" t="str">
        <f aca="false">IF(ISBLANK($A105),"NO_CODE",VLOOKUP($A105,'UPD Questions_290926 '!$E$1:$N$300,MATCH(G$1,'UPD Questions_290926 '!$E$1:$N$1,0),0)&amp;"")</f>
        <v>Implementation</v>
      </c>
      <c r="H105" s="85" t="n">
        <f aca="false">IF(ISBLANK($A105),"NO_CODE",VLOOKUP($A105,'UPD Questions_290926 '!$E$1:$N$300,MATCH(H$1,'UPD Questions_290926 '!$E$1:$N$1,0),0))</f>
        <v>5</v>
      </c>
      <c r="I105" s="86" t="str">
        <f aca="true">IF($H105=0,"NA",IF($A105=INDIRECT("'"&amp;$A105&amp;"'!$B$1"),IF(VLOOKUP(I$1,INDIRECT("'"&amp;$A105&amp;"'!$A$12:$Z$41"),MATCH("Points (Auto-generate)",INDIRECT("'"&amp;$A105&amp;"'!$A$12:$Z$12"),0),0)="","?",VLOOKUP(I$1,INDIRECT("'"&amp;$A105&amp;"'!$A$12:$Z$41"),MATCH("Points (Auto-generate)",INDIRECT("'"&amp;$A105&amp;"'!$A$12:$Z$12"),0),0)),"ER"))</f>
        <v>?</v>
      </c>
      <c r="J105" s="86" t="n">
        <f aca="true">IF($H105=0,"NA",IF($A105=INDIRECT("'"&amp;$A105&amp;"'!$B$1"),IF(VLOOKUP(J$1,INDIRECT("'"&amp;$A105&amp;"'!$A$12:$Z$41"),MATCH("Points (Auto-generate)",INDIRECT("'"&amp;$A105&amp;"'!$A$12:$Z$12"),0),0)="","?",VLOOKUP(J$1,INDIRECT("'"&amp;$A105&amp;"'!$A$12:$Z$41"),MATCH("Points (Auto-generate)",INDIRECT("'"&amp;$A105&amp;"'!$A$12:$Z$12"),0),0)),"ER"))</f>
        <v>5</v>
      </c>
      <c r="K105" s="86" t="str">
        <f aca="true">IF($H105=0,"NA",IF($A105=INDIRECT("'"&amp;$A105&amp;"'!$B$1"),IF(VLOOKUP(K$1,INDIRECT("'"&amp;$A105&amp;"'!$A$12:$Z$41"),MATCH("Points (Auto-generate)",INDIRECT("'"&amp;$A105&amp;"'!$A$12:$Z$12"),0),0)="","?",VLOOKUP(K$1,INDIRECT("'"&amp;$A105&amp;"'!$A$12:$Z$41"),MATCH("Points (Auto-generate)",INDIRECT("'"&amp;$A105&amp;"'!$A$12:$Z$12"),0),0)),"ER"))</f>
        <v>?</v>
      </c>
      <c r="L105" s="86" t="str">
        <f aca="true">IF($H105=0,"NA",IF($A105=INDIRECT("'"&amp;$A105&amp;"'!$B$1"),IF(VLOOKUP(L$1,INDIRECT("'"&amp;$A105&amp;"'!$A$12:$Z$41"),MATCH("Points (Auto-generate)",INDIRECT("'"&amp;$A105&amp;"'!$A$12:$Z$12"),0),0)="","?",VLOOKUP(L$1,INDIRECT("'"&amp;$A105&amp;"'!$A$12:$Z$41"),MATCH("Points (Auto-generate)",INDIRECT("'"&amp;$A105&amp;"'!$A$12:$Z$12"),0),0)),"ER"))</f>
        <v>?</v>
      </c>
      <c r="M105" s="86" t="str">
        <f aca="true">IF($H105=0,"NA",IF($A105=INDIRECT("'"&amp;$A105&amp;"'!$B$1"),IF(VLOOKUP(M$1,INDIRECT("'"&amp;$A105&amp;"'!$A$12:$Z$41"),MATCH("Points (Auto-generate)",INDIRECT("'"&amp;$A105&amp;"'!$A$12:$Z$12"),0),0)="","?",VLOOKUP(M$1,INDIRECT("'"&amp;$A105&amp;"'!$A$12:$Z$41"),MATCH("Points (Auto-generate)",INDIRECT("'"&amp;$A105&amp;"'!$A$12:$Z$12"),0),0)),"ER"))</f>
        <v>?</v>
      </c>
      <c r="N105" s="86" t="str">
        <f aca="true">IF($H105=0,"NA",IF($A105=INDIRECT("'"&amp;$A105&amp;"'!$B$1"),IF(VLOOKUP(N$1,INDIRECT("'"&amp;$A105&amp;"'!$A$12:$Z$41"),MATCH("Points (Auto-generate)",INDIRECT("'"&amp;$A105&amp;"'!$A$12:$Z$12"),0),0)="","?",VLOOKUP(N$1,INDIRECT("'"&amp;$A105&amp;"'!$A$12:$Z$41"),MATCH("Points (Auto-generate)",INDIRECT("'"&amp;$A105&amp;"'!$A$12:$Z$12"),0),0)),"ER"))</f>
        <v>?</v>
      </c>
      <c r="O105" s="86" t="str">
        <f aca="true">IF($H105=0,"NA",IF($A105=INDIRECT("'"&amp;$A105&amp;"'!$B$1"),IF(VLOOKUP(O$1,INDIRECT("'"&amp;$A105&amp;"'!$A$12:$Z$41"),MATCH("Points (Auto-generate)",INDIRECT("'"&amp;$A105&amp;"'!$A$12:$Z$12"),0),0)="","?",VLOOKUP(O$1,INDIRECT("'"&amp;$A105&amp;"'!$A$12:$Z$41"),MATCH("Points (Auto-generate)",INDIRECT("'"&amp;$A105&amp;"'!$A$12:$Z$12"),0),0)),"ER"))</f>
        <v>?</v>
      </c>
      <c r="P105" s="86" t="str">
        <f aca="true">IF($H105=0,"NA",IF($A105=INDIRECT("'"&amp;$A105&amp;"'!$B$1"),IF(VLOOKUP(P$1,INDIRECT("'"&amp;$A105&amp;"'!$A$12:$Z$41"),MATCH("Points (Auto-generate)",INDIRECT("'"&amp;$A105&amp;"'!$A$12:$Z$12"),0),0)="","?",VLOOKUP(P$1,INDIRECT("'"&amp;$A105&amp;"'!$A$12:$Z$41"),MATCH("Points (Auto-generate)",INDIRECT("'"&amp;$A105&amp;"'!$A$12:$Z$12"),0),0)),"ER"))</f>
        <v>?</v>
      </c>
      <c r="Q105" s="86" t="str">
        <f aca="true">IF($H105=0,"NA",IF($A105=INDIRECT("'"&amp;$A105&amp;"'!$B$1"),IF(VLOOKUP(Q$1,INDIRECT("'"&amp;$A105&amp;"'!$A$12:$Z$41"),MATCH("Points (Auto-generate)",INDIRECT("'"&amp;$A105&amp;"'!$A$12:$Z$12"),0),0)="","?",VLOOKUP(Q$1,INDIRECT("'"&amp;$A105&amp;"'!$A$12:$Z$41"),MATCH("Points (Auto-generate)",INDIRECT("'"&amp;$A105&amp;"'!$A$12:$Z$12"),0),0)),"ER"))</f>
        <v>?</v>
      </c>
      <c r="R105" s="86" t="str">
        <f aca="true">IF($H105=0,"NA",IF($A105=INDIRECT("'"&amp;$A105&amp;"'!$B$1"),IF(VLOOKUP(R$1,INDIRECT("'"&amp;$A105&amp;"'!$A$12:$Z$41"),MATCH("Points (Auto-generate)",INDIRECT("'"&amp;$A105&amp;"'!$A$12:$Z$12"),0),0)="","?",VLOOKUP(R$1,INDIRECT("'"&amp;$A105&amp;"'!$A$12:$Z$41"),MATCH("Points (Auto-generate)",INDIRECT("'"&amp;$A105&amp;"'!$A$12:$Z$12"),0),0)),"ER"))</f>
        <v>?</v>
      </c>
      <c r="S105" s="86" t="str">
        <f aca="true">IF($H105=0,"NA",IF($A105=INDIRECT("'"&amp;$A105&amp;"'!$B$1"),IF(VLOOKUP(S$1,INDIRECT("'"&amp;$A105&amp;"'!$A$12:$Z$41"),MATCH("Points (Auto-generate)",INDIRECT("'"&amp;$A105&amp;"'!$A$12:$Z$12"),0),0)="","?",VLOOKUP(S$1,INDIRECT("'"&amp;$A105&amp;"'!$A$12:$Z$41"),MATCH("Points (Auto-generate)",INDIRECT("'"&amp;$A105&amp;"'!$A$12:$Z$12"),0),0)),"ER"))</f>
        <v>?</v>
      </c>
      <c r="T105" s="86" t="str">
        <f aca="true">IF($H105=0,"NA",IF($A105=INDIRECT("'"&amp;$A105&amp;"'!$B$1"),IF(VLOOKUP(T$1,INDIRECT("'"&amp;$A105&amp;"'!$A$12:$Z$41"),MATCH("Points (Auto-generate)",INDIRECT("'"&amp;$A105&amp;"'!$A$12:$Z$12"),0),0)="","?",VLOOKUP(T$1,INDIRECT("'"&amp;$A105&amp;"'!$A$12:$Z$41"),MATCH("Points (Auto-generate)",INDIRECT("'"&amp;$A105&amp;"'!$A$12:$Z$12"),0),0)),"ER"))</f>
        <v>?</v>
      </c>
      <c r="U105" s="86" t="str">
        <f aca="true">IF($H105=0,"NA",IF($A105=INDIRECT("'"&amp;$A105&amp;"'!$B$1"),IF(VLOOKUP(U$1,INDIRECT("'"&amp;$A105&amp;"'!$A$12:$Z$41"),MATCH("Points (Auto-generate)",INDIRECT("'"&amp;$A105&amp;"'!$A$12:$Z$12"),0),0)="","?",VLOOKUP(U$1,INDIRECT("'"&amp;$A105&amp;"'!$A$12:$Z$41"),MATCH("Points (Auto-generate)",INDIRECT("'"&amp;$A105&amp;"'!$A$12:$Z$12"),0),0)),"ER"))</f>
        <v>?</v>
      </c>
      <c r="V105" s="86" t="str">
        <f aca="true">IF($H105=0,"NA",IF($A105=INDIRECT("'"&amp;$A105&amp;"'!$B$1"),IF(VLOOKUP(V$1,INDIRECT("'"&amp;$A105&amp;"'!$A$12:$Z$41"),MATCH("Points (Auto-generate)",INDIRECT("'"&amp;$A105&amp;"'!$A$12:$Z$12"),0),0)="","?",VLOOKUP(V$1,INDIRECT("'"&amp;$A105&amp;"'!$A$12:$Z$41"),MATCH("Points (Auto-generate)",INDIRECT("'"&amp;$A105&amp;"'!$A$12:$Z$12"),0),0)),"ER"))</f>
        <v>?</v>
      </c>
      <c r="W105" s="86" t="str">
        <f aca="true">IF($H105=0,"NA",IF($A105=INDIRECT("'"&amp;$A105&amp;"'!$B$1"),IF(VLOOKUP(W$1,INDIRECT("'"&amp;$A105&amp;"'!$A$12:$Z$41"),MATCH("Points (Auto-generate)",INDIRECT("'"&amp;$A105&amp;"'!$A$12:$Z$12"),0),0)="","?",VLOOKUP(W$1,INDIRECT("'"&amp;$A105&amp;"'!$A$12:$Z$41"),MATCH("Points (Auto-generate)",INDIRECT("'"&amp;$A105&amp;"'!$A$12:$Z$12"),0),0)),"ER"))</f>
        <v>?</v>
      </c>
      <c r="X105" s="86" t="str">
        <f aca="true">IF($H105=0,"NA",IF($A105=INDIRECT("'"&amp;$A105&amp;"'!$B$1"),IF(VLOOKUP(X$1,INDIRECT("'"&amp;$A105&amp;"'!$A$12:$Z$41"),MATCH("Points (Auto-generate)",INDIRECT("'"&amp;$A105&amp;"'!$A$12:$Z$12"),0),0)="","?",VLOOKUP(X$1,INDIRECT("'"&amp;$A105&amp;"'!$A$12:$Z$41"),MATCH("Points (Auto-generate)",INDIRECT("'"&amp;$A105&amp;"'!$A$12:$Z$12"),0),0)),"ER"))</f>
        <v>?</v>
      </c>
      <c r="Y105" s="86" t="str">
        <f aca="true">IF($H105=0,"NA",IF($A105=INDIRECT("'"&amp;$A105&amp;"'!$B$1"),IF(VLOOKUP(Y$1,INDIRECT("'"&amp;$A105&amp;"'!$A$12:$Z$41"),MATCH("Points (Auto-generate)",INDIRECT("'"&amp;$A105&amp;"'!$A$12:$Z$12"),0),0)="","?",VLOOKUP(Y$1,INDIRECT("'"&amp;$A105&amp;"'!$A$12:$Z$41"),MATCH("Points (Auto-generate)",INDIRECT("'"&amp;$A105&amp;"'!$A$12:$Z$12"),0),0)),"ER"))</f>
        <v>?</v>
      </c>
      <c r="Z105" s="86" t="str">
        <f aca="true">IF($H105=0,"NA",IF($A105=INDIRECT("'"&amp;$A105&amp;"'!$B$1"),IF(VLOOKUP(Z$1,INDIRECT("'"&amp;$A105&amp;"'!$A$12:$Z$41"),MATCH("Points (Auto-generate)",INDIRECT("'"&amp;$A105&amp;"'!$A$12:$Z$12"),0),0)="","?",VLOOKUP(Z$1,INDIRECT("'"&amp;$A105&amp;"'!$A$12:$Z$41"),MATCH("Points (Auto-generate)",INDIRECT("'"&amp;$A105&amp;"'!$A$12:$Z$12"),0),0)),"ER"))</f>
        <v>?</v>
      </c>
      <c r="AA105" s="86" t="str">
        <f aca="true">IF($H105=0,"NA",IF($A105=INDIRECT("'"&amp;$A105&amp;"'!$B$1"),IF(VLOOKUP(AA$1,INDIRECT("'"&amp;$A105&amp;"'!$A$12:$Z$41"),MATCH("Points (Auto-generate)",INDIRECT("'"&amp;$A105&amp;"'!$A$12:$Z$12"),0),0)="","?",VLOOKUP(AA$1,INDIRECT("'"&amp;$A105&amp;"'!$A$12:$Z$41"),MATCH("Points (Auto-generate)",INDIRECT("'"&amp;$A105&amp;"'!$A$12:$Z$12"),0),0)),"ER"))</f>
        <v>?</v>
      </c>
      <c r="AB105" s="86" t="str">
        <f aca="true">IF($H105=0,"NA",IF($A105=INDIRECT("'"&amp;$A105&amp;"'!$B$1"),IF(VLOOKUP(AB$1,INDIRECT("'"&amp;$A105&amp;"'!$A$12:$Z$41"),MATCH("Points (Auto-generate)",INDIRECT("'"&amp;$A105&amp;"'!$A$12:$Z$12"),0),0)="","?",VLOOKUP(AB$1,INDIRECT("'"&amp;$A105&amp;"'!$A$12:$Z$41"),MATCH("Points (Auto-generate)",INDIRECT("'"&amp;$A105&amp;"'!$A$12:$Z$12"),0),0)),"ER"))</f>
        <v>?</v>
      </c>
      <c r="AC105" s="86" t="str">
        <f aca="true">IF($H105=0,"NA",IF($A105=INDIRECT("'"&amp;$A105&amp;"'!$B$1"),IF(VLOOKUP(AC$1,INDIRECT("'"&amp;$A105&amp;"'!$A$12:$Z$41"),MATCH("Points (Auto-generate)",INDIRECT("'"&amp;$A105&amp;"'!$A$12:$Z$12"),0),0)="","?",VLOOKUP(AC$1,INDIRECT("'"&amp;$A105&amp;"'!$A$12:$Z$41"),MATCH("Points (Auto-generate)",INDIRECT("'"&amp;$A105&amp;"'!$A$12:$Z$12"),0),0)),"ER"))</f>
        <v>?</v>
      </c>
      <c r="AD105" s="86" t="str">
        <f aca="true">IF($H105=0,"NA",IF($A105=INDIRECT("'"&amp;$A105&amp;"'!$B$1"),IF(VLOOKUP(AD$1,INDIRECT("'"&amp;$A105&amp;"'!$A$12:$Z$41"),MATCH("Points (Auto-generate)",INDIRECT("'"&amp;$A105&amp;"'!$A$12:$Z$12"),0),0)="","?",VLOOKUP(AD$1,INDIRECT("'"&amp;$A105&amp;"'!$A$12:$Z$41"),MATCH("Points (Auto-generate)",INDIRECT("'"&amp;$A105&amp;"'!$A$12:$Z$12"),0),0)),"ER"))</f>
        <v>?</v>
      </c>
      <c r="AE105" s="86" t="str">
        <f aca="true">IF($H105=0,"NA",IF($A105=INDIRECT("'"&amp;$A105&amp;"'!$B$1"),IF(VLOOKUP(AE$1,INDIRECT("'"&amp;$A105&amp;"'!$A$12:$Z$41"),MATCH("Points (Auto-generate)",INDIRECT("'"&amp;$A105&amp;"'!$A$12:$Z$12"),0),0)="","?",VLOOKUP(AE$1,INDIRECT("'"&amp;$A105&amp;"'!$A$12:$Z$41"),MATCH("Points (Auto-generate)",INDIRECT("'"&amp;$A105&amp;"'!$A$12:$Z$12"),0),0)),"ER"))</f>
        <v>?</v>
      </c>
      <c r="AF105" s="86" t="str">
        <f aca="true">IF($H105=0,"NA",IF($A105=INDIRECT("'"&amp;$A105&amp;"'!$B$1"),IF(VLOOKUP(AF$1,INDIRECT("'"&amp;$A105&amp;"'!$A$12:$Z$41"),MATCH("Points (Auto-generate)",INDIRECT("'"&amp;$A105&amp;"'!$A$12:$Z$12"),0),0)="","?",VLOOKUP(AF$1,INDIRECT("'"&amp;$A105&amp;"'!$A$12:$Z$41"),MATCH("Points (Auto-generate)",INDIRECT("'"&amp;$A105&amp;"'!$A$12:$Z$12"),0),0)),"ER"))</f>
        <v>?</v>
      </c>
      <c r="AG105" s="86" t="str">
        <f aca="true">IF($H105=0,"NA",IF($A105=INDIRECT("'"&amp;$A105&amp;"'!$B$1"),IF(VLOOKUP(AG$1,INDIRECT("'"&amp;$A105&amp;"'!$A$12:$Z$41"),MATCH("Points (Auto-generate)",INDIRECT("'"&amp;$A105&amp;"'!$A$12:$Z$12"),0),0)="","?",VLOOKUP(AG$1,INDIRECT("'"&amp;$A105&amp;"'!$A$12:$Z$41"),MATCH("Points (Auto-generate)",INDIRECT("'"&amp;$A105&amp;"'!$A$12:$Z$12"),0),0)),"ER"))</f>
        <v>?</v>
      </c>
      <c r="AH105" s="86" t="str">
        <f aca="true">IF($H105=0,"NA",IF($A105=INDIRECT("'"&amp;$A105&amp;"'!$B$1"),IF(VLOOKUP(AH$1,INDIRECT("'"&amp;$A105&amp;"'!$A$12:$Z$41"),MATCH("Points (Auto-generate)",INDIRECT("'"&amp;$A105&amp;"'!$A$12:$Z$12"),0),0)="","?",VLOOKUP(AH$1,INDIRECT("'"&amp;$A105&amp;"'!$A$12:$Z$41"),MATCH("Points (Auto-generate)",INDIRECT("'"&amp;$A105&amp;"'!$A$12:$Z$12"),0),0)),"ER"))</f>
        <v>?</v>
      </c>
      <c r="AI105" s="86" t="str">
        <f aca="true">IF($H105=0,"NA",IF($A105=INDIRECT("'"&amp;$A105&amp;"'!$B$1"),IF(VLOOKUP(AI$1,INDIRECT("'"&amp;$A105&amp;"'!$A$12:$Z$41"),MATCH("Points (Auto-generate)",INDIRECT("'"&amp;$A105&amp;"'!$A$12:$Z$12"),0),0)="","?",VLOOKUP(AI$1,INDIRECT("'"&amp;$A105&amp;"'!$A$12:$Z$41"),MATCH("Points (Auto-generate)",INDIRECT("'"&amp;$A105&amp;"'!$A$12:$Z$12"),0),0)),"ER"))</f>
        <v>?</v>
      </c>
      <c r="AJ105" s="86" t="str">
        <f aca="true">IF($H105=0,"NA",IF($A105=INDIRECT("'"&amp;$A105&amp;"'!$B$1"),IF(VLOOKUP(AJ$1,INDIRECT("'"&amp;$A105&amp;"'!$A$12:$Z$41"),MATCH("Points (Auto-generate)",INDIRECT("'"&amp;$A105&amp;"'!$A$12:$Z$12"),0),0)="","?",VLOOKUP(AJ$1,INDIRECT("'"&amp;$A105&amp;"'!$A$12:$Z$41"),MATCH("Points (Auto-generate)",INDIRECT("'"&amp;$A105&amp;"'!$A$12:$Z$12"),0),0)),"ER"))</f>
        <v>?</v>
      </c>
      <c r="AK105" s="86" t="str">
        <f aca="true">IF($H105=0,"NA",IF($A105=INDIRECT("'"&amp;$A105&amp;"'!$B$1"),IF(VLOOKUP(AK$1,INDIRECT("'"&amp;$A105&amp;"'!$A$12:$Z$41"),MATCH("Points (Auto-generate)",INDIRECT("'"&amp;$A105&amp;"'!$A$12:$Z$12"),0),0)="","?",VLOOKUP(AK$1,INDIRECT("'"&amp;$A105&amp;"'!$A$12:$Z$41"),MATCH("Points (Auto-generate)",INDIRECT("'"&amp;$A105&amp;"'!$A$12:$Z$12"),0),0)),"ER"))</f>
        <v>?</v>
      </c>
    </row>
    <row r="106" customFormat="false" ht="14.25" hidden="false" customHeight="false" outlineLevel="0" collapsed="false">
      <c r="A106" s="82" t="s">
        <v>327</v>
      </c>
      <c r="B106" s="83" t="str">
        <f aca="false">IF(ISBLANK($A106),"NO_CODE",VLOOKUP($A106,'UPD Questions_290926 '!$E$1:$N$300,MATCH(B$1,'UPD Questions_290926 '!$E$1:$N$1,0),0)&amp;"")</f>
        <v>Enforcement</v>
      </c>
      <c r="C106" s="83" t="str">
        <f aca="false">IF(ISBLANK($A106),"NO_CODE",VLOOKUP($A106,'UPD Questions_290926 '!$E$1:$N$300,MATCH(C$1,'UPD Questions_290926 '!$E$1:$N$1,0),0)&amp;"")</f>
        <v>Development Compliance</v>
      </c>
      <c r="D106" s="83" t="str">
        <f aca="false">IF(ISBLANK($A106),"NO_CODE",VLOOKUP($A106,'UPD Questions_290926 '!$E$1:$N$300,MATCH(D$1,'UPD Questions_290926 '!$E$1:$N$1,0),0)&amp;"")</f>
        <v>Construction monitoring</v>
      </c>
      <c r="E106" s="83" t="str">
        <f aca="false">IF(ISBLANK($A106),"NO_CODE",VLOOKUP($A106,'UPD Questions_290926 '!$E$1:$N$300,MATCH(E$1,'UPD Questions_290926 '!$E$1:$N$1,0),0)&amp;"")</f>
        <v>SQ</v>
      </c>
      <c r="F106" s="83" t="str">
        <f aca="false">IF(ISBLANK($A106),"NO_CODE",VLOOKUP($A106,'UPD Questions_290926 '!$E$1:$N$300,MATCH(F$1,'UPD Questions_290926 '!$E$1:$N$1,0),0)&amp;"")</f>
        <v>Has a system for monitoring ongoing construction/projects for possible violations been implemented?</v>
      </c>
      <c r="G106" s="83" t="str">
        <f aca="false">IF(ISBLANK($A106),"NO_CODE",VLOOKUP($A106,'UPD Questions_290926 '!$E$1:$N$300,MATCH(G$1,'UPD Questions_290926 '!$E$1:$N$1,0),0)&amp;"")</f>
        <v>Implementation</v>
      </c>
      <c r="H106" s="85" t="n">
        <f aca="false">IF(ISBLANK($A106),"NO_CODE",VLOOKUP($A106,'UPD Questions_290926 '!$E$1:$N$300,MATCH(H$1,'UPD Questions_290926 '!$E$1:$N$1,0),0))</f>
        <v>5</v>
      </c>
      <c r="I106" s="86" t="str">
        <f aca="true">IF($H106=0,"NA",IF($A106=INDIRECT("'"&amp;$A106&amp;"'!$B$1"),IF(VLOOKUP(I$1,INDIRECT("'"&amp;$A106&amp;"'!$A$12:$Z$41"),MATCH("Points (Auto-generate)",INDIRECT("'"&amp;$A106&amp;"'!$A$12:$Z$12"),0),0)="","?",VLOOKUP(I$1,INDIRECT("'"&amp;$A106&amp;"'!$A$12:$Z$41"),MATCH("Points (Auto-generate)",INDIRECT("'"&amp;$A106&amp;"'!$A$12:$Z$12"),0),0)),"ER"))</f>
        <v>?</v>
      </c>
      <c r="J106" s="86" t="str">
        <f aca="true">IF($H106=0,"NA",IF($A106=INDIRECT("'"&amp;$A106&amp;"'!$B$1"),IF(VLOOKUP(J$1,INDIRECT("'"&amp;$A106&amp;"'!$A$12:$Z$41"),MATCH("Points (Auto-generate)",INDIRECT("'"&amp;$A106&amp;"'!$A$12:$Z$12"),0),0)="","?",VLOOKUP(J$1,INDIRECT("'"&amp;$A106&amp;"'!$A$12:$Z$41"),MATCH("Points (Auto-generate)",INDIRECT("'"&amp;$A106&amp;"'!$A$12:$Z$12"),0),0)),"ER"))</f>
        <v>?</v>
      </c>
      <c r="K106" s="86" t="str">
        <f aca="true">IF($H106=0,"NA",IF($A106=INDIRECT("'"&amp;$A106&amp;"'!$B$1"),IF(VLOOKUP(K$1,INDIRECT("'"&amp;$A106&amp;"'!$A$12:$Z$41"),MATCH("Points (Auto-generate)",INDIRECT("'"&amp;$A106&amp;"'!$A$12:$Z$12"),0),0)="","?",VLOOKUP(K$1,INDIRECT("'"&amp;$A106&amp;"'!$A$12:$Z$41"),MATCH("Points (Auto-generate)",INDIRECT("'"&amp;$A106&amp;"'!$A$12:$Z$12"),0),0)),"ER"))</f>
        <v>?</v>
      </c>
      <c r="L106" s="86" t="str">
        <f aca="true">IF($H106=0,"NA",IF($A106=INDIRECT("'"&amp;$A106&amp;"'!$B$1"),IF(VLOOKUP(L$1,INDIRECT("'"&amp;$A106&amp;"'!$A$12:$Z$41"),MATCH("Points (Auto-generate)",INDIRECT("'"&amp;$A106&amp;"'!$A$12:$Z$12"),0),0)="","?",VLOOKUP(L$1,INDIRECT("'"&amp;$A106&amp;"'!$A$12:$Z$41"),MATCH("Points (Auto-generate)",INDIRECT("'"&amp;$A106&amp;"'!$A$12:$Z$12"),0),0)),"ER"))</f>
        <v>?</v>
      </c>
      <c r="M106" s="86" t="str">
        <f aca="true">IF($H106=0,"NA",IF($A106=INDIRECT("'"&amp;$A106&amp;"'!$B$1"),IF(VLOOKUP(M$1,INDIRECT("'"&amp;$A106&amp;"'!$A$12:$Z$41"),MATCH("Points (Auto-generate)",INDIRECT("'"&amp;$A106&amp;"'!$A$12:$Z$12"),0),0)="","?",VLOOKUP(M$1,INDIRECT("'"&amp;$A106&amp;"'!$A$12:$Z$41"),MATCH("Points (Auto-generate)",INDIRECT("'"&amp;$A106&amp;"'!$A$12:$Z$12"),0),0)),"ER"))</f>
        <v>?</v>
      </c>
      <c r="N106" s="86" t="str">
        <f aca="true">IF($H106=0,"NA",IF($A106=INDIRECT("'"&amp;$A106&amp;"'!$B$1"),IF(VLOOKUP(N$1,INDIRECT("'"&amp;$A106&amp;"'!$A$12:$Z$41"),MATCH("Points (Auto-generate)",INDIRECT("'"&amp;$A106&amp;"'!$A$12:$Z$12"),0),0)="","?",VLOOKUP(N$1,INDIRECT("'"&amp;$A106&amp;"'!$A$12:$Z$41"),MATCH("Points (Auto-generate)",INDIRECT("'"&amp;$A106&amp;"'!$A$12:$Z$12"),0),0)),"ER"))</f>
        <v>?</v>
      </c>
      <c r="O106" s="86" t="str">
        <f aca="true">IF($H106=0,"NA",IF($A106=INDIRECT("'"&amp;$A106&amp;"'!$B$1"),IF(VLOOKUP(O$1,INDIRECT("'"&amp;$A106&amp;"'!$A$12:$Z$41"),MATCH("Points (Auto-generate)",INDIRECT("'"&amp;$A106&amp;"'!$A$12:$Z$12"),0),0)="","?",VLOOKUP(O$1,INDIRECT("'"&amp;$A106&amp;"'!$A$12:$Z$41"),MATCH("Points (Auto-generate)",INDIRECT("'"&amp;$A106&amp;"'!$A$12:$Z$12"),0),0)),"ER"))</f>
        <v>?</v>
      </c>
      <c r="P106" s="86" t="str">
        <f aca="true">IF($H106=0,"NA",IF($A106=INDIRECT("'"&amp;$A106&amp;"'!$B$1"),IF(VLOOKUP(P$1,INDIRECT("'"&amp;$A106&amp;"'!$A$12:$Z$41"),MATCH("Points (Auto-generate)",INDIRECT("'"&amp;$A106&amp;"'!$A$12:$Z$12"),0),0)="","?",VLOOKUP(P$1,INDIRECT("'"&amp;$A106&amp;"'!$A$12:$Z$41"),MATCH("Points (Auto-generate)",INDIRECT("'"&amp;$A106&amp;"'!$A$12:$Z$12"),0),0)),"ER"))</f>
        <v>?</v>
      </c>
      <c r="Q106" s="86" t="str">
        <f aca="true">IF($H106=0,"NA",IF($A106=INDIRECT("'"&amp;$A106&amp;"'!$B$1"),IF(VLOOKUP(Q$1,INDIRECT("'"&amp;$A106&amp;"'!$A$12:$Z$41"),MATCH("Points (Auto-generate)",INDIRECT("'"&amp;$A106&amp;"'!$A$12:$Z$12"),0),0)="","?",VLOOKUP(Q$1,INDIRECT("'"&amp;$A106&amp;"'!$A$12:$Z$41"),MATCH("Points (Auto-generate)",INDIRECT("'"&amp;$A106&amp;"'!$A$12:$Z$12"),0),0)),"ER"))</f>
        <v>?</v>
      </c>
      <c r="R106" s="86" t="str">
        <f aca="true">IF($H106=0,"NA",IF($A106=INDIRECT("'"&amp;$A106&amp;"'!$B$1"),IF(VLOOKUP(R$1,INDIRECT("'"&amp;$A106&amp;"'!$A$12:$Z$41"),MATCH("Points (Auto-generate)",INDIRECT("'"&amp;$A106&amp;"'!$A$12:$Z$12"),0),0)="","?",VLOOKUP(R$1,INDIRECT("'"&amp;$A106&amp;"'!$A$12:$Z$41"),MATCH("Points (Auto-generate)",INDIRECT("'"&amp;$A106&amp;"'!$A$12:$Z$12"),0),0)),"ER"))</f>
        <v>?</v>
      </c>
      <c r="S106" s="86" t="str">
        <f aca="true">IF($H106=0,"NA",IF($A106=INDIRECT("'"&amp;$A106&amp;"'!$B$1"),IF(VLOOKUP(S$1,INDIRECT("'"&amp;$A106&amp;"'!$A$12:$Z$41"),MATCH("Points (Auto-generate)",INDIRECT("'"&amp;$A106&amp;"'!$A$12:$Z$12"),0),0)="","?",VLOOKUP(S$1,INDIRECT("'"&amp;$A106&amp;"'!$A$12:$Z$41"),MATCH("Points (Auto-generate)",INDIRECT("'"&amp;$A106&amp;"'!$A$12:$Z$12"),0),0)),"ER"))</f>
        <v>?</v>
      </c>
      <c r="T106" s="86" t="str">
        <f aca="true">IF($H106=0,"NA",IF($A106=INDIRECT("'"&amp;$A106&amp;"'!$B$1"),IF(VLOOKUP(T$1,INDIRECT("'"&amp;$A106&amp;"'!$A$12:$Z$41"),MATCH("Points (Auto-generate)",INDIRECT("'"&amp;$A106&amp;"'!$A$12:$Z$12"),0),0)="","?",VLOOKUP(T$1,INDIRECT("'"&amp;$A106&amp;"'!$A$12:$Z$41"),MATCH("Points (Auto-generate)",INDIRECT("'"&amp;$A106&amp;"'!$A$12:$Z$12"),0),0)),"ER"))</f>
        <v>?</v>
      </c>
      <c r="U106" s="86" t="str">
        <f aca="true">IF($H106=0,"NA",IF($A106=INDIRECT("'"&amp;$A106&amp;"'!$B$1"),IF(VLOOKUP(U$1,INDIRECT("'"&amp;$A106&amp;"'!$A$12:$Z$41"),MATCH("Points (Auto-generate)",INDIRECT("'"&amp;$A106&amp;"'!$A$12:$Z$12"),0),0)="","?",VLOOKUP(U$1,INDIRECT("'"&amp;$A106&amp;"'!$A$12:$Z$41"),MATCH("Points (Auto-generate)",INDIRECT("'"&amp;$A106&amp;"'!$A$12:$Z$12"),0),0)),"ER"))</f>
        <v>?</v>
      </c>
      <c r="V106" s="86" t="str">
        <f aca="true">IF($H106=0,"NA",IF($A106=INDIRECT("'"&amp;$A106&amp;"'!$B$1"),IF(VLOOKUP(V$1,INDIRECT("'"&amp;$A106&amp;"'!$A$12:$Z$41"),MATCH("Points (Auto-generate)",INDIRECT("'"&amp;$A106&amp;"'!$A$12:$Z$12"),0),0)="","?",VLOOKUP(V$1,INDIRECT("'"&amp;$A106&amp;"'!$A$12:$Z$41"),MATCH("Points (Auto-generate)",INDIRECT("'"&amp;$A106&amp;"'!$A$12:$Z$12"),0),0)),"ER"))</f>
        <v>?</v>
      </c>
      <c r="W106" s="86" t="str">
        <f aca="true">IF($H106=0,"NA",IF($A106=INDIRECT("'"&amp;$A106&amp;"'!$B$1"),IF(VLOOKUP(W$1,INDIRECT("'"&amp;$A106&amp;"'!$A$12:$Z$41"),MATCH("Points (Auto-generate)",INDIRECT("'"&amp;$A106&amp;"'!$A$12:$Z$12"),0),0)="","?",VLOOKUP(W$1,INDIRECT("'"&amp;$A106&amp;"'!$A$12:$Z$41"),MATCH("Points (Auto-generate)",INDIRECT("'"&amp;$A106&amp;"'!$A$12:$Z$12"),0),0)),"ER"))</f>
        <v>?</v>
      </c>
      <c r="X106" s="86" t="str">
        <f aca="true">IF($H106=0,"NA",IF($A106=INDIRECT("'"&amp;$A106&amp;"'!$B$1"),IF(VLOOKUP(X$1,INDIRECT("'"&amp;$A106&amp;"'!$A$12:$Z$41"),MATCH("Points (Auto-generate)",INDIRECT("'"&amp;$A106&amp;"'!$A$12:$Z$12"),0),0)="","?",VLOOKUP(X$1,INDIRECT("'"&amp;$A106&amp;"'!$A$12:$Z$41"),MATCH("Points (Auto-generate)",INDIRECT("'"&amp;$A106&amp;"'!$A$12:$Z$12"),0),0)),"ER"))</f>
        <v>?</v>
      </c>
      <c r="Y106" s="86" t="str">
        <f aca="true">IF($H106=0,"NA",IF($A106=INDIRECT("'"&amp;$A106&amp;"'!$B$1"),IF(VLOOKUP(Y$1,INDIRECT("'"&amp;$A106&amp;"'!$A$12:$Z$41"),MATCH("Points (Auto-generate)",INDIRECT("'"&amp;$A106&amp;"'!$A$12:$Z$12"),0),0)="","?",VLOOKUP(Y$1,INDIRECT("'"&amp;$A106&amp;"'!$A$12:$Z$41"),MATCH("Points (Auto-generate)",INDIRECT("'"&amp;$A106&amp;"'!$A$12:$Z$12"),0),0)),"ER"))</f>
        <v>?</v>
      </c>
      <c r="Z106" s="86" t="str">
        <f aca="true">IF($H106=0,"NA",IF($A106=INDIRECT("'"&amp;$A106&amp;"'!$B$1"),IF(VLOOKUP(Z$1,INDIRECT("'"&amp;$A106&amp;"'!$A$12:$Z$41"),MATCH("Points (Auto-generate)",INDIRECT("'"&amp;$A106&amp;"'!$A$12:$Z$12"),0),0)="","?",VLOOKUP(Z$1,INDIRECT("'"&amp;$A106&amp;"'!$A$12:$Z$41"),MATCH("Points (Auto-generate)",INDIRECT("'"&amp;$A106&amp;"'!$A$12:$Z$12"),0),0)),"ER"))</f>
        <v>?</v>
      </c>
      <c r="AA106" s="86" t="str">
        <f aca="true">IF($H106=0,"NA",IF($A106=INDIRECT("'"&amp;$A106&amp;"'!$B$1"),IF(VLOOKUP(AA$1,INDIRECT("'"&amp;$A106&amp;"'!$A$12:$Z$41"),MATCH("Points (Auto-generate)",INDIRECT("'"&amp;$A106&amp;"'!$A$12:$Z$12"),0),0)="","?",VLOOKUP(AA$1,INDIRECT("'"&amp;$A106&amp;"'!$A$12:$Z$41"),MATCH("Points (Auto-generate)",INDIRECT("'"&amp;$A106&amp;"'!$A$12:$Z$12"),0),0)),"ER"))</f>
        <v>?</v>
      </c>
      <c r="AB106" s="86" t="str">
        <f aca="true">IF($H106=0,"NA",IF($A106=INDIRECT("'"&amp;$A106&amp;"'!$B$1"),IF(VLOOKUP(AB$1,INDIRECT("'"&amp;$A106&amp;"'!$A$12:$Z$41"),MATCH("Points (Auto-generate)",INDIRECT("'"&amp;$A106&amp;"'!$A$12:$Z$12"),0),0)="","?",VLOOKUP(AB$1,INDIRECT("'"&amp;$A106&amp;"'!$A$12:$Z$41"),MATCH("Points (Auto-generate)",INDIRECT("'"&amp;$A106&amp;"'!$A$12:$Z$12"),0),0)),"ER"))</f>
        <v>?</v>
      </c>
      <c r="AC106" s="86" t="str">
        <f aca="true">IF($H106=0,"NA",IF($A106=INDIRECT("'"&amp;$A106&amp;"'!$B$1"),IF(VLOOKUP(AC$1,INDIRECT("'"&amp;$A106&amp;"'!$A$12:$Z$41"),MATCH("Points (Auto-generate)",INDIRECT("'"&amp;$A106&amp;"'!$A$12:$Z$12"),0),0)="","?",VLOOKUP(AC$1,INDIRECT("'"&amp;$A106&amp;"'!$A$12:$Z$41"),MATCH("Points (Auto-generate)",INDIRECT("'"&amp;$A106&amp;"'!$A$12:$Z$12"),0),0)),"ER"))</f>
        <v>?</v>
      </c>
      <c r="AD106" s="86" t="str">
        <f aca="true">IF($H106=0,"NA",IF($A106=INDIRECT("'"&amp;$A106&amp;"'!$B$1"),IF(VLOOKUP(AD$1,INDIRECT("'"&amp;$A106&amp;"'!$A$12:$Z$41"),MATCH("Points (Auto-generate)",INDIRECT("'"&amp;$A106&amp;"'!$A$12:$Z$12"),0),0)="","?",VLOOKUP(AD$1,INDIRECT("'"&amp;$A106&amp;"'!$A$12:$Z$41"),MATCH("Points (Auto-generate)",INDIRECT("'"&amp;$A106&amp;"'!$A$12:$Z$12"),0),0)),"ER"))</f>
        <v>?</v>
      </c>
      <c r="AE106" s="86" t="str">
        <f aca="true">IF($H106=0,"NA",IF($A106=INDIRECT("'"&amp;$A106&amp;"'!$B$1"),IF(VLOOKUP(AE$1,INDIRECT("'"&amp;$A106&amp;"'!$A$12:$Z$41"),MATCH("Points (Auto-generate)",INDIRECT("'"&amp;$A106&amp;"'!$A$12:$Z$12"),0),0)="","?",VLOOKUP(AE$1,INDIRECT("'"&amp;$A106&amp;"'!$A$12:$Z$41"),MATCH("Points (Auto-generate)",INDIRECT("'"&amp;$A106&amp;"'!$A$12:$Z$12"),0),0)),"ER"))</f>
        <v>?</v>
      </c>
      <c r="AF106" s="86" t="str">
        <f aca="true">IF($H106=0,"NA",IF($A106=INDIRECT("'"&amp;$A106&amp;"'!$B$1"),IF(VLOOKUP(AF$1,INDIRECT("'"&amp;$A106&amp;"'!$A$12:$Z$41"),MATCH("Points (Auto-generate)",INDIRECT("'"&amp;$A106&amp;"'!$A$12:$Z$12"),0),0)="","?",VLOOKUP(AF$1,INDIRECT("'"&amp;$A106&amp;"'!$A$12:$Z$41"),MATCH("Points (Auto-generate)",INDIRECT("'"&amp;$A106&amp;"'!$A$12:$Z$12"),0),0)),"ER"))</f>
        <v>?</v>
      </c>
      <c r="AG106" s="86" t="str">
        <f aca="true">IF($H106=0,"NA",IF($A106=INDIRECT("'"&amp;$A106&amp;"'!$B$1"),IF(VLOOKUP(AG$1,INDIRECT("'"&amp;$A106&amp;"'!$A$12:$Z$41"),MATCH("Points (Auto-generate)",INDIRECT("'"&amp;$A106&amp;"'!$A$12:$Z$12"),0),0)="","?",VLOOKUP(AG$1,INDIRECT("'"&amp;$A106&amp;"'!$A$12:$Z$41"),MATCH("Points (Auto-generate)",INDIRECT("'"&amp;$A106&amp;"'!$A$12:$Z$12"),0),0)),"ER"))</f>
        <v>?</v>
      </c>
      <c r="AH106" s="86" t="str">
        <f aca="true">IF($H106=0,"NA",IF($A106=INDIRECT("'"&amp;$A106&amp;"'!$B$1"),IF(VLOOKUP(AH$1,INDIRECT("'"&amp;$A106&amp;"'!$A$12:$Z$41"),MATCH("Points (Auto-generate)",INDIRECT("'"&amp;$A106&amp;"'!$A$12:$Z$12"),0),0)="","?",VLOOKUP(AH$1,INDIRECT("'"&amp;$A106&amp;"'!$A$12:$Z$41"),MATCH("Points (Auto-generate)",INDIRECT("'"&amp;$A106&amp;"'!$A$12:$Z$12"),0),0)),"ER"))</f>
        <v>?</v>
      </c>
      <c r="AI106" s="86" t="str">
        <f aca="true">IF($H106=0,"NA",IF($A106=INDIRECT("'"&amp;$A106&amp;"'!$B$1"),IF(VLOOKUP(AI$1,INDIRECT("'"&amp;$A106&amp;"'!$A$12:$Z$41"),MATCH("Points (Auto-generate)",INDIRECT("'"&amp;$A106&amp;"'!$A$12:$Z$12"),0),0)="","?",VLOOKUP(AI$1,INDIRECT("'"&amp;$A106&amp;"'!$A$12:$Z$41"),MATCH("Points (Auto-generate)",INDIRECT("'"&amp;$A106&amp;"'!$A$12:$Z$12"),0),0)),"ER"))</f>
        <v>?</v>
      </c>
      <c r="AJ106" s="86" t="str">
        <f aca="true">IF($H106=0,"NA",IF($A106=INDIRECT("'"&amp;$A106&amp;"'!$B$1"),IF(VLOOKUP(AJ$1,INDIRECT("'"&amp;$A106&amp;"'!$A$12:$Z$41"),MATCH("Points (Auto-generate)",INDIRECT("'"&amp;$A106&amp;"'!$A$12:$Z$12"),0),0)="","?",VLOOKUP(AJ$1,INDIRECT("'"&amp;$A106&amp;"'!$A$12:$Z$41"),MATCH("Points (Auto-generate)",INDIRECT("'"&amp;$A106&amp;"'!$A$12:$Z$12"),0),0)),"ER"))</f>
        <v>?</v>
      </c>
      <c r="AK106" s="86" t="str">
        <f aca="true">IF($H106=0,"NA",IF($A106=INDIRECT("'"&amp;$A106&amp;"'!$B$1"),IF(VLOOKUP(AK$1,INDIRECT("'"&amp;$A106&amp;"'!$A$12:$Z$41"),MATCH("Points (Auto-generate)",INDIRECT("'"&amp;$A106&amp;"'!$A$12:$Z$12"),0),0)="","?",VLOOKUP(AK$1,INDIRECT("'"&amp;$A106&amp;"'!$A$12:$Z$41"),MATCH("Points (Auto-generate)",INDIRECT("'"&amp;$A106&amp;"'!$A$12:$Z$12"),0),0)),"ER"))</f>
        <v>?</v>
      </c>
    </row>
    <row r="107" customFormat="false" ht="14.25" hidden="false" customHeight="false" outlineLevel="0" collapsed="false">
      <c r="A107" s="82" t="s">
        <v>330</v>
      </c>
      <c r="B107" s="83" t="str">
        <f aca="false">IF(ISBLANK($A107),"NO_CODE",VLOOKUP($A107,'UPD Questions_290926 '!$E$1:$N$300,MATCH(B$1,'UPD Questions_290926 '!$E$1:$N$1,0),0)&amp;"")</f>
        <v>Enforcement</v>
      </c>
      <c r="C107" s="83" t="str">
        <f aca="false">IF(ISBLANK($A107),"NO_CODE",VLOOKUP($A107,'UPD Questions_290926 '!$E$1:$N$300,MATCH(C$1,'UPD Questions_290926 '!$E$1:$N$1,0),0)&amp;"")</f>
        <v>Development Compliance</v>
      </c>
      <c r="D107" s="83" t="str">
        <f aca="false">IF(ISBLANK($A107),"NO_CODE",VLOOKUP($A107,'UPD Questions_290926 '!$E$1:$N$300,MATCH(D$1,'UPD Questions_290926 '!$E$1:$N$1,0),0)&amp;"")</f>
        <v>Corrective action</v>
      </c>
      <c r="E107" s="83" t="str">
        <f aca="false">IF(ISBLANK($A107),"NO_CODE",VLOOKUP($A107,'UPD Questions_290926 '!$E$1:$N$300,MATCH(E$1,'UPD Questions_290926 '!$E$1:$N$1,0),0)&amp;"")</f>
        <v>MQ</v>
      </c>
      <c r="F107" s="83" t="str">
        <f aca="false">IF(ISBLANK($A107),"NO_CODE",VLOOKUP($A107,'UPD Questions_290926 '!$E$1:$N$300,MATCH(F$1,'UPD Questions_290926 '!$E$1:$N$1,0),0)&amp;"")</f>
        <v>Are there provisions to penalise violating plans?</v>
      </c>
      <c r="G107" s="83" t="str">
        <f aca="false">IF(ISBLANK($A107),"NO_CODE",VLOOKUP($A107,'UPD Questions_290926 '!$E$1:$N$300,MATCH(G$1,'UPD Questions_290926 '!$E$1:$N$1,0),0)&amp;"")</f>
        <v>Law or Policy</v>
      </c>
      <c r="H107" s="85" t="n">
        <f aca="false">IF(ISBLANK($A107),"NO_CODE",VLOOKUP($A107,'UPD Questions_290926 '!$E$1:$N$300,MATCH(H$1,'UPD Questions_290926 '!$E$1:$N$1,0),0))</f>
        <v>10</v>
      </c>
      <c r="I107" s="86" t="str">
        <f aca="true">IF($H107=0,"NA",IF($A107=INDIRECT("'"&amp;$A107&amp;"'!$B$1"),IF(VLOOKUP(I$1,INDIRECT("'"&amp;$A107&amp;"'!$A$12:$Z$41"),MATCH("Points (Auto-generate)",INDIRECT("'"&amp;$A107&amp;"'!$A$12:$Z$12"),0),0)="","?",VLOOKUP(I$1,INDIRECT("'"&amp;$A107&amp;"'!$A$12:$Z$41"),MATCH("Points (Auto-generate)",INDIRECT("'"&amp;$A107&amp;"'!$A$12:$Z$12"),0),0)),"ER"))</f>
        <v>?</v>
      </c>
      <c r="J107" s="86" t="str">
        <f aca="true">IF($H107=0,"NA",IF($A107=INDIRECT("'"&amp;$A107&amp;"'!$B$1"),IF(VLOOKUP(J$1,INDIRECT("'"&amp;$A107&amp;"'!$A$12:$Z$41"),MATCH("Points (Auto-generate)",INDIRECT("'"&amp;$A107&amp;"'!$A$12:$Z$12"),0),0)="","?",VLOOKUP(J$1,INDIRECT("'"&amp;$A107&amp;"'!$A$12:$Z$41"),MATCH("Points (Auto-generate)",INDIRECT("'"&amp;$A107&amp;"'!$A$12:$Z$12"),0),0)),"ER"))</f>
        <v>?</v>
      </c>
      <c r="K107" s="86" t="str">
        <f aca="true">IF($H107=0,"NA",IF($A107=INDIRECT("'"&amp;$A107&amp;"'!$B$1"),IF(VLOOKUP(K$1,INDIRECT("'"&amp;$A107&amp;"'!$A$12:$Z$41"),MATCH("Points (Auto-generate)",INDIRECT("'"&amp;$A107&amp;"'!$A$12:$Z$12"),0),0)="","?",VLOOKUP(K$1,INDIRECT("'"&amp;$A107&amp;"'!$A$12:$Z$41"),MATCH("Points (Auto-generate)",INDIRECT("'"&amp;$A107&amp;"'!$A$12:$Z$12"),0),0)),"ER"))</f>
        <v>?</v>
      </c>
      <c r="L107" s="86" t="str">
        <f aca="true">IF($H107=0,"NA",IF($A107=INDIRECT("'"&amp;$A107&amp;"'!$B$1"),IF(VLOOKUP(L$1,INDIRECT("'"&amp;$A107&amp;"'!$A$12:$Z$41"),MATCH("Points (Auto-generate)",INDIRECT("'"&amp;$A107&amp;"'!$A$12:$Z$12"),0),0)="","?",VLOOKUP(L$1,INDIRECT("'"&amp;$A107&amp;"'!$A$12:$Z$41"),MATCH("Points (Auto-generate)",INDIRECT("'"&amp;$A107&amp;"'!$A$12:$Z$12"),0),0)),"ER"))</f>
        <v>?</v>
      </c>
      <c r="M107" s="86" t="str">
        <f aca="true">IF($H107=0,"NA",IF($A107=INDIRECT("'"&amp;$A107&amp;"'!$B$1"),IF(VLOOKUP(M$1,INDIRECT("'"&amp;$A107&amp;"'!$A$12:$Z$41"),MATCH("Points (Auto-generate)",INDIRECT("'"&amp;$A107&amp;"'!$A$12:$Z$12"),0),0)="","?",VLOOKUP(M$1,INDIRECT("'"&amp;$A107&amp;"'!$A$12:$Z$41"),MATCH("Points (Auto-generate)",INDIRECT("'"&amp;$A107&amp;"'!$A$12:$Z$12"),0),0)),"ER"))</f>
        <v>?</v>
      </c>
      <c r="N107" s="86" t="str">
        <f aca="true">IF($H107=0,"NA",IF($A107=INDIRECT("'"&amp;$A107&amp;"'!$B$1"),IF(VLOOKUP(N$1,INDIRECT("'"&amp;$A107&amp;"'!$A$12:$Z$41"),MATCH("Points (Auto-generate)",INDIRECT("'"&amp;$A107&amp;"'!$A$12:$Z$12"),0),0)="","?",VLOOKUP(N$1,INDIRECT("'"&amp;$A107&amp;"'!$A$12:$Z$41"),MATCH("Points (Auto-generate)",INDIRECT("'"&amp;$A107&amp;"'!$A$12:$Z$12"),0),0)),"ER"))</f>
        <v>?</v>
      </c>
      <c r="O107" s="86" t="str">
        <f aca="true">IF($H107=0,"NA",IF($A107=INDIRECT("'"&amp;$A107&amp;"'!$B$1"),IF(VLOOKUP(O$1,INDIRECT("'"&amp;$A107&amp;"'!$A$12:$Z$41"),MATCH("Points (Auto-generate)",INDIRECT("'"&amp;$A107&amp;"'!$A$12:$Z$12"),0),0)="","?",VLOOKUP(O$1,INDIRECT("'"&amp;$A107&amp;"'!$A$12:$Z$41"),MATCH("Points (Auto-generate)",INDIRECT("'"&amp;$A107&amp;"'!$A$12:$Z$12"),0),0)),"ER"))</f>
        <v>?</v>
      </c>
      <c r="P107" s="86" t="str">
        <f aca="true">IF($H107=0,"NA",IF($A107=INDIRECT("'"&amp;$A107&amp;"'!$B$1"),IF(VLOOKUP(P$1,INDIRECT("'"&amp;$A107&amp;"'!$A$12:$Z$41"),MATCH("Points (Auto-generate)",INDIRECT("'"&amp;$A107&amp;"'!$A$12:$Z$12"),0),0)="","?",VLOOKUP(P$1,INDIRECT("'"&amp;$A107&amp;"'!$A$12:$Z$41"),MATCH("Points (Auto-generate)",INDIRECT("'"&amp;$A107&amp;"'!$A$12:$Z$12"),0),0)),"ER"))</f>
        <v>?</v>
      </c>
      <c r="Q107" s="86" t="str">
        <f aca="true">IF($H107=0,"NA",IF($A107=INDIRECT("'"&amp;$A107&amp;"'!$B$1"),IF(VLOOKUP(Q$1,INDIRECT("'"&amp;$A107&amp;"'!$A$12:$Z$41"),MATCH("Points (Auto-generate)",INDIRECT("'"&amp;$A107&amp;"'!$A$12:$Z$12"),0),0)="","?",VLOOKUP(Q$1,INDIRECT("'"&amp;$A107&amp;"'!$A$12:$Z$41"),MATCH("Points (Auto-generate)",INDIRECT("'"&amp;$A107&amp;"'!$A$12:$Z$12"),0),0)),"ER"))</f>
        <v>?</v>
      </c>
      <c r="R107" s="86" t="str">
        <f aca="true">IF($H107=0,"NA",IF($A107=INDIRECT("'"&amp;$A107&amp;"'!$B$1"),IF(VLOOKUP(R$1,INDIRECT("'"&amp;$A107&amp;"'!$A$12:$Z$41"),MATCH("Points (Auto-generate)",INDIRECT("'"&amp;$A107&amp;"'!$A$12:$Z$12"),0),0)="","?",VLOOKUP(R$1,INDIRECT("'"&amp;$A107&amp;"'!$A$12:$Z$41"),MATCH("Points (Auto-generate)",INDIRECT("'"&amp;$A107&amp;"'!$A$12:$Z$12"),0),0)),"ER"))</f>
        <v>?</v>
      </c>
      <c r="S107" s="86" t="str">
        <f aca="true">IF($H107=0,"NA",IF($A107=INDIRECT("'"&amp;$A107&amp;"'!$B$1"),IF(VLOOKUP(S$1,INDIRECT("'"&amp;$A107&amp;"'!$A$12:$Z$41"),MATCH("Points (Auto-generate)",INDIRECT("'"&amp;$A107&amp;"'!$A$12:$Z$12"),0),0)="","?",VLOOKUP(S$1,INDIRECT("'"&amp;$A107&amp;"'!$A$12:$Z$41"),MATCH("Points (Auto-generate)",INDIRECT("'"&amp;$A107&amp;"'!$A$12:$Z$12"),0),0)),"ER"))</f>
        <v>?</v>
      </c>
      <c r="T107" s="86" t="str">
        <f aca="true">IF($H107=0,"NA",IF($A107=INDIRECT("'"&amp;$A107&amp;"'!$B$1"),IF(VLOOKUP(T$1,INDIRECT("'"&amp;$A107&amp;"'!$A$12:$Z$41"),MATCH("Points (Auto-generate)",INDIRECT("'"&amp;$A107&amp;"'!$A$12:$Z$12"),0),0)="","?",VLOOKUP(T$1,INDIRECT("'"&amp;$A107&amp;"'!$A$12:$Z$41"),MATCH("Points (Auto-generate)",INDIRECT("'"&amp;$A107&amp;"'!$A$12:$Z$12"),0),0)),"ER"))</f>
        <v>?</v>
      </c>
      <c r="U107" s="86" t="str">
        <f aca="true">IF($H107=0,"NA",IF($A107=INDIRECT("'"&amp;$A107&amp;"'!$B$1"),IF(VLOOKUP(U$1,INDIRECT("'"&amp;$A107&amp;"'!$A$12:$Z$41"),MATCH("Points (Auto-generate)",INDIRECT("'"&amp;$A107&amp;"'!$A$12:$Z$12"),0),0)="","?",VLOOKUP(U$1,INDIRECT("'"&amp;$A107&amp;"'!$A$12:$Z$41"),MATCH("Points (Auto-generate)",INDIRECT("'"&amp;$A107&amp;"'!$A$12:$Z$12"),0),0)),"ER"))</f>
        <v>?</v>
      </c>
      <c r="V107" s="86" t="str">
        <f aca="true">IF($H107=0,"NA",IF($A107=INDIRECT("'"&amp;$A107&amp;"'!$B$1"),IF(VLOOKUP(V$1,INDIRECT("'"&amp;$A107&amp;"'!$A$12:$Z$41"),MATCH("Points (Auto-generate)",INDIRECT("'"&amp;$A107&amp;"'!$A$12:$Z$12"),0),0)="","?",VLOOKUP(V$1,INDIRECT("'"&amp;$A107&amp;"'!$A$12:$Z$41"),MATCH("Points (Auto-generate)",INDIRECT("'"&amp;$A107&amp;"'!$A$12:$Z$12"),0),0)),"ER"))</f>
        <v>?</v>
      </c>
      <c r="W107" s="86" t="str">
        <f aca="true">IF($H107=0,"NA",IF($A107=INDIRECT("'"&amp;$A107&amp;"'!$B$1"),IF(VLOOKUP(W$1,INDIRECT("'"&amp;$A107&amp;"'!$A$12:$Z$41"),MATCH("Points (Auto-generate)",INDIRECT("'"&amp;$A107&amp;"'!$A$12:$Z$12"),0),0)="","?",VLOOKUP(W$1,INDIRECT("'"&amp;$A107&amp;"'!$A$12:$Z$41"),MATCH("Points (Auto-generate)",INDIRECT("'"&amp;$A107&amp;"'!$A$12:$Z$12"),0),0)),"ER"))</f>
        <v>?</v>
      </c>
      <c r="X107" s="86" t="str">
        <f aca="true">IF($H107=0,"NA",IF($A107=INDIRECT("'"&amp;$A107&amp;"'!$B$1"),IF(VLOOKUP(X$1,INDIRECT("'"&amp;$A107&amp;"'!$A$12:$Z$41"),MATCH("Points (Auto-generate)",INDIRECT("'"&amp;$A107&amp;"'!$A$12:$Z$12"),0),0)="","?",VLOOKUP(X$1,INDIRECT("'"&amp;$A107&amp;"'!$A$12:$Z$41"),MATCH("Points (Auto-generate)",INDIRECT("'"&amp;$A107&amp;"'!$A$12:$Z$12"),0),0)),"ER"))</f>
        <v>?</v>
      </c>
      <c r="Y107" s="86" t="str">
        <f aca="true">IF($H107=0,"NA",IF($A107=INDIRECT("'"&amp;$A107&amp;"'!$B$1"),IF(VLOOKUP(Y$1,INDIRECT("'"&amp;$A107&amp;"'!$A$12:$Z$41"),MATCH("Points (Auto-generate)",INDIRECT("'"&amp;$A107&amp;"'!$A$12:$Z$12"),0),0)="","?",VLOOKUP(Y$1,INDIRECT("'"&amp;$A107&amp;"'!$A$12:$Z$41"),MATCH("Points (Auto-generate)",INDIRECT("'"&amp;$A107&amp;"'!$A$12:$Z$12"),0),0)),"ER"))</f>
        <v>?</v>
      </c>
      <c r="Z107" s="86" t="str">
        <f aca="true">IF($H107=0,"NA",IF($A107=INDIRECT("'"&amp;$A107&amp;"'!$B$1"),IF(VLOOKUP(Z$1,INDIRECT("'"&amp;$A107&amp;"'!$A$12:$Z$41"),MATCH("Points (Auto-generate)",INDIRECT("'"&amp;$A107&amp;"'!$A$12:$Z$12"),0),0)="","?",VLOOKUP(Z$1,INDIRECT("'"&amp;$A107&amp;"'!$A$12:$Z$41"),MATCH("Points (Auto-generate)",INDIRECT("'"&amp;$A107&amp;"'!$A$12:$Z$12"),0),0)),"ER"))</f>
        <v>?</v>
      </c>
      <c r="AA107" s="86" t="str">
        <f aca="true">IF($H107=0,"NA",IF($A107=INDIRECT("'"&amp;$A107&amp;"'!$B$1"),IF(VLOOKUP(AA$1,INDIRECT("'"&amp;$A107&amp;"'!$A$12:$Z$41"),MATCH("Points (Auto-generate)",INDIRECT("'"&amp;$A107&amp;"'!$A$12:$Z$12"),0),0)="","?",VLOOKUP(AA$1,INDIRECT("'"&amp;$A107&amp;"'!$A$12:$Z$41"),MATCH("Points (Auto-generate)",INDIRECT("'"&amp;$A107&amp;"'!$A$12:$Z$12"),0),0)),"ER"))</f>
        <v>?</v>
      </c>
      <c r="AB107" s="86" t="str">
        <f aca="true">IF($H107=0,"NA",IF($A107=INDIRECT("'"&amp;$A107&amp;"'!$B$1"),IF(VLOOKUP(AB$1,INDIRECT("'"&amp;$A107&amp;"'!$A$12:$Z$41"),MATCH("Points (Auto-generate)",INDIRECT("'"&amp;$A107&amp;"'!$A$12:$Z$12"),0),0)="","?",VLOOKUP(AB$1,INDIRECT("'"&amp;$A107&amp;"'!$A$12:$Z$41"),MATCH("Points (Auto-generate)",INDIRECT("'"&amp;$A107&amp;"'!$A$12:$Z$12"),0),0)),"ER"))</f>
        <v>?</v>
      </c>
      <c r="AC107" s="86" t="str">
        <f aca="true">IF($H107=0,"NA",IF($A107=INDIRECT("'"&amp;$A107&amp;"'!$B$1"),IF(VLOOKUP(AC$1,INDIRECT("'"&amp;$A107&amp;"'!$A$12:$Z$41"),MATCH("Points (Auto-generate)",INDIRECT("'"&amp;$A107&amp;"'!$A$12:$Z$12"),0),0)="","?",VLOOKUP(AC$1,INDIRECT("'"&amp;$A107&amp;"'!$A$12:$Z$41"),MATCH("Points (Auto-generate)",INDIRECT("'"&amp;$A107&amp;"'!$A$12:$Z$12"),0),0)),"ER"))</f>
        <v>?</v>
      </c>
      <c r="AD107" s="86" t="str">
        <f aca="true">IF($H107=0,"NA",IF($A107=INDIRECT("'"&amp;$A107&amp;"'!$B$1"),IF(VLOOKUP(AD$1,INDIRECT("'"&amp;$A107&amp;"'!$A$12:$Z$41"),MATCH("Points (Auto-generate)",INDIRECT("'"&amp;$A107&amp;"'!$A$12:$Z$12"),0),0)="","?",VLOOKUP(AD$1,INDIRECT("'"&amp;$A107&amp;"'!$A$12:$Z$41"),MATCH("Points (Auto-generate)",INDIRECT("'"&amp;$A107&amp;"'!$A$12:$Z$12"),0),0)),"ER"))</f>
        <v>?</v>
      </c>
      <c r="AE107" s="86" t="str">
        <f aca="true">IF($H107=0,"NA",IF($A107=INDIRECT("'"&amp;$A107&amp;"'!$B$1"),IF(VLOOKUP(AE$1,INDIRECT("'"&amp;$A107&amp;"'!$A$12:$Z$41"),MATCH("Points (Auto-generate)",INDIRECT("'"&amp;$A107&amp;"'!$A$12:$Z$12"),0),0)="","?",VLOOKUP(AE$1,INDIRECT("'"&amp;$A107&amp;"'!$A$12:$Z$41"),MATCH("Points (Auto-generate)",INDIRECT("'"&amp;$A107&amp;"'!$A$12:$Z$12"),0),0)),"ER"))</f>
        <v>?</v>
      </c>
      <c r="AF107" s="86" t="str">
        <f aca="true">IF($H107=0,"NA",IF($A107=INDIRECT("'"&amp;$A107&amp;"'!$B$1"),IF(VLOOKUP(AF$1,INDIRECT("'"&amp;$A107&amp;"'!$A$12:$Z$41"),MATCH("Points (Auto-generate)",INDIRECT("'"&amp;$A107&amp;"'!$A$12:$Z$12"),0),0)="","?",VLOOKUP(AF$1,INDIRECT("'"&amp;$A107&amp;"'!$A$12:$Z$41"),MATCH("Points (Auto-generate)",INDIRECT("'"&amp;$A107&amp;"'!$A$12:$Z$12"),0),0)),"ER"))</f>
        <v>?</v>
      </c>
      <c r="AG107" s="86" t="str">
        <f aca="true">IF($H107=0,"NA",IF($A107=INDIRECT("'"&amp;$A107&amp;"'!$B$1"),IF(VLOOKUP(AG$1,INDIRECT("'"&amp;$A107&amp;"'!$A$12:$Z$41"),MATCH("Points (Auto-generate)",INDIRECT("'"&amp;$A107&amp;"'!$A$12:$Z$12"),0),0)="","?",VLOOKUP(AG$1,INDIRECT("'"&amp;$A107&amp;"'!$A$12:$Z$41"),MATCH("Points (Auto-generate)",INDIRECT("'"&amp;$A107&amp;"'!$A$12:$Z$12"),0),0)),"ER"))</f>
        <v>?</v>
      </c>
      <c r="AH107" s="86" t="str">
        <f aca="true">IF($H107=0,"NA",IF($A107=INDIRECT("'"&amp;$A107&amp;"'!$B$1"),IF(VLOOKUP(AH$1,INDIRECT("'"&amp;$A107&amp;"'!$A$12:$Z$41"),MATCH("Points (Auto-generate)",INDIRECT("'"&amp;$A107&amp;"'!$A$12:$Z$12"),0),0)="","?",VLOOKUP(AH$1,INDIRECT("'"&amp;$A107&amp;"'!$A$12:$Z$41"),MATCH("Points (Auto-generate)",INDIRECT("'"&amp;$A107&amp;"'!$A$12:$Z$12"),0),0)),"ER"))</f>
        <v>?</v>
      </c>
      <c r="AI107" s="86" t="str">
        <f aca="true">IF($H107=0,"NA",IF($A107=INDIRECT("'"&amp;$A107&amp;"'!$B$1"),IF(VLOOKUP(AI$1,INDIRECT("'"&amp;$A107&amp;"'!$A$12:$Z$41"),MATCH("Points (Auto-generate)",INDIRECT("'"&amp;$A107&amp;"'!$A$12:$Z$12"),0),0)="","?",VLOOKUP(AI$1,INDIRECT("'"&amp;$A107&amp;"'!$A$12:$Z$41"),MATCH("Points (Auto-generate)",INDIRECT("'"&amp;$A107&amp;"'!$A$12:$Z$12"),0),0)),"ER"))</f>
        <v>?</v>
      </c>
      <c r="AJ107" s="86" t="str">
        <f aca="true">IF($H107=0,"NA",IF($A107=INDIRECT("'"&amp;$A107&amp;"'!$B$1"),IF(VLOOKUP(AJ$1,INDIRECT("'"&amp;$A107&amp;"'!$A$12:$Z$41"),MATCH("Points (Auto-generate)",INDIRECT("'"&amp;$A107&amp;"'!$A$12:$Z$12"),0),0)="","?",VLOOKUP(AJ$1,INDIRECT("'"&amp;$A107&amp;"'!$A$12:$Z$41"),MATCH("Points (Auto-generate)",INDIRECT("'"&amp;$A107&amp;"'!$A$12:$Z$12"),0),0)),"ER"))</f>
        <v>?</v>
      </c>
      <c r="AK107" s="86" t="str">
        <f aca="true">IF($H107=0,"NA",IF($A107=INDIRECT("'"&amp;$A107&amp;"'!$B$1"),IF(VLOOKUP(AK$1,INDIRECT("'"&amp;$A107&amp;"'!$A$12:$Z$41"),MATCH("Points (Auto-generate)",INDIRECT("'"&amp;$A107&amp;"'!$A$12:$Z$12"),0),0)="","?",VLOOKUP(AK$1,INDIRECT("'"&amp;$A107&amp;"'!$A$12:$Z$41"),MATCH("Points (Auto-generate)",INDIRECT("'"&amp;$A107&amp;"'!$A$12:$Z$12"),0),0)),"ER"))</f>
        <v>?</v>
      </c>
    </row>
    <row r="109" customFormat="false" ht="93.75" hidden="false" customHeight="true" outlineLevel="0" collapsed="false">
      <c r="F109" s="87" t="s">
        <v>756</v>
      </c>
      <c r="I109" s="78" t="s">
        <v>726</v>
      </c>
      <c r="J109" s="78" t="s">
        <v>19</v>
      </c>
      <c r="K109" s="78" t="s">
        <v>727</v>
      </c>
      <c r="L109" s="78" t="s">
        <v>728</v>
      </c>
      <c r="M109" s="78" t="s">
        <v>729</v>
      </c>
      <c r="N109" s="78" t="s">
        <v>730</v>
      </c>
      <c r="O109" s="78" t="s">
        <v>731</v>
      </c>
      <c r="P109" s="78" t="s">
        <v>732</v>
      </c>
      <c r="Q109" s="78" t="s">
        <v>733</v>
      </c>
      <c r="R109" s="78" t="s">
        <v>734</v>
      </c>
      <c r="S109" s="78" t="s">
        <v>735</v>
      </c>
      <c r="T109" s="78" t="s">
        <v>736</v>
      </c>
      <c r="U109" s="78" t="s">
        <v>737</v>
      </c>
      <c r="V109" s="78" t="s">
        <v>738</v>
      </c>
      <c r="W109" s="78" t="s">
        <v>739</v>
      </c>
      <c r="X109" s="78" t="s">
        <v>740</v>
      </c>
      <c r="Y109" s="78" t="s">
        <v>741</v>
      </c>
      <c r="Z109" s="78" t="s">
        <v>742</v>
      </c>
      <c r="AA109" s="78" t="s">
        <v>743</v>
      </c>
      <c r="AB109" s="78" t="s">
        <v>744</v>
      </c>
      <c r="AC109" s="78" t="s">
        <v>745</v>
      </c>
      <c r="AD109" s="78" t="s">
        <v>746</v>
      </c>
      <c r="AE109" s="78" t="s">
        <v>747</v>
      </c>
      <c r="AF109" s="78" t="s">
        <v>748</v>
      </c>
      <c r="AG109" s="78" t="s">
        <v>749</v>
      </c>
      <c r="AH109" s="78" t="s">
        <v>750</v>
      </c>
      <c r="AI109" s="78" t="s">
        <v>751</v>
      </c>
      <c r="AJ109" s="78" t="s">
        <v>752</v>
      </c>
      <c r="AK109" s="78" t="s">
        <v>753</v>
      </c>
    </row>
    <row r="110" customFormat="false" ht="14.25" hidden="false" customHeight="false" outlineLevel="0" collapsed="false">
      <c r="F110" s="88" t="s">
        <v>757</v>
      </c>
      <c r="I110" s="89" t="n">
        <f aca="false">SUMIFS(I$3:I$107,$E$3:$E$107,"MQ")/(COUNTIFS($E$3:$E$107,"MQ")-COUNTIFS($E$3:$E$107,"MQ",I$3:I$107,"NA"))</f>
        <v>0</v>
      </c>
      <c r="J110" s="89" t="n">
        <f aca="false">SUMIFS(J$3:J$107,$E$3:$E$107,"MQ")/(COUNTIFS($E$3:$E$107,"MQ")-COUNTIFS($E$3:$E$107,"MQ",J$3:J$107,"NA"))</f>
        <v>1.85185185185185</v>
      </c>
      <c r="K110" s="89" t="n">
        <f aca="false">SUMIFS(K$3:K$107,$E$3:$E$107,"MQ")/(COUNTIFS($E$3:$E$107,"MQ")-COUNTIFS($E$3:$E$107,"MQ",K$3:K$107,"NA"))</f>
        <v>0</v>
      </c>
      <c r="L110" s="89" t="n">
        <f aca="false">SUMIFS(L$3:L$107,$E$3:$E$107,"MQ")/(COUNTIFS($E$3:$E$107,"MQ")-COUNTIFS($E$3:$E$107,"MQ",L$3:L$107,"NA"))</f>
        <v>0</v>
      </c>
      <c r="M110" s="89" t="n">
        <f aca="false">SUMIFS(M$3:M$107,$E$3:$E$107,"MQ")/(COUNTIFS($E$3:$E$107,"MQ")-COUNTIFS($E$3:$E$107,"MQ",M$3:M$107,"NA"))</f>
        <v>0</v>
      </c>
      <c r="N110" s="89" t="n">
        <f aca="false">SUMIFS(N$3:N$107,$E$3:$E$107,"MQ")/(COUNTIFS($E$3:$E$107,"MQ")-COUNTIFS($E$3:$E$107,"MQ",N$3:N$107,"NA"))</f>
        <v>0</v>
      </c>
      <c r="O110" s="89" t="n">
        <f aca="false">SUMIFS(O$3:O$107,$E$3:$E$107,"MQ")/(COUNTIFS($E$3:$E$107,"MQ")-COUNTIFS($E$3:$E$107,"MQ",O$3:O$107,"NA"))</f>
        <v>0</v>
      </c>
      <c r="P110" s="89" t="n">
        <f aca="false">SUMIFS(P$3:P$107,$E$3:$E$107,"MQ")/(COUNTIFS($E$3:$E$107,"MQ")-COUNTIFS($E$3:$E$107,"MQ",P$3:P$107,"NA"))</f>
        <v>0</v>
      </c>
      <c r="Q110" s="89" t="n">
        <f aca="false">SUMIFS(Q$3:Q$107,$E$3:$E$107,"MQ")/(COUNTIFS($E$3:$E$107,"MQ")-COUNTIFS($E$3:$E$107,"MQ",Q$3:Q$107,"NA"))</f>
        <v>0</v>
      </c>
      <c r="R110" s="89" t="n">
        <f aca="false">SUMIFS(R$3:R$107,$E$3:$E$107,"MQ")/(COUNTIFS($E$3:$E$107,"MQ")-COUNTIFS($E$3:$E$107,"MQ",R$3:R$107,"NA"))</f>
        <v>0</v>
      </c>
      <c r="S110" s="89" t="n">
        <f aca="false">SUMIFS(S$3:S$107,$E$3:$E$107,"MQ")/(COUNTIFS($E$3:$E$107,"MQ")-COUNTIFS($E$3:$E$107,"MQ",S$3:S$107,"NA"))</f>
        <v>0</v>
      </c>
      <c r="T110" s="89" t="n">
        <f aca="false">SUMIFS(T$3:T$107,$E$3:$E$107,"MQ")/(COUNTIFS($E$3:$E$107,"MQ")-COUNTIFS($E$3:$E$107,"MQ",T$3:T$107,"NA"))</f>
        <v>0</v>
      </c>
      <c r="U110" s="89" t="n">
        <f aca="false">SUMIFS(U$3:U$107,$E$3:$E$107,"MQ")/(COUNTIFS($E$3:$E$107,"MQ")-COUNTIFS($E$3:$E$107,"MQ",U$3:U$107,"NA"))</f>
        <v>0</v>
      </c>
      <c r="V110" s="89" t="n">
        <f aca="false">SUMIFS(V$3:V$107,$E$3:$E$107,"MQ")/(COUNTIFS($E$3:$E$107,"MQ")-COUNTIFS($E$3:$E$107,"MQ",V$3:V$107,"NA"))</f>
        <v>0</v>
      </c>
      <c r="W110" s="89" t="n">
        <f aca="false">SUMIFS(W$3:W$107,$E$3:$E$107,"MQ")/(COUNTIFS($E$3:$E$107,"MQ")-COUNTIFS($E$3:$E$107,"MQ",W$3:W$107,"NA"))</f>
        <v>0</v>
      </c>
      <c r="X110" s="89" t="n">
        <f aca="false">SUMIFS(X$3:X$107,$E$3:$E$107,"MQ")/(COUNTIFS($E$3:$E$107,"MQ")-COUNTIFS($E$3:$E$107,"MQ",X$3:X$107,"NA"))</f>
        <v>0</v>
      </c>
      <c r="Y110" s="89" t="n">
        <f aca="false">SUMIFS(Y$3:Y$107,$E$3:$E$107,"MQ")/(COUNTIFS($E$3:$E$107,"MQ")-COUNTIFS($E$3:$E$107,"MQ",Y$3:Y$107,"NA"))</f>
        <v>0</v>
      </c>
      <c r="Z110" s="89" t="n">
        <f aca="false">SUMIFS(Z$3:Z$107,$E$3:$E$107,"MQ")/(COUNTIFS($E$3:$E$107,"MQ")-COUNTIFS($E$3:$E$107,"MQ",Z$3:Z$107,"NA"))</f>
        <v>0</v>
      </c>
      <c r="AA110" s="89" t="n">
        <f aca="false">SUMIFS(AA$3:AA$107,$E$3:$E$107,"MQ")/(COUNTIFS($E$3:$E$107,"MQ")-COUNTIFS($E$3:$E$107,"MQ",AA$3:AA$107,"NA"))</f>
        <v>0</v>
      </c>
      <c r="AB110" s="89" t="n">
        <f aca="false">SUMIFS(AB$3:AB$107,$E$3:$E$107,"MQ")/(COUNTIFS($E$3:$E$107,"MQ")-COUNTIFS($E$3:$E$107,"MQ",AB$3:AB$107,"NA"))</f>
        <v>0</v>
      </c>
      <c r="AC110" s="89" t="n">
        <f aca="false">SUMIFS(AC$3:AC$107,$E$3:$E$107,"MQ")/(COUNTIFS($E$3:$E$107,"MQ")-COUNTIFS($E$3:$E$107,"MQ",AC$3:AC$107,"NA"))</f>
        <v>0</v>
      </c>
      <c r="AD110" s="89" t="n">
        <f aca="false">SUMIFS(AD$3:AD$107,$E$3:$E$107,"MQ")/(COUNTIFS($E$3:$E$107,"MQ")-COUNTIFS($E$3:$E$107,"MQ",AD$3:AD$107,"NA"))</f>
        <v>0</v>
      </c>
      <c r="AE110" s="89" t="n">
        <f aca="false">SUMIFS(AE$3:AE$107,$E$3:$E$107,"MQ")/(COUNTIFS($E$3:$E$107,"MQ")-COUNTIFS($E$3:$E$107,"MQ",AE$3:AE$107,"NA"))</f>
        <v>0</v>
      </c>
      <c r="AF110" s="89" t="n">
        <f aca="false">SUMIFS(AF$3:AF$107,$E$3:$E$107,"MQ")/(COUNTIFS($E$3:$E$107,"MQ")-COUNTIFS($E$3:$E$107,"MQ",AF$3:AF$107,"NA"))</f>
        <v>0</v>
      </c>
      <c r="AG110" s="89" t="n">
        <f aca="false">SUMIFS(AG$3:AG$107,$E$3:$E$107,"MQ")/(COUNTIFS($E$3:$E$107,"MQ")-COUNTIFS($E$3:$E$107,"MQ",AG$3:AG$107,"NA"))</f>
        <v>0</v>
      </c>
      <c r="AH110" s="89" t="n">
        <f aca="false">SUMIFS(AH$3:AH$107,$E$3:$E$107,"MQ")/(COUNTIFS($E$3:$E$107,"MQ")-COUNTIFS($E$3:$E$107,"MQ",AH$3:AH$107,"NA"))</f>
        <v>0</v>
      </c>
      <c r="AI110" s="89" t="n">
        <f aca="false">SUMIFS(AI$3:AI$107,$E$3:$E$107,"MQ")/(COUNTIFS($E$3:$E$107,"MQ")-COUNTIFS($E$3:$E$107,"MQ",AI$3:AI$107,"NA"))</f>
        <v>0</v>
      </c>
      <c r="AJ110" s="89" t="n">
        <f aca="false">SUMIFS(AJ$3:AJ$107,$E$3:$E$107,"MQ")/(COUNTIFS($E$3:$E$107,"MQ")-COUNTIFS($E$3:$E$107,"MQ",AJ$3:AJ$107,"NA"))</f>
        <v>0</v>
      </c>
      <c r="AK110" s="89" t="n">
        <f aca="false">SUMIFS(AK$3:AK$107,$E$3:$E$107,"MQ")/(COUNTIFS($E$3:$E$107,"MQ")-COUNTIFS($E$3:$E$107,"MQ",AK$3:AK$107,"NA"))</f>
        <v>0</v>
      </c>
    </row>
    <row r="111" customFormat="false" ht="14.25" hidden="false" customHeight="false" outlineLevel="0" collapsed="false">
      <c r="F111" s="90" t="s">
        <v>758</v>
      </c>
      <c r="I111" s="91" t="n">
        <f aca="false">COUNTIFS($E$3:$E$107,"MQ",I$3:I$107,"?")</f>
        <v>39</v>
      </c>
      <c r="J111" s="91" t="n">
        <f aca="false">COUNTIFS($E$3:$E$107,"MQ",J$3:J$107,"?")</f>
        <v>24</v>
      </c>
      <c r="K111" s="91" t="n">
        <f aca="false">COUNTIFS($E$3:$E$107,"MQ",K$3:K$107,"?")</f>
        <v>39</v>
      </c>
      <c r="L111" s="91" t="n">
        <f aca="false">COUNTIFS($E$3:$E$107,"MQ",L$3:L$107,"?")</f>
        <v>39</v>
      </c>
      <c r="M111" s="91" t="n">
        <f aca="false">COUNTIFS($E$3:$E$107,"MQ",M$3:M$107,"?")</f>
        <v>39</v>
      </c>
      <c r="N111" s="91" t="n">
        <f aca="false">COUNTIFS($E$3:$E$107,"MQ",N$3:N$107,"?")</f>
        <v>39</v>
      </c>
      <c r="O111" s="91" t="n">
        <f aca="false">COUNTIFS($E$3:$E$107,"MQ",O$3:O$107,"?")</f>
        <v>39</v>
      </c>
      <c r="P111" s="91" t="n">
        <f aca="false">COUNTIFS($E$3:$E$107,"MQ",P$3:P$107,"?")</f>
        <v>39</v>
      </c>
      <c r="Q111" s="91" t="n">
        <f aca="false">COUNTIFS($E$3:$E$107,"MQ",Q$3:Q$107,"?")</f>
        <v>39</v>
      </c>
      <c r="R111" s="91" t="n">
        <f aca="false">COUNTIFS($E$3:$E$107,"MQ",R$3:R$107,"?")</f>
        <v>39</v>
      </c>
      <c r="S111" s="91" t="n">
        <f aca="false">COUNTIFS($E$3:$E$107,"MQ",S$3:S$107,"?")</f>
        <v>39</v>
      </c>
      <c r="T111" s="91" t="n">
        <f aca="false">COUNTIFS($E$3:$E$107,"MQ",T$3:T$107,"?")</f>
        <v>39</v>
      </c>
      <c r="U111" s="91" t="n">
        <f aca="false">COUNTIFS($E$3:$E$107,"MQ",U$3:U$107,"?")</f>
        <v>39</v>
      </c>
      <c r="V111" s="91" t="n">
        <f aca="false">COUNTIFS($E$3:$E$107,"MQ",V$3:V$107,"?")</f>
        <v>39</v>
      </c>
      <c r="W111" s="91" t="n">
        <f aca="false">COUNTIFS($E$3:$E$107,"MQ",W$3:W$107,"?")</f>
        <v>39</v>
      </c>
      <c r="X111" s="91" t="n">
        <f aca="false">COUNTIFS($E$3:$E$107,"MQ",X$3:X$107,"?")</f>
        <v>39</v>
      </c>
      <c r="Y111" s="91" t="n">
        <f aca="false">COUNTIFS($E$3:$E$107,"MQ",Y$3:Y$107,"?")</f>
        <v>39</v>
      </c>
      <c r="Z111" s="91" t="n">
        <f aca="false">COUNTIFS($E$3:$E$107,"MQ",Z$3:Z$107,"?")</f>
        <v>39</v>
      </c>
      <c r="AA111" s="91" t="n">
        <f aca="false">COUNTIFS($E$3:$E$107,"MQ",AA$3:AA$107,"?")</f>
        <v>39</v>
      </c>
      <c r="AB111" s="91" t="n">
        <f aca="false">COUNTIFS($E$3:$E$107,"MQ",AB$3:AB$107,"?")</f>
        <v>39</v>
      </c>
      <c r="AC111" s="91" t="n">
        <f aca="false">COUNTIFS($E$3:$E$107,"MQ",AC$3:AC$107,"?")</f>
        <v>39</v>
      </c>
      <c r="AD111" s="91" t="n">
        <f aca="false">COUNTIFS($E$3:$E$107,"MQ",AD$3:AD$107,"?")</f>
        <v>39</v>
      </c>
      <c r="AE111" s="91" t="n">
        <f aca="false">COUNTIFS($E$3:$E$107,"MQ",AE$3:AE$107,"?")</f>
        <v>39</v>
      </c>
      <c r="AF111" s="91" t="n">
        <f aca="false">COUNTIFS($E$3:$E$107,"MQ",AF$3:AF$107,"?")</f>
        <v>39</v>
      </c>
      <c r="AG111" s="91" t="n">
        <f aca="false">COUNTIFS($E$3:$E$107,"MQ",AG$3:AG$107,"?")</f>
        <v>39</v>
      </c>
      <c r="AH111" s="91" t="n">
        <f aca="false">COUNTIFS($E$3:$E$107,"MQ",AH$3:AH$107,"?")</f>
        <v>39</v>
      </c>
      <c r="AI111" s="91" t="n">
        <f aca="false">COUNTIFS($E$3:$E$107,"MQ",AI$3:AI$107,"?")</f>
        <v>39</v>
      </c>
      <c r="AJ111" s="91" t="n">
        <f aca="false">COUNTIFS($E$3:$E$107,"MQ",AJ$3:AJ$107,"?")</f>
        <v>39</v>
      </c>
      <c r="AK111" s="91" t="n">
        <f aca="false">COUNTIFS($E$3:$E$107,"MQ",AK$3:AK$107,"?")</f>
        <v>39</v>
      </c>
    </row>
    <row r="112" customFormat="false" ht="14.25" hidden="false" customHeight="false" outlineLevel="0" collapsed="false">
      <c r="F112" s="90" t="s">
        <v>759</v>
      </c>
      <c r="I112" s="91" t="n">
        <f aca="false">COUNTIFS($E$3:$E$107,"MQ",I$3:I$107,"NA")</f>
        <v>0</v>
      </c>
      <c r="J112" s="91" t="n">
        <f aca="false">COUNTIFS($E$3:$E$107,"MQ",J$3:J$107,"NA")</f>
        <v>0</v>
      </c>
      <c r="K112" s="91" t="n">
        <f aca="false">COUNTIFS($E$3:$E$107,"MQ",K$3:K$107,"NA")</f>
        <v>0</v>
      </c>
      <c r="L112" s="91" t="n">
        <f aca="false">COUNTIFS($E$3:$E$107,"MQ",L$3:L$107,"NA")</f>
        <v>0</v>
      </c>
      <c r="M112" s="91" t="n">
        <f aca="false">COUNTIFS($E$3:$E$107,"MQ",M$3:M$107,"NA")</f>
        <v>0</v>
      </c>
      <c r="N112" s="91" t="n">
        <f aca="false">COUNTIFS($E$3:$E$107,"MQ",N$3:N$107,"NA")</f>
        <v>0</v>
      </c>
      <c r="O112" s="91" t="n">
        <f aca="false">COUNTIFS($E$3:$E$107,"MQ",O$3:O$107,"NA")</f>
        <v>0</v>
      </c>
      <c r="P112" s="91" t="n">
        <f aca="false">COUNTIFS($E$3:$E$107,"MQ",P$3:P$107,"NA")</f>
        <v>0</v>
      </c>
      <c r="Q112" s="91" t="n">
        <f aca="false">COUNTIFS($E$3:$E$107,"MQ",Q$3:Q$107,"NA")</f>
        <v>0</v>
      </c>
      <c r="R112" s="91" t="n">
        <f aca="false">COUNTIFS($E$3:$E$107,"MQ",R$3:R$107,"NA")</f>
        <v>0</v>
      </c>
      <c r="S112" s="91" t="n">
        <f aca="false">COUNTIFS($E$3:$E$107,"MQ",S$3:S$107,"NA")</f>
        <v>0</v>
      </c>
      <c r="T112" s="91" t="n">
        <f aca="false">COUNTIFS($E$3:$E$107,"MQ",T$3:T$107,"NA")</f>
        <v>0</v>
      </c>
      <c r="U112" s="91" t="n">
        <f aca="false">COUNTIFS($E$3:$E$107,"MQ",U$3:U$107,"NA")</f>
        <v>0</v>
      </c>
      <c r="V112" s="91" t="n">
        <f aca="false">COUNTIFS($E$3:$E$107,"MQ",V$3:V$107,"NA")</f>
        <v>0</v>
      </c>
      <c r="W112" s="91" t="n">
        <f aca="false">COUNTIFS($E$3:$E$107,"MQ",W$3:W$107,"NA")</f>
        <v>0</v>
      </c>
      <c r="X112" s="91" t="n">
        <f aca="false">COUNTIFS($E$3:$E$107,"MQ",X$3:X$107,"NA")</f>
        <v>0</v>
      </c>
      <c r="Y112" s="91" t="n">
        <f aca="false">COUNTIFS($E$3:$E$107,"MQ",Y$3:Y$107,"NA")</f>
        <v>0</v>
      </c>
      <c r="Z112" s="91" t="n">
        <f aca="false">COUNTIFS($E$3:$E$107,"MQ",Z$3:Z$107,"NA")</f>
        <v>0</v>
      </c>
      <c r="AA112" s="91" t="n">
        <f aca="false">COUNTIFS($E$3:$E$107,"MQ",AA$3:AA$107,"NA")</f>
        <v>0</v>
      </c>
      <c r="AB112" s="91" t="n">
        <f aca="false">COUNTIFS($E$3:$E$107,"MQ",AB$3:AB$107,"NA")</f>
        <v>0</v>
      </c>
      <c r="AC112" s="91" t="n">
        <f aca="false">COUNTIFS($E$3:$E$107,"MQ",AC$3:AC$107,"NA")</f>
        <v>0</v>
      </c>
      <c r="AD112" s="91" t="n">
        <f aca="false">COUNTIFS($E$3:$E$107,"MQ",AD$3:AD$107,"NA")</f>
        <v>0</v>
      </c>
      <c r="AE112" s="91" t="n">
        <f aca="false">COUNTIFS($E$3:$E$107,"MQ",AE$3:AE$107,"NA")</f>
        <v>0</v>
      </c>
      <c r="AF112" s="91" t="n">
        <f aca="false">COUNTIFS($E$3:$E$107,"MQ",AF$3:AF$107,"NA")</f>
        <v>0</v>
      </c>
      <c r="AG112" s="91" t="n">
        <f aca="false">COUNTIFS($E$3:$E$107,"MQ",AG$3:AG$107,"NA")</f>
        <v>0</v>
      </c>
      <c r="AH112" s="91" t="n">
        <f aca="false">COUNTIFS($E$3:$E$107,"MQ",AH$3:AH$107,"NA")</f>
        <v>0</v>
      </c>
      <c r="AI112" s="91" t="n">
        <f aca="false">COUNTIFS($E$3:$E$107,"MQ",AI$3:AI$107,"NA")</f>
        <v>0</v>
      </c>
      <c r="AJ112" s="91" t="n">
        <f aca="false">COUNTIFS($E$3:$E$107,"MQ",AJ$3:AJ$107,"NA")</f>
        <v>0</v>
      </c>
      <c r="AK112" s="91" t="n">
        <f aca="false">COUNTIFS($E$3:$E$107,"MQ",AK$3:AK$107,"NA")</f>
        <v>0</v>
      </c>
    </row>
  </sheetData>
  <mergeCells count="1">
    <mergeCell ref="I2:AK2"/>
  </mergeCells>
  <conditionalFormatting sqref="A3:AK107">
    <cfRule type="expression" priority="2" aboveAverage="0" equalAverage="0" bottom="0" percent="0" rank="0" text="" dxfId="12">
      <formula>$A4=$A3&amp;"a"</formula>
    </cfRule>
    <cfRule type="expression" priority="3" aboveAverage="0" equalAverage="0" bottom="0" percent="0" rank="0" text="" dxfId="13">
      <formula>AND(LEFT($E3,2)="SQ",LEN($E3)=3)</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484375" defaultRowHeight="14.25" customHeight="false" zeroHeight="false" outlineLevelRow="0" outlineLevelCol="0"/>
  <cols>
    <col collapsed="false" customWidth="false" hidden="false" outlineLevel="0" max="1" min="1" style="92" width="9.14"/>
    <col collapsed="false" customWidth="false" hidden="false" outlineLevel="0" max="2" min="2" style="93" width="9.14"/>
    <col collapsed="false" customWidth="true" hidden="false" outlineLevel="0" max="3" min="3" style="93" width="7.57"/>
    <col collapsed="false" customWidth="true" hidden="false" outlineLevel="0" max="4" min="4" style="93" width="5.14"/>
    <col collapsed="false" customWidth="true" hidden="false" outlineLevel="0" max="5" min="5" style="94" width="7.57"/>
    <col collapsed="false" customWidth="true" hidden="false" outlineLevel="0" max="6" min="6" style="94" width="8.71"/>
    <col collapsed="false" customWidth="true" hidden="false" outlineLevel="0" max="7" min="7" style="95" width="22.29"/>
    <col collapsed="false" customWidth="true" hidden="false" outlineLevel="0" max="8" min="8" style="96" width="19.14"/>
    <col collapsed="false" customWidth="true" hidden="false" outlineLevel="0" max="9" min="9" style="93" width="79.86"/>
    <col collapsed="false" customWidth="true" hidden="false" outlineLevel="0" max="10" min="10" style="92" width="7.71"/>
    <col collapsed="false" customWidth="true" hidden="false" outlineLevel="0" max="11" min="11" style="97" width="19.57"/>
    <col collapsed="false" customWidth="true" hidden="false" outlineLevel="0" max="12" min="12" style="93" width="18.29"/>
    <col collapsed="false" customWidth="true" hidden="false" outlineLevel="0" max="13" min="13" style="93" width="98.29"/>
    <col collapsed="false" customWidth="true" hidden="false" outlineLevel="0" max="14" min="14" style="4" width="138.14"/>
    <col collapsed="false" customWidth="false" hidden="false" outlineLevel="0" max="16384" min="15" style="93" width="9.14"/>
  </cols>
  <sheetData>
    <row r="1" s="92" customFormat="true" ht="48" hidden="false" customHeight="true" outlineLevel="0" collapsed="false">
      <c r="A1" s="98" t="s">
        <v>336</v>
      </c>
      <c r="B1" s="98" t="s">
        <v>337</v>
      </c>
      <c r="C1" s="98" t="s">
        <v>338</v>
      </c>
      <c r="D1" s="98" t="s">
        <v>339</v>
      </c>
      <c r="E1" s="99" t="s">
        <v>340</v>
      </c>
      <c r="F1" s="99" t="s">
        <v>341</v>
      </c>
      <c r="G1" s="16" t="s">
        <v>342</v>
      </c>
      <c r="H1" s="16" t="s">
        <v>343</v>
      </c>
      <c r="I1" s="98" t="s">
        <v>0</v>
      </c>
      <c r="J1" s="98" t="s">
        <v>344</v>
      </c>
      <c r="K1" s="98" t="s">
        <v>345</v>
      </c>
      <c r="L1" s="100" t="s">
        <v>346</v>
      </c>
      <c r="M1" s="101" t="s">
        <v>347</v>
      </c>
      <c r="N1" s="101" t="s">
        <v>348</v>
      </c>
    </row>
    <row r="2" customFormat="false" ht="111" hidden="false" customHeight="true" outlineLevel="0" collapsed="false">
      <c r="A2" s="102" t="s">
        <v>349</v>
      </c>
      <c r="B2" s="103" t="s">
        <v>18</v>
      </c>
      <c r="C2" s="103" t="s">
        <v>18</v>
      </c>
      <c r="D2" s="103" t="s">
        <v>350</v>
      </c>
      <c r="E2" s="104" t="s">
        <v>18</v>
      </c>
      <c r="F2" s="104" t="s">
        <v>351</v>
      </c>
      <c r="G2" s="22" t="s">
        <v>352</v>
      </c>
      <c r="H2" s="22" t="s">
        <v>353</v>
      </c>
      <c r="I2" s="20" t="s">
        <v>20</v>
      </c>
      <c r="J2" s="102" t="s">
        <v>354</v>
      </c>
      <c r="K2" s="105" t="n">
        <v>10</v>
      </c>
      <c r="L2" s="106" t="s">
        <v>355</v>
      </c>
      <c r="M2" s="103" t="s">
        <v>356</v>
      </c>
      <c r="N2" s="107" t="s">
        <v>357</v>
      </c>
    </row>
    <row r="3" customFormat="false" ht="40.5" hidden="false" customHeight="true" outlineLevel="0" collapsed="false">
      <c r="A3" s="102" t="s">
        <v>358</v>
      </c>
      <c r="B3" s="103" t="s">
        <v>95</v>
      </c>
      <c r="C3" s="103" t="s">
        <v>74</v>
      </c>
      <c r="D3" s="103" t="s">
        <v>350</v>
      </c>
      <c r="E3" s="104" t="s">
        <v>30</v>
      </c>
      <c r="F3" s="104" t="s">
        <v>351</v>
      </c>
      <c r="G3" s="22" t="s">
        <v>352</v>
      </c>
      <c r="H3" s="22" t="s">
        <v>353</v>
      </c>
      <c r="I3" s="103" t="s">
        <v>760</v>
      </c>
      <c r="J3" s="102" t="s">
        <v>354</v>
      </c>
      <c r="K3" s="105" t="n">
        <v>10</v>
      </c>
      <c r="L3" s="106" t="s">
        <v>355</v>
      </c>
      <c r="M3" s="103" t="s">
        <v>761</v>
      </c>
      <c r="N3" s="107"/>
    </row>
    <row r="4" customFormat="false" ht="48" hidden="false" customHeight="true" outlineLevel="0" collapsed="false">
      <c r="A4" s="108" t="s">
        <v>379</v>
      </c>
      <c r="B4" s="109" t="s">
        <v>30</v>
      </c>
      <c r="C4" s="103" t="s">
        <v>30</v>
      </c>
      <c r="D4" s="103" t="s">
        <v>350</v>
      </c>
      <c r="E4" s="104" t="s">
        <v>55</v>
      </c>
      <c r="F4" s="104" t="s">
        <v>351</v>
      </c>
      <c r="G4" s="22" t="s">
        <v>352</v>
      </c>
      <c r="H4" s="22" t="s">
        <v>362</v>
      </c>
      <c r="I4" s="109" t="s">
        <v>363</v>
      </c>
      <c r="J4" s="108" t="s">
        <v>354</v>
      </c>
      <c r="K4" s="110" t="n">
        <v>10</v>
      </c>
      <c r="L4" s="111" t="s">
        <v>355</v>
      </c>
      <c r="M4" s="103" t="s">
        <v>762</v>
      </c>
      <c r="N4" s="107"/>
    </row>
    <row r="5" customFormat="false" ht="69" hidden="false" customHeight="true" outlineLevel="0" collapsed="false">
      <c r="A5" s="112" t="s">
        <v>763</v>
      </c>
      <c r="B5" s="113" t="s">
        <v>366</v>
      </c>
      <c r="C5" s="113" t="s">
        <v>366</v>
      </c>
      <c r="D5" s="103" t="s">
        <v>350</v>
      </c>
      <c r="E5" s="104" t="s">
        <v>764</v>
      </c>
      <c r="F5" s="104" t="s">
        <v>351</v>
      </c>
      <c r="G5" s="22" t="s">
        <v>352</v>
      </c>
      <c r="H5" s="22" t="s">
        <v>362</v>
      </c>
      <c r="I5" s="113" t="s">
        <v>367</v>
      </c>
      <c r="J5" s="112" t="s">
        <v>368</v>
      </c>
      <c r="K5" s="114" t="n">
        <v>3.33</v>
      </c>
      <c r="L5" s="115" t="s">
        <v>355</v>
      </c>
      <c r="M5" s="113" t="s">
        <v>369</v>
      </c>
      <c r="N5" s="107"/>
    </row>
    <row r="6" customFormat="false" ht="42.75" hidden="false" customHeight="true" outlineLevel="0" collapsed="false">
      <c r="A6" s="112" t="s">
        <v>765</v>
      </c>
      <c r="B6" s="113" t="s">
        <v>371</v>
      </c>
      <c r="C6" s="113" t="s">
        <v>371</v>
      </c>
      <c r="D6" s="103" t="s">
        <v>350</v>
      </c>
      <c r="E6" s="104" t="s">
        <v>766</v>
      </c>
      <c r="F6" s="104" t="s">
        <v>351</v>
      </c>
      <c r="G6" s="22" t="s">
        <v>352</v>
      </c>
      <c r="H6" s="22" t="s">
        <v>362</v>
      </c>
      <c r="I6" s="30" t="s">
        <v>372</v>
      </c>
      <c r="J6" s="112" t="s">
        <v>368</v>
      </c>
      <c r="K6" s="114" t="n">
        <v>3.33</v>
      </c>
      <c r="L6" s="115" t="s">
        <v>355</v>
      </c>
      <c r="M6" s="113" t="s">
        <v>767</v>
      </c>
      <c r="N6" s="107"/>
    </row>
    <row r="7" customFormat="false" ht="67.5" hidden="false" customHeight="true" outlineLevel="0" collapsed="false">
      <c r="A7" s="112" t="s">
        <v>768</v>
      </c>
      <c r="B7" s="113" t="s">
        <v>375</v>
      </c>
      <c r="C7" s="113" t="s">
        <v>375</v>
      </c>
      <c r="D7" s="103" t="s">
        <v>350</v>
      </c>
      <c r="E7" s="104" t="s">
        <v>769</v>
      </c>
      <c r="F7" s="104" t="s">
        <v>351</v>
      </c>
      <c r="G7" s="22" t="s">
        <v>352</v>
      </c>
      <c r="H7" s="22" t="s">
        <v>362</v>
      </c>
      <c r="I7" s="116" t="s">
        <v>376</v>
      </c>
      <c r="J7" s="117" t="s">
        <v>368</v>
      </c>
      <c r="K7" s="114" t="n">
        <v>3.33</v>
      </c>
      <c r="L7" s="118" t="s">
        <v>355</v>
      </c>
      <c r="M7" s="116" t="s">
        <v>770</v>
      </c>
      <c r="N7" s="107" t="s">
        <v>378</v>
      </c>
    </row>
    <row r="8" customFormat="false" ht="404.25" hidden="false" customHeight="true" outlineLevel="0" collapsed="false">
      <c r="A8" s="102" t="s">
        <v>382</v>
      </c>
      <c r="B8" s="103" t="s">
        <v>74</v>
      </c>
      <c r="C8" s="119" t="s">
        <v>380</v>
      </c>
      <c r="D8" s="119" t="s">
        <v>350</v>
      </c>
      <c r="E8" s="120" t="s">
        <v>383</v>
      </c>
      <c r="F8" s="104" t="s">
        <v>351</v>
      </c>
      <c r="G8" s="22" t="s">
        <v>352</v>
      </c>
      <c r="H8" s="121" t="s">
        <v>362</v>
      </c>
      <c r="I8" s="122" t="s">
        <v>56</v>
      </c>
      <c r="J8" s="102" t="s">
        <v>354</v>
      </c>
      <c r="K8" s="105" t="n">
        <v>10</v>
      </c>
      <c r="L8" s="103" t="s">
        <v>355</v>
      </c>
      <c r="M8" s="119" t="s">
        <v>771</v>
      </c>
      <c r="N8" s="123"/>
      <c r="O8" s="93" t="s">
        <v>772</v>
      </c>
    </row>
    <row r="9" customFormat="false" ht="37.5" hidden="false" customHeight="true" outlineLevel="0" collapsed="false">
      <c r="A9" s="124" t="n">
        <v>8</v>
      </c>
      <c r="B9" s="125" t="s">
        <v>350</v>
      </c>
      <c r="C9" s="126"/>
      <c r="D9" s="126"/>
      <c r="E9" s="126"/>
      <c r="F9" s="127" t="s">
        <v>351</v>
      </c>
      <c r="G9" s="22" t="s">
        <v>352</v>
      </c>
      <c r="H9" s="121" t="s">
        <v>362</v>
      </c>
      <c r="I9" s="34" t="s">
        <v>384</v>
      </c>
      <c r="J9" s="35" t="s">
        <v>354</v>
      </c>
      <c r="K9" s="110" t="n">
        <v>10</v>
      </c>
      <c r="L9" s="111" t="s">
        <v>355</v>
      </c>
      <c r="M9" s="128" t="s">
        <v>773</v>
      </c>
      <c r="N9" s="129"/>
      <c r="O9" s="130"/>
      <c r="P9" s="38"/>
      <c r="R9" s="131"/>
      <c r="S9" s="132"/>
    </row>
    <row r="10" customFormat="false" ht="66" hidden="false" customHeight="true" outlineLevel="0" collapsed="false">
      <c r="A10" s="124" t="s">
        <v>774</v>
      </c>
      <c r="B10" s="125" t="s">
        <v>350</v>
      </c>
      <c r="C10" s="126"/>
      <c r="D10" s="126"/>
      <c r="E10" s="126"/>
      <c r="F10" s="127" t="s">
        <v>351</v>
      </c>
      <c r="G10" s="22" t="s">
        <v>352</v>
      </c>
      <c r="H10" s="121" t="s">
        <v>362</v>
      </c>
      <c r="I10" s="30" t="s">
        <v>387</v>
      </c>
      <c r="J10" s="33" t="s">
        <v>368</v>
      </c>
      <c r="K10" s="33" t="n">
        <v>3.3</v>
      </c>
      <c r="L10" s="106" t="s">
        <v>355</v>
      </c>
      <c r="M10" s="133" t="s">
        <v>775</v>
      </c>
      <c r="N10" s="129"/>
      <c r="P10" s="38"/>
      <c r="R10" s="131"/>
      <c r="S10" s="132"/>
    </row>
    <row r="11" customFormat="false" ht="66" hidden="false" customHeight="true" outlineLevel="0" collapsed="false">
      <c r="A11" s="124" t="s">
        <v>776</v>
      </c>
      <c r="B11" s="125" t="s">
        <v>350</v>
      </c>
      <c r="C11" s="126"/>
      <c r="D11" s="126"/>
      <c r="E11" s="126"/>
      <c r="F11" s="127" t="s">
        <v>351</v>
      </c>
      <c r="G11" s="22" t="s">
        <v>352</v>
      </c>
      <c r="H11" s="121" t="s">
        <v>362</v>
      </c>
      <c r="I11" s="30" t="s">
        <v>390</v>
      </c>
      <c r="J11" s="33" t="s">
        <v>368</v>
      </c>
      <c r="K11" s="33" t="n">
        <v>3.3</v>
      </c>
      <c r="L11" s="103" t="s">
        <v>355</v>
      </c>
      <c r="M11" s="133" t="s">
        <v>777</v>
      </c>
      <c r="N11" s="129"/>
      <c r="P11" s="38"/>
      <c r="R11" s="131"/>
      <c r="S11" s="132"/>
    </row>
    <row r="12" customFormat="false" ht="34.5" hidden="false" customHeight="true" outlineLevel="0" collapsed="false">
      <c r="A12" s="124" t="s">
        <v>778</v>
      </c>
      <c r="B12" s="125" t="s">
        <v>350</v>
      </c>
      <c r="C12" s="126"/>
      <c r="D12" s="126"/>
      <c r="E12" s="126"/>
      <c r="F12" s="127" t="s">
        <v>351</v>
      </c>
      <c r="G12" s="22" t="s">
        <v>352</v>
      </c>
      <c r="H12" s="121" t="s">
        <v>362</v>
      </c>
      <c r="I12" s="30" t="s">
        <v>393</v>
      </c>
      <c r="J12" s="33" t="s">
        <v>368</v>
      </c>
      <c r="K12" s="33" t="n">
        <v>3.3</v>
      </c>
      <c r="L12" s="103" t="s">
        <v>355</v>
      </c>
      <c r="M12" s="133" t="s">
        <v>779</v>
      </c>
      <c r="N12" s="129"/>
      <c r="P12" s="38"/>
      <c r="R12" s="131"/>
      <c r="S12" s="132"/>
    </row>
    <row r="13" customFormat="false" ht="124.5" hidden="false" customHeight="true" outlineLevel="0" collapsed="false">
      <c r="A13" s="102" t="s">
        <v>398</v>
      </c>
      <c r="B13" s="103" t="s">
        <v>383</v>
      </c>
      <c r="C13" s="134" t="s">
        <v>55</v>
      </c>
      <c r="D13" s="134" t="s">
        <v>350</v>
      </c>
      <c r="E13" s="135" t="s">
        <v>400</v>
      </c>
      <c r="F13" s="104" t="s">
        <v>351</v>
      </c>
      <c r="G13" s="22" t="s">
        <v>352</v>
      </c>
      <c r="H13" s="22" t="s">
        <v>780</v>
      </c>
      <c r="I13" s="103" t="s">
        <v>75</v>
      </c>
      <c r="J13" s="102" t="s">
        <v>354</v>
      </c>
      <c r="K13" s="105" t="n">
        <v>10</v>
      </c>
      <c r="L13" s="106" t="s">
        <v>355</v>
      </c>
      <c r="M13" s="103" t="s">
        <v>781</v>
      </c>
      <c r="N13" s="107"/>
    </row>
    <row r="14" customFormat="false" ht="42" hidden="false" customHeight="true" outlineLevel="0" collapsed="false">
      <c r="A14" s="102" t="s">
        <v>533</v>
      </c>
      <c r="B14" s="103" t="s">
        <v>399</v>
      </c>
      <c r="C14" s="103" t="s">
        <v>95</v>
      </c>
      <c r="D14" s="103" t="s">
        <v>350</v>
      </c>
      <c r="E14" s="104" t="s">
        <v>534</v>
      </c>
      <c r="F14" s="104" t="s">
        <v>351</v>
      </c>
      <c r="G14" s="22" t="s">
        <v>352</v>
      </c>
      <c r="H14" s="22" t="s">
        <v>401</v>
      </c>
      <c r="I14" s="103" t="s">
        <v>402</v>
      </c>
      <c r="J14" s="102" t="s">
        <v>354</v>
      </c>
      <c r="K14" s="105" t="n">
        <v>10</v>
      </c>
      <c r="L14" s="106" t="s">
        <v>403</v>
      </c>
      <c r="M14" s="103" t="s">
        <v>404</v>
      </c>
      <c r="N14" s="107"/>
    </row>
    <row r="15" customFormat="false" ht="40.5" hidden="false" customHeight="true" outlineLevel="0" collapsed="false">
      <c r="A15" s="112" t="s">
        <v>539</v>
      </c>
      <c r="B15" s="113" t="s">
        <v>165</v>
      </c>
      <c r="C15" s="113" t="s">
        <v>406</v>
      </c>
      <c r="D15" s="103" t="s">
        <v>350</v>
      </c>
      <c r="E15" s="104" t="s">
        <v>198</v>
      </c>
      <c r="F15" s="104" t="s">
        <v>351</v>
      </c>
      <c r="G15" s="22" t="s">
        <v>352</v>
      </c>
      <c r="H15" s="22" t="s">
        <v>401</v>
      </c>
      <c r="I15" s="113" t="s">
        <v>407</v>
      </c>
      <c r="J15" s="112" t="s">
        <v>368</v>
      </c>
      <c r="K15" s="114" t="n">
        <v>5</v>
      </c>
      <c r="L15" s="106" t="s">
        <v>408</v>
      </c>
      <c r="M15" s="113" t="s">
        <v>782</v>
      </c>
      <c r="N15" s="107" t="s">
        <v>783</v>
      </c>
    </row>
    <row r="16" customFormat="false" ht="84.75" hidden="false" customHeight="true" outlineLevel="0" collapsed="false">
      <c r="A16" s="112" t="s">
        <v>555</v>
      </c>
      <c r="B16" s="113" t="s">
        <v>168</v>
      </c>
      <c r="C16" s="113" t="s">
        <v>411</v>
      </c>
      <c r="D16" s="103" t="s">
        <v>350</v>
      </c>
      <c r="E16" s="104" t="s">
        <v>201</v>
      </c>
      <c r="F16" s="104" t="s">
        <v>351</v>
      </c>
      <c r="G16" s="22" t="s">
        <v>352</v>
      </c>
      <c r="H16" s="22" t="s">
        <v>401</v>
      </c>
      <c r="I16" s="113" t="s">
        <v>784</v>
      </c>
      <c r="J16" s="112" t="s">
        <v>368</v>
      </c>
      <c r="K16" s="114" t="n">
        <v>5</v>
      </c>
      <c r="L16" s="106" t="s">
        <v>413</v>
      </c>
      <c r="M16" s="113" t="s">
        <v>785</v>
      </c>
      <c r="N16" s="107"/>
    </row>
    <row r="17" customFormat="false" ht="81.75" hidden="false" customHeight="true" outlineLevel="0" collapsed="false">
      <c r="A17" s="112" t="s">
        <v>573</v>
      </c>
      <c r="B17" s="136" t="s">
        <v>725</v>
      </c>
      <c r="C17" s="136" t="s">
        <v>725</v>
      </c>
      <c r="D17" s="20" t="s">
        <v>350</v>
      </c>
      <c r="E17" s="41" t="s">
        <v>574</v>
      </c>
      <c r="F17" s="41" t="s">
        <v>351</v>
      </c>
      <c r="G17" s="22" t="s">
        <v>352</v>
      </c>
      <c r="H17" s="22" t="s">
        <v>401</v>
      </c>
      <c r="I17" s="20" t="s">
        <v>91</v>
      </c>
      <c r="J17" s="102" t="s">
        <v>354</v>
      </c>
      <c r="K17" s="114" t="n">
        <v>10</v>
      </c>
      <c r="L17" s="137" t="s">
        <v>416</v>
      </c>
      <c r="M17" s="20" t="s">
        <v>786</v>
      </c>
      <c r="N17" s="107"/>
    </row>
    <row r="18" customFormat="false" ht="90.75" hidden="false" customHeight="true" outlineLevel="0" collapsed="false">
      <c r="A18" s="102" t="s">
        <v>415</v>
      </c>
      <c r="B18" s="103" t="s">
        <v>55</v>
      </c>
      <c r="C18" s="103" t="s">
        <v>361</v>
      </c>
      <c r="D18" s="103" t="s">
        <v>350</v>
      </c>
      <c r="E18" s="104" t="s">
        <v>90</v>
      </c>
      <c r="F18" s="104" t="s">
        <v>351</v>
      </c>
      <c r="G18" s="22" t="s">
        <v>787</v>
      </c>
      <c r="H18" s="22" t="s">
        <v>420</v>
      </c>
      <c r="I18" s="20" t="s">
        <v>96</v>
      </c>
      <c r="J18" s="102" t="s">
        <v>354</v>
      </c>
      <c r="K18" s="105" t="n">
        <v>10</v>
      </c>
      <c r="L18" s="138" t="s">
        <v>355</v>
      </c>
      <c r="M18" s="119" t="s">
        <v>788</v>
      </c>
      <c r="N18" s="107"/>
    </row>
    <row r="19" customFormat="false" ht="95.25" hidden="false" customHeight="true" outlineLevel="0" collapsed="false">
      <c r="A19" s="139" t="s">
        <v>418</v>
      </c>
      <c r="B19" s="103" t="s">
        <v>422</v>
      </c>
      <c r="C19" s="103" t="s">
        <v>174</v>
      </c>
      <c r="D19" s="103" t="s">
        <v>350</v>
      </c>
      <c r="E19" s="104" t="s">
        <v>95</v>
      </c>
      <c r="F19" s="104" t="s">
        <v>351</v>
      </c>
      <c r="G19" s="22" t="s">
        <v>787</v>
      </c>
      <c r="H19" s="22" t="s">
        <v>423</v>
      </c>
      <c r="I19" s="20" t="s">
        <v>101</v>
      </c>
      <c r="J19" s="139" t="s">
        <v>354</v>
      </c>
      <c r="K19" s="140" t="n">
        <v>10</v>
      </c>
      <c r="L19" s="103" t="s">
        <v>355</v>
      </c>
      <c r="M19" s="103" t="s">
        <v>789</v>
      </c>
      <c r="N19" s="113"/>
    </row>
    <row r="20" customFormat="false" ht="54" hidden="false" customHeight="true" outlineLevel="0" collapsed="false">
      <c r="A20" s="139" t="s">
        <v>21</v>
      </c>
      <c r="B20" s="103" t="s">
        <v>305</v>
      </c>
      <c r="C20" s="103" t="s">
        <v>426</v>
      </c>
      <c r="D20" s="103" t="s">
        <v>350</v>
      </c>
      <c r="E20" s="104" t="s">
        <v>100</v>
      </c>
      <c r="F20" s="104" t="s">
        <v>351</v>
      </c>
      <c r="G20" s="22" t="s">
        <v>787</v>
      </c>
      <c r="H20" s="22" t="s">
        <v>423</v>
      </c>
      <c r="I20" s="20" t="s">
        <v>428</v>
      </c>
      <c r="J20" s="139" t="s">
        <v>354</v>
      </c>
      <c r="K20" s="140" t="n">
        <v>10</v>
      </c>
      <c r="L20" s="103" t="s">
        <v>403</v>
      </c>
      <c r="M20" s="103" t="s">
        <v>404</v>
      </c>
      <c r="N20" s="123"/>
    </row>
    <row r="21" customFormat="false" ht="105.75" hidden="false" customHeight="true" outlineLevel="0" collapsed="false">
      <c r="A21" s="139"/>
      <c r="B21" s="103" t="s">
        <v>430</v>
      </c>
      <c r="C21" s="103"/>
      <c r="D21" s="103"/>
      <c r="E21" s="104"/>
      <c r="F21" s="104" t="s">
        <v>351</v>
      </c>
      <c r="G21" s="22" t="s">
        <v>787</v>
      </c>
      <c r="H21" s="22" t="s">
        <v>423</v>
      </c>
      <c r="I21" s="20" t="s">
        <v>431</v>
      </c>
      <c r="J21" s="139" t="s">
        <v>368</v>
      </c>
      <c r="K21" s="140" t="n">
        <v>5</v>
      </c>
      <c r="L21" s="103" t="s">
        <v>408</v>
      </c>
      <c r="M21" s="113" t="s">
        <v>790</v>
      </c>
      <c r="N21" s="123"/>
    </row>
    <row r="22" customFormat="false" ht="54" hidden="false" customHeight="true" outlineLevel="0" collapsed="false">
      <c r="A22" s="139"/>
      <c r="B22" s="103" t="s">
        <v>434</v>
      </c>
      <c r="C22" s="103"/>
      <c r="D22" s="103"/>
      <c r="E22" s="104"/>
      <c r="F22" s="104" t="s">
        <v>351</v>
      </c>
      <c r="G22" s="22" t="s">
        <v>787</v>
      </c>
      <c r="H22" s="22" t="s">
        <v>423</v>
      </c>
      <c r="I22" s="20" t="s">
        <v>435</v>
      </c>
      <c r="J22" s="139" t="s">
        <v>368</v>
      </c>
      <c r="K22" s="141" t="n">
        <v>5</v>
      </c>
      <c r="L22" s="142" t="s">
        <v>413</v>
      </c>
      <c r="M22" s="143" t="s">
        <v>791</v>
      </c>
      <c r="N22" s="107"/>
    </row>
    <row r="23" customFormat="false" ht="164.25" hidden="false" customHeight="true" outlineLevel="0" collapsed="false">
      <c r="A23" s="144" t="s">
        <v>481</v>
      </c>
      <c r="B23" s="145"/>
      <c r="C23" s="145"/>
      <c r="D23" s="145" t="s">
        <v>350</v>
      </c>
      <c r="E23" s="95" t="s">
        <v>162</v>
      </c>
      <c r="F23" s="104" t="s">
        <v>351</v>
      </c>
      <c r="G23" s="22" t="s">
        <v>787</v>
      </c>
      <c r="H23" s="22" t="s">
        <v>438</v>
      </c>
      <c r="I23" s="146" t="s">
        <v>792</v>
      </c>
      <c r="J23" s="139" t="s">
        <v>354</v>
      </c>
      <c r="K23" s="141" t="n">
        <v>10</v>
      </c>
      <c r="L23" s="106" t="s">
        <v>355</v>
      </c>
      <c r="M23" s="146" t="s">
        <v>793</v>
      </c>
      <c r="N23" s="107"/>
    </row>
    <row r="24" customFormat="false" ht="54" hidden="false" customHeight="true" outlineLevel="0" collapsed="false">
      <c r="A24" s="102" t="s">
        <v>425</v>
      </c>
      <c r="B24" s="103" t="s">
        <v>380</v>
      </c>
      <c r="C24" s="103" t="s">
        <v>427</v>
      </c>
      <c r="D24" s="103" t="s">
        <v>350</v>
      </c>
      <c r="E24" s="104" t="s">
        <v>427</v>
      </c>
      <c r="F24" s="104" t="s">
        <v>351</v>
      </c>
      <c r="G24" s="22" t="s">
        <v>794</v>
      </c>
      <c r="H24" s="22" t="s">
        <v>443</v>
      </c>
      <c r="I24" s="103" t="s">
        <v>795</v>
      </c>
      <c r="J24" s="102" t="s">
        <v>354</v>
      </c>
      <c r="K24" s="105" t="n">
        <v>10</v>
      </c>
      <c r="L24" s="106" t="s">
        <v>445</v>
      </c>
      <c r="M24" s="113" t="s">
        <v>446</v>
      </c>
      <c r="N24" s="107"/>
    </row>
    <row r="25" customFormat="false" ht="126.75" hidden="false" customHeight="true" outlineLevel="0" collapsed="false">
      <c r="A25" s="139" t="s">
        <v>429</v>
      </c>
      <c r="B25" s="103"/>
      <c r="C25" s="103"/>
      <c r="D25" s="103"/>
      <c r="E25" s="104" t="s">
        <v>106</v>
      </c>
      <c r="F25" s="104" t="s">
        <v>351</v>
      </c>
      <c r="G25" s="22" t="s">
        <v>794</v>
      </c>
      <c r="H25" s="22" t="s">
        <v>443</v>
      </c>
      <c r="I25" s="103" t="s">
        <v>448</v>
      </c>
      <c r="J25" s="102" t="s">
        <v>368</v>
      </c>
      <c r="K25" s="105" t="n">
        <v>1.67</v>
      </c>
      <c r="L25" s="106" t="s">
        <v>408</v>
      </c>
      <c r="M25" s="113" t="s">
        <v>796</v>
      </c>
      <c r="N25" s="107"/>
    </row>
    <row r="26" customFormat="false" ht="57" hidden="false" customHeight="true" outlineLevel="0" collapsed="false">
      <c r="A26" s="139" t="s">
        <v>433</v>
      </c>
      <c r="B26" s="103"/>
      <c r="C26" s="103"/>
      <c r="D26" s="103"/>
      <c r="E26" s="104" t="s">
        <v>111</v>
      </c>
      <c r="F26" s="104" t="s">
        <v>351</v>
      </c>
      <c r="G26" s="22" t="s">
        <v>794</v>
      </c>
      <c r="H26" s="22" t="s">
        <v>443</v>
      </c>
      <c r="I26" s="103" t="s">
        <v>451</v>
      </c>
      <c r="J26" s="102" t="s">
        <v>368</v>
      </c>
      <c r="K26" s="105" t="n">
        <v>1.67</v>
      </c>
      <c r="L26" s="106" t="s">
        <v>408</v>
      </c>
      <c r="M26" s="113" t="s">
        <v>452</v>
      </c>
      <c r="N26" s="107"/>
    </row>
    <row r="27" customFormat="false" ht="54" hidden="false" customHeight="true" outlineLevel="0" collapsed="false">
      <c r="A27" s="139" t="s">
        <v>797</v>
      </c>
      <c r="B27" s="103"/>
      <c r="C27" s="103"/>
      <c r="D27" s="103"/>
      <c r="E27" s="104" t="s">
        <v>798</v>
      </c>
      <c r="F27" s="104" t="s">
        <v>351</v>
      </c>
      <c r="G27" s="22" t="s">
        <v>794</v>
      </c>
      <c r="H27" s="22" t="s">
        <v>443</v>
      </c>
      <c r="I27" s="103" t="s">
        <v>454</v>
      </c>
      <c r="J27" s="102" t="s">
        <v>368</v>
      </c>
      <c r="K27" s="105" t="n">
        <v>1.67</v>
      </c>
      <c r="L27" s="106" t="s">
        <v>408</v>
      </c>
      <c r="M27" s="113" t="s">
        <v>455</v>
      </c>
      <c r="N27" s="107"/>
    </row>
    <row r="28" customFormat="false" ht="65.25" hidden="false" customHeight="true" outlineLevel="0" collapsed="false">
      <c r="A28" s="139" t="s">
        <v>799</v>
      </c>
      <c r="B28" s="103"/>
      <c r="C28" s="103"/>
      <c r="D28" s="103"/>
      <c r="E28" s="104" t="s">
        <v>800</v>
      </c>
      <c r="F28" s="104" t="s">
        <v>351</v>
      </c>
      <c r="G28" s="22" t="s">
        <v>794</v>
      </c>
      <c r="H28" s="22" t="s">
        <v>443</v>
      </c>
      <c r="I28" s="103" t="s">
        <v>457</v>
      </c>
      <c r="J28" s="102" t="s">
        <v>368</v>
      </c>
      <c r="K28" s="105" t="n">
        <v>1.67</v>
      </c>
      <c r="L28" s="106" t="s">
        <v>408</v>
      </c>
      <c r="M28" s="113" t="s">
        <v>458</v>
      </c>
      <c r="N28" s="107"/>
    </row>
    <row r="29" customFormat="false" ht="55.5" hidden="false" customHeight="true" outlineLevel="0" collapsed="false">
      <c r="A29" s="139" t="s">
        <v>801</v>
      </c>
      <c r="B29" s="103"/>
      <c r="C29" s="103"/>
      <c r="D29" s="103"/>
      <c r="E29" s="104" t="s">
        <v>802</v>
      </c>
      <c r="F29" s="104" t="s">
        <v>351</v>
      </c>
      <c r="G29" s="22" t="s">
        <v>794</v>
      </c>
      <c r="H29" s="22" t="s">
        <v>443</v>
      </c>
      <c r="I29" s="103" t="s">
        <v>460</v>
      </c>
      <c r="J29" s="102" t="s">
        <v>368</v>
      </c>
      <c r="K29" s="105" t="n">
        <v>1.67</v>
      </c>
      <c r="L29" s="106" t="s">
        <v>408</v>
      </c>
      <c r="M29" s="113" t="s">
        <v>461</v>
      </c>
      <c r="N29" s="107"/>
    </row>
    <row r="30" customFormat="false" ht="120.75" hidden="false" customHeight="true" outlineLevel="0" collapsed="false">
      <c r="A30" s="139" t="s">
        <v>803</v>
      </c>
      <c r="B30" s="103"/>
      <c r="C30" s="103"/>
      <c r="D30" s="103"/>
      <c r="E30" s="104" t="s">
        <v>804</v>
      </c>
      <c r="F30" s="104" t="s">
        <v>351</v>
      </c>
      <c r="G30" s="22" t="s">
        <v>794</v>
      </c>
      <c r="H30" s="22" t="s">
        <v>443</v>
      </c>
      <c r="I30" s="103" t="s">
        <v>463</v>
      </c>
      <c r="J30" s="102" t="s">
        <v>368</v>
      </c>
      <c r="K30" s="105" t="n">
        <v>1.67</v>
      </c>
      <c r="L30" s="106" t="s">
        <v>408</v>
      </c>
      <c r="M30" s="113" t="s">
        <v>805</v>
      </c>
      <c r="N30" s="107"/>
    </row>
    <row r="31" customFormat="false" ht="47.25" hidden="false" customHeight="true" outlineLevel="0" collapsed="false">
      <c r="A31" s="108" t="s">
        <v>512</v>
      </c>
      <c r="B31" s="109" t="s">
        <v>361</v>
      </c>
      <c r="C31" s="109" t="s">
        <v>380</v>
      </c>
      <c r="D31" s="103" t="s">
        <v>350</v>
      </c>
      <c r="E31" s="104" t="s">
        <v>515</v>
      </c>
      <c r="F31" s="104" t="s">
        <v>413</v>
      </c>
      <c r="G31" s="22" t="s">
        <v>806</v>
      </c>
      <c r="H31" s="22" t="s">
        <v>807</v>
      </c>
      <c r="I31" s="109" t="s">
        <v>469</v>
      </c>
      <c r="J31" s="108" t="s">
        <v>354</v>
      </c>
      <c r="K31" s="110" t="n">
        <v>10</v>
      </c>
      <c r="L31" s="111" t="s">
        <v>413</v>
      </c>
      <c r="M31" s="113" t="s">
        <v>470</v>
      </c>
      <c r="N31" s="107"/>
    </row>
    <row r="32" customFormat="false" ht="60" hidden="false" customHeight="true" outlineLevel="0" collapsed="false">
      <c r="A32" s="112" t="s">
        <v>518</v>
      </c>
      <c r="B32" s="113" t="s">
        <v>37</v>
      </c>
      <c r="C32" s="109" t="s">
        <v>380</v>
      </c>
      <c r="D32" s="103" t="s">
        <v>350</v>
      </c>
      <c r="E32" s="104" t="s">
        <v>183</v>
      </c>
      <c r="F32" s="104" t="s">
        <v>413</v>
      </c>
      <c r="G32" s="22" t="s">
        <v>806</v>
      </c>
      <c r="H32" s="22" t="s">
        <v>807</v>
      </c>
      <c r="I32" s="113" t="s">
        <v>472</v>
      </c>
      <c r="J32" s="112" t="s">
        <v>368</v>
      </c>
      <c r="K32" s="114" t="n">
        <v>3.3</v>
      </c>
      <c r="L32" s="115" t="s">
        <v>413</v>
      </c>
      <c r="M32" s="113" t="s">
        <v>473</v>
      </c>
      <c r="N32" s="107" t="s">
        <v>474</v>
      </c>
    </row>
    <row r="33" customFormat="false" ht="54" hidden="false" customHeight="true" outlineLevel="0" collapsed="false">
      <c r="A33" s="112" t="s">
        <v>521</v>
      </c>
      <c r="B33" s="113" t="s">
        <v>45</v>
      </c>
      <c r="C33" s="109" t="s">
        <v>380</v>
      </c>
      <c r="D33" s="103" t="s">
        <v>350</v>
      </c>
      <c r="E33" s="104" t="s">
        <v>186</v>
      </c>
      <c r="F33" s="104" t="s">
        <v>413</v>
      </c>
      <c r="G33" s="22" t="s">
        <v>806</v>
      </c>
      <c r="H33" s="22" t="s">
        <v>807</v>
      </c>
      <c r="I33" s="113" t="s">
        <v>476</v>
      </c>
      <c r="J33" s="112" t="s">
        <v>368</v>
      </c>
      <c r="K33" s="114" t="n">
        <v>3.3</v>
      </c>
      <c r="L33" s="115" t="s">
        <v>413</v>
      </c>
      <c r="M33" s="113" t="s">
        <v>808</v>
      </c>
      <c r="N33" s="107" t="s">
        <v>474</v>
      </c>
    </row>
    <row r="34" customFormat="false" ht="44.25" hidden="false" customHeight="true" outlineLevel="0" collapsed="false">
      <c r="A34" s="112" t="s">
        <v>524</v>
      </c>
      <c r="B34" s="113" t="s">
        <v>50</v>
      </c>
      <c r="C34" s="109" t="s">
        <v>380</v>
      </c>
      <c r="D34" s="103" t="s">
        <v>350</v>
      </c>
      <c r="E34" s="104" t="s">
        <v>189</v>
      </c>
      <c r="F34" s="104" t="s">
        <v>413</v>
      </c>
      <c r="G34" s="22" t="s">
        <v>806</v>
      </c>
      <c r="H34" s="22" t="s">
        <v>807</v>
      </c>
      <c r="I34" s="113" t="s">
        <v>479</v>
      </c>
      <c r="J34" s="112" t="s">
        <v>368</v>
      </c>
      <c r="K34" s="114" t="n">
        <v>3.3</v>
      </c>
      <c r="L34" s="115" t="s">
        <v>413</v>
      </c>
      <c r="M34" s="113" t="s">
        <v>480</v>
      </c>
      <c r="N34" s="107"/>
    </row>
    <row r="35" customFormat="false" ht="131.25" hidden="false" customHeight="true" outlineLevel="0" collapsed="false">
      <c r="A35" s="144" t="s">
        <v>527</v>
      </c>
      <c r="B35" s="145"/>
      <c r="C35" s="145"/>
      <c r="D35" s="145" t="s">
        <v>350</v>
      </c>
      <c r="E35" s="95" t="s">
        <v>192</v>
      </c>
      <c r="F35" s="104" t="s">
        <v>413</v>
      </c>
      <c r="G35" s="22" t="s">
        <v>806</v>
      </c>
      <c r="H35" s="22" t="s">
        <v>809</v>
      </c>
      <c r="I35" s="103" t="s">
        <v>163</v>
      </c>
      <c r="J35" s="139" t="s">
        <v>354</v>
      </c>
      <c r="K35" s="141" t="n">
        <v>10</v>
      </c>
      <c r="L35" s="138" t="s">
        <v>413</v>
      </c>
      <c r="M35" s="147" t="s">
        <v>810</v>
      </c>
      <c r="N35" s="107"/>
    </row>
    <row r="36" customFormat="false" ht="49.5" hidden="false" customHeight="true" outlineLevel="0" collapsed="false">
      <c r="A36" s="108" t="s">
        <v>530</v>
      </c>
      <c r="B36" s="109" t="s">
        <v>400</v>
      </c>
      <c r="C36" s="109" t="s">
        <v>380</v>
      </c>
      <c r="D36" s="103" t="s">
        <v>350</v>
      </c>
      <c r="E36" s="104" t="s">
        <v>195</v>
      </c>
      <c r="F36" s="104" t="s">
        <v>413</v>
      </c>
      <c r="G36" s="22" t="s">
        <v>806</v>
      </c>
      <c r="H36" s="22" t="s">
        <v>485</v>
      </c>
      <c r="I36" s="109" t="s">
        <v>486</v>
      </c>
      <c r="J36" s="108" t="s">
        <v>354</v>
      </c>
      <c r="K36" s="148" t="n">
        <v>10</v>
      </c>
      <c r="L36" s="109" t="s">
        <v>413</v>
      </c>
      <c r="M36" s="147" t="s">
        <v>487</v>
      </c>
      <c r="N36" s="123"/>
    </row>
    <row r="37" customFormat="false" ht="75" hidden="false" customHeight="true" outlineLevel="0" collapsed="false">
      <c r="A37" s="112" t="s">
        <v>811</v>
      </c>
      <c r="B37" s="113" t="s">
        <v>80</v>
      </c>
      <c r="C37" s="109" t="s">
        <v>380</v>
      </c>
      <c r="D37" s="103" t="s">
        <v>350</v>
      </c>
      <c r="E37" s="104" t="s">
        <v>812</v>
      </c>
      <c r="F37" s="104" t="s">
        <v>413</v>
      </c>
      <c r="G37" s="22" t="s">
        <v>806</v>
      </c>
      <c r="H37" s="22" t="s">
        <v>485</v>
      </c>
      <c r="I37" s="113" t="s">
        <v>489</v>
      </c>
      <c r="J37" s="112" t="s">
        <v>368</v>
      </c>
      <c r="K37" s="149" t="n">
        <v>5</v>
      </c>
      <c r="L37" s="106" t="s">
        <v>413</v>
      </c>
      <c r="M37" s="146" t="s">
        <v>813</v>
      </c>
      <c r="N37" s="123"/>
    </row>
    <row r="38" customFormat="false" ht="71.25" hidden="false" customHeight="true" outlineLevel="0" collapsed="false">
      <c r="A38" s="112" t="s">
        <v>814</v>
      </c>
      <c r="B38" s="113" t="s">
        <v>87</v>
      </c>
      <c r="C38" s="109" t="s">
        <v>380</v>
      </c>
      <c r="D38" s="103" t="s">
        <v>350</v>
      </c>
      <c r="E38" s="104" t="s">
        <v>815</v>
      </c>
      <c r="F38" s="104" t="s">
        <v>413</v>
      </c>
      <c r="G38" s="22" t="s">
        <v>806</v>
      </c>
      <c r="H38" s="22" t="s">
        <v>485</v>
      </c>
      <c r="I38" s="113" t="s">
        <v>816</v>
      </c>
      <c r="J38" s="112" t="s">
        <v>368</v>
      </c>
      <c r="K38" s="114" t="n">
        <v>5</v>
      </c>
      <c r="L38" s="142" t="s">
        <v>413</v>
      </c>
      <c r="M38" s="113" t="s">
        <v>817</v>
      </c>
      <c r="N38" s="123"/>
    </row>
    <row r="39" customFormat="false" ht="78.75" hidden="false" customHeight="true" outlineLevel="0" collapsed="false">
      <c r="A39" s="102" t="s">
        <v>597</v>
      </c>
      <c r="B39" s="103" t="s">
        <v>114</v>
      </c>
      <c r="C39" s="103" t="s">
        <v>380</v>
      </c>
      <c r="D39" s="103" t="s">
        <v>350</v>
      </c>
      <c r="E39" s="104" t="s">
        <v>598</v>
      </c>
      <c r="F39" s="104" t="s">
        <v>413</v>
      </c>
      <c r="G39" s="22" t="s">
        <v>806</v>
      </c>
      <c r="H39" s="22" t="s">
        <v>495</v>
      </c>
      <c r="I39" s="103" t="s">
        <v>818</v>
      </c>
      <c r="J39" s="102" t="s">
        <v>354</v>
      </c>
      <c r="K39" s="105" t="n">
        <v>10</v>
      </c>
      <c r="L39" s="106" t="s">
        <v>413</v>
      </c>
      <c r="M39" s="143" t="s">
        <v>819</v>
      </c>
      <c r="N39" s="107"/>
    </row>
    <row r="40" customFormat="false" ht="264" hidden="false" customHeight="true" outlineLevel="0" collapsed="false">
      <c r="A40" s="139" t="s">
        <v>665</v>
      </c>
      <c r="B40" s="103" t="s">
        <v>499</v>
      </c>
      <c r="C40" s="103" t="s">
        <v>380</v>
      </c>
      <c r="D40" s="103" t="s">
        <v>350</v>
      </c>
      <c r="E40" s="104" t="s">
        <v>666</v>
      </c>
      <c r="F40" s="150" t="s">
        <v>413</v>
      </c>
      <c r="G40" s="22" t="s">
        <v>806</v>
      </c>
      <c r="H40" s="22" t="s">
        <v>820</v>
      </c>
      <c r="I40" s="103" t="s">
        <v>821</v>
      </c>
      <c r="J40" s="139" t="s">
        <v>354</v>
      </c>
      <c r="K40" s="141" t="n">
        <v>10</v>
      </c>
      <c r="L40" s="106" t="s">
        <v>413</v>
      </c>
      <c r="M40" s="113" t="s">
        <v>822</v>
      </c>
      <c r="N40" s="107"/>
    </row>
    <row r="41" customFormat="false" ht="45" hidden="false" customHeight="true" outlineLevel="0" collapsed="false">
      <c r="A41" s="139" t="s">
        <v>687</v>
      </c>
      <c r="B41" s="103" t="s">
        <v>503</v>
      </c>
      <c r="C41" s="103" t="s">
        <v>380</v>
      </c>
      <c r="D41" s="103" t="s">
        <v>350</v>
      </c>
      <c r="E41" s="104" t="s">
        <v>422</v>
      </c>
      <c r="F41" s="150" t="s">
        <v>413</v>
      </c>
      <c r="G41" s="22" t="s">
        <v>806</v>
      </c>
      <c r="H41" s="22" t="s">
        <v>820</v>
      </c>
      <c r="I41" s="103" t="s">
        <v>823</v>
      </c>
      <c r="J41" s="139" t="s">
        <v>354</v>
      </c>
      <c r="K41" s="141" t="n">
        <v>10</v>
      </c>
      <c r="L41" s="106" t="s">
        <v>413</v>
      </c>
      <c r="M41" s="103" t="s">
        <v>505</v>
      </c>
      <c r="N41" s="107"/>
    </row>
    <row r="42" customFormat="false" ht="336" hidden="false" customHeight="true" outlineLevel="0" collapsed="false">
      <c r="A42" s="139"/>
      <c r="B42" s="103"/>
      <c r="C42" s="103"/>
      <c r="D42" s="103"/>
      <c r="E42" s="104"/>
      <c r="F42" s="150"/>
      <c r="G42" s="22"/>
      <c r="H42" s="22"/>
      <c r="I42" s="103" t="s">
        <v>507</v>
      </c>
      <c r="J42" s="139" t="s">
        <v>368</v>
      </c>
      <c r="K42" s="141" t="n">
        <v>5</v>
      </c>
      <c r="L42" s="106" t="s">
        <v>413</v>
      </c>
      <c r="M42" s="113" t="s">
        <v>824</v>
      </c>
      <c r="N42" s="107"/>
    </row>
    <row r="43" customFormat="false" ht="266.25" hidden="false" customHeight="true" outlineLevel="0" collapsed="false">
      <c r="A43" s="139"/>
      <c r="B43" s="103"/>
      <c r="C43" s="103"/>
      <c r="D43" s="103"/>
      <c r="E43" s="104"/>
      <c r="F43" s="150"/>
      <c r="G43" s="22"/>
      <c r="H43" s="22"/>
      <c r="I43" s="103" t="s">
        <v>510</v>
      </c>
      <c r="J43" s="139" t="s">
        <v>368</v>
      </c>
      <c r="K43" s="141" t="n">
        <v>5</v>
      </c>
      <c r="L43" s="106" t="s">
        <v>413</v>
      </c>
      <c r="M43" s="113" t="s">
        <v>825</v>
      </c>
      <c r="N43" s="107"/>
    </row>
    <row r="44" customFormat="false" ht="53.25" hidden="false" customHeight="true" outlineLevel="0" collapsed="false">
      <c r="A44" s="139" t="s">
        <v>697</v>
      </c>
      <c r="B44" s="103" t="s">
        <v>513</v>
      </c>
      <c r="C44" s="103" t="s">
        <v>514</v>
      </c>
      <c r="D44" s="103" t="s">
        <v>350</v>
      </c>
      <c r="E44" s="104" t="s">
        <v>305</v>
      </c>
      <c r="F44" s="150" t="s">
        <v>413</v>
      </c>
      <c r="G44" s="22" t="s">
        <v>806</v>
      </c>
      <c r="H44" s="22" t="s">
        <v>820</v>
      </c>
      <c r="I44" s="103" t="s">
        <v>826</v>
      </c>
      <c r="J44" s="139" t="s">
        <v>354</v>
      </c>
      <c r="K44" s="141" t="n">
        <v>10</v>
      </c>
      <c r="L44" s="106" t="s">
        <v>413</v>
      </c>
      <c r="M44" s="113" t="s">
        <v>827</v>
      </c>
      <c r="N44" s="107"/>
    </row>
    <row r="45" customFormat="false" ht="137.25" hidden="false" customHeight="true" outlineLevel="0" collapsed="false">
      <c r="A45" s="139"/>
      <c r="B45" s="103"/>
      <c r="C45" s="103"/>
      <c r="D45" s="103"/>
      <c r="E45" s="104"/>
      <c r="F45" s="150"/>
      <c r="G45" s="22"/>
      <c r="H45" s="22"/>
      <c r="I45" s="103" t="s">
        <v>519</v>
      </c>
      <c r="J45" s="139" t="s">
        <v>368</v>
      </c>
      <c r="K45" s="141" t="n">
        <v>3.33</v>
      </c>
      <c r="L45" s="106" t="s">
        <v>413</v>
      </c>
      <c r="M45" s="113" t="s">
        <v>828</v>
      </c>
      <c r="N45" s="107"/>
    </row>
    <row r="46" customFormat="false" ht="186.75" hidden="false" customHeight="true" outlineLevel="0" collapsed="false">
      <c r="A46" s="139"/>
      <c r="B46" s="103"/>
      <c r="C46" s="103"/>
      <c r="D46" s="103"/>
      <c r="E46" s="104"/>
      <c r="F46" s="150"/>
      <c r="G46" s="22"/>
      <c r="H46" s="22"/>
      <c r="I46" s="103" t="s">
        <v>522</v>
      </c>
      <c r="J46" s="139" t="s">
        <v>368</v>
      </c>
      <c r="K46" s="141" t="n">
        <v>3.33</v>
      </c>
      <c r="L46" s="106" t="s">
        <v>413</v>
      </c>
      <c r="M46" s="132" t="s">
        <v>829</v>
      </c>
      <c r="N46" s="107"/>
    </row>
    <row r="47" customFormat="false" ht="180" hidden="false" customHeight="true" outlineLevel="0" collapsed="false">
      <c r="A47" s="139"/>
      <c r="B47" s="103"/>
      <c r="C47" s="103"/>
      <c r="D47" s="103"/>
      <c r="E47" s="104"/>
      <c r="F47" s="150"/>
      <c r="G47" s="22"/>
      <c r="H47" s="22"/>
      <c r="I47" s="103" t="s">
        <v>525</v>
      </c>
      <c r="J47" s="139" t="s">
        <v>368</v>
      </c>
      <c r="K47" s="141" t="n">
        <v>3.33</v>
      </c>
      <c r="L47" s="106" t="s">
        <v>413</v>
      </c>
      <c r="M47" s="113" t="s">
        <v>830</v>
      </c>
      <c r="N47" s="107"/>
    </row>
    <row r="48" customFormat="false" ht="271.5" hidden="false" customHeight="true" outlineLevel="0" collapsed="false">
      <c r="A48" s="139" t="s">
        <v>700</v>
      </c>
      <c r="B48" s="103" t="s">
        <v>528</v>
      </c>
      <c r="C48" s="103" t="s">
        <v>380</v>
      </c>
      <c r="D48" s="103" t="s">
        <v>350</v>
      </c>
      <c r="E48" s="104" t="s">
        <v>308</v>
      </c>
      <c r="F48" s="150" t="s">
        <v>413</v>
      </c>
      <c r="G48" s="22" t="s">
        <v>806</v>
      </c>
      <c r="H48" s="22" t="s">
        <v>820</v>
      </c>
      <c r="I48" s="103" t="s">
        <v>831</v>
      </c>
      <c r="J48" s="139" t="s">
        <v>354</v>
      </c>
      <c r="K48" s="141" t="n">
        <v>10</v>
      </c>
      <c r="L48" s="106" t="s">
        <v>413</v>
      </c>
      <c r="M48" s="116" t="s">
        <v>832</v>
      </c>
      <c r="N48" s="107"/>
    </row>
    <row r="49" customFormat="false" ht="96" hidden="false" customHeight="true" outlineLevel="0" collapsed="false">
      <c r="A49" s="102" t="s">
        <v>608</v>
      </c>
      <c r="B49" s="103" t="s">
        <v>441</v>
      </c>
      <c r="C49" s="103" t="s">
        <v>380</v>
      </c>
      <c r="D49" s="103" t="s">
        <v>350</v>
      </c>
      <c r="E49" s="104" t="s">
        <v>499</v>
      </c>
      <c r="F49" s="150" t="s">
        <v>413</v>
      </c>
      <c r="G49" s="22" t="s">
        <v>806</v>
      </c>
      <c r="H49" s="22" t="s">
        <v>531</v>
      </c>
      <c r="I49" s="103" t="s">
        <v>833</v>
      </c>
      <c r="J49" s="102" t="s">
        <v>354</v>
      </c>
      <c r="K49" s="105" t="n">
        <v>10</v>
      </c>
      <c r="L49" s="138" t="s">
        <v>413</v>
      </c>
      <c r="M49" s="113" t="s">
        <v>532</v>
      </c>
      <c r="N49" s="123"/>
    </row>
    <row r="50" customFormat="false" ht="50.25" hidden="false" customHeight="true" outlineLevel="0" collapsed="false">
      <c r="A50" s="102"/>
      <c r="B50" s="103"/>
      <c r="C50" s="103"/>
      <c r="D50" s="103"/>
      <c r="E50" s="104"/>
      <c r="F50" s="150"/>
      <c r="G50" s="22"/>
      <c r="H50" s="22"/>
      <c r="I50" s="109" t="s">
        <v>537</v>
      </c>
      <c r="J50" s="102" t="s">
        <v>354</v>
      </c>
      <c r="K50" s="151" t="n">
        <v>10</v>
      </c>
      <c r="L50" s="106" t="s">
        <v>413</v>
      </c>
      <c r="M50" s="152" t="s">
        <v>538</v>
      </c>
      <c r="N50" s="153"/>
    </row>
    <row r="51" customFormat="false" ht="153" hidden="false" customHeight="true" outlineLevel="0" collapsed="false">
      <c r="A51" s="102"/>
      <c r="B51" s="103"/>
      <c r="C51" s="103"/>
      <c r="D51" s="103"/>
      <c r="E51" s="104"/>
      <c r="F51" s="150"/>
      <c r="G51" s="22"/>
      <c r="H51" s="22"/>
      <c r="I51" s="113" t="s">
        <v>540</v>
      </c>
      <c r="J51" s="112" t="s">
        <v>368</v>
      </c>
      <c r="K51" s="149" t="n">
        <v>3.33</v>
      </c>
      <c r="L51" s="111" t="s">
        <v>413</v>
      </c>
      <c r="M51" s="134" t="s">
        <v>834</v>
      </c>
      <c r="N51" s="123"/>
    </row>
    <row r="52" customFormat="false" ht="19.5" hidden="false" customHeight="true" outlineLevel="0" collapsed="false">
      <c r="A52" s="102"/>
      <c r="B52" s="103"/>
      <c r="C52" s="103"/>
      <c r="D52" s="103"/>
      <c r="E52" s="104"/>
      <c r="F52" s="150"/>
      <c r="G52" s="22"/>
      <c r="H52" s="22"/>
      <c r="I52" s="113" t="s">
        <v>544</v>
      </c>
      <c r="J52" s="112" t="s">
        <v>545</v>
      </c>
      <c r="K52" s="149" t="n">
        <v>0.56</v>
      </c>
      <c r="L52" s="111" t="s">
        <v>413</v>
      </c>
      <c r="M52" s="113" t="s">
        <v>546</v>
      </c>
      <c r="N52" s="154"/>
    </row>
    <row r="53" customFormat="false" ht="19.5" hidden="false" customHeight="true" outlineLevel="0" collapsed="false">
      <c r="A53" s="102"/>
      <c r="B53" s="103"/>
      <c r="C53" s="103"/>
      <c r="D53" s="103"/>
      <c r="E53" s="104"/>
      <c r="F53" s="150"/>
      <c r="G53" s="22"/>
      <c r="H53" s="22"/>
      <c r="I53" s="113" t="s">
        <v>549</v>
      </c>
      <c r="J53" s="112" t="s">
        <v>550</v>
      </c>
      <c r="K53" s="149" t="n">
        <v>0.56</v>
      </c>
      <c r="L53" s="109" t="s">
        <v>413</v>
      </c>
      <c r="M53" s="113" t="s">
        <v>546</v>
      </c>
      <c r="N53" s="123"/>
    </row>
    <row r="54" customFormat="false" ht="22.5" hidden="false" customHeight="true" outlineLevel="0" collapsed="false">
      <c r="A54" s="102"/>
      <c r="B54" s="103"/>
      <c r="C54" s="103"/>
      <c r="D54" s="103"/>
      <c r="E54" s="104"/>
      <c r="F54" s="150"/>
      <c r="G54" s="22"/>
      <c r="H54" s="22"/>
      <c r="I54" s="113" t="s">
        <v>553</v>
      </c>
      <c r="J54" s="112" t="s">
        <v>554</v>
      </c>
      <c r="K54" s="114" t="n">
        <v>0.56</v>
      </c>
      <c r="L54" s="155" t="s">
        <v>413</v>
      </c>
      <c r="M54" s="113" t="s">
        <v>546</v>
      </c>
      <c r="N54" s="107"/>
    </row>
    <row r="55" customFormat="false" ht="79.5" hidden="false" customHeight="true" outlineLevel="0" collapsed="false">
      <c r="A55" s="102"/>
      <c r="B55" s="103"/>
      <c r="C55" s="103"/>
      <c r="D55" s="103"/>
      <c r="E55" s="104"/>
      <c r="F55" s="150"/>
      <c r="G55" s="22"/>
      <c r="H55" s="22"/>
      <c r="I55" s="113" t="s">
        <v>556</v>
      </c>
      <c r="J55" s="112" t="s">
        <v>368</v>
      </c>
      <c r="K55" s="114" t="n">
        <v>3.3</v>
      </c>
      <c r="L55" s="111" t="s">
        <v>413</v>
      </c>
      <c r="M55" s="113" t="s">
        <v>835</v>
      </c>
      <c r="N55" s="107"/>
    </row>
    <row r="56" customFormat="false" ht="19.5" hidden="false" customHeight="true" outlineLevel="0" collapsed="false">
      <c r="A56" s="102"/>
      <c r="B56" s="103"/>
      <c r="C56" s="103"/>
      <c r="D56" s="103"/>
      <c r="E56" s="104"/>
      <c r="F56" s="150"/>
      <c r="G56" s="22"/>
      <c r="H56" s="22"/>
      <c r="I56" s="113" t="s">
        <v>544</v>
      </c>
      <c r="J56" s="112" t="s">
        <v>545</v>
      </c>
      <c r="K56" s="114" t="n">
        <v>0.56</v>
      </c>
      <c r="L56" s="111" t="s">
        <v>413</v>
      </c>
      <c r="M56" s="113" t="s">
        <v>546</v>
      </c>
      <c r="N56" s="107"/>
    </row>
    <row r="57" customFormat="false" ht="19.5" hidden="false" customHeight="true" outlineLevel="0" collapsed="false">
      <c r="A57" s="102"/>
      <c r="B57" s="103"/>
      <c r="C57" s="103"/>
      <c r="D57" s="103"/>
      <c r="E57" s="104"/>
      <c r="F57" s="150"/>
      <c r="G57" s="22"/>
      <c r="H57" s="22"/>
      <c r="I57" s="113" t="s">
        <v>549</v>
      </c>
      <c r="J57" s="112" t="s">
        <v>550</v>
      </c>
      <c r="K57" s="114" t="n">
        <v>0.56</v>
      </c>
      <c r="L57" s="111" t="s">
        <v>413</v>
      </c>
      <c r="M57" s="113" t="s">
        <v>546</v>
      </c>
      <c r="N57" s="107"/>
    </row>
    <row r="58" customFormat="false" ht="27" hidden="false" customHeight="true" outlineLevel="0" collapsed="false">
      <c r="A58" s="102"/>
      <c r="B58" s="103"/>
      <c r="C58" s="103"/>
      <c r="D58" s="103"/>
      <c r="E58" s="104"/>
      <c r="F58" s="150"/>
      <c r="G58" s="22"/>
      <c r="H58" s="22"/>
      <c r="I58" s="113" t="s">
        <v>553</v>
      </c>
      <c r="J58" s="112" t="s">
        <v>554</v>
      </c>
      <c r="K58" s="114" t="n">
        <v>0.56</v>
      </c>
      <c r="L58" s="111" t="s">
        <v>413</v>
      </c>
      <c r="M58" s="113" t="s">
        <v>546</v>
      </c>
      <c r="N58" s="107"/>
    </row>
    <row r="59" customFormat="false" ht="87" hidden="false" customHeight="true" outlineLevel="0" collapsed="false">
      <c r="A59" s="102"/>
      <c r="B59" s="103"/>
      <c r="C59" s="103"/>
      <c r="D59" s="103"/>
      <c r="E59" s="104"/>
      <c r="F59" s="150"/>
      <c r="G59" s="22"/>
      <c r="H59" s="22"/>
      <c r="I59" s="113" t="s">
        <v>565</v>
      </c>
      <c r="J59" s="112" t="s">
        <v>368</v>
      </c>
      <c r="K59" s="114" t="n">
        <v>3.3</v>
      </c>
      <c r="L59" s="111" t="s">
        <v>413</v>
      </c>
      <c r="M59" s="113" t="s">
        <v>566</v>
      </c>
      <c r="N59" s="107"/>
    </row>
    <row r="60" customFormat="false" ht="19.5" hidden="false" customHeight="true" outlineLevel="0" collapsed="false">
      <c r="A60" s="102"/>
      <c r="B60" s="103"/>
      <c r="C60" s="103"/>
      <c r="D60" s="103"/>
      <c r="E60" s="104"/>
      <c r="F60" s="150"/>
      <c r="G60" s="22"/>
      <c r="H60" s="22"/>
      <c r="I60" s="113" t="s">
        <v>544</v>
      </c>
      <c r="J60" s="112" t="s">
        <v>545</v>
      </c>
      <c r="K60" s="114" t="n">
        <v>0.56</v>
      </c>
      <c r="L60" s="111" t="s">
        <v>413</v>
      </c>
      <c r="M60" s="113" t="s">
        <v>546</v>
      </c>
      <c r="N60" s="107"/>
    </row>
    <row r="61" customFormat="false" ht="19.5" hidden="false" customHeight="true" outlineLevel="0" collapsed="false">
      <c r="A61" s="102"/>
      <c r="B61" s="103"/>
      <c r="C61" s="103"/>
      <c r="D61" s="103"/>
      <c r="E61" s="104"/>
      <c r="F61" s="150"/>
      <c r="G61" s="22"/>
      <c r="H61" s="22"/>
      <c r="I61" s="113" t="s">
        <v>549</v>
      </c>
      <c r="J61" s="112" t="s">
        <v>550</v>
      </c>
      <c r="K61" s="114" t="n">
        <v>0.56</v>
      </c>
      <c r="L61" s="111" t="s">
        <v>413</v>
      </c>
      <c r="M61" s="113" t="s">
        <v>546</v>
      </c>
      <c r="N61" s="107"/>
    </row>
    <row r="62" customFormat="false" ht="30.75" hidden="false" customHeight="true" outlineLevel="0" collapsed="false">
      <c r="A62" s="102"/>
      <c r="B62" s="103"/>
      <c r="C62" s="103"/>
      <c r="D62" s="103"/>
      <c r="E62" s="104"/>
      <c r="F62" s="150"/>
      <c r="G62" s="22"/>
      <c r="H62" s="22"/>
      <c r="I62" s="113" t="s">
        <v>553</v>
      </c>
      <c r="J62" s="112" t="s">
        <v>554</v>
      </c>
      <c r="K62" s="114" t="n">
        <v>0.56</v>
      </c>
      <c r="L62" s="111" t="s">
        <v>413</v>
      </c>
      <c r="M62" s="113" t="s">
        <v>546</v>
      </c>
      <c r="N62" s="107"/>
    </row>
    <row r="63" customFormat="false" ht="50.25" hidden="false" customHeight="true" outlineLevel="0" collapsed="false">
      <c r="A63" s="102" t="s">
        <v>639</v>
      </c>
      <c r="B63" s="103" t="s">
        <v>426</v>
      </c>
      <c r="C63" s="103" t="s">
        <v>380</v>
      </c>
      <c r="D63" s="103" t="s">
        <v>350</v>
      </c>
      <c r="E63" s="104" t="s">
        <v>513</v>
      </c>
      <c r="F63" s="150" t="s">
        <v>413</v>
      </c>
      <c r="G63" s="22" t="s">
        <v>535</v>
      </c>
      <c r="H63" s="22" t="s">
        <v>575</v>
      </c>
      <c r="I63" s="109" t="s">
        <v>576</v>
      </c>
      <c r="J63" s="102" t="s">
        <v>354</v>
      </c>
      <c r="K63" s="105" t="n">
        <v>10</v>
      </c>
      <c r="L63" s="111" t="s">
        <v>413</v>
      </c>
      <c r="M63" s="113" t="s">
        <v>380</v>
      </c>
      <c r="N63" s="107"/>
    </row>
    <row r="64" customFormat="false" ht="96" hidden="false" customHeight="true" outlineLevel="0" collapsed="false">
      <c r="A64" s="112" t="s">
        <v>643</v>
      </c>
      <c r="B64" s="113" t="s">
        <v>177</v>
      </c>
      <c r="C64" s="113" t="s">
        <v>380</v>
      </c>
      <c r="D64" s="103" t="s">
        <v>350</v>
      </c>
      <c r="E64" s="104" t="s">
        <v>253</v>
      </c>
      <c r="F64" s="150" t="s">
        <v>413</v>
      </c>
      <c r="G64" s="22" t="s">
        <v>535</v>
      </c>
      <c r="H64" s="22" t="s">
        <v>575</v>
      </c>
      <c r="I64" s="113" t="s">
        <v>578</v>
      </c>
      <c r="J64" s="112" t="s">
        <v>368</v>
      </c>
      <c r="K64" s="105" t="n">
        <v>3.33</v>
      </c>
      <c r="L64" s="106" t="s">
        <v>413</v>
      </c>
      <c r="M64" s="113" t="s">
        <v>836</v>
      </c>
      <c r="N64" s="107" t="s">
        <v>580</v>
      </c>
    </row>
    <row r="65" customFormat="false" ht="141" hidden="false" customHeight="true" outlineLevel="0" collapsed="false">
      <c r="A65" s="112" t="s">
        <v>646</v>
      </c>
      <c r="B65" s="113" t="s">
        <v>180</v>
      </c>
      <c r="C65" s="113" t="s">
        <v>380</v>
      </c>
      <c r="D65" s="103" t="s">
        <v>350</v>
      </c>
      <c r="E65" s="104" t="s">
        <v>259</v>
      </c>
      <c r="F65" s="150" t="s">
        <v>413</v>
      </c>
      <c r="G65" s="22" t="s">
        <v>535</v>
      </c>
      <c r="H65" s="22" t="s">
        <v>575</v>
      </c>
      <c r="I65" s="113" t="s">
        <v>582</v>
      </c>
      <c r="J65" s="112" t="s">
        <v>368</v>
      </c>
      <c r="K65" s="105" t="n">
        <v>3.33</v>
      </c>
      <c r="L65" s="106" t="s">
        <v>413</v>
      </c>
      <c r="M65" s="113" t="s">
        <v>837</v>
      </c>
      <c r="N65" s="107"/>
    </row>
    <row r="66" customFormat="false" ht="30" hidden="false" customHeight="true" outlineLevel="0" collapsed="false">
      <c r="A66" s="112" t="s">
        <v>838</v>
      </c>
      <c r="B66" s="113" t="s">
        <v>380</v>
      </c>
      <c r="C66" s="113" t="s">
        <v>380</v>
      </c>
      <c r="D66" s="103" t="s">
        <v>350</v>
      </c>
      <c r="E66" s="104" t="s">
        <v>839</v>
      </c>
      <c r="F66" s="150" t="s">
        <v>413</v>
      </c>
      <c r="G66" s="22" t="s">
        <v>535</v>
      </c>
      <c r="H66" s="22" t="s">
        <v>575</v>
      </c>
      <c r="I66" s="113" t="s">
        <v>565</v>
      </c>
      <c r="J66" s="112" t="s">
        <v>368</v>
      </c>
      <c r="K66" s="105" t="n">
        <v>3.33</v>
      </c>
      <c r="L66" s="111" t="s">
        <v>413</v>
      </c>
      <c r="M66" s="113" t="s">
        <v>840</v>
      </c>
      <c r="N66" s="107"/>
    </row>
    <row r="67" customFormat="false" ht="37.5" hidden="false" customHeight="true" outlineLevel="0" collapsed="false">
      <c r="A67" s="102" t="s">
        <v>649</v>
      </c>
      <c r="B67" s="103" t="s">
        <v>515</v>
      </c>
      <c r="C67" s="103" t="s">
        <v>380</v>
      </c>
      <c r="D67" s="103" t="s">
        <v>350</v>
      </c>
      <c r="E67" s="104" t="s">
        <v>650</v>
      </c>
      <c r="F67" s="150" t="s">
        <v>413</v>
      </c>
      <c r="G67" s="22" t="s">
        <v>535</v>
      </c>
      <c r="H67" s="22" t="s">
        <v>588</v>
      </c>
      <c r="I67" s="109" t="s">
        <v>589</v>
      </c>
      <c r="J67" s="102" t="s">
        <v>354</v>
      </c>
      <c r="K67" s="105" t="n">
        <v>10</v>
      </c>
      <c r="L67" s="106" t="s">
        <v>413</v>
      </c>
      <c r="M67" s="113" t="s">
        <v>380</v>
      </c>
      <c r="N67" s="107"/>
    </row>
    <row r="68" customFormat="false" ht="207" hidden="false" customHeight="true" outlineLevel="0" collapsed="false">
      <c r="A68" s="102" t="s">
        <v>653</v>
      </c>
      <c r="B68" s="103" t="s">
        <v>380</v>
      </c>
      <c r="C68" s="103" t="s">
        <v>380</v>
      </c>
      <c r="D68" s="103" t="s">
        <v>350</v>
      </c>
      <c r="E68" s="104" t="s">
        <v>262</v>
      </c>
      <c r="F68" s="150" t="s">
        <v>413</v>
      </c>
      <c r="G68" s="22" t="s">
        <v>535</v>
      </c>
      <c r="H68" s="22" t="s">
        <v>588</v>
      </c>
      <c r="I68" s="113" t="s">
        <v>591</v>
      </c>
      <c r="J68" s="112" t="s">
        <v>368</v>
      </c>
      <c r="K68" s="105" t="n">
        <v>3.33</v>
      </c>
      <c r="L68" s="111" t="s">
        <v>413</v>
      </c>
      <c r="M68" s="113" t="s">
        <v>841</v>
      </c>
      <c r="N68" s="107"/>
    </row>
    <row r="69" customFormat="false" ht="143.25" hidden="false" customHeight="true" outlineLevel="0" collapsed="false">
      <c r="A69" s="102" t="s">
        <v>656</v>
      </c>
      <c r="B69" s="103" t="s">
        <v>380</v>
      </c>
      <c r="C69" s="103" t="s">
        <v>380</v>
      </c>
      <c r="D69" s="103" t="s">
        <v>350</v>
      </c>
      <c r="E69" s="104" t="s">
        <v>268</v>
      </c>
      <c r="F69" s="150" t="s">
        <v>413</v>
      </c>
      <c r="G69" s="22" t="s">
        <v>535</v>
      </c>
      <c r="H69" s="22" t="s">
        <v>588</v>
      </c>
      <c r="I69" s="113" t="s">
        <v>582</v>
      </c>
      <c r="J69" s="112" t="s">
        <v>368</v>
      </c>
      <c r="K69" s="105" t="n">
        <v>3.33</v>
      </c>
      <c r="L69" s="111" t="s">
        <v>413</v>
      </c>
      <c r="M69" s="113" t="s">
        <v>594</v>
      </c>
      <c r="N69" s="107"/>
    </row>
    <row r="70" customFormat="false" ht="159.75" hidden="false" customHeight="true" outlineLevel="0" collapsed="false">
      <c r="A70" s="102" t="s">
        <v>842</v>
      </c>
      <c r="B70" s="103" t="s">
        <v>380</v>
      </c>
      <c r="C70" s="103" t="s">
        <v>380</v>
      </c>
      <c r="D70" s="103" t="s">
        <v>350</v>
      </c>
      <c r="E70" s="104" t="s">
        <v>843</v>
      </c>
      <c r="F70" s="150" t="s">
        <v>413</v>
      </c>
      <c r="G70" s="22" t="s">
        <v>535</v>
      </c>
      <c r="H70" s="22" t="s">
        <v>588</v>
      </c>
      <c r="I70" s="113" t="s">
        <v>565</v>
      </c>
      <c r="J70" s="112" t="s">
        <v>368</v>
      </c>
      <c r="K70" s="105" t="n">
        <v>3.33</v>
      </c>
      <c r="L70" s="111" t="s">
        <v>413</v>
      </c>
      <c r="M70" s="113" t="s">
        <v>596</v>
      </c>
      <c r="N70" s="107"/>
    </row>
    <row r="71" customFormat="false" ht="37.5" hidden="false" customHeight="true" outlineLevel="0" collapsed="false">
      <c r="A71" s="102" t="s">
        <v>660</v>
      </c>
      <c r="B71" s="103" t="s">
        <v>380</v>
      </c>
      <c r="C71" s="103" t="s">
        <v>380</v>
      </c>
      <c r="D71" s="103" t="s">
        <v>350</v>
      </c>
      <c r="E71" s="104" t="s">
        <v>271</v>
      </c>
      <c r="F71" s="150" t="s">
        <v>413</v>
      </c>
      <c r="G71" s="22" t="s">
        <v>535</v>
      </c>
      <c r="H71" s="22" t="s">
        <v>599</v>
      </c>
      <c r="I71" s="109" t="s">
        <v>600</v>
      </c>
      <c r="J71" s="102" t="s">
        <v>354</v>
      </c>
      <c r="K71" s="105" t="n">
        <v>10</v>
      </c>
      <c r="L71" s="111" t="s">
        <v>413</v>
      </c>
      <c r="M71" s="113" t="s">
        <v>380</v>
      </c>
      <c r="N71" s="107"/>
    </row>
    <row r="72" customFormat="false" ht="203.25" hidden="false" customHeight="true" outlineLevel="0" collapsed="false">
      <c r="A72" s="102" t="s">
        <v>844</v>
      </c>
      <c r="B72" s="103" t="s">
        <v>380</v>
      </c>
      <c r="C72" s="103" t="s">
        <v>380</v>
      </c>
      <c r="D72" s="103" t="s">
        <v>350</v>
      </c>
      <c r="E72" s="104" t="s">
        <v>845</v>
      </c>
      <c r="F72" s="150" t="s">
        <v>413</v>
      </c>
      <c r="G72" s="22" t="s">
        <v>535</v>
      </c>
      <c r="H72" s="22" t="s">
        <v>599</v>
      </c>
      <c r="I72" s="113" t="s">
        <v>602</v>
      </c>
      <c r="J72" s="112" t="s">
        <v>368</v>
      </c>
      <c r="K72" s="105" t="n">
        <v>3.3</v>
      </c>
      <c r="L72" s="106" t="s">
        <v>413</v>
      </c>
      <c r="M72" s="113" t="s">
        <v>846</v>
      </c>
      <c r="N72" s="107"/>
    </row>
    <row r="73" customFormat="false" ht="190.5" hidden="false" customHeight="true" outlineLevel="0" collapsed="false">
      <c r="A73" s="102" t="s">
        <v>847</v>
      </c>
      <c r="B73" s="103" t="s">
        <v>380</v>
      </c>
      <c r="C73" s="103" t="s">
        <v>380</v>
      </c>
      <c r="D73" s="103" t="s">
        <v>350</v>
      </c>
      <c r="E73" s="104" t="s">
        <v>848</v>
      </c>
      <c r="F73" s="150" t="s">
        <v>413</v>
      </c>
      <c r="G73" s="22" t="s">
        <v>535</v>
      </c>
      <c r="H73" s="22" t="s">
        <v>599</v>
      </c>
      <c r="I73" s="113" t="s">
        <v>582</v>
      </c>
      <c r="J73" s="112" t="s">
        <v>368</v>
      </c>
      <c r="K73" s="105" t="n">
        <v>3.3</v>
      </c>
      <c r="L73" s="106" t="s">
        <v>413</v>
      </c>
      <c r="M73" s="113" t="s">
        <v>605</v>
      </c>
      <c r="N73" s="107"/>
    </row>
    <row r="74" customFormat="false" ht="50.25" hidden="false" customHeight="true" outlineLevel="0" collapsed="false">
      <c r="A74" s="102" t="s">
        <v>849</v>
      </c>
      <c r="B74" s="103" t="s">
        <v>380</v>
      </c>
      <c r="C74" s="103" t="s">
        <v>380</v>
      </c>
      <c r="D74" s="103" t="s">
        <v>350</v>
      </c>
      <c r="E74" s="104" t="s">
        <v>850</v>
      </c>
      <c r="F74" s="150" t="s">
        <v>413</v>
      </c>
      <c r="G74" s="22" t="s">
        <v>535</v>
      </c>
      <c r="H74" s="22" t="s">
        <v>599</v>
      </c>
      <c r="I74" s="113" t="s">
        <v>565</v>
      </c>
      <c r="J74" s="112" t="s">
        <v>368</v>
      </c>
      <c r="K74" s="105" t="n">
        <v>3.3</v>
      </c>
      <c r="L74" s="106" t="s">
        <v>413</v>
      </c>
      <c r="M74" s="113" t="s">
        <v>607</v>
      </c>
      <c r="N74" s="107"/>
    </row>
    <row r="75" customFormat="false" ht="50.25" hidden="false" customHeight="true" outlineLevel="0" collapsed="false">
      <c r="A75" s="102"/>
      <c r="B75" s="103"/>
      <c r="C75" s="103"/>
      <c r="D75" s="103"/>
      <c r="E75" s="104"/>
      <c r="F75" s="104" t="s">
        <v>413</v>
      </c>
      <c r="G75" s="22" t="s">
        <v>609</v>
      </c>
      <c r="H75" s="22" t="s">
        <v>609</v>
      </c>
      <c r="I75" s="156" t="s">
        <v>610</v>
      </c>
      <c r="J75" s="112" t="s">
        <v>354</v>
      </c>
      <c r="K75" s="105" t="n">
        <v>10</v>
      </c>
      <c r="L75" s="106" t="s">
        <v>413</v>
      </c>
      <c r="M75" s="113" t="s">
        <v>538</v>
      </c>
      <c r="N75" s="107"/>
    </row>
    <row r="76" customFormat="false" ht="50.25" hidden="false" customHeight="true" outlineLevel="0" collapsed="false">
      <c r="A76" s="102"/>
      <c r="B76" s="103"/>
      <c r="C76" s="103"/>
      <c r="D76" s="103"/>
      <c r="E76" s="104"/>
      <c r="F76" s="104" t="s">
        <v>413</v>
      </c>
      <c r="G76" s="22" t="s">
        <v>609</v>
      </c>
      <c r="H76" s="22" t="s">
        <v>609</v>
      </c>
      <c r="I76" s="157" t="s">
        <v>612</v>
      </c>
      <c r="J76" s="112" t="s">
        <v>368</v>
      </c>
      <c r="K76" s="105" t="n">
        <v>5</v>
      </c>
      <c r="L76" s="106" t="s">
        <v>413</v>
      </c>
      <c r="M76" s="113" t="s">
        <v>613</v>
      </c>
      <c r="N76" s="107" t="s">
        <v>614</v>
      </c>
    </row>
    <row r="77" customFormat="false" ht="50.25" hidden="false" customHeight="true" outlineLevel="0" collapsed="false">
      <c r="A77" s="102"/>
      <c r="B77" s="103"/>
      <c r="C77" s="103"/>
      <c r="D77" s="103"/>
      <c r="E77" s="104"/>
      <c r="F77" s="104" t="s">
        <v>413</v>
      </c>
      <c r="G77" s="22" t="s">
        <v>609</v>
      </c>
      <c r="H77" s="22" t="s">
        <v>609</v>
      </c>
      <c r="I77" s="113" t="s">
        <v>616</v>
      </c>
      <c r="J77" s="112" t="s">
        <v>368</v>
      </c>
      <c r="K77" s="105" t="n">
        <v>5</v>
      </c>
      <c r="L77" s="106" t="s">
        <v>413</v>
      </c>
      <c r="M77" s="113" t="s">
        <v>617</v>
      </c>
      <c r="N77" s="107" t="s">
        <v>618</v>
      </c>
    </row>
    <row r="78" customFormat="false" ht="47.25" hidden="false" customHeight="true" outlineLevel="0" collapsed="false">
      <c r="A78" s="139" t="s">
        <v>586</v>
      </c>
      <c r="B78" s="158" t="s">
        <v>380</v>
      </c>
      <c r="C78" s="158" t="s">
        <v>380</v>
      </c>
      <c r="D78" s="158" t="s">
        <v>350</v>
      </c>
      <c r="E78" s="104" t="s">
        <v>587</v>
      </c>
      <c r="F78" s="104" t="s">
        <v>413</v>
      </c>
      <c r="G78" s="22" t="s">
        <v>609</v>
      </c>
      <c r="H78" s="22" t="s">
        <v>609</v>
      </c>
      <c r="I78" s="109" t="s">
        <v>620</v>
      </c>
      <c r="J78" s="139" t="s">
        <v>354</v>
      </c>
      <c r="K78" s="141" t="n">
        <v>10</v>
      </c>
      <c r="L78" s="159" t="s">
        <v>413</v>
      </c>
      <c r="M78" s="113" t="s">
        <v>621</v>
      </c>
      <c r="N78" s="107"/>
    </row>
    <row r="79" customFormat="false" ht="138" hidden="false" customHeight="true" outlineLevel="0" collapsed="false">
      <c r="A79" s="139" t="s">
        <v>590</v>
      </c>
      <c r="B79" s="158" t="s">
        <v>380</v>
      </c>
      <c r="C79" s="158" t="s">
        <v>380</v>
      </c>
      <c r="D79" s="158" t="s">
        <v>350</v>
      </c>
      <c r="E79" s="104" t="s">
        <v>216</v>
      </c>
      <c r="F79" s="104" t="s">
        <v>413</v>
      </c>
      <c r="G79" s="22" t="s">
        <v>609</v>
      </c>
      <c r="H79" s="22" t="s">
        <v>623</v>
      </c>
      <c r="I79" s="49" t="s">
        <v>624</v>
      </c>
      <c r="J79" s="139" t="s">
        <v>368</v>
      </c>
      <c r="K79" s="141" t="n">
        <v>2.5</v>
      </c>
      <c r="L79" s="159" t="s">
        <v>413</v>
      </c>
      <c r="M79" s="113" t="s">
        <v>851</v>
      </c>
      <c r="N79" s="107"/>
    </row>
    <row r="80" customFormat="false" ht="147" hidden="false" customHeight="true" outlineLevel="0" collapsed="false">
      <c r="A80" s="139" t="s">
        <v>593</v>
      </c>
      <c r="B80" s="158" t="s">
        <v>380</v>
      </c>
      <c r="C80" s="158" t="s">
        <v>380</v>
      </c>
      <c r="D80" s="158" t="s">
        <v>350</v>
      </c>
      <c r="E80" s="104" t="s">
        <v>219</v>
      </c>
      <c r="F80" s="104" t="s">
        <v>413</v>
      </c>
      <c r="G80" s="22" t="s">
        <v>627</v>
      </c>
      <c r="H80" s="22" t="s">
        <v>628</v>
      </c>
      <c r="I80" s="30" t="s">
        <v>629</v>
      </c>
      <c r="J80" s="139" t="s">
        <v>368</v>
      </c>
      <c r="K80" s="141" t="n">
        <v>2.5</v>
      </c>
      <c r="L80" s="159" t="s">
        <v>413</v>
      </c>
      <c r="M80" s="113" t="s">
        <v>852</v>
      </c>
      <c r="N80" s="107"/>
    </row>
    <row r="81" customFormat="false" ht="102.75" hidden="false" customHeight="true" outlineLevel="0" collapsed="false">
      <c r="A81" s="139" t="s">
        <v>595</v>
      </c>
      <c r="B81" s="158" t="s">
        <v>380</v>
      </c>
      <c r="C81" s="158" t="s">
        <v>380</v>
      </c>
      <c r="D81" s="158" t="s">
        <v>350</v>
      </c>
      <c r="E81" s="104" t="s">
        <v>222</v>
      </c>
      <c r="F81" s="104" t="s">
        <v>413</v>
      </c>
      <c r="G81" s="22" t="s">
        <v>627</v>
      </c>
      <c r="H81" s="22" t="s">
        <v>632</v>
      </c>
      <c r="I81" s="49" t="s">
        <v>853</v>
      </c>
      <c r="J81" s="139" t="s">
        <v>368</v>
      </c>
      <c r="K81" s="141" t="n">
        <v>2.5</v>
      </c>
      <c r="L81" s="159" t="s">
        <v>413</v>
      </c>
      <c r="M81" s="113" t="s">
        <v>854</v>
      </c>
      <c r="N81" s="107"/>
    </row>
    <row r="82" customFormat="false" ht="107.25" hidden="false" customHeight="true" outlineLevel="0" collapsed="false">
      <c r="A82" s="139" t="s">
        <v>855</v>
      </c>
      <c r="B82" s="158" t="s">
        <v>380</v>
      </c>
      <c r="C82" s="158" t="s">
        <v>380</v>
      </c>
      <c r="D82" s="158" t="s">
        <v>350</v>
      </c>
      <c r="E82" s="104" t="s">
        <v>856</v>
      </c>
      <c r="F82" s="104" t="s">
        <v>413</v>
      </c>
      <c r="G82" s="22" t="s">
        <v>627</v>
      </c>
      <c r="H82" s="22" t="s">
        <v>636</v>
      </c>
      <c r="I82" s="49" t="s">
        <v>637</v>
      </c>
      <c r="J82" s="139" t="s">
        <v>368</v>
      </c>
      <c r="K82" s="141" t="n">
        <v>2.5</v>
      </c>
      <c r="L82" s="159" t="s">
        <v>413</v>
      </c>
      <c r="M82" s="113" t="s">
        <v>857</v>
      </c>
      <c r="N82" s="107"/>
    </row>
    <row r="83" customFormat="false" ht="33" hidden="false" customHeight="true" outlineLevel="0" collapsed="false">
      <c r="A83" s="102" t="s">
        <v>707</v>
      </c>
      <c r="B83" s="103" t="s">
        <v>534</v>
      </c>
      <c r="C83" s="103" t="s">
        <v>114</v>
      </c>
      <c r="D83" s="103" t="s">
        <v>350</v>
      </c>
      <c r="E83" s="104" t="s">
        <v>316</v>
      </c>
      <c r="F83" s="150" t="s">
        <v>413</v>
      </c>
      <c r="G83" s="126"/>
      <c r="H83" s="22" t="s">
        <v>641</v>
      </c>
      <c r="I83" s="109" t="s">
        <v>642</v>
      </c>
      <c r="J83" s="102" t="s">
        <v>354</v>
      </c>
      <c r="K83" s="105" t="n">
        <v>10</v>
      </c>
      <c r="L83" s="106" t="s">
        <v>355</v>
      </c>
      <c r="M83" s="30" t="s">
        <v>538</v>
      </c>
      <c r="N83" s="107"/>
    </row>
    <row r="84" customFormat="false" ht="246" hidden="false" customHeight="true" outlineLevel="0" collapsed="false">
      <c r="A84" s="102" t="s">
        <v>858</v>
      </c>
      <c r="B84" s="103" t="s">
        <v>380</v>
      </c>
      <c r="C84" s="103" t="s">
        <v>380</v>
      </c>
      <c r="D84" s="103" t="s">
        <v>350</v>
      </c>
      <c r="E84" s="104" t="s">
        <v>859</v>
      </c>
      <c r="F84" s="150" t="s">
        <v>413</v>
      </c>
      <c r="G84" s="22" t="s">
        <v>640</v>
      </c>
      <c r="H84" s="22" t="s">
        <v>641</v>
      </c>
      <c r="I84" s="113" t="s">
        <v>644</v>
      </c>
      <c r="J84" s="102" t="s">
        <v>368</v>
      </c>
      <c r="K84" s="105" t="n">
        <v>5</v>
      </c>
      <c r="L84" s="111" t="s">
        <v>355</v>
      </c>
      <c r="M84" s="113" t="s">
        <v>645</v>
      </c>
      <c r="N84" s="107"/>
    </row>
    <row r="85" customFormat="false" ht="391.5" hidden="false" customHeight="true" outlineLevel="0" collapsed="false">
      <c r="A85" s="102" t="s">
        <v>860</v>
      </c>
      <c r="B85" s="103" t="s">
        <v>380</v>
      </c>
      <c r="C85" s="103" t="s">
        <v>380</v>
      </c>
      <c r="D85" s="103" t="s">
        <v>350</v>
      </c>
      <c r="E85" s="104" t="s">
        <v>861</v>
      </c>
      <c r="F85" s="150" t="s">
        <v>413</v>
      </c>
      <c r="G85" s="22" t="s">
        <v>640</v>
      </c>
      <c r="H85" s="22" t="s">
        <v>641</v>
      </c>
      <c r="I85" s="113" t="s">
        <v>647</v>
      </c>
      <c r="J85" s="102" t="s">
        <v>368</v>
      </c>
      <c r="K85" s="105" t="n">
        <v>5</v>
      </c>
      <c r="L85" s="111" t="s">
        <v>413</v>
      </c>
      <c r="M85" s="113" t="s">
        <v>648</v>
      </c>
      <c r="N85" s="107"/>
    </row>
    <row r="86" customFormat="false" ht="37.5" hidden="false" customHeight="true" outlineLevel="0" collapsed="false">
      <c r="A86" s="102" t="s">
        <v>711</v>
      </c>
      <c r="B86" s="103" t="s">
        <v>380</v>
      </c>
      <c r="C86" s="103" t="s">
        <v>380</v>
      </c>
      <c r="D86" s="103" t="s">
        <v>350</v>
      </c>
      <c r="E86" s="104" t="s">
        <v>712</v>
      </c>
      <c r="F86" s="150" t="s">
        <v>413</v>
      </c>
      <c r="G86" s="22" t="s">
        <v>640</v>
      </c>
      <c r="H86" s="22" t="s">
        <v>651</v>
      </c>
      <c r="I86" s="103" t="s">
        <v>652</v>
      </c>
      <c r="J86" s="108" t="s">
        <v>354</v>
      </c>
      <c r="K86" s="110" t="n">
        <v>10</v>
      </c>
      <c r="L86" s="111" t="s">
        <v>413</v>
      </c>
      <c r="M86" s="113" t="s">
        <v>538</v>
      </c>
      <c r="N86" s="107"/>
    </row>
    <row r="87" customFormat="false" ht="37.5" hidden="false" customHeight="true" outlineLevel="0" collapsed="false">
      <c r="A87" s="102" t="s">
        <v>715</v>
      </c>
      <c r="B87" s="103" t="s">
        <v>380</v>
      </c>
      <c r="C87" s="103" t="s">
        <v>380</v>
      </c>
      <c r="D87" s="103" t="s">
        <v>350</v>
      </c>
      <c r="E87" s="104" t="s">
        <v>322</v>
      </c>
      <c r="F87" s="150" t="s">
        <v>413</v>
      </c>
      <c r="G87" s="22" t="s">
        <v>640</v>
      </c>
      <c r="H87" s="22" t="s">
        <v>651</v>
      </c>
      <c r="I87" s="103" t="s">
        <v>654</v>
      </c>
      <c r="J87" s="102" t="s">
        <v>368</v>
      </c>
      <c r="K87" s="105" t="n">
        <v>5</v>
      </c>
      <c r="L87" s="106" t="s">
        <v>355</v>
      </c>
      <c r="M87" s="113" t="s">
        <v>655</v>
      </c>
      <c r="N87" s="107"/>
    </row>
    <row r="88" customFormat="false" ht="36" hidden="false" customHeight="true" outlineLevel="0" collapsed="false">
      <c r="A88" s="102" t="s">
        <v>718</v>
      </c>
      <c r="B88" s="103" t="s">
        <v>380</v>
      </c>
      <c r="C88" s="103" t="s">
        <v>380</v>
      </c>
      <c r="D88" s="103" t="s">
        <v>350</v>
      </c>
      <c r="E88" s="104" t="s">
        <v>327</v>
      </c>
      <c r="F88" s="150" t="s">
        <v>413</v>
      </c>
      <c r="G88" s="22" t="s">
        <v>640</v>
      </c>
      <c r="H88" s="22" t="s">
        <v>651</v>
      </c>
      <c r="I88" s="103" t="s">
        <v>657</v>
      </c>
      <c r="J88" s="102" t="s">
        <v>368</v>
      </c>
      <c r="K88" s="105" t="n">
        <v>5</v>
      </c>
      <c r="L88" s="106" t="s">
        <v>413</v>
      </c>
      <c r="M88" s="113" t="s">
        <v>862</v>
      </c>
      <c r="N88" s="107"/>
    </row>
    <row r="89" customFormat="false" ht="32.25" hidden="false" customHeight="true" outlineLevel="0" collapsed="false">
      <c r="A89" s="139" t="s">
        <v>484</v>
      </c>
      <c r="B89" s="145" t="s">
        <v>380</v>
      </c>
      <c r="C89" s="145" t="s">
        <v>380</v>
      </c>
      <c r="D89" s="145" t="s">
        <v>350</v>
      </c>
      <c r="E89" s="104" t="s">
        <v>399</v>
      </c>
      <c r="F89" s="150" t="s">
        <v>413</v>
      </c>
      <c r="G89" s="22" t="s">
        <v>661</v>
      </c>
      <c r="H89" s="22" t="s">
        <v>662</v>
      </c>
      <c r="I89" s="160" t="s">
        <v>272</v>
      </c>
      <c r="J89" s="161" t="s">
        <v>354</v>
      </c>
      <c r="K89" s="162" t="n">
        <v>10</v>
      </c>
      <c r="L89" s="159" t="s">
        <v>663</v>
      </c>
      <c r="M89" s="103" t="s">
        <v>664</v>
      </c>
      <c r="N89" s="107"/>
    </row>
    <row r="90" s="174" customFormat="true" ht="201.75" hidden="false" customHeight="true" outlineLevel="0" collapsed="false">
      <c r="A90" s="163" t="s">
        <v>494</v>
      </c>
      <c r="B90" s="164"/>
      <c r="C90" s="164"/>
      <c r="D90" s="164" t="s">
        <v>350</v>
      </c>
      <c r="E90" s="165" t="s">
        <v>171</v>
      </c>
      <c r="F90" s="166" t="s">
        <v>413</v>
      </c>
      <c r="G90" s="167" t="s">
        <v>661</v>
      </c>
      <c r="H90" s="167" t="s">
        <v>667</v>
      </c>
      <c r="I90" s="168" t="s">
        <v>863</v>
      </c>
      <c r="J90" s="169" t="s">
        <v>354</v>
      </c>
      <c r="K90" s="170" t="n">
        <v>10</v>
      </c>
      <c r="L90" s="171" t="s">
        <v>663</v>
      </c>
      <c r="M90" s="172" t="s">
        <v>690</v>
      </c>
      <c r="N90" s="173"/>
    </row>
    <row r="91" s="174" customFormat="true" ht="108" hidden="false" customHeight="true" outlineLevel="0" collapsed="false">
      <c r="A91" s="163"/>
      <c r="B91" s="164"/>
      <c r="C91" s="164"/>
      <c r="D91" s="164"/>
      <c r="E91" s="165"/>
      <c r="F91" s="175"/>
      <c r="G91" s="167" t="s">
        <v>661</v>
      </c>
      <c r="H91" s="167" t="s">
        <v>667</v>
      </c>
      <c r="I91" s="176" t="s">
        <v>716</v>
      </c>
      <c r="J91" s="169" t="s">
        <v>368</v>
      </c>
      <c r="K91" s="177" t="n">
        <v>3.33</v>
      </c>
      <c r="L91" s="171" t="s">
        <v>355</v>
      </c>
      <c r="M91" s="172" t="s">
        <v>864</v>
      </c>
      <c r="N91" s="173"/>
    </row>
    <row r="92" s="174" customFormat="true" ht="81.75" hidden="false" customHeight="true" outlineLevel="0" collapsed="false">
      <c r="A92" s="163"/>
      <c r="B92" s="164"/>
      <c r="C92" s="164"/>
      <c r="D92" s="164"/>
      <c r="E92" s="165"/>
      <c r="F92" s="175"/>
      <c r="G92" s="167" t="s">
        <v>661</v>
      </c>
      <c r="H92" s="167" t="s">
        <v>667</v>
      </c>
      <c r="I92" s="172" t="s">
        <v>719</v>
      </c>
      <c r="J92" s="169" t="s">
        <v>368</v>
      </c>
      <c r="K92" s="177" t="n">
        <v>3.33</v>
      </c>
      <c r="L92" s="171" t="s">
        <v>413</v>
      </c>
      <c r="M92" s="172" t="s">
        <v>865</v>
      </c>
      <c r="N92" s="173"/>
    </row>
    <row r="93" s="184" customFormat="true" ht="139.5" hidden="false" customHeight="true" outlineLevel="0" collapsed="false">
      <c r="A93" s="178"/>
      <c r="B93" s="179"/>
      <c r="C93" s="179"/>
      <c r="D93" s="179"/>
      <c r="E93" s="180"/>
      <c r="F93" s="181"/>
      <c r="G93" s="22" t="s">
        <v>661</v>
      </c>
      <c r="H93" s="22" t="s">
        <v>667</v>
      </c>
      <c r="I93" s="150" t="s">
        <v>668</v>
      </c>
      <c r="J93" s="34" t="s">
        <v>354</v>
      </c>
      <c r="K93" s="182" t="n">
        <v>10</v>
      </c>
      <c r="L93" s="111" t="s">
        <v>355</v>
      </c>
      <c r="M93" s="45" t="s">
        <v>669</v>
      </c>
      <c r="N93" s="183"/>
    </row>
    <row r="94" s="184" customFormat="true" ht="272.25" hidden="false" customHeight="true" outlineLevel="0" collapsed="false">
      <c r="A94" s="178"/>
      <c r="B94" s="179"/>
      <c r="C94" s="179"/>
      <c r="D94" s="179"/>
      <c r="E94" s="180"/>
      <c r="F94" s="181"/>
      <c r="G94" s="22"/>
      <c r="H94" s="22"/>
      <c r="I94" s="185" t="s">
        <v>671</v>
      </c>
      <c r="J94" s="134" t="s">
        <v>368</v>
      </c>
      <c r="K94" s="186" t="n">
        <v>2</v>
      </c>
      <c r="L94" s="111" t="s">
        <v>355</v>
      </c>
      <c r="M94" s="187" t="s">
        <v>672</v>
      </c>
    </row>
    <row r="95" s="184" customFormat="true" ht="406.5" hidden="false" customHeight="true" outlineLevel="0" collapsed="false">
      <c r="A95" s="178"/>
      <c r="B95" s="179"/>
      <c r="C95" s="179"/>
      <c r="D95" s="179"/>
      <c r="E95" s="180"/>
      <c r="F95" s="181"/>
      <c r="G95" s="22" t="s">
        <v>661</v>
      </c>
      <c r="H95" s="22" t="s">
        <v>667</v>
      </c>
      <c r="I95" s="188" t="s">
        <v>674</v>
      </c>
      <c r="J95" s="189" t="s">
        <v>368</v>
      </c>
      <c r="K95" s="190" t="n">
        <v>2</v>
      </c>
      <c r="L95" s="106" t="s">
        <v>355</v>
      </c>
      <c r="M95" s="191" t="s">
        <v>675</v>
      </c>
      <c r="N95" s="183" t="s">
        <v>676</v>
      </c>
    </row>
    <row r="96" s="184" customFormat="true" ht="219.75" hidden="false" customHeight="true" outlineLevel="0" collapsed="false">
      <c r="A96" s="178"/>
      <c r="B96" s="179"/>
      <c r="C96" s="179"/>
      <c r="D96" s="179"/>
      <c r="E96" s="180"/>
      <c r="F96" s="181"/>
      <c r="G96" s="22" t="s">
        <v>661</v>
      </c>
      <c r="H96" s="22" t="s">
        <v>667</v>
      </c>
      <c r="I96" s="188" t="s">
        <v>678</v>
      </c>
      <c r="J96" s="189" t="s">
        <v>368</v>
      </c>
      <c r="K96" s="190" t="n">
        <v>2</v>
      </c>
      <c r="L96" s="106" t="s">
        <v>355</v>
      </c>
      <c r="M96" s="189" t="s">
        <v>679</v>
      </c>
      <c r="N96" s="183" t="s">
        <v>680</v>
      </c>
    </row>
    <row r="97" s="184" customFormat="true" ht="243.75" hidden="false" customHeight="true" outlineLevel="0" collapsed="false">
      <c r="A97" s="178"/>
      <c r="B97" s="179"/>
      <c r="C97" s="179"/>
      <c r="D97" s="179"/>
      <c r="E97" s="180"/>
      <c r="F97" s="181"/>
      <c r="G97" s="22" t="s">
        <v>661</v>
      </c>
      <c r="H97" s="22" t="s">
        <v>667</v>
      </c>
      <c r="I97" s="188" t="s">
        <v>682</v>
      </c>
      <c r="J97" s="189" t="s">
        <v>368</v>
      </c>
      <c r="K97" s="190" t="n">
        <v>2</v>
      </c>
      <c r="L97" s="106" t="s">
        <v>355</v>
      </c>
      <c r="M97" s="189" t="s">
        <v>683</v>
      </c>
      <c r="N97" s="183" t="s">
        <v>676</v>
      </c>
    </row>
    <row r="98" s="184" customFormat="true" ht="324" hidden="false" customHeight="true" outlineLevel="0" collapsed="false">
      <c r="A98" s="178"/>
      <c r="B98" s="179"/>
      <c r="C98" s="179"/>
      <c r="D98" s="179"/>
      <c r="E98" s="180"/>
      <c r="F98" s="181"/>
      <c r="G98" s="22" t="s">
        <v>661</v>
      </c>
      <c r="H98" s="22" t="s">
        <v>667</v>
      </c>
      <c r="I98" s="192" t="s">
        <v>685</v>
      </c>
      <c r="J98" s="189" t="s">
        <v>368</v>
      </c>
      <c r="K98" s="190" t="n">
        <v>2</v>
      </c>
      <c r="L98" s="106" t="s">
        <v>355</v>
      </c>
      <c r="M98" s="189" t="s">
        <v>686</v>
      </c>
      <c r="N98" s="183" t="s">
        <v>676</v>
      </c>
    </row>
    <row r="99" customFormat="false" ht="56.25" hidden="false" customHeight="true" outlineLevel="0" collapsed="false">
      <c r="A99" s="102" t="s">
        <v>703</v>
      </c>
      <c r="B99" s="103" t="s">
        <v>171</v>
      </c>
      <c r="C99" s="103" t="s">
        <v>100</v>
      </c>
      <c r="D99" s="103" t="s">
        <v>350</v>
      </c>
      <c r="E99" s="104" t="s">
        <v>313</v>
      </c>
      <c r="F99" s="150" t="s">
        <v>413</v>
      </c>
      <c r="G99" s="22" t="s">
        <v>661</v>
      </c>
      <c r="H99" s="22" t="s">
        <v>688</v>
      </c>
      <c r="I99" s="193" t="s">
        <v>689</v>
      </c>
      <c r="J99" s="108" t="s">
        <v>354</v>
      </c>
      <c r="K99" s="110" t="n">
        <v>10</v>
      </c>
      <c r="L99" s="111" t="s">
        <v>663</v>
      </c>
      <c r="M99" s="113" t="s">
        <v>690</v>
      </c>
      <c r="N99" s="107"/>
    </row>
    <row r="100" customFormat="false" ht="105.75" hidden="false" customHeight="true" outlineLevel="0" collapsed="false">
      <c r="A100" s="102"/>
      <c r="B100" s="103"/>
      <c r="C100" s="103"/>
      <c r="D100" s="103"/>
      <c r="E100" s="104"/>
      <c r="F100" s="150" t="s">
        <v>413</v>
      </c>
      <c r="G100" s="22" t="s">
        <v>661</v>
      </c>
      <c r="H100" s="22" t="s">
        <v>688</v>
      </c>
      <c r="I100" s="194" t="s">
        <v>692</v>
      </c>
      <c r="J100" s="102" t="s">
        <v>368</v>
      </c>
      <c r="K100" s="105" t="n">
        <v>5</v>
      </c>
      <c r="L100" s="106" t="s">
        <v>355</v>
      </c>
      <c r="M100" s="113" t="s">
        <v>693</v>
      </c>
      <c r="N100" s="107"/>
    </row>
    <row r="101" customFormat="false" ht="130.5" hidden="false" customHeight="true" outlineLevel="0" collapsed="false">
      <c r="A101" s="102"/>
      <c r="B101" s="103"/>
      <c r="C101" s="103"/>
      <c r="D101" s="103"/>
      <c r="E101" s="104"/>
      <c r="F101" s="150" t="s">
        <v>413</v>
      </c>
      <c r="G101" s="22" t="s">
        <v>661</v>
      </c>
      <c r="H101" s="22" t="s">
        <v>688</v>
      </c>
      <c r="I101" s="194" t="s">
        <v>695</v>
      </c>
      <c r="J101" s="102" t="s">
        <v>368</v>
      </c>
      <c r="K101" s="105" t="n">
        <v>5</v>
      </c>
      <c r="L101" s="106" t="s">
        <v>413</v>
      </c>
      <c r="M101" s="113" t="s">
        <v>866</v>
      </c>
      <c r="N101" s="107"/>
    </row>
    <row r="102" customFormat="false" ht="249.75" hidden="false" customHeight="true" outlineLevel="0" collapsed="false">
      <c r="A102" s="139" t="s">
        <v>437</v>
      </c>
      <c r="B102" s="103" t="s">
        <v>574</v>
      </c>
      <c r="C102" s="103" t="s">
        <v>441</v>
      </c>
      <c r="D102" s="103" t="s">
        <v>350</v>
      </c>
      <c r="E102" s="104" t="s">
        <v>114</v>
      </c>
      <c r="F102" s="150" t="s">
        <v>413</v>
      </c>
      <c r="G102" s="22" t="s">
        <v>661</v>
      </c>
      <c r="H102" s="22" t="s">
        <v>698</v>
      </c>
      <c r="I102" s="195" t="s">
        <v>306</v>
      </c>
      <c r="J102" s="139" t="s">
        <v>354</v>
      </c>
      <c r="K102" s="141" t="n">
        <v>10</v>
      </c>
      <c r="L102" s="106" t="s">
        <v>355</v>
      </c>
      <c r="M102" s="113" t="s">
        <v>699</v>
      </c>
      <c r="N102" s="107"/>
    </row>
    <row r="103" customFormat="false" ht="144" hidden="false" customHeight="true" outlineLevel="0" collapsed="false">
      <c r="A103" s="139" t="s">
        <v>440</v>
      </c>
      <c r="B103" s="103" t="s">
        <v>587</v>
      </c>
      <c r="C103" s="103" t="s">
        <v>466</v>
      </c>
      <c r="D103" s="103" t="s">
        <v>350</v>
      </c>
      <c r="E103" s="104" t="s">
        <v>441</v>
      </c>
      <c r="F103" s="150" t="s">
        <v>413</v>
      </c>
      <c r="G103" s="22" t="s">
        <v>661</v>
      </c>
      <c r="H103" s="22" t="s">
        <v>698</v>
      </c>
      <c r="I103" s="195" t="s">
        <v>309</v>
      </c>
      <c r="J103" s="139" t="s">
        <v>354</v>
      </c>
      <c r="K103" s="141" t="n">
        <v>10</v>
      </c>
      <c r="L103" s="106" t="s">
        <v>355</v>
      </c>
      <c r="M103" s="113" t="s">
        <v>701</v>
      </c>
      <c r="N103" s="107" t="s">
        <v>702</v>
      </c>
    </row>
    <row r="104" customFormat="false" ht="60.75" hidden="false" customHeight="true" outlineLevel="0" collapsed="false">
      <c r="A104" s="139" t="s">
        <v>721</v>
      </c>
      <c r="B104" s="103" t="s">
        <v>598</v>
      </c>
      <c r="C104" s="103" t="s">
        <v>380</v>
      </c>
      <c r="D104" s="103" t="s">
        <v>350</v>
      </c>
      <c r="E104" s="104" t="s">
        <v>330</v>
      </c>
      <c r="F104" s="20" t="s">
        <v>413</v>
      </c>
      <c r="G104" s="22" t="s">
        <v>704</v>
      </c>
      <c r="H104" s="22" t="s">
        <v>705</v>
      </c>
      <c r="I104" s="103" t="s">
        <v>867</v>
      </c>
      <c r="J104" s="139" t="s">
        <v>354</v>
      </c>
      <c r="K104" s="141" t="n">
        <v>10</v>
      </c>
      <c r="L104" s="106" t="s">
        <v>413</v>
      </c>
      <c r="M104" s="113" t="s">
        <v>706</v>
      </c>
      <c r="N104" s="107"/>
    </row>
    <row r="105" customFormat="false" ht="148.5" hidden="false" customHeight="true" outlineLevel="0" collapsed="false">
      <c r="A105" s="139" t="s">
        <v>868</v>
      </c>
      <c r="B105" s="103" t="s">
        <v>650</v>
      </c>
      <c r="C105" s="103" t="s">
        <v>162</v>
      </c>
      <c r="D105" s="103" t="s">
        <v>350</v>
      </c>
      <c r="E105" s="104" t="s">
        <v>869</v>
      </c>
      <c r="F105" s="104" t="s">
        <v>708</v>
      </c>
      <c r="G105" s="22" t="s">
        <v>704</v>
      </c>
      <c r="H105" s="22" t="s">
        <v>705</v>
      </c>
      <c r="I105" s="103" t="s">
        <v>870</v>
      </c>
      <c r="J105" s="139" t="s">
        <v>354</v>
      </c>
      <c r="K105" s="141" t="n">
        <v>10</v>
      </c>
      <c r="L105" s="138" t="s">
        <v>709</v>
      </c>
      <c r="M105" s="113" t="s">
        <v>871</v>
      </c>
      <c r="N105" s="107"/>
    </row>
    <row r="106" customFormat="false" ht="48.75" hidden="false" customHeight="true" outlineLevel="0" collapsed="false">
      <c r="A106" s="139" t="s">
        <v>872</v>
      </c>
      <c r="B106" s="103" t="s">
        <v>271</v>
      </c>
      <c r="C106" s="103" t="s">
        <v>399</v>
      </c>
      <c r="D106" s="103" t="s">
        <v>350</v>
      </c>
      <c r="E106" s="104" t="s">
        <v>873</v>
      </c>
      <c r="F106" s="104" t="s">
        <v>708</v>
      </c>
      <c r="G106" s="22" t="s">
        <v>704</v>
      </c>
      <c r="H106" s="22" t="s">
        <v>713</v>
      </c>
      <c r="I106" s="109" t="s">
        <v>714</v>
      </c>
      <c r="J106" s="161" t="s">
        <v>354</v>
      </c>
      <c r="K106" s="196" t="n">
        <v>10</v>
      </c>
      <c r="L106" s="193" t="s">
        <v>413</v>
      </c>
      <c r="M106" s="197" t="s">
        <v>538</v>
      </c>
      <c r="N106" s="107"/>
    </row>
    <row r="107" customFormat="false" ht="114.75" hidden="false" customHeight="true" outlineLevel="0" collapsed="false">
      <c r="A107" s="139"/>
      <c r="B107" s="103"/>
      <c r="C107" s="103"/>
      <c r="D107" s="103"/>
      <c r="E107" s="104"/>
      <c r="F107" s="104"/>
      <c r="G107" s="22" t="s">
        <v>704</v>
      </c>
      <c r="H107" s="22" t="s">
        <v>713</v>
      </c>
      <c r="I107" s="113" t="s">
        <v>716</v>
      </c>
      <c r="J107" s="139" t="s">
        <v>368</v>
      </c>
      <c r="K107" s="141" t="n">
        <v>5</v>
      </c>
      <c r="L107" s="198" t="s">
        <v>413</v>
      </c>
      <c r="M107" s="194" t="s">
        <v>717</v>
      </c>
      <c r="N107" s="107"/>
    </row>
    <row r="108" customFormat="false" ht="161.25" hidden="false" customHeight="true" outlineLevel="0" collapsed="false">
      <c r="A108" s="139"/>
      <c r="B108" s="103"/>
      <c r="C108" s="103"/>
      <c r="D108" s="103"/>
      <c r="E108" s="104"/>
      <c r="F108" s="104"/>
      <c r="G108" s="22" t="s">
        <v>704</v>
      </c>
      <c r="H108" s="22" t="s">
        <v>713</v>
      </c>
      <c r="I108" s="113" t="s">
        <v>719</v>
      </c>
      <c r="J108" s="139" t="s">
        <v>368</v>
      </c>
      <c r="K108" s="141" t="n">
        <v>5</v>
      </c>
      <c r="L108" s="199" t="s">
        <v>413</v>
      </c>
      <c r="M108" s="194" t="s">
        <v>720</v>
      </c>
      <c r="N108" s="107"/>
    </row>
    <row r="109" customFormat="false" ht="409.5" hidden="false" customHeight="true" outlineLevel="0" collapsed="false">
      <c r="A109" s="139" t="s">
        <v>874</v>
      </c>
      <c r="B109" s="103" t="s">
        <v>666</v>
      </c>
      <c r="C109" s="103" t="s">
        <v>171</v>
      </c>
      <c r="D109" s="103" t="s">
        <v>350</v>
      </c>
      <c r="E109" s="104" t="s">
        <v>875</v>
      </c>
      <c r="F109" s="104" t="s">
        <v>708</v>
      </c>
      <c r="G109" s="22" t="s">
        <v>704</v>
      </c>
      <c r="H109" s="22" t="s">
        <v>876</v>
      </c>
      <c r="I109" s="103" t="s">
        <v>331</v>
      </c>
      <c r="J109" s="139" t="s">
        <v>354</v>
      </c>
      <c r="K109" s="141" t="n">
        <v>10</v>
      </c>
      <c r="L109" s="106" t="s">
        <v>355</v>
      </c>
      <c r="M109" s="113" t="s">
        <v>877</v>
      </c>
      <c r="N109" s="200" t="s">
        <v>878</v>
      </c>
      <c r="O109" s="141"/>
    </row>
    <row r="110" s="93" customFormat="true" ht="29.25" hidden="false" customHeight="true" outlineLevel="0" collapsed="false">
      <c r="H110" s="4"/>
      <c r="I110" s="184"/>
      <c r="J110" s="92"/>
      <c r="K110" s="92"/>
      <c r="N110" s="4"/>
    </row>
    <row r="111" s="93" customFormat="true" ht="14.25" hidden="false" customHeight="false" outlineLevel="0" collapsed="false">
      <c r="H111" s="4"/>
      <c r="J111" s="92"/>
      <c r="K111" s="92"/>
      <c r="N111" s="4"/>
    </row>
    <row r="112" s="93" customFormat="true" ht="14.25" hidden="false" customHeight="false" outlineLevel="0" collapsed="false">
      <c r="H112" s="4"/>
      <c r="J112" s="92"/>
      <c r="K112" s="92"/>
      <c r="N112" s="4"/>
    </row>
    <row r="113" s="93" customFormat="true" ht="14.25" hidden="false" customHeight="false" outlineLevel="0" collapsed="false">
      <c r="H113" s="4"/>
      <c r="J113" s="92"/>
      <c r="K113" s="92"/>
      <c r="N113" s="4"/>
    </row>
    <row r="114" s="93" customFormat="true" ht="14.25" hidden="false" customHeight="false" outlineLevel="0" collapsed="false">
      <c r="H114" s="4"/>
      <c r="J114" s="92"/>
      <c r="K114" s="92"/>
      <c r="N114" s="4"/>
    </row>
    <row r="115" customFormat="false" ht="14.25" hidden="false" customHeight="true" outlineLevel="0" collapsed="false">
      <c r="A115" s="201"/>
      <c r="B115" s="202"/>
      <c r="C115" s="202"/>
      <c r="D115" s="202"/>
      <c r="G115" s="94"/>
      <c r="H115" s="203"/>
      <c r="I115" s="202"/>
      <c r="J115" s="201"/>
      <c r="K115" s="201"/>
      <c r="L115" s="202"/>
      <c r="M115" s="204"/>
    </row>
    <row r="116" customFormat="false" ht="14.25" hidden="false" customHeight="true" outlineLevel="0" collapsed="false">
      <c r="A116" s="201"/>
      <c r="B116" s="202"/>
      <c r="C116" s="202"/>
      <c r="D116" s="202"/>
      <c r="G116" s="94"/>
      <c r="H116" s="203"/>
      <c r="I116" s="202"/>
      <c r="J116" s="201"/>
      <c r="K116" s="201"/>
      <c r="L116" s="202"/>
      <c r="M116" s="204"/>
    </row>
    <row r="117" customFormat="false" ht="14.25" hidden="false" customHeight="true" outlineLevel="0" collapsed="false">
      <c r="A117" s="201"/>
      <c r="B117" s="202"/>
      <c r="C117" s="202"/>
      <c r="D117" s="202"/>
      <c r="G117" s="94"/>
      <c r="H117" s="203"/>
      <c r="I117" s="202"/>
      <c r="J117" s="201"/>
      <c r="K117" s="201"/>
      <c r="L117" s="202"/>
      <c r="M117" s="204"/>
    </row>
    <row r="118" customFormat="false" ht="14.25" hidden="false" customHeight="true" outlineLevel="0" collapsed="false">
      <c r="A118" s="201"/>
      <c r="B118" s="202"/>
      <c r="C118" s="202"/>
      <c r="D118" s="202"/>
      <c r="G118" s="94"/>
      <c r="H118" s="203"/>
      <c r="I118" s="202"/>
      <c r="J118" s="201"/>
      <c r="K118" s="201"/>
      <c r="L118" s="202"/>
      <c r="M118" s="204"/>
    </row>
    <row r="119" customFormat="false" ht="14.25" hidden="false" customHeight="true" outlineLevel="0" collapsed="false">
      <c r="A119" s="201"/>
      <c r="B119" s="202"/>
      <c r="C119" s="202"/>
      <c r="D119" s="202"/>
      <c r="G119" s="94"/>
      <c r="H119" s="203"/>
      <c r="I119" s="202"/>
      <c r="J119" s="201"/>
      <c r="K119" s="201"/>
      <c r="L119" s="202"/>
      <c r="M119" s="204"/>
    </row>
    <row r="120" customFormat="false" ht="14.25" hidden="false" customHeight="true" outlineLevel="0" collapsed="false">
      <c r="A120" s="201"/>
      <c r="B120" s="202"/>
      <c r="C120" s="202"/>
      <c r="D120" s="202"/>
      <c r="G120" s="94"/>
      <c r="H120" s="203"/>
      <c r="I120" s="202"/>
      <c r="J120" s="201"/>
      <c r="K120" s="201"/>
      <c r="L120" s="202"/>
      <c r="M120" s="204"/>
    </row>
    <row r="121" customFormat="false" ht="14.25" hidden="false" customHeight="true" outlineLevel="0" collapsed="false">
      <c r="A121" s="201"/>
      <c r="B121" s="202"/>
      <c r="C121" s="202"/>
      <c r="D121" s="202"/>
      <c r="G121" s="94"/>
      <c r="H121" s="203"/>
      <c r="I121" s="202"/>
      <c r="J121" s="201"/>
      <c r="K121" s="201"/>
      <c r="L121" s="202"/>
      <c r="M121" s="204"/>
    </row>
    <row r="122" customFormat="false" ht="14.25" hidden="false" customHeight="true" outlineLevel="0" collapsed="false">
      <c r="A122" s="201"/>
      <c r="B122" s="202"/>
      <c r="C122" s="202"/>
      <c r="D122" s="202"/>
      <c r="G122" s="94"/>
      <c r="H122" s="203"/>
      <c r="I122" s="202"/>
      <c r="J122" s="201"/>
      <c r="K122" s="201"/>
      <c r="L122" s="202"/>
      <c r="M122" s="204"/>
    </row>
    <row r="123" customFormat="false" ht="14.25" hidden="false" customHeight="true" outlineLevel="0" collapsed="false">
      <c r="A123" s="201"/>
      <c r="B123" s="202"/>
      <c r="C123" s="202"/>
      <c r="D123" s="202"/>
      <c r="G123" s="94"/>
      <c r="H123" s="203"/>
      <c r="I123" s="202"/>
      <c r="J123" s="201"/>
      <c r="K123" s="201"/>
      <c r="L123" s="202"/>
      <c r="M123" s="204"/>
    </row>
    <row r="124" customFormat="false" ht="14.25" hidden="false" customHeight="true" outlineLevel="0" collapsed="false">
      <c r="A124" s="201"/>
      <c r="B124" s="202"/>
      <c r="C124" s="202"/>
      <c r="D124" s="202"/>
      <c r="G124" s="94"/>
      <c r="H124" s="203"/>
      <c r="I124" s="202"/>
      <c r="J124" s="201"/>
      <c r="K124" s="201"/>
      <c r="L124" s="202"/>
      <c r="M124" s="204"/>
    </row>
    <row r="125" customFormat="false" ht="14.25" hidden="false" customHeight="true" outlineLevel="0" collapsed="false">
      <c r="A125" s="201"/>
      <c r="B125" s="202"/>
      <c r="C125" s="202"/>
      <c r="D125" s="202"/>
      <c r="G125" s="94"/>
      <c r="H125" s="203"/>
      <c r="I125" s="202"/>
      <c r="J125" s="201"/>
      <c r="K125" s="201"/>
      <c r="L125" s="202"/>
      <c r="M125" s="204"/>
    </row>
    <row r="126" customFormat="false" ht="14.25" hidden="false" customHeight="true" outlineLevel="0" collapsed="false">
      <c r="A126" s="201"/>
      <c r="B126" s="202"/>
      <c r="C126" s="202"/>
      <c r="D126" s="202"/>
      <c r="G126" s="94"/>
      <c r="H126" s="203"/>
      <c r="I126" s="202"/>
      <c r="J126" s="201"/>
      <c r="K126" s="201"/>
      <c r="L126" s="202"/>
      <c r="M126" s="204"/>
    </row>
    <row r="127" customFormat="false" ht="14.25" hidden="false" customHeight="true" outlineLevel="0" collapsed="false">
      <c r="A127" s="201"/>
      <c r="B127" s="202"/>
      <c r="C127" s="202"/>
      <c r="D127" s="202"/>
      <c r="G127" s="94"/>
      <c r="H127" s="203"/>
      <c r="I127" s="202"/>
      <c r="J127" s="201"/>
      <c r="K127" s="201"/>
      <c r="L127" s="202"/>
      <c r="M127" s="204"/>
    </row>
    <row r="128" customFormat="false" ht="14.25" hidden="false" customHeight="true" outlineLevel="0" collapsed="false">
      <c r="A128" s="201"/>
      <c r="B128" s="202"/>
      <c r="C128" s="202"/>
      <c r="D128" s="202"/>
      <c r="G128" s="94"/>
      <c r="H128" s="203"/>
      <c r="I128" s="202"/>
      <c r="J128" s="201"/>
      <c r="K128" s="201"/>
      <c r="L128" s="202"/>
      <c r="M128" s="204"/>
    </row>
    <row r="129" customFormat="false" ht="14.25" hidden="false" customHeight="true" outlineLevel="0" collapsed="false">
      <c r="A129" s="201"/>
      <c r="B129" s="202"/>
      <c r="C129" s="202"/>
      <c r="D129" s="202"/>
      <c r="G129" s="94"/>
      <c r="H129" s="203"/>
      <c r="I129" s="202"/>
      <c r="J129" s="201"/>
      <c r="K129" s="201"/>
      <c r="L129" s="202"/>
      <c r="M129" s="204"/>
    </row>
    <row r="130" customFormat="false" ht="14.25" hidden="false" customHeight="true" outlineLevel="0" collapsed="false">
      <c r="A130" s="201"/>
      <c r="B130" s="202"/>
      <c r="C130" s="202"/>
      <c r="D130" s="202"/>
      <c r="G130" s="94"/>
      <c r="H130" s="203"/>
      <c r="I130" s="202"/>
      <c r="J130" s="201"/>
      <c r="K130" s="201"/>
      <c r="L130" s="202"/>
      <c r="M130" s="204"/>
    </row>
    <row r="131" customFormat="false" ht="14.25" hidden="false" customHeight="true" outlineLevel="0" collapsed="false">
      <c r="A131" s="201"/>
      <c r="B131" s="202"/>
      <c r="C131" s="202"/>
      <c r="D131" s="202"/>
      <c r="G131" s="94"/>
      <c r="H131" s="203"/>
      <c r="I131" s="202"/>
      <c r="J131" s="201"/>
      <c r="K131" s="201"/>
      <c r="L131" s="202"/>
      <c r="M131" s="204"/>
    </row>
    <row r="132" customFormat="false" ht="14.25" hidden="false" customHeight="true" outlineLevel="0" collapsed="false">
      <c r="A132" s="201"/>
      <c r="B132" s="202"/>
      <c r="C132" s="202"/>
      <c r="D132" s="202"/>
      <c r="G132" s="94"/>
      <c r="H132" s="203"/>
      <c r="I132" s="202"/>
      <c r="J132" s="201"/>
      <c r="K132" s="201"/>
      <c r="L132" s="202"/>
      <c r="M132" s="204"/>
    </row>
    <row r="133" customFormat="false" ht="14.25" hidden="false" customHeight="true" outlineLevel="0" collapsed="false">
      <c r="A133" s="201"/>
      <c r="B133" s="202"/>
      <c r="C133" s="202"/>
      <c r="D133" s="202"/>
      <c r="G133" s="94"/>
      <c r="H133" s="203"/>
      <c r="I133" s="202"/>
      <c r="J133" s="201"/>
      <c r="K133" s="201"/>
      <c r="L133" s="202"/>
      <c r="M133" s="204"/>
    </row>
    <row r="134" customFormat="false" ht="14.25" hidden="false" customHeight="true" outlineLevel="0" collapsed="false">
      <c r="A134" s="201"/>
      <c r="B134" s="202"/>
      <c r="C134" s="202"/>
      <c r="D134" s="202"/>
      <c r="G134" s="94"/>
      <c r="H134" s="203"/>
      <c r="I134" s="202"/>
      <c r="J134" s="201"/>
      <c r="K134" s="201"/>
      <c r="L134" s="202"/>
      <c r="M134" s="204"/>
    </row>
    <row r="135" customFormat="false" ht="14.25" hidden="false" customHeight="true" outlineLevel="0" collapsed="false">
      <c r="A135" s="201"/>
      <c r="B135" s="202"/>
      <c r="C135" s="202"/>
      <c r="D135" s="202"/>
      <c r="G135" s="94"/>
      <c r="H135" s="203"/>
      <c r="I135" s="202"/>
      <c r="J135" s="201"/>
      <c r="K135" s="201"/>
      <c r="L135" s="202"/>
      <c r="M135" s="204"/>
    </row>
    <row r="136" customFormat="false" ht="14.25" hidden="false" customHeight="true" outlineLevel="0" collapsed="false">
      <c r="A136" s="201"/>
      <c r="B136" s="202"/>
      <c r="C136" s="202"/>
      <c r="D136" s="202"/>
      <c r="G136" s="94"/>
      <c r="H136" s="203"/>
      <c r="I136" s="202"/>
      <c r="J136" s="201"/>
      <c r="K136" s="201"/>
      <c r="L136" s="202"/>
      <c r="M136" s="204"/>
    </row>
    <row r="137" customFormat="false" ht="14.25" hidden="false" customHeight="true" outlineLevel="0" collapsed="false">
      <c r="A137" s="201"/>
      <c r="B137" s="202"/>
      <c r="C137" s="202"/>
      <c r="D137" s="202"/>
      <c r="G137" s="94"/>
      <c r="H137" s="203"/>
      <c r="I137" s="202"/>
      <c r="J137" s="201"/>
      <c r="K137" s="201"/>
      <c r="L137" s="202"/>
      <c r="M137" s="204"/>
    </row>
    <row r="138" customFormat="false" ht="14.25" hidden="false" customHeight="true" outlineLevel="0" collapsed="false">
      <c r="A138" s="201"/>
      <c r="B138" s="202"/>
      <c r="C138" s="202"/>
      <c r="D138" s="202"/>
      <c r="G138" s="94"/>
      <c r="H138" s="203"/>
      <c r="I138" s="202"/>
      <c r="J138" s="201"/>
      <c r="K138" s="201"/>
      <c r="L138" s="202"/>
      <c r="M138" s="204"/>
    </row>
    <row r="139" customFormat="false" ht="15.75" hidden="false" customHeight="true" outlineLevel="0" collapsed="false">
      <c r="A139" s="201"/>
      <c r="B139" s="202"/>
      <c r="C139" s="202"/>
      <c r="D139" s="202"/>
      <c r="G139" s="94"/>
      <c r="H139" s="203"/>
      <c r="I139" s="202"/>
      <c r="J139" s="201"/>
      <c r="K139" s="201"/>
      <c r="L139" s="202"/>
      <c r="M139" s="204" t="s">
        <v>725</v>
      </c>
    </row>
    <row r="140" customFormat="false" ht="14.25" hidden="false" customHeight="true" outlineLevel="0" collapsed="false">
      <c r="A140" s="201"/>
      <c r="B140" s="202"/>
      <c r="C140" s="202"/>
      <c r="D140" s="202"/>
      <c r="G140" s="94"/>
      <c r="H140" s="203"/>
      <c r="I140" s="202"/>
      <c r="J140" s="201"/>
      <c r="K140" s="201"/>
      <c r="L140" s="202"/>
      <c r="M140" s="204"/>
    </row>
    <row r="141" customFormat="false" ht="14.25" hidden="false" customHeight="true" outlineLevel="0" collapsed="false">
      <c r="A141" s="201"/>
      <c r="B141" s="202"/>
      <c r="C141" s="202"/>
      <c r="D141" s="202"/>
      <c r="G141" s="94"/>
      <c r="H141" s="203"/>
      <c r="I141" s="202"/>
      <c r="J141" s="201"/>
      <c r="K141" s="201"/>
      <c r="L141" s="202"/>
      <c r="M141" s="204"/>
    </row>
    <row r="142" customFormat="false" ht="14.25" hidden="false" customHeight="true" outlineLevel="0" collapsed="false">
      <c r="A142" s="201"/>
      <c r="B142" s="202"/>
      <c r="C142" s="202"/>
      <c r="D142" s="202"/>
      <c r="G142" s="94"/>
      <c r="H142" s="203"/>
      <c r="I142" s="202"/>
      <c r="J142" s="201"/>
      <c r="K142" s="201"/>
      <c r="L142" s="202"/>
      <c r="M142" s="204"/>
    </row>
    <row r="143" customFormat="false" ht="14.25" hidden="false" customHeight="true" outlineLevel="0" collapsed="false">
      <c r="A143" s="201"/>
      <c r="B143" s="202"/>
      <c r="C143" s="202"/>
      <c r="D143" s="202"/>
      <c r="G143" s="94"/>
      <c r="H143" s="203"/>
      <c r="I143" s="202"/>
      <c r="J143" s="201"/>
      <c r="K143" s="201"/>
      <c r="L143" s="202"/>
      <c r="M143" s="204"/>
    </row>
    <row r="144" customFormat="false" ht="14.25" hidden="false" customHeight="true" outlineLevel="0" collapsed="false">
      <c r="A144" s="201"/>
      <c r="B144" s="202"/>
      <c r="C144" s="202"/>
      <c r="D144" s="202"/>
      <c r="G144" s="94"/>
      <c r="H144" s="203"/>
      <c r="I144" s="202"/>
      <c r="J144" s="201"/>
      <c r="K144" s="201"/>
      <c r="L144" s="202"/>
      <c r="M144" s="204"/>
    </row>
    <row r="145" customFormat="false" ht="14.25" hidden="false" customHeight="true" outlineLevel="0" collapsed="false">
      <c r="A145" s="201"/>
      <c r="B145" s="202"/>
      <c r="C145" s="202"/>
      <c r="D145" s="202"/>
      <c r="G145" s="94"/>
      <c r="H145" s="203"/>
      <c r="I145" s="202"/>
      <c r="J145" s="201"/>
      <c r="K145" s="201"/>
      <c r="L145" s="202"/>
      <c r="M145" s="204"/>
    </row>
    <row r="146" customFormat="false" ht="15.75" hidden="false" customHeight="true" outlineLevel="0" collapsed="false">
      <c r="A146" s="201"/>
      <c r="B146" s="202"/>
      <c r="C146" s="202"/>
      <c r="D146" s="202"/>
      <c r="G146" s="94"/>
      <c r="H146" s="203"/>
      <c r="I146" s="202"/>
      <c r="J146" s="201"/>
      <c r="K146" s="201"/>
      <c r="L146" s="202"/>
      <c r="M146" s="204" t="s">
        <v>725</v>
      </c>
    </row>
    <row r="147" customFormat="false" ht="14.25" hidden="false" customHeight="true" outlineLevel="0" collapsed="false">
      <c r="A147" s="201"/>
      <c r="B147" s="202"/>
      <c r="C147" s="202"/>
      <c r="D147" s="202"/>
      <c r="G147" s="94"/>
      <c r="H147" s="203"/>
      <c r="I147" s="202"/>
      <c r="J147" s="201"/>
      <c r="K147" s="201"/>
      <c r="L147" s="202"/>
      <c r="M147" s="204"/>
    </row>
    <row r="148" customFormat="false" ht="14.25" hidden="false" customHeight="true" outlineLevel="0" collapsed="false">
      <c r="A148" s="201"/>
      <c r="B148" s="202"/>
      <c r="C148" s="202"/>
      <c r="D148" s="202"/>
      <c r="G148" s="94"/>
      <c r="H148" s="203"/>
      <c r="I148" s="202"/>
      <c r="J148" s="201"/>
      <c r="K148" s="201"/>
      <c r="L148" s="202"/>
      <c r="M148" s="204"/>
    </row>
    <row r="149" customFormat="false" ht="14.25" hidden="false" customHeight="true" outlineLevel="0" collapsed="false">
      <c r="A149" s="201"/>
      <c r="B149" s="202"/>
      <c r="C149" s="202"/>
      <c r="D149" s="202"/>
      <c r="G149" s="94"/>
      <c r="H149" s="203"/>
      <c r="I149" s="202"/>
      <c r="J149" s="201"/>
      <c r="K149" s="201"/>
      <c r="L149" s="202"/>
      <c r="M149" s="204"/>
    </row>
    <row r="150" customFormat="false" ht="14.25" hidden="false" customHeight="true" outlineLevel="0" collapsed="false">
      <c r="A150" s="201"/>
      <c r="B150" s="202"/>
      <c r="C150" s="202"/>
      <c r="D150" s="202"/>
      <c r="G150" s="94"/>
      <c r="H150" s="203"/>
      <c r="I150" s="202"/>
      <c r="J150" s="201"/>
      <c r="K150" s="201"/>
      <c r="L150" s="202"/>
      <c r="M150" s="204"/>
    </row>
    <row r="151" customFormat="false" ht="14.25" hidden="false" customHeight="true" outlineLevel="0" collapsed="false">
      <c r="A151" s="201"/>
      <c r="B151" s="202"/>
      <c r="C151" s="202"/>
      <c r="D151" s="202"/>
      <c r="G151" s="94"/>
      <c r="H151" s="203"/>
      <c r="I151" s="202"/>
      <c r="J151" s="201"/>
      <c r="K151" s="201"/>
      <c r="L151" s="202"/>
      <c r="M151" s="204"/>
    </row>
    <row r="152" customFormat="false" ht="15.75" hidden="false" customHeight="true" outlineLevel="0" collapsed="false">
      <c r="A152" s="201"/>
      <c r="B152" s="202"/>
      <c r="C152" s="202"/>
      <c r="D152" s="202"/>
      <c r="G152" s="94"/>
      <c r="H152" s="203"/>
      <c r="I152" s="202"/>
      <c r="J152" s="201"/>
      <c r="K152" s="201"/>
      <c r="L152" s="202"/>
      <c r="M152" s="204" t="s">
        <v>725</v>
      </c>
    </row>
    <row r="153" customFormat="false" ht="14.25" hidden="false" customHeight="true" outlineLevel="0" collapsed="false">
      <c r="A153" s="201"/>
      <c r="B153" s="202"/>
      <c r="C153" s="202"/>
      <c r="D153" s="202"/>
      <c r="G153" s="94"/>
      <c r="H153" s="203"/>
      <c r="I153" s="202"/>
      <c r="J153" s="201"/>
      <c r="K153" s="201"/>
      <c r="L153" s="202"/>
      <c r="M153" s="204"/>
    </row>
    <row r="154" customFormat="false" ht="14.25" hidden="false" customHeight="true" outlineLevel="0" collapsed="false">
      <c r="A154" s="201"/>
      <c r="B154" s="202"/>
      <c r="C154" s="202"/>
      <c r="D154" s="202"/>
      <c r="G154" s="94"/>
      <c r="H154" s="203"/>
      <c r="I154" s="202"/>
      <c r="J154" s="201"/>
      <c r="K154" s="201"/>
      <c r="L154" s="202"/>
      <c r="M154" s="204"/>
    </row>
    <row r="155" customFormat="false" ht="14.25" hidden="false" customHeight="true" outlineLevel="0" collapsed="false">
      <c r="A155" s="201"/>
      <c r="B155" s="202"/>
      <c r="C155" s="202"/>
      <c r="D155" s="202"/>
      <c r="G155" s="94"/>
      <c r="H155" s="203"/>
      <c r="I155" s="202"/>
      <c r="J155" s="201"/>
      <c r="K155" s="201"/>
      <c r="L155" s="202"/>
      <c r="M155" s="204"/>
    </row>
    <row r="156" customFormat="false" ht="14.25" hidden="false" customHeight="true" outlineLevel="0" collapsed="false">
      <c r="A156" s="201"/>
      <c r="B156" s="202"/>
      <c r="C156" s="202"/>
      <c r="D156" s="202"/>
      <c r="G156" s="94"/>
      <c r="H156" s="203"/>
      <c r="I156" s="202"/>
      <c r="J156" s="201"/>
      <c r="K156" s="201"/>
      <c r="L156" s="202"/>
      <c r="M156" s="204"/>
    </row>
    <row r="157" customFormat="false" ht="14.25" hidden="false" customHeight="true" outlineLevel="0" collapsed="false">
      <c r="A157" s="201"/>
      <c r="B157" s="202"/>
      <c r="C157" s="202"/>
      <c r="D157" s="202"/>
      <c r="G157" s="94"/>
      <c r="H157" s="203"/>
      <c r="I157" s="202"/>
      <c r="J157" s="201"/>
      <c r="K157" s="201"/>
      <c r="L157" s="202"/>
      <c r="M157" s="204"/>
    </row>
    <row r="158" customFormat="false" ht="14.25" hidden="false" customHeight="true" outlineLevel="0" collapsed="false">
      <c r="A158" s="201"/>
      <c r="B158" s="202"/>
      <c r="C158" s="202"/>
      <c r="D158" s="202"/>
      <c r="G158" s="94"/>
      <c r="H158" s="203"/>
      <c r="I158" s="202"/>
      <c r="J158" s="201"/>
      <c r="K158" s="201"/>
      <c r="L158" s="202"/>
      <c r="M158" s="204"/>
    </row>
    <row r="159" customFormat="false" ht="14.25" hidden="false" customHeight="true" outlineLevel="0" collapsed="false">
      <c r="A159" s="201"/>
      <c r="B159" s="202"/>
      <c r="C159" s="202"/>
      <c r="D159" s="202"/>
      <c r="G159" s="94"/>
      <c r="H159" s="203"/>
      <c r="I159" s="202"/>
      <c r="J159" s="201"/>
      <c r="K159" s="201"/>
      <c r="L159" s="202"/>
      <c r="M159" s="204"/>
    </row>
    <row r="160" customFormat="false" ht="14.25" hidden="false" customHeight="true" outlineLevel="0" collapsed="false">
      <c r="A160" s="201"/>
      <c r="B160" s="202"/>
      <c r="C160" s="202"/>
      <c r="D160" s="202"/>
      <c r="G160" s="94"/>
      <c r="H160" s="203"/>
      <c r="I160" s="202"/>
      <c r="J160" s="201"/>
      <c r="K160" s="201"/>
      <c r="L160" s="202"/>
      <c r="M160" s="204"/>
    </row>
    <row r="161" customFormat="false" ht="14.25" hidden="false" customHeight="true" outlineLevel="0" collapsed="false">
      <c r="A161" s="201"/>
      <c r="B161" s="202"/>
      <c r="C161" s="202"/>
      <c r="D161" s="202"/>
      <c r="G161" s="94"/>
      <c r="H161" s="203"/>
      <c r="I161" s="202"/>
      <c r="J161" s="201"/>
      <c r="K161" s="201"/>
      <c r="L161" s="202"/>
      <c r="M161" s="204"/>
    </row>
    <row r="162" customFormat="false" ht="14.25" hidden="false" customHeight="true" outlineLevel="0" collapsed="false">
      <c r="A162" s="201"/>
      <c r="B162" s="202"/>
      <c r="C162" s="202"/>
      <c r="D162" s="202"/>
      <c r="G162" s="94"/>
      <c r="H162" s="203"/>
      <c r="I162" s="202"/>
      <c r="J162" s="201"/>
      <c r="K162" s="201"/>
      <c r="L162" s="202"/>
      <c r="M162" s="204"/>
    </row>
    <row r="163" customFormat="false" ht="14.25" hidden="false" customHeight="true" outlineLevel="0" collapsed="false">
      <c r="A163" s="201"/>
      <c r="B163" s="202"/>
      <c r="C163" s="202"/>
      <c r="D163" s="202"/>
      <c r="G163" s="94"/>
      <c r="H163" s="203"/>
      <c r="I163" s="202"/>
      <c r="J163" s="201"/>
      <c r="K163" s="201"/>
      <c r="L163" s="202"/>
      <c r="M163" s="204"/>
    </row>
    <row r="164" customFormat="false" ht="14.25" hidden="false" customHeight="true" outlineLevel="0" collapsed="false">
      <c r="A164" s="201"/>
      <c r="B164" s="202"/>
      <c r="C164" s="202"/>
      <c r="D164" s="202"/>
      <c r="G164" s="94"/>
      <c r="H164" s="203"/>
      <c r="I164" s="202"/>
      <c r="J164" s="201"/>
      <c r="K164" s="201"/>
      <c r="L164" s="202"/>
      <c r="M164" s="204"/>
    </row>
    <row r="165" customFormat="false" ht="14.25" hidden="false" customHeight="true" outlineLevel="0" collapsed="false">
      <c r="A165" s="201"/>
      <c r="B165" s="202"/>
      <c r="C165" s="202"/>
      <c r="D165" s="202"/>
      <c r="G165" s="94"/>
      <c r="H165" s="203"/>
      <c r="I165" s="202"/>
      <c r="J165" s="201"/>
      <c r="K165" s="201"/>
      <c r="L165" s="202"/>
      <c r="M165" s="204"/>
    </row>
    <row r="166" customFormat="false" ht="14.25" hidden="false" customHeight="true" outlineLevel="0" collapsed="false">
      <c r="A166" s="201"/>
      <c r="B166" s="202"/>
      <c r="C166" s="202"/>
      <c r="D166" s="202"/>
      <c r="G166" s="94"/>
      <c r="H166" s="203"/>
      <c r="I166" s="202"/>
      <c r="J166" s="201"/>
      <c r="K166" s="201"/>
      <c r="L166" s="202"/>
      <c r="M166" s="204"/>
    </row>
    <row r="167" customFormat="false" ht="14.25" hidden="false" customHeight="true" outlineLevel="0" collapsed="false">
      <c r="A167" s="201"/>
      <c r="B167" s="202"/>
      <c r="C167" s="202"/>
      <c r="D167" s="202"/>
      <c r="G167" s="94"/>
      <c r="H167" s="203"/>
      <c r="I167" s="202"/>
      <c r="J167" s="201"/>
      <c r="K167" s="201"/>
      <c r="L167" s="202"/>
      <c r="M167" s="204"/>
    </row>
    <row r="168" customFormat="false" ht="14.25" hidden="false" customHeight="true" outlineLevel="0" collapsed="false">
      <c r="A168" s="201"/>
      <c r="B168" s="202"/>
      <c r="C168" s="202"/>
      <c r="D168" s="202"/>
      <c r="G168" s="94"/>
      <c r="H168" s="203"/>
      <c r="I168" s="202"/>
      <c r="J168" s="201"/>
      <c r="K168" s="201"/>
      <c r="L168" s="202"/>
      <c r="M168" s="204"/>
    </row>
    <row r="169" customFormat="false" ht="14.25" hidden="false" customHeight="true" outlineLevel="0" collapsed="false">
      <c r="A169" s="201"/>
      <c r="B169" s="202"/>
      <c r="C169" s="202"/>
      <c r="D169" s="202"/>
      <c r="G169" s="94"/>
      <c r="H169" s="203"/>
      <c r="I169" s="202"/>
      <c r="J169" s="201"/>
      <c r="K169" s="201"/>
      <c r="L169" s="202"/>
      <c r="M169" s="204"/>
    </row>
    <row r="170" customFormat="false" ht="14.25" hidden="false" customHeight="true" outlineLevel="0" collapsed="false">
      <c r="A170" s="201"/>
      <c r="B170" s="202"/>
      <c r="C170" s="202"/>
      <c r="D170" s="202"/>
      <c r="G170" s="94"/>
      <c r="H170" s="203"/>
      <c r="I170" s="202"/>
      <c r="J170" s="201"/>
      <c r="K170" s="201"/>
      <c r="L170" s="202"/>
      <c r="M170" s="204"/>
    </row>
    <row r="171" customFormat="false" ht="14.25" hidden="false" customHeight="true" outlineLevel="0" collapsed="false">
      <c r="A171" s="201"/>
      <c r="B171" s="202"/>
      <c r="C171" s="202"/>
      <c r="D171" s="202"/>
      <c r="G171" s="94"/>
      <c r="H171" s="203"/>
      <c r="I171" s="202"/>
      <c r="J171" s="201"/>
      <c r="K171" s="201"/>
      <c r="L171" s="202"/>
      <c r="M171" s="204"/>
    </row>
    <row r="172" customFormat="false" ht="14.25" hidden="false" customHeight="true" outlineLevel="0" collapsed="false">
      <c r="A172" s="201"/>
      <c r="B172" s="202"/>
      <c r="C172" s="202"/>
      <c r="D172" s="202"/>
      <c r="G172" s="94"/>
      <c r="H172" s="203"/>
      <c r="I172" s="202"/>
      <c r="J172" s="201"/>
      <c r="K172" s="201"/>
      <c r="L172" s="202"/>
      <c r="M172" s="204"/>
    </row>
    <row r="173" customFormat="false" ht="14.25" hidden="false" customHeight="true" outlineLevel="0" collapsed="false">
      <c r="A173" s="201"/>
      <c r="B173" s="202"/>
      <c r="C173" s="202"/>
      <c r="D173" s="202"/>
      <c r="G173" s="94"/>
      <c r="H173" s="203"/>
      <c r="I173" s="202"/>
      <c r="J173" s="201"/>
      <c r="K173" s="201"/>
      <c r="L173" s="202"/>
      <c r="M173" s="204"/>
    </row>
    <row r="174" customFormat="false" ht="15" hidden="false" customHeight="true" outlineLevel="0" collapsed="false">
      <c r="A174" s="201"/>
      <c r="B174" s="202"/>
      <c r="C174" s="202"/>
      <c r="D174" s="202"/>
      <c r="G174" s="94"/>
      <c r="H174" s="203"/>
      <c r="I174" s="202"/>
      <c r="J174" s="201"/>
      <c r="K174" s="201"/>
      <c r="L174" s="202"/>
      <c r="M174" s="204" t="s">
        <v>725</v>
      </c>
    </row>
    <row r="175" customFormat="false" ht="14.25" hidden="false" customHeight="true" outlineLevel="0" collapsed="false">
      <c r="A175" s="201"/>
      <c r="B175" s="202"/>
      <c r="C175" s="202"/>
      <c r="D175" s="202"/>
      <c r="G175" s="94"/>
      <c r="H175" s="203"/>
      <c r="I175" s="202"/>
      <c r="J175" s="201"/>
      <c r="K175" s="201"/>
      <c r="L175" s="202"/>
      <c r="M175" s="204"/>
    </row>
    <row r="176" customFormat="false" ht="14.25" hidden="false" customHeight="true" outlineLevel="0" collapsed="false">
      <c r="A176" s="201"/>
      <c r="B176" s="202"/>
      <c r="C176" s="202"/>
      <c r="D176" s="202"/>
      <c r="G176" s="94"/>
      <c r="H176" s="203"/>
      <c r="I176" s="202"/>
      <c r="J176" s="201"/>
      <c r="K176" s="201"/>
      <c r="L176" s="202"/>
      <c r="M176" s="204"/>
    </row>
    <row r="177" customFormat="false" ht="15" hidden="false" customHeight="true" outlineLevel="0" collapsed="false">
      <c r="A177" s="201"/>
      <c r="B177" s="202"/>
      <c r="C177" s="202"/>
      <c r="D177" s="202"/>
      <c r="G177" s="94"/>
      <c r="H177" s="203"/>
      <c r="I177" s="202"/>
      <c r="J177" s="201"/>
      <c r="K177" s="201"/>
      <c r="L177" s="202"/>
      <c r="M177" s="204" t="s">
        <v>725</v>
      </c>
    </row>
    <row r="178" customFormat="false" ht="14.25" hidden="false" customHeight="true" outlineLevel="0" collapsed="false">
      <c r="A178" s="201"/>
      <c r="B178" s="202"/>
      <c r="C178" s="202"/>
      <c r="D178" s="202"/>
      <c r="G178" s="94"/>
      <c r="H178" s="203"/>
      <c r="I178" s="202"/>
      <c r="J178" s="201"/>
      <c r="K178" s="201"/>
      <c r="L178" s="202"/>
      <c r="M178" s="204"/>
    </row>
    <row r="179" customFormat="false" ht="14.25" hidden="false" customHeight="true" outlineLevel="0" collapsed="false">
      <c r="A179" s="201"/>
      <c r="B179" s="202"/>
      <c r="C179" s="202"/>
      <c r="D179" s="202"/>
      <c r="G179" s="94"/>
      <c r="H179" s="203"/>
      <c r="I179" s="202"/>
      <c r="J179" s="201"/>
      <c r="K179" s="201"/>
      <c r="L179" s="202"/>
      <c r="M179" s="204"/>
    </row>
    <row r="180" customFormat="false" ht="14.25" hidden="false" customHeight="false" outlineLevel="0" collapsed="false">
      <c r="G180" s="94"/>
      <c r="H180" s="203"/>
    </row>
    <row r="181" customFormat="false" ht="14.25" hidden="false" customHeight="false" outlineLevel="0" collapsed="false">
      <c r="G181" s="94"/>
      <c r="H181" s="203"/>
    </row>
    <row r="182" customFormat="false" ht="14.25" hidden="false" customHeight="false" outlineLevel="0" collapsed="false">
      <c r="G182" s="94"/>
      <c r="H182" s="203"/>
    </row>
    <row r="183" customFormat="false" ht="14.25" hidden="false" customHeight="false" outlineLevel="0" collapsed="false">
      <c r="G183" s="94"/>
      <c r="H183" s="203"/>
    </row>
    <row r="184" customFormat="false" ht="14.25" hidden="false" customHeight="false" outlineLevel="0" collapsed="false">
      <c r="G184" s="94"/>
      <c r="H184" s="203"/>
    </row>
    <row r="185" customFormat="false" ht="14.25" hidden="false" customHeight="false" outlineLevel="0" collapsed="false">
      <c r="G185" s="94"/>
      <c r="H185" s="203"/>
    </row>
    <row r="186" customFormat="false" ht="14.25" hidden="false" customHeight="false" outlineLevel="0" collapsed="false">
      <c r="G186" s="94"/>
      <c r="H186" s="203"/>
    </row>
    <row r="187" customFormat="false" ht="14.25" hidden="false" customHeight="false" outlineLevel="0" collapsed="false">
      <c r="G187" s="94"/>
      <c r="H187" s="203"/>
    </row>
    <row r="188" customFormat="false" ht="14.25" hidden="false" customHeight="false" outlineLevel="0" collapsed="false">
      <c r="G188" s="94"/>
      <c r="H188" s="203"/>
    </row>
    <row r="189" customFormat="false" ht="14.25" hidden="false" customHeight="false" outlineLevel="0" collapsed="false">
      <c r="G189" s="94"/>
      <c r="H189" s="203"/>
    </row>
    <row r="190" customFormat="false" ht="14.25" hidden="false" customHeight="false" outlineLevel="0" collapsed="false">
      <c r="G190" s="94"/>
      <c r="H190" s="203"/>
    </row>
    <row r="191" customFormat="false" ht="14.25" hidden="false" customHeight="false" outlineLevel="0" collapsed="false">
      <c r="G191" s="94"/>
      <c r="H191" s="203"/>
    </row>
    <row r="192" customFormat="false" ht="14.25" hidden="false" customHeight="false" outlineLevel="0" collapsed="false">
      <c r="G192" s="94"/>
      <c r="H192" s="203"/>
    </row>
    <row r="193" customFormat="false" ht="14.25" hidden="false" customHeight="false" outlineLevel="0" collapsed="false">
      <c r="G193" s="94"/>
      <c r="H193" s="203"/>
    </row>
    <row r="194" customFormat="false" ht="14.25" hidden="false" customHeight="false" outlineLevel="0" collapsed="false">
      <c r="G194" s="94"/>
      <c r="H194" s="203"/>
    </row>
    <row r="195" customFormat="false" ht="14.25" hidden="false" customHeight="false" outlineLevel="0" collapsed="false">
      <c r="G195" s="94"/>
      <c r="H195" s="203"/>
    </row>
    <row r="196" customFormat="false" ht="14.25" hidden="false" customHeight="false" outlineLevel="0" collapsed="false">
      <c r="G196" s="94"/>
      <c r="H196" s="203"/>
    </row>
    <row r="197" customFormat="false" ht="14.25" hidden="false" customHeight="false" outlineLevel="0" collapsed="false">
      <c r="G197" s="94"/>
      <c r="H197" s="203"/>
    </row>
    <row r="198" customFormat="false" ht="14.25" hidden="false" customHeight="false" outlineLevel="0" collapsed="false">
      <c r="G198" s="94"/>
      <c r="H198" s="203"/>
    </row>
    <row r="199" customFormat="false" ht="14.25" hidden="false" customHeight="false" outlineLevel="0" collapsed="false">
      <c r="G199" s="94"/>
      <c r="H199" s="203"/>
    </row>
    <row r="200" customFormat="false" ht="14.25" hidden="false" customHeight="false" outlineLevel="0" collapsed="false">
      <c r="G200" s="94"/>
      <c r="H200" s="203"/>
    </row>
    <row r="201" customFormat="false" ht="14.25" hidden="false" customHeight="false" outlineLevel="0" collapsed="false">
      <c r="G201" s="94"/>
      <c r="H201" s="203"/>
    </row>
    <row r="202" customFormat="false" ht="14.25" hidden="false" customHeight="false" outlineLevel="0" collapsed="false">
      <c r="G202" s="94"/>
      <c r="H202" s="203"/>
    </row>
    <row r="203" customFormat="false" ht="14.25" hidden="false" customHeight="false" outlineLevel="0" collapsed="false">
      <c r="G203" s="94"/>
      <c r="H203" s="203"/>
    </row>
    <row r="204" customFormat="false" ht="14.25" hidden="false" customHeight="false" outlineLevel="0" collapsed="false">
      <c r="G204" s="94"/>
      <c r="H204" s="203"/>
    </row>
    <row r="205" customFormat="false" ht="14.25" hidden="false" customHeight="false" outlineLevel="0" collapsed="false">
      <c r="G205" s="94"/>
      <c r="H205" s="203"/>
    </row>
    <row r="206" customFormat="false" ht="14.25" hidden="false" customHeight="false" outlineLevel="0" collapsed="false">
      <c r="G206" s="94"/>
      <c r="H206" s="203"/>
    </row>
    <row r="207" customFormat="false" ht="14.25" hidden="false" customHeight="false" outlineLevel="0" collapsed="false">
      <c r="G207" s="94"/>
      <c r="H207" s="203"/>
    </row>
    <row r="208" customFormat="false" ht="14.25" hidden="false" customHeight="false" outlineLevel="0" collapsed="false">
      <c r="G208" s="94"/>
      <c r="H208" s="203"/>
    </row>
    <row r="209" customFormat="false" ht="14.25" hidden="false" customHeight="false" outlineLevel="0" collapsed="false">
      <c r="G209" s="94"/>
      <c r="H209" s="203"/>
    </row>
    <row r="210" customFormat="false" ht="14.25" hidden="false" customHeight="false" outlineLevel="0" collapsed="false">
      <c r="G210" s="94"/>
      <c r="H210" s="203"/>
    </row>
    <row r="211" customFormat="false" ht="14.25" hidden="false" customHeight="false" outlineLevel="0" collapsed="false">
      <c r="G211" s="94"/>
      <c r="H211" s="203"/>
    </row>
    <row r="212" customFormat="false" ht="14.25" hidden="false" customHeight="false" outlineLevel="0" collapsed="false">
      <c r="G212" s="94"/>
      <c r="H212" s="203"/>
    </row>
    <row r="213" customFormat="false" ht="14.25" hidden="false" customHeight="false" outlineLevel="0" collapsed="false">
      <c r="G213" s="94"/>
      <c r="H213" s="203"/>
    </row>
    <row r="214" customFormat="false" ht="14.25" hidden="false" customHeight="false" outlineLevel="0" collapsed="false">
      <c r="G214" s="94"/>
      <c r="H214" s="203"/>
    </row>
    <row r="215" customFormat="false" ht="14.25" hidden="false" customHeight="false" outlineLevel="0" collapsed="false">
      <c r="G215" s="94"/>
      <c r="H215" s="203"/>
    </row>
    <row r="216" customFormat="false" ht="14.25" hidden="false" customHeight="false" outlineLevel="0" collapsed="false">
      <c r="G216" s="94"/>
      <c r="H216" s="203"/>
    </row>
    <row r="217" customFormat="false" ht="14.25" hidden="false" customHeight="false" outlineLevel="0" collapsed="false">
      <c r="G217" s="94"/>
      <c r="H217" s="203"/>
    </row>
    <row r="218" customFormat="false" ht="14.25" hidden="false" customHeight="false" outlineLevel="0" collapsed="false">
      <c r="G218" s="94"/>
      <c r="H218" s="203"/>
    </row>
    <row r="219" customFormat="false" ht="14.25" hidden="false" customHeight="false" outlineLevel="0" collapsed="false">
      <c r="G219" s="94"/>
      <c r="H219" s="203"/>
    </row>
    <row r="220" customFormat="false" ht="14.25" hidden="false" customHeight="false" outlineLevel="0" collapsed="false">
      <c r="G220" s="94"/>
      <c r="H220" s="203"/>
    </row>
    <row r="221" customFormat="false" ht="14.25" hidden="false" customHeight="false" outlineLevel="0" collapsed="false">
      <c r="G221" s="94"/>
      <c r="H221" s="203"/>
    </row>
    <row r="222" customFormat="false" ht="14.25" hidden="false" customHeight="false" outlineLevel="0" collapsed="false">
      <c r="G222" s="94"/>
      <c r="H222" s="203"/>
    </row>
    <row r="223" customFormat="false" ht="14.25" hidden="false" customHeight="false" outlineLevel="0" collapsed="false">
      <c r="G223" s="94"/>
      <c r="H223" s="203"/>
    </row>
    <row r="224" customFormat="false" ht="14.25" hidden="false" customHeight="false" outlineLevel="0" collapsed="false">
      <c r="G224" s="94"/>
      <c r="H224" s="203"/>
    </row>
    <row r="225" customFormat="false" ht="14.25" hidden="false" customHeight="false" outlineLevel="0" collapsed="false">
      <c r="G225" s="94"/>
      <c r="H225" s="203"/>
    </row>
    <row r="226" customFormat="false" ht="14.25" hidden="false" customHeight="false" outlineLevel="0" collapsed="false">
      <c r="G226" s="94"/>
      <c r="H226" s="203"/>
    </row>
    <row r="227" customFormat="false" ht="14.25" hidden="false" customHeight="false" outlineLevel="0" collapsed="false">
      <c r="G227" s="94"/>
      <c r="H227" s="203"/>
    </row>
    <row r="228" customFormat="false" ht="14.25" hidden="false" customHeight="false" outlineLevel="0" collapsed="false">
      <c r="G228" s="94"/>
      <c r="H228" s="203"/>
    </row>
    <row r="229" customFormat="false" ht="14.25" hidden="false" customHeight="false" outlineLevel="0" collapsed="false">
      <c r="G229" s="94"/>
      <c r="H229" s="203"/>
    </row>
    <row r="230" customFormat="false" ht="14.25" hidden="false" customHeight="false" outlineLevel="0" collapsed="false">
      <c r="G230" s="94"/>
      <c r="H230" s="203"/>
    </row>
    <row r="231" customFormat="false" ht="14.25" hidden="false" customHeight="false" outlineLevel="0" collapsed="false">
      <c r="G231" s="94"/>
      <c r="H231" s="203"/>
    </row>
    <row r="232" customFormat="false" ht="14.25" hidden="false" customHeight="false" outlineLevel="0" collapsed="false">
      <c r="G232" s="94"/>
      <c r="H232" s="203"/>
    </row>
    <row r="233" customFormat="false" ht="14.25" hidden="false" customHeight="false" outlineLevel="0" collapsed="false">
      <c r="G233" s="94"/>
      <c r="H233" s="203"/>
    </row>
    <row r="234" customFormat="false" ht="14.25" hidden="false" customHeight="false" outlineLevel="0" collapsed="false">
      <c r="G234" s="94"/>
      <c r="H234" s="203"/>
    </row>
    <row r="235" customFormat="false" ht="14.25" hidden="false" customHeight="false" outlineLevel="0" collapsed="false">
      <c r="G235" s="94"/>
      <c r="H235" s="203"/>
    </row>
    <row r="236" customFormat="false" ht="14.25" hidden="false" customHeight="false" outlineLevel="0" collapsed="false">
      <c r="G236" s="94"/>
      <c r="H236" s="203"/>
    </row>
    <row r="237" customFormat="false" ht="14.25" hidden="false" customHeight="false" outlineLevel="0" collapsed="false">
      <c r="G237" s="94"/>
      <c r="H237" s="203"/>
    </row>
    <row r="238" customFormat="false" ht="14.25" hidden="false" customHeight="false" outlineLevel="0" collapsed="false">
      <c r="G238" s="94"/>
      <c r="H238" s="203"/>
    </row>
    <row r="239" customFormat="false" ht="14.25" hidden="false" customHeight="false" outlineLevel="0" collapsed="false">
      <c r="G239" s="94"/>
      <c r="H239" s="203"/>
    </row>
    <row r="240" customFormat="false" ht="14.25" hidden="false" customHeight="false" outlineLevel="0" collapsed="false">
      <c r="G240" s="94"/>
      <c r="H240" s="203"/>
    </row>
    <row r="241" customFormat="false" ht="14.25" hidden="false" customHeight="false" outlineLevel="0" collapsed="false">
      <c r="G241" s="94"/>
      <c r="H241" s="203"/>
    </row>
    <row r="242" customFormat="false" ht="14.25" hidden="false" customHeight="false" outlineLevel="0" collapsed="false">
      <c r="G242" s="205"/>
      <c r="H242" s="206"/>
    </row>
  </sheetData>
  <autoFilter ref="A1:N109"/>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 activeCellId="0" sqref="A6"/>
    </sheetView>
  </sheetViews>
  <sheetFormatPr defaultColWidth="9.1484375" defaultRowHeight="14.25" customHeight="false" zeroHeight="false" outlineLevelRow="0" outlineLevelCol="0"/>
  <cols>
    <col collapsed="false" customWidth="true" hidden="false" outlineLevel="0" max="1" min="1" style="93" width="29.57"/>
    <col collapsed="false" customWidth="true" hidden="false" outlineLevel="0" max="2" min="2" style="4" width="44.29"/>
    <col collapsed="false" customWidth="false" hidden="false" outlineLevel="0" max="16384" min="3" style="93" width="9.14"/>
  </cols>
  <sheetData>
    <row r="1" customFormat="false" ht="14.25" hidden="false" customHeight="false" outlineLevel="0" collapsed="false">
      <c r="A1" s="93" t="s">
        <v>879</v>
      </c>
    </row>
    <row r="2" customFormat="false" ht="14.25" hidden="false" customHeight="false" outlineLevel="0" collapsed="false">
      <c r="A2" s="93" t="s">
        <v>880</v>
      </c>
    </row>
    <row r="3" customFormat="false" ht="14.25" hidden="false" customHeight="false" outlineLevel="0" collapsed="false">
      <c r="A3" s="93" t="s">
        <v>881</v>
      </c>
    </row>
    <row r="4" customFormat="false" ht="14.25" hidden="false" customHeight="false" outlineLevel="0" collapsed="false">
      <c r="A4" s="93" t="s">
        <v>882</v>
      </c>
    </row>
    <row r="5" customFormat="false" ht="43.5" hidden="false" customHeight="true" outlineLevel="0" collapsed="false">
      <c r="A5" s="93" t="s">
        <v>883</v>
      </c>
      <c r="B5" s="4" t="s">
        <v>884</v>
      </c>
    </row>
    <row r="7" customFormat="false" ht="28.5" hidden="false" customHeight="true" outlineLevel="0" collapsed="false">
      <c r="A7" s="93" t="s">
        <v>885</v>
      </c>
      <c r="B7" s="207" t="s">
        <v>886</v>
      </c>
    </row>
    <row r="8" customFormat="false" ht="14.25" hidden="false" customHeight="false" outlineLevel="0" collapsed="false">
      <c r="A8" s="93" t="s">
        <v>887</v>
      </c>
    </row>
    <row r="9" customFormat="false" ht="28.5" hidden="false" customHeight="true" outlineLevel="0" collapsed="false">
      <c r="A9" s="93" t="s">
        <v>888</v>
      </c>
      <c r="B9" s="4" t="s">
        <v>889</v>
      </c>
    </row>
    <row r="10" customFormat="false" ht="14.25" hidden="false" customHeight="false" outlineLevel="0" collapsed="false">
      <c r="A10" s="93" t="s">
        <v>890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22"/>
  <sheetViews>
    <sheetView showFormulas="false" showGridLines="true" showRowColHeaders="true" showZeros="true" rightToLeft="false" tabSelected="false" showOutlineSymbols="true" defaultGridColor="true" view="normal" topLeftCell="A60" colorId="64" zoomScale="100" zoomScaleNormal="100" zoomScalePageLayoutView="100" workbookViewId="0">
      <selection pane="topLeft" activeCell="I46" activeCellId="0" sqref="I46"/>
    </sheetView>
  </sheetViews>
  <sheetFormatPr defaultColWidth="9.1484375" defaultRowHeight="14.25" customHeight="false" zeroHeight="false" outlineLevelRow="0" outlineLevelCol="0"/>
  <cols>
    <col collapsed="false" customWidth="false" hidden="false" outlineLevel="0" max="1" min="1" style="92" width="9.14"/>
    <col collapsed="false" customWidth="false" hidden="false" outlineLevel="0" max="2" min="2" style="93" width="9.14"/>
    <col collapsed="false" customWidth="true" hidden="false" outlineLevel="0" max="3" min="3" style="93" width="7.57"/>
    <col collapsed="false" customWidth="true" hidden="false" outlineLevel="0" max="4" min="4" style="93" width="5.14"/>
    <col collapsed="false" customWidth="true" hidden="false" outlineLevel="0" max="5" min="5" style="94" width="7.57"/>
    <col collapsed="false" customWidth="true" hidden="false" outlineLevel="0" max="6" min="6" style="94" width="8.71"/>
    <col collapsed="false" customWidth="true" hidden="false" outlineLevel="0" max="7" min="7" style="95" width="22.29"/>
    <col collapsed="false" customWidth="true" hidden="false" outlineLevel="0" max="8" min="8" style="96" width="19.14"/>
    <col collapsed="false" customWidth="true" hidden="false" outlineLevel="0" max="9" min="9" style="93" width="73.14"/>
    <col collapsed="false" customWidth="true" hidden="false" outlineLevel="0" max="10" min="10" style="92" width="7.71"/>
    <col collapsed="false" customWidth="true" hidden="false" outlineLevel="0" max="11" min="11" style="97" width="7.29"/>
    <col collapsed="false" customWidth="true" hidden="false" outlineLevel="0" max="12" min="12" style="93" width="12.86"/>
    <col collapsed="false" customWidth="true" hidden="false" outlineLevel="0" max="13" min="13" style="93" width="81.14"/>
    <col collapsed="false" customWidth="false" hidden="false" outlineLevel="0" max="16384" min="14" style="93" width="9.14"/>
  </cols>
  <sheetData>
    <row r="1" s="92" customFormat="true" ht="48" hidden="false" customHeight="true" outlineLevel="0" collapsed="false">
      <c r="A1" s="98" t="s">
        <v>336</v>
      </c>
      <c r="B1" s="98" t="s">
        <v>337</v>
      </c>
      <c r="C1" s="98" t="s">
        <v>338</v>
      </c>
      <c r="D1" s="98" t="s">
        <v>339</v>
      </c>
      <c r="E1" s="99" t="s">
        <v>340</v>
      </c>
      <c r="F1" s="99" t="s">
        <v>341</v>
      </c>
      <c r="G1" s="16" t="s">
        <v>342</v>
      </c>
      <c r="H1" s="16" t="s">
        <v>343</v>
      </c>
      <c r="I1" s="98" t="s">
        <v>0</v>
      </c>
      <c r="J1" s="98" t="s">
        <v>344</v>
      </c>
      <c r="K1" s="98" t="s">
        <v>345</v>
      </c>
      <c r="L1" s="98" t="s">
        <v>346</v>
      </c>
      <c r="M1" s="101" t="s">
        <v>347</v>
      </c>
    </row>
    <row r="2" customFormat="false" ht="94.5" hidden="false" customHeight="true" outlineLevel="0" collapsed="false">
      <c r="A2" s="102" t="s">
        <v>349</v>
      </c>
      <c r="B2" s="103" t="s">
        <v>18</v>
      </c>
      <c r="C2" s="103" t="s">
        <v>18</v>
      </c>
      <c r="D2" s="103" t="s">
        <v>350</v>
      </c>
      <c r="E2" s="104" t="s">
        <v>18</v>
      </c>
      <c r="F2" s="104" t="s">
        <v>351</v>
      </c>
      <c r="G2" s="22" t="s">
        <v>352</v>
      </c>
      <c r="H2" s="22" t="s">
        <v>353</v>
      </c>
      <c r="I2" s="20" t="s">
        <v>891</v>
      </c>
      <c r="J2" s="102" t="s">
        <v>354</v>
      </c>
      <c r="K2" s="105" t="n">
        <v>10</v>
      </c>
      <c r="L2" s="103" t="s">
        <v>355</v>
      </c>
      <c r="M2" s="113" t="s">
        <v>892</v>
      </c>
    </row>
    <row r="3" customFormat="false" ht="85.5" hidden="false" customHeight="true" outlineLevel="0" collapsed="false">
      <c r="A3" s="102" t="s">
        <v>358</v>
      </c>
      <c r="B3" s="103" t="s">
        <v>95</v>
      </c>
      <c r="C3" s="103" t="s">
        <v>74</v>
      </c>
      <c r="D3" s="103" t="s">
        <v>350</v>
      </c>
      <c r="E3" s="104" t="s">
        <v>30</v>
      </c>
      <c r="F3" s="104" t="s">
        <v>351</v>
      </c>
      <c r="G3" s="22" t="s">
        <v>352</v>
      </c>
      <c r="H3" s="22" t="s">
        <v>353</v>
      </c>
      <c r="I3" s="103" t="s">
        <v>760</v>
      </c>
      <c r="J3" s="102" t="s">
        <v>354</v>
      </c>
      <c r="K3" s="105" t="n">
        <v>10</v>
      </c>
      <c r="L3" s="103" t="s">
        <v>355</v>
      </c>
      <c r="M3" s="113" t="s">
        <v>761</v>
      </c>
    </row>
    <row r="4" customFormat="false" ht="48" hidden="false" customHeight="true" outlineLevel="0" collapsed="false">
      <c r="A4" s="108" t="s">
        <v>379</v>
      </c>
      <c r="B4" s="109" t="s">
        <v>30</v>
      </c>
      <c r="C4" s="103" t="s">
        <v>30</v>
      </c>
      <c r="D4" s="103" t="s">
        <v>350</v>
      </c>
      <c r="E4" s="104" t="s">
        <v>55</v>
      </c>
      <c r="F4" s="104" t="s">
        <v>351</v>
      </c>
      <c r="G4" s="22" t="s">
        <v>352</v>
      </c>
      <c r="H4" s="22" t="s">
        <v>362</v>
      </c>
      <c r="I4" s="109" t="s">
        <v>893</v>
      </c>
      <c r="J4" s="108" t="s">
        <v>354</v>
      </c>
      <c r="K4" s="110" t="n">
        <v>10</v>
      </c>
      <c r="L4" s="109" t="s">
        <v>355</v>
      </c>
      <c r="M4" s="113" t="s">
        <v>762</v>
      </c>
    </row>
    <row r="5" customFormat="false" ht="105.75" hidden="false" customHeight="true" outlineLevel="0" collapsed="false">
      <c r="A5" s="112" t="s">
        <v>763</v>
      </c>
      <c r="B5" s="113" t="s">
        <v>366</v>
      </c>
      <c r="C5" s="113" t="s">
        <v>366</v>
      </c>
      <c r="D5" s="103" t="s">
        <v>350</v>
      </c>
      <c r="E5" s="104" t="s">
        <v>764</v>
      </c>
      <c r="F5" s="104" t="s">
        <v>351</v>
      </c>
      <c r="G5" s="22" t="s">
        <v>352</v>
      </c>
      <c r="H5" s="22" t="s">
        <v>362</v>
      </c>
      <c r="I5" s="30" t="s">
        <v>894</v>
      </c>
      <c r="J5" s="112" t="s">
        <v>368</v>
      </c>
      <c r="K5" s="114" t="n">
        <v>3.3</v>
      </c>
      <c r="L5" s="113" t="s">
        <v>355</v>
      </c>
      <c r="M5" s="113" t="s">
        <v>895</v>
      </c>
    </row>
    <row r="6" customFormat="false" ht="42.75" hidden="false" customHeight="true" outlineLevel="0" collapsed="false">
      <c r="A6" s="112" t="s">
        <v>765</v>
      </c>
      <c r="B6" s="113" t="s">
        <v>371</v>
      </c>
      <c r="C6" s="113" t="s">
        <v>371</v>
      </c>
      <c r="D6" s="103" t="s">
        <v>350</v>
      </c>
      <c r="E6" s="104" t="s">
        <v>766</v>
      </c>
      <c r="F6" s="104" t="s">
        <v>351</v>
      </c>
      <c r="G6" s="22" t="s">
        <v>352</v>
      </c>
      <c r="H6" s="22" t="s">
        <v>362</v>
      </c>
      <c r="I6" s="30" t="s">
        <v>896</v>
      </c>
      <c r="J6" s="112" t="s">
        <v>368</v>
      </c>
      <c r="K6" s="114" t="n">
        <v>3.3</v>
      </c>
      <c r="L6" s="113" t="s">
        <v>355</v>
      </c>
      <c r="M6" s="113" t="s">
        <v>897</v>
      </c>
    </row>
    <row r="7" customFormat="false" ht="40.5" hidden="false" customHeight="true" outlineLevel="0" collapsed="false">
      <c r="A7" s="112" t="s">
        <v>768</v>
      </c>
      <c r="B7" s="113" t="s">
        <v>375</v>
      </c>
      <c r="C7" s="113" t="s">
        <v>375</v>
      </c>
      <c r="D7" s="103" t="s">
        <v>350</v>
      </c>
      <c r="E7" s="104" t="s">
        <v>769</v>
      </c>
      <c r="F7" s="104" t="s">
        <v>351</v>
      </c>
      <c r="G7" s="22" t="s">
        <v>352</v>
      </c>
      <c r="H7" s="22" t="s">
        <v>362</v>
      </c>
      <c r="I7" s="30" t="s">
        <v>898</v>
      </c>
      <c r="J7" s="112" t="s">
        <v>368</v>
      </c>
      <c r="K7" s="114" t="n">
        <v>3.3</v>
      </c>
      <c r="L7" s="113" t="s">
        <v>355</v>
      </c>
      <c r="M7" s="113" t="s">
        <v>899</v>
      </c>
    </row>
    <row r="8" customFormat="false" ht="54" hidden="false" customHeight="true" outlineLevel="0" collapsed="false">
      <c r="A8" s="102" t="s">
        <v>382</v>
      </c>
      <c r="B8" s="103" t="s">
        <v>74</v>
      </c>
      <c r="C8" s="103" t="s">
        <v>380</v>
      </c>
      <c r="D8" s="103" t="s">
        <v>350</v>
      </c>
      <c r="E8" s="104" t="s">
        <v>383</v>
      </c>
      <c r="F8" s="104" t="s">
        <v>351</v>
      </c>
      <c r="G8" s="22" t="s">
        <v>352</v>
      </c>
      <c r="H8" s="22" t="s">
        <v>362</v>
      </c>
      <c r="I8" s="103" t="s">
        <v>900</v>
      </c>
      <c r="J8" s="102" t="s">
        <v>354</v>
      </c>
      <c r="K8" s="105" t="n">
        <v>10</v>
      </c>
      <c r="L8" s="103" t="s">
        <v>355</v>
      </c>
      <c r="M8" s="113" t="s">
        <v>901</v>
      </c>
    </row>
    <row r="9" customFormat="false" ht="391.5" hidden="false" customHeight="true" outlineLevel="0" collapsed="false">
      <c r="A9" s="108" t="s">
        <v>395</v>
      </c>
      <c r="B9" s="109" t="s">
        <v>90</v>
      </c>
      <c r="C9" s="109" t="s">
        <v>383</v>
      </c>
      <c r="D9" s="103" t="s">
        <v>350</v>
      </c>
      <c r="E9" s="104" t="s">
        <v>74</v>
      </c>
      <c r="F9" s="104" t="s">
        <v>351</v>
      </c>
      <c r="G9" s="22" t="s">
        <v>352</v>
      </c>
      <c r="H9" s="22" t="s">
        <v>902</v>
      </c>
      <c r="I9" s="208" t="s">
        <v>903</v>
      </c>
      <c r="J9" s="108" t="s">
        <v>354</v>
      </c>
      <c r="K9" s="110" t="n">
        <v>10</v>
      </c>
      <c r="L9" s="109" t="s">
        <v>355</v>
      </c>
      <c r="M9" s="113" t="s">
        <v>904</v>
      </c>
    </row>
    <row r="10" customFormat="false" ht="25.5" hidden="false" customHeight="true" outlineLevel="0" collapsed="false">
      <c r="A10" s="112" t="s">
        <v>905</v>
      </c>
      <c r="B10" s="113" t="s">
        <v>906</v>
      </c>
      <c r="C10" s="113" t="s">
        <v>60</v>
      </c>
      <c r="D10" s="103" t="s">
        <v>350</v>
      </c>
      <c r="E10" s="104" t="s">
        <v>907</v>
      </c>
      <c r="F10" s="104" t="s">
        <v>351</v>
      </c>
      <c r="G10" s="22" t="s">
        <v>352</v>
      </c>
      <c r="H10" s="22" t="s">
        <v>902</v>
      </c>
      <c r="I10" s="113" t="s">
        <v>908</v>
      </c>
      <c r="J10" s="112" t="s">
        <v>368</v>
      </c>
      <c r="K10" s="114" t="n">
        <v>3.3</v>
      </c>
      <c r="L10" s="109" t="s">
        <v>355</v>
      </c>
      <c r="M10" s="113" t="s">
        <v>909</v>
      </c>
    </row>
    <row r="11" customFormat="false" ht="25.5" hidden="false" customHeight="true" outlineLevel="0" collapsed="false">
      <c r="A11" s="112" t="s">
        <v>910</v>
      </c>
      <c r="B11" s="113" t="s">
        <v>911</v>
      </c>
      <c r="C11" s="113" t="s">
        <v>64</v>
      </c>
      <c r="D11" s="103" t="s">
        <v>350</v>
      </c>
      <c r="E11" s="104" t="s">
        <v>912</v>
      </c>
      <c r="F11" s="104" t="s">
        <v>351</v>
      </c>
      <c r="G11" s="22" t="s">
        <v>352</v>
      </c>
      <c r="H11" s="22" t="s">
        <v>902</v>
      </c>
      <c r="I11" s="113" t="s">
        <v>913</v>
      </c>
      <c r="J11" s="112" t="s">
        <v>368</v>
      </c>
      <c r="K11" s="114" t="n">
        <v>3.3</v>
      </c>
      <c r="L11" s="109" t="s">
        <v>355</v>
      </c>
      <c r="M11" s="113" t="s">
        <v>909</v>
      </c>
    </row>
    <row r="12" customFormat="false" ht="37.5" hidden="false" customHeight="true" outlineLevel="0" collapsed="false">
      <c r="A12" s="112" t="s">
        <v>914</v>
      </c>
      <c r="B12" s="113" t="s">
        <v>915</v>
      </c>
      <c r="C12" s="113" t="s">
        <v>69</v>
      </c>
      <c r="D12" s="103" t="s">
        <v>350</v>
      </c>
      <c r="E12" s="104" t="s">
        <v>916</v>
      </c>
      <c r="F12" s="104" t="s">
        <v>351</v>
      </c>
      <c r="G12" s="22" t="s">
        <v>352</v>
      </c>
      <c r="H12" s="22" t="s">
        <v>902</v>
      </c>
      <c r="I12" s="113" t="s">
        <v>917</v>
      </c>
      <c r="J12" s="112" t="s">
        <v>368</v>
      </c>
      <c r="K12" s="114" t="n">
        <v>3.3</v>
      </c>
      <c r="L12" s="109" t="s">
        <v>355</v>
      </c>
      <c r="M12" s="113" t="s">
        <v>918</v>
      </c>
    </row>
    <row r="13" customFormat="false" ht="87" hidden="false" customHeight="true" outlineLevel="0" collapsed="false">
      <c r="A13" s="102" t="s">
        <v>398</v>
      </c>
      <c r="B13" s="103" t="s">
        <v>383</v>
      </c>
      <c r="C13" s="103" t="s">
        <v>55</v>
      </c>
      <c r="D13" s="103" t="s">
        <v>350</v>
      </c>
      <c r="E13" s="104" t="s">
        <v>400</v>
      </c>
      <c r="F13" s="104" t="s">
        <v>351</v>
      </c>
      <c r="G13" s="22" t="s">
        <v>352</v>
      </c>
      <c r="H13" s="22" t="s">
        <v>780</v>
      </c>
      <c r="I13" s="103" t="s">
        <v>919</v>
      </c>
      <c r="J13" s="102" t="s">
        <v>354</v>
      </c>
      <c r="K13" s="105" t="n">
        <v>10</v>
      </c>
      <c r="L13" s="103" t="s">
        <v>355</v>
      </c>
      <c r="M13" s="113" t="s">
        <v>920</v>
      </c>
    </row>
    <row r="14" s="174" customFormat="true" ht="37.5" hidden="false" customHeight="true" outlineLevel="0" collapsed="false">
      <c r="A14" s="209" t="s">
        <v>360</v>
      </c>
      <c r="B14" s="210" t="s">
        <v>100</v>
      </c>
      <c r="C14" s="210" t="s">
        <v>400</v>
      </c>
      <c r="D14" s="210" t="s">
        <v>350</v>
      </c>
      <c r="E14" s="211" t="s">
        <v>361</v>
      </c>
      <c r="F14" s="211" t="s">
        <v>351</v>
      </c>
      <c r="G14" s="167" t="s">
        <v>352</v>
      </c>
      <c r="H14" s="167" t="s">
        <v>902</v>
      </c>
      <c r="I14" s="212" t="s">
        <v>921</v>
      </c>
      <c r="J14" s="209" t="s">
        <v>354</v>
      </c>
      <c r="K14" s="213" t="n">
        <v>10</v>
      </c>
      <c r="L14" s="210" t="s">
        <v>355</v>
      </c>
      <c r="M14" s="214" t="s">
        <v>922</v>
      </c>
    </row>
    <row r="15" customFormat="false" ht="42" hidden="false" customHeight="true" outlineLevel="0" collapsed="false">
      <c r="A15" s="102" t="s">
        <v>533</v>
      </c>
      <c r="B15" s="103" t="s">
        <v>399</v>
      </c>
      <c r="C15" s="103" t="s">
        <v>95</v>
      </c>
      <c r="D15" s="103" t="s">
        <v>350</v>
      </c>
      <c r="E15" s="104" t="s">
        <v>534</v>
      </c>
      <c r="F15" s="104" t="s">
        <v>351</v>
      </c>
      <c r="G15" s="22" t="s">
        <v>352</v>
      </c>
      <c r="H15" s="22" t="s">
        <v>401</v>
      </c>
      <c r="I15" s="109" t="s">
        <v>402</v>
      </c>
      <c r="J15" s="102" t="s">
        <v>354</v>
      </c>
      <c r="K15" s="105" t="n">
        <v>10</v>
      </c>
      <c r="L15" s="103" t="s">
        <v>413</v>
      </c>
      <c r="M15" s="113" t="s">
        <v>380</v>
      </c>
    </row>
    <row r="16" customFormat="false" ht="81" hidden="false" customHeight="true" outlineLevel="0" collapsed="false">
      <c r="A16" s="112" t="s">
        <v>539</v>
      </c>
      <c r="B16" s="113" t="s">
        <v>165</v>
      </c>
      <c r="C16" s="113" t="s">
        <v>406</v>
      </c>
      <c r="D16" s="103" t="s">
        <v>350</v>
      </c>
      <c r="E16" s="104" t="s">
        <v>198</v>
      </c>
      <c r="F16" s="104" t="s">
        <v>351</v>
      </c>
      <c r="G16" s="22" t="s">
        <v>352</v>
      </c>
      <c r="H16" s="22" t="s">
        <v>401</v>
      </c>
      <c r="I16" s="113" t="s">
        <v>923</v>
      </c>
      <c r="J16" s="112" t="s">
        <v>368</v>
      </c>
      <c r="K16" s="114" t="n">
        <v>5</v>
      </c>
      <c r="L16" s="109" t="s">
        <v>413</v>
      </c>
      <c r="M16" s="113" t="s">
        <v>924</v>
      </c>
    </row>
    <row r="17" customFormat="false" ht="100.5" hidden="false" customHeight="true" outlineLevel="0" collapsed="false">
      <c r="A17" s="112" t="s">
        <v>555</v>
      </c>
      <c r="B17" s="113" t="s">
        <v>168</v>
      </c>
      <c r="C17" s="113" t="s">
        <v>411</v>
      </c>
      <c r="D17" s="103" t="s">
        <v>350</v>
      </c>
      <c r="E17" s="104" t="s">
        <v>201</v>
      </c>
      <c r="F17" s="104" t="s">
        <v>351</v>
      </c>
      <c r="G17" s="22" t="s">
        <v>352</v>
      </c>
      <c r="H17" s="22" t="s">
        <v>401</v>
      </c>
      <c r="I17" s="113" t="s">
        <v>784</v>
      </c>
      <c r="J17" s="112" t="s">
        <v>368</v>
      </c>
      <c r="K17" s="114" t="n">
        <v>5</v>
      </c>
      <c r="L17" s="109" t="s">
        <v>413</v>
      </c>
      <c r="M17" s="113" t="s">
        <v>925</v>
      </c>
    </row>
    <row r="18" customFormat="false" ht="121.5" hidden="false" customHeight="true" outlineLevel="0" collapsed="false">
      <c r="A18" s="112" t="s">
        <v>573</v>
      </c>
      <c r="B18" s="136" t="s">
        <v>725</v>
      </c>
      <c r="C18" s="136" t="s">
        <v>725</v>
      </c>
      <c r="D18" s="215" t="s">
        <v>350</v>
      </c>
      <c r="E18" s="216" t="s">
        <v>574</v>
      </c>
      <c r="F18" s="216" t="s">
        <v>351</v>
      </c>
      <c r="G18" s="22" t="s">
        <v>352</v>
      </c>
      <c r="H18" s="22" t="s">
        <v>401</v>
      </c>
      <c r="I18" s="20" t="s">
        <v>91</v>
      </c>
      <c r="J18" s="112" t="s">
        <v>354</v>
      </c>
      <c r="K18" s="114" t="n">
        <v>10</v>
      </c>
      <c r="L18" s="215" t="s">
        <v>413</v>
      </c>
      <c r="M18" s="30" t="s">
        <v>926</v>
      </c>
    </row>
    <row r="19" customFormat="false" ht="88.5" hidden="false" customHeight="true" outlineLevel="0" collapsed="false">
      <c r="A19" s="102" t="s">
        <v>415</v>
      </c>
      <c r="B19" s="103" t="s">
        <v>55</v>
      </c>
      <c r="C19" s="103" t="s">
        <v>361</v>
      </c>
      <c r="D19" s="103" t="s">
        <v>350</v>
      </c>
      <c r="E19" s="104" t="s">
        <v>90</v>
      </c>
      <c r="F19" s="104" t="s">
        <v>351</v>
      </c>
      <c r="G19" s="22" t="s">
        <v>787</v>
      </c>
      <c r="H19" s="22" t="s">
        <v>420</v>
      </c>
      <c r="I19" s="103" t="s">
        <v>927</v>
      </c>
      <c r="J19" s="102" t="s">
        <v>354</v>
      </c>
      <c r="K19" s="105" t="n">
        <v>10</v>
      </c>
      <c r="L19" s="103" t="s">
        <v>355</v>
      </c>
      <c r="M19" s="113" t="s">
        <v>928</v>
      </c>
    </row>
    <row r="20" customFormat="false" ht="63" hidden="false" customHeight="true" outlineLevel="0" collapsed="false">
      <c r="A20" s="139" t="s">
        <v>418</v>
      </c>
      <c r="B20" s="103" t="s">
        <v>422</v>
      </c>
      <c r="C20" s="103" t="s">
        <v>174</v>
      </c>
      <c r="D20" s="103" t="s">
        <v>350</v>
      </c>
      <c r="E20" s="104" t="s">
        <v>95</v>
      </c>
      <c r="F20" s="104" t="s">
        <v>351</v>
      </c>
      <c r="G20" s="22" t="s">
        <v>787</v>
      </c>
      <c r="H20" s="22" t="s">
        <v>423</v>
      </c>
      <c r="I20" s="217" t="s">
        <v>929</v>
      </c>
      <c r="J20" s="139" t="s">
        <v>354</v>
      </c>
      <c r="K20" s="141" t="n">
        <v>10</v>
      </c>
      <c r="L20" s="103" t="s">
        <v>355</v>
      </c>
      <c r="M20" s="113" t="s">
        <v>930</v>
      </c>
      <c r="N20" s="93" t="s">
        <v>931</v>
      </c>
    </row>
    <row r="21" customFormat="false" ht="67.5" hidden="false" customHeight="true" outlineLevel="0" collapsed="false">
      <c r="A21" s="139" t="s">
        <v>21</v>
      </c>
      <c r="B21" s="103" t="s">
        <v>305</v>
      </c>
      <c r="C21" s="103" t="s">
        <v>426</v>
      </c>
      <c r="D21" s="103" t="s">
        <v>350</v>
      </c>
      <c r="E21" s="104" t="s">
        <v>100</v>
      </c>
      <c r="F21" s="104" t="s">
        <v>351</v>
      </c>
      <c r="G21" s="22" t="s">
        <v>787</v>
      </c>
      <c r="H21" s="22" t="s">
        <v>423</v>
      </c>
      <c r="I21" s="217" t="s">
        <v>932</v>
      </c>
      <c r="J21" s="139" t="s">
        <v>354</v>
      </c>
      <c r="K21" s="141" t="n">
        <v>10</v>
      </c>
      <c r="L21" s="103" t="s">
        <v>355</v>
      </c>
      <c r="M21" s="113" t="s">
        <v>933</v>
      </c>
    </row>
    <row r="22" customFormat="false" ht="81" hidden="false" customHeight="true" outlineLevel="0" collapsed="false">
      <c r="A22" s="102" t="s">
        <v>465</v>
      </c>
      <c r="B22" s="103" t="s">
        <v>162</v>
      </c>
      <c r="C22" s="103" t="s">
        <v>90</v>
      </c>
      <c r="D22" s="103" t="s">
        <v>350</v>
      </c>
      <c r="E22" s="104" t="s">
        <v>466</v>
      </c>
      <c r="F22" s="104" t="s">
        <v>351</v>
      </c>
      <c r="G22" s="22" t="s">
        <v>787</v>
      </c>
      <c r="H22" s="22" t="s">
        <v>438</v>
      </c>
      <c r="I22" s="103" t="s">
        <v>934</v>
      </c>
      <c r="J22" s="102" t="s">
        <v>354</v>
      </c>
      <c r="K22" s="105" t="n">
        <v>10</v>
      </c>
      <c r="L22" s="103" t="s">
        <v>355</v>
      </c>
      <c r="M22" s="113" t="s">
        <v>935</v>
      </c>
    </row>
    <row r="23" customFormat="false" ht="126" hidden="false" customHeight="true" outlineLevel="0" collapsed="false">
      <c r="A23" s="144" t="s">
        <v>481</v>
      </c>
      <c r="B23" s="145"/>
      <c r="C23" s="145"/>
      <c r="D23" s="145" t="s">
        <v>350</v>
      </c>
      <c r="E23" s="95" t="s">
        <v>162</v>
      </c>
      <c r="F23" s="104" t="s">
        <v>351</v>
      </c>
      <c r="G23" s="22" t="s">
        <v>787</v>
      </c>
      <c r="H23" s="22" t="s">
        <v>438</v>
      </c>
      <c r="I23" s="146" t="s">
        <v>936</v>
      </c>
      <c r="J23" s="139" t="s">
        <v>354</v>
      </c>
      <c r="K23" s="141" t="n">
        <v>10</v>
      </c>
      <c r="L23" s="103" t="s">
        <v>355</v>
      </c>
      <c r="M23" s="146" t="s">
        <v>937</v>
      </c>
    </row>
    <row r="24" customFormat="false" ht="54" hidden="false" customHeight="true" outlineLevel="0" collapsed="false">
      <c r="A24" s="102" t="s">
        <v>425</v>
      </c>
      <c r="B24" s="103" t="s">
        <v>380</v>
      </c>
      <c r="C24" s="103" t="s">
        <v>427</v>
      </c>
      <c r="D24" s="103" t="s">
        <v>350</v>
      </c>
      <c r="E24" s="104" t="s">
        <v>427</v>
      </c>
      <c r="F24" s="104" t="s">
        <v>351</v>
      </c>
      <c r="G24" s="22" t="s">
        <v>794</v>
      </c>
      <c r="H24" s="22" t="s">
        <v>443</v>
      </c>
      <c r="I24" s="109" t="s">
        <v>795</v>
      </c>
      <c r="J24" s="103" t="s">
        <v>354</v>
      </c>
      <c r="K24" s="105" t="n">
        <v>10</v>
      </c>
      <c r="L24" s="103" t="s">
        <v>445</v>
      </c>
      <c r="M24" s="113" t="s">
        <v>938</v>
      </c>
    </row>
    <row r="25" customFormat="false" ht="104.25" hidden="false" customHeight="true" outlineLevel="0" collapsed="false">
      <c r="A25" s="139" t="s">
        <v>429</v>
      </c>
      <c r="B25" s="103"/>
      <c r="C25" s="103"/>
      <c r="D25" s="103"/>
      <c r="E25" s="104" t="s">
        <v>106</v>
      </c>
      <c r="F25" s="104" t="s">
        <v>351</v>
      </c>
      <c r="G25" s="22" t="s">
        <v>794</v>
      </c>
      <c r="H25" s="22" t="s">
        <v>443</v>
      </c>
      <c r="I25" s="103" t="s">
        <v>939</v>
      </c>
      <c r="J25" s="103" t="s">
        <v>368</v>
      </c>
      <c r="K25" s="105" t="n">
        <v>1.67</v>
      </c>
      <c r="L25" s="103"/>
      <c r="M25" s="214" t="s">
        <v>940</v>
      </c>
    </row>
    <row r="26" customFormat="false" ht="64.5" hidden="false" customHeight="true" outlineLevel="0" collapsed="false">
      <c r="A26" s="139" t="s">
        <v>433</v>
      </c>
      <c r="B26" s="103"/>
      <c r="C26" s="103"/>
      <c r="D26" s="103"/>
      <c r="E26" s="104" t="s">
        <v>111</v>
      </c>
      <c r="F26" s="104" t="s">
        <v>351</v>
      </c>
      <c r="G26" s="22" t="s">
        <v>794</v>
      </c>
      <c r="H26" s="22" t="s">
        <v>443</v>
      </c>
      <c r="I26" s="103" t="s">
        <v>941</v>
      </c>
      <c r="J26" s="103" t="s">
        <v>368</v>
      </c>
      <c r="K26" s="105" t="n">
        <v>1.67</v>
      </c>
      <c r="L26" s="103"/>
      <c r="M26" s="214" t="s">
        <v>942</v>
      </c>
    </row>
    <row r="27" customFormat="false" ht="72" hidden="false" customHeight="true" outlineLevel="0" collapsed="false">
      <c r="A27" s="139" t="s">
        <v>797</v>
      </c>
      <c r="B27" s="103"/>
      <c r="C27" s="103"/>
      <c r="D27" s="103"/>
      <c r="E27" s="104" t="s">
        <v>798</v>
      </c>
      <c r="F27" s="104" t="s">
        <v>351</v>
      </c>
      <c r="G27" s="22" t="s">
        <v>794</v>
      </c>
      <c r="H27" s="22" t="s">
        <v>443</v>
      </c>
      <c r="I27" s="103" t="s">
        <v>454</v>
      </c>
      <c r="J27" s="103" t="s">
        <v>368</v>
      </c>
      <c r="K27" s="105" t="n">
        <v>1.67</v>
      </c>
      <c r="L27" s="103"/>
      <c r="M27" s="214" t="s">
        <v>943</v>
      </c>
    </row>
    <row r="28" customFormat="false" ht="65.25" hidden="false" customHeight="true" outlineLevel="0" collapsed="false">
      <c r="A28" s="139" t="s">
        <v>799</v>
      </c>
      <c r="B28" s="103"/>
      <c r="C28" s="103"/>
      <c r="D28" s="103"/>
      <c r="E28" s="104" t="s">
        <v>800</v>
      </c>
      <c r="F28" s="104" t="s">
        <v>351</v>
      </c>
      <c r="G28" s="22" t="s">
        <v>794</v>
      </c>
      <c r="H28" s="22" t="s">
        <v>443</v>
      </c>
      <c r="I28" s="103" t="s">
        <v>944</v>
      </c>
      <c r="J28" s="103" t="s">
        <v>368</v>
      </c>
      <c r="K28" s="105" t="n">
        <v>1.67</v>
      </c>
      <c r="L28" s="103"/>
      <c r="M28" s="214" t="s">
        <v>945</v>
      </c>
    </row>
    <row r="29" customFormat="false" ht="74.25" hidden="false" customHeight="true" outlineLevel="0" collapsed="false">
      <c r="A29" s="139" t="s">
        <v>801</v>
      </c>
      <c r="B29" s="103"/>
      <c r="C29" s="103"/>
      <c r="D29" s="103"/>
      <c r="E29" s="104" t="s">
        <v>802</v>
      </c>
      <c r="F29" s="104" t="s">
        <v>351</v>
      </c>
      <c r="G29" s="22" t="s">
        <v>794</v>
      </c>
      <c r="H29" s="22" t="s">
        <v>443</v>
      </c>
      <c r="I29" s="103" t="s">
        <v>460</v>
      </c>
      <c r="J29" s="103" t="s">
        <v>368</v>
      </c>
      <c r="K29" s="105" t="n">
        <v>1.67</v>
      </c>
      <c r="L29" s="103"/>
      <c r="M29" s="214" t="s">
        <v>946</v>
      </c>
    </row>
    <row r="30" customFormat="false" ht="63.75" hidden="false" customHeight="true" outlineLevel="0" collapsed="false">
      <c r="A30" s="139" t="s">
        <v>803</v>
      </c>
      <c r="B30" s="103"/>
      <c r="C30" s="103"/>
      <c r="D30" s="103"/>
      <c r="E30" s="104" t="s">
        <v>804</v>
      </c>
      <c r="F30" s="104" t="s">
        <v>351</v>
      </c>
      <c r="G30" s="22" t="s">
        <v>794</v>
      </c>
      <c r="H30" s="22" t="s">
        <v>443</v>
      </c>
      <c r="I30" s="103" t="s">
        <v>463</v>
      </c>
      <c r="J30" s="103" t="s">
        <v>368</v>
      </c>
      <c r="K30" s="105" t="n">
        <v>1.67</v>
      </c>
      <c r="L30" s="103"/>
      <c r="M30" s="214" t="s">
        <v>947</v>
      </c>
    </row>
    <row r="31" customFormat="false" ht="47.25" hidden="false" customHeight="true" outlineLevel="0" collapsed="false">
      <c r="A31" s="108" t="s">
        <v>512</v>
      </c>
      <c r="B31" s="109" t="s">
        <v>361</v>
      </c>
      <c r="C31" s="109" t="s">
        <v>380</v>
      </c>
      <c r="D31" s="103" t="s">
        <v>350</v>
      </c>
      <c r="E31" s="104" t="s">
        <v>515</v>
      </c>
      <c r="F31" s="104" t="s">
        <v>413</v>
      </c>
      <c r="G31" s="22" t="s">
        <v>806</v>
      </c>
      <c r="H31" s="22" t="s">
        <v>807</v>
      </c>
      <c r="I31" s="212" t="s">
        <v>948</v>
      </c>
      <c r="J31" s="108" t="s">
        <v>354</v>
      </c>
      <c r="K31" s="110" t="n">
        <v>10</v>
      </c>
      <c r="L31" s="109" t="s">
        <v>413</v>
      </c>
      <c r="M31" s="113" t="s">
        <v>470</v>
      </c>
    </row>
    <row r="32" customFormat="false" ht="50.25" hidden="false" customHeight="true" outlineLevel="0" collapsed="false">
      <c r="A32" s="112" t="s">
        <v>518</v>
      </c>
      <c r="B32" s="113" t="s">
        <v>37</v>
      </c>
      <c r="C32" s="109" t="s">
        <v>380</v>
      </c>
      <c r="D32" s="103" t="s">
        <v>350</v>
      </c>
      <c r="E32" s="104" t="s">
        <v>183</v>
      </c>
      <c r="F32" s="104" t="s">
        <v>413</v>
      </c>
      <c r="G32" s="22" t="s">
        <v>806</v>
      </c>
      <c r="H32" s="22" t="s">
        <v>807</v>
      </c>
      <c r="I32" s="214" t="s">
        <v>949</v>
      </c>
      <c r="J32" s="112" t="s">
        <v>368</v>
      </c>
      <c r="K32" s="114" t="n">
        <v>3.3</v>
      </c>
      <c r="L32" s="113" t="s">
        <v>413</v>
      </c>
      <c r="M32" s="113" t="s">
        <v>950</v>
      </c>
    </row>
    <row r="33" customFormat="false" ht="50.25" hidden="false" customHeight="true" outlineLevel="0" collapsed="false">
      <c r="A33" s="112" t="s">
        <v>521</v>
      </c>
      <c r="B33" s="113" t="s">
        <v>45</v>
      </c>
      <c r="C33" s="109" t="s">
        <v>380</v>
      </c>
      <c r="D33" s="103" t="s">
        <v>350</v>
      </c>
      <c r="E33" s="104" t="s">
        <v>186</v>
      </c>
      <c r="F33" s="104" t="s">
        <v>413</v>
      </c>
      <c r="G33" s="22" t="s">
        <v>806</v>
      </c>
      <c r="H33" s="22" t="s">
        <v>807</v>
      </c>
      <c r="I33" s="214" t="s">
        <v>951</v>
      </c>
      <c r="J33" s="112" t="s">
        <v>368</v>
      </c>
      <c r="K33" s="114" t="n">
        <v>3.3</v>
      </c>
      <c r="L33" s="113" t="s">
        <v>413</v>
      </c>
      <c r="M33" s="214" t="s">
        <v>952</v>
      </c>
    </row>
    <row r="34" customFormat="false" ht="63" hidden="false" customHeight="true" outlineLevel="0" collapsed="false">
      <c r="A34" s="112" t="s">
        <v>524</v>
      </c>
      <c r="B34" s="113" t="s">
        <v>50</v>
      </c>
      <c r="C34" s="109" t="s">
        <v>380</v>
      </c>
      <c r="D34" s="103" t="s">
        <v>350</v>
      </c>
      <c r="E34" s="104" t="s">
        <v>189</v>
      </c>
      <c r="F34" s="104" t="s">
        <v>413</v>
      </c>
      <c r="G34" s="22" t="s">
        <v>806</v>
      </c>
      <c r="H34" s="22" t="s">
        <v>807</v>
      </c>
      <c r="I34" s="214" t="s">
        <v>953</v>
      </c>
      <c r="J34" s="112" t="s">
        <v>368</v>
      </c>
      <c r="K34" s="114" t="n">
        <v>3.3</v>
      </c>
      <c r="L34" s="113" t="s">
        <v>413</v>
      </c>
      <c r="M34" s="113" t="s">
        <v>954</v>
      </c>
    </row>
    <row r="35" customFormat="false" ht="138.75" hidden="false" customHeight="true" outlineLevel="0" collapsed="false">
      <c r="A35" s="144" t="s">
        <v>527</v>
      </c>
      <c r="B35" s="145"/>
      <c r="C35" s="145"/>
      <c r="D35" s="145" t="s">
        <v>350</v>
      </c>
      <c r="E35" s="95" t="s">
        <v>192</v>
      </c>
      <c r="F35" s="104" t="s">
        <v>413</v>
      </c>
      <c r="G35" s="22" t="s">
        <v>806</v>
      </c>
      <c r="H35" s="22" t="s">
        <v>809</v>
      </c>
      <c r="I35" s="210" t="s">
        <v>955</v>
      </c>
      <c r="J35" s="169" t="s">
        <v>354</v>
      </c>
      <c r="K35" s="170" t="n">
        <v>10</v>
      </c>
      <c r="L35" s="210" t="s">
        <v>413</v>
      </c>
      <c r="M35" s="172" t="s">
        <v>956</v>
      </c>
    </row>
    <row r="36" customFormat="false" ht="25.5" hidden="false" customHeight="true" outlineLevel="0" collapsed="false">
      <c r="A36" s="108" t="s">
        <v>530</v>
      </c>
      <c r="B36" s="109" t="s">
        <v>400</v>
      </c>
      <c r="C36" s="109" t="s">
        <v>380</v>
      </c>
      <c r="D36" s="103" t="s">
        <v>350</v>
      </c>
      <c r="E36" s="104" t="s">
        <v>195</v>
      </c>
      <c r="F36" s="104" t="s">
        <v>413</v>
      </c>
      <c r="G36" s="22" t="s">
        <v>806</v>
      </c>
      <c r="H36" s="22" t="s">
        <v>485</v>
      </c>
      <c r="I36" s="212" t="s">
        <v>957</v>
      </c>
      <c r="J36" s="98" t="s">
        <v>354</v>
      </c>
      <c r="K36" s="218" t="n">
        <v>10</v>
      </c>
      <c r="L36" s="212" t="s">
        <v>413</v>
      </c>
      <c r="M36" s="214" t="s">
        <v>958</v>
      </c>
    </row>
    <row r="37" customFormat="false" ht="63" hidden="false" customHeight="true" outlineLevel="0" collapsed="false">
      <c r="A37" s="112" t="s">
        <v>811</v>
      </c>
      <c r="B37" s="113" t="s">
        <v>80</v>
      </c>
      <c r="C37" s="109" t="s">
        <v>380</v>
      </c>
      <c r="D37" s="103" t="s">
        <v>350</v>
      </c>
      <c r="E37" s="104" t="s">
        <v>812</v>
      </c>
      <c r="F37" s="104" t="s">
        <v>413</v>
      </c>
      <c r="G37" s="22" t="s">
        <v>806</v>
      </c>
      <c r="H37" s="22" t="s">
        <v>485</v>
      </c>
      <c r="I37" s="214" t="s">
        <v>959</v>
      </c>
      <c r="J37" s="219" t="s">
        <v>368</v>
      </c>
      <c r="K37" s="220" t="n">
        <v>5</v>
      </c>
      <c r="L37" s="210" t="s">
        <v>413</v>
      </c>
      <c r="M37" s="214" t="s">
        <v>960</v>
      </c>
    </row>
    <row r="38" customFormat="false" ht="50.25" hidden="false" customHeight="true" outlineLevel="0" collapsed="false">
      <c r="A38" s="112" t="s">
        <v>814</v>
      </c>
      <c r="B38" s="113" t="s">
        <v>87</v>
      </c>
      <c r="C38" s="109" t="s">
        <v>380</v>
      </c>
      <c r="D38" s="103" t="s">
        <v>350</v>
      </c>
      <c r="E38" s="104" t="s">
        <v>815</v>
      </c>
      <c r="F38" s="104" t="s">
        <v>413</v>
      </c>
      <c r="G38" s="22" t="s">
        <v>806</v>
      </c>
      <c r="H38" s="22" t="s">
        <v>485</v>
      </c>
      <c r="I38" s="214" t="s">
        <v>816</v>
      </c>
      <c r="J38" s="219" t="s">
        <v>368</v>
      </c>
      <c r="K38" s="220" t="n">
        <v>5</v>
      </c>
      <c r="L38" s="210" t="s">
        <v>413</v>
      </c>
      <c r="M38" s="214" t="s">
        <v>961</v>
      </c>
    </row>
    <row r="39" customFormat="false" ht="63" hidden="false" customHeight="true" outlineLevel="0" collapsed="false">
      <c r="A39" s="102" t="s">
        <v>597</v>
      </c>
      <c r="B39" s="103" t="s">
        <v>114</v>
      </c>
      <c r="C39" s="103" t="s">
        <v>380</v>
      </c>
      <c r="D39" s="103" t="s">
        <v>350</v>
      </c>
      <c r="E39" s="104" t="s">
        <v>598</v>
      </c>
      <c r="F39" s="104" t="s">
        <v>413</v>
      </c>
      <c r="G39" s="22" t="s">
        <v>806</v>
      </c>
      <c r="H39" s="22" t="s">
        <v>495</v>
      </c>
      <c r="I39" s="210" t="s">
        <v>818</v>
      </c>
      <c r="J39" s="209" t="s">
        <v>354</v>
      </c>
      <c r="K39" s="213" t="n">
        <v>10</v>
      </c>
      <c r="L39" s="210" t="s">
        <v>413</v>
      </c>
      <c r="M39" s="214" t="s">
        <v>819</v>
      </c>
    </row>
    <row r="40" customFormat="false" ht="126" hidden="false" customHeight="true" outlineLevel="0" collapsed="false">
      <c r="A40" s="139" t="s">
        <v>665</v>
      </c>
      <c r="B40" s="103" t="s">
        <v>499</v>
      </c>
      <c r="C40" s="103" t="s">
        <v>380</v>
      </c>
      <c r="D40" s="103" t="s">
        <v>350</v>
      </c>
      <c r="E40" s="104" t="s">
        <v>666</v>
      </c>
      <c r="F40" s="150" t="s">
        <v>413</v>
      </c>
      <c r="G40" s="22" t="s">
        <v>806</v>
      </c>
      <c r="H40" s="22" t="s">
        <v>820</v>
      </c>
      <c r="I40" s="210" t="s">
        <v>821</v>
      </c>
      <c r="J40" s="169" t="s">
        <v>354</v>
      </c>
      <c r="K40" s="170" t="n">
        <v>10</v>
      </c>
      <c r="L40" s="210" t="s">
        <v>413</v>
      </c>
      <c r="M40" s="214" t="s">
        <v>962</v>
      </c>
    </row>
    <row r="41" customFormat="false" ht="264.75" hidden="false" customHeight="true" outlineLevel="0" collapsed="false">
      <c r="A41" s="139" t="s">
        <v>687</v>
      </c>
      <c r="B41" s="103" t="s">
        <v>503</v>
      </c>
      <c r="C41" s="103" t="s">
        <v>380</v>
      </c>
      <c r="D41" s="103" t="s">
        <v>350</v>
      </c>
      <c r="E41" s="104" t="s">
        <v>422</v>
      </c>
      <c r="F41" s="150" t="s">
        <v>413</v>
      </c>
      <c r="G41" s="22" t="s">
        <v>806</v>
      </c>
      <c r="H41" s="22" t="s">
        <v>820</v>
      </c>
      <c r="I41" s="103" t="s">
        <v>823</v>
      </c>
      <c r="J41" s="139" t="s">
        <v>354</v>
      </c>
      <c r="K41" s="141" t="n">
        <v>10</v>
      </c>
      <c r="L41" s="103" t="s">
        <v>413</v>
      </c>
      <c r="M41" s="113" t="s">
        <v>963</v>
      </c>
    </row>
    <row r="42" customFormat="false" ht="53.25" hidden="false" customHeight="true" outlineLevel="0" collapsed="false">
      <c r="A42" s="139" t="s">
        <v>697</v>
      </c>
      <c r="B42" s="103" t="s">
        <v>513</v>
      </c>
      <c r="C42" s="103" t="s">
        <v>514</v>
      </c>
      <c r="D42" s="103" t="s">
        <v>350</v>
      </c>
      <c r="E42" s="104" t="s">
        <v>305</v>
      </c>
      <c r="F42" s="150" t="s">
        <v>413</v>
      </c>
      <c r="G42" s="22" t="s">
        <v>806</v>
      </c>
      <c r="H42" s="22" t="s">
        <v>820</v>
      </c>
      <c r="I42" s="103" t="s">
        <v>826</v>
      </c>
      <c r="J42" s="139" t="s">
        <v>354</v>
      </c>
      <c r="K42" s="141" t="n">
        <v>10</v>
      </c>
      <c r="L42" s="103" t="s">
        <v>413</v>
      </c>
      <c r="M42" s="113" t="s">
        <v>964</v>
      </c>
    </row>
    <row r="43" customFormat="false" ht="50.25" hidden="false" customHeight="true" outlineLevel="0" collapsed="false">
      <c r="A43" s="139" t="s">
        <v>700</v>
      </c>
      <c r="B43" s="103" t="s">
        <v>528</v>
      </c>
      <c r="C43" s="103" t="s">
        <v>380</v>
      </c>
      <c r="D43" s="103" t="s">
        <v>350</v>
      </c>
      <c r="E43" s="104" t="s">
        <v>308</v>
      </c>
      <c r="F43" s="150" t="s">
        <v>413</v>
      </c>
      <c r="G43" s="22" t="s">
        <v>806</v>
      </c>
      <c r="H43" s="22" t="s">
        <v>820</v>
      </c>
      <c r="I43" s="103" t="s">
        <v>831</v>
      </c>
      <c r="J43" s="139" t="s">
        <v>354</v>
      </c>
      <c r="K43" s="141" t="n">
        <v>10</v>
      </c>
      <c r="L43" s="103" t="s">
        <v>413</v>
      </c>
      <c r="M43" s="113" t="s">
        <v>965</v>
      </c>
    </row>
    <row r="44" customFormat="false" ht="88.5" hidden="false" customHeight="true" outlineLevel="0" collapsed="false">
      <c r="A44" s="102" t="s">
        <v>608</v>
      </c>
      <c r="B44" s="103" t="s">
        <v>441</v>
      </c>
      <c r="C44" s="103" t="s">
        <v>380</v>
      </c>
      <c r="D44" s="103" t="s">
        <v>350</v>
      </c>
      <c r="E44" s="104" t="s">
        <v>499</v>
      </c>
      <c r="F44" s="150" t="s">
        <v>413</v>
      </c>
      <c r="G44" s="22" t="s">
        <v>806</v>
      </c>
      <c r="H44" s="22" t="s">
        <v>531</v>
      </c>
      <c r="I44" s="103" t="s">
        <v>833</v>
      </c>
      <c r="J44" s="102" t="s">
        <v>354</v>
      </c>
      <c r="K44" s="105" t="n">
        <v>10</v>
      </c>
      <c r="L44" s="103" t="s">
        <v>413</v>
      </c>
      <c r="M44" s="113" t="s">
        <v>966</v>
      </c>
    </row>
    <row r="45" s="231" customFormat="true" ht="282.75" hidden="false" customHeight="true" outlineLevel="0" collapsed="false">
      <c r="A45" s="221" t="s">
        <v>498</v>
      </c>
      <c r="B45" s="222"/>
      <c r="C45" s="222"/>
      <c r="D45" s="222" t="s">
        <v>350</v>
      </c>
      <c r="E45" s="223" t="s">
        <v>174</v>
      </c>
      <c r="F45" s="224" t="s">
        <v>351</v>
      </c>
      <c r="G45" s="225"/>
      <c r="H45" s="226"/>
      <c r="I45" s="227" t="s">
        <v>967</v>
      </c>
      <c r="J45" s="228" t="s">
        <v>354</v>
      </c>
      <c r="K45" s="229" t="n">
        <v>10</v>
      </c>
      <c r="L45" s="230" t="s">
        <v>355</v>
      </c>
      <c r="M45" s="227" t="s">
        <v>968</v>
      </c>
    </row>
    <row r="46" s="231" customFormat="true" ht="108.75" hidden="false" customHeight="true" outlineLevel="0" collapsed="false">
      <c r="A46" s="221" t="s">
        <v>502</v>
      </c>
      <c r="B46" s="222"/>
      <c r="C46" s="222"/>
      <c r="D46" s="222" t="s">
        <v>350</v>
      </c>
      <c r="E46" s="223" t="s">
        <v>426</v>
      </c>
      <c r="F46" s="224" t="s">
        <v>351</v>
      </c>
      <c r="G46" s="225"/>
      <c r="H46" s="226"/>
      <c r="I46" s="227" t="s">
        <v>969</v>
      </c>
      <c r="J46" s="228" t="s">
        <v>354</v>
      </c>
      <c r="K46" s="229" t="n">
        <v>10</v>
      </c>
      <c r="L46" s="228" t="s">
        <v>355</v>
      </c>
      <c r="M46" s="227" t="s">
        <v>970</v>
      </c>
    </row>
    <row r="47" customFormat="false" ht="56.25" hidden="false" customHeight="true" outlineLevel="0" collapsed="false">
      <c r="A47" s="102" t="s">
        <v>619</v>
      </c>
      <c r="B47" s="103" t="s">
        <v>174</v>
      </c>
      <c r="C47" s="103" t="s">
        <v>380</v>
      </c>
      <c r="D47" s="103" t="s">
        <v>350</v>
      </c>
      <c r="E47" s="104" t="s">
        <v>503</v>
      </c>
      <c r="F47" s="150" t="s">
        <v>413</v>
      </c>
      <c r="G47" s="22" t="s">
        <v>535</v>
      </c>
      <c r="H47" s="22" t="s">
        <v>971</v>
      </c>
      <c r="I47" s="109" t="s">
        <v>972</v>
      </c>
      <c r="J47" s="102" t="s">
        <v>354</v>
      </c>
      <c r="K47" s="105" t="n">
        <v>10</v>
      </c>
      <c r="L47" s="103" t="s">
        <v>413</v>
      </c>
      <c r="M47" s="232" t="s">
        <v>380</v>
      </c>
    </row>
    <row r="48" customFormat="false" ht="37.5" hidden="false" customHeight="true" outlineLevel="0" collapsed="false">
      <c r="A48" s="112" t="s">
        <v>622</v>
      </c>
      <c r="B48" s="113" t="s">
        <v>973</v>
      </c>
      <c r="C48" s="113" t="s">
        <v>380</v>
      </c>
      <c r="D48" s="103" t="s">
        <v>350</v>
      </c>
      <c r="E48" s="104" t="s">
        <v>240</v>
      </c>
      <c r="F48" s="150" t="s">
        <v>413</v>
      </c>
      <c r="G48" s="22" t="s">
        <v>535</v>
      </c>
      <c r="H48" s="22" t="s">
        <v>971</v>
      </c>
      <c r="I48" s="113" t="s">
        <v>974</v>
      </c>
      <c r="J48" s="112" t="s">
        <v>368</v>
      </c>
      <c r="K48" s="114" t="n">
        <v>3.3</v>
      </c>
      <c r="L48" s="109" t="s">
        <v>413</v>
      </c>
      <c r="M48" s="113" t="s">
        <v>975</v>
      </c>
    </row>
    <row r="49" customFormat="false" ht="88.5" hidden="false" customHeight="true" outlineLevel="0" collapsed="false">
      <c r="A49" s="112" t="s">
        <v>626</v>
      </c>
      <c r="B49" s="113" t="s">
        <v>976</v>
      </c>
      <c r="C49" s="113" t="s">
        <v>380</v>
      </c>
      <c r="D49" s="103" t="s">
        <v>350</v>
      </c>
      <c r="E49" s="104" t="s">
        <v>244</v>
      </c>
      <c r="F49" s="150" t="s">
        <v>413</v>
      </c>
      <c r="G49" s="22" t="s">
        <v>535</v>
      </c>
      <c r="H49" s="22" t="s">
        <v>971</v>
      </c>
      <c r="I49" s="113" t="s">
        <v>556</v>
      </c>
      <c r="J49" s="112" t="s">
        <v>368</v>
      </c>
      <c r="K49" s="114" t="n">
        <v>3.3</v>
      </c>
      <c r="L49" s="109" t="s">
        <v>413</v>
      </c>
      <c r="M49" s="113" t="s">
        <v>977</v>
      </c>
    </row>
    <row r="50" customFormat="false" ht="25.5" hidden="false" customHeight="true" outlineLevel="0" collapsed="false">
      <c r="A50" s="112" t="s">
        <v>631</v>
      </c>
      <c r="B50" s="113" t="s">
        <v>725</v>
      </c>
      <c r="C50" s="113" t="s">
        <v>380</v>
      </c>
      <c r="D50" s="103" t="s">
        <v>350</v>
      </c>
      <c r="E50" s="104" t="s">
        <v>247</v>
      </c>
      <c r="F50" s="150" t="s">
        <v>413</v>
      </c>
      <c r="G50" s="22" t="s">
        <v>535</v>
      </c>
      <c r="H50" s="22" t="s">
        <v>971</v>
      </c>
      <c r="I50" s="113" t="s">
        <v>565</v>
      </c>
      <c r="J50" s="112" t="s">
        <v>368</v>
      </c>
      <c r="K50" s="114" t="n">
        <v>3.3</v>
      </c>
      <c r="L50" s="109" t="s">
        <v>413</v>
      </c>
      <c r="M50" s="113" t="s">
        <v>978</v>
      </c>
    </row>
    <row r="51" customFormat="false" ht="50.25" hidden="false" customHeight="true" outlineLevel="0" collapsed="false">
      <c r="A51" s="102" t="s">
        <v>639</v>
      </c>
      <c r="B51" s="103" t="s">
        <v>426</v>
      </c>
      <c r="C51" s="103" t="s">
        <v>380</v>
      </c>
      <c r="D51" s="103" t="s">
        <v>350</v>
      </c>
      <c r="E51" s="104" t="s">
        <v>513</v>
      </c>
      <c r="F51" s="150" t="s">
        <v>413</v>
      </c>
      <c r="G51" s="22" t="s">
        <v>535</v>
      </c>
      <c r="H51" s="22" t="s">
        <v>575</v>
      </c>
      <c r="I51" s="109" t="s">
        <v>576</v>
      </c>
      <c r="J51" s="102" t="s">
        <v>354</v>
      </c>
      <c r="K51" s="105" t="n">
        <v>10</v>
      </c>
      <c r="L51" s="109" t="s">
        <v>413</v>
      </c>
      <c r="M51" s="113" t="s">
        <v>380</v>
      </c>
    </row>
    <row r="52" customFormat="false" ht="113.25" hidden="false" customHeight="true" outlineLevel="0" collapsed="false">
      <c r="A52" s="112" t="s">
        <v>643</v>
      </c>
      <c r="B52" s="113" t="s">
        <v>177</v>
      </c>
      <c r="C52" s="113" t="s">
        <v>380</v>
      </c>
      <c r="D52" s="103" t="s">
        <v>350</v>
      </c>
      <c r="E52" s="104" t="s">
        <v>253</v>
      </c>
      <c r="F52" s="150" t="s">
        <v>413</v>
      </c>
      <c r="G52" s="22" t="s">
        <v>535</v>
      </c>
      <c r="H52" s="22" t="s">
        <v>575</v>
      </c>
      <c r="I52" s="113" t="s">
        <v>578</v>
      </c>
      <c r="J52" s="112" t="s">
        <v>368</v>
      </c>
      <c r="K52" s="114" t="n">
        <v>3.3</v>
      </c>
      <c r="L52" s="103" t="s">
        <v>413</v>
      </c>
      <c r="M52" s="113" t="s">
        <v>979</v>
      </c>
    </row>
    <row r="53" customFormat="false" ht="88.5" hidden="false" customHeight="true" outlineLevel="0" collapsed="false">
      <c r="A53" s="112" t="s">
        <v>646</v>
      </c>
      <c r="B53" s="113" t="s">
        <v>180</v>
      </c>
      <c r="C53" s="113" t="s">
        <v>380</v>
      </c>
      <c r="D53" s="103" t="s">
        <v>350</v>
      </c>
      <c r="E53" s="104" t="s">
        <v>259</v>
      </c>
      <c r="F53" s="150" t="s">
        <v>413</v>
      </c>
      <c r="G53" s="22" t="s">
        <v>535</v>
      </c>
      <c r="H53" s="22" t="s">
        <v>575</v>
      </c>
      <c r="I53" s="113" t="s">
        <v>582</v>
      </c>
      <c r="J53" s="112" t="s">
        <v>368</v>
      </c>
      <c r="K53" s="114" t="n">
        <v>3.3</v>
      </c>
      <c r="L53" s="103" t="s">
        <v>413</v>
      </c>
      <c r="M53" s="113" t="s">
        <v>980</v>
      </c>
    </row>
    <row r="54" customFormat="false" ht="25.5" hidden="false" customHeight="true" outlineLevel="0" collapsed="false">
      <c r="A54" s="112" t="s">
        <v>838</v>
      </c>
      <c r="B54" s="113" t="s">
        <v>380</v>
      </c>
      <c r="C54" s="113" t="s">
        <v>380</v>
      </c>
      <c r="D54" s="103" t="s">
        <v>350</v>
      </c>
      <c r="E54" s="104" t="s">
        <v>839</v>
      </c>
      <c r="F54" s="150" t="s">
        <v>413</v>
      </c>
      <c r="G54" s="22" t="s">
        <v>535</v>
      </c>
      <c r="H54" s="22" t="s">
        <v>575</v>
      </c>
      <c r="I54" s="113" t="s">
        <v>565</v>
      </c>
      <c r="J54" s="112" t="s">
        <v>368</v>
      </c>
      <c r="K54" s="114" t="n">
        <v>3.3</v>
      </c>
      <c r="L54" s="109" t="s">
        <v>413</v>
      </c>
      <c r="M54" s="113" t="s">
        <v>840</v>
      </c>
    </row>
    <row r="55" customFormat="false" ht="37.5" hidden="false" customHeight="true" outlineLevel="0" collapsed="false">
      <c r="A55" s="102" t="s">
        <v>649</v>
      </c>
      <c r="B55" s="103" t="s">
        <v>515</v>
      </c>
      <c r="C55" s="103" t="s">
        <v>380</v>
      </c>
      <c r="D55" s="103" t="s">
        <v>350</v>
      </c>
      <c r="E55" s="104" t="s">
        <v>650</v>
      </c>
      <c r="F55" s="150" t="s">
        <v>413</v>
      </c>
      <c r="G55" s="22" t="s">
        <v>535</v>
      </c>
      <c r="H55" s="22" t="s">
        <v>588</v>
      </c>
      <c r="I55" s="109" t="s">
        <v>589</v>
      </c>
      <c r="J55" s="102" t="s">
        <v>354</v>
      </c>
      <c r="K55" s="105" t="n">
        <v>10</v>
      </c>
      <c r="L55" s="103" t="s">
        <v>413</v>
      </c>
      <c r="M55" s="113" t="s">
        <v>380</v>
      </c>
    </row>
    <row r="56" customFormat="false" ht="75.75" hidden="false" customHeight="true" outlineLevel="0" collapsed="false">
      <c r="A56" s="102" t="s">
        <v>653</v>
      </c>
      <c r="B56" s="103" t="s">
        <v>380</v>
      </c>
      <c r="C56" s="103" t="s">
        <v>380</v>
      </c>
      <c r="D56" s="103" t="s">
        <v>350</v>
      </c>
      <c r="E56" s="104" t="s">
        <v>262</v>
      </c>
      <c r="F56" s="150" t="s">
        <v>413</v>
      </c>
      <c r="G56" s="22" t="s">
        <v>535</v>
      </c>
      <c r="H56" s="22" t="s">
        <v>588</v>
      </c>
      <c r="I56" s="113" t="s">
        <v>591</v>
      </c>
      <c r="J56" s="112" t="s">
        <v>368</v>
      </c>
      <c r="K56" s="105" t="n">
        <v>3.3</v>
      </c>
      <c r="L56" s="109" t="s">
        <v>413</v>
      </c>
      <c r="M56" s="113" t="s">
        <v>981</v>
      </c>
    </row>
    <row r="57" customFormat="false" ht="88.5" hidden="false" customHeight="true" outlineLevel="0" collapsed="false">
      <c r="A57" s="102" t="s">
        <v>656</v>
      </c>
      <c r="B57" s="103" t="s">
        <v>380</v>
      </c>
      <c r="C57" s="103" t="s">
        <v>380</v>
      </c>
      <c r="D57" s="103" t="s">
        <v>350</v>
      </c>
      <c r="E57" s="104" t="s">
        <v>268</v>
      </c>
      <c r="F57" s="150" t="s">
        <v>413</v>
      </c>
      <c r="G57" s="22" t="s">
        <v>535</v>
      </c>
      <c r="H57" s="22" t="s">
        <v>588</v>
      </c>
      <c r="I57" s="113" t="s">
        <v>582</v>
      </c>
      <c r="J57" s="112" t="s">
        <v>368</v>
      </c>
      <c r="K57" s="105" t="n">
        <v>3.3</v>
      </c>
      <c r="L57" s="109" t="s">
        <v>413</v>
      </c>
      <c r="M57" s="113" t="s">
        <v>982</v>
      </c>
    </row>
    <row r="58" customFormat="false" ht="25.5" hidden="false" customHeight="true" outlineLevel="0" collapsed="false">
      <c r="A58" s="102" t="s">
        <v>842</v>
      </c>
      <c r="B58" s="103" t="s">
        <v>380</v>
      </c>
      <c r="C58" s="103" t="s">
        <v>380</v>
      </c>
      <c r="D58" s="103" t="s">
        <v>350</v>
      </c>
      <c r="E58" s="104" t="s">
        <v>843</v>
      </c>
      <c r="F58" s="150" t="s">
        <v>413</v>
      </c>
      <c r="G58" s="22" t="s">
        <v>535</v>
      </c>
      <c r="H58" s="22" t="s">
        <v>588</v>
      </c>
      <c r="I58" s="113" t="s">
        <v>565</v>
      </c>
      <c r="J58" s="112" t="s">
        <v>368</v>
      </c>
      <c r="K58" s="105" t="n">
        <v>3.3</v>
      </c>
      <c r="L58" s="109" t="s">
        <v>413</v>
      </c>
      <c r="M58" s="113" t="s">
        <v>983</v>
      </c>
    </row>
    <row r="59" customFormat="false" ht="37.5" hidden="false" customHeight="true" outlineLevel="0" collapsed="false">
      <c r="A59" s="102" t="s">
        <v>660</v>
      </c>
      <c r="B59" s="103" t="s">
        <v>380</v>
      </c>
      <c r="C59" s="103" t="s">
        <v>380</v>
      </c>
      <c r="D59" s="103" t="s">
        <v>350</v>
      </c>
      <c r="E59" s="104" t="s">
        <v>271</v>
      </c>
      <c r="F59" s="150" t="s">
        <v>413</v>
      </c>
      <c r="G59" s="22" t="s">
        <v>535</v>
      </c>
      <c r="H59" s="22" t="s">
        <v>599</v>
      </c>
      <c r="I59" s="109" t="s">
        <v>600</v>
      </c>
      <c r="J59" s="102" t="s">
        <v>354</v>
      </c>
      <c r="K59" s="105" t="n">
        <v>10</v>
      </c>
      <c r="L59" s="103" t="s">
        <v>413</v>
      </c>
      <c r="M59" s="113" t="s">
        <v>380</v>
      </c>
    </row>
    <row r="60" customFormat="false" ht="78" hidden="false" customHeight="true" outlineLevel="0" collapsed="false">
      <c r="A60" s="102" t="s">
        <v>844</v>
      </c>
      <c r="B60" s="103" t="s">
        <v>380</v>
      </c>
      <c r="C60" s="103" t="s">
        <v>380</v>
      </c>
      <c r="D60" s="103" t="s">
        <v>350</v>
      </c>
      <c r="E60" s="104" t="s">
        <v>845</v>
      </c>
      <c r="F60" s="150" t="s">
        <v>413</v>
      </c>
      <c r="G60" s="22" t="s">
        <v>535</v>
      </c>
      <c r="H60" s="22" t="s">
        <v>599</v>
      </c>
      <c r="I60" s="113" t="s">
        <v>602</v>
      </c>
      <c r="J60" s="112" t="s">
        <v>368</v>
      </c>
      <c r="K60" s="105" t="n">
        <v>3.3</v>
      </c>
      <c r="L60" s="109" t="s">
        <v>413</v>
      </c>
      <c r="M60" s="113" t="s">
        <v>984</v>
      </c>
    </row>
    <row r="61" customFormat="false" ht="93" hidden="false" customHeight="true" outlineLevel="0" collapsed="false">
      <c r="A61" s="102" t="s">
        <v>847</v>
      </c>
      <c r="B61" s="103" t="s">
        <v>380</v>
      </c>
      <c r="C61" s="103" t="s">
        <v>380</v>
      </c>
      <c r="D61" s="103" t="s">
        <v>350</v>
      </c>
      <c r="E61" s="104" t="s">
        <v>848</v>
      </c>
      <c r="F61" s="150" t="s">
        <v>413</v>
      </c>
      <c r="G61" s="22" t="s">
        <v>535</v>
      </c>
      <c r="H61" s="22" t="s">
        <v>599</v>
      </c>
      <c r="I61" s="113" t="s">
        <v>582</v>
      </c>
      <c r="J61" s="112" t="s">
        <v>368</v>
      </c>
      <c r="K61" s="105" t="n">
        <v>3.3</v>
      </c>
      <c r="L61" s="109" t="s">
        <v>413</v>
      </c>
      <c r="M61" s="113" t="s">
        <v>985</v>
      </c>
    </row>
    <row r="62" customFormat="false" ht="25.5" hidden="false" customHeight="true" outlineLevel="0" collapsed="false">
      <c r="A62" s="102" t="s">
        <v>849</v>
      </c>
      <c r="B62" s="103" t="s">
        <v>380</v>
      </c>
      <c r="C62" s="103" t="s">
        <v>380</v>
      </c>
      <c r="D62" s="103" t="s">
        <v>350</v>
      </c>
      <c r="E62" s="104" t="s">
        <v>850</v>
      </c>
      <c r="F62" s="150" t="s">
        <v>413</v>
      </c>
      <c r="G62" s="22" t="s">
        <v>535</v>
      </c>
      <c r="H62" s="22" t="s">
        <v>599</v>
      </c>
      <c r="I62" s="113" t="s">
        <v>565</v>
      </c>
      <c r="J62" s="112" t="s">
        <v>368</v>
      </c>
      <c r="K62" s="105" t="n">
        <v>3.3</v>
      </c>
      <c r="L62" s="109" t="s">
        <v>413</v>
      </c>
      <c r="M62" s="113" t="s">
        <v>840</v>
      </c>
    </row>
    <row r="63" customFormat="false" ht="47.25" hidden="false" customHeight="true" outlineLevel="0" collapsed="false">
      <c r="A63" s="139" t="s">
        <v>586</v>
      </c>
      <c r="B63" s="158" t="s">
        <v>380</v>
      </c>
      <c r="C63" s="158" t="s">
        <v>380</v>
      </c>
      <c r="D63" s="158" t="s">
        <v>350</v>
      </c>
      <c r="E63" s="104" t="s">
        <v>587</v>
      </c>
      <c r="F63" s="104" t="s">
        <v>413</v>
      </c>
      <c r="G63" s="22" t="s">
        <v>609</v>
      </c>
      <c r="H63" s="22" t="s">
        <v>609</v>
      </c>
      <c r="I63" s="109" t="s">
        <v>620</v>
      </c>
      <c r="J63" s="139" t="s">
        <v>354</v>
      </c>
      <c r="K63" s="141" t="n">
        <v>10</v>
      </c>
      <c r="L63" s="158" t="s">
        <v>413</v>
      </c>
      <c r="M63" s="113" t="s">
        <v>621</v>
      </c>
    </row>
    <row r="64" customFormat="false" ht="130.5" hidden="false" customHeight="true" outlineLevel="0" collapsed="false">
      <c r="A64" s="139" t="s">
        <v>590</v>
      </c>
      <c r="B64" s="158" t="s">
        <v>380</v>
      </c>
      <c r="C64" s="158" t="s">
        <v>380</v>
      </c>
      <c r="D64" s="158" t="s">
        <v>350</v>
      </c>
      <c r="E64" s="104" t="s">
        <v>216</v>
      </c>
      <c r="F64" s="104" t="s">
        <v>413</v>
      </c>
      <c r="G64" s="22" t="s">
        <v>609</v>
      </c>
      <c r="H64" s="22" t="s">
        <v>623</v>
      </c>
      <c r="I64" s="233" t="s">
        <v>624</v>
      </c>
      <c r="J64" s="139" t="s">
        <v>368</v>
      </c>
      <c r="K64" s="141" t="n">
        <v>2.5</v>
      </c>
      <c r="L64" s="158" t="s">
        <v>413</v>
      </c>
      <c r="M64" s="113" t="s">
        <v>986</v>
      </c>
    </row>
    <row r="65" customFormat="false" ht="130.5" hidden="false" customHeight="true" outlineLevel="0" collapsed="false">
      <c r="A65" s="139" t="s">
        <v>593</v>
      </c>
      <c r="B65" s="158" t="s">
        <v>380</v>
      </c>
      <c r="C65" s="158" t="s">
        <v>380</v>
      </c>
      <c r="D65" s="158" t="s">
        <v>350</v>
      </c>
      <c r="E65" s="104" t="s">
        <v>219</v>
      </c>
      <c r="F65" s="104" t="s">
        <v>413</v>
      </c>
      <c r="G65" s="22" t="s">
        <v>627</v>
      </c>
      <c r="H65" s="22" t="s">
        <v>628</v>
      </c>
      <c r="I65" s="233" t="s">
        <v>629</v>
      </c>
      <c r="J65" s="139" t="s">
        <v>368</v>
      </c>
      <c r="K65" s="141" t="n">
        <v>2.5</v>
      </c>
      <c r="L65" s="158" t="s">
        <v>413</v>
      </c>
      <c r="M65" s="113" t="s">
        <v>986</v>
      </c>
    </row>
    <row r="66" customFormat="false" ht="124.5" hidden="false" customHeight="true" outlineLevel="0" collapsed="false">
      <c r="A66" s="139" t="s">
        <v>595</v>
      </c>
      <c r="B66" s="158" t="s">
        <v>380</v>
      </c>
      <c r="C66" s="158" t="s">
        <v>380</v>
      </c>
      <c r="D66" s="158" t="s">
        <v>350</v>
      </c>
      <c r="E66" s="104" t="s">
        <v>222</v>
      </c>
      <c r="F66" s="104" t="s">
        <v>413</v>
      </c>
      <c r="G66" s="22" t="s">
        <v>627</v>
      </c>
      <c r="H66" s="22" t="s">
        <v>632</v>
      </c>
      <c r="I66" s="233" t="s">
        <v>853</v>
      </c>
      <c r="J66" s="139" t="s">
        <v>368</v>
      </c>
      <c r="K66" s="141" t="n">
        <v>2.5</v>
      </c>
      <c r="L66" s="158" t="s">
        <v>413</v>
      </c>
      <c r="M66" s="113" t="s">
        <v>986</v>
      </c>
    </row>
    <row r="67" customFormat="false" ht="126" hidden="false" customHeight="true" outlineLevel="0" collapsed="false">
      <c r="A67" s="139" t="s">
        <v>855</v>
      </c>
      <c r="B67" s="158" t="s">
        <v>380</v>
      </c>
      <c r="C67" s="158" t="s">
        <v>380</v>
      </c>
      <c r="D67" s="158" t="s">
        <v>350</v>
      </c>
      <c r="E67" s="104" t="s">
        <v>856</v>
      </c>
      <c r="F67" s="104" t="s">
        <v>413</v>
      </c>
      <c r="G67" s="22" t="s">
        <v>627</v>
      </c>
      <c r="H67" s="22" t="s">
        <v>636</v>
      </c>
      <c r="I67" s="233" t="s">
        <v>987</v>
      </c>
      <c r="J67" s="139" t="s">
        <v>368</v>
      </c>
      <c r="K67" s="141" t="n">
        <v>2.5</v>
      </c>
      <c r="L67" s="158" t="s">
        <v>413</v>
      </c>
      <c r="M67" s="113" t="s">
        <v>986</v>
      </c>
    </row>
    <row r="68" customFormat="false" ht="57.75" hidden="false" customHeight="true" outlineLevel="0" collapsed="false">
      <c r="A68" s="102" t="s">
        <v>707</v>
      </c>
      <c r="B68" s="103" t="s">
        <v>534</v>
      </c>
      <c r="C68" s="103" t="s">
        <v>114</v>
      </c>
      <c r="D68" s="103" t="s">
        <v>350</v>
      </c>
      <c r="E68" s="104" t="s">
        <v>316</v>
      </c>
      <c r="F68" s="150" t="s">
        <v>413</v>
      </c>
      <c r="G68" s="126"/>
      <c r="H68" s="22" t="s">
        <v>641</v>
      </c>
      <c r="I68" s="109" t="s">
        <v>642</v>
      </c>
      <c r="J68" s="102" t="s">
        <v>354</v>
      </c>
      <c r="K68" s="105" t="n">
        <v>10</v>
      </c>
      <c r="L68" s="103" t="s">
        <v>355</v>
      </c>
      <c r="M68" s="136" t="s">
        <v>988</v>
      </c>
    </row>
    <row r="69" customFormat="false" ht="14.25" hidden="false" customHeight="true" outlineLevel="0" collapsed="false">
      <c r="A69" s="139"/>
      <c r="B69" s="103"/>
      <c r="C69" s="103"/>
      <c r="D69" s="103"/>
      <c r="E69" s="104"/>
      <c r="F69" s="150" t="s">
        <v>413</v>
      </c>
      <c r="G69" s="104"/>
      <c r="H69" s="150"/>
      <c r="I69" s="109"/>
      <c r="J69" s="109"/>
      <c r="K69" s="109"/>
      <c r="L69" s="109"/>
      <c r="M69" s="136" t="s">
        <v>989</v>
      </c>
    </row>
    <row r="70" customFormat="false" ht="14.25" hidden="false" customHeight="true" outlineLevel="0" collapsed="false">
      <c r="A70" s="139"/>
      <c r="B70" s="103"/>
      <c r="C70" s="103"/>
      <c r="D70" s="103"/>
      <c r="E70" s="104"/>
      <c r="F70" s="150" t="s">
        <v>413</v>
      </c>
      <c r="G70" s="104"/>
      <c r="H70" s="150"/>
      <c r="I70" s="109"/>
      <c r="J70" s="109"/>
      <c r="K70" s="109"/>
      <c r="L70" s="109"/>
      <c r="M70" s="136" t="s">
        <v>990</v>
      </c>
    </row>
    <row r="71" customFormat="false" ht="14.25" hidden="false" customHeight="true" outlineLevel="0" collapsed="false">
      <c r="A71" s="139"/>
      <c r="B71" s="103"/>
      <c r="C71" s="103"/>
      <c r="D71" s="103"/>
      <c r="E71" s="104"/>
      <c r="F71" s="150" t="s">
        <v>413</v>
      </c>
      <c r="G71" s="104"/>
      <c r="H71" s="150"/>
      <c r="I71" s="109"/>
      <c r="J71" s="109"/>
      <c r="K71" s="109"/>
      <c r="L71" s="109"/>
      <c r="M71" s="136" t="s">
        <v>991</v>
      </c>
    </row>
    <row r="72" customFormat="false" ht="14.25" hidden="false" customHeight="true" outlineLevel="0" collapsed="false">
      <c r="A72" s="139"/>
      <c r="B72" s="103"/>
      <c r="C72" s="103"/>
      <c r="D72" s="103"/>
      <c r="E72" s="104"/>
      <c r="F72" s="150" t="s">
        <v>413</v>
      </c>
      <c r="G72" s="104"/>
      <c r="H72" s="150"/>
      <c r="I72" s="109"/>
      <c r="J72" s="109"/>
      <c r="K72" s="109"/>
      <c r="L72" s="109"/>
      <c r="M72" s="136" t="s">
        <v>992</v>
      </c>
    </row>
    <row r="73" customFormat="false" ht="14.25" hidden="false" customHeight="true" outlineLevel="0" collapsed="false">
      <c r="A73" s="139"/>
      <c r="B73" s="103"/>
      <c r="C73" s="103"/>
      <c r="D73" s="103"/>
      <c r="E73" s="104"/>
      <c r="F73" s="150" t="s">
        <v>413</v>
      </c>
      <c r="G73" s="104"/>
      <c r="H73" s="150"/>
      <c r="I73" s="109"/>
      <c r="J73" s="109"/>
      <c r="K73" s="109"/>
      <c r="L73" s="109"/>
      <c r="M73" s="136" t="s">
        <v>993</v>
      </c>
    </row>
    <row r="74" customFormat="false" ht="99" hidden="false" customHeight="true" outlineLevel="0" collapsed="false">
      <c r="A74" s="102" t="s">
        <v>858</v>
      </c>
      <c r="B74" s="103" t="s">
        <v>380</v>
      </c>
      <c r="C74" s="103" t="s">
        <v>380</v>
      </c>
      <c r="D74" s="103" t="s">
        <v>350</v>
      </c>
      <c r="E74" s="104" t="s">
        <v>859</v>
      </c>
      <c r="F74" s="150" t="s">
        <v>413</v>
      </c>
      <c r="G74" s="22" t="s">
        <v>640</v>
      </c>
      <c r="H74" s="22" t="s">
        <v>641</v>
      </c>
      <c r="I74" s="113" t="s">
        <v>644</v>
      </c>
      <c r="J74" s="102" t="s">
        <v>368</v>
      </c>
      <c r="K74" s="105" t="n">
        <v>5</v>
      </c>
      <c r="L74" s="109" t="s">
        <v>355</v>
      </c>
      <c r="M74" s="113" t="s">
        <v>994</v>
      </c>
    </row>
    <row r="75" customFormat="false" ht="94.5" hidden="false" customHeight="true" outlineLevel="0" collapsed="false">
      <c r="A75" s="102" t="s">
        <v>860</v>
      </c>
      <c r="B75" s="103" t="s">
        <v>380</v>
      </c>
      <c r="C75" s="103" t="s">
        <v>380</v>
      </c>
      <c r="D75" s="103" t="s">
        <v>350</v>
      </c>
      <c r="E75" s="104" t="s">
        <v>861</v>
      </c>
      <c r="F75" s="150" t="s">
        <v>413</v>
      </c>
      <c r="G75" s="22" t="s">
        <v>640</v>
      </c>
      <c r="H75" s="22" t="s">
        <v>641</v>
      </c>
      <c r="I75" s="113" t="s">
        <v>647</v>
      </c>
      <c r="J75" s="102" t="s">
        <v>368</v>
      </c>
      <c r="K75" s="105" t="n">
        <v>5</v>
      </c>
      <c r="L75" s="109" t="s">
        <v>413</v>
      </c>
      <c r="M75" s="113" t="s">
        <v>995</v>
      </c>
    </row>
    <row r="76" customFormat="false" ht="37.5" hidden="false" customHeight="true" outlineLevel="0" collapsed="false">
      <c r="A76" s="102" t="s">
        <v>711</v>
      </c>
      <c r="B76" s="103" t="s">
        <v>380</v>
      </c>
      <c r="C76" s="103" t="s">
        <v>380</v>
      </c>
      <c r="D76" s="103" t="s">
        <v>350</v>
      </c>
      <c r="E76" s="104" t="s">
        <v>712</v>
      </c>
      <c r="F76" s="150" t="s">
        <v>413</v>
      </c>
      <c r="G76" s="22" t="s">
        <v>640</v>
      </c>
      <c r="H76" s="22" t="s">
        <v>651</v>
      </c>
      <c r="I76" s="103" t="s">
        <v>652</v>
      </c>
      <c r="J76" s="102" t="s">
        <v>354</v>
      </c>
      <c r="K76" s="105" t="n">
        <v>10</v>
      </c>
      <c r="L76" s="103" t="s">
        <v>413</v>
      </c>
      <c r="M76" s="113" t="s">
        <v>996</v>
      </c>
    </row>
    <row r="77" customFormat="false" ht="37.5" hidden="false" customHeight="true" outlineLevel="0" collapsed="false">
      <c r="A77" s="102" t="s">
        <v>715</v>
      </c>
      <c r="B77" s="103" t="s">
        <v>380</v>
      </c>
      <c r="C77" s="103" t="s">
        <v>380</v>
      </c>
      <c r="D77" s="103" t="s">
        <v>350</v>
      </c>
      <c r="E77" s="104" t="s">
        <v>322</v>
      </c>
      <c r="F77" s="150" t="s">
        <v>413</v>
      </c>
      <c r="G77" s="22" t="s">
        <v>640</v>
      </c>
      <c r="H77" s="22" t="s">
        <v>651</v>
      </c>
      <c r="I77" s="103" t="s">
        <v>997</v>
      </c>
      <c r="J77" s="102" t="s">
        <v>368</v>
      </c>
      <c r="K77" s="105" t="n">
        <v>5</v>
      </c>
      <c r="L77" s="109" t="s">
        <v>355</v>
      </c>
      <c r="M77" s="113" t="s">
        <v>998</v>
      </c>
    </row>
    <row r="78" customFormat="false" ht="75.75" hidden="false" customHeight="true" outlineLevel="0" collapsed="false">
      <c r="A78" s="102" t="s">
        <v>718</v>
      </c>
      <c r="B78" s="103" t="s">
        <v>380</v>
      </c>
      <c r="C78" s="103" t="s">
        <v>380</v>
      </c>
      <c r="D78" s="103" t="s">
        <v>350</v>
      </c>
      <c r="E78" s="104" t="s">
        <v>327</v>
      </c>
      <c r="F78" s="150" t="s">
        <v>413</v>
      </c>
      <c r="G78" s="22" t="s">
        <v>640</v>
      </c>
      <c r="H78" s="22" t="s">
        <v>651</v>
      </c>
      <c r="I78" s="103" t="s">
        <v>657</v>
      </c>
      <c r="J78" s="102" t="s">
        <v>368</v>
      </c>
      <c r="K78" s="105" t="n">
        <v>5</v>
      </c>
      <c r="L78" s="109" t="s">
        <v>413</v>
      </c>
      <c r="M78" s="113" t="s">
        <v>999</v>
      </c>
    </row>
    <row r="79" customFormat="false" ht="25.5" hidden="false" customHeight="true" outlineLevel="0" collapsed="false">
      <c r="A79" s="139" t="s">
        <v>484</v>
      </c>
      <c r="B79" s="145" t="s">
        <v>380</v>
      </c>
      <c r="C79" s="145" t="s">
        <v>380</v>
      </c>
      <c r="D79" s="145" t="s">
        <v>350</v>
      </c>
      <c r="E79" s="104" t="s">
        <v>399</v>
      </c>
      <c r="F79" s="216" t="s">
        <v>351</v>
      </c>
      <c r="G79" s="22" t="s">
        <v>661</v>
      </c>
      <c r="H79" s="22" t="s">
        <v>662</v>
      </c>
      <c r="I79" s="103" t="s">
        <v>1000</v>
      </c>
      <c r="J79" s="139" t="s">
        <v>354</v>
      </c>
      <c r="K79" s="141" t="n">
        <v>10</v>
      </c>
      <c r="L79" s="158" t="s">
        <v>663</v>
      </c>
      <c r="M79" s="103" t="s">
        <v>1001</v>
      </c>
    </row>
    <row r="80" customFormat="false" ht="88.5" hidden="false" customHeight="true" outlineLevel="0" collapsed="false">
      <c r="A80" s="144" t="s">
        <v>488</v>
      </c>
      <c r="B80" s="234"/>
      <c r="C80" s="234"/>
      <c r="D80" s="113" t="s">
        <v>350</v>
      </c>
      <c r="E80" s="235" t="s">
        <v>165</v>
      </c>
      <c r="F80" s="216" t="s">
        <v>351</v>
      </c>
      <c r="G80" s="22" t="s">
        <v>661</v>
      </c>
      <c r="H80" s="22" t="s">
        <v>662</v>
      </c>
      <c r="I80" s="113" t="s">
        <v>1002</v>
      </c>
      <c r="J80" s="144" t="s">
        <v>368</v>
      </c>
      <c r="K80" s="236" t="n">
        <v>5</v>
      </c>
      <c r="L80" s="113" t="s">
        <v>355</v>
      </c>
      <c r="M80" s="113" t="s">
        <v>1003</v>
      </c>
    </row>
    <row r="81" customFormat="false" ht="75.75" hidden="false" customHeight="true" outlineLevel="0" collapsed="false">
      <c r="A81" s="144" t="s">
        <v>491</v>
      </c>
      <c r="B81" s="234"/>
      <c r="C81" s="234"/>
      <c r="D81" s="234" t="s">
        <v>350</v>
      </c>
      <c r="E81" s="235" t="s">
        <v>168</v>
      </c>
      <c r="F81" s="216" t="s">
        <v>351</v>
      </c>
      <c r="G81" s="22" t="s">
        <v>661</v>
      </c>
      <c r="H81" s="22" t="s">
        <v>662</v>
      </c>
      <c r="I81" s="113" t="s">
        <v>1004</v>
      </c>
      <c r="J81" s="144" t="s">
        <v>368</v>
      </c>
      <c r="K81" s="236" t="n">
        <v>5</v>
      </c>
      <c r="L81" s="113" t="s">
        <v>413</v>
      </c>
      <c r="M81" s="113" t="s">
        <v>1005</v>
      </c>
    </row>
    <row r="82" customFormat="false" ht="201.75" hidden="false" customHeight="true" outlineLevel="0" collapsed="false">
      <c r="A82" s="144" t="s">
        <v>494</v>
      </c>
      <c r="B82" s="145"/>
      <c r="C82" s="145"/>
      <c r="D82" s="145" t="s">
        <v>350</v>
      </c>
      <c r="E82" s="95" t="s">
        <v>171</v>
      </c>
      <c r="F82" s="216" t="s">
        <v>351</v>
      </c>
      <c r="G82" s="22" t="s">
        <v>661</v>
      </c>
      <c r="H82" s="22" t="s">
        <v>667</v>
      </c>
      <c r="I82" s="146" t="s">
        <v>1006</v>
      </c>
      <c r="J82" s="139" t="s">
        <v>354</v>
      </c>
      <c r="K82" s="141" t="n">
        <v>10</v>
      </c>
      <c r="L82" s="103" t="s">
        <v>355</v>
      </c>
      <c r="M82" s="146" t="s">
        <v>1007</v>
      </c>
    </row>
    <row r="83" customFormat="false" ht="88.5" hidden="false" customHeight="true" outlineLevel="0" collapsed="false">
      <c r="A83" s="102" t="s">
        <v>703</v>
      </c>
      <c r="B83" s="103" t="s">
        <v>171</v>
      </c>
      <c r="C83" s="103" t="s">
        <v>100</v>
      </c>
      <c r="D83" s="103" t="s">
        <v>350</v>
      </c>
      <c r="E83" s="104" t="s">
        <v>313</v>
      </c>
      <c r="F83" s="150" t="s">
        <v>413</v>
      </c>
      <c r="G83" s="22" t="s">
        <v>661</v>
      </c>
      <c r="H83" s="22" t="s">
        <v>688</v>
      </c>
      <c r="I83" s="103" t="s">
        <v>695</v>
      </c>
      <c r="J83" s="102" t="s">
        <v>354</v>
      </c>
      <c r="K83" s="105" t="n">
        <v>10</v>
      </c>
      <c r="L83" s="103" t="s">
        <v>413</v>
      </c>
      <c r="M83" s="113" t="s">
        <v>1008</v>
      </c>
    </row>
    <row r="84" customFormat="false" ht="66" hidden="false" customHeight="true" outlineLevel="0" collapsed="false">
      <c r="A84" s="139" t="s">
        <v>437</v>
      </c>
      <c r="B84" s="103" t="s">
        <v>574</v>
      </c>
      <c r="C84" s="103" t="s">
        <v>441</v>
      </c>
      <c r="D84" s="103" t="s">
        <v>350</v>
      </c>
      <c r="E84" s="104" t="s">
        <v>114</v>
      </c>
      <c r="F84" s="216" t="s">
        <v>351</v>
      </c>
      <c r="G84" s="22" t="s">
        <v>661</v>
      </c>
      <c r="H84" s="22" t="s">
        <v>698</v>
      </c>
      <c r="I84" s="103" t="s">
        <v>306</v>
      </c>
      <c r="J84" s="139" t="s">
        <v>354</v>
      </c>
      <c r="K84" s="141" t="n">
        <v>10</v>
      </c>
      <c r="L84" s="103" t="s">
        <v>355</v>
      </c>
      <c r="M84" s="113" t="s">
        <v>1009</v>
      </c>
    </row>
    <row r="85" customFormat="false" ht="75.75" hidden="false" customHeight="true" outlineLevel="0" collapsed="false">
      <c r="A85" s="139" t="s">
        <v>440</v>
      </c>
      <c r="B85" s="103" t="s">
        <v>587</v>
      </c>
      <c r="C85" s="103" t="s">
        <v>466</v>
      </c>
      <c r="D85" s="103" t="s">
        <v>350</v>
      </c>
      <c r="E85" s="104" t="s">
        <v>441</v>
      </c>
      <c r="F85" s="216" t="s">
        <v>351</v>
      </c>
      <c r="G85" s="22" t="s">
        <v>661</v>
      </c>
      <c r="H85" s="22" t="s">
        <v>698</v>
      </c>
      <c r="I85" s="103" t="s">
        <v>309</v>
      </c>
      <c r="J85" s="139" t="s">
        <v>354</v>
      </c>
      <c r="K85" s="141" t="n">
        <v>10</v>
      </c>
      <c r="L85" s="103" t="s">
        <v>355</v>
      </c>
      <c r="M85" s="113" t="s">
        <v>1010</v>
      </c>
    </row>
    <row r="86" customFormat="false" ht="50.25" hidden="false" customHeight="true" outlineLevel="0" collapsed="false">
      <c r="A86" s="139" t="s">
        <v>721</v>
      </c>
      <c r="B86" s="103" t="s">
        <v>598</v>
      </c>
      <c r="C86" s="103" t="s">
        <v>380</v>
      </c>
      <c r="D86" s="103" t="s">
        <v>350</v>
      </c>
      <c r="E86" s="104" t="s">
        <v>330</v>
      </c>
      <c r="F86" s="215" t="s">
        <v>413</v>
      </c>
      <c r="G86" s="22" t="s">
        <v>704</v>
      </c>
      <c r="H86" s="22" t="s">
        <v>705</v>
      </c>
      <c r="I86" s="103" t="s">
        <v>867</v>
      </c>
      <c r="J86" s="139" t="s">
        <v>354</v>
      </c>
      <c r="K86" s="141" t="n">
        <v>10</v>
      </c>
      <c r="L86" s="103" t="s">
        <v>413</v>
      </c>
      <c r="M86" s="113" t="s">
        <v>1011</v>
      </c>
    </row>
    <row r="87" customFormat="false" ht="126" hidden="false" customHeight="true" outlineLevel="0" collapsed="false">
      <c r="A87" s="139" t="s">
        <v>868</v>
      </c>
      <c r="B87" s="103" t="s">
        <v>650</v>
      </c>
      <c r="C87" s="103" t="s">
        <v>162</v>
      </c>
      <c r="D87" s="103" t="s">
        <v>350</v>
      </c>
      <c r="E87" s="104" t="s">
        <v>869</v>
      </c>
      <c r="F87" s="104" t="s">
        <v>708</v>
      </c>
      <c r="G87" s="22" t="s">
        <v>704</v>
      </c>
      <c r="H87" s="22" t="s">
        <v>705</v>
      </c>
      <c r="I87" s="103" t="s">
        <v>870</v>
      </c>
      <c r="J87" s="139" t="s">
        <v>354</v>
      </c>
      <c r="K87" s="141" t="n">
        <v>10</v>
      </c>
      <c r="L87" s="103" t="s">
        <v>413</v>
      </c>
      <c r="M87" s="113" t="s">
        <v>1012</v>
      </c>
    </row>
    <row r="88" customFormat="false" ht="113.25" hidden="false" customHeight="true" outlineLevel="0" collapsed="false">
      <c r="A88" s="139" t="s">
        <v>872</v>
      </c>
      <c r="B88" s="103" t="s">
        <v>271</v>
      </c>
      <c r="C88" s="103" t="s">
        <v>399</v>
      </c>
      <c r="D88" s="103" t="s">
        <v>350</v>
      </c>
      <c r="E88" s="104" t="s">
        <v>873</v>
      </c>
      <c r="F88" s="104" t="s">
        <v>708</v>
      </c>
      <c r="G88" s="22" t="s">
        <v>704</v>
      </c>
      <c r="H88" s="22" t="s">
        <v>713</v>
      </c>
      <c r="I88" s="103" t="s">
        <v>1013</v>
      </c>
      <c r="J88" s="139" t="s">
        <v>354</v>
      </c>
      <c r="K88" s="141" t="n">
        <v>10</v>
      </c>
      <c r="L88" s="103" t="s">
        <v>413</v>
      </c>
      <c r="M88" s="113" t="s">
        <v>1014</v>
      </c>
    </row>
    <row r="89" customFormat="false" ht="409.5" hidden="false" customHeight="true" outlineLevel="0" collapsed="false">
      <c r="A89" s="139" t="s">
        <v>874</v>
      </c>
      <c r="B89" s="103" t="s">
        <v>666</v>
      </c>
      <c r="C89" s="103" t="s">
        <v>171</v>
      </c>
      <c r="D89" s="103" t="s">
        <v>350</v>
      </c>
      <c r="E89" s="104" t="s">
        <v>875</v>
      </c>
      <c r="F89" s="104" t="s">
        <v>708</v>
      </c>
      <c r="G89" s="22" t="s">
        <v>704</v>
      </c>
      <c r="H89" s="22" t="s">
        <v>876</v>
      </c>
      <c r="I89" s="103" t="s">
        <v>331</v>
      </c>
      <c r="J89" s="139" t="s">
        <v>354</v>
      </c>
      <c r="K89" s="141" t="n">
        <v>10</v>
      </c>
      <c r="L89" s="103" t="s">
        <v>355</v>
      </c>
      <c r="M89" s="113" t="s">
        <v>1015</v>
      </c>
    </row>
    <row r="90" s="93" customFormat="true" ht="55.5" hidden="false" customHeight="true" outlineLevel="0" collapsed="false">
      <c r="H90" s="4"/>
      <c r="K90" s="92"/>
    </row>
    <row r="91" s="93" customFormat="true" ht="14.25" hidden="false" customHeight="false" outlineLevel="0" collapsed="false">
      <c r="H91" s="4"/>
      <c r="K91" s="92"/>
    </row>
    <row r="92" s="93" customFormat="true" ht="14.25" hidden="false" customHeight="false" outlineLevel="0" collapsed="false">
      <c r="H92" s="4"/>
      <c r="K92" s="92"/>
    </row>
    <row r="93" s="93" customFormat="true" ht="14.25" hidden="false" customHeight="false" outlineLevel="0" collapsed="false">
      <c r="H93" s="4"/>
      <c r="K93" s="92"/>
    </row>
    <row r="94" s="93" customFormat="true" ht="14.25" hidden="false" customHeight="false" outlineLevel="0" collapsed="false">
      <c r="H94" s="4"/>
      <c r="K94" s="92"/>
    </row>
    <row r="95" customFormat="false" ht="14.25" hidden="false" customHeight="true" outlineLevel="0" collapsed="false">
      <c r="A95" s="201"/>
      <c r="B95" s="202"/>
      <c r="C95" s="202"/>
      <c r="D95" s="202"/>
      <c r="G95" s="94"/>
      <c r="H95" s="203"/>
      <c r="I95" s="202"/>
      <c r="J95" s="201"/>
      <c r="K95" s="201"/>
      <c r="L95" s="202"/>
      <c r="M95" s="204"/>
    </row>
    <row r="96" customFormat="false" ht="14.25" hidden="false" customHeight="true" outlineLevel="0" collapsed="false">
      <c r="A96" s="201"/>
      <c r="B96" s="202"/>
      <c r="C96" s="202"/>
      <c r="D96" s="202"/>
      <c r="G96" s="94"/>
      <c r="H96" s="203"/>
      <c r="I96" s="202"/>
      <c r="J96" s="201"/>
      <c r="K96" s="201"/>
      <c r="L96" s="202"/>
      <c r="M96" s="204"/>
    </row>
    <row r="97" customFormat="false" ht="14.25" hidden="false" customHeight="true" outlineLevel="0" collapsed="false">
      <c r="A97" s="201"/>
      <c r="B97" s="202"/>
      <c r="C97" s="202"/>
      <c r="D97" s="202"/>
      <c r="G97" s="94"/>
      <c r="H97" s="203"/>
      <c r="I97" s="202"/>
      <c r="J97" s="201"/>
      <c r="K97" s="201"/>
      <c r="L97" s="202"/>
      <c r="M97" s="204"/>
    </row>
    <row r="98" customFormat="false" ht="14.25" hidden="false" customHeight="true" outlineLevel="0" collapsed="false">
      <c r="A98" s="201"/>
      <c r="B98" s="202"/>
      <c r="C98" s="202"/>
      <c r="D98" s="202"/>
      <c r="G98" s="94"/>
      <c r="H98" s="203"/>
      <c r="I98" s="202"/>
      <c r="J98" s="201"/>
      <c r="K98" s="201"/>
      <c r="L98" s="202"/>
      <c r="M98" s="204"/>
    </row>
    <row r="99" customFormat="false" ht="14.25" hidden="false" customHeight="true" outlineLevel="0" collapsed="false">
      <c r="A99" s="201"/>
      <c r="B99" s="202"/>
      <c r="C99" s="202"/>
      <c r="D99" s="202"/>
      <c r="G99" s="94"/>
      <c r="H99" s="203"/>
      <c r="I99" s="202"/>
      <c r="J99" s="201"/>
      <c r="K99" s="201"/>
      <c r="L99" s="202"/>
      <c r="M99" s="204"/>
    </row>
    <row r="100" customFormat="false" ht="14.25" hidden="false" customHeight="true" outlineLevel="0" collapsed="false">
      <c r="A100" s="201"/>
      <c r="B100" s="202"/>
      <c r="C100" s="202"/>
      <c r="D100" s="202"/>
      <c r="G100" s="94"/>
      <c r="H100" s="203"/>
      <c r="I100" s="202"/>
      <c r="J100" s="201"/>
      <c r="K100" s="201"/>
      <c r="L100" s="202"/>
      <c r="M100" s="204"/>
    </row>
    <row r="101" customFormat="false" ht="14.25" hidden="false" customHeight="true" outlineLevel="0" collapsed="false">
      <c r="A101" s="201"/>
      <c r="B101" s="202"/>
      <c r="C101" s="202"/>
      <c r="D101" s="202"/>
      <c r="G101" s="94"/>
      <c r="H101" s="203"/>
      <c r="I101" s="202"/>
      <c r="J101" s="201"/>
      <c r="K101" s="201"/>
      <c r="L101" s="202"/>
      <c r="M101" s="204"/>
    </row>
    <row r="102" customFormat="false" ht="14.25" hidden="false" customHeight="true" outlineLevel="0" collapsed="false">
      <c r="A102" s="201"/>
      <c r="B102" s="202"/>
      <c r="C102" s="202"/>
      <c r="D102" s="202"/>
      <c r="G102" s="94"/>
      <c r="H102" s="203"/>
      <c r="I102" s="202"/>
      <c r="J102" s="201"/>
      <c r="K102" s="201"/>
      <c r="L102" s="202"/>
      <c r="M102" s="204"/>
    </row>
    <row r="103" customFormat="false" ht="14.25" hidden="false" customHeight="true" outlineLevel="0" collapsed="false">
      <c r="A103" s="201"/>
      <c r="B103" s="202"/>
      <c r="C103" s="202"/>
      <c r="D103" s="202"/>
      <c r="G103" s="94"/>
      <c r="H103" s="203"/>
      <c r="I103" s="202"/>
      <c r="J103" s="201"/>
      <c r="K103" s="201"/>
      <c r="L103" s="202"/>
      <c r="M103" s="204"/>
    </row>
    <row r="104" customFormat="false" ht="14.25" hidden="false" customHeight="true" outlineLevel="0" collapsed="false">
      <c r="A104" s="201"/>
      <c r="B104" s="202"/>
      <c r="C104" s="202"/>
      <c r="D104" s="202"/>
      <c r="G104" s="94"/>
      <c r="H104" s="203"/>
      <c r="I104" s="202"/>
      <c r="J104" s="201"/>
      <c r="K104" s="201"/>
      <c r="L104" s="202"/>
      <c r="M104" s="204"/>
    </row>
    <row r="105" customFormat="false" ht="14.25" hidden="false" customHeight="true" outlineLevel="0" collapsed="false">
      <c r="A105" s="201"/>
      <c r="B105" s="202"/>
      <c r="C105" s="202"/>
      <c r="D105" s="202"/>
      <c r="G105" s="94"/>
      <c r="H105" s="203"/>
      <c r="I105" s="202"/>
      <c r="J105" s="201"/>
      <c r="K105" s="201"/>
      <c r="L105" s="202"/>
      <c r="M105" s="204"/>
    </row>
    <row r="106" customFormat="false" ht="14.25" hidden="false" customHeight="true" outlineLevel="0" collapsed="false">
      <c r="A106" s="201"/>
      <c r="B106" s="202"/>
      <c r="C106" s="202"/>
      <c r="D106" s="202"/>
      <c r="G106" s="94"/>
      <c r="H106" s="203"/>
      <c r="I106" s="202"/>
      <c r="J106" s="201"/>
      <c r="K106" s="201"/>
      <c r="L106" s="202"/>
      <c r="M106" s="204"/>
    </row>
    <row r="107" customFormat="false" ht="14.25" hidden="false" customHeight="true" outlineLevel="0" collapsed="false">
      <c r="A107" s="201"/>
      <c r="B107" s="202"/>
      <c r="C107" s="202"/>
      <c r="D107" s="202"/>
      <c r="G107" s="94"/>
      <c r="H107" s="203"/>
      <c r="I107" s="202"/>
      <c r="J107" s="201"/>
      <c r="K107" s="201"/>
      <c r="L107" s="202"/>
      <c r="M107" s="204"/>
    </row>
    <row r="108" customFormat="false" ht="14.25" hidden="false" customHeight="true" outlineLevel="0" collapsed="false">
      <c r="A108" s="201"/>
      <c r="B108" s="202"/>
      <c r="C108" s="202"/>
      <c r="D108" s="202"/>
      <c r="G108" s="94"/>
      <c r="H108" s="203"/>
      <c r="I108" s="202"/>
      <c r="J108" s="201"/>
      <c r="K108" s="201"/>
      <c r="L108" s="202"/>
      <c r="M108" s="204"/>
    </row>
    <row r="109" customFormat="false" ht="14.25" hidden="false" customHeight="true" outlineLevel="0" collapsed="false">
      <c r="A109" s="201"/>
      <c r="B109" s="202"/>
      <c r="C109" s="202"/>
      <c r="D109" s="202"/>
      <c r="G109" s="94"/>
      <c r="H109" s="203"/>
      <c r="I109" s="202"/>
      <c r="J109" s="201"/>
      <c r="K109" s="201"/>
      <c r="L109" s="202"/>
      <c r="M109" s="204"/>
    </row>
    <row r="110" customFormat="false" ht="14.25" hidden="false" customHeight="true" outlineLevel="0" collapsed="false">
      <c r="A110" s="201"/>
      <c r="B110" s="202"/>
      <c r="C110" s="202"/>
      <c r="D110" s="202"/>
      <c r="G110" s="94"/>
      <c r="H110" s="203"/>
      <c r="I110" s="202"/>
      <c r="J110" s="201"/>
      <c r="K110" s="201"/>
      <c r="L110" s="202"/>
      <c r="M110" s="204"/>
    </row>
    <row r="111" customFormat="false" ht="14.25" hidden="false" customHeight="true" outlineLevel="0" collapsed="false">
      <c r="A111" s="201"/>
      <c r="B111" s="202"/>
      <c r="C111" s="202"/>
      <c r="D111" s="202"/>
      <c r="G111" s="94"/>
      <c r="H111" s="203"/>
      <c r="I111" s="202"/>
      <c r="J111" s="201"/>
      <c r="K111" s="201"/>
      <c r="L111" s="202"/>
      <c r="M111" s="204"/>
    </row>
    <row r="112" customFormat="false" ht="14.25" hidden="false" customHeight="true" outlineLevel="0" collapsed="false">
      <c r="A112" s="201"/>
      <c r="B112" s="202"/>
      <c r="C112" s="202"/>
      <c r="D112" s="202"/>
      <c r="G112" s="94"/>
      <c r="H112" s="203"/>
      <c r="I112" s="202"/>
      <c r="J112" s="201"/>
      <c r="K112" s="201"/>
      <c r="L112" s="202"/>
      <c r="M112" s="204"/>
    </row>
    <row r="113" customFormat="false" ht="14.25" hidden="false" customHeight="true" outlineLevel="0" collapsed="false">
      <c r="A113" s="201"/>
      <c r="B113" s="202"/>
      <c r="C113" s="202"/>
      <c r="D113" s="202"/>
      <c r="G113" s="94"/>
      <c r="H113" s="203"/>
      <c r="I113" s="202"/>
      <c r="J113" s="201"/>
      <c r="K113" s="201"/>
      <c r="L113" s="202"/>
      <c r="M113" s="204"/>
    </row>
    <row r="114" customFormat="false" ht="14.25" hidden="false" customHeight="true" outlineLevel="0" collapsed="false">
      <c r="A114" s="201"/>
      <c r="B114" s="202"/>
      <c r="C114" s="202"/>
      <c r="D114" s="202"/>
      <c r="G114" s="94"/>
      <c r="H114" s="203"/>
      <c r="I114" s="202"/>
      <c r="J114" s="201"/>
      <c r="K114" s="201"/>
      <c r="L114" s="202"/>
      <c r="M114" s="204"/>
    </row>
    <row r="115" customFormat="false" ht="14.25" hidden="false" customHeight="true" outlineLevel="0" collapsed="false">
      <c r="A115" s="201"/>
      <c r="B115" s="202"/>
      <c r="C115" s="202"/>
      <c r="D115" s="202"/>
      <c r="G115" s="94"/>
      <c r="H115" s="203"/>
      <c r="I115" s="202"/>
      <c r="J115" s="201"/>
      <c r="K115" s="201"/>
      <c r="L115" s="202"/>
      <c r="M115" s="204"/>
    </row>
    <row r="116" customFormat="false" ht="14.25" hidden="false" customHeight="true" outlineLevel="0" collapsed="false">
      <c r="A116" s="201"/>
      <c r="B116" s="202"/>
      <c r="C116" s="202"/>
      <c r="D116" s="202"/>
      <c r="G116" s="94"/>
      <c r="H116" s="203"/>
      <c r="I116" s="202"/>
      <c r="J116" s="201"/>
      <c r="K116" s="201"/>
      <c r="L116" s="202"/>
      <c r="M116" s="204"/>
    </row>
    <row r="117" customFormat="false" ht="14.25" hidden="false" customHeight="true" outlineLevel="0" collapsed="false">
      <c r="A117" s="201"/>
      <c r="B117" s="202"/>
      <c r="C117" s="202"/>
      <c r="D117" s="202"/>
      <c r="G117" s="94"/>
      <c r="H117" s="203"/>
      <c r="I117" s="202"/>
      <c r="J117" s="201"/>
      <c r="K117" s="201"/>
      <c r="L117" s="202"/>
      <c r="M117" s="204"/>
    </row>
    <row r="118" customFormat="false" ht="14.25" hidden="false" customHeight="true" outlineLevel="0" collapsed="false">
      <c r="A118" s="201"/>
      <c r="B118" s="202"/>
      <c r="C118" s="202"/>
      <c r="D118" s="202"/>
      <c r="G118" s="94"/>
      <c r="H118" s="203"/>
      <c r="I118" s="202"/>
      <c r="J118" s="201"/>
      <c r="K118" s="201"/>
      <c r="L118" s="202"/>
      <c r="M118" s="204"/>
    </row>
    <row r="119" customFormat="false" ht="15.75" hidden="false" customHeight="true" outlineLevel="0" collapsed="false">
      <c r="A119" s="201"/>
      <c r="B119" s="202"/>
      <c r="C119" s="202"/>
      <c r="D119" s="202"/>
      <c r="G119" s="94"/>
      <c r="H119" s="203"/>
      <c r="I119" s="202"/>
      <c r="J119" s="201"/>
      <c r="K119" s="201"/>
      <c r="L119" s="202"/>
      <c r="M119" s="204" t="s">
        <v>725</v>
      </c>
    </row>
    <row r="120" customFormat="false" ht="14.25" hidden="false" customHeight="true" outlineLevel="0" collapsed="false">
      <c r="A120" s="201"/>
      <c r="B120" s="202"/>
      <c r="C120" s="202"/>
      <c r="D120" s="202"/>
      <c r="G120" s="94"/>
      <c r="H120" s="203"/>
      <c r="I120" s="202"/>
      <c r="J120" s="201"/>
      <c r="K120" s="201"/>
      <c r="L120" s="202"/>
      <c r="M120" s="204"/>
    </row>
    <row r="121" customFormat="false" ht="14.25" hidden="false" customHeight="true" outlineLevel="0" collapsed="false">
      <c r="A121" s="201"/>
      <c r="B121" s="202"/>
      <c r="C121" s="202"/>
      <c r="D121" s="202"/>
      <c r="G121" s="94"/>
      <c r="H121" s="203"/>
      <c r="I121" s="202"/>
      <c r="J121" s="201"/>
      <c r="K121" s="201"/>
      <c r="L121" s="202"/>
      <c r="M121" s="204"/>
    </row>
    <row r="122" customFormat="false" ht="14.25" hidden="false" customHeight="true" outlineLevel="0" collapsed="false">
      <c r="A122" s="201"/>
      <c r="B122" s="202"/>
      <c r="C122" s="202"/>
      <c r="D122" s="202"/>
      <c r="G122" s="94"/>
      <c r="H122" s="203"/>
      <c r="I122" s="202"/>
      <c r="J122" s="201"/>
      <c r="K122" s="201"/>
      <c r="L122" s="202"/>
      <c r="M122" s="204"/>
    </row>
    <row r="123" customFormat="false" ht="14.25" hidden="false" customHeight="true" outlineLevel="0" collapsed="false">
      <c r="A123" s="201"/>
      <c r="B123" s="202"/>
      <c r="C123" s="202"/>
      <c r="D123" s="202"/>
      <c r="G123" s="94"/>
      <c r="H123" s="203"/>
      <c r="I123" s="202"/>
      <c r="J123" s="201"/>
      <c r="K123" s="201"/>
      <c r="L123" s="202"/>
      <c r="M123" s="204"/>
    </row>
    <row r="124" customFormat="false" ht="14.25" hidden="false" customHeight="true" outlineLevel="0" collapsed="false">
      <c r="A124" s="201"/>
      <c r="B124" s="202"/>
      <c r="C124" s="202"/>
      <c r="D124" s="202"/>
      <c r="G124" s="94"/>
      <c r="H124" s="203"/>
      <c r="I124" s="202"/>
      <c r="J124" s="201"/>
      <c r="K124" s="201"/>
      <c r="L124" s="202"/>
      <c r="M124" s="204"/>
    </row>
    <row r="125" customFormat="false" ht="14.25" hidden="false" customHeight="true" outlineLevel="0" collapsed="false">
      <c r="A125" s="201"/>
      <c r="B125" s="202"/>
      <c r="C125" s="202"/>
      <c r="D125" s="202"/>
      <c r="G125" s="94"/>
      <c r="H125" s="203"/>
      <c r="I125" s="202"/>
      <c r="J125" s="201"/>
      <c r="K125" s="201"/>
      <c r="L125" s="202"/>
      <c r="M125" s="204"/>
    </row>
    <row r="126" customFormat="false" ht="15.75" hidden="false" customHeight="true" outlineLevel="0" collapsed="false">
      <c r="A126" s="201"/>
      <c r="B126" s="202"/>
      <c r="C126" s="202"/>
      <c r="D126" s="202"/>
      <c r="G126" s="94"/>
      <c r="H126" s="203"/>
      <c r="I126" s="202"/>
      <c r="J126" s="201"/>
      <c r="K126" s="201"/>
      <c r="L126" s="202"/>
      <c r="M126" s="204" t="s">
        <v>725</v>
      </c>
    </row>
    <row r="127" customFormat="false" ht="14.25" hidden="false" customHeight="true" outlineLevel="0" collapsed="false">
      <c r="A127" s="201"/>
      <c r="B127" s="202"/>
      <c r="C127" s="202"/>
      <c r="D127" s="202"/>
      <c r="G127" s="94"/>
      <c r="H127" s="203"/>
      <c r="I127" s="202"/>
      <c r="J127" s="201"/>
      <c r="K127" s="201"/>
      <c r="L127" s="202"/>
      <c r="M127" s="204"/>
    </row>
    <row r="128" customFormat="false" ht="14.25" hidden="false" customHeight="true" outlineLevel="0" collapsed="false">
      <c r="A128" s="201"/>
      <c r="B128" s="202"/>
      <c r="C128" s="202"/>
      <c r="D128" s="202"/>
      <c r="G128" s="94"/>
      <c r="H128" s="203"/>
      <c r="I128" s="202"/>
      <c r="J128" s="201"/>
      <c r="K128" s="201"/>
      <c r="L128" s="202"/>
      <c r="M128" s="204"/>
    </row>
    <row r="129" customFormat="false" ht="14.25" hidden="false" customHeight="true" outlineLevel="0" collapsed="false">
      <c r="A129" s="201"/>
      <c r="B129" s="202"/>
      <c r="C129" s="202"/>
      <c r="D129" s="202"/>
      <c r="G129" s="94"/>
      <c r="H129" s="203"/>
      <c r="I129" s="202"/>
      <c r="J129" s="201"/>
      <c r="K129" s="201"/>
      <c r="L129" s="202"/>
      <c r="M129" s="204"/>
    </row>
    <row r="130" customFormat="false" ht="14.25" hidden="false" customHeight="true" outlineLevel="0" collapsed="false">
      <c r="A130" s="201"/>
      <c r="B130" s="202"/>
      <c r="C130" s="202"/>
      <c r="D130" s="202"/>
      <c r="G130" s="94"/>
      <c r="H130" s="203"/>
      <c r="I130" s="202"/>
      <c r="J130" s="201"/>
      <c r="K130" s="201"/>
      <c r="L130" s="202"/>
      <c r="M130" s="204"/>
    </row>
    <row r="131" customFormat="false" ht="14.25" hidden="false" customHeight="true" outlineLevel="0" collapsed="false">
      <c r="A131" s="201"/>
      <c r="B131" s="202"/>
      <c r="C131" s="202"/>
      <c r="D131" s="202"/>
      <c r="G131" s="94"/>
      <c r="H131" s="203"/>
      <c r="I131" s="202"/>
      <c r="J131" s="201"/>
      <c r="K131" s="201"/>
      <c r="L131" s="202"/>
      <c r="M131" s="204"/>
    </row>
    <row r="132" customFormat="false" ht="15.75" hidden="false" customHeight="true" outlineLevel="0" collapsed="false">
      <c r="A132" s="201"/>
      <c r="B132" s="202"/>
      <c r="C132" s="202"/>
      <c r="D132" s="202"/>
      <c r="G132" s="94"/>
      <c r="H132" s="203"/>
      <c r="I132" s="202"/>
      <c r="J132" s="201"/>
      <c r="K132" s="201"/>
      <c r="L132" s="202"/>
      <c r="M132" s="204" t="s">
        <v>725</v>
      </c>
    </row>
    <row r="133" customFormat="false" ht="14.25" hidden="false" customHeight="true" outlineLevel="0" collapsed="false">
      <c r="A133" s="201"/>
      <c r="B133" s="202"/>
      <c r="C133" s="202"/>
      <c r="D133" s="202"/>
      <c r="G133" s="94"/>
      <c r="H133" s="203"/>
      <c r="I133" s="202"/>
      <c r="J133" s="201"/>
      <c r="K133" s="201"/>
      <c r="L133" s="202"/>
      <c r="M133" s="204"/>
    </row>
    <row r="134" customFormat="false" ht="14.25" hidden="false" customHeight="true" outlineLevel="0" collapsed="false">
      <c r="A134" s="201"/>
      <c r="B134" s="202"/>
      <c r="C134" s="202"/>
      <c r="D134" s="202"/>
      <c r="G134" s="94"/>
      <c r="H134" s="203"/>
      <c r="I134" s="202"/>
      <c r="J134" s="201"/>
      <c r="K134" s="201"/>
      <c r="L134" s="202"/>
      <c r="M134" s="204"/>
    </row>
    <row r="135" customFormat="false" ht="14.25" hidden="false" customHeight="true" outlineLevel="0" collapsed="false">
      <c r="A135" s="201"/>
      <c r="B135" s="202"/>
      <c r="C135" s="202"/>
      <c r="D135" s="202"/>
      <c r="G135" s="94"/>
      <c r="H135" s="203"/>
      <c r="I135" s="202"/>
      <c r="J135" s="201"/>
      <c r="K135" s="201"/>
      <c r="L135" s="202"/>
      <c r="M135" s="204"/>
    </row>
    <row r="136" customFormat="false" ht="14.25" hidden="false" customHeight="true" outlineLevel="0" collapsed="false">
      <c r="A136" s="201"/>
      <c r="B136" s="202"/>
      <c r="C136" s="202"/>
      <c r="D136" s="202"/>
      <c r="G136" s="94"/>
      <c r="H136" s="203"/>
      <c r="I136" s="202"/>
      <c r="J136" s="201"/>
      <c r="K136" s="201"/>
      <c r="L136" s="202"/>
      <c r="M136" s="204"/>
    </row>
    <row r="137" customFormat="false" ht="14.25" hidden="false" customHeight="true" outlineLevel="0" collapsed="false">
      <c r="A137" s="201"/>
      <c r="B137" s="202"/>
      <c r="C137" s="202"/>
      <c r="D137" s="202"/>
      <c r="G137" s="94"/>
      <c r="H137" s="203"/>
      <c r="I137" s="202"/>
      <c r="J137" s="201"/>
      <c r="K137" s="201"/>
      <c r="L137" s="202"/>
      <c r="M137" s="204"/>
    </row>
    <row r="138" customFormat="false" ht="14.25" hidden="false" customHeight="true" outlineLevel="0" collapsed="false">
      <c r="A138" s="201"/>
      <c r="B138" s="202"/>
      <c r="C138" s="202"/>
      <c r="D138" s="202"/>
      <c r="G138" s="94"/>
      <c r="H138" s="203"/>
      <c r="I138" s="202"/>
      <c r="J138" s="201"/>
      <c r="K138" s="201"/>
      <c r="L138" s="202"/>
      <c r="M138" s="204"/>
    </row>
    <row r="139" customFormat="false" ht="14.25" hidden="false" customHeight="true" outlineLevel="0" collapsed="false">
      <c r="A139" s="201"/>
      <c r="B139" s="202"/>
      <c r="C139" s="202"/>
      <c r="D139" s="202"/>
      <c r="G139" s="94"/>
      <c r="H139" s="203"/>
      <c r="I139" s="202"/>
      <c r="J139" s="201"/>
      <c r="K139" s="201"/>
      <c r="L139" s="202"/>
      <c r="M139" s="204"/>
    </row>
    <row r="140" customFormat="false" ht="14.25" hidden="false" customHeight="true" outlineLevel="0" collapsed="false">
      <c r="A140" s="201"/>
      <c r="B140" s="202"/>
      <c r="C140" s="202"/>
      <c r="D140" s="202"/>
      <c r="G140" s="94"/>
      <c r="H140" s="203"/>
      <c r="I140" s="202"/>
      <c r="J140" s="201"/>
      <c r="K140" s="201"/>
      <c r="L140" s="202"/>
      <c r="M140" s="204"/>
    </row>
    <row r="141" customFormat="false" ht="14.25" hidden="false" customHeight="true" outlineLevel="0" collapsed="false">
      <c r="A141" s="201"/>
      <c r="B141" s="202"/>
      <c r="C141" s="202"/>
      <c r="D141" s="202"/>
      <c r="G141" s="94"/>
      <c r="H141" s="203"/>
      <c r="I141" s="202"/>
      <c r="J141" s="201"/>
      <c r="K141" s="201"/>
      <c r="L141" s="202"/>
      <c r="M141" s="204"/>
    </row>
    <row r="142" customFormat="false" ht="14.25" hidden="false" customHeight="true" outlineLevel="0" collapsed="false">
      <c r="A142" s="201"/>
      <c r="B142" s="202"/>
      <c r="C142" s="202"/>
      <c r="D142" s="202"/>
      <c r="G142" s="94"/>
      <c r="H142" s="203"/>
      <c r="I142" s="202"/>
      <c r="J142" s="201"/>
      <c r="K142" s="201"/>
      <c r="L142" s="202"/>
      <c r="M142" s="204"/>
    </row>
    <row r="143" customFormat="false" ht="14.25" hidden="false" customHeight="true" outlineLevel="0" collapsed="false">
      <c r="A143" s="201"/>
      <c r="B143" s="202"/>
      <c r="C143" s="202"/>
      <c r="D143" s="202"/>
      <c r="G143" s="94"/>
      <c r="H143" s="203"/>
      <c r="I143" s="202"/>
      <c r="J143" s="201"/>
      <c r="K143" s="201"/>
      <c r="L143" s="202"/>
      <c r="M143" s="204"/>
    </row>
    <row r="144" customFormat="false" ht="14.25" hidden="false" customHeight="true" outlineLevel="0" collapsed="false">
      <c r="A144" s="201"/>
      <c r="B144" s="202"/>
      <c r="C144" s="202"/>
      <c r="D144" s="202"/>
      <c r="G144" s="94"/>
      <c r="H144" s="203"/>
      <c r="I144" s="202"/>
      <c r="J144" s="201"/>
      <c r="K144" s="201"/>
      <c r="L144" s="202"/>
      <c r="M144" s="204"/>
    </row>
    <row r="145" customFormat="false" ht="14.25" hidden="false" customHeight="true" outlineLevel="0" collapsed="false">
      <c r="A145" s="201"/>
      <c r="B145" s="202"/>
      <c r="C145" s="202"/>
      <c r="D145" s="202"/>
      <c r="G145" s="94"/>
      <c r="H145" s="203"/>
      <c r="I145" s="202"/>
      <c r="J145" s="201"/>
      <c r="K145" s="201"/>
      <c r="L145" s="202"/>
      <c r="M145" s="204"/>
    </row>
    <row r="146" customFormat="false" ht="14.25" hidden="false" customHeight="true" outlineLevel="0" collapsed="false">
      <c r="A146" s="201"/>
      <c r="B146" s="202"/>
      <c r="C146" s="202"/>
      <c r="D146" s="202"/>
      <c r="G146" s="94"/>
      <c r="H146" s="203"/>
      <c r="I146" s="202"/>
      <c r="J146" s="201"/>
      <c r="K146" s="201"/>
      <c r="L146" s="202"/>
      <c r="M146" s="204"/>
    </row>
    <row r="147" customFormat="false" ht="14.25" hidden="false" customHeight="true" outlineLevel="0" collapsed="false">
      <c r="A147" s="201"/>
      <c r="B147" s="202"/>
      <c r="C147" s="202"/>
      <c r="D147" s="202"/>
      <c r="G147" s="94"/>
      <c r="H147" s="203"/>
      <c r="I147" s="202"/>
      <c r="J147" s="201"/>
      <c r="K147" s="201"/>
      <c r="L147" s="202"/>
      <c r="M147" s="204"/>
    </row>
    <row r="148" customFormat="false" ht="14.25" hidden="false" customHeight="true" outlineLevel="0" collapsed="false">
      <c r="A148" s="201"/>
      <c r="B148" s="202"/>
      <c r="C148" s="202"/>
      <c r="D148" s="202"/>
      <c r="G148" s="94"/>
      <c r="H148" s="203"/>
      <c r="I148" s="202"/>
      <c r="J148" s="201"/>
      <c r="K148" s="201"/>
      <c r="L148" s="202"/>
      <c r="M148" s="204"/>
    </row>
    <row r="149" customFormat="false" ht="14.25" hidden="false" customHeight="true" outlineLevel="0" collapsed="false">
      <c r="A149" s="201"/>
      <c r="B149" s="202"/>
      <c r="C149" s="202"/>
      <c r="D149" s="202"/>
      <c r="G149" s="94"/>
      <c r="H149" s="203"/>
      <c r="I149" s="202"/>
      <c r="J149" s="201"/>
      <c r="K149" s="201"/>
      <c r="L149" s="202"/>
      <c r="M149" s="204"/>
    </row>
    <row r="150" customFormat="false" ht="14.25" hidden="false" customHeight="true" outlineLevel="0" collapsed="false">
      <c r="A150" s="201"/>
      <c r="B150" s="202"/>
      <c r="C150" s="202"/>
      <c r="D150" s="202"/>
      <c r="G150" s="94"/>
      <c r="H150" s="203"/>
      <c r="I150" s="202"/>
      <c r="J150" s="201"/>
      <c r="K150" s="201"/>
      <c r="L150" s="202"/>
      <c r="M150" s="204"/>
    </row>
    <row r="151" customFormat="false" ht="14.25" hidden="false" customHeight="true" outlineLevel="0" collapsed="false">
      <c r="A151" s="201"/>
      <c r="B151" s="202"/>
      <c r="C151" s="202"/>
      <c r="D151" s="202"/>
      <c r="G151" s="94"/>
      <c r="H151" s="203"/>
      <c r="I151" s="202"/>
      <c r="J151" s="201"/>
      <c r="K151" s="201"/>
      <c r="L151" s="202"/>
      <c r="M151" s="204"/>
    </row>
    <row r="152" customFormat="false" ht="14.25" hidden="false" customHeight="true" outlineLevel="0" collapsed="false">
      <c r="A152" s="201"/>
      <c r="B152" s="202"/>
      <c r="C152" s="202"/>
      <c r="D152" s="202"/>
      <c r="G152" s="94"/>
      <c r="H152" s="203"/>
      <c r="I152" s="202"/>
      <c r="J152" s="201"/>
      <c r="K152" s="201"/>
      <c r="L152" s="202"/>
      <c r="M152" s="204"/>
    </row>
    <row r="153" customFormat="false" ht="14.25" hidden="false" customHeight="true" outlineLevel="0" collapsed="false">
      <c r="A153" s="201"/>
      <c r="B153" s="202"/>
      <c r="C153" s="202"/>
      <c r="D153" s="202"/>
      <c r="G153" s="94"/>
      <c r="H153" s="203"/>
      <c r="I153" s="202"/>
      <c r="J153" s="201"/>
      <c r="K153" s="201"/>
      <c r="L153" s="202"/>
      <c r="M153" s="204"/>
    </row>
    <row r="154" customFormat="false" ht="15" hidden="false" customHeight="true" outlineLevel="0" collapsed="false">
      <c r="A154" s="201"/>
      <c r="B154" s="202"/>
      <c r="C154" s="202"/>
      <c r="D154" s="202"/>
      <c r="G154" s="94"/>
      <c r="H154" s="203"/>
      <c r="I154" s="202"/>
      <c r="J154" s="201"/>
      <c r="K154" s="201"/>
      <c r="L154" s="202"/>
      <c r="M154" s="204" t="s">
        <v>725</v>
      </c>
    </row>
    <row r="155" customFormat="false" ht="14.25" hidden="false" customHeight="true" outlineLevel="0" collapsed="false">
      <c r="A155" s="201"/>
      <c r="B155" s="202"/>
      <c r="C155" s="202"/>
      <c r="D155" s="202"/>
      <c r="G155" s="94"/>
      <c r="H155" s="203"/>
      <c r="I155" s="202"/>
      <c r="J155" s="201"/>
      <c r="K155" s="201"/>
      <c r="L155" s="202"/>
      <c r="M155" s="204"/>
    </row>
    <row r="156" customFormat="false" ht="14.25" hidden="false" customHeight="true" outlineLevel="0" collapsed="false">
      <c r="A156" s="201"/>
      <c r="B156" s="202"/>
      <c r="C156" s="202"/>
      <c r="D156" s="202"/>
      <c r="G156" s="94"/>
      <c r="H156" s="203"/>
      <c r="I156" s="202"/>
      <c r="J156" s="201"/>
      <c r="K156" s="201"/>
      <c r="L156" s="202"/>
      <c r="M156" s="204"/>
    </row>
    <row r="157" customFormat="false" ht="15" hidden="false" customHeight="true" outlineLevel="0" collapsed="false">
      <c r="A157" s="201"/>
      <c r="B157" s="202"/>
      <c r="C157" s="202"/>
      <c r="D157" s="202"/>
      <c r="G157" s="94"/>
      <c r="H157" s="203"/>
      <c r="I157" s="202"/>
      <c r="J157" s="201"/>
      <c r="K157" s="201"/>
      <c r="L157" s="202"/>
      <c r="M157" s="204" t="s">
        <v>725</v>
      </c>
    </row>
    <row r="158" customFormat="false" ht="14.25" hidden="false" customHeight="true" outlineLevel="0" collapsed="false">
      <c r="A158" s="201"/>
      <c r="B158" s="202"/>
      <c r="C158" s="202"/>
      <c r="D158" s="202"/>
      <c r="G158" s="94"/>
      <c r="H158" s="203"/>
      <c r="I158" s="202"/>
      <c r="J158" s="201"/>
      <c r="K158" s="201"/>
      <c r="L158" s="202"/>
      <c r="M158" s="204"/>
    </row>
    <row r="159" customFormat="false" ht="14.25" hidden="false" customHeight="true" outlineLevel="0" collapsed="false">
      <c r="A159" s="201"/>
      <c r="B159" s="202"/>
      <c r="C159" s="202"/>
      <c r="D159" s="202"/>
      <c r="G159" s="94"/>
      <c r="H159" s="203"/>
      <c r="I159" s="202"/>
      <c r="J159" s="201"/>
      <c r="K159" s="201"/>
      <c r="L159" s="202"/>
      <c r="M159" s="204"/>
    </row>
    <row r="160" customFormat="false" ht="14.25" hidden="false" customHeight="false" outlineLevel="0" collapsed="false">
      <c r="G160" s="94"/>
      <c r="H160" s="203"/>
    </row>
    <row r="161" customFormat="false" ht="14.25" hidden="false" customHeight="false" outlineLevel="0" collapsed="false">
      <c r="G161" s="94"/>
      <c r="H161" s="203"/>
    </row>
    <row r="162" customFormat="false" ht="14.25" hidden="false" customHeight="false" outlineLevel="0" collapsed="false">
      <c r="G162" s="94"/>
      <c r="H162" s="203"/>
    </row>
    <row r="163" customFormat="false" ht="14.25" hidden="false" customHeight="false" outlineLevel="0" collapsed="false">
      <c r="G163" s="94"/>
      <c r="H163" s="203"/>
    </row>
    <row r="164" customFormat="false" ht="14.25" hidden="false" customHeight="false" outlineLevel="0" collapsed="false">
      <c r="G164" s="94"/>
      <c r="H164" s="203"/>
    </row>
    <row r="165" customFormat="false" ht="14.25" hidden="false" customHeight="false" outlineLevel="0" collapsed="false">
      <c r="G165" s="94"/>
      <c r="H165" s="203"/>
    </row>
    <row r="166" customFormat="false" ht="14.25" hidden="false" customHeight="false" outlineLevel="0" collapsed="false">
      <c r="G166" s="94"/>
      <c r="H166" s="203"/>
    </row>
    <row r="167" customFormat="false" ht="14.25" hidden="false" customHeight="false" outlineLevel="0" collapsed="false">
      <c r="G167" s="94"/>
      <c r="H167" s="203"/>
    </row>
    <row r="168" customFormat="false" ht="14.25" hidden="false" customHeight="false" outlineLevel="0" collapsed="false">
      <c r="G168" s="94"/>
      <c r="H168" s="203"/>
    </row>
    <row r="169" customFormat="false" ht="14.25" hidden="false" customHeight="false" outlineLevel="0" collapsed="false">
      <c r="G169" s="94"/>
      <c r="H169" s="203"/>
    </row>
    <row r="170" customFormat="false" ht="14.25" hidden="false" customHeight="false" outlineLevel="0" collapsed="false">
      <c r="G170" s="94"/>
      <c r="H170" s="203"/>
    </row>
    <row r="171" customFormat="false" ht="14.25" hidden="false" customHeight="false" outlineLevel="0" collapsed="false">
      <c r="G171" s="94"/>
      <c r="H171" s="203"/>
    </row>
    <row r="172" customFormat="false" ht="14.25" hidden="false" customHeight="false" outlineLevel="0" collapsed="false">
      <c r="G172" s="94"/>
      <c r="H172" s="203"/>
    </row>
    <row r="173" customFormat="false" ht="14.25" hidden="false" customHeight="false" outlineLevel="0" collapsed="false">
      <c r="G173" s="94"/>
      <c r="H173" s="203"/>
    </row>
    <row r="174" customFormat="false" ht="14.25" hidden="false" customHeight="false" outlineLevel="0" collapsed="false">
      <c r="G174" s="94"/>
      <c r="H174" s="203"/>
    </row>
    <row r="175" customFormat="false" ht="14.25" hidden="false" customHeight="false" outlineLevel="0" collapsed="false">
      <c r="G175" s="94"/>
      <c r="H175" s="203"/>
    </row>
    <row r="176" customFormat="false" ht="14.25" hidden="false" customHeight="false" outlineLevel="0" collapsed="false">
      <c r="G176" s="94"/>
      <c r="H176" s="203"/>
    </row>
    <row r="177" customFormat="false" ht="14.25" hidden="false" customHeight="false" outlineLevel="0" collapsed="false">
      <c r="G177" s="94"/>
      <c r="H177" s="203"/>
    </row>
    <row r="178" customFormat="false" ht="14.25" hidden="false" customHeight="false" outlineLevel="0" collapsed="false">
      <c r="G178" s="94"/>
      <c r="H178" s="203"/>
    </row>
    <row r="179" customFormat="false" ht="14.25" hidden="false" customHeight="false" outlineLevel="0" collapsed="false">
      <c r="G179" s="94"/>
      <c r="H179" s="203"/>
    </row>
    <row r="180" customFormat="false" ht="14.25" hidden="false" customHeight="false" outlineLevel="0" collapsed="false">
      <c r="G180" s="94"/>
      <c r="H180" s="203"/>
    </row>
    <row r="181" customFormat="false" ht="14.25" hidden="false" customHeight="false" outlineLevel="0" collapsed="false">
      <c r="G181" s="94"/>
      <c r="H181" s="203"/>
    </row>
    <row r="182" customFormat="false" ht="14.25" hidden="false" customHeight="false" outlineLevel="0" collapsed="false">
      <c r="G182" s="94"/>
      <c r="H182" s="203"/>
    </row>
    <row r="183" customFormat="false" ht="14.25" hidden="false" customHeight="false" outlineLevel="0" collapsed="false">
      <c r="G183" s="94"/>
      <c r="H183" s="203"/>
    </row>
    <row r="184" customFormat="false" ht="14.25" hidden="false" customHeight="false" outlineLevel="0" collapsed="false">
      <c r="G184" s="94"/>
      <c r="H184" s="203"/>
    </row>
    <row r="185" customFormat="false" ht="14.25" hidden="false" customHeight="false" outlineLevel="0" collapsed="false">
      <c r="G185" s="94"/>
      <c r="H185" s="203"/>
    </row>
    <row r="186" customFormat="false" ht="14.25" hidden="false" customHeight="false" outlineLevel="0" collapsed="false">
      <c r="G186" s="94"/>
      <c r="H186" s="203"/>
    </row>
    <row r="187" customFormat="false" ht="14.25" hidden="false" customHeight="false" outlineLevel="0" collapsed="false">
      <c r="G187" s="94"/>
      <c r="H187" s="203"/>
    </row>
    <row r="188" customFormat="false" ht="14.25" hidden="false" customHeight="false" outlineLevel="0" collapsed="false">
      <c r="G188" s="94"/>
      <c r="H188" s="203"/>
    </row>
    <row r="189" customFormat="false" ht="14.25" hidden="false" customHeight="false" outlineLevel="0" collapsed="false">
      <c r="G189" s="94"/>
      <c r="H189" s="203"/>
    </row>
    <row r="190" customFormat="false" ht="14.25" hidden="false" customHeight="false" outlineLevel="0" collapsed="false">
      <c r="G190" s="94"/>
      <c r="H190" s="203"/>
    </row>
    <row r="191" customFormat="false" ht="14.25" hidden="false" customHeight="false" outlineLevel="0" collapsed="false">
      <c r="G191" s="94"/>
      <c r="H191" s="203"/>
    </row>
    <row r="192" customFormat="false" ht="14.25" hidden="false" customHeight="false" outlineLevel="0" collapsed="false">
      <c r="G192" s="94"/>
      <c r="H192" s="203"/>
    </row>
    <row r="193" customFormat="false" ht="14.25" hidden="false" customHeight="false" outlineLevel="0" collapsed="false">
      <c r="G193" s="94"/>
      <c r="H193" s="203"/>
    </row>
    <row r="194" customFormat="false" ht="14.25" hidden="false" customHeight="false" outlineLevel="0" collapsed="false">
      <c r="G194" s="94"/>
      <c r="H194" s="203"/>
    </row>
    <row r="195" customFormat="false" ht="14.25" hidden="false" customHeight="false" outlineLevel="0" collapsed="false">
      <c r="G195" s="94"/>
      <c r="H195" s="203"/>
    </row>
    <row r="196" customFormat="false" ht="14.25" hidden="false" customHeight="false" outlineLevel="0" collapsed="false">
      <c r="G196" s="94"/>
      <c r="H196" s="203"/>
    </row>
    <row r="197" customFormat="false" ht="14.25" hidden="false" customHeight="false" outlineLevel="0" collapsed="false">
      <c r="G197" s="94"/>
      <c r="H197" s="203"/>
    </row>
    <row r="198" customFormat="false" ht="14.25" hidden="false" customHeight="false" outlineLevel="0" collapsed="false">
      <c r="G198" s="94"/>
      <c r="H198" s="203"/>
    </row>
    <row r="199" customFormat="false" ht="14.25" hidden="false" customHeight="false" outlineLevel="0" collapsed="false">
      <c r="G199" s="94"/>
      <c r="H199" s="203"/>
    </row>
    <row r="200" customFormat="false" ht="14.25" hidden="false" customHeight="false" outlineLevel="0" collapsed="false">
      <c r="G200" s="94"/>
      <c r="H200" s="203"/>
    </row>
    <row r="201" customFormat="false" ht="14.25" hidden="false" customHeight="false" outlineLevel="0" collapsed="false">
      <c r="G201" s="94"/>
      <c r="H201" s="203"/>
    </row>
    <row r="202" customFormat="false" ht="14.25" hidden="false" customHeight="false" outlineLevel="0" collapsed="false">
      <c r="G202" s="94"/>
      <c r="H202" s="203"/>
    </row>
    <row r="203" customFormat="false" ht="14.25" hidden="false" customHeight="false" outlineLevel="0" collapsed="false">
      <c r="G203" s="94"/>
      <c r="H203" s="203"/>
    </row>
    <row r="204" customFormat="false" ht="14.25" hidden="false" customHeight="false" outlineLevel="0" collapsed="false">
      <c r="G204" s="94"/>
      <c r="H204" s="203"/>
    </row>
    <row r="205" customFormat="false" ht="14.25" hidden="false" customHeight="false" outlineLevel="0" collapsed="false">
      <c r="G205" s="94"/>
      <c r="H205" s="203"/>
    </row>
    <row r="206" customFormat="false" ht="14.25" hidden="false" customHeight="false" outlineLevel="0" collapsed="false">
      <c r="G206" s="94"/>
      <c r="H206" s="203"/>
    </row>
    <row r="207" customFormat="false" ht="14.25" hidden="false" customHeight="false" outlineLevel="0" collapsed="false">
      <c r="G207" s="94"/>
      <c r="H207" s="203"/>
    </row>
    <row r="208" customFormat="false" ht="14.25" hidden="false" customHeight="false" outlineLevel="0" collapsed="false">
      <c r="G208" s="94"/>
      <c r="H208" s="203"/>
    </row>
    <row r="209" customFormat="false" ht="14.25" hidden="false" customHeight="false" outlineLevel="0" collapsed="false">
      <c r="G209" s="94"/>
      <c r="H209" s="203"/>
    </row>
    <row r="210" customFormat="false" ht="14.25" hidden="false" customHeight="false" outlineLevel="0" collapsed="false">
      <c r="G210" s="94"/>
      <c r="H210" s="203"/>
    </row>
    <row r="211" customFormat="false" ht="14.25" hidden="false" customHeight="false" outlineLevel="0" collapsed="false">
      <c r="G211" s="94"/>
      <c r="H211" s="203"/>
    </row>
    <row r="212" customFormat="false" ht="14.25" hidden="false" customHeight="false" outlineLevel="0" collapsed="false">
      <c r="G212" s="94"/>
      <c r="H212" s="203"/>
    </row>
    <row r="213" customFormat="false" ht="14.25" hidden="false" customHeight="false" outlineLevel="0" collapsed="false">
      <c r="G213" s="94"/>
      <c r="H213" s="203"/>
    </row>
    <row r="214" customFormat="false" ht="14.25" hidden="false" customHeight="false" outlineLevel="0" collapsed="false">
      <c r="G214" s="94"/>
      <c r="H214" s="203"/>
    </row>
    <row r="215" customFormat="false" ht="14.25" hidden="false" customHeight="false" outlineLevel="0" collapsed="false">
      <c r="G215" s="94"/>
      <c r="H215" s="203"/>
    </row>
    <row r="216" customFormat="false" ht="14.25" hidden="false" customHeight="false" outlineLevel="0" collapsed="false">
      <c r="G216" s="94"/>
      <c r="H216" s="203"/>
    </row>
    <row r="217" customFormat="false" ht="14.25" hidden="false" customHeight="false" outlineLevel="0" collapsed="false">
      <c r="G217" s="94"/>
      <c r="H217" s="203"/>
    </row>
    <row r="218" customFormat="false" ht="14.25" hidden="false" customHeight="false" outlineLevel="0" collapsed="false">
      <c r="G218" s="94"/>
      <c r="H218" s="203"/>
    </row>
    <row r="219" customFormat="false" ht="14.25" hidden="false" customHeight="false" outlineLevel="0" collapsed="false">
      <c r="G219" s="94"/>
      <c r="H219" s="203"/>
    </row>
    <row r="220" customFormat="false" ht="14.25" hidden="false" customHeight="false" outlineLevel="0" collapsed="false">
      <c r="G220" s="94"/>
      <c r="H220" s="203"/>
    </row>
    <row r="221" customFormat="false" ht="14.25" hidden="false" customHeight="false" outlineLevel="0" collapsed="false">
      <c r="G221" s="94"/>
      <c r="H221" s="203"/>
    </row>
    <row r="222" customFormat="false" ht="14.25" hidden="false" customHeight="false" outlineLevel="0" collapsed="false">
      <c r="G222" s="205"/>
      <c r="H222" s="206"/>
    </row>
  </sheetData>
  <mergeCells count="7">
    <mergeCell ref="B68:B73"/>
    <mergeCell ref="C68:C73"/>
    <mergeCell ref="D68:D73"/>
    <mergeCell ref="I68:I73"/>
    <mergeCell ref="J68:J73"/>
    <mergeCell ref="K68:K73"/>
    <mergeCell ref="L68:L7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18</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a State Spatial Planning Board which is mandated with planning policies and reforms for the state?</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Check if the state Town and Country Planning (T&amp;CP) act provides for a state-level town and country planning board/ spatial planning board or equivalent body with a 'Shall' provision. If yes, score 5. Where the law only enables the constitution of such a body (e.g., “the State Government may constitute”), additionally verify whether the body has actually been constituted through a government notification or order, or by checking the official website of the relevant State Government department or planning body. If yes, score 5.Part B - If Part A is scored as 'Yes', check whether the body has an explicit mandate to advise on or formulate state-level spatial planning policies and reforms. if yes, score 5.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note that the name of the body need not be identical, provided its statutory functions correspond to the intent of the question.</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State planning board provided / constituted ("&amp;TEXT($C$7/2,"0.00")&amp;")"</f>
        <v>Part A: State planning board provided / constituted (5.00)</v>
      </c>
      <c r="I12" s="245" t="str">
        <f aca="false">"Part B: Mandate on state spatial planning policies &amp; reforms (counts only if Part A = YES) ("&amp;TEXT($C$7/2,"0.00")&amp;")"</f>
        <v>Part B: Mandate on state spatial planning policies &amp; reforms (counts only if Part A = YES)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202.95" hidden="false" customHeight="false" outlineLevel="0" collapsed="false">
      <c r="A14" s="246" t="s">
        <v>19</v>
      </c>
      <c r="B14" s="247" t="s">
        <v>25</v>
      </c>
      <c r="C14" s="247" t="s">
        <v>1034</v>
      </c>
      <c r="D14" s="247" t="s">
        <v>1035</v>
      </c>
      <c r="E14" s="247" t="s">
        <v>1036</v>
      </c>
      <c r="F14" s="247" t="s">
        <v>530</v>
      </c>
      <c r="G14" s="247" t="s">
        <v>26</v>
      </c>
      <c r="H14" s="248"/>
      <c r="I14" s="248" t="s">
        <v>1037</v>
      </c>
      <c r="J14" s="249" t="str">
        <f aca="false">IF(COUNTIFS('Scores (start here)'!$A:$A,$B$1,'Scores (start here)'!$B:$B,$A14,'Scores (start here)'!$F:$F,"&gt;=0")&gt;0,SUMIFS('Scores (start here)'!$F:$F,'Scores (start here)'!$A:$A,$B$1,'Scores (start here)'!$B:$B,$A14),L14)</f>
        <v/>
      </c>
      <c r="K14" s="250" t="s">
        <v>1038</v>
      </c>
      <c r="L14" s="0" t="str">
        <f aca="false">IF(H14="","",IF(H14="NO",0,IF(I14="","",IF(I14="YES",$C$7,$C$7/2))))</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30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State-level planning framework</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provision for the establishment of Planning Authorities for notified new towns or special developments?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has provisions for establishing a planning authority for new areas/towns notified. The state can also be considered, if the provision mandates the existing planning authority to develop a plan for the notified new area.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91.75" hidden="false" customHeight="false" outlineLevel="0" collapsed="false">
      <c r="A14" s="246" t="s">
        <v>19</v>
      </c>
      <c r="B14" s="247" t="s">
        <v>25</v>
      </c>
      <c r="C14" s="247" t="s">
        <v>1040</v>
      </c>
      <c r="D14" s="247" t="s">
        <v>1041</v>
      </c>
      <c r="E14" s="247" t="s">
        <v>1042</v>
      </c>
      <c r="F14" s="247" t="s">
        <v>573</v>
      </c>
      <c r="G14" s="247" t="s">
        <v>26</v>
      </c>
      <c r="H14" s="248" t="s">
        <v>1037</v>
      </c>
      <c r="I14" s="249" t="n">
        <f aca="false">IF(COUNTIFS('Scores (start here)'!$A:$A,$B$1,'Scores (start here)'!$B:$B,$A14,'Scores (start here)'!$F:$F,"&gt;=0")&gt;0,SUMIFS('Scores (start here)'!$F:$F,'Scores (start here)'!$A:$A,$B$1,'Scores (start here)'!$B:$B,$A14),K14)</f>
        <v>10</v>
      </c>
      <c r="J14" s="250" t="s">
        <v>1043</v>
      </c>
      <c r="K14" s="251" t="n">
        <f aca="false">IF(H14="YES",$C$7,IF(H14="NO",0,""))</f>
        <v>10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B9" activeCellId="0" sqref="B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37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Metropolitan/ Regional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T&amp;CP/Metropolitan Planning Act for provisions that mandate the creation of a metropolitan/regional plan. Relevant metropolitan authority act/urban areas development authority act can also be considered for evidence. If the city is not a metropolitan, the act should mandate the creation of a regional plan.</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7" hidden="false" customHeight="false" outlineLevel="0" collapsed="false">
      <c r="A14" s="246" t="s">
        <v>19</v>
      </c>
      <c r="B14" s="247" t="s">
        <v>41</v>
      </c>
      <c r="C14" s="247" t="s">
        <v>1044</v>
      </c>
      <c r="D14" s="247" t="s">
        <v>1045</v>
      </c>
      <c r="E14" s="247" t="s">
        <v>1046</v>
      </c>
      <c r="F14" s="247" t="s">
        <v>481</v>
      </c>
      <c r="G14" s="247" t="s">
        <v>42</v>
      </c>
      <c r="H14" s="248" t="s">
        <v>1037</v>
      </c>
      <c r="I14" s="249" t="n">
        <f aca="false">IF(COUNTIFS('Scores (start here)'!$A:$A,$B$1,'Scores (start here)'!$B:$B,$A14,'Scores (start here)'!$F:$F,"&gt;=0")&gt;0,SUMIFS('Scores (start here)'!$F:$F,'Scores (start here)'!$A:$A,$B$1,'Scores (start here)'!$B:$B,$A14),K14)</f>
        <v>3.33</v>
      </c>
      <c r="J14" s="250" t="s">
        <v>1047</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B6" activeCellId="0" sqref="B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45</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Municipal/city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municipal/city plan. Relevant urban areas development authority act can also be considered for evidence.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24.6" hidden="false" customHeight="false" outlineLevel="0" collapsed="false">
      <c r="A14" s="246" t="s">
        <v>19</v>
      </c>
      <c r="B14" s="247" t="s">
        <v>25</v>
      </c>
      <c r="C14" s="247" t="s">
        <v>1048</v>
      </c>
      <c r="D14" s="247" t="s">
        <v>1049</v>
      </c>
      <c r="E14" s="247" t="s">
        <v>1050</v>
      </c>
      <c r="F14" s="247" t="s">
        <v>619</v>
      </c>
      <c r="G14" s="247" t="s">
        <v>26</v>
      </c>
      <c r="H14" s="248" t="s">
        <v>1037</v>
      </c>
      <c r="I14" s="249" t="n">
        <f aca="false">IF(COUNTIFS('Scores (start here)'!$A:$A,$B$1,'Scores (start here)'!$B:$B,$A14,'Scores (start here)'!$F:$F,"&gt;=0")&gt;0,SUMIFS('Scores (start here)'!$F:$F,'Scores (start here)'!$A:$A,$B$1,'Scores (start here)'!$B:$B,$A14),K14)</f>
        <v>3.33</v>
      </c>
      <c r="J14" s="250" t="s">
        <v>1051</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H16" activeCellId="0" sqref="H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50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require three levels of spatial plans for cities: Metropolitan/Regional, Municipal and Ward(s) /Local &gt;:&lt; Ward(s)/local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101.2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T&amp;CP Act should mandate three levels of spatial plans.  &gt;:&lt; Check the T&amp;CP Act for provisions that mandate the creation of a third tier of plan at the zone/ward level. Town planning schemes that are developed within the framework of the municipal/city plan shall not be considered. </v>
      </c>
    </row>
    <row r="10" customFormat="false" ht="43.5"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in the comments if the mandate is for a zonal/ward/local area plan, mention the type.</v>
      </c>
    </row>
    <row r="11" customFormat="false" ht="28.5" hidden="false" customHeight="true" outlineLevel="0" collapsed="false">
      <c r="H11" s="242" t="s">
        <v>1022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245" t="s">
        <v>1052</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IF(H13="YES",$C$7,IF(H13="NO",0,""))</f>
        <v/>
      </c>
    </row>
    <row r="14" customFormat="false" ht="35.05" hidden="false" customHeight="false" outlineLevel="0" collapsed="false">
      <c r="A14" s="246" t="s">
        <v>19</v>
      </c>
      <c r="B14" s="247" t="s">
        <v>25</v>
      </c>
      <c r="C14" s="247" t="s">
        <v>1053</v>
      </c>
      <c r="D14" s="247" t="s">
        <v>1054</v>
      </c>
      <c r="E14" s="247" t="s">
        <v>1055</v>
      </c>
      <c r="F14" s="247" t="s">
        <v>619</v>
      </c>
      <c r="G14" s="247" t="s">
        <v>26</v>
      </c>
      <c r="H14" s="248"/>
      <c r="I14" s="249" t="str">
        <f aca="false">IF(COUNTIFS('Scores (start here)'!$A:$A,$B$1,'Scores (start here)'!$B:$B,$A14,'Scores (start here)'!$F:$F,"&gt;=0")&gt;0,SUMIFS('Scores (start here)'!$F:$F,'Scores (start here)'!$A:$A,$B$1,'Scores (start here)'!$B:$B,$A14),L14)</f>
        <v/>
      </c>
      <c r="J14" s="250" t="s">
        <v>1056</v>
      </c>
      <c r="K14" s="247"/>
      <c r="L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0" topLeftCell="B1" activePane="topRight" state="frozen"/>
      <selection pane="topLeft" activeCell="A1" activeCellId="0" sqref="A1"/>
      <selection pane="topRigh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55</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 planning boundary of the municipal/city plan aligned with political and administrative boundaries?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municipal/city plan, its maps and/or the notification defining the planning area. Identify the ULG and administrative units used to define the planning area. First, compare the planning boundary with the ULG boundary. If the planning boundary is coterminous with the ULG boundary, score 10. Where the planning area extends beyond the ULG boundary, identify how the additional area has been defined in the plan or notification. The extension need not follow district boundaries. It may comprise whole gram panchayats, revenue villages, taluks/tehsils or other notified administrative/local-government units. The key test is whether existing units are included in their entirety rather than split by the planning boundary.For example:Entire ULG only = Score 10Entire ULG + 10 complete Gram Panchayats = Score 10Entire ULG + 15 complete revenue villages = Score 10Entire ULG + 2 complete taluks = Score 10ULG + only part of a Gram Panchayat/revenue village = Score 0Planning boundary itself divides the ULG, leaving part of the ULG outside the plan = Score 0 Use the notification/text defining the planning area as the primary source.Refer to the plan map where necessary to verify the boundary. Do not assess whether the planning boundary is appropriate or whether it represents the functional urban region; assess only whether it aligns with identifiable political/local-government and administrative units. Score 10: The municipal/city plan boundary corresponds to the ULG boundary, or any area extending beyond the ULG is defined using whole administrative/local-government units. Score 0: The planning boundary bisects the ULG or other administrative/local-government units used to constitute the planning area.</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t="s">
        <v>41</v>
      </c>
      <c r="C14" s="247" t="s">
        <v>1057</v>
      </c>
      <c r="D14" s="247" t="s">
        <v>1058</v>
      </c>
      <c r="E14" s="247" t="s">
        <v>1059</v>
      </c>
      <c r="F14" s="247" t="s">
        <v>465</v>
      </c>
      <c r="G14" s="247" t="s">
        <v>42</v>
      </c>
      <c r="H14" s="248" t="s">
        <v>1037</v>
      </c>
      <c r="I14" s="249" t="n">
        <f aca="false">IF(COUNTIFS('Scores (start here)'!$A:$A,$B$1,'Scores (start here)'!$B:$B,$A14,'Scores (start here)'!$F:$F,"&gt;=0")&gt;0,SUMIFS('Scores (start here)'!$F:$F,'Scores (start here)'!$A:$A,$B$1,'Scores (start here)'!$B:$B,$A14),K14)</f>
        <v>10</v>
      </c>
      <c r="J14" s="247" t="s">
        <v>1060</v>
      </c>
      <c r="K14" s="251" t="n">
        <f aca="false">IF(H14="YES",$C$7,IF(H14="NO",0,""))</f>
        <v>10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60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metropolitan/regional plan be approved by the state government?</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Act/metropolitan planning act mandates the metropolitan/regional plan to be approved by the state government.</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1061</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64</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municipal/city plan be approved by the MPC (Metropolitan Planning Committee)  for metropolitan cities or by DPC (District Planning Committee) for non-metropolitan cities?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municipal/city plans to be approved by the metropolitan planning committee in case of million plus cities and District Planning Committees in the case of non-metropolitan cities. In the case of states with no metropolitan cities, check if the municipal/city plan is to be approved by the state.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370.85" hidden="false" customHeight="false" outlineLevel="0" collapsed="false">
      <c r="A14" s="246" t="s">
        <v>19</v>
      </c>
      <c r="B14" s="247" t="s">
        <v>25</v>
      </c>
      <c r="C14" s="247" t="s">
        <v>1062</v>
      </c>
      <c r="D14" s="247" t="s">
        <v>1063</v>
      </c>
      <c r="E14" s="247" t="s">
        <v>1064</v>
      </c>
      <c r="F14" s="247" t="s">
        <v>665</v>
      </c>
      <c r="G14" s="247" t="s">
        <v>26</v>
      </c>
      <c r="H14" s="248" t="s">
        <v>1065</v>
      </c>
      <c r="I14" s="249" t="n">
        <f aca="false">IF(COUNTIFS('Scores (start here)'!$A:$A,$B$1,'Scores (start here)'!$B:$B,$A14,'Scores (start here)'!$F:$F,"&gt;=0")&gt;0,SUMIFS('Scores (start here)'!$F:$F,'Scores (start here)'!$A:$A,$B$1,'Scores (start here)'!$B:$B,$A14),K14)</f>
        <v>0</v>
      </c>
      <c r="J14" s="250" t="s">
        <v>1066</v>
      </c>
      <c r="K14" s="0" t="n">
        <f aca="false">IF(H14="YES",$C$7,IF(H14="NO",0,""))</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69</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Spatial planning hierarchy &gt;:&lt; Spatial planning hierarchy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clear decentralised procedure for approvals of each level of plans? &gt;:&lt; Does the law mandate that the ward(s)/local plan be approved by the ULG?</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state T&amp;CP Act for provisions that delineate a decentralised plan approval process.  &gt;:&lt; Check if the T&amp;CP Act mandates the zonal/ward plans to be approved by the ULG.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35.05" hidden="false" customHeight="false" outlineLevel="0" collapsed="false">
      <c r="A14" s="246" t="s">
        <v>19</v>
      </c>
      <c r="B14" s="247" t="s">
        <v>25</v>
      </c>
      <c r="C14" s="247" t="s">
        <v>1067</v>
      </c>
      <c r="D14" s="247" t="s">
        <v>1068</v>
      </c>
      <c r="E14" s="247" t="s">
        <v>1069</v>
      </c>
      <c r="F14" s="247" t="s">
        <v>1070</v>
      </c>
      <c r="G14" s="247" t="s">
        <v>26</v>
      </c>
      <c r="H14" s="248"/>
      <c r="I14" s="249" t="str">
        <f aca="false">IF(COUNTIFS('Scores (start here)'!$A:$A,$B$1,'Scores (start here)'!$B:$B,$A14,'Scores (start here)'!$F:$F,"&gt;=0")&gt;0,SUMIFS('Scores (start here)'!$F:$F,'Scores (start here)'!$A:$A,$B$1,'Scores (start here)'!$B:$B,$A14),K14)</f>
        <v/>
      </c>
      <c r="J14" s="250" t="s">
        <v>1071</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74</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each level of Municipal/City Plans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Act clearly define the objectives/contents of each level of spatial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detail the objectives and contents of each level of spatial plan. The Act should broadly mention what each level of spatial plan should cover. Score 3.33 each for the objectives and contents of - 1. Metropolitan/regional plan2. Municipal/city plan3. Ward(s)/local plan If the T&amp;CP Act provides for all three, score 10. </v>
      </c>
    </row>
    <row r="10" customFormat="false" ht="51.75"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"Objectives/contents: Metropolitan/regional plan ("&amp;TEXT($C$7/3,"0.00")&amp;")"</f>
        <v>Objectives/contents: Metropolitan/regional plan (3.33)</v>
      </c>
      <c r="I12" s="245" t="str">
        <f aca="false">"Objectives/contents: Municipal/city plan ("&amp;TEXT($C$7/3,"0.00")&amp;")"</f>
        <v>Objectives/contents: Municipal/city plan (3.33)</v>
      </c>
      <c r="J12" s="245" t="str">
        <f aca="false">"Objectives/contents: Ward/local plan ("&amp;TEXT($C$7/3,"0.00")&amp;")"</f>
        <v>Objectives/contents: Ward/local plan (3.33)</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225.35" hidden="false" customHeight="false" outlineLevel="0" collapsed="false">
      <c r="A14" s="246" t="s">
        <v>19</v>
      </c>
      <c r="B14" s="247" t="s">
        <v>25</v>
      </c>
      <c r="C14" s="247" t="s">
        <v>1053</v>
      </c>
      <c r="D14" s="247" t="s">
        <v>1073</v>
      </c>
      <c r="E14" s="247" t="s">
        <v>1074</v>
      </c>
      <c r="F14" s="247" t="s">
        <v>649</v>
      </c>
      <c r="G14" s="247" t="s">
        <v>26</v>
      </c>
      <c r="H14" s="248"/>
      <c r="I14" s="248" t="s">
        <v>1037</v>
      </c>
      <c r="J14" s="248" t="s">
        <v>1037</v>
      </c>
      <c r="K14" s="249" t="str">
        <f aca="false">IF(COUNTIFS('Scores (start here)'!$A:$A,$B$1,'Scores (start here)'!$B:$B,$A14,'Scores (start here)'!$F:$F,"&gt;=0")&gt;0,SUMIFS('Scores (start here)'!$F:$F,'Scores (start here)'!$A:$A,$B$1,'Scores (start here)'!$B:$B,$A14),M14)</f>
        <v/>
      </c>
      <c r="L14" s="250" t="s">
        <v>1075</v>
      </c>
      <c r="M14" s="0" t="str">
        <f aca="false">IF(OR(H14="",I14="",J14=""),"",COUNTIF(H14:J14,"YES")/3*$C$7)</f>
        <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C10" activeCellId="0" sqref="C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80</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Does the law provide for the constitution of an MPC/DPC?</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Part A:  Check whether there is a mandate in the Municipal or T&amp;CP Act for the constitution of MPC/DPC. If yes, score 2.5                                                                                                                                                                   Part B: Check whether the State has notified the rules for the MPC/DPC applicable to the city. If yes, score 2.5.MPC applies to metropolitan cities (46 cities); DPC applies for non-metropolitan cities</v>
      </c>
    </row>
    <row r="10" customFormat="false" ht="54"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Mandate in Municipal / T&amp;CP Act ("&amp;TEXT($C$7/2,"0.00")&amp;")"</f>
        <v>Part A: Mandate in Municipal / T&amp;CP Act (2.50)</v>
      </c>
      <c r="I12" s="245" t="str">
        <f aca="false">"Part B: MPC/DPC rules notified ("&amp;TEXT($C$7/2,"0.00")&amp;")"</f>
        <v>Part B: MPC/DPC rules notified (2.50)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IF(OR(H13="",I13=""),"",COUNTIF(H13:I13,"YES")/2*$C$7)</f>
        <v/>
      </c>
    </row>
    <row r="14" customFormat="false" ht="135.8" hidden="false" customHeight="false" outlineLevel="0" collapsed="false">
      <c r="A14" s="246" t="s">
        <v>19</v>
      </c>
      <c r="B14" s="247" t="s">
        <v>41</v>
      </c>
      <c r="C14" s="247" t="s">
        <v>1076</v>
      </c>
      <c r="D14" s="247" t="s">
        <v>1077</v>
      </c>
      <c r="E14" s="247" t="s">
        <v>1078</v>
      </c>
      <c r="F14" s="247" t="s">
        <v>481</v>
      </c>
      <c r="G14" s="247" t="s">
        <v>42</v>
      </c>
      <c r="H14" s="248" t="s">
        <v>1037</v>
      </c>
      <c r="I14" s="248"/>
      <c r="J14" s="249" t="str">
        <f aca="false">IF(COUNTIFS('Scores (start here)'!$A:$A,$B$1,'Scores (start here)'!$B:$B,$A14,'Scores (start here)'!$F:$F,"&gt;=0")&gt;0,SUMIFS('Scores (start here)'!$F:$F,'Scores (start here)'!$A:$A,$B$1,'Scores (start here)'!$B:$B,$A14),L14)</f>
        <v/>
      </c>
      <c r="K14" s="250" t="s">
        <v>1079</v>
      </c>
      <c r="L14" s="0" t="str">
        <f aca="false">IF(OR(H14="",I14=""),"",COUNTIF(H14:I14,"YES")/2*$C$7)</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IF(OR(H15="",I15=""),"",COUNTIF(H15:I15,"YES")/2*$C$7)</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IF(OR(H16="",I16=""),"",COUNTIF(H16:I16,"YES")/2*$C$7)</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IF(OR(H17="",I17=""),"",COUNTIF(H17:I17,"YES")/2*$C$7)</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IF(OR(H18="",I18=""),"",COUNTIF(H18:I18,"YES")/2*$C$7)</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IF(OR(H19="",I19=""),"",COUNTIF(H19:I19,"YES")/2*$C$7)</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IF(OR(H20="",I20=""),"",COUNTIF(H20:I20,"YES")/2*$C$7)</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IF(OR(H21="",I21=""),"",COUNTIF(H21:I21,"YES")/2*$C$7)</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IF(OR(H22="",I22=""),"",COUNTIF(H22:I22,"YES")/2*$C$7)</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IF(OR(H23="",I23=""),"",COUNTIF(H23:I23,"YES")/2*$C$7)</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IF(OR(H24="",I24=""),"",COUNTIF(H24:I24,"YES")/2*$C$7)</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IF(OR(H25="",I25=""),"",COUNTIF(H25:I25,"YES")/2*$C$7)</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IF(OR(H26="",I26=""),"",COUNTIF(H26:I26,"YES")/2*$C$7)</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IF(OR(H27="",I27=""),"",COUNTIF(H27:I27,"YES")/2*$C$7)</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IF(OR(H28="",I28=""),"",COUNTIF(H28:I28,"YES")/2*$C$7)</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IF(OR(H29="",I29=""),"",COUNTIF(H29:I29,"YES")/2*$C$7)</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IF(OR(H30="",I30=""),"",COUNTIF(H30:I30,"YES")/2*$C$7)</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IF(OR(H31="",I31=""),"",COUNTIF(H31:I31,"YES")/2*$C$7)</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IF(OR(H32="",I32=""),"",COUNTIF(H32:I32,"YES")/2*$C$7)</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IF(OR(H33="",I33=""),"",COUNTIF(H33:I33,"YES")/2*$C$7)</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IF(OR(H34="",I34=""),"",COUNTIF(H34:I34,"YES")/2*$C$7)</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IF(OR(H35="",I35=""),"",COUNTIF(H35:I35,"YES")/2*$C$7)</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IF(OR(H36="",I36=""),"",COUNTIF(H36:I36,"YES")/2*$C$7)</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IF(OR(H37="",I37=""),"",COUNTIF(H37:I37,"YES")/2*$C$7)</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IF(OR(H38="",I38=""),"",COUNTIF(H38:I38,"YES")/2*$C$7)</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IF(OR(H39="",I39=""),"",COUNTIF(H39:I39,"YES")/2*$C$7)</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IF(OR(H40="",I40=""),"",COUNTIF(H40:I40,"YES")/2*$C$7)</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87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43.5" hidden="false" customHeight="tru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 &gt;:&lt; 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 &gt;:&lt; Metropolitan and district planning institutions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functional MPC/DPC? &gt;:&lt; Have they met at least once in the past two years?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whether the MPC/DPC has met at least once in the past two years. Score 5 where there is evidence of meeting in the last two years.Evidence: State UD/Municipal Administration department notifications/constitution orders/website; MPC/DPC meeting minutes, agendas or resolutions; MPC/DPC and metropolitan planning authority/development authority websites and RTIs.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1080</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90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90"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Legal and institutional planning architecture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Metropolitan and district planning institutions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(million-plus) have a Metropolitan Authority?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state municipal and T&amp;CP Act mandates a statutory metropolitan-level authority. For example the Greater Bengaluru Authority (GBA) under the Greater Bengaluru Governance Act, 2024. Score 10 where such a metropolitan authority has been established by law and constituted for the city.                                           Note: The question is NA for non-metropolitan cities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1081</v>
      </c>
    </row>
    <row r="11" customFormat="false" ht="28.5" hidden="false" customHeight="true" outlineLevel="0" collapsed="false">
      <c r="H11" s="242" t="s">
        <v>1082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IF(H13="NA","NA",IF(H13="YES",$C$7,IF(H13="NO",0,"")))</f>
        <v/>
      </c>
    </row>
    <row r="14" customFormat="false" ht="247.75" hidden="false" customHeight="false" outlineLevel="0" collapsed="false">
      <c r="A14" s="246" t="s">
        <v>19</v>
      </c>
      <c r="B14" s="247" t="s">
        <v>41</v>
      </c>
      <c r="C14" s="247" t="s">
        <v>1076</v>
      </c>
      <c r="D14" s="247" t="s">
        <v>1083</v>
      </c>
      <c r="E14" s="247" t="s">
        <v>1084</v>
      </c>
      <c r="F14" s="247" t="s">
        <v>21</v>
      </c>
      <c r="G14" s="247" t="s">
        <v>42</v>
      </c>
      <c r="H14" s="248" t="s">
        <v>1037</v>
      </c>
      <c r="I14" s="249" t="n">
        <f aca="false">IF(COUNTIFS('Scores (start here)'!$A:$A,$B$1,'Scores (start here)'!$B:$B,$A14,'Scores (start here)'!$F:$F,"&gt;=0")&gt;0,SUMIFS('Scores (start here)'!$F:$F,'Scores (start here)'!$A:$A,$B$1,'Scores (start here)'!$B:$B,$A14),K14)</f>
        <v>10</v>
      </c>
      <c r="J14" s="250" t="s">
        <v>1085</v>
      </c>
      <c r="K14" s="251" t="n">
        <f aca="false">IF(H14="NA","NA",IF(H14="YES",$C$7,IF(H14="NO",0,"")))</f>
        <v>10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IF(H15="NA","NA",IF(H15="YES",$C$7,IF(H15="NO",0,"")))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IF(H16="NA","NA",IF(H16="YES",$C$7,IF(H16="NO",0,"")))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IF(H17="NA","NA",IF(H17="YES",$C$7,IF(H17="NO",0,"")))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IF(H18="NA","NA",IF(H18="YES",$C$7,IF(H18="NO",0,"")))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IF(H19="NA","NA",IF(H19="YES",$C$7,IF(H19="NO",0,"")))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IF(H20="NA","NA",IF(H20="YES",$C$7,IF(H20="NO",0,"")))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IF(H21="NA","NA",IF(H21="YES",$C$7,IF(H21="NO",0,"")))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IF(H22="NA","NA",IF(H22="YES",$C$7,IF(H22="NO",0,"")))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IF(H23="NA","NA",IF(H23="YES",$C$7,IF(H23="NO",0,"")))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IF(H24="NA","NA",IF(H24="YES",$C$7,IF(H24="NO",0,"")))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IF(H25="NA","NA",IF(H25="YES",$C$7,IF(H25="NO",0,"")))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IF(H26="NA","NA",IF(H26="YES",$C$7,IF(H26="NO",0,"")))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IF(H27="NA","NA",IF(H27="YES",$C$7,IF(H27="NO",0,"")))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IF(H28="NA","NA",IF(H28="YES",$C$7,IF(H28="NO",0,"")))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IF(H29="NA","NA",IF(H29="YES",$C$7,IF(H29="NO",0,"")))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IF(H30="NA","NA",IF(H30="YES",$C$7,IF(H30="NO",0,"")))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IF(H31="NA","NA",IF(H31="YES",$C$7,IF(H31="NO",0,"")))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IF(H32="NA","NA",IF(H32="YES",$C$7,IF(H32="NO",0,"")))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IF(H33="NA","NA",IF(H33="YES",$C$7,IF(H33="NO",0,"")))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IF(H34="NA","NA",IF(H34="YES",$C$7,IF(H34="NO",0,"")))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IF(H35="NA","NA",IF(H35="YES",$C$7,IF(H35="NO",0,"")))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IF(H36="NA","NA",IF(H36="YES",$C$7,IF(H36="NO",0,"")))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IF(H37="NA","NA",IF(H37="YES",$C$7,IF(H37="NO",0,"")))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IF(H38="NA","NA",IF(H38="YES",$C$7,IF(H38="NO",0,"")))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IF(H39="NA","NA",IF(H39="YES",$C$7,IF(H39="NO",0,"")))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IF(H40="NA","NA",IF(H40="YES",$C$7,IF(H40="NO",0,"")))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95</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participation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participation of all parastatals/ agencies /ULGs in creation of Spatial plans (metro/municipal/ward)?</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Act for provisions that mandate the participation of all parastatals/agencies/ULGs in creation of spatial plans at all three levels with respect to its jurisdiction. The clause may either state verbatim "all parastatals/agencies/ULGs" or allude to their presence using other terminologies such as local bodies/relevant authorities. Check if the act mandates the constitution of an advisory council to advise the planning authorities on drawing up the plan. The advisory council should have representation from various civic agencies. Score 10 if there are such provisions, else, score 0.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t="s">
        <v>41</v>
      </c>
      <c r="C14" s="247" t="s">
        <v>1076</v>
      </c>
      <c r="D14" s="247" t="s">
        <v>1086</v>
      </c>
      <c r="E14" s="247" t="s">
        <v>1087</v>
      </c>
      <c r="F14" s="247" t="s">
        <v>21</v>
      </c>
      <c r="G14" s="247" t="s">
        <v>42</v>
      </c>
      <c r="H14" s="248" t="s">
        <v>1037</v>
      </c>
      <c r="I14" s="249" t="n">
        <f aca="false">IF(COUNTIFS('Scores (start here)'!$A:$A,$B$1,'Scores (start here)'!$B:$B,$A14,'Scores (start here)'!$F:$F,"&gt;=0")&gt;0,SUMIFS('Scores (start here)'!$F:$F,'Scores (start here)'!$A:$A,$B$1,'Scores (start here)'!$B:$B,$A14),K14)</f>
        <v>10</v>
      </c>
      <c r="J14" s="247" t="s">
        <v>1088</v>
      </c>
      <c r="K14" s="251" t="n">
        <f aca="false">IF(H14="YES",$C$7,IF(H14="NO",0,""))</f>
        <v>10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100</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public participation in preparation of the municipal plan through Area Sabhas / Ward Sabhas and other means?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mandates public participation in preparation of municipal/city plan through:Part A: Formal platforms such as ward committees and area sabhas. If yes, score 5.Part B: Other means* for municipal/city plan. If yes, score 5.*Even if the provision alludes to 'public participation/consultation or consolidation of suggestions and objections without specifying the mode for the same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1072</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Formal platforms (ward committees / area sabhas) ("&amp;TEXT($C$7/2,"0.00")&amp;")"</f>
        <v>Part A: Formal platforms (ward committees / area sabhas) (5.00)</v>
      </c>
      <c r="I12" s="245" t="str">
        <f aca="false">"Part B: Other means ("&amp;TEXT($C$7/2,"0.00")&amp;")"</f>
        <v>Part B: Other means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IF(OR(H13="",I13=""),"",COUNTIF(H13:I13,"YES")/2*$C$7)</f>
        <v/>
      </c>
    </row>
    <row r="14" customFormat="false" ht="79.85" hidden="false" customHeight="false" outlineLevel="0" collapsed="false">
      <c r="A14" s="246" t="s">
        <v>19</v>
      </c>
      <c r="B14" s="247" t="s">
        <v>25</v>
      </c>
      <c r="C14" s="247" t="s">
        <v>1089</v>
      </c>
      <c r="D14" s="247" t="s">
        <v>1090</v>
      </c>
      <c r="E14" s="247" t="s">
        <v>1091</v>
      </c>
      <c r="F14" s="247" t="s">
        <v>639</v>
      </c>
      <c r="G14" s="247" t="s">
        <v>26</v>
      </c>
      <c r="H14" s="248"/>
      <c r="I14" s="248" t="s">
        <v>1037</v>
      </c>
      <c r="J14" s="249" t="str">
        <f aca="false">IF(COUNTIFS('Scores (start here)'!$A:$A,$B$1,'Scores (start here)'!$B:$B,$A14,'Scores (start here)'!$F:$F,"&gt;=0")&gt;0,SUMIFS('Scores (start here)'!$F:$F,'Scores (start here)'!$A:$A,$B$1,'Scores (start here)'!$B:$B,$A14),L14)</f>
        <v/>
      </c>
      <c r="K14" s="250" t="s">
        <v>1092</v>
      </c>
      <c r="L14" s="0" t="str">
        <f aca="false">IF(OR(H14="",I14=""),"",COUNTIF(H14:I14,"YES")/2*$C$7)</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IF(OR(H15="",I15=""),"",COUNTIF(H15:I15,"YES")/2*$C$7)</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IF(OR(H16="",I16=""),"",COUNTIF(H16:I16,"YES")/2*$C$7)</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IF(OR(H17="",I17=""),"",COUNTIF(H17:I17,"YES")/2*$C$7)</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IF(OR(H18="",I18=""),"",COUNTIF(H18:I18,"YES")/2*$C$7)</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IF(OR(H19="",I19=""),"",COUNTIF(H19:I19,"YES")/2*$C$7)</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IF(OR(H20="",I20=""),"",COUNTIF(H20:I20,"YES")/2*$C$7)</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IF(OR(H21="",I21=""),"",COUNTIF(H21:I21,"YES")/2*$C$7)</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IF(OR(H22="",I22=""),"",COUNTIF(H22:I22,"YES")/2*$C$7)</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IF(OR(H23="",I23=""),"",COUNTIF(H23:I23,"YES")/2*$C$7)</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IF(OR(H24="",I24=""),"",COUNTIF(H24:I24,"YES")/2*$C$7)</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IF(OR(H25="",I25=""),"",COUNTIF(H25:I25,"YES")/2*$C$7)</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IF(OR(H26="",I26=""),"",COUNTIF(H26:I26,"YES")/2*$C$7)</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IF(OR(H27="",I27=""),"",COUNTIF(H27:I27,"YES")/2*$C$7)</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IF(OR(H28="",I28=""),"",COUNTIF(H28:I28,"YES")/2*$C$7)</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IF(OR(H29="",I29=""),"",COUNTIF(H29:I29,"YES")/2*$C$7)</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IF(OR(H30="",I30=""),"",COUNTIF(H30:I30,"YES")/2*$C$7)</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IF(OR(H31="",I31=""),"",COUNTIF(H31:I31,"YES")/2*$C$7)</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IF(OR(H32="",I32=""),"",COUNTIF(H32:I32,"YES")/2*$C$7)</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IF(OR(H33="",I33=""),"",COUNTIF(H33:I33,"YES")/2*$C$7)</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IF(OR(H34="",I34=""),"",COUNTIF(H34:I34,"YES")/2*$C$7)</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IF(OR(H35="",I35=""),"",COUNTIF(H35:I35,"YES")/2*$C$7)</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IF(OR(H36="",I36=""),"",COUNTIF(H36:I36,"YES")/2*$C$7)</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IF(OR(H37="",I37=""),"",COUNTIF(H37:I37,"YES")/2*$C$7)</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IF(OR(H38="",I38=""),"",COUNTIF(H38:I38,"YES")/2*$C$7)</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IF(OR(H39="",I39=""),"",COUNTIF(H39:I39,"YES")/2*$C$7)</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IF(OR(H40="",I40=""),"",COUNTIF(H40:I40,"YES")/2*$C$7)</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106</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Does the law mandate public scrutiny for (including objections and responses) municipal/city plan through Area Sabhas / Ward Sabhas and other means?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if the T&amp;CP Act mandates public scrutiny (including objections and responses) through:Part A: Formal platforms such as ward committees and area sabhas. If yes, score 2.50.Part B: Other means* for municipal/city plan. If yes, score 2.50*Even if the provision alludes to 'public scrutiny/consultation or consolidation of suggestions and objections without specifying the mode for the same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Formal platforms (ward committees / area sabhas) ("&amp;TEXT($C$7/2,"0.00")&amp;")"</f>
        <v>Part A: Formal platforms (ward committees / area sabhas) (2.50)</v>
      </c>
      <c r="I12" s="245" t="str">
        <f aca="false">"Part B: Other means ("&amp;TEXT($C$7/2,"0.00")&amp;")"</f>
        <v>Part B: Other means (2.50)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IF(OR(H13="",I13=""),"",COUNTIF(H13:I13,"YES")/2*$C$7)</f>
        <v/>
      </c>
    </row>
    <row r="14" customFormat="false" ht="79.85" hidden="false" customHeight="false" outlineLevel="0" collapsed="false">
      <c r="A14" s="246" t="s">
        <v>19</v>
      </c>
      <c r="B14" s="247" t="s">
        <v>25</v>
      </c>
      <c r="C14" s="247" t="s">
        <v>1093</v>
      </c>
      <c r="D14" s="247" t="s">
        <v>1094</v>
      </c>
      <c r="E14" s="247" t="s">
        <v>1095</v>
      </c>
      <c r="F14" s="247" t="s">
        <v>665</v>
      </c>
      <c r="G14" s="247" t="s">
        <v>26</v>
      </c>
      <c r="H14" s="248"/>
      <c r="I14" s="248" t="s">
        <v>1037</v>
      </c>
      <c r="J14" s="249" t="str">
        <f aca="false">IF(COUNTIFS('Scores (start here)'!$A:$A,$B$1,'Scores (start here)'!$B:$B,$A14,'Scores (start here)'!$F:$F,"&gt;=0")&gt;0,SUMIFS('Scores (start here)'!$F:$F,'Scores (start here)'!$A:$A,$B$1,'Scores (start here)'!$B:$B,$A14),L14)</f>
        <v/>
      </c>
      <c r="K14" s="250" t="s">
        <v>1096</v>
      </c>
      <c r="L14" s="0" t="str">
        <f aca="false">IF(OR(H14="",I14=""),"",COUNTIF(H14:I14,"YES")/2*$C$7)</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IF(OR(H15="",I15=""),"",COUNTIF(H15:I15,"YES")/2*$C$7)</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IF(OR(H16="",I16=""),"",COUNTIF(H16:I16,"YES")/2*$C$7)</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IF(OR(H17="",I17=""),"",COUNTIF(H17:I17,"YES")/2*$C$7)</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IF(OR(H18="",I18=""),"",COUNTIF(H18:I18,"YES")/2*$C$7)</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IF(OR(H19="",I19=""),"",COUNTIF(H19:I19,"YES")/2*$C$7)</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IF(OR(H20="",I20=""),"",COUNTIF(H20:I20,"YES")/2*$C$7)</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IF(OR(H21="",I21=""),"",COUNTIF(H21:I21,"YES")/2*$C$7)</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IF(OR(H22="",I22=""),"",COUNTIF(H22:I22,"YES")/2*$C$7)</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IF(OR(H23="",I23=""),"",COUNTIF(H23:I23,"YES")/2*$C$7)</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IF(OR(H24="",I24=""),"",COUNTIF(H24:I24,"YES")/2*$C$7)</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IF(OR(H25="",I25=""),"",COUNTIF(H25:I25,"YES")/2*$C$7)</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IF(OR(H26="",I26=""),"",COUNTIF(H26:I26,"YES")/2*$C$7)</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IF(OR(H27="",I27=""),"",COUNTIF(H27:I27,"YES")/2*$C$7)</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IF(OR(H28="",I28=""),"",COUNTIF(H28:I28,"YES")/2*$C$7)</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IF(OR(H29="",I29=""),"",COUNTIF(H29:I29,"YES")/2*$C$7)</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IF(OR(H30="",I30=""),"",COUNTIF(H30:I30,"YES")/2*$C$7)</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IF(OR(H31="",I31=""),"",COUNTIF(H31:I31,"YES")/2*$C$7)</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IF(OR(H32="",I32=""),"",COUNTIF(H32:I32,"YES")/2*$C$7)</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IF(OR(H33="",I33=""),"",COUNTIF(H33:I33,"YES")/2*$C$7)</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IF(OR(H34="",I34=""),"",COUNTIF(H34:I34,"YES")/2*$C$7)</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IF(OR(H35="",I35=""),"",COUNTIF(H35:I35,"YES")/2*$C$7)</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IF(OR(H36="",I36=""),"",COUNTIF(H36:I36,"YES")/2*$C$7)</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IF(OR(H37="",I37=""),"",COUNTIF(H37:I37,"YES")/2*$C$7)</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IF(OR(H38="",I38=""),"",COUNTIF(H38:I38,"YES")/2*$C$7)</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IF(OR(H39="",I39=""),"",COUNTIF(H39:I39,"YES")/2*$C$7)</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IF(OR(H40="",I40=""),"",COUNTIF(H40:I40,"YES")/2*$C$7)</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111</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 &gt;:&lt; Municipal/City Plan preparation, participation and review</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Public participation and scrutiny &gt;:&lt; Public participation and scrutiny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public scrutiny for (including objections and responses) municipal/city plan? &gt;:&lt; Was the public scrutiny undertaken for (including objections and responses) municipal/city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Law/Policy &amp; 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&gt;:&lt; Check Development Authority/ULG websites (as applicable) for consultation minutes/details/notifcations for inviting suggestions; newspaper reports; and the municipal/city plan for evidence of public scrutiny. If such evidence is found, score 5.</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1097</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s>
  <sheetData>
    <row r="1" customFormat="false" ht="14.25" hidden="false" customHeight="false" outlineLevel="0" collapsed="false">
      <c r="A1" s="237" t="s">
        <v>1016</v>
      </c>
      <c r="B1" s="237" t="s">
        <v>114</v>
      </c>
      <c r="C1" s="238" t="s">
        <v>1017</v>
      </c>
      <c r="L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preparation, participation and review</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Plan modification and implementation review</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periodic review and revision of the notified municipal/city plan, including corresponding revisions to the Development Control Regulations (DCRs)?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State Town Planning Act.Score 10: The law mandates periodic review and revision of the municipal/city plan, specifies a review/revision timeline and responsible authority, and requires corresponding review and revision of the DCRs, where necessary, following municipal/city plan revision.Score 2.5 for each component and enter the sum if there are multiple components - 1. The law mandates periodic review and revision of the municipal/city plan ((alluding to the revision or creation of a new plan say after ten years) to the municipal/city plans shall not be considered).2. Specifies a review/revision timeline 3. Specifies for responsible authority4. Requires corresponding review and revision of the DCRs following municipal/city plan revision</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1072</v>
      </c>
    </row>
    <row r="11" customFormat="false" ht="28.5" hidden="false" customHeight="true" outlineLevel="0" collapsed="false">
      <c r="H11" s="242" t="s">
        <v>1022</v>
      </c>
      <c r="I11" s="242" t="s">
        <v>1022</v>
      </c>
      <c r="J11" s="242" t="s">
        <v>1022</v>
      </c>
      <c r="K11" s="242" t="s">
        <v>1022</v>
      </c>
      <c r="L11" s="243" t="s">
        <v>1023</v>
      </c>
      <c r="N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"Periodic review &amp; revision mandated ("&amp;TEXT($C$7/4,"0.00")&amp;")"</f>
        <v>Periodic review &amp; revision mandated (2.50)</v>
      </c>
      <c r="I12" s="245" t="str">
        <f aca="false">"Review/revision timeline specified ("&amp;TEXT($C$7/4,"0.00")&amp;")"</f>
        <v>Review/revision timeline specified (2.50)</v>
      </c>
      <c r="J12" s="245" t="str">
        <f aca="false">"Responsible authority specified ("&amp;TEXT($C$7/4,"0.00")&amp;")"</f>
        <v>Responsible authority specified (2.50)</v>
      </c>
      <c r="K12" s="245" t="str">
        <f aca="false">"Corresponding DCR revision required ("&amp;TEXT($C$7/4,"0.00")&amp;")"</f>
        <v>Corresponding DCR revision required (2.50)</v>
      </c>
      <c r="L12" s="243" t="s">
        <v>1031</v>
      </c>
      <c r="M12" s="245" t="s">
        <v>1032</v>
      </c>
      <c r="N12" s="0" t="s">
        <v>1033</v>
      </c>
    </row>
    <row r="13" customFormat="false" ht="14.25" hidden="false" customHeight="false" outlineLevel="0" collapsed="false">
      <c r="A13" s="246" t="s">
        <v>726</v>
      </c>
      <c r="B13" s="247"/>
      <c r="C13" s="247"/>
      <c r="D13" s="247"/>
      <c r="E13" s="247"/>
      <c r="F13" s="247"/>
      <c r="G13" s="247"/>
      <c r="H13" s="248"/>
      <c r="I13" s="248"/>
      <c r="J13" s="248"/>
      <c r="K13" s="248"/>
      <c r="L13" s="249" t="str">
        <f aca="false">IF(COUNTIFS('Scores (start here)'!$A:$A,$B$1,'Scores (start here)'!$B:$B,$A13,'Scores (start here)'!$F:$F,"&gt;=0")&gt;0,SUMIFS('Scores (start here)'!$F:$F,'Scores (start here)'!$A:$A,$B$1,'Scores (start here)'!$B:$B,$A13),N13)</f>
        <v/>
      </c>
      <c r="M13" s="247"/>
      <c r="N13" s="0" t="str">
        <f aca="false">IF(OR(H13="",I13="",J13="",K13=""),"",COUNTIF(H13:K13,"YES")/4*$C$7)</f>
        <v/>
      </c>
    </row>
    <row r="14" customFormat="false" ht="281.3" hidden="false" customHeight="false" outlineLevel="0" collapsed="false">
      <c r="A14" s="246" t="s">
        <v>19</v>
      </c>
      <c r="B14" s="247" t="s">
        <v>25</v>
      </c>
      <c r="C14" s="247" t="s">
        <v>1098</v>
      </c>
      <c r="D14" s="247" t="s">
        <v>1099</v>
      </c>
      <c r="E14" s="247" t="s">
        <v>1100</v>
      </c>
      <c r="F14" s="247" t="s">
        <v>1101</v>
      </c>
      <c r="G14" s="247" t="s">
        <v>26</v>
      </c>
      <c r="H14" s="248"/>
      <c r="I14" s="248" t="s">
        <v>1037</v>
      </c>
      <c r="J14" s="248" t="s">
        <v>1037</v>
      </c>
      <c r="K14" s="248" t="s">
        <v>1037</v>
      </c>
      <c r="L14" s="249" t="str">
        <f aca="false">IF(COUNTIFS('Scores (start here)'!$A:$A,$B$1,'Scores (start here)'!$B:$B,$A14,'Scores (start here)'!$F:$F,"&gt;=0")&gt;0,SUMIFS('Scores (start here)'!$F:$F,'Scores (start here)'!$A:$A,$B$1,'Scores (start here)'!$B:$B,$A14),N14)</f>
        <v/>
      </c>
      <c r="M14" s="250" t="s">
        <v>1102</v>
      </c>
      <c r="N14" s="0" t="str">
        <f aca="false">IF(OR(H14="",I14="",J14="",K14=""),"",COUNTIF(H14:K14,"YES")/4*$C$7)</f>
        <v/>
      </c>
    </row>
    <row r="15" customFormat="false" ht="14.25" hidden="false" customHeight="false" outlineLevel="0" collapsed="false">
      <c r="A15" s="246" t="s">
        <v>727</v>
      </c>
      <c r="B15" s="247"/>
      <c r="C15" s="247"/>
      <c r="D15" s="247"/>
      <c r="E15" s="247"/>
      <c r="F15" s="247"/>
      <c r="G15" s="247"/>
      <c r="H15" s="248"/>
      <c r="I15" s="248"/>
      <c r="J15" s="248"/>
      <c r="K15" s="248"/>
      <c r="L15" s="249" t="str">
        <f aca="false">IF(COUNTIFS('Scores (start here)'!$A:$A,$B$1,'Scores (start here)'!$B:$B,$A15,'Scores (start here)'!$F:$F,"&gt;=0")&gt;0,SUMIFS('Scores (start here)'!$F:$F,'Scores (start here)'!$A:$A,$B$1,'Scores (start here)'!$B:$B,$A15),N15)</f>
        <v/>
      </c>
      <c r="M15" s="247"/>
      <c r="N15" s="0" t="str">
        <f aca="false">IF(OR(H15="",I15="",J15="",K15=""),"",COUNTIF(H15:K15,"YES")/4*$C$7)</f>
        <v/>
      </c>
    </row>
    <row r="16" customFormat="false" ht="14.25" hidden="false" customHeight="false" outlineLevel="0" collapsed="false">
      <c r="A16" s="246" t="s">
        <v>728</v>
      </c>
      <c r="B16" s="247"/>
      <c r="C16" s="247"/>
      <c r="D16" s="247"/>
      <c r="E16" s="247"/>
      <c r="F16" s="247"/>
      <c r="G16" s="247"/>
      <c r="H16" s="248"/>
      <c r="I16" s="248"/>
      <c r="J16" s="248"/>
      <c r="K16" s="248"/>
      <c r="L16" s="249" t="str">
        <f aca="false">IF(COUNTIFS('Scores (start here)'!$A:$A,$B$1,'Scores (start here)'!$B:$B,$A16,'Scores (start here)'!$F:$F,"&gt;=0")&gt;0,SUMIFS('Scores (start here)'!$F:$F,'Scores (start here)'!$A:$A,$B$1,'Scores (start here)'!$B:$B,$A16),N16)</f>
        <v/>
      </c>
      <c r="M16" s="247"/>
      <c r="N16" s="0" t="str">
        <f aca="false">IF(OR(H16="",I16="",J16="",K16=""),"",COUNTIF(H16:K16,"YES")/4*$C$7)</f>
        <v/>
      </c>
    </row>
    <row r="17" customFormat="false" ht="14.25" hidden="false" customHeight="false" outlineLevel="0" collapsed="false">
      <c r="A17" s="246" t="s">
        <v>729</v>
      </c>
      <c r="B17" s="247"/>
      <c r="C17" s="247"/>
      <c r="D17" s="247"/>
      <c r="E17" s="247"/>
      <c r="F17" s="247"/>
      <c r="G17" s="247"/>
      <c r="H17" s="248"/>
      <c r="I17" s="248"/>
      <c r="J17" s="248"/>
      <c r="K17" s="248"/>
      <c r="L17" s="249" t="str">
        <f aca="false">IF(COUNTIFS('Scores (start here)'!$A:$A,$B$1,'Scores (start here)'!$B:$B,$A17,'Scores (start here)'!$F:$F,"&gt;=0")&gt;0,SUMIFS('Scores (start here)'!$F:$F,'Scores (start here)'!$A:$A,$B$1,'Scores (start here)'!$B:$B,$A17),N17)</f>
        <v/>
      </c>
      <c r="M17" s="247"/>
      <c r="N17" s="0" t="str">
        <f aca="false">IF(OR(H17="",I17="",J17="",K17=""),"",COUNTIF(H17:K17,"YES")/4*$C$7)</f>
        <v/>
      </c>
    </row>
    <row r="18" customFormat="false" ht="14.25" hidden="false" customHeight="false" outlineLevel="0" collapsed="false">
      <c r="A18" s="246" t="s">
        <v>730</v>
      </c>
      <c r="B18" s="247"/>
      <c r="C18" s="247"/>
      <c r="D18" s="247"/>
      <c r="E18" s="247"/>
      <c r="F18" s="247"/>
      <c r="G18" s="247"/>
      <c r="H18" s="248"/>
      <c r="I18" s="248"/>
      <c r="J18" s="248"/>
      <c r="K18" s="248"/>
      <c r="L18" s="249" t="str">
        <f aca="false">IF(COUNTIFS('Scores (start here)'!$A:$A,$B$1,'Scores (start here)'!$B:$B,$A18,'Scores (start here)'!$F:$F,"&gt;=0")&gt;0,SUMIFS('Scores (start here)'!$F:$F,'Scores (start here)'!$A:$A,$B$1,'Scores (start here)'!$B:$B,$A18),N18)</f>
        <v/>
      </c>
      <c r="M18" s="247"/>
      <c r="N18" s="0" t="str">
        <f aca="false">IF(OR(H18="",I18="",J18="",K18=""),"",COUNTIF(H18:K18,"YES")/4*$C$7)</f>
        <v/>
      </c>
    </row>
    <row r="19" customFormat="false" ht="14.25" hidden="false" customHeight="false" outlineLevel="0" collapsed="false">
      <c r="A19" s="246" t="s">
        <v>731</v>
      </c>
      <c r="B19" s="247"/>
      <c r="C19" s="247"/>
      <c r="D19" s="247"/>
      <c r="E19" s="247"/>
      <c r="F19" s="247"/>
      <c r="G19" s="247"/>
      <c r="H19" s="248"/>
      <c r="I19" s="248"/>
      <c r="J19" s="248"/>
      <c r="K19" s="248"/>
      <c r="L19" s="249" t="str">
        <f aca="false">IF(COUNTIFS('Scores (start here)'!$A:$A,$B$1,'Scores (start here)'!$B:$B,$A19,'Scores (start here)'!$F:$F,"&gt;=0")&gt;0,SUMIFS('Scores (start here)'!$F:$F,'Scores (start here)'!$A:$A,$B$1,'Scores (start here)'!$B:$B,$A19),N19)</f>
        <v/>
      </c>
      <c r="M19" s="247"/>
      <c r="N19" s="0" t="str">
        <f aca="false">IF(OR(H19="",I19="",J19="",K19=""),"",COUNTIF(H19:K19,"YES")/4*$C$7)</f>
        <v/>
      </c>
    </row>
    <row r="20" customFormat="false" ht="14.25" hidden="false" customHeight="false" outlineLevel="0" collapsed="false">
      <c r="A20" s="246" t="s">
        <v>732</v>
      </c>
      <c r="B20" s="247"/>
      <c r="C20" s="247"/>
      <c r="D20" s="247"/>
      <c r="E20" s="247"/>
      <c r="F20" s="247"/>
      <c r="G20" s="247"/>
      <c r="H20" s="248"/>
      <c r="I20" s="248"/>
      <c r="J20" s="248"/>
      <c r="K20" s="248"/>
      <c r="L20" s="249" t="str">
        <f aca="false">IF(COUNTIFS('Scores (start here)'!$A:$A,$B$1,'Scores (start here)'!$B:$B,$A20,'Scores (start here)'!$F:$F,"&gt;=0")&gt;0,SUMIFS('Scores (start here)'!$F:$F,'Scores (start here)'!$A:$A,$B$1,'Scores (start here)'!$B:$B,$A20),N20)</f>
        <v/>
      </c>
      <c r="M20" s="247"/>
      <c r="N20" s="0" t="str">
        <f aca="false">IF(OR(H20="",I20="",J20="",K20=""),"",COUNTIF(H20:K20,"YES")/4*$C$7)</f>
        <v/>
      </c>
    </row>
    <row r="21" customFormat="false" ht="14.25" hidden="false" customHeight="false" outlineLevel="0" collapsed="false">
      <c r="A21" s="246" t="s">
        <v>733</v>
      </c>
      <c r="B21" s="247"/>
      <c r="C21" s="247"/>
      <c r="D21" s="247"/>
      <c r="E21" s="247"/>
      <c r="F21" s="247"/>
      <c r="G21" s="247"/>
      <c r="H21" s="248"/>
      <c r="I21" s="248"/>
      <c r="J21" s="248"/>
      <c r="K21" s="248"/>
      <c r="L21" s="249" t="str">
        <f aca="false">IF(COUNTIFS('Scores (start here)'!$A:$A,$B$1,'Scores (start here)'!$B:$B,$A21,'Scores (start here)'!$F:$F,"&gt;=0")&gt;0,SUMIFS('Scores (start here)'!$F:$F,'Scores (start here)'!$A:$A,$B$1,'Scores (start here)'!$B:$B,$A21),N21)</f>
        <v/>
      </c>
      <c r="M21" s="247"/>
      <c r="N21" s="0" t="str">
        <f aca="false">IF(OR(H21="",I21="",J21="",K21=""),"",COUNTIF(H21:K21,"YES")/4*$C$7)</f>
        <v/>
      </c>
    </row>
    <row r="22" customFormat="false" ht="14.25" hidden="false" customHeight="false" outlineLevel="0" collapsed="false">
      <c r="A22" s="246" t="s">
        <v>734</v>
      </c>
      <c r="B22" s="247"/>
      <c r="C22" s="247"/>
      <c r="D22" s="247"/>
      <c r="E22" s="247"/>
      <c r="F22" s="247"/>
      <c r="G22" s="247"/>
      <c r="H22" s="248"/>
      <c r="I22" s="248"/>
      <c r="J22" s="248"/>
      <c r="K22" s="248"/>
      <c r="L22" s="249" t="str">
        <f aca="false">IF(COUNTIFS('Scores (start here)'!$A:$A,$B$1,'Scores (start here)'!$B:$B,$A22,'Scores (start here)'!$F:$F,"&gt;=0")&gt;0,SUMIFS('Scores (start here)'!$F:$F,'Scores (start here)'!$A:$A,$B$1,'Scores (start here)'!$B:$B,$A22),N22)</f>
        <v/>
      </c>
      <c r="M22" s="247"/>
      <c r="N22" s="0" t="str">
        <f aca="false">IF(OR(H22="",I22="",J22="",K22=""),"",COUNTIF(H22:K22,"YES")/4*$C$7)</f>
        <v/>
      </c>
    </row>
    <row r="23" customFormat="false" ht="14.25" hidden="false" customHeight="false" outlineLevel="0" collapsed="false">
      <c r="A23" s="246" t="s">
        <v>735</v>
      </c>
      <c r="B23" s="247"/>
      <c r="C23" s="247"/>
      <c r="D23" s="247"/>
      <c r="E23" s="247"/>
      <c r="F23" s="247"/>
      <c r="G23" s="247"/>
      <c r="H23" s="248"/>
      <c r="I23" s="248"/>
      <c r="J23" s="248"/>
      <c r="K23" s="248"/>
      <c r="L23" s="249" t="str">
        <f aca="false">IF(COUNTIFS('Scores (start here)'!$A:$A,$B$1,'Scores (start here)'!$B:$B,$A23,'Scores (start here)'!$F:$F,"&gt;=0")&gt;0,SUMIFS('Scores (start here)'!$F:$F,'Scores (start here)'!$A:$A,$B$1,'Scores (start here)'!$B:$B,$A23),N23)</f>
        <v/>
      </c>
      <c r="M23" s="247"/>
      <c r="N23" s="0" t="str">
        <f aca="false">IF(OR(H23="",I23="",J23="",K23=""),"",COUNTIF(H23:K23,"YES")/4*$C$7)</f>
        <v/>
      </c>
    </row>
    <row r="24" customFormat="false" ht="14.25" hidden="false" customHeight="false" outlineLevel="0" collapsed="false">
      <c r="A24" s="246" t="s">
        <v>736</v>
      </c>
      <c r="B24" s="247"/>
      <c r="C24" s="247"/>
      <c r="D24" s="247"/>
      <c r="E24" s="247"/>
      <c r="F24" s="247"/>
      <c r="G24" s="247"/>
      <c r="H24" s="248"/>
      <c r="I24" s="248"/>
      <c r="J24" s="248"/>
      <c r="K24" s="248"/>
      <c r="L24" s="249" t="str">
        <f aca="false">IF(COUNTIFS('Scores (start here)'!$A:$A,$B$1,'Scores (start here)'!$B:$B,$A24,'Scores (start here)'!$F:$F,"&gt;=0")&gt;0,SUMIFS('Scores (start here)'!$F:$F,'Scores (start here)'!$A:$A,$B$1,'Scores (start here)'!$B:$B,$A24),N24)</f>
        <v/>
      </c>
      <c r="M24" s="247"/>
      <c r="N24" s="0" t="str">
        <f aca="false">IF(OR(H24="",I24="",J24="",K24=""),"",COUNTIF(H24:K24,"YES")/4*$C$7)</f>
        <v/>
      </c>
    </row>
    <row r="25" customFormat="false" ht="14.25" hidden="false" customHeight="false" outlineLevel="0" collapsed="false">
      <c r="A25" s="246" t="s">
        <v>737</v>
      </c>
      <c r="B25" s="247"/>
      <c r="C25" s="247"/>
      <c r="D25" s="247"/>
      <c r="E25" s="247"/>
      <c r="F25" s="247"/>
      <c r="G25" s="247"/>
      <c r="H25" s="248"/>
      <c r="I25" s="248"/>
      <c r="J25" s="248"/>
      <c r="K25" s="248"/>
      <c r="L25" s="249" t="str">
        <f aca="false">IF(COUNTIFS('Scores (start here)'!$A:$A,$B$1,'Scores (start here)'!$B:$B,$A25,'Scores (start here)'!$F:$F,"&gt;=0")&gt;0,SUMIFS('Scores (start here)'!$F:$F,'Scores (start here)'!$A:$A,$B$1,'Scores (start here)'!$B:$B,$A25),N25)</f>
        <v/>
      </c>
      <c r="M25" s="247"/>
      <c r="N25" s="0" t="str">
        <f aca="false">IF(OR(H25="",I25="",J25="",K25=""),"",COUNTIF(H25:K25,"YES")/4*$C$7)</f>
        <v/>
      </c>
    </row>
    <row r="26" customFormat="false" ht="14.25" hidden="false" customHeight="false" outlineLevel="0" collapsed="false">
      <c r="A26" s="246" t="s">
        <v>738</v>
      </c>
      <c r="B26" s="247"/>
      <c r="C26" s="247"/>
      <c r="D26" s="247"/>
      <c r="E26" s="247"/>
      <c r="F26" s="247"/>
      <c r="G26" s="247"/>
      <c r="H26" s="248"/>
      <c r="I26" s="248"/>
      <c r="J26" s="248"/>
      <c r="K26" s="248"/>
      <c r="L26" s="249" t="str">
        <f aca="false">IF(COUNTIFS('Scores (start here)'!$A:$A,$B$1,'Scores (start here)'!$B:$B,$A26,'Scores (start here)'!$F:$F,"&gt;=0")&gt;0,SUMIFS('Scores (start here)'!$F:$F,'Scores (start here)'!$A:$A,$B$1,'Scores (start here)'!$B:$B,$A26),N26)</f>
        <v/>
      </c>
      <c r="M26" s="247"/>
      <c r="N26" s="0" t="str">
        <f aca="false">IF(OR(H26="",I26="",J26="",K26=""),"",COUNTIF(H26:K26,"YES")/4*$C$7)</f>
        <v/>
      </c>
    </row>
    <row r="27" customFormat="false" ht="14.25" hidden="false" customHeight="false" outlineLevel="0" collapsed="false">
      <c r="A27" s="246" t="s">
        <v>739</v>
      </c>
      <c r="B27" s="247"/>
      <c r="C27" s="247"/>
      <c r="D27" s="247"/>
      <c r="E27" s="247"/>
      <c r="F27" s="247"/>
      <c r="G27" s="247"/>
      <c r="H27" s="248"/>
      <c r="I27" s="248"/>
      <c r="J27" s="248"/>
      <c r="K27" s="248"/>
      <c r="L27" s="249" t="str">
        <f aca="false">IF(COUNTIFS('Scores (start here)'!$A:$A,$B$1,'Scores (start here)'!$B:$B,$A27,'Scores (start here)'!$F:$F,"&gt;=0")&gt;0,SUMIFS('Scores (start here)'!$F:$F,'Scores (start here)'!$A:$A,$B$1,'Scores (start here)'!$B:$B,$A27),N27)</f>
        <v/>
      </c>
      <c r="M27" s="247"/>
      <c r="N27" s="0" t="str">
        <f aca="false">IF(OR(H27="",I27="",J27="",K27=""),"",COUNTIF(H27:K27,"YES")/4*$C$7)</f>
        <v/>
      </c>
    </row>
    <row r="28" customFormat="false" ht="14.25" hidden="false" customHeight="false" outlineLevel="0" collapsed="false">
      <c r="A28" s="246" t="s">
        <v>740</v>
      </c>
      <c r="B28" s="247"/>
      <c r="C28" s="247"/>
      <c r="D28" s="247"/>
      <c r="E28" s="247"/>
      <c r="F28" s="247"/>
      <c r="G28" s="247"/>
      <c r="H28" s="248"/>
      <c r="I28" s="248"/>
      <c r="J28" s="248"/>
      <c r="K28" s="248"/>
      <c r="L28" s="249" t="str">
        <f aca="false">IF(COUNTIFS('Scores (start here)'!$A:$A,$B$1,'Scores (start here)'!$B:$B,$A28,'Scores (start here)'!$F:$F,"&gt;=0")&gt;0,SUMIFS('Scores (start here)'!$F:$F,'Scores (start here)'!$A:$A,$B$1,'Scores (start here)'!$B:$B,$A28),N28)</f>
        <v/>
      </c>
      <c r="M28" s="247"/>
      <c r="N28" s="0" t="str">
        <f aca="false">IF(OR(H28="",I28="",J28="",K28=""),"",COUNTIF(H28:K28,"YES")/4*$C$7)</f>
        <v/>
      </c>
    </row>
    <row r="29" customFormat="false" ht="14.25" hidden="false" customHeight="false" outlineLevel="0" collapsed="false">
      <c r="A29" s="246" t="s">
        <v>741</v>
      </c>
      <c r="B29" s="247"/>
      <c r="C29" s="247"/>
      <c r="D29" s="247"/>
      <c r="E29" s="247"/>
      <c r="F29" s="247"/>
      <c r="G29" s="247"/>
      <c r="H29" s="248"/>
      <c r="I29" s="248"/>
      <c r="J29" s="248"/>
      <c r="K29" s="248"/>
      <c r="L29" s="249" t="str">
        <f aca="false">IF(COUNTIFS('Scores (start here)'!$A:$A,$B$1,'Scores (start here)'!$B:$B,$A29,'Scores (start here)'!$F:$F,"&gt;=0")&gt;0,SUMIFS('Scores (start here)'!$F:$F,'Scores (start here)'!$A:$A,$B$1,'Scores (start here)'!$B:$B,$A29),N29)</f>
        <v/>
      </c>
      <c r="M29" s="247"/>
      <c r="N29" s="0" t="str">
        <f aca="false">IF(OR(H29="",I29="",J29="",K29=""),"",COUNTIF(H29:K29,"YES")/4*$C$7)</f>
        <v/>
      </c>
    </row>
    <row r="30" customFormat="false" ht="14.25" hidden="false" customHeight="false" outlineLevel="0" collapsed="false">
      <c r="A30" s="246" t="s">
        <v>742</v>
      </c>
      <c r="B30" s="247"/>
      <c r="C30" s="247"/>
      <c r="D30" s="247"/>
      <c r="E30" s="247"/>
      <c r="F30" s="247"/>
      <c r="G30" s="247"/>
      <c r="H30" s="248"/>
      <c r="I30" s="248"/>
      <c r="J30" s="248"/>
      <c r="K30" s="248"/>
      <c r="L30" s="249" t="str">
        <f aca="false">IF(COUNTIFS('Scores (start here)'!$A:$A,$B$1,'Scores (start here)'!$B:$B,$A30,'Scores (start here)'!$F:$F,"&gt;=0")&gt;0,SUMIFS('Scores (start here)'!$F:$F,'Scores (start here)'!$A:$A,$B$1,'Scores (start here)'!$B:$B,$A30),N30)</f>
        <v/>
      </c>
      <c r="M30" s="247"/>
      <c r="N30" s="0" t="str">
        <f aca="false">IF(OR(H30="",I30="",J30="",K30=""),"",COUNTIF(H30:K30,"YES")/4*$C$7)</f>
        <v/>
      </c>
    </row>
    <row r="31" customFormat="false" ht="14.25" hidden="false" customHeight="false" outlineLevel="0" collapsed="false">
      <c r="A31" s="246" t="s">
        <v>743</v>
      </c>
      <c r="B31" s="247"/>
      <c r="C31" s="247"/>
      <c r="D31" s="247"/>
      <c r="E31" s="247"/>
      <c r="F31" s="247"/>
      <c r="G31" s="247"/>
      <c r="H31" s="248"/>
      <c r="I31" s="248"/>
      <c r="J31" s="248"/>
      <c r="K31" s="248"/>
      <c r="L31" s="249" t="str">
        <f aca="false">IF(COUNTIFS('Scores (start here)'!$A:$A,$B$1,'Scores (start here)'!$B:$B,$A31,'Scores (start here)'!$F:$F,"&gt;=0")&gt;0,SUMIFS('Scores (start here)'!$F:$F,'Scores (start here)'!$A:$A,$B$1,'Scores (start here)'!$B:$B,$A31),N31)</f>
        <v/>
      </c>
      <c r="M31" s="247"/>
      <c r="N31" s="0" t="str">
        <f aca="false">IF(OR(H31="",I31="",J31="",K31=""),"",COUNTIF(H31:K31,"YES")/4*$C$7)</f>
        <v/>
      </c>
    </row>
    <row r="32" customFormat="false" ht="14.25" hidden="false" customHeight="false" outlineLevel="0" collapsed="false">
      <c r="A32" s="246" t="s">
        <v>744</v>
      </c>
      <c r="B32" s="247"/>
      <c r="C32" s="247"/>
      <c r="D32" s="247"/>
      <c r="E32" s="247"/>
      <c r="F32" s="247"/>
      <c r="G32" s="247"/>
      <c r="H32" s="248"/>
      <c r="I32" s="248"/>
      <c r="J32" s="248"/>
      <c r="K32" s="248"/>
      <c r="L32" s="249" t="str">
        <f aca="false">IF(COUNTIFS('Scores (start here)'!$A:$A,$B$1,'Scores (start here)'!$B:$B,$A32,'Scores (start here)'!$F:$F,"&gt;=0")&gt;0,SUMIFS('Scores (start here)'!$F:$F,'Scores (start here)'!$A:$A,$B$1,'Scores (start here)'!$B:$B,$A32),N32)</f>
        <v/>
      </c>
      <c r="M32" s="247"/>
      <c r="N32" s="0" t="str">
        <f aca="false">IF(OR(H32="",I32="",J32="",K32=""),"",COUNTIF(H32:K32,"YES")/4*$C$7)</f>
        <v/>
      </c>
    </row>
    <row r="33" customFormat="false" ht="14.25" hidden="false" customHeight="false" outlineLevel="0" collapsed="false">
      <c r="A33" s="246" t="s">
        <v>745</v>
      </c>
      <c r="B33" s="247"/>
      <c r="C33" s="247"/>
      <c r="D33" s="247"/>
      <c r="E33" s="247"/>
      <c r="F33" s="247"/>
      <c r="G33" s="247"/>
      <c r="H33" s="248"/>
      <c r="I33" s="248"/>
      <c r="J33" s="248"/>
      <c r="K33" s="248"/>
      <c r="L33" s="249" t="str">
        <f aca="false">IF(COUNTIFS('Scores (start here)'!$A:$A,$B$1,'Scores (start here)'!$B:$B,$A33,'Scores (start here)'!$F:$F,"&gt;=0")&gt;0,SUMIFS('Scores (start here)'!$F:$F,'Scores (start here)'!$A:$A,$B$1,'Scores (start here)'!$B:$B,$A33),N33)</f>
        <v/>
      </c>
      <c r="M33" s="247"/>
      <c r="N33" s="0" t="str">
        <f aca="false">IF(OR(H33="",I33="",J33="",K33=""),"",COUNTIF(H33:K33,"YES")/4*$C$7)</f>
        <v/>
      </c>
    </row>
    <row r="34" customFormat="false" ht="14.25" hidden="false" customHeight="false" outlineLevel="0" collapsed="false">
      <c r="A34" s="246" t="s">
        <v>746</v>
      </c>
      <c r="B34" s="247"/>
      <c r="C34" s="247"/>
      <c r="D34" s="247"/>
      <c r="E34" s="247"/>
      <c r="F34" s="247"/>
      <c r="G34" s="247"/>
      <c r="H34" s="248"/>
      <c r="I34" s="248"/>
      <c r="J34" s="248"/>
      <c r="K34" s="248"/>
      <c r="L34" s="249" t="str">
        <f aca="false">IF(COUNTIFS('Scores (start here)'!$A:$A,$B$1,'Scores (start here)'!$B:$B,$A34,'Scores (start here)'!$F:$F,"&gt;=0")&gt;0,SUMIFS('Scores (start here)'!$F:$F,'Scores (start here)'!$A:$A,$B$1,'Scores (start here)'!$B:$B,$A34),N34)</f>
        <v/>
      </c>
      <c r="M34" s="247"/>
      <c r="N34" s="0" t="str">
        <f aca="false">IF(OR(H34="",I34="",J34="",K34=""),"",COUNTIF(H34:K34,"YES")/4*$C$7)</f>
        <v/>
      </c>
    </row>
    <row r="35" customFormat="false" ht="14.25" hidden="false" customHeight="false" outlineLevel="0" collapsed="false">
      <c r="A35" s="246" t="s">
        <v>747</v>
      </c>
      <c r="B35" s="247"/>
      <c r="C35" s="247"/>
      <c r="D35" s="247"/>
      <c r="E35" s="247"/>
      <c r="F35" s="247"/>
      <c r="G35" s="247"/>
      <c r="H35" s="248"/>
      <c r="I35" s="248"/>
      <c r="J35" s="248"/>
      <c r="K35" s="248"/>
      <c r="L35" s="249" t="str">
        <f aca="false">IF(COUNTIFS('Scores (start here)'!$A:$A,$B$1,'Scores (start here)'!$B:$B,$A35,'Scores (start here)'!$F:$F,"&gt;=0")&gt;0,SUMIFS('Scores (start here)'!$F:$F,'Scores (start here)'!$A:$A,$B$1,'Scores (start here)'!$B:$B,$A35),N35)</f>
        <v/>
      </c>
      <c r="M35" s="247"/>
      <c r="N35" s="0" t="str">
        <f aca="false">IF(OR(H35="",I35="",J35="",K35=""),"",COUNTIF(H35:K35,"YES")/4*$C$7)</f>
        <v/>
      </c>
    </row>
    <row r="36" customFormat="false" ht="14.25" hidden="false" customHeight="false" outlineLevel="0" collapsed="false">
      <c r="A36" s="246" t="s">
        <v>748</v>
      </c>
      <c r="B36" s="247"/>
      <c r="C36" s="247"/>
      <c r="D36" s="247"/>
      <c r="E36" s="247"/>
      <c r="F36" s="247"/>
      <c r="G36" s="247"/>
      <c r="H36" s="248"/>
      <c r="I36" s="248"/>
      <c r="J36" s="248"/>
      <c r="K36" s="248"/>
      <c r="L36" s="249" t="str">
        <f aca="false">IF(COUNTIFS('Scores (start here)'!$A:$A,$B$1,'Scores (start here)'!$B:$B,$A36,'Scores (start here)'!$F:$F,"&gt;=0")&gt;0,SUMIFS('Scores (start here)'!$F:$F,'Scores (start here)'!$A:$A,$B$1,'Scores (start here)'!$B:$B,$A36),N36)</f>
        <v/>
      </c>
      <c r="M36" s="247"/>
      <c r="N36" s="0" t="str">
        <f aca="false">IF(OR(H36="",I36="",J36="",K36=""),"",COUNTIF(H36:K36,"YES")/4*$C$7)</f>
        <v/>
      </c>
    </row>
    <row r="37" customFormat="false" ht="14.25" hidden="false" customHeight="false" outlineLevel="0" collapsed="false">
      <c r="A37" s="246" t="s">
        <v>749</v>
      </c>
      <c r="B37" s="247"/>
      <c r="C37" s="247"/>
      <c r="D37" s="247"/>
      <c r="E37" s="247"/>
      <c r="F37" s="247"/>
      <c r="G37" s="247"/>
      <c r="H37" s="248"/>
      <c r="I37" s="248"/>
      <c r="J37" s="248"/>
      <c r="K37" s="248"/>
      <c r="L37" s="249" t="str">
        <f aca="false">IF(COUNTIFS('Scores (start here)'!$A:$A,$B$1,'Scores (start here)'!$B:$B,$A37,'Scores (start here)'!$F:$F,"&gt;=0")&gt;0,SUMIFS('Scores (start here)'!$F:$F,'Scores (start here)'!$A:$A,$B$1,'Scores (start here)'!$B:$B,$A37),N37)</f>
        <v/>
      </c>
      <c r="M37" s="247"/>
      <c r="N37" s="0" t="str">
        <f aca="false">IF(OR(H37="",I37="",J37="",K37=""),"",COUNTIF(H37:K37,"YES")/4*$C$7)</f>
        <v/>
      </c>
    </row>
    <row r="38" customFormat="false" ht="14.25" hidden="false" customHeight="false" outlineLevel="0" collapsed="false">
      <c r="A38" s="246" t="s">
        <v>750</v>
      </c>
      <c r="B38" s="247"/>
      <c r="C38" s="247"/>
      <c r="D38" s="247"/>
      <c r="E38" s="247"/>
      <c r="F38" s="247"/>
      <c r="G38" s="247"/>
      <c r="H38" s="248"/>
      <c r="I38" s="248"/>
      <c r="J38" s="248"/>
      <c r="K38" s="248"/>
      <c r="L38" s="249" t="str">
        <f aca="false">IF(COUNTIFS('Scores (start here)'!$A:$A,$B$1,'Scores (start here)'!$B:$B,$A38,'Scores (start here)'!$F:$F,"&gt;=0")&gt;0,SUMIFS('Scores (start here)'!$F:$F,'Scores (start here)'!$A:$A,$B$1,'Scores (start here)'!$B:$B,$A38),N38)</f>
        <v/>
      </c>
      <c r="M38" s="247"/>
      <c r="N38" s="0" t="str">
        <f aca="false">IF(OR(H38="",I38="",J38="",K38=""),"",COUNTIF(H38:K38,"YES")/4*$C$7)</f>
        <v/>
      </c>
    </row>
    <row r="39" customFormat="false" ht="14.25" hidden="false" customHeight="false" outlineLevel="0" collapsed="false">
      <c r="A39" s="246" t="s">
        <v>751</v>
      </c>
      <c r="B39" s="247"/>
      <c r="C39" s="247"/>
      <c r="D39" s="247"/>
      <c r="E39" s="247"/>
      <c r="F39" s="247"/>
      <c r="G39" s="247"/>
      <c r="H39" s="248"/>
      <c r="I39" s="248"/>
      <c r="J39" s="248"/>
      <c r="K39" s="248"/>
      <c r="L39" s="249" t="str">
        <f aca="false">IF(COUNTIFS('Scores (start here)'!$A:$A,$B$1,'Scores (start here)'!$B:$B,$A39,'Scores (start here)'!$F:$F,"&gt;=0")&gt;0,SUMIFS('Scores (start here)'!$F:$F,'Scores (start here)'!$A:$A,$B$1,'Scores (start here)'!$B:$B,$A39),N39)</f>
        <v/>
      </c>
      <c r="M39" s="247"/>
      <c r="N39" s="0" t="str">
        <f aca="false">IF(OR(H39="",I39="",J39="",K39=""),"",COUNTIF(H39:K39,"YES")/4*$C$7)</f>
        <v/>
      </c>
    </row>
    <row r="40" customFormat="false" ht="14.25" hidden="false" customHeight="false" outlineLevel="0" collapsed="false">
      <c r="A40" s="246" t="s">
        <v>752</v>
      </c>
      <c r="B40" s="247"/>
      <c r="C40" s="247"/>
      <c r="D40" s="247"/>
      <c r="E40" s="247"/>
      <c r="F40" s="247"/>
      <c r="G40" s="247"/>
      <c r="H40" s="248"/>
      <c r="I40" s="248"/>
      <c r="J40" s="248"/>
      <c r="K40" s="248"/>
      <c r="L40" s="249" t="str">
        <f aca="false">IF(COUNTIFS('Scores (start here)'!$A:$A,$B$1,'Scores (start here)'!$B:$B,$A40,'Scores (start here)'!$F:$F,"&gt;=0")&gt;0,SUMIFS('Scores (start here)'!$F:$F,'Scores (start here)'!$A:$A,$B$1,'Scores (start here)'!$B:$B,$A40),N40)</f>
        <v/>
      </c>
      <c r="M40" s="247"/>
      <c r="N40" s="0" t="str">
        <f aca="false">IF(OR(H40="",I40="",J40="",K40=""),"",COUNTIF(H40:K40,"YES")/4*$C$7)</f>
        <v/>
      </c>
    </row>
    <row r="41" customFormat="false" ht="14.25" hidden="false" customHeight="false" outlineLevel="0" collapsed="false">
      <c r="A41" s="246" t="s">
        <v>753</v>
      </c>
      <c r="B41" s="247"/>
      <c r="C41" s="247"/>
      <c r="D41" s="247"/>
      <c r="E41" s="247"/>
      <c r="F41" s="247"/>
      <c r="G41" s="247"/>
      <c r="H41" s="248"/>
      <c r="I41" s="248"/>
      <c r="J41" s="248"/>
      <c r="K41" s="248"/>
      <c r="L41" s="249" t="str">
        <f aca="false">IF(COUNTIFS('Scores (start here)'!$A:$A,$B$1,'Scores (start here)'!$B:$B,$A41,'Scores (start here)'!$F:$F,"&gt;=0")&gt;0,SUMIFS('Scores (start here)'!$F:$F,'Scores (start here)'!$A:$A,$B$1,'Scores (start here)'!$B:$B,$A41),N41)</f>
        <v/>
      </c>
      <c r="M41" s="247"/>
      <c r="N41" s="0" t="str">
        <f aca="false">IF(OR(H41="",I41="",J41="",K41=""),"",COUNTIF(H41:K41,"YES")/4*$C$7)</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120</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a) Water Supply/ Sewerage, Sanitation and Solid Waste Management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1.Water Supply/sewerage plan or mandate to have a water supply component as part of the municipal/city plan. Score: 0.55                                                                                                             2. City sanitation plan or mandate to have a sanitation component as part of the municipal/city municipal/city plan. Score: 0.55                                                                                                                                                                                                                                                            3.Solid Waste Management Plan or mandate to have a solid waste management as part of the municipal/city municipal/city plan Score: 0.55Provisions that make such a plan optional with 'may' provision shall not be considered.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"Water supply / sewerage ("&amp;TEXT($C$7/3,"0.00")&amp;")"</f>
        <v>Water supply / sewerage (0.56)</v>
      </c>
      <c r="I12" s="245" t="str">
        <f aca="false">"City sanitation ("&amp;TEXT($C$7/3,"0.00")&amp;")"</f>
        <v>City sanitation (0.56)</v>
      </c>
      <c r="J12" s="245" t="str">
        <f aca="false">"Solid waste management ("&amp;TEXT($C$7/3,"0.00")&amp;")"</f>
        <v>Solid waste management (0.56)</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14.25" hidden="false" customHeight="false" outlineLevel="0" collapsed="false">
      <c r="A14" s="246" t="s">
        <v>19</v>
      </c>
      <c r="B14" s="247" t="s">
        <v>41</v>
      </c>
      <c r="C14" s="247" t="s">
        <v>1103</v>
      </c>
      <c r="D14" s="247" t="s">
        <v>1104</v>
      </c>
      <c r="E14" s="247" t="s">
        <v>1105</v>
      </c>
      <c r="F14" s="247" t="s">
        <v>1106</v>
      </c>
      <c r="G14" s="247" t="s">
        <v>42</v>
      </c>
      <c r="H14" s="248"/>
      <c r="I14" s="248"/>
      <c r="J14" s="248" t="s">
        <v>1037</v>
      </c>
      <c r="K14" s="249" t="str">
        <f aca="false">IF(COUNTIFS('Scores (start here)'!$A:$A,$B$1,'Scores (start here)'!$B:$B,$A14,'Scores (start here)'!$F:$F,"&gt;=0")&gt;0,SUMIFS('Scores (start here)'!$F:$F,'Scores (start here)'!$A:$A,$B$1,'Scores (start here)'!$B:$B,$A14),M14)</f>
        <v/>
      </c>
      <c r="L14" s="247" t="s">
        <v>1107</v>
      </c>
      <c r="M14" s="0" t="str">
        <f aca="false">IF(OR(H14="",I14="",J14=""),"",COUNTIF(H14:J14,"YES")/3*$C$7)</f>
        <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23"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127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b) Disaster Resilience</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disaster management/resilience plan or mandate to have a disaster management/resilience component as a part of the municipal/city plan. Provisions that make such a plan optional with 'may' provision shall not be considered.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7" hidden="false" customHeight="false" outlineLevel="0" collapsed="false">
      <c r="A14" s="246" t="s">
        <v>19</v>
      </c>
      <c r="B14" s="247" t="s">
        <v>41</v>
      </c>
      <c r="C14" s="247" t="s">
        <v>1108</v>
      </c>
      <c r="D14" s="247" t="s">
        <v>1109</v>
      </c>
      <c r="E14" s="247" t="s">
        <v>1110</v>
      </c>
      <c r="F14" s="247" t="s">
        <v>1111</v>
      </c>
      <c r="G14" s="247" t="s">
        <v>42</v>
      </c>
      <c r="H14" s="248" t="s">
        <v>1037</v>
      </c>
      <c r="I14" s="249" t="n">
        <f aca="false">IF(COUNTIFS('Scores (start here)'!$A:$A,$B$1,'Scores (start here)'!$B:$B,$A14,'Scores (start here)'!$F:$F,"&gt;=0")&gt;0,SUMIFS('Scores (start here)'!$F:$F,'Scores (start here)'!$A:$A,$B$1,'Scores (start here)'!$B:$B,$A14),K14)</f>
        <v>1.67</v>
      </c>
      <c r="J14" s="250" t="s">
        <v>1112</v>
      </c>
      <c r="K14" s="251" t="n">
        <f aca="false">IF(H14="YES",$C$7,IF(H14="NO",0,""))</f>
        <v>1.67</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132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c) Comprehensive mobility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comprehensive mobility plan or mandate to have a mobility component as part of the municipal/city plan. Provisions that make such a plan optional with 'may' provision shall not be considered.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23.85" hidden="false" customHeight="false" outlineLevel="0" collapsed="false">
      <c r="A14" s="246" t="s">
        <v>19</v>
      </c>
      <c r="B14" s="247" t="s">
        <v>41</v>
      </c>
      <c r="C14" s="247" t="s">
        <v>1113</v>
      </c>
      <c r="D14" s="247" t="s">
        <v>1114</v>
      </c>
      <c r="E14" s="247" t="s">
        <v>1115</v>
      </c>
      <c r="F14" s="247" t="s">
        <v>481</v>
      </c>
      <c r="G14" s="247" t="s">
        <v>42</v>
      </c>
      <c r="H14" s="248" t="s">
        <v>1037</v>
      </c>
      <c r="I14" s="249" t="n">
        <f aca="false">IF(COUNTIFS('Scores (start here)'!$A:$A,$B$1,'Scores (start here)'!$B:$B,$A14,'Scores (start here)'!$F:$F,"&gt;=0")&gt;0,SUMIFS('Scores (start here)'!$F:$F,'Scores (start here)'!$A:$A,$B$1,'Scores (start here)'!$B:$B,$A14),K14)</f>
        <v>1.67</v>
      </c>
      <c r="J14" s="250" t="s">
        <v>1116</v>
      </c>
      <c r="K14" s="251" t="n">
        <f aca="false">IF(H14="YES",$C$7,IF(H14="NO",0,""))</f>
        <v>1.67</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137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d) Sustainability/Climate/Environmental conservation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sustainability plan or mandate to have a sustainability/climate/environmental conservation component as part of the municipal/city plan. Provisions that make such a plan optional with 'may' provision shall not be considered.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80.55" hidden="false" customHeight="false" outlineLevel="0" collapsed="false">
      <c r="A14" s="246" t="s">
        <v>19</v>
      </c>
      <c r="B14" s="247" t="s">
        <v>41</v>
      </c>
      <c r="C14" s="247" t="s">
        <v>1076</v>
      </c>
      <c r="D14" s="247" t="s">
        <v>1117</v>
      </c>
      <c r="E14" s="247" t="s">
        <v>1118</v>
      </c>
      <c r="F14" s="247" t="s">
        <v>484</v>
      </c>
      <c r="G14" s="247" t="s">
        <v>42</v>
      </c>
      <c r="H14" s="248" t="s">
        <v>1037</v>
      </c>
      <c r="I14" s="249" t="n">
        <f aca="false">IF(COUNTIFS('Scores (start here)'!$A:$A,$B$1,'Scores (start here)'!$B:$B,$A14,'Scores (start here)'!$F:$F,"&gt;=0")&gt;0,SUMIFS('Scores (start here)'!$F:$F,'Scores (start here)'!$A:$A,$B$1,'Scores (start here)'!$B:$B,$A14),K14)</f>
        <v>1.67</v>
      </c>
      <c r="J14" s="250" t="s">
        <v>1119</v>
      </c>
      <c r="K14" s="251" t="n">
        <f aca="false">IF(H14="YES",$C$7,IF(H14="NO",0,""))</f>
        <v>1.67</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142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e) Heritage conservation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heritage conservation plan or mandate to have a heritage conservation component as part of the municipal/city plan. Provisions that make such a plan optional with 'may' provision shall not be considered.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35.8" hidden="false" customHeight="false" outlineLevel="0" collapsed="false">
      <c r="A14" s="246" t="s">
        <v>19</v>
      </c>
      <c r="B14" s="247" t="s">
        <v>25</v>
      </c>
      <c r="C14" s="247" t="s">
        <v>1120</v>
      </c>
      <c r="D14" s="247" t="s">
        <v>1121</v>
      </c>
      <c r="E14" s="247" t="s">
        <v>1122</v>
      </c>
      <c r="F14" s="247" t="s">
        <v>665</v>
      </c>
      <c r="G14" s="247" t="s">
        <v>26</v>
      </c>
      <c r="H14" s="248" t="s">
        <v>1037</v>
      </c>
      <c r="I14" s="249" t="n">
        <f aca="false">IF(COUNTIFS('Scores (start here)'!$A:$A,$B$1,'Scores (start here)'!$B:$B,$A14,'Scores (start here)'!$F:$F,"&gt;=0")&gt;0,SUMIFS('Scores (start here)'!$F:$F,'Scores (start here)'!$A:$A,$B$1,'Scores (start here)'!$B:$B,$A14),K14)</f>
        <v>1.67</v>
      </c>
      <c r="J14" s="250" t="s">
        <v>1123</v>
      </c>
      <c r="K14" s="251" t="n">
        <f aca="false">IF(H14="YES",$C$7,IF(H14="NO",0,""))</f>
        <v>1.67</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147</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Planning  &gt;:&lt; Planning </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objectives and contents &gt;:&lt; Municipal/City Plan objectives and contents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Statutory requirements for plan content &gt;:&lt; Statutory requirements for plan content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T&amp;CP Act mandate the planning for:   &gt;:&lt; f) Social Development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1.67</v>
      </c>
      <c r="C7" s="240" t="n">
        <f aca="false">VLOOKUP($B$1,'UPD Questions_290926 '!$E$1:$N$300,MATCH($A$7,'UPD Questions_290926 '!$E$1:$N$1,0),0)</f>
        <v>1.67</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NA- question already covered in ASICS 2017 &gt;:&lt; Law/Policy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T&amp;CP and other relevant acts as prescribed below: &gt;:&lt; Check the T&amp;CP/Urban Development Authority (UDA)/allied acts for provisions that mandate the planning authority to prepare a social development plan or mandate to have a social development component as part of the municipal/city plan. Provisions that make such a plan optional with 'may' provision shall not be considered. Check if the social development plan includes components on planning for health, education and affordable housing. Score each component in the following manner:1.Public health. Score: 0.55                                                                                                             2. Education. Score: 0.55                                                                                                                                                                                                                                                            3. Affordable housing Score: 0.55</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"Public health ("&amp;TEXT($C$7/3,"0.00")&amp;")"</f>
        <v>Public health (0.56)</v>
      </c>
      <c r="I12" s="245" t="str">
        <f aca="false">"Education ("&amp;TEXT($C$7/3,"0.00")&amp;")"</f>
        <v>Education (0.56)</v>
      </c>
      <c r="J12" s="245" t="str">
        <f aca="false">"Affordable housing ("&amp;TEXT($C$7/3,"0.00")&amp;")"</f>
        <v>Affordable housing (0.56)</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404.45" hidden="false" customHeight="false" outlineLevel="0" collapsed="false">
      <c r="A14" s="246" t="s">
        <v>19</v>
      </c>
      <c r="B14" s="247" t="s">
        <v>25</v>
      </c>
      <c r="C14" s="247" t="s">
        <v>1124</v>
      </c>
      <c r="D14" s="247" t="s">
        <v>1125</v>
      </c>
      <c r="E14" s="247" t="s">
        <v>1126</v>
      </c>
      <c r="F14" s="247" t="s">
        <v>649</v>
      </c>
      <c r="G14" s="247" t="s">
        <v>26</v>
      </c>
      <c r="H14" s="248"/>
      <c r="I14" s="248"/>
      <c r="J14" s="248"/>
      <c r="K14" s="249" t="str">
        <f aca="false">IF(COUNTIFS('Scores (start here)'!$A:$A,$B$1,'Scores (start here)'!$B:$B,$A14,'Scores (start here)'!$F:$F,"&gt;=0")&gt;0,SUMIFS('Scores (start here)'!$F:$F,'Scores (start here)'!$A:$A,$B$1,'Scores (start here)'!$B:$B,$A14),M14)</f>
        <v/>
      </c>
      <c r="L14" s="250" t="s">
        <v>1127</v>
      </c>
      <c r="M14" s="0" t="str">
        <f aca="false">IF(OR(H14="",I14="",J14=""),"",COUNTIF(H14:J14,"YES")/3*$C$7)</f>
        <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153</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Metropolitan/Regional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words metropolitan/regional plan or any word that can be safely assumed to be a synonym for a metropolitan region. Check the website of the metro region development authority or urban development authority or ULB website. Score 3.33 if any of these apply, else, 0.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1128</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156</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Municipal/City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municipal/development/city plan or municipal/city plan. Check the website of the urban development authority or ULG website or T&amp;CP Dept. Score 3.33 if any of these apply, else, 0.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ensure an existence of a notified document of the plan. Maps alone will not make the cut</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1129</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159</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Existence of Municipal/City Plans at each level &gt;:&lt; Existence of Municipal/City Plans at each level</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 spatial plans at the Metropolitan/Regional, Municipal and Ward(s) /Local level notified? &gt;:&lt; Is there a Ward(s) /Local area/ neighbourhood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The existence of such a document or map should be notified in respective state gazettes &gt;:&lt;  Document should mention the word ward development plan/zonal plan/local area plan. This can exist as a standalone document or spatial plans or map.  Score 3.33 if any of these apply, else, 0.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1130</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162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Validity of Municipal/City Plans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municipal/city plan that is currently in force and within its prescribed validity period?</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Review the applicable municipal/ city plan to identify the valid period, and the gazette notification date of the current and immediately preceding municipal/city plan Score 10 — notified within the statutory periodScore 0 — municipal/city plans that have lapsed and have not been replaced by a new municipal/city plan should be  treated as ‘no municipal/city plans/inactive municipal/city plans.The scorer to capture in the scoring sheet the amount of time (in months) that has been passed since the end of the validity period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245" t="s">
        <v>1131</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here)'!$B:$B,$A14),L14)</f>
        <v/>
      </c>
      <c r="J14" s="247" t="s">
        <v>1132</v>
      </c>
      <c r="K14" s="247"/>
      <c r="L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165</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Metropolitan/Regional plan in a concurrent or nested timeline of validity with municipal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metropolitan/regional and municipal/city-level plans overlap and align, so that the municipal/city plan does not extend beyond the metropolitan/regional plan's validity. For example, if the metropolitan/regional plan is valid from 2001–2021, the municipal/city plan should not extend beyond 2021.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1133</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168</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Alignment across planning levels &gt;:&lt; Alignment across planning levels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 Are the spatial plans at the Metropolitan/Regional, Municipal and Ward(s) /Local level in a concurrent or nested timeline of validity? &gt;:&lt; Is the Municipal municipal/city plan in a concurrent or nested timeline of validity with Ward municipal/city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validity periods of the metropolitan/regional, municipal/city, and ward/zonal/local area/neighbourhood-level spatial plans align, ensuring that lower-level plans do not extend beyond the metropolitan/regional plan's validity. &gt;:&lt; Check whether the validity periods of the municipal/city municipal/city plan and ward/local-level plans overlap and are aligned, such that the validity of the ward/local-level plan does not extend beyond that of the municipal/city municipal/city plan. For example: if the municipal/city plan is valid from 2021–2041, the applicable ward/zonal/local-level plan should fall within and not extend beyond 2041.</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1134</v>
      </c>
    </row>
    <row r="11" customFormat="false" ht="28.5" hidden="false" customHeight="true" outlineLevel="0" collapsed="false">
      <c r="H11" s="242" t="s">
        <v>1082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IF(H13="NA","NA",IF(H13="YES",$C$7,IF(H13="NO",0,"")))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1135</v>
      </c>
      <c r="K14" s="0" t="str">
        <f aca="false">IF(H14="NA","NA",IF(H14="YES",$C$7,IF(H14="NO",0,"")))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IF(H15="NA","NA",IF(H15="YES",$C$7,IF(H15="NO",0,"")))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IF(H16="NA","NA",IF(H16="YES",$C$7,IF(H16="NO",0,"")))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IF(H17="NA","NA",IF(H17="YES",$C$7,IF(H17="NO",0,"")))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IF(H18="NA","NA",IF(H18="YES",$C$7,IF(H18="NO",0,"")))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IF(H19="NA","NA",IF(H19="YES",$C$7,IF(H19="NO",0,"")))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IF(H20="NA","NA",IF(H20="YES",$C$7,IF(H20="NO",0,"")))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IF(H21="NA","NA",IF(H21="YES",$C$7,IF(H21="NO",0,"")))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IF(H22="NA","NA",IF(H22="YES",$C$7,IF(H22="NO",0,"")))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IF(H23="NA","NA",IF(H23="YES",$C$7,IF(H23="NO",0,"")))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IF(H24="NA","NA",IF(H24="YES",$C$7,IF(H24="NO",0,"")))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IF(H25="NA","NA",IF(H25="YES",$C$7,IF(H25="NO",0,"")))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IF(H26="NA","NA",IF(H26="YES",$C$7,IF(H26="NO",0,"")))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IF(H27="NA","NA",IF(H27="YES",$C$7,IF(H27="NO",0,"")))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IF(H28="NA","NA",IF(H28="YES",$C$7,IF(H28="NO",0,"")))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IF(H29="NA","NA",IF(H29="YES",$C$7,IF(H29="NO",0,"")))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IF(H30="NA","NA",IF(H30="YES",$C$7,IF(H30="NO",0,"")))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IF(H31="NA","NA",IF(H31="YES",$C$7,IF(H31="NO",0,"")))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IF(H32="NA","NA",IF(H32="YES",$C$7,IF(H32="NO",0,"")))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IF(H33="NA","NA",IF(H33="YES",$C$7,IF(H33="NO",0,"")))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IF(H34="NA","NA",IF(H34="YES",$C$7,IF(H34="NO",0,"")))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IF(H35="NA","NA",IF(H35="YES",$C$7,IF(H35="NO",0,"")))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IF(H36="NA","NA",IF(H36="YES",$C$7,IF(H36="NO",0,"")))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IF(H37="NA","NA",IF(H37="YES",$C$7,IF(H37="NO",0,"")))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IF(H38="NA","NA",IF(H38="YES",$C$7,IF(H38="NO",0,"")))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IF(H39="NA","NA",IF(H39="YES",$C$7,IF(H39="NO",0,"")))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IF(H40="NA","NA",IF(H40="YES",$C$7,IF(H40="NO",0,"")))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171</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Inter-agency coordination and integration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 the municipal/city plans at each level, integrate the plans and priorities of various sectoral public departments and agencies?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creation of the municipal/city plan at each level involved creation of a committee/process for deliberation and decision making where all sectoral public departments and agencies were invited (at least water and sewerage, traffic, electricity, transport, health and education). Details of such delibrations can be available in the municipal/city plan, or as MoM / notes on the planning authority's website.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0" t="s">
        <v>1136</v>
      </c>
      <c r="H14" s="248" t="s">
        <v>1065</v>
      </c>
      <c r="I14" s="249" t="n">
        <f aca="false">IF(COUNTIFS('Scores (start here)'!$A:$A,$B$1,'Scores (start here)'!$B:$B,$A14,'Scores (start here)'!$F:$F,"&gt;=0")&gt;0,SUMIFS('Scores (start here)'!$F:$F,'Scores (start here)'!$A:$A,$B$1,'Scores (start here)'!$B:$B,$A14),K14)</f>
        <v>0</v>
      </c>
      <c r="J14" s="247" t="s">
        <v>1137</v>
      </c>
      <c r="K14" s="0" t="n">
        <f aca="false">IF(H14="YES",$C$7,IF(H14="NO",0,""))</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174</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jobs and economy?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key economic development priorities and provides measurable targets/outcomes for them. These may include:Increase in workforce participation.Number of jobs to be generated across economic sectors.Land identified/allocated for economic activities.Number/area of enterprises, industries or commercial activities to be facilitated.Provision of designated spaces/facilities for street vendors and other informal livelihoods. Score based on whether the municipal/city plan contains both:1. A clearly stated objective or priority in the municipal/city plan relating to the city’s economy, employment or livelihoods. This could include job creation, workforce participation, industrial/commercial development, informal livelihoods, economic clusters, markets, tourism, or allocating land/infrastructure to support economic activity.2. Quantifiable targets or outcome indicators to measure progress. Score 10: The municipal/city plan identifies clear economic development priorities and includes measurable/quantifiable targets or outcome indicators against which progress can be assessed. Score 5: The municipal/city plan identifies clear economic development priorities and proposed interventions/actions, but does not provide measurable targets/outcome indicators.  Score 0: The municipal/city plan does not identify clear economic development priorities and associated interventions. General or aspirational references to economic development, employment, jobs or livelihoods without clearly identified priorities and interventions shall not be considered for scoring.</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(5.00)</v>
      </c>
      <c r="I12" s="245" t="str">
        <f aca="false">"Measurable targets / outcome indicators (counts only if priorities = YES) ("&amp;TEXT($C$7/2,"0.00")&amp;")"</f>
        <v>Measurable targets / outcome indicators (counts only if priorities = YES)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1139</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K9" activeCellId="0" sqref="K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177</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a) Environmental Conservation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components:Natural Environment and Climate ResilienceThese may include:Protection, enhancement or increase of recreational and non-recreational green spaces, urban forests and natural habitats.Conservation, restoration or revival of lakes, wetlands and other water bodies.Protection of environmentally sensitive areas and natural assets through appropriate zoning, buffers or other development controls.Increase in green cover, afforestation or reforestation.Protection/restoration of biodiversity and ecologically significant areas.Reduction in air, water and soil pollution.Climate-change mitigation and adaptation, including reduction in greenhouse gas emissions.Promotion of renewable energy and clean technologies.Disaster-risk reduction and resilience of natural systems.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targets/outcome indicators. Score 0: The component is absent, or is referred to only in general/aspirational terms without clearly identified priorities and associated interventions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(2.50)</v>
      </c>
      <c r="I12" s="245" t="str">
        <f aca="false">"Measurable targets / outcome indicators (counts only if priorities = YES) ("&amp;TEXT($C$7/2,"0.00")&amp;")"</f>
        <v>Measurable targets / outcome indicators (counts only if priorities = YES) (2.50)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1140</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I14" activeCellId="0" sqref="I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180</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environment and heritage conservation? &gt;:&lt; b) Heritage Conservation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  &gt;:&lt; Check whether the municipal/city  plan identifies clear priorities, interventions and measurable targets/outcomes across the following two components:                                                                       Heritage ConservationThese may include:Identification and protection of heritage buildings, precincts, sites and other heritage assets.Identification and protection of natural heritage and culturally significant landscapes.Conservation, restoration or adaptive reuse of heritage buildings/sites.Designation of heritage zones/precincts and appropriate development controls or buffer areas.Protection of the character and built form of heritage areas.Integration of heritage conservation with redevelopment and other development proposals.Measurable targets for conservation, restoration or protection of identified heritage assets/precincts. For each component, score as follows:Score 5: The municipal/city plan identifies atleast 2 or more clear priorities and associated interventions/actions and provides measurable/quantifiable targets or outcome indicators. Score 2.5: The municipal/city  plan identifies atleast 2 or more clear priorities and associated interventions/actions, but does not provide measurable targets/outcme indicators. Score 0: The component is absent, or is referred to only in general/aspirational terms without clearly identified priorities and associated interventions.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(2.50)</v>
      </c>
      <c r="I12" s="245" t="str">
        <f aca="false">"Measurable targets / outcome indicators (counts only if priorities = YES) ("&amp;TEXT($C$7/2,"0.00")&amp;")"</f>
        <v>Measurable targets / outcome indicators (counts only if priorities = YES) (2.50)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1141</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183</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a) Education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EducationThese may include:Coverage/accessibility of anganwadis and pre-primary facilities.Availability of schools relative to population/service standards.Accessibility of educational facilities, including for persons with disabilities.Other measurable education-related service or accessibility outcomes.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(1.67)</v>
      </c>
      <c r="I12" s="245" t="str">
        <f aca="false">"Measurable targets / outcome indicators (counts only if priorities = YES) ("&amp;TEXT($C$7/2,"0.00")&amp;")"</f>
        <v>Measurable targets / outcome indicators (counts only if priorities = YES) (1.67)</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1142</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186</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b) Healthcare</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HealthcareThese may include:Coverage/accessibility of dispensaries and primary healthcare facilities.Coverage/accessibility of hospitals, maternity/child welfare centres, rehabilitation or diagnostic facilities.Improvements in access to healthcare.Public-health outcomes, including reduction in vector-borne diseases or other locally relevant health risks.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(1.67)</v>
      </c>
      <c r="I12" s="245" t="str">
        <f aca="false">"Measurable targets / outcome indicators (counts only if priorities = YES) ("&amp;TEXT($C$7/2,"0.00")&amp;")"</f>
        <v>Measurable targets / outcome indicators (counts only if priorities = YES) (1.67)</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1143</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189</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 &gt;:&lt; 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 &gt;:&lt; 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on social development (health care, education)? &gt;:&lt; c) Affordable housing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across the following three components: &gt;:&lt; Affordable housingThese may include:Assessment of existing and projected affordable housing requirements.Number/percentage of slums or inadequate settlements proposed for rehabilitation/upgradation.Provision of affordable housing - Identification of land parcels.Increase in affordable housing as a proportion of housing stock.Access to livelihood opportunities, public transport and basic services. For each component, score as follows:Score: 3.33 - The municipal/city plan identifies  atleast two or more clear priorities and associated interventions/actions and provides measurable/quantifiable targets or outcome indicators. Score: 1.67 -  If the municipal/city  plan identifies  atleast two or more clear priorities and associated interventions/actions, but does not provide measurable targets/outcome indicators. Score 0 if the component is absent, or is referred to only in general/aspirational terms without clearly identified priorities and associated interventions.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(1.67)</v>
      </c>
      <c r="I12" s="245" t="str">
        <f aca="false">"Measurable targets / outcome indicators (counts only if priorities = YES) ("&amp;TEXT($C$7/2,"0.00")&amp;")"</f>
        <v>Measurable targets / outcome indicators (counts only if priorities = YES) (1.67)</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1144</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5" activeCellId="0" sqref="G15"/>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192</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Objectives of the Municipal/City Plan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municipal/city plan include objectives for women?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 municipal/city plan identifies clear priorities, interventions and measurable targets/outcomes relating to women’s inclusion and access to the city.These may include:Economic participation and livelihoods: Measures to support women’s participation in formal and informal employment, including access to employment centres, markets, vending spaces and other livelihood opportunities.Access to infrastructure and basic services: Equitable access to housing, water and sanitation, healthcare, education, childcare and other public services.Mobility and accessibility: Safe and accessible public transport, walking and cycling infrastructure, and improved connectivity to employment and essential services.Safety and public spaces: Measures to improve women’s safety and access to streets, public spaces, parks and other public facilities.Care infrastructure: Provision and accessibility of childcare, care facilities and other infrastructure that supports women’s participation in economic and public life. Score 10: The municipal/city  plan identifies  atleast two or more clear priorities relating to women’s inclusion and associated interventions/actions and provides measurable/quantifiable targets or outcome indicators.Score 5: The municipal/city identifies  atleast two or more clear priorities relating to women’s inclusion and associated interventions/actions, but does not provide measurable targets/outcome indicators.Score 0: The municipal/city plan does not identify clear priorities and associated interventions relating to women’s inclusion. General or aspirational references to women, gender equality, inclusion or safety without clearly identified priorities and associated interventions shall not be considered for scoring.</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"Clear priorities &amp; interventions identified ("&amp;TEXT($C$7/2,"0.00")&amp;")"</f>
        <v>Clear priorities &amp; interventions identified (5.00)</v>
      </c>
      <c r="I12" s="245" t="str">
        <f aca="false">"Measurable targets / outcome indicators (counts only if priorities = YES) ("&amp;TEXT($C$7/2,"0.00")&amp;")"</f>
        <v>Measurable targets / outcome indicators (counts only if priorities = YES)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5" hidden="false" customHeight="true" outlineLevel="0" collapsed="false">
      <c r="A14" s="246" t="s">
        <v>19</v>
      </c>
      <c r="B14" s="247"/>
      <c r="C14" s="247"/>
      <c r="D14" s="247"/>
      <c r="E14" s="247"/>
      <c r="F14" s="247"/>
      <c r="G14" s="252" t="s">
        <v>1138</v>
      </c>
      <c r="H14" s="248" t="s">
        <v>1065</v>
      </c>
      <c r="I14" s="248" t="s">
        <v>1065</v>
      </c>
      <c r="J14" s="249" t="n">
        <f aca="false">IF(COUNTIFS('Scores (start here)'!$A:$A,$B$1,'Scores (start here)'!$B:$B,$A14,'Scores (start here)'!$F:$F,"&gt;=0")&gt;0,SUMIFS('Scores (start here)'!$F:$F,'Scores (start here)'!$A:$A,$B$1,'Scores (start here)'!$B:$B,$A14),L14)</f>
        <v>0</v>
      </c>
      <c r="K14" s="247" t="s">
        <v>1145</v>
      </c>
      <c r="L14" s="0" t="n">
        <f aca="false">IF(H14="","",IF(H14="NO",0,IF(I14="","",IF(I14="YES",$C$7,$C$7/2))))</f>
        <v>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195</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Municipal/City Plan status, hierarchy and coordination</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Shared spatial information and data coordination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 common digital base municipal/city plan Map shared among Planning Authorities, and data updated through GIS with fixed periodicity by the relevent sectoral agencies (transport, network infrastructure, land use changes)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following:                                                                                                                    1) A State Spatial Data Centre with a map available for use by all agencies and parastatals in the state (Example: Karnataka State Remote Sensing Centre). If it is available, score 5                                                                                      2) The centre must provide atleast 2 of the following spatial data files (shape files/KML files) on - Land use, transport (road network, railway lines, metro lines etc.), admin boundaries (ward/corporation boundarie, metropolitan boundaries). If it is available, score 5 , else score 0 .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1072</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1: State spatial data centre / shared map ("&amp;TEXT($C$7/2,"0.00")&amp;")"</f>
        <v>Part 1: State spatial data centre / shared map (5.00)</v>
      </c>
      <c r="I12" s="245" t="str">
        <f aca="false">"Part 2: At least 2 spatial data files available ("&amp;TEXT($C$7/2,"0.00")&amp;")"</f>
        <v>Part 2: At least 2 spatial data files available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IF(OR(H13="",I13=""),"",COUNTIF(H13:I13,"YES")/2*$C$7)</f>
        <v/>
      </c>
    </row>
    <row r="14" customFormat="false" ht="15" hidden="false" customHeight="true" outlineLevel="0" collapsed="false">
      <c r="A14" s="246" t="s">
        <v>19</v>
      </c>
      <c r="B14" s="247"/>
      <c r="C14" s="247"/>
      <c r="D14" s="247"/>
      <c r="E14" s="247"/>
      <c r="F14" s="247"/>
      <c r="G14" s="252" t="s">
        <v>1146</v>
      </c>
      <c r="H14" s="248" t="s">
        <v>1037</v>
      </c>
      <c r="I14" s="248" t="s">
        <v>1037</v>
      </c>
      <c r="J14" s="249" t="n">
        <f aca="false">IF(COUNTIFS('Scores (start here)'!$A:$A,$B$1,'Scores (start here)'!$B:$B,$A14,'Scores (start here)'!$F:$F,"&gt;=0")&gt;0,SUMIFS('Scores (start here)'!$F:$F,'Scores (start here)'!$A:$A,$B$1,'Scores (start here)'!$B:$B,$A14),L14)</f>
        <v>10</v>
      </c>
      <c r="K14" s="247" t="s">
        <v>1147</v>
      </c>
      <c r="L14" s="0" t="n">
        <f aca="false">IF(OR(H14="",I14=""),"",COUNTIF(H14:I14,"YES")/2*$C$7)</f>
        <v>10</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IF(OR(H15="",I15=""),"",COUNTIF(H15:I15,"YES")/2*$C$7)</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IF(OR(H16="",I16=""),"",COUNTIF(H16:I16,"YES")/2*$C$7)</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IF(OR(H17="",I17=""),"",COUNTIF(H17:I17,"YES")/2*$C$7)</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IF(OR(H18="",I18=""),"",COUNTIF(H18:I18,"YES")/2*$C$7)</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IF(OR(H19="",I19=""),"",COUNTIF(H19:I19,"YES")/2*$C$7)</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IF(OR(H20="",I20=""),"",COUNTIF(H20:I20,"YES")/2*$C$7)</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IF(OR(H21="",I21=""),"",COUNTIF(H21:I21,"YES")/2*$C$7)</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IF(OR(H22="",I22=""),"",COUNTIF(H22:I22,"YES")/2*$C$7)</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IF(OR(H23="",I23=""),"",COUNTIF(H23:I23,"YES")/2*$C$7)</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IF(OR(H24="",I24=""),"",COUNTIF(H24:I24,"YES")/2*$C$7)</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IF(OR(H25="",I25=""),"",COUNTIF(H25:I25,"YES")/2*$C$7)</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IF(OR(H26="",I26=""),"",COUNTIF(H26:I26,"YES")/2*$C$7)</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IF(OR(H27="",I27=""),"",COUNTIF(H27:I27,"YES")/2*$C$7)</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IF(OR(H28="",I28=""),"",COUNTIF(H28:I28,"YES")/2*$C$7)</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IF(OR(H29="",I29=""),"",COUNTIF(H29:I29,"YES")/2*$C$7)</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IF(OR(H30="",I30=""),"",COUNTIF(H30:I30,"YES")/2*$C$7)</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IF(OR(H31="",I31=""),"",COUNTIF(H31:I31,"YES")/2*$C$7)</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IF(OR(H32="",I32=""),"",COUNTIF(H32:I32,"YES")/2*$C$7)</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IF(OR(H33="",I33=""),"",COUNTIF(H33:I33,"YES")/2*$C$7)</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IF(OR(H34="",I34=""),"",COUNTIF(H34:I34,"YES")/2*$C$7)</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IF(OR(H35="",I35=""),"",COUNTIF(H35:I35,"YES")/2*$C$7)</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IF(OR(H36="",I36=""),"",COUNTIF(H36:I36,"YES")/2*$C$7)</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IF(OR(H37="",I37=""),"",COUNTIF(H37:I37,"YES")/2*$C$7)</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IF(OR(H38="",I38=""),"",COUNTIF(H38:I38,"YES")/2*$C$7)</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IF(OR(H39="",I39=""),"",COUNTIF(H39:I39,"YES")/2*$C$7)</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IF(OR(H40="",I40=""),"",COUNTIF(H40:I40,"YES")/2*$C$7)</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 ref="G14" r:id="rId1" display="https://ksrsac.karnataka.gov.in/map.aspx"/>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0" activeCellId="0" sqref="G10"/>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198</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city have a notified and active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 website, relevant parastatal/sectoral agency website, master plan and other official government sources for the existence of the relevant plan.The plan should be currently applicable/active for the city. Do not treat a strategy, guideline, mission document, project report, or brief document prepared solely to satisfy a scheme requirement as a sectoral plan unless it performs the functions of a city-level sectoral plan. For the city sanitation plan, a one-page document prepared for the Swachh Bharat Mission shall not qualify, consistent with your existing methodology.</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"UPD23a1: Water Supply &amp; Sewerage Plan ("&amp;TEXT($C$7/3,"0.00")&amp;")"</f>
        <v>UPD23a1: Water Supply &amp; Sewerage Plan (1.11)</v>
      </c>
      <c r="I12" s="245" t="str">
        <f aca="false">"UPD23a2: Solid Waste Management Plan ("&amp;TEXT($C$7/3,"0.00")&amp;")"</f>
        <v>UPD23a2: Solid Waste Management Plan (1.11)</v>
      </c>
      <c r="J12" s="245" t="str">
        <f aca="false">"UPD23a3: City Sanitation Plan ("&amp;TEXT($C$7/3,"0.00")&amp;")"</f>
        <v>UPD23a3: City Sanitation Plan (1.11)</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15" hidden="false" customHeight="true" outlineLevel="0" collapsed="false">
      <c r="A14" s="246" t="s">
        <v>19</v>
      </c>
      <c r="B14" s="247"/>
      <c r="C14" s="247"/>
      <c r="D14" s="247"/>
      <c r="E14" s="247"/>
      <c r="F14" s="247"/>
      <c r="G14" s="252" t="s">
        <v>1148</v>
      </c>
      <c r="H14" s="248" t="s">
        <v>1037</v>
      </c>
      <c r="I14" s="248" t="s">
        <v>1065</v>
      </c>
      <c r="J14" s="248" t="s">
        <v>1065</v>
      </c>
      <c r="K14" s="249" t="n">
        <f aca="false">IF(COUNTIFS('Scores (start here)'!$A:$A,$B$1,'Scores (start here)'!$B:$B,$A14,'Scores (start here)'!$F:$F,"&gt;=0")&gt;0,SUMIFS('Scores (start here)'!$F:$F,'Scores (start here)'!$A:$A,$B$1,'Scores (start here)'!$B:$B,$A14),M14)</f>
        <v>1.11</v>
      </c>
      <c r="L14" s="247" t="s">
        <v>1149</v>
      </c>
      <c r="M14" s="0" t="n">
        <f aca="false">IF(OR(H14="",I14="",J14=""),"",COUNTIF(H14:J14,"YES")/3*$C$7)</f>
        <v>1.11</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6" activeCellId="0" sqref="G16"/>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201</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have development priorities and measureable objectives?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identifies clear sector-specific development priorities/interventions; and specifies measurable objectives or targets against the identified priorities, including quantitative or qualitative indicators, as appropriate. Examples may include targets relating to service coverage, reduction of service gaps, treatment and processing capacity, network expansion, reduction of losses, wastewater treatment, waste segregation/processing, safe disposal of faecal sludge, or reduction in untreated sewage discharge, as relevant to the sector. General statements of intent, such as improving sanitation, achieving universal water supply or creating a clean city, without identifiable priorities/interventions and measurable objectives or targets, shall not qualify.</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"UPD23b1: Water Supply &amp; Sewerage Plan ("&amp;TEXT($C$7/3,"0.00")&amp;")"</f>
        <v>UPD23b1: Water Supply &amp; Sewerage Plan (1.11)</v>
      </c>
      <c r="I12" s="245" t="str">
        <f aca="false">"UPD23b2: Solid Waste Management Plan ("&amp;TEXT($C$7/3,"0.00")&amp;")"</f>
        <v>UPD23b2: Solid Waste Management Plan (1.11)</v>
      </c>
      <c r="J12" s="245" t="str">
        <f aca="false">"UPD23b3: City Sanitation Plan ("&amp;TEXT($C$7/3,"0.00")&amp;")"</f>
        <v>UPD23b3: City Sanitation Plan (1.11)</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15" hidden="false" customHeight="true" outlineLevel="0" collapsed="false">
      <c r="A14" s="246" t="s">
        <v>19</v>
      </c>
      <c r="B14" s="247"/>
      <c r="C14" s="247"/>
      <c r="D14" s="247"/>
      <c r="E14" s="247"/>
      <c r="F14" s="247"/>
      <c r="G14" s="252" t="s">
        <v>1148</v>
      </c>
      <c r="H14" s="248" t="s">
        <v>1037</v>
      </c>
      <c r="I14" s="248" t="s">
        <v>1065</v>
      </c>
      <c r="J14" s="248" t="s">
        <v>1065</v>
      </c>
      <c r="K14" s="249" t="n">
        <f aca="false">IF(COUNTIFS('Scores (start here)'!$A:$A,$B$1,'Scores (start here)'!$B:$B,$A14,'Scores (start here)'!$F:$F,"&gt;=0")&gt;0,SUMIFS('Scores (start here)'!$F:$F,'Scores (start here)'!$A:$A,$B$1,'Scores (start here)'!$B:$B,$A14),M14)</f>
        <v>1.11</v>
      </c>
      <c r="L14" s="247" t="s">
        <v>1150</v>
      </c>
      <c r="M14" s="0" t="n">
        <f aca="false">IF(OR(H14="",I14="",J14=""),"",COUNTIF(H14:J14,"YES")/3*$C$7)</f>
        <v>1.11</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D9" colorId="64" zoomScale="100" zoomScaleNormal="100" zoomScalePageLayoutView="100" workbookViewId="0">
      <selection pane="topLeft" activeCell="G19" activeCellId="0" sqref="G19"/>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204</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Water supply and sewerage, sanitation, solid waste management  &gt;:&lt; Water supply and sewerage, sanitation, solid waste management </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Water Supply and Sewerage Plan, City Sanitation Plan, and Solid Waste Management Plan  that clearly articulates development priorities, measurable objectives, and the roles and responsibilities of the ULG? &gt;:&lt; Does the plan clearly articulate the role of the ULG?</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plan clearly assigns the ULG a defined role and/or specific responsibilities in implementation of the plan. This may include responsibility for service delivery, infrastructure creation, financing, operations and maintenance, monitoring, coordination with other agencies, or other functions relevant to implementation.A general reference to the ULG as a stakeholder or participating institution, without identifiable responsibilities, shall not qualify.</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"UPD23c1: Water Supply &amp; Sewerage Plan ("&amp;TEXT($C$7/3,"0.00")&amp;")"</f>
        <v>UPD23c1: Water Supply &amp; Sewerage Plan (1.11)</v>
      </c>
      <c r="I12" s="245" t="str">
        <f aca="false">"UPD23c2: Solid Waste Management Plan ("&amp;TEXT($C$7/3,"0.00")&amp;")"</f>
        <v>UPD23c2: Solid Waste Management Plan (1.11)</v>
      </c>
      <c r="J12" s="245" t="str">
        <f aca="false">"UPD23c3: City Sanitation Plan ("&amp;TEXT($C$7/3,"0.00")&amp;")"</f>
        <v>UPD23c3: City Sanitation Plan (1.11)</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IF(OR(H13="",I13="",J13=""),"",COUNTIF(H13:J13,"YES")/3*$C$7)</f>
        <v/>
      </c>
    </row>
    <row r="14" customFormat="false" ht="15" hidden="false" customHeight="true" outlineLevel="0" collapsed="false">
      <c r="A14" s="246" t="s">
        <v>19</v>
      </c>
      <c r="B14" s="247"/>
      <c r="C14" s="247"/>
      <c r="D14" s="247"/>
      <c r="E14" s="247"/>
      <c r="F14" s="247"/>
      <c r="G14" s="252" t="s">
        <v>1148</v>
      </c>
      <c r="H14" s="248" t="s">
        <v>1065</v>
      </c>
      <c r="I14" s="248" t="s">
        <v>1065</v>
      </c>
      <c r="J14" s="248" t="s">
        <v>1065</v>
      </c>
      <c r="K14" s="249" t="n">
        <f aca="false">IF(COUNTIFS('Scores (start here)'!$A:$A,$B$1,'Scores (start here)'!$B:$B,$A14,'Scores (start here)'!$F:$F,"&gt;=0")&gt;0,SUMIFS('Scores (start here)'!$F:$F,'Scores (start here)'!$A:$A,$B$1,'Scores (start here)'!$B:$B,$A14),M14)</f>
        <v>0</v>
      </c>
      <c r="L14" s="247" t="s">
        <v>1151</v>
      </c>
      <c r="M14" s="0" t="n">
        <f aca="false">IF(OR(H14="",I14="",J14=""),"",COUNTIF(H14:J14,"YES")/3*$C$7)</f>
        <v>0</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IF(OR(H15="",I15="",J15=""),"",COUNTIF(H15:J15,"YES")/3*$C$7)</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IF(OR(H16="",I16="",J16=""),"",COUNTIF(H16:J16,"YES")/3*$C$7)</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IF(OR(H17="",I17="",J17=""),"",COUNTIF(H17:J17,"YES")/3*$C$7)</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IF(OR(H18="",I18="",J18=""),"",COUNTIF(H18:J18,"YES")/3*$C$7)</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IF(OR(H19="",I19="",J19=""),"",COUNTIF(H19:J19,"YES")/3*$C$7)</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IF(OR(H20="",I20="",J20=""),"",COUNTIF(H20:J20,"YES")/3*$C$7)</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IF(OR(H21="",I21="",J21=""),"",COUNTIF(H21:J21,"YES")/3*$C$7)</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IF(OR(H22="",I22="",J22=""),"",COUNTIF(H22:J22,"YES")/3*$C$7)</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IF(OR(H23="",I23="",J23=""),"",COUNTIF(H23:J23,"YES")/3*$C$7)</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IF(OR(H24="",I24="",J24=""),"",COUNTIF(H24:J24,"YES")/3*$C$7)</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IF(OR(H25="",I25="",J25=""),"",COUNTIF(H25:J25,"YES")/3*$C$7)</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IF(OR(H26="",I26="",J26=""),"",COUNTIF(H26:J26,"YES")/3*$C$7)</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IF(OR(H27="",I27="",J27=""),"",COUNTIF(H27:J27,"YES")/3*$C$7)</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IF(OR(H28="",I28="",J28=""),"",COUNTIF(H28:J28,"YES")/3*$C$7)</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IF(OR(H29="",I29="",J29=""),"",COUNTIF(H29:J29,"YES")/3*$C$7)</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IF(OR(H30="",I30="",J30=""),"",COUNTIF(H30:J30,"YES")/3*$C$7)</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IF(OR(H31="",I31="",J31=""),"",COUNTIF(H31:J31,"YES")/3*$C$7)</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IF(OR(H32="",I32="",J32=""),"",COUNTIF(H32:J32,"YES")/3*$C$7)</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IF(OR(H33="",I33="",J33=""),"",COUNTIF(H33:J33,"YES")/3*$C$7)</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IF(OR(H34="",I34="",J34=""),"",COUNTIF(H34:J34,"YES")/3*$C$7)</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IF(OR(H35="",I35="",J35=""),"",COUNTIF(H35:J35,"YES")/3*$C$7)</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IF(OR(H36="",I36="",J36=""),"",COUNTIF(H36:J36,"YES")/3*$C$7)</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IF(OR(H37="",I37="",J37=""),"",COUNTIF(H37:J37,"YES")/3*$C$7)</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IF(OR(H38="",I38="",J38=""),"",COUNTIF(H38:J38,"YES")/3*$C$7)</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IF(OR(H39="",I39="",J39=""),"",COUNTIF(H39:J39,"YES")/3*$C$7)</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IF(OR(H40="",I40="",J40=""),"",COUNTIF(H40:J40,"YES")/3*$C$7)</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IF(OR(H41="",I41="",J41=""),"",COUNTIF(H41:J41,"YES")/3*$C$7)</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 ref="G14" r:id="rId1" display="https://bwssb.karnataka.gov.in/storage/pdf-files/documents/Vision%20Document%202050%20%20new.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207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city have a notified and active Sustainability/Resilience Strategy?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website/city website  for the existence of a Climate Action Plan, City Resilience Strategy or Sustainability Strategy. The document must be formally adopted or approved by the competent authority (a  ULG/Council resolution, a Government Order, or integration into the statutory municipal/city plan/DP) to be scored.  A Disaster Management Plan may also be considered as evidence.  If the plan/ strategy does exist  score 3.33, or score 0 otherwise.                                                                                                                                Note: A draft document. Independent consultant's report/academic /NGO reports will not be considered.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Independent consultant's report/academic reports will not be considered.</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47" t="s">
        <v>1152</v>
      </c>
      <c r="H14" s="248" t="s">
        <v>1037</v>
      </c>
      <c r="I14" s="249" t="n">
        <f aca="false">IF(COUNTIFS('Scores (start here)'!$A:$A,$B$1,'Scores (start here)'!$B:$B,$A14,'Scores (start here)'!$F:$F,"&gt;=0")&gt;0,SUMIFS('Scores (start here)'!$F:$F,'Scores (start here)'!$A:$A,$B$1,'Scores (start here)'!$B:$B,$A14),K14)</f>
        <v>3.33</v>
      </c>
      <c r="J14" s="253" t="s">
        <v>1153</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1" activeCellId="0" sqref="G1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210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have development priorities and measurable objectives?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climate action plan, city resilience strategy, sustainability strategy or disaster management plan identifies clear priorities and specifies measurable objectives or targets against those priorities, including quantitative or qualitative indicators, as appropriate. Examples may include greenhouse-gas emission reduction or net-zero targets; reduction in exposure to heat, flooding or other climate hazards; increase in green cover; flood-risk mitigation; water security; or other climate adaptation and resilience outcomes.A general statement of intent, such as becoming climate-resilient, sustainable or reducing emissions, without identifiable priorities and measurable objectives or targets, shall not qualify.Score 3.33 if the plan identifies atleast two or more clear priorities and includes measurable objectives or targets against those priorities;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0" t="s">
        <v>1154</v>
      </c>
      <c r="H14" s="248" t="s">
        <v>1037</v>
      </c>
      <c r="I14" s="249" t="n">
        <f aca="false">IF(COUNTIFS('Scores (start here)'!$A:$A,$B$1,'Scores (start here)'!$B:$B,$A14,'Scores (start here)'!$F:$F,"&gt;=0")&gt;0,SUMIFS('Scores (start here)'!$F:$F,'Scores (start here)'!$A:$A,$B$1,'Scores (start here)'!$B:$B,$A14),K14)</f>
        <v>3.33</v>
      </c>
      <c r="J14" s="247" t="s">
        <v>1155</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213</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Sustainability, resilience and climate action &gt;:&lt; Sustainability, resilience and climate action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Sustainability/ Resilience Strategy/Climate Action Plan that clearly articulates development priorities, measurable objectives, and the roles and responsibilities of the ULG? &gt;:&lt; Does the plan clearly articulate the role of the ULG?</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Score 3.33 where the plan clearly articulates the role/responsibilities of the ULG in its preparation/implementation;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0" t="s">
        <v>1154</v>
      </c>
      <c r="H14" s="248" t="s">
        <v>1037</v>
      </c>
      <c r="I14" s="249" t="n">
        <f aca="false">IF(COUNTIFS('Scores (start here)'!$A:$A,$B$1,'Scores (start here)'!$B:$B,$A14,'Scores (start here)'!$F:$F,"&gt;=0")&gt;0,SUMIFS('Scores (start here)'!$F:$F,'Scores (start here)'!$A:$A,$B$1,'Scores (start here)'!$B:$B,$A14),K14)</f>
        <v>3.33</v>
      </c>
      <c r="J14" s="247" t="s">
        <v>1156</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216</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city have a notified and active Comprehensive Mobility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plan/ULB website/parastatal website/UMTA or State transport department website for the existence of a Comprehensive Mobility Plan (CMP). The plan must be formally adopted or approved by the competent authority (approval by the UMTA where one exists, the State Government, or a Municipal Corporation/Council resolution) to be scored - a draft, a consultant's report or an unadopted study will not be considered.Check whether the city has a Comprehensive Mobility Plan (CMP) that has been formally adopted or approved by the competent authority, such as the UMTA, the Urban Development Department, Transport Department or the ULG/Council through a resolution. Sources may include the municipal/city plan, the ULB website, parastatal websites, and the UMTA or State Transport Department website.A draft CMP, a consultant's report, or an unadopted study, without evidence of formal adoption or approval, shall not qualify.Score 3.33 if the city has a CMP formally adopted or approved by the competent authority;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2" t="s">
        <v>1157</v>
      </c>
      <c r="H14" s="248" t="s">
        <v>1037</v>
      </c>
      <c r="I14" s="249" t="n">
        <f aca="false">IF(COUNTIFS('Scores (start here)'!$A:$A,$B$1,'Scores (start here)'!$B:$B,$A14,'Scores (start here)'!$F:$F,"&gt;=0")&gt;0,SUMIFS('Scores (start here)'!$F:$F,'Scores (start here)'!$A:$A,$B$1,'Scores (start here)'!$B:$B,$A14),K14)</f>
        <v>3.33</v>
      </c>
      <c r="J14" s="247" t="s">
        <v>1158</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H18" activeCellId="0" sqref="H18"/>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219</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have development priorities and measurable objectives?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identifies clear priorities and specifies measurable objectives or targets against those priorities, including quantitative or qualitative indicators, as appropriate. Examples may include a target mode share for sustainable modes (public transport, walking and cycling); targets for road safety or transport-related emissions; or actionable projects with measurable timelines, budget estimates and a phasing plan.A general statement of intent, such as improving mobility, promoting public transport or reducing congestion, without identifiable priorities and measurable objectives or targets, shall not qualify.Score 3.33 if the CMP identifies atleast two or more clear priorities and includes measurable objectives or targets against those priorities;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2" t="s">
        <v>1157</v>
      </c>
      <c r="H14" s="248" t="s">
        <v>1037</v>
      </c>
      <c r="I14" s="249" t="n">
        <f aca="false">IF(COUNTIFS('Scores (start here)'!$A:$A,$B$1,'Scores (start here)'!$B:$B,$A14,'Scores (start here)'!$F:$F,"&gt;=0")&gt;0,SUMIFS('Scores (start here)'!$F:$F,'Scores (start here)'!$A:$A,$B$1,'Scores (start here)'!$B:$B,$A14),K14)</f>
        <v>3.33</v>
      </c>
      <c r="J14" s="247" t="s">
        <v>1159</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C9" colorId="64" zoomScale="100" zoomScaleNormal="100" zoomScalePageLayoutView="100" workbookViewId="0">
      <selection pane="topLeft" activeCell="G17" activeCellId="0" sqref="G17"/>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222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Comprehensive mobility planning &gt;:&lt; Comprehensive mobility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Comprehensive Mobility Plan that clearly articulates development priorities, measurable objectives, and the roles and responsibilities of the ULG? &gt;:&lt; Does the plan clearly articulate the role of the ULG?</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CMP clearly articulates the roles and responsibilities of the Urban Local Government (ULG) in its preparation and/or implementation. Examples may include the ULG's participation in preparing the plan, such as membership of the steering or technical committee or a council resolution endorsing it; the assignment of specific projects, programmes or actions to the ULG; responsibilities for funding, execution, operation or maintenance of identified interventions; or the ULG's role in monitoring and reviewing the plan's progress.A passing mention of the ULG as a stakeholder, or a general reference to coordination among agencies, without specifying the ULG's role or responsibilities, shall not qualify.Score 3.3 if the CMP clearly articulates the roles and responsibilities of the ULG in its preparation and/or implementation;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2" t="s">
        <v>1157</v>
      </c>
      <c r="H14" s="248" t="s">
        <v>1037</v>
      </c>
      <c r="I14" s="249" t="n">
        <f aca="false">IF(COUNTIFS('Scores (start here)'!$A:$A,$B$1,'Scores (start here)'!$B:$B,$A14,'Scores (start here)'!$F:$F,"&gt;=0")&gt;0,SUMIFS('Scores (start here)'!$F:$F,'Scores (start here)'!$A:$A,$B$1,'Scores (start here)'!$B:$B,$A14),K14)</f>
        <v>3.33</v>
      </c>
      <c r="J14" s="247" t="s">
        <v>1160</v>
      </c>
      <c r="K14" s="251" t="n">
        <f aca="false">IF(H14="YES",$C$7,IF(H14="NO",0,""))</f>
        <v>3.33</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dult.karnataka.gov.in/assets/front/pdf/Comprehensive_Mobility_Plan.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10"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225</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city have a notified and active Economic Vision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the municipal/city plan, ULG website, relevant parastatal website, or city/district website for the existence of an Economic Vision, Economic Development Plan or equivalent city-level economic strategy. The document must:Be a final document; draft documents shall not be considered.Be formally adopted/approved by the competent authority, evidenced through a Municipal Corporation/Council resolution, Government Order, formal approval by the competent authority, or integration into the statutory municipal/city plan/Development Plan.Be currently active/applicable. Where the document specifies a validity or implementation period, the city must be within that period at the time of assessment. An expired or superseded plan shall not be considered.Independent consultant reports, academic studies/reports, background studies or other documents that have not been formally adopted/approved by the competent authority shall not be considered.Score 3.3 if the city has a final, formally adopted/approved and currently active/applicable Economic Vision, Economic Development Plan or equivalent city-level economic strategy that meets all the above conditions;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5" hidden="false" customHeight="true" outlineLevel="0" collapsed="false">
      <c r="A14" s="246" t="s">
        <v>19</v>
      </c>
      <c r="B14" s="247"/>
      <c r="C14" s="247"/>
      <c r="D14" s="247"/>
      <c r="E14" s="247"/>
      <c r="F14" s="247"/>
      <c r="G14" s="252" t="s">
        <v>1161</v>
      </c>
      <c r="H14" s="248" t="s">
        <v>1065</v>
      </c>
      <c r="I14" s="249" t="n">
        <f aca="false">IF(COUNTIFS('Scores (start here)'!$A:$A,$B$1,'Scores (start here)'!$B:$B,$A14,'Scores (start here)'!$F:$F,"&gt;=0")&gt;0,SUMIFS('Scores (start here)'!$F:$F,'Scores (start here)'!$A:$A,$B$1,'Scores (start here)'!$B:$B,$A14),K14)</f>
        <v>0</v>
      </c>
      <c r="J14" s="247" t="s">
        <v>1162</v>
      </c>
      <c r="K14" s="0" t="n">
        <f aca="false">IF(H14="YES",$C$7,IF(H14="NO",0,""))</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 ref="G14" r:id="rId1" display="https://www.thehindu.com/news/cities/bangalore/proposed-economic-masterplan-for-bengaluru-metropolitan-region-targets-75-public-transport/article71420718.e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4" activeCellId="0" sqref="J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228</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have development priorities and measurable objectives?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identifies clear economic development priorities and specifies measurable objectives or targets against those priorities, including quantitative or qualitative indicators, as appropriate. Examples may include targets relating to employment/job creation, workforce participation, development of identified economic sectors or clusters, land/infrastructure provision for economic activities, enterprise development, or investment to be mobilised. A general statement of intent, such as making the city an economic hub, promoting economic growth or generating employment, without identifiable priorities and measurable objectives or targets, shall not qualify. Score 3.3 if the plan identifies  atleast two or more clear economic development priorities and includes measurable objectives or targets against those priorities;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t="s">
        <v>1065</v>
      </c>
      <c r="I14" s="249" t="n">
        <f aca="false">IF(COUNTIFS('Scores (start here)'!$A:$A,$B$1,'Scores (start here)'!$B:$B,$A14,'Scores (start here)'!$F:$F,"&gt;=0")&gt;0,SUMIFS('Scores (start here)'!$F:$F,'Scores (start here)'!$A:$A,$B$1,'Scores (start here)'!$B:$B,$A14),K14)</f>
        <v>0</v>
      </c>
      <c r="J14" s="247" t="s">
        <v>1163</v>
      </c>
      <c r="K14" s="0" t="n">
        <f aca="false">IF(H14="YES",$C$7,IF(H14="NO",0,""))</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J11" activeCellId="0" sqref="J11"/>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231</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Sectoral planning &gt;:&lt; Sectoral planning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Economic development planning &gt;:&lt; Economic development planning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an Economic Vision Plan that clearly articulates development priorities, measurable objectives, and the roles and responsibilities of the ULG? &gt;:&lt; Does the plan clearly articulate the role of the ULG?</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3.33</v>
      </c>
      <c r="C7" s="240" t="n">
        <f aca="false">VLOOKUP($B$1,'UPD Questions_290926 '!$E$1:$N$300,MATCH($A$7,'UPD Questions_290926 '!$E$1:$N$1,0),0)</f>
        <v>3.33</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NA &gt;:&lt; Check whether the plan clearly assigns the ULG a defined role and/or specific responsibilities in implementation of the economic vision/strategy. This may include responsibility for facilitating economic development initiatives, providing enabling infrastructure, supporting livelihoods or enterprises, financing, implementing identified projects, monitoring progress against economic targets, or coordinating with relevant government departments, parastatals, and other agencies. A general reference to the ULG as a stakeholder, partner or participating institution, without identifiable responsibilities, shall not qualify. Score 3.3 where the plan clearly assigns the ULG defined roles and/or specific responsibilities in implementation;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t="s">
        <v>1065</v>
      </c>
      <c r="I14" s="249" t="n">
        <f aca="false">IF(COUNTIFS('Scores (start here)'!$A:$A,$B$1,'Scores (start here)'!$B:$B,$A14,'Scores (start here)'!$F:$F,"&gt;=0")&gt;0,SUMIFS('Scores (start here)'!$F:$F,'Scores (start here)'!$A:$A,$B$1,'Scores (start here)'!$B:$B,$A14),K14)</f>
        <v>0</v>
      </c>
      <c r="J14" s="247" t="s">
        <v>1164</v>
      </c>
      <c r="K14" s="0" t="n">
        <f aca="false">IF(H14="YES",$C$7,IF(H14="NO",0,""))</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S4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 collapsed="false" customWidth="true" hidden="false" outlineLevel="0" max="18" min="14" style="0" width="30"/>
  </cols>
  <sheetData>
    <row r="1" customFormat="false" ht="14.25" hidden="false" customHeight="false" outlineLevel="0" collapsed="false">
      <c r="A1" s="237" t="s">
        <v>1016</v>
      </c>
      <c r="B1" s="237" t="s">
        <v>234</v>
      </c>
      <c r="C1" s="238" t="s">
        <v>1017</v>
      </c>
      <c r="L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Does the city have adequate professional town-planning capacity?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number of filled positions (against the sanctioned posts) of town/urban planners in the ULG and, where applicable, the Development/Planning Authority responsible for planning the city. Town planners per lakh population = (Filled qualified town planners in the ULG + filled qualified town planners attributable to the city in the Development/Planning Authority) ÷ Census 2011 population × 1,00,000 Cities assessed will receive a Score of 5. All other cities will be scored proportionately against this benchmark.Score = (Town planners per lakh population in the city ÷ Highest town planners per lakh population among cities assessed) × 5For example, if the highest-performing city has 2 planners/lakh, a city with 1.5 planners/lakh scores 3.75, and one with 1 planner/lakh scores 2.5.</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Scorer comment - Record in the score sheet, separately for the ULG and Development/Planning Authority: total sanctioned town-planner positions; total filled positions; vacancies and vacancy rate; women and men among filled positions; and town planners per lakh population.</v>
      </c>
      <c r="H10" s="241" t="s">
        <v>1165</v>
      </c>
    </row>
    <row r="11" customFormat="false" ht="28.5" hidden="false" customHeight="true" outlineLevel="0" collapsed="false">
      <c r="H11" s="242" t="s">
        <v>1166</v>
      </c>
      <c r="I11" s="242" t="s">
        <v>1166</v>
      </c>
      <c r="J11" s="242" t="s">
        <v>1167</v>
      </c>
      <c r="K11" s="242" t="s">
        <v>1024</v>
      </c>
      <c r="L11" s="243" t="s">
        <v>1023</v>
      </c>
      <c r="S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1168</v>
      </c>
      <c r="I12" s="245" t="s">
        <v>1169</v>
      </c>
      <c r="J12" s="245" t="s">
        <v>1170</v>
      </c>
      <c r="K12" s="254" t="s">
        <v>1171</v>
      </c>
      <c r="L12" s="243" t="s">
        <v>1031</v>
      </c>
      <c r="M12" s="245" t="s">
        <v>1032</v>
      </c>
      <c r="N12" s="245" t="s">
        <v>1172</v>
      </c>
      <c r="O12" s="245" t="s">
        <v>1173</v>
      </c>
      <c r="P12" s="245" t="s">
        <v>1174</v>
      </c>
      <c r="Q12" s="245" t="s">
        <v>1175</v>
      </c>
      <c r="R12" s="245" t="s">
        <v>1176</v>
      </c>
      <c r="S12" s="0" t="s">
        <v>1033</v>
      </c>
    </row>
    <row r="13" customFormat="false" ht="14.25" hidden="false" customHeight="false" outlineLevel="0" collapsed="false">
      <c r="A13" s="246" t="s">
        <v>726</v>
      </c>
      <c r="B13" s="247"/>
      <c r="C13" s="247"/>
      <c r="D13" s="247"/>
      <c r="E13" s="247"/>
      <c r="F13" s="247"/>
      <c r="G13" s="247"/>
      <c r="H13" s="248"/>
      <c r="I13" s="248"/>
      <c r="J13" s="248"/>
      <c r="K13" s="255" t="str">
        <f aca="false">IF(OR(H13="",I13="",J13=""),"",(H13+I13)/J13*100000)</f>
        <v/>
      </c>
      <c r="L13" s="249" t="str">
        <f aca="false">IF(COUNTIFS('Scores (start here)'!$A:$A,$B$1,'Scores (start here)'!$B:$B,$A13,'Scores (start here)'!$F:$F,"&gt;=0")&gt;0,SUMIFS('Scores (start here)'!$F:$F,'Scores (start here)'!$A:$A,$B$1,'Scores (start here)'!$B:$B,$A13),S13)</f>
        <v/>
      </c>
      <c r="M13" s="247"/>
      <c r="N13" s="247"/>
      <c r="O13" s="247"/>
      <c r="P13" s="247"/>
      <c r="Q13" s="247"/>
      <c r="R13" s="247"/>
      <c r="S13" s="0" t="str">
        <f aca="false">IF(K13="","",IF(MAX($K$13:$K$41)=0,0,K13/MAX($K$13:$K$41)*$C$7))</f>
        <v/>
      </c>
    </row>
    <row r="14" customFormat="false" ht="14.25" hidden="false" customHeight="false" outlineLevel="0" collapsed="false">
      <c r="A14" s="246" t="s">
        <v>19</v>
      </c>
      <c r="B14" s="247"/>
      <c r="C14" s="247"/>
      <c r="D14" s="247"/>
      <c r="E14" s="247"/>
      <c r="F14" s="247"/>
      <c r="G14" s="247"/>
      <c r="H14" s="248"/>
      <c r="I14" s="248"/>
      <c r="J14" s="248"/>
      <c r="K14" s="255" t="str">
        <f aca="false">IF(OR(H14="",I14="",J14=""),"",(H14+I14)/J14*100000)</f>
        <v/>
      </c>
      <c r="L14" s="249" t="str">
        <f aca="false">IF(COUNTIFS('Scores (start here)'!$A:$A,$B$1,'Scores (start here)'!$B:$B,$A14,'Scores (start here)'!$F:$F,"&gt;=0")&gt;0,SUMIFS('Scores (start here)'!$F:$F,'Scores (start here)'!$A:$A,$B$1,'Scores (start here)'!$B:$B,$A14),S14)</f>
        <v/>
      </c>
      <c r="M14" s="247" t="s">
        <v>1177</v>
      </c>
      <c r="N14" s="247"/>
      <c r="O14" s="247"/>
      <c r="P14" s="247"/>
      <c r="Q14" s="247"/>
      <c r="R14" s="247"/>
      <c r="S14" s="0" t="str">
        <f aca="false">IF(K14="","",IF(MAX($K$13:$K$41)=0,0,K14/MAX($K$13:$K$41)*$C$7))</f>
        <v/>
      </c>
    </row>
    <row r="15" customFormat="false" ht="14.25" hidden="false" customHeight="false" outlineLevel="0" collapsed="false">
      <c r="A15" s="246" t="s">
        <v>727</v>
      </c>
      <c r="B15" s="247"/>
      <c r="C15" s="247"/>
      <c r="D15" s="247"/>
      <c r="E15" s="247"/>
      <c r="F15" s="247"/>
      <c r="G15" s="247"/>
      <c r="H15" s="248"/>
      <c r="I15" s="248"/>
      <c r="J15" s="248"/>
      <c r="K15" s="255" t="str">
        <f aca="false">IF(OR(H15="",I15="",J15=""),"",(H15+I15)/J15*100000)</f>
        <v/>
      </c>
      <c r="L15" s="249" t="str">
        <f aca="false">IF(COUNTIFS('Scores (start here)'!$A:$A,$B$1,'Scores (start here)'!$B:$B,$A15,'Scores (start here)'!$F:$F,"&gt;=0")&gt;0,SUMIFS('Scores (start here)'!$F:$F,'Scores (start here)'!$A:$A,$B$1,'Scores (start here)'!$B:$B,$A15),S15)</f>
        <v/>
      </c>
      <c r="M15" s="247"/>
      <c r="N15" s="247"/>
      <c r="O15" s="247"/>
      <c r="P15" s="247"/>
      <c r="Q15" s="247"/>
      <c r="R15" s="247"/>
      <c r="S15" s="0" t="str">
        <f aca="false">IF(K15="","",IF(MAX($K$13:$K$41)=0,0,K15/MAX($K$13:$K$41)*$C$7))</f>
        <v/>
      </c>
    </row>
    <row r="16" customFormat="false" ht="14.25" hidden="false" customHeight="false" outlineLevel="0" collapsed="false">
      <c r="A16" s="246" t="s">
        <v>728</v>
      </c>
      <c r="B16" s="247"/>
      <c r="C16" s="247"/>
      <c r="D16" s="247"/>
      <c r="E16" s="247"/>
      <c r="F16" s="247"/>
      <c r="G16" s="247"/>
      <c r="H16" s="248"/>
      <c r="I16" s="248"/>
      <c r="J16" s="248"/>
      <c r="K16" s="255" t="str">
        <f aca="false">IF(OR(H16="",I16="",J16=""),"",(H16+I16)/J16*100000)</f>
        <v/>
      </c>
      <c r="L16" s="249" t="str">
        <f aca="false">IF(COUNTIFS('Scores (start here)'!$A:$A,$B$1,'Scores (start here)'!$B:$B,$A16,'Scores (start here)'!$F:$F,"&gt;=0")&gt;0,SUMIFS('Scores (start here)'!$F:$F,'Scores (start here)'!$A:$A,$B$1,'Scores (start here)'!$B:$B,$A16),S16)</f>
        <v/>
      </c>
      <c r="M16" s="247"/>
      <c r="N16" s="247"/>
      <c r="O16" s="247"/>
      <c r="P16" s="247"/>
      <c r="Q16" s="247"/>
      <c r="R16" s="247"/>
      <c r="S16" s="0" t="str">
        <f aca="false">IF(K16="","",IF(MAX($K$13:$K$41)=0,0,K16/MAX($K$13:$K$41)*$C$7))</f>
        <v/>
      </c>
    </row>
    <row r="17" customFormat="false" ht="14.25" hidden="false" customHeight="false" outlineLevel="0" collapsed="false">
      <c r="A17" s="246" t="s">
        <v>729</v>
      </c>
      <c r="B17" s="247"/>
      <c r="C17" s="247"/>
      <c r="D17" s="247"/>
      <c r="E17" s="247"/>
      <c r="F17" s="247"/>
      <c r="G17" s="247"/>
      <c r="H17" s="248"/>
      <c r="I17" s="248"/>
      <c r="J17" s="248"/>
      <c r="K17" s="255" t="str">
        <f aca="false">IF(OR(H17="",I17="",J17=""),"",(H17+I17)/J17*100000)</f>
        <v/>
      </c>
      <c r="L17" s="249" t="str">
        <f aca="false">IF(COUNTIFS('Scores (start here)'!$A:$A,$B$1,'Scores (start here)'!$B:$B,$A17,'Scores (start here)'!$F:$F,"&gt;=0")&gt;0,SUMIFS('Scores (start here)'!$F:$F,'Scores (start here)'!$A:$A,$B$1,'Scores (start here)'!$B:$B,$A17),S17)</f>
        <v/>
      </c>
      <c r="M17" s="247"/>
      <c r="N17" s="247"/>
      <c r="O17" s="247"/>
      <c r="P17" s="247"/>
      <c r="Q17" s="247"/>
      <c r="R17" s="247"/>
      <c r="S17" s="0" t="str">
        <f aca="false">IF(K17="","",IF(MAX($K$13:$K$41)=0,0,K17/MAX($K$13:$K$41)*$C$7))</f>
        <v/>
      </c>
    </row>
    <row r="18" customFormat="false" ht="14.25" hidden="false" customHeight="false" outlineLevel="0" collapsed="false">
      <c r="A18" s="246" t="s">
        <v>730</v>
      </c>
      <c r="B18" s="247"/>
      <c r="C18" s="247"/>
      <c r="D18" s="247"/>
      <c r="E18" s="247"/>
      <c r="F18" s="247"/>
      <c r="G18" s="247"/>
      <c r="H18" s="248"/>
      <c r="I18" s="248"/>
      <c r="J18" s="248"/>
      <c r="K18" s="255" t="str">
        <f aca="false">IF(OR(H18="",I18="",J18=""),"",(H18+I18)/J18*100000)</f>
        <v/>
      </c>
      <c r="L18" s="249" t="str">
        <f aca="false">IF(COUNTIFS('Scores (start here)'!$A:$A,$B$1,'Scores (start here)'!$B:$B,$A18,'Scores (start here)'!$F:$F,"&gt;=0")&gt;0,SUMIFS('Scores (start here)'!$F:$F,'Scores (start here)'!$A:$A,$B$1,'Scores (start here)'!$B:$B,$A18),S18)</f>
        <v/>
      </c>
      <c r="M18" s="247"/>
      <c r="N18" s="247"/>
      <c r="O18" s="247"/>
      <c r="P18" s="247"/>
      <c r="Q18" s="247"/>
      <c r="R18" s="247"/>
      <c r="S18" s="0" t="str">
        <f aca="false">IF(K18="","",IF(MAX($K$13:$K$41)=0,0,K18/MAX($K$13:$K$41)*$C$7))</f>
        <v/>
      </c>
    </row>
    <row r="19" customFormat="false" ht="14.25" hidden="false" customHeight="false" outlineLevel="0" collapsed="false">
      <c r="A19" s="246" t="s">
        <v>731</v>
      </c>
      <c r="B19" s="247"/>
      <c r="C19" s="247"/>
      <c r="D19" s="247"/>
      <c r="E19" s="247"/>
      <c r="F19" s="247"/>
      <c r="G19" s="247"/>
      <c r="H19" s="248"/>
      <c r="I19" s="248"/>
      <c r="J19" s="248"/>
      <c r="K19" s="255" t="str">
        <f aca="false">IF(OR(H19="",I19="",J19=""),"",(H19+I19)/J19*100000)</f>
        <v/>
      </c>
      <c r="L19" s="249" t="str">
        <f aca="false">IF(COUNTIFS('Scores (start here)'!$A:$A,$B$1,'Scores (start here)'!$B:$B,$A19,'Scores (start here)'!$F:$F,"&gt;=0")&gt;0,SUMIFS('Scores (start here)'!$F:$F,'Scores (start here)'!$A:$A,$B$1,'Scores (start here)'!$B:$B,$A19),S19)</f>
        <v/>
      </c>
      <c r="M19" s="247"/>
      <c r="N19" s="247"/>
      <c r="O19" s="247"/>
      <c r="P19" s="247"/>
      <c r="Q19" s="247"/>
      <c r="R19" s="247"/>
      <c r="S19" s="0" t="str">
        <f aca="false">IF(K19="","",IF(MAX($K$13:$K$41)=0,0,K19/MAX($K$13:$K$41)*$C$7))</f>
        <v/>
      </c>
    </row>
    <row r="20" customFormat="false" ht="14.25" hidden="false" customHeight="false" outlineLevel="0" collapsed="false">
      <c r="A20" s="246" t="s">
        <v>732</v>
      </c>
      <c r="B20" s="247"/>
      <c r="C20" s="247"/>
      <c r="D20" s="247"/>
      <c r="E20" s="247"/>
      <c r="F20" s="247"/>
      <c r="G20" s="247"/>
      <c r="H20" s="248"/>
      <c r="I20" s="248"/>
      <c r="J20" s="248"/>
      <c r="K20" s="255" t="str">
        <f aca="false">IF(OR(H20="",I20="",J20=""),"",(H20+I20)/J20*100000)</f>
        <v/>
      </c>
      <c r="L20" s="249" t="str">
        <f aca="false">IF(COUNTIFS('Scores (start here)'!$A:$A,$B$1,'Scores (start here)'!$B:$B,$A20,'Scores (start here)'!$F:$F,"&gt;=0")&gt;0,SUMIFS('Scores (start here)'!$F:$F,'Scores (start here)'!$A:$A,$B$1,'Scores (start here)'!$B:$B,$A20),S20)</f>
        <v/>
      </c>
      <c r="M20" s="247"/>
      <c r="N20" s="247"/>
      <c r="O20" s="247"/>
      <c r="P20" s="247"/>
      <c r="Q20" s="247"/>
      <c r="R20" s="247"/>
      <c r="S20" s="0" t="str">
        <f aca="false">IF(K20="","",IF(MAX($K$13:$K$41)=0,0,K20/MAX($K$13:$K$41)*$C$7))</f>
        <v/>
      </c>
    </row>
    <row r="21" customFormat="false" ht="14.25" hidden="false" customHeight="false" outlineLevel="0" collapsed="false">
      <c r="A21" s="246" t="s">
        <v>733</v>
      </c>
      <c r="B21" s="247"/>
      <c r="C21" s="247"/>
      <c r="D21" s="247"/>
      <c r="E21" s="247"/>
      <c r="F21" s="247"/>
      <c r="G21" s="247"/>
      <c r="H21" s="248"/>
      <c r="I21" s="248"/>
      <c r="J21" s="248"/>
      <c r="K21" s="255" t="str">
        <f aca="false">IF(OR(H21="",I21="",J21=""),"",(H21+I21)/J21*100000)</f>
        <v/>
      </c>
      <c r="L21" s="249" t="str">
        <f aca="false">IF(COUNTIFS('Scores (start here)'!$A:$A,$B$1,'Scores (start here)'!$B:$B,$A21,'Scores (start here)'!$F:$F,"&gt;=0")&gt;0,SUMIFS('Scores (start here)'!$F:$F,'Scores (start here)'!$A:$A,$B$1,'Scores (start here)'!$B:$B,$A21),S21)</f>
        <v/>
      </c>
      <c r="M21" s="247"/>
      <c r="N21" s="247"/>
      <c r="O21" s="247"/>
      <c r="P21" s="247"/>
      <c r="Q21" s="247"/>
      <c r="R21" s="247"/>
      <c r="S21" s="0" t="str">
        <f aca="false">IF(K21="","",IF(MAX($K$13:$K$41)=0,0,K21/MAX($K$13:$K$41)*$C$7))</f>
        <v/>
      </c>
    </row>
    <row r="22" customFormat="false" ht="14.25" hidden="false" customHeight="false" outlineLevel="0" collapsed="false">
      <c r="A22" s="246" t="s">
        <v>734</v>
      </c>
      <c r="B22" s="247"/>
      <c r="C22" s="247"/>
      <c r="D22" s="247"/>
      <c r="E22" s="247"/>
      <c r="F22" s="247"/>
      <c r="G22" s="247"/>
      <c r="H22" s="248"/>
      <c r="I22" s="248"/>
      <c r="J22" s="248"/>
      <c r="K22" s="255" t="str">
        <f aca="false">IF(OR(H22="",I22="",J22=""),"",(H22+I22)/J22*100000)</f>
        <v/>
      </c>
      <c r="L22" s="249" t="str">
        <f aca="false">IF(COUNTIFS('Scores (start here)'!$A:$A,$B$1,'Scores (start here)'!$B:$B,$A22,'Scores (start here)'!$F:$F,"&gt;=0")&gt;0,SUMIFS('Scores (start here)'!$F:$F,'Scores (start here)'!$A:$A,$B$1,'Scores (start here)'!$B:$B,$A22),S22)</f>
        <v/>
      </c>
      <c r="M22" s="247"/>
      <c r="N22" s="247"/>
      <c r="O22" s="247"/>
      <c r="P22" s="247"/>
      <c r="Q22" s="247"/>
      <c r="R22" s="247"/>
      <c r="S22" s="0" t="str">
        <f aca="false">IF(K22="","",IF(MAX($K$13:$K$41)=0,0,K22/MAX($K$13:$K$41)*$C$7))</f>
        <v/>
      </c>
    </row>
    <row r="23" customFormat="false" ht="14.25" hidden="false" customHeight="false" outlineLevel="0" collapsed="false">
      <c r="A23" s="246" t="s">
        <v>735</v>
      </c>
      <c r="B23" s="247"/>
      <c r="C23" s="247"/>
      <c r="D23" s="247"/>
      <c r="E23" s="247"/>
      <c r="F23" s="247"/>
      <c r="G23" s="247"/>
      <c r="H23" s="248"/>
      <c r="I23" s="248"/>
      <c r="J23" s="248"/>
      <c r="K23" s="255" t="str">
        <f aca="false">IF(OR(H23="",I23="",J23=""),"",(H23+I23)/J23*100000)</f>
        <v/>
      </c>
      <c r="L23" s="249" t="str">
        <f aca="false">IF(COUNTIFS('Scores (start here)'!$A:$A,$B$1,'Scores (start here)'!$B:$B,$A23,'Scores (start here)'!$F:$F,"&gt;=0")&gt;0,SUMIFS('Scores (start here)'!$F:$F,'Scores (start here)'!$A:$A,$B$1,'Scores (start here)'!$B:$B,$A23),S23)</f>
        <v/>
      </c>
      <c r="M23" s="247"/>
      <c r="N23" s="247"/>
      <c r="O23" s="247"/>
      <c r="P23" s="247"/>
      <c r="Q23" s="247"/>
      <c r="R23" s="247"/>
      <c r="S23" s="0" t="str">
        <f aca="false">IF(K23="","",IF(MAX($K$13:$K$41)=0,0,K23/MAX($K$13:$K$41)*$C$7))</f>
        <v/>
      </c>
    </row>
    <row r="24" customFormat="false" ht="14.25" hidden="false" customHeight="false" outlineLevel="0" collapsed="false">
      <c r="A24" s="246" t="s">
        <v>736</v>
      </c>
      <c r="B24" s="247"/>
      <c r="C24" s="247"/>
      <c r="D24" s="247"/>
      <c r="E24" s="247"/>
      <c r="F24" s="247"/>
      <c r="G24" s="247"/>
      <c r="H24" s="248"/>
      <c r="I24" s="248"/>
      <c r="J24" s="248"/>
      <c r="K24" s="255" t="str">
        <f aca="false">IF(OR(H24="",I24="",J24=""),"",(H24+I24)/J24*100000)</f>
        <v/>
      </c>
      <c r="L24" s="249" t="str">
        <f aca="false">IF(COUNTIFS('Scores (start here)'!$A:$A,$B$1,'Scores (start here)'!$B:$B,$A24,'Scores (start here)'!$F:$F,"&gt;=0")&gt;0,SUMIFS('Scores (start here)'!$F:$F,'Scores (start here)'!$A:$A,$B$1,'Scores (start here)'!$B:$B,$A24),S24)</f>
        <v/>
      </c>
      <c r="M24" s="247"/>
      <c r="N24" s="247"/>
      <c r="O24" s="247"/>
      <c r="P24" s="247"/>
      <c r="Q24" s="247"/>
      <c r="R24" s="247"/>
      <c r="S24" s="0" t="str">
        <f aca="false">IF(K24="","",IF(MAX($K$13:$K$41)=0,0,K24/MAX($K$13:$K$41)*$C$7))</f>
        <v/>
      </c>
    </row>
    <row r="25" customFormat="false" ht="14.25" hidden="false" customHeight="false" outlineLevel="0" collapsed="false">
      <c r="A25" s="246" t="s">
        <v>737</v>
      </c>
      <c r="B25" s="247"/>
      <c r="C25" s="247"/>
      <c r="D25" s="247"/>
      <c r="E25" s="247"/>
      <c r="F25" s="247"/>
      <c r="G25" s="247"/>
      <c r="H25" s="248"/>
      <c r="I25" s="248"/>
      <c r="J25" s="248"/>
      <c r="K25" s="255" t="str">
        <f aca="false">IF(OR(H25="",I25="",J25=""),"",(H25+I25)/J25*100000)</f>
        <v/>
      </c>
      <c r="L25" s="249" t="str">
        <f aca="false">IF(COUNTIFS('Scores (start here)'!$A:$A,$B$1,'Scores (start here)'!$B:$B,$A25,'Scores (start here)'!$F:$F,"&gt;=0")&gt;0,SUMIFS('Scores (start here)'!$F:$F,'Scores (start here)'!$A:$A,$B$1,'Scores (start here)'!$B:$B,$A25),S25)</f>
        <v/>
      </c>
      <c r="M25" s="247"/>
      <c r="N25" s="247"/>
      <c r="O25" s="247"/>
      <c r="P25" s="247"/>
      <c r="Q25" s="247"/>
      <c r="R25" s="247"/>
      <c r="S25" s="0" t="str">
        <f aca="false">IF(K25="","",IF(MAX($K$13:$K$41)=0,0,K25/MAX($K$13:$K$41)*$C$7))</f>
        <v/>
      </c>
    </row>
    <row r="26" customFormat="false" ht="14.25" hidden="false" customHeight="false" outlineLevel="0" collapsed="false">
      <c r="A26" s="246" t="s">
        <v>738</v>
      </c>
      <c r="B26" s="247"/>
      <c r="C26" s="247"/>
      <c r="D26" s="247"/>
      <c r="E26" s="247"/>
      <c r="F26" s="247"/>
      <c r="G26" s="247"/>
      <c r="H26" s="248"/>
      <c r="I26" s="248"/>
      <c r="J26" s="248"/>
      <c r="K26" s="255" t="str">
        <f aca="false">IF(OR(H26="",I26="",J26=""),"",(H26+I26)/J26*100000)</f>
        <v/>
      </c>
      <c r="L26" s="249" t="str">
        <f aca="false">IF(COUNTIFS('Scores (start here)'!$A:$A,$B$1,'Scores (start here)'!$B:$B,$A26,'Scores (start here)'!$F:$F,"&gt;=0")&gt;0,SUMIFS('Scores (start here)'!$F:$F,'Scores (start here)'!$A:$A,$B$1,'Scores (start here)'!$B:$B,$A26),S26)</f>
        <v/>
      </c>
      <c r="M26" s="247"/>
      <c r="N26" s="247"/>
      <c r="O26" s="247"/>
      <c r="P26" s="247"/>
      <c r="Q26" s="247"/>
      <c r="R26" s="247"/>
      <c r="S26" s="0" t="str">
        <f aca="false">IF(K26="","",IF(MAX($K$13:$K$41)=0,0,K26/MAX($K$13:$K$41)*$C$7))</f>
        <v/>
      </c>
    </row>
    <row r="27" customFormat="false" ht="14.25" hidden="false" customHeight="false" outlineLevel="0" collapsed="false">
      <c r="A27" s="246" t="s">
        <v>739</v>
      </c>
      <c r="B27" s="247"/>
      <c r="C27" s="247"/>
      <c r="D27" s="247"/>
      <c r="E27" s="247"/>
      <c r="F27" s="247"/>
      <c r="G27" s="247"/>
      <c r="H27" s="248"/>
      <c r="I27" s="248"/>
      <c r="J27" s="248"/>
      <c r="K27" s="255" t="str">
        <f aca="false">IF(OR(H27="",I27="",J27=""),"",(H27+I27)/J27*100000)</f>
        <v/>
      </c>
      <c r="L27" s="249" t="str">
        <f aca="false">IF(COUNTIFS('Scores (start here)'!$A:$A,$B$1,'Scores (start here)'!$B:$B,$A27,'Scores (start here)'!$F:$F,"&gt;=0")&gt;0,SUMIFS('Scores (start here)'!$F:$F,'Scores (start here)'!$A:$A,$B$1,'Scores (start here)'!$B:$B,$A27),S27)</f>
        <v/>
      </c>
      <c r="M27" s="247"/>
      <c r="N27" s="247"/>
      <c r="O27" s="247"/>
      <c r="P27" s="247"/>
      <c r="Q27" s="247"/>
      <c r="R27" s="247"/>
      <c r="S27" s="0" t="str">
        <f aca="false">IF(K27="","",IF(MAX($K$13:$K$41)=0,0,K27/MAX($K$13:$K$41)*$C$7))</f>
        <v/>
      </c>
    </row>
    <row r="28" customFormat="false" ht="14.25" hidden="false" customHeight="false" outlineLevel="0" collapsed="false">
      <c r="A28" s="246" t="s">
        <v>740</v>
      </c>
      <c r="B28" s="247"/>
      <c r="C28" s="247"/>
      <c r="D28" s="247"/>
      <c r="E28" s="247"/>
      <c r="F28" s="247"/>
      <c r="G28" s="247"/>
      <c r="H28" s="248"/>
      <c r="I28" s="248"/>
      <c r="J28" s="248"/>
      <c r="K28" s="255" t="str">
        <f aca="false">IF(OR(H28="",I28="",J28=""),"",(H28+I28)/J28*100000)</f>
        <v/>
      </c>
      <c r="L28" s="249" t="str">
        <f aca="false">IF(COUNTIFS('Scores (start here)'!$A:$A,$B$1,'Scores (start here)'!$B:$B,$A28,'Scores (start here)'!$F:$F,"&gt;=0")&gt;0,SUMIFS('Scores (start here)'!$F:$F,'Scores (start here)'!$A:$A,$B$1,'Scores (start here)'!$B:$B,$A28),S28)</f>
        <v/>
      </c>
      <c r="M28" s="247"/>
      <c r="N28" s="247"/>
      <c r="O28" s="247"/>
      <c r="P28" s="247"/>
      <c r="Q28" s="247"/>
      <c r="R28" s="247"/>
      <c r="S28" s="0" t="str">
        <f aca="false">IF(K28="","",IF(MAX($K$13:$K$41)=0,0,K28/MAX($K$13:$K$41)*$C$7))</f>
        <v/>
      </c>
    </row>
    <row r="29" customFormat="false" ht="14.25" hidden="false" customHeight="false" outlineLevel="0" collapsed="false">
      <c r="A29" s="246" t="s">
        <v>741</v>
      </c>
      <c r="B29" s="247"/>
      <c r="C29" s="247"/>
      <c r="D29" s="247"/>
      <c r="E29" s="247"/>
      <c r="F29" s="247"/>
      <c r="G29" s="247"/>
      <c r="H29" s="248"/>
      <c r="I29" s="248"/>
      <c r="J29" s="248"/>
      <c r="K29" s="255" t="str">
        <f aca="false">IF(OR(H29="",I29="",J29=""),"",(H29+I29)/J29*100000)</f>
        <v/>
      </c>
      <c r="L29" s="249" t="str">
        <f aca="false">IF(COUNTIFS('Scores (start here)'!$A:$A,$B$1,'Scores (start here)'!$B:$B,$A29,'Scores (start here)'!$F:$F,"&gt;=0")&gt;0,SUMIFS('Scores (start here)'!$F:$F,'Scores (start here)'!$A:$A,$B$1,'Scores (start here)'!$B:$B,$A29),S29)</f>
        <v/>
      </c>
      <c r="M29" s="247"/>
      <c r="N29" s="247"/>
      <c r="O29" s="247"/>
      <c r="P29" s="247"/>
      <c r="Q29" s="247"/>
      <c r="R29" s="247"/>
      <c r="S29" s="0" t="str">
        <f aca="false">IF(K29="","",IF(MAX($K$13:$K$41)=0,0,K29/MAX($K$13:$K$41)*$C$7))</f>
        <v/>
      </c>
    </row>
    <row r="30" customFormat="false" ht="14.25" hidden="false" customHeight="false" outlineLevel="0" collapsed="false">
      <c r="A30" s="246" t="s">
        <v>742</v>
      </c>
      <c r="B30" s="247"/>
      <c r="C30" s="247"/>
      <c r="D30" s="247"/>
      <c r="E30" s="247"/>
      <c r="F30" s="247"/>
      <c r="G30" s="247"/>
      <c r="H30" s="248"/>
      <c r="I30" s="248"/>
      <c r="J30" s="248"/>
      <c r="K30" s="255" t="str">
        <f aca="false">IF(OR(H30="",I30="",J30=""),"",(H30+I30)/J30*100000)</f>
        <v/>
      </c>
      <c r="L30" s="249" t="str">
        <f aca="false">IF(COUNTIFS('Scores (start here)'!$A:$A,$B$1,'Scores (start here)'!$B:$B,$A30,'Scores (start here)'!$F:$F,"&gt;=0")&gt;0,SUMIFS('Scores (start here)'!$F:$F,'Scores (start here)'!$A:$A,$B$1,'Scores (start here)'!$B:$B,$A30),S30)</f>
        <v/>
      </c>
      <c r="M30" s="247"/>
      <c r="N30" s="247"/>
      <c r="O30" s="247"/>
      <c r="P30" s="247"/>
      <c r="Q30" s="247"/>
      <c r="R30" s="247"/>
      <c r="S30" s="0" t="str">
        <f aca="false">IF(K30="","",IF(MAX($K$13:$K$41)=0,0,K30/MAX($K$13:$K$41)*$C$7))</f>
        <v/>
      </c>
    </row>
    <row r="31" customFormat="false" ht="14.25" hidden="false" customHeight="false" outlineLevel="0" collapsed="false">
      <c r="A31" s="246" t="s">
        <v>743</v>
      </c>
      <c r="B31" s="247"/>
      <c r="C31" s="247"/>
      <c r="D31" s="247"/>
      <c r="E31" s="247"/>
      <c r="F31" s="247"/>
      <c r="G31" s="247"/>
      <c r="H31" s="248"/>
      <c r="I31" s="248"/>
      <c r="J31" s="248"/>
      <c r="K31" s="255" t="str">
        <f aca="false">IF(OR(H31="",I31="",J31=""),"",(H31+I31)/J31*100000)</f>
        <v/>
      </c>
      <c r="L31" s="249" t="str">
        <f aca="false">IF(COUNTIFS('Scores (start here)'!$A:$A,$B$1,'Scores (start here)'!$B:$B,$A31,'Scores (start here)'!$F:$F,"&gt;=0")&gt;0,SUMIFS('Scores (start here)'!$F:$F,'Scores (start here)'!$A:$A,$B$1,'Scores (start here)'!$B:$B,$A31),S31)</f>
        <v/>
      </c>
      <c r="M31" s="247"/>
      <c r="N31" s="247"/>
      <c r="O31" s="247"/>
      <c r="P31" s="247"/>
      <c r="Q31" s="247"/>
      <c r="R31" s="247"/>
      <c r="S31" s="0" t="str">
        <f aca="false">IF(K31="","",IF(MAX($K$13:$K$41)=0,0,K31/MAX($K$13:$K$41)*$C$7))</f>
        <v/>
      </c>
    </row>
    <row r="32" customFormat="false" ht="14.25" hidden="false" customHeight="false" outlineLevel="0" collapsed="false">
      <c r="A32" s="246" t="s">
        <v>744</v>
      </c>
      <c r="B32" s="247"/>
      <c r="C32" s="247"/>
      <c r="D32" s="247"/>
      <c r="E32" s="247"/>
      <c r="F32" s="247"/>
      <c r="G32" s="247"/>
      <c r="H32" s="248"/>
      <c r="I32" s="248"/>
      <c r="J32" s="248"/>
      <c r="K32" s="255" t="str">
        <f aca="false">IF(OR(H32="",I32="",J32=""),"",(H32+I32)/J32*100000)</f>
        <v/>
      </c>
      <c r="L32" s="249" t="str">
        <f aca="false">IF(COUNTIFS('Scores (start here)'!$A:$A,$B$1,'Scores (start here)'!$B:$B,$A32,'Scores (start here)'!$F:$F,"&gt;=0")&gt;0,SUMIFS('Scores (start here)'!$F:$F,'Scores (start here)'!$A:$A,$B$1,'Scores (start here)'!$B:$B,$A32),S32)</f>
        <v/>
      </c>
      <c r="M32" s="247"/>
      <c r="N32" s="247"/>
      <c r="O32" s="247"/>
      <c r="P32" s="247"/>
      <c r="Q32" s="247"/>
      <c r="R32" s="247"/>
      <c r="S32" s="0" t="str">
        <f aca="false">IF(K32="","",IF(MAX($K$13:$K$41)=0,0,K32/MAX($K$13:$K$41)*$C$7))</f>
        <v/>
      </c>
    </row>
    <row r="33" customFormat="false" ht="14.25" hidden="false" customHeight="false" outlineLevel="0" collapsed="false">
      <c r="A33" s="246" t="s">
        <v>745</v>
      </c>
      <c r="B33" s="247"/>
      <c r="C33" s="247"/>
      <c r="D33" s="247"/>
      <c r="E33" s="247"/>
      <c r="F33" s="247"/>
      <c r="G33" s="247"/>
      <c r="H33" s="248"/>
      <c r="I33" s="248"/>
      <c r="J33" s="248"/>
      <c r="K33" s="255" t="str">
        <f aca="false">IF(OR(H33="",I33="",J33=""),"",(H33+I33)/J33*100000)</f>
        <v/>
      </c>
      <c r="L33" s="249" t="str">
        <f aca="false">IF(COUNTIFS('Scores (start here)'!$A:$A,$B$1,'Scores (start here)'!$B:$B,$A33,'Scores (start here)'!$F:$F,"&gt;=0")&gt;0,SUMIFS('Scores (start here)'!$F:$F,'Scores (start here)'!$A:$A,$B$1,'Scores (start here)'!$B:$B,$A33),S33)</f>
        <v/>
      </c>
      <c r="M33" s="247"/>
      <c r="N33" s="247"/>
      <c r="O33" s="247"/>
      <c r="P33" s="247"/>
      <c r="Q33" s="247"/>
      <c r="R33" s="247"/>
      <c r="S33" s="0" t="str">
        <f aca="false">IF(K33="","",IF(MAX($K$13:$K$41)=0,0,K33/MAX($K$13:$K$41)*$C$7))</f>
        <v/>
      </c>
    </row>
    <row r="34" customFormat="false" ht="14.25" hidden="false" customHeight="false" outlineLevel="0" collapsed="false">
      <c r="A34" s="246" t="s">
        <v>746</v>
      </c>
      <c r="B34" s="247"/>
      <c r="C34" s="247"/>
      <c r="D34" s="247"/>
      <c r="E34" s="247"/>
      <c r="F34" s="247"/>
      <c r="G34" s="247"/>
      <c r="H34" s="248"/>
      <c r="I34" s="248"/>
      <c r="J34" s="248"/>
      <c r="K34" s="255" t="str">
        <f aca="false">IF(OR(H34="",I34="",J34=""),"",(H34+I34)/J34*100000)</f>
        <v/>
      </c>
      <c r="L34" s="249" t="str">
        <f aca="false">IF(COUNTIFS('Scores (start here)'!$A:$A,$B$1,'Scores (start here)'!$B:$B,$A34,'Scores (start here)'!$F:$F,"&gt;=0")&gt;0,SUMIFS('Scores (start here)'!$F:$F,'Scores (start here)'!$A:$A,$B$1,'Scores (start here)'!$B:$B,$A34),S34)</f>
        <v/>
      </c>
      <c r="M34" s="247"/>
      <c r="N34" s="247"/>
      <c r="O34" s="247"/>
      <c r="P34" s="247"/>
      <c r="Q34" s="247"/>
      <c r="R34" s="247"/>
      <c r="S34" s="0" t="str">
        <f aca="false">IF(K34="","",IF(MAX($K$13:$K$41)=0,0,K34/MAX($K$13:$K$41)*$C$7))</f>
        <v/>
      </c>
    </row>
    <row r="35" customFormat="false" ht="14.25" hidden="false" customHeight="false" outlineLevel="0" collapsed="false">
      <c r="A35" s="246" t="s">
        <v>747</v>
      </c>
      <c r="B35" s="247"/>
      <c r="C35" s="247"/>
      <c r="D35" s="247"/>
      <c r="E35" s="247"/>
      <c r="F35" s="247"/>
      <c r="G35" s="247"/>
      <c r="H35" s="248"/>
      <c r="I35" s="248"/>
      <c r="J35" s="248"/>
      <c r="K35" s="255" t="str">
        <f aca="false">IF(OR(H35="",I35="",J35=""),"",(H35+I35)/J35*100000)</f>
        <v/>
      </c>
      <c r="L35" s="249" t="str">
        <f aca="false">IF(COUNTIFS('Scores (start here)'!$A:$A,$B$1,'Scores (start here)'!$B:$B,$A35,'Scores (start here)'!$F:$F,"&gt;=0")&gt;0,SUMIFS('Scores (start here)'!$F:$F,'Scores (start here)'!$A:$A,$B$1,'Scores (start here)'!$B:$B,$A35),S35)</f>
        <v/>
      </c>
      <c r="M35" s="247"/>
      <c r="N35" s="247"/>
      <c r="O35" s="247"/>
      <c r="P35" s="247"/>
      <c r="Q35" s="247"/>
      <c r="R35" s="247"/>
      <c r="S35" s="0" t="str">
        <f aca="false">IF(K35="","",IF(MAX($K$13:$K$41)=0,0,K35/MAX($K$13:$K$41)*$C$7))</f>
        <v/>
      </c>
    </row>
    <row r="36" customFormat="false" ht="14.25" hidden="false" customHeight="false" outlineLevel="0" collapsed="false">
      <c r="A36" s="246" t="s">
        <v>748</v>
      </c>
      <c r="B36" s="247"/>
      <c r="C36" s="247"/>
      <c r="D36" s="247"/>
      <c r="E36" s="247"/>
      <c r="F36" s="247"/>
      <c r="G36" s="247"/>
      <c r="H36" s="248"/>
      <c r="I36" s="248"/>
      <c r="J36" s="248"/>
      <c r="K36" s="255" t="str">
        <f aca="false">IF(OR(H36="",I36="",J36=""),"",(H36+I36)/J36*100000)</f>
        <v/>
      </c>
      <c r="L36" s="249" t="str">
        <f aca="false">IF(COUNTIFS('Scores (start here)'!$A:$A,$B$1,'Scores (start here)'!$B:$B,$A36,'Scores (start here)'!$F:$F,"&gt;=0")&gt;0,SUMIFS('Scores (start here)'!$F:$F,'Scores (start here)'!$A:$A,$B$1,'Scores (start here)'!$B:$B,$A36),S36)</f>
        <v/>
      </c>
      <c r="M36" s="247"/>
      <c r="N36" s="247"/>
      <c r="O36" s="247"/>
      <c r="P36" s="247"/>
      <c r="Q36" s="247"/>
      <c r="R36" s="247"/>
      <c r="S36" s="0" t="str">
        <f aca="false">IF(K36="","",IF(MAX($K$13:$K$41)=0,0,K36/MAX($K$13:$K$41)*$C$7))</f>
        <v/>
      </c>
    </row>
    <row r="37" customFormat="false" ht="14.25" hidden="false" customHeight="false" outlineLevel="0" collapsed="false">
      <c r="A37" s="246" t="s">
        <v>749</v>
      </c>
      <c r="B37" s="247"/>
      <c r="C37" s="247"/>
      <c r="D37" s="247"/>
      <c r="E37" s="247"/>
      <c r="F37" s="247"/>
      <c r="G37" s="247"/>
      <c r="H37" s="248"/>
      <c r="I37" s="248"/>
      <c r="J37" s="248"/>
      <c r="K37" s="255" t="str">
        <f aca="false">IF(OR(H37="",I37="",J37=""),"",(H37+I37)/J37*100000)</f>
        <v/>
      </c>
      <c r="L37" s="249" t="str">
        <f aca="false">IF(COUNTIFS('Scores (start here)'!$A:$A,$B$1,'Scores (start here)'!$B:$B,$A37,'Scores (start here)'!$F:$F,"&gt;=0")&gt;0,SUMIFS('Scores (start here)'!$F:$F,'Scores (start here)'!$A:$A,$B$1,'Scores (start here)'!$B:$B,$A37),S37)</f>
        <v/>
      </c>
      <c r="M37" s="247"/>
      <c r="N37" s="247"/>
      <c r="O37" s="247"/>
      <c r="P37" s="247"/>
      <c r="Q37" s="247"/>
      <c r="R37" s="247"/>
      <c r="S37" s="0" t="str">
        <f aca="false">IF(K37="","",IF(MAX($K$13:$K$41)=0,0,K37/MAX($K$13:$K$41)*$C$7))</f>
        <v/>
      </c>
    </row>
    <row r="38" customFormat="false" ht="14.25" hidden="false" customHeight="false" outlineLevel="0" collapsed="false">
      <c r="A38" s="246" t="s">
        <v>750</v>
      </c>
      <c r="B38" s="247"/>
      <c r="C38" s="247"/>
      <c r="D38" s="247"/>
      <c r="E38" s="247"/>
      <c r="F38" s="247"/>
      <c r="G38" s="247"/>
      <c r="H38" s="248"/>
      <c r="I38" s="248"/>
      <c r="J38" s="248"/>
      <c r="K38" s="255" t="str">
        <f aca="false">IF(OR(H38="",I38="",J38=""),"",(H38+I38)/J38*100000)</f>
        <v/>
      </c>
      <c r="L38" s="249" t="str">
        <f aca="false">IF(COUNTIFS('Scores (start here)'!$A:$A,$B$1,'Scores (start here)'!$B:$B,$A38,'Scores (start here)'!$F:$F,"&gt;=0")&gt;0,SUMIFS('Scores (start here)'!$F:$F,'Scores (start here)'!$A:$A,$B$1,'Scores (start here)'!$B:$B,$A38),S38)</f>
        <v/>
      </c>
      <c r="M38" s="247"/>
      <c r="N38" s="247"/>
      <c r="O38" s="247"/>
      <c r="P38" s="247"/>
      <c r="Q38" s="247"/>
      <c r="R38" s="247"/>
      <c r="S38" s="0" t="str">
        <f aca="false">IF(K38="","",IF(MAX($K$13:$K$41)=0,0,K38/MAX($K$13:$K$41)*$C$7))</f>
        <v/>
      </c>
    </row>
    <row r="39" customFormat="false" ht="14.25" hidden="false" customHeight="false" outlineLevel="0" collapsed="false">
      <c r="A39" s="246" t="s">
        <v>751</v>
      </c>
      <c r="B39" s="247"/>
      <c r="C39" s="247"/>
      <c r="D39" s="247"/>
      <c r="E39" s="247"/>
      <c r="F39" s="247"/>
      <c r="G39" s="247"/>
      <c r="H39" s="248"/>
      <c r="I39" s="248"/>
      <c r="J39" s="248"/>
      <c r="K39" s="255" t="str">
        <f aca="false">IF(OR(H39="",I39="",J39=""),"",(H39+I39)/J39*100000)</f>
        <v/>
      </c>
      <c r="L39" s="249" t="str">
        <f aca="false">IF(COUNTIFS('Scores (start here)'!$A:$A,$B$1,'Scores (start here)'!$B:$B,$A39,'Scores (start here)'!$F:$F,"&gt;=0")&gt;0,SUMIFS('Scores (start here)'!$F:$F,'Scores (start here)'!$A:$A,$B$1,'Scores (start here)'!$B:$B,$A39),S39)</f>
        <v/>
      </c>
      <c r="M39" s="247"/>
      <c r="N39" s="247"/>
      <c r="O39" s="247"/>
      <c r="P39" s="247"/>
      <c r="Q39" s="247"/>
      <c r="R39" s="247"/>
      <c r="S39" s="0" t="str">
        <f aca="false">IF(K39="","",IF(MAX($K$13:$K$41)=0,0,K39/MAX($K$13:$K$41)*$C$7))</f>
        <v/>
      </c>
    </row>
    <row r="40" customFormat="false" ht="14.25" hidden="false" customHeight="false" outlineLevel="0" collapsed="false">
      <c r="A40" s="246" t="s">
        <v>752</v>
      </c>
      <c r="B40" s="247"/>
      <c r="C40" s="247"/>
      <c r="D40" s="247"/>
      <c r="E40" s="247"/>
      <c r="F40" s="247"/>
      <c r="G40" s="247"/>
      <c r="H40" s="248"/>
      <c r="I40" s="248"/>
      <c r="J40" s="248"/>
      <c r="K40" s="255" t="str">
        <f aca="false">IF(OR(H40="",I40="",J40=""),"",(H40+I40)/J40*100000)</f>
        <v/>
      </c>
      <c r="L40" s="249" t="str">
        <f aca="false">IF(COUNTIFS('Scores (start here)'!$A:$A,$B$1,'Scores (start here)'!$B:$B,$A40,'Scores (start here)'!$F:$F,"&gt;=0")&gt;0,SUMIFS('Scores (start here)'!$F:$F,'Scores (start here)'!$A:$A,$B$1,'Scores (start here)'!$B:$B,$A40),S40)</f>
        <v/>
      </c>
      <c r="M40" s="247"/>
      <c r="N40" s="247"/>
      <c r="O40" s="247"/>
      <c r="P40" s="247"/>
      <c r="Q40" s="247"/>
      <c r="R40" s="247"/>
      <c r="S40" s="0" t="str">
        <f aca="false">IF(K40="","",IF(MAX($K$13:$K$41)=0,0,K40/MAX($K$13:$K$41)*$C$7))</f>
        <v/>
      </c>
    </row>
    <row r="41" customFormat="false" ht="14.25" hidden="false" customHeight="false" outlineLevel="0" collapsed="false">
      <c r="A41" s="246" t="s">
        <v>753</v>
      </c>
      <c r="B41" s="247"/>
      <c r="C41" s="247"/>
      <c r="D41" s="247"/>
      <c r="E41" s="247"/>
      <c r="F41" s="247"/>
      <c r="G41" s="247"/>
      <c r="H41" s="248"/>
      <c r="I41" s="248"/>
      <c r="J41" s="248"/>
      <c r="K41" s="255" t="str">
        <f aca="false">IF(OR(H41="",I41="",J41=""),"",(H41+I41)/J41*100000)</f>
        <v/>
      </c>
      <c r="L41" s="249" t="str">
        <f aca="false">IF(COUNTIFS('Scores (start here)'!$A:$A,$B$1,'Scores (start here)'!$B:$B,$A41,'Scores (start here)'!$F:$F,"&gt;=0")&gt;0,SUMIFS('Scores (start here)'!$F:$F,'Scores (start here)'!$A:$A,$B$1,'Scores (start here)'!$B:$B,$A41),S41)</f>
        <v/>
      </c>
      <c r="M41" s="247"/>
      <c r="N41" s="247"/>
      <c r="O41" s="247"/>
      <c r="P41" s="247"/>
      <c r="Q41" s="247"/>
      <c r="R41" s="247"/>
      <c r="S41" s="0" t="str">
        <f aca="false">IF(K41="","",IF(MAX($K$13:$K$41)=0,0,K41/MAX($K$13:$K$41)*$C$7))</f>
        <v/>
      </c>
    </row>
  </sheetData>
  <dataValidations count="2">
    <dataValidation allowBlank="true" error="Please enter a valid value (see note above the column)." errorStyle="stop" errorTitle="Invalid entry" operator="greaterThanOrEqual" showDropDown="false" showErrorMessage="true" showInputMessage="false" sqref="H13:I41" type="whole">
      <formula1>0</formula1>
      <formula2>0</formula2>
    </dataValidation>
    <dataValidation allowBlank="true" error="Please enter a valid value (see note above the column)." errorStyle="stop" errorTitle="Invalid entry" operator="greaterThanOrEqual" showDropDown="false" showErrorMessage="true" showInputMessage="false" sqref="J13:J41" type="whole">
      <formula1>1</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237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Specialised institutional capacity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adequate and representative professional town-planning capacity? &gt;:&lt; What proportion of the city's professional town-planning workforce is women?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Compute women town planners as a proportion of the total filled qualified town-planner positions across the ULG and, where applicable, the Development/Planning Authority staff attributable to the city, using the latest available staffing data.% women town planners = (Number of women town planners ÷ Total filled qualified town-planner positions) × 100Scoring bands:Score 5 — women constitute ≥33% of the professional town-planning workforceScore 2.5 — women constitute 15–32%Score 0 — women constitute &lt;15%</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Record, wherever available, the proportion of women among senior/decision-making town-planning positions.</v>
      </c>
      <c r="H10" s="241" t="s">
        <v>1178</v>
      </c>
    </row>
    <row r="11" customFormat="false" ht="28.5" hidden="false" customHeight="true" outlineLevel="0" collapsed="false">
      <c r="H11" s="242" t="s">
        <v>1179</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1180</v>
      </c>
      <c r="I12" s="243" t="s">
        <v>1031</v>
      </c>
      <c r="J12" s="245" t="s">
        <v>1032</v>
      </c>
      <c r="K12" s="245" t="s">
        <v>1181</v>
      </c>
      <c r="L12" s="0" t="s">
        <v>1033</v>
      </c>
    </row>
    <row r="13" customFormat="false" ht="14.25" hidden="false" customHeight="false" outlineLevel="0" collapsed="false">
      <c r="A13" s="246" t="s">
        <v>726</v>
      </c>
      <c r="B13" s="247"/>
      <c r="C13" s="247"/>
      <c r="D13" s="247"/>
      <c r="E13" s="247"/>
      <c r="F13" s="247"/>
      <c r="G13" s="247"/>
      <c r="H13" s="256"/>
      <c r="I13" s="249" t="str">
        <f aca="false">IF(COUNTIFS('Scores (start here)'!$A:$A,$B$1,'Scores (start here)'!$B:$B,$A13,'Scores (start here)'!$F:$F,"&gt;=0")&gt;0,SUMIFS('Scores (start here)'!$F:$F,'Scores (start here)'!$A:$A,$B$1,'Scores (start here)'!$B:$B,$A13),L13)</f>
        <v/>
      </c>
      <c r="J13" s="247"/>
      <c r="K13" s="247"/>
      <c r="L13" s="0" t="str">
        <f aca="false">IF(H13="","",IF(H13&gt;=0.33,$C$7,IF(H13&gt;=0.15,$C$7/2,0)))</f>
        <v/>
      </c>
    </row>
    <row r="14" customFormat="false" ht="14.25" hidden="false" customHeight="false" outlineLevel="0" collapsed="false">
      <c r="A14" s="246" t="s">
        <v>19</v>
      </c>
      <c r="B14" s="247"/>
      <c r="C14" s="247"/>
      <c r="D14" s="247"/>
      <c r="E14" s="247"/>
      <c r="F14" s="247"/>
      <c r="G14" s="247"/>
      <c r="H14" s="256"/>
      <c r="I14" s="249" t="str">
        <f aca="false">IF(COUNTIFS('Scores (start here)'!$A:$A,$B$1,'Scores (start here)'!$B:$B,$A14,'Scores (start here)'!$F:$F,"&gt;=0")&gt;0,SUMIFS('Scores (start here)'!$F:$F,'Scores (start here)'!$A:$A,$B$1,'Scores (start here)'!$B:$B,$A14),L14)</f>
        <v/>
      </c>
      <c r="J14" s="247" t="s">
        <v>1182</v>
      </c>
      <c r="K14" s="247"/>
      <c r="L14" s="0" t="str">
        <f aca="false">IF(H14="","",IF(H14&gt;=0.33,$C$7,IF(H14&gt;=0.15,$C$7/2,0)))</f>
        <v/>
      </c>
    </row>
    <row r="15" customFormat="false" ht="14.25" hidden="false" customHeight="false" outlineLevel="0" collapsed="false">
      <c r="A15" s="246" t="s">
        <v>727</v>
      </c>
      <c r="B15" s="247"/>
      <c r="C15" s="247"/>
      <c r="D15" s="247"/>
      <c r="E15" s="247"/>
      <c r="F15" s="247"/>
      <c r="G15" s="247"/>
      <c r="H15" s="256"/>
      <c r="I15" s="249" t="str">
        <f aca="false">IF(COUNTIFS('Scores (start here)'!$A:$A,$B$1,'Scores (start here)'!$B:$B,$A15,'Scores (start here)'!$F:$F,"&gt;=0")&gt;0,SUMIFS('Scores (start here)'!$F:$F,'Scores (start here)'!$A:$A,$B$1,'Scores (start here)'!$B:$B,$A15),L15)</f>
        <v/>
      </c>
      <c r="J15" s="247"/>
      <c r="K15" s="247"/>
      <c r="L15" s="0" t="str">
        <f aca="false">IF(H15="","",IF(H15&gt;=0.33,$C$7,IF(H15&gt;=0.15,$C$7/2,0)))</f>
        <v/>
      </c>
    </row>
    <row r="16" customFormat="false" ht="14.25" hidden="false" customHeight="false" outlineLevel="0" collapsed="false">
      <c r="A16" s="246" t="s">
        <v>728</v>
      </c>
      <c r="B16" s="247"/>
      <c r="C16" s="247"/>
      <c r="D16" s="247"/>
      <c r="E16" s="247"/>
      <c r="F16" s="247"/>
      <c r="G16" s="247"/>
      <c r="H16" s="256"/>
      <c r="I16" s="249" t="str">
        <f aca="false">IF(COUNTIFS('Scores (start here)'!$A:$A,$B$1,'Scores (start here)'!$B:$B,$A16,'Scores (start here)'!$F:$F,"&gt;=0")&gt;0,SUMIFS('Scores (start here)'!$F:$F,'Scores (start here)'!$A:$A,$B$1,'Scores (start here)'!$B:$B,$A16),L16)</f>
        <v/>
      </c>
      <c r="J16" s="247"/>
      <c r="K16" s="247"/>
      <c r="L16" s="0" t="str">
        <f aca="false">IF(H16="","",IF(H16&gt;=0.33,$C$7,IF(H16&gt;=0.15,$C$7/2,0)))</f>
        <v/>
      </c>
    </row>
    <row r="17" customFormat="false" ht="14.25" hidden="false" customHeight="false" outlineLevel="0" collapsed="false">
      <c r="A17" s="246" t="s">
        <v>729</v>
      </c>
      <c r="B17" s="247"/>
      <c r="C17" s="247"/>
      <c r="D17" s="247"/>
      <c r="E17" s="247"/>
      <c r="F17" s="247"/>
      <c r="G17" s="247"/>
      <c r="H17" s="256"/>
      <c r="I17" s="249" t="str">
        <f aca="false">IF(COUNTIFS('Scores (start here)'!$A:$A,$B$1,'Scores (start here)'!$B:$B,$A17,'Scores (start here)'!$F:$F,"&gt;=0")&gt;0,SUMIFS('Scores (start here)'!$F:$F,'Scores (start here)'!$A:$A,$B$1,'Scores (start here)'!$B:$B,$A17),L17)</f>
        <v/>
      </c>
      <c r="J17" s="247"/>
      <c r="K17" s="247"/>
      <c r="L17" s="0" t="str">
        <f aca="false">IF(H17="","",IF(H17&gt;=0.33,$C$7,IF(H17&gt;=0.15,$C$7/2,0)))</f>
        <v/>
      </c>
    </row>
    <row r="18" customFormat="false" ht="14.25" hidden="false" customHeight="false" outlineLevel="0" collapsed="false">
      <c r="A18" s="246" t="s">
        <v>730</v>
      </c>
      <c r="B18" s="247"/>
      <c r="C18" s="247"/>
      <c r="D18" s="247"/>
      <c r="E18" s="247"/>
      <c r="F18" s="247"/>
      <c r="G18" s="247"/>
      <c r="H18" s="256"/>
      <c r="I18" s="249" t="str">
        <f aca="false">IF(COUNTIFS('Scores (start here)'!$A:$A,$B$1,'Scores (start here)'!$B:$B,$A18,'Scores (start here)'!$F:$F,"&gt;=0")&gt;0,SUMIFS('Scores (start here)'!$F:$F,'Scores (start here)'!$A:$A,$B$1,'Scores (start here)'!$B:$B,$A18),L18)</f>
        <v/>
      </c>
      <c r="J18" s="247"/>
      <c r="K18" s="247"/>
      <c r="L18" s="0" t="str">
        <f aca="false">IF(H18="","",IF(H18&gt;=0.33,$C$7,IF(H18&gt;=0.15,$C$7/2,0)))</f>
        <v/>
      </c>
    </row>
    <row r="19" customFormat="false" ht="14.25" hidden="false" customHeight="false" outlineLevel="0" collapsed="false">
      <c r="A19" s="246" t="s">
        <v>731</v>
      </c>
      <c r="B19" s="247"/>
      <c r="C19" s="247"/>
      <c r="D19" s="247"/>
      <c r="E19" s="247"/>
      <c r="F19" s="247"/>
      <c r="G19" s="247"/>
      <c r="H19" s="256"/>
      <c r="I19" s="249" t="str">
        <f aca="false">IF(COUNTIFS('Scores (start here)'!$A:$A,$B$1,'Scores (start here)'!$B:$B,$A19,'Scores (start here)'!$F:$F,"&gt;=0")&gt;0,SUMIFS('Scores (start here)'!$F:$F,'Scores (start here)'!$A:$A,$B$1,'Scores (start here)'!$B:$B,$A19),L19)</f>
        <v/>
      </c>
      <c r="J19" s="247"/>
      <c r="K19" s="247"/>
      <c r="L19" s="0" t="str">
        <f aca="false">IF(H19="","",IF(H19&gt;=0.33,$C$7,IF(H19&gt;=0.15,$C$7/2,0)))</f>
        <v/>
      </c>
    </row>
    <row r="20" customFormat="false" ht="14.25" hidden="false" customHeight="false" outlineLevel="0" collapsed="false">
      <c r="A20" s="246" t="s">
        <v>732</v>
      </c>
      <c r="B20" s="247"/>
      <c r="C20" s="247"/>
      <c r="D20" s="247"/>
      <c r="E20" s="247"/>
      <c r="F20" s="247"/>
      <c r="G20" s="247"/>
      <c r="H20" s="256"/>
      <c r="I20" s="249" t="str">
        <f aca="false">IF(COUNTIFS('Scores (start here)'!$A:$A,$B$1,'Scores (start here)'!$B:$B,$A20,'Scores (start here)'!$F:$F,"&gt;=0")&gt;0,SUMIFS('Scores (start here)'!$F:$F,'Scores (start here)'!$A:$A,$B$1,'Scores (start here)'!$B:$B,$A20),L20)</f>
        <v/>
      </c>
      <c r="J20" s="247"/>
      <c r="K20" s="247"/>
      <c r="L20" s="0" t="str">
        <f aca="false">IF(H20="","",IF(H20&gt;=0.33,$C$7,IF(H20&gt;=0.15,$C$7/2,0)))</f>
        <v/>
      </c>
    </row>
    <row r="21" customFormat="false" ht="14.25" hidden="false" customHeight="false" outlineLevel="0" collapsed="false">
      <c r="A21" s="246" t="s">
        <v>733</v>
      </c>
      <c r="B21" s="247"/>
      <c r="C21" s="247"/>
      <c r="D21" s="247"/>
      <c r="E21" s="247"/>
      <c r="F21" s="247"/>
      <c r="G21" s="247"/>
      <c r="H21" s="256"/>
      <c r="I21" s="249" t="str">
        <f aca="false">IF(COUNTIFS('Scores (start here)'!$A:$A,$B$1,'Scores (start here)'!$B:$B,$A21,'Scores (start here)'!$F:$F,"&gt;=0")&gt;0,SUMIFS('Scores (start here)'!$F:$F,'Scores (start here)'!$A:$A,$B$1,'Scores (start here)'!$B:$B,$A21),L21)</f>
        <v/>
      </c>
      <c r="J21" s="247"/>
      <c r="K21" s="247"/>
      <c r="L21" s="0" t="str">
        <f aca="false">IF(H21="","",IF(H21&gt;=0.33,$C$7,IF(H21&gt;=0.15,$C$7/2,0)))</f>
        <v/>
      </c>
    </row>
    <row r="22" customFormat="false" ht="14.25" hidden="false" customHeight="false" outlineLevel="0" collapsed="false">
      <c r="A22" s="246" t="s">
        <v>734</v>
      </c>
      <c r="B22" s="247"/>
      <c r="C22" s="247"/>
      <c r="D22" s="247"/>
      <c r="E22" s="247"/>
      <c r="F22" s="247"/>
      <c r="G22" s="247"/>
      <c r="H22" s="256"/>
      <c r="I22" s="249" t="str">
        <f aca="false">IF(COUNTIFS('Scores (start here)'!$A:$A,$B$1,'Scores (start here)'!$B:$B,$A22,'Scores (start here)'!$F:$F,"&gt;=0")&gt;0,SUMIFS('Scores (start here)'!$F:$F,'Scores (start here)'!$A:$A,$B$1,'Scores (start here)'!$B:$B,$A22),L22)</f>
        <v/>
      </c>
      <c r="J22" s="247"/>
      <c r="K22" s="247"/>
      <c r="L22" s="0" t="str">
        <f aca="false">IF(H22="","",IF(H22&gt;=0.33,$C$7,IF(H22&gt;=0.15,$C$7/2,0)))</f>
        <v/>
      </c>
    </row>
    <row r="23" customFormat="false" ht="14.25" hidden="false" customHeight="false" outlineLevel="0" collapsed="false">
      <c r="A23" s="246" t="s">
        <v>735</v>
      </c>
      <c r="B23" s="247"/>
      <c r="C23" s="247"/>
      <c r="D23" s="247"/>
      <c r="E23" s="247"/>
      <c r="F23" s="247"/>
      <c r="G23" s="247"/>
      <c r="H23" s="256"/>
      <c r="I23" s="249" t="str">
        <f aca="false">IF(COUNTIFS('Scores (start here)'!$A:$A,$B$1,'Scores (start here)'!$B:$B,$A23,'Scores (start here)'!$F:$F,"&gt;=0")&gt;0,SUMIFS('Scores (start here)'!$F:$F,'Scores (start here)'!$A:$A,$B$1,'Scores (start here)'!$B:$B,$A23),L23)</f>
        <v/>
      </c>
      <c r="J23" s="247"/>
      <c r="K23" s="247"/>
      <c r="L23" s="0" t="str">
        <f aca="false">IF(H23="","",IF(H23&gt;=0.33,$C$7,IF(H23&gt;=0.15,$C$7/2,0)))</f>
        <v/>
      </c>
    </row>
    <row r="24" customFormat="false" ht="14.25" hidden="false" customHeight="false" outlineLevel="0" collapsed="false">
      <c r="A24" s="246" t="s">
        <v>736</v>
      </c>
      <c r="B24" s="247"/>
      <c r="C24" s="247"/>
      <c r="D24" s="247"/>
      <c r="E24" s="247"/>
      <c r="F24" s="247"/>
      <c r="G24" s="247"/>
      <c r="H24" s="256"/>
      <c r="I24" s="249" t="str">
        <f aca="false">IF(COUNTIFS('Scores (start here)'!$A:$A,$B$1,'Scores (start here)'!$B:$B,$A24,'Scores (start here)'!$F:$F,"&gt;=0")&gt;0,SUMIFS('Scores (start here)'!$F:$F,'Scores (start here)'!$A:$A,$B$1,'Scores (start here)'!$B:$B,$A24),L24)</f>
        <v/>
      </c>
      <c r="J24" s="247"/>
      <c r="K24" s="247"/>
      <c r="L24" s="0" t="str">
        <f aca="false">IF(H24="","",IF(H24&gt;=0.33,$C$7,IF(H24&gt;=0.15,$C$7/2,0)))</f>
        <v/>
      </c>
    </row>
    <row r="25" customFormat="false" ht="14.25" hidden="false" customHeight="false" outlineLevel="0" collapsed="false">
      <c r="A25" s="246" t="s">
        <v>737</v>
      </c>
      <c r="B25" s="247"/>
      <c r="C25" s="247"/>
      <c r="D25" s="247"/>
      <c r="E25" s="247"/>
      <c r="F25" s="247"/>
      <c r="G25" s="247"/>
      <c r="H25" s="256"/>
      <c r="I25" s="249" t="str">
        <f aca="false">IF(COUNTIFS('Scores (start here)'!$A:$A,$B$1,'Scores (start here)'!$B:$B,$A25,'Scores (start here)'!$F:$F,"&gt;=0")&gt;0,SUMIFS('Scores (start here)'!$F:$F,'Scores (start here)'!$A:$A,$B$1,'Scores (start here)'!$B:$B,$A25),L25)</f>
        <v/>
      </c>
      <c r="J25" s="247"/>
      <c r="K25" s="247"/>
      <c r="L25" s="0" t="str">
        <f aca="false">IF(H25="","",IF(H25&gt;=0.33,$C$7,IF(H25&gt;=0.15,$C$7/2,0)))</f>
        <v/>
      </c>
    </row>
    <row r="26" customFormat="false" ht="14.25" hidden="false" customHeight="false" outlineLevel="0" collapsed="false">
      <c r="A26" s="246" t="s">
        <v>738</v>
      </c>
      <c r="B26" s="247"/>
      <c r="C26" s="247"/>
      <c r="D26" s="247"/>
      <c r="E26" s="247"/>
      <c r="F26" s="247"/>
      <c r="G26" s="247"/>
      <c r="H26" s="256"/>
      <c r="I26" s="249" t="str">
        <f aca="false">IF(COUNTIFS('Scores (start here)'!$A:$A,$B$1,'Scores (start here)'!$B:$B,$A26,'Scores (start here)'!$F:$F,"&gt;=0")&gt;0,SUMIFS('Scores (start here)'!$F:$F,'Scores (start here)'!$A:$A,$B$1,'Scores (start here)'!$B:$B,$A26),L26)</f>
        <v/>
      </c>
      <c r="J26" s="247"/>
      <c r="K26" s="247"/>
      <c r="L26" s="0" t="str">
        <f aca="false">IF(H26="","",IF(H26&gt;=0.33,$C$7,IF(H26&gt;=0.15,$C$7/2,0)))</f>
        <v/>
      </c>
    </row>
    <row r="27" customFormat="false" ht="14.25" hidden="false" customHeight="false" outlineLevel="0" collapsed="false">
      <c r="A27" s="246" t="s">
        <v>739</v>
      </c>
      <c r="B27" s="247"/>
      <c r="C27" s="247"/>
      <c r="D27" s="247"/>
      <c r="E27" s="247"/>
      <c r="F27" s="247"/>
      <c r="G27" s="247"/>
      <c r="H27" s="256"/>
      <c r="I27" s="249" t="str">
        <f aca="false">IF(COUNTIFS('Scores (start here)'!$A:$A,$B$1,'Scores (start here)'!$B:$B,$A27,'Scores (start here)'!$F:$F,"&gt;=0")&gt;0,SUMIFS('Scores (start here)'!$F:$F,'Scores (start here)'!$A:$A,$B$1,'Scores (start here)'!$B:$B,$A27),L27)</f>
        <v/>
      </c>
      <c r="J27" s="247"/>
      <c r="K27" s="247"/>
      <c r="L27" s="0" t="str">
        <f aca="false">IF(H27="","",IF(H27&gt;=0.33,$C$7,IF(H27&gt;=0.15,$C$7/2,0)))</f>
        <v/>
      </c>
    </row>
    <row r="28" customFormat="false" ht="14.25" hidden="false" customHeight="false" outlineLevel="0" collapsed="false">
      <c r="A28" s="246" t="s">
        <v>740</v>
      </c>
      <c r="B28" s="247"/>
      <c r="C28" s="247"/>
      <c r="D28" s="247"/>
      <c r="E28" s="247"/>
      <c r="F28" s="247"/>
      <c r="G28" s="247"/>
      <c r="H28" s="256"/>
      <c r="I28" s="249" t="str">
        <f aca="false">IF(COUNTIFS('Scores (start here)'!$A:$A,$B$1,'Scores (start here)'!$B:$B,$A28,'Scores (start here)'!$F:$F,"&gt;=0")&gt;0,SUMIFS('Scores (start here)'!$F:$F,'Scores (start here)'!$A:$A,$B$1,'Scores (start here)'!$B:$B,$A28),L28)</f>
        <v/>
      </c>
      <c r="J28" s="247"/>
      <c r="K28" s="247"/>
      <c r="L28" s="0" t="str">
        <f aca="false">IF(H28="","",IF(H28&gt;=0.33,$C$7,IF(H28&gt;=0.15,$C$7/2,0)))</f>
        <v/>
      </c>
    </row>
    <row r="29" customFormat="false" ht="14.25" hidden="false" customHeight="false" outlineLevel="0" collapsed="false">
      <c r="A29" s="246" t="s">
        <v>741</v>
      </c>
      <c r="B29" s="247"/>
      <c r="C29" s="247"/>
      <c r="D29" s="247"/>
      <c r="E29" s="247"/>
      <c r="F29" s="247"/>
      <c r="G29" s="247"/>
      <c r="H29" s="256"/>
      <c r="I29" s="249" t="str">
        <f aca="false">IF(COUNTIFS('Scores (start here)'!$A:$A,$B$1,'Scores (start here)'!$B:$B,$A29,'Scores (start here)'!$F:$F,"&gt;=0")&gt;0,SUMIFS('Scores (start here)'!$F:$F,'Scores (start here)'!$A:$A,$B$1,'Scores (start here)'!$B:$B,$A29),L29)</f>
        <v/>
      </c>
      <c r="J29" s="247"/>
      <c r="K29" s="247"/>
      <c r="L29" s="0" t="str">
        <f aca="false">IF(H29="","",IF(H29&gt;=0.33,$C$7,IF(H29&gt;=0.15,$C$7/2,0)))</f>
        <v/>
      </c>
    </row>
    <row r="30" customFormat="false" ht="14.25" hidden="false" customHeight="false" outlineLevel="0" collapsed="false">
      <c r="A30" s="246" t="s">
        <v>742</v>
      </c>
      <c r="B30" s="247"/>
      <c r="C30" s="247"/>
      <c r="D30" s="247"/>
      <c r="E30" s="247"/>
      <c r="F30" s="247"/>
      <c r="G30" s="247"/>
      <c r="H30" s="256"/>
      <c r="I30" s="249" t="str">
        <f aca="false">IF(COUNTIFS('Scores (start here)'!$A:$A,$B$1,'Scores (start here)'!$B:$B,$A30,'Scores (start here)'!$F:$F,"&gt;=0")&gt;0,SUMIFS('Scores (start here)'!$F:$F,'Scores (start here)'!$A:$A,$B$1,'Scores (start here)'!$B:$B,$A30),L30)</f>
        <v/>
      </c>
      <c r="J30" s="247"/>
      <c r="K30" s="247"/>
      <c r="L30" s="0" t="str">
        <f aca="false">IF(H30="","",IF(H30&gt;=0.33,$C$7,IF(H30&gt;=0.15,$C$7/2,0)))</f>
        <v/>
      </c>
    </row>
    <row r="31" customFormat="false" ht="14.25" hidden="false" customHeight="false" outlineLevel="0" collapsed="false">
      <c r="A31" s="246" t="s">
        <v>743</v>
      </c>
      <c r="B31" s="247"/>
      <c r="C31" s="247"/>
      <c r="D31" s="247"/>
      <c r="E31" s="247"/>
      <c r="F31" s="247"/>
      <c r="G31" s="247"/>
      <c r="H31" s="256"/>
      <c r="I31" s="249" t="str">
        <f aca="false">IF(COUNTIFS('Scores (start here)'!$A:$A,$B$1,'Scores (start here)'!$B:$B,$A31,'Scores (start here)'!$F:$F,"&gt;=0")&gt;0,SUMIFS('Scores (start here)'!$F:$F,'Scores (start here)'!$A:$A,$B$1,'Scores (start here)'!$B:$B,$A31),L31)</f>
        <v/>
      </c>
      <c r="J31" s="247"/>
      <c r="K31" s="247"/>
      <c r="L31" s="0" t="str">
        <f aca="false">IF(H31="","",IF(H31&gt;=0.33,$C$7,IF(H31&gt;=0.15,$C$7/2,0)))</f>
        <v/>
      </c>
    </row>
    <row r="32" customFormat="false" ht="14.25" hidden="false" customHeight="false" outlineLevel="0" collapsed="false">
      <c r="A32" s="246" t="s">
        <v>744</v>
      </c>
      <c r="B32" s="247"/>
      <c r="C32" s="247"/>
      <c r="D32" s="247"/>
      <c r="E32" s="247"/>
      <c r="F32" s="247"/>
      <c r="G32" s="247"/>
      <c r="H32" s="256"/>
      <c r="I32" s="249" t="str">
        <f aca="false">IF(COUNTIFS('Scores (start here)'!$A:$A,$B$1,'Scores (start here)'!$B:$B,$A32,'Scores (start here)'!$F:$F,"&gt;=0")&gt;0,SUMIFS('Scores (start here)'!$F:$F,'Scores (start here)'!$A:$A,$B$1,'Scores (start here)'!$B:$B,$A32),L32)</f>
        <v/>
      </c>
      <c r="J32" s="247"/>
      <c r="K32" s="247"/>
      <c r="L32" s="0" t="str">
        <f aca="false">IF(H32="","",IF(H32&gt;=0.33,$C$7,IF(H32&gt;=0.15,$C$7/2,0)))</f>
        <v/>
      </c>
    </row>
    <row r="33" customFormat="false" ht="14.25" hidden="false" customHeight="false" outlineLevel="0" collapsed="false">
      <c r="A33" s="246" t="s">
        <v>745</v>
      </c>
      <c r="B33" s="247"/>
      <c r="C33" s="247"/>
      <c r="D33" s="247"/>
      <c r="E33" s="247"/>
      <c r="F33" s="247"/>
      <c r="G33" s="247"/>
      <c r="H33" s="256"/>
      <c r="I33" s="249" t="str">
        <f aca="false">IF(COUNTIFS('Scores (start here)'!$A:$A,$B$1,'Scores (start here)'!$B:$B,$A33,'Scores (start here)'!$F:$F,"&gt;=0")&gt;0,SUMIFS('Scores (start here)'!$F:$F,'Scores (start here)'!$A:$A,$B$1,'Scores (start here)'!$B:$B,$A33),L33)</f>
        <v/>
      </c>
      <c r="J33" s="247"/>
      <c r="K33" s="247"/>
      <c r="L33" s="0" t="str">
        <f aca="false">IF(H33="","",IF(H33&gt;=0.33,$C$7,IF(H33&gt;=0.15,$C$7/2,0)))</f>
        <v/>
      </c>
    </row>
    <row r="34" customFormat="false" ht="14.25" hidden="false" customHeight="false" outlineLevel="0" collapsed="false">
      <c r="A34" s="246" t="s">
        <v>746</v>
      </c>
      <c r="B34" s="247"/>
      <c r="C34" s="247"/>
      <c r="D34" s="247"/>
      <c r="E34" s="247"/>
      <c r="F34" s="247"/>
      <c r="G34" s="247"/>
      <c r="H34" s="256"/>
      <c r="I34" s="249" t="str">
        <f aca="false">IF(COUNTIFS('Scores (start here)'!$A:$A,$B$1,'Scores (start here)'!$B:$B,$A34,'Scores (start here)'!$F:$F,"&gt;=0")&gt;0,SUMIFS('Scores (start here)'!$F:$F,'Scores (start here)'!$A:$A,$B$1,'Scores (start here)'!$B:$B,$A34),L34)</f>
        <v/>
      </c>
      <c r="J34" s="247"/>
      <c r="K34" s="247"/>
      <c r="L34" s="0" t="str">
        <f aca="false">IF(H34="","",IF(H34&gt;=0.33,$C$7,IF(H34&gt;=0.15,$C$7/2,0)))</f>
        <v/>
      </c>
    </row>
    <row r="35" customFormat="false" ht="14.25" hidden="false" customHeight="false" outlineLevel="0" collapsed="false">
      <c r="A35" s="246" t="s">
        <v>747</v>
      </c>
      <c r="B35" s="247"/>
      <c r="C35" s="247"/>
      <c r="D35" s="247"/>
      <c r="E35" s="247"/>
      <c r="F35" s="247"/>
      <c r="G35" s="247"/>
      <c r="H35" s="256"/>
      <c r="I35" s="249" t="str">
        <f aca="false">IF(COUNTIFS('Scores (start here)'!$A:$A,$B$1,'Scores (start here)'!$B:$B,$A35,'Scores (start here)'!$F:$F,"&gt;=0")&gt;0,SUMIFS('Scores (start here)'!$F:$F,'Scores (start here)'!$A:$A,$B$1,'Scores (start here)'!$B:$B,$A35),L35)</f>
        <v/>
      </c>
      <c r="J35" s="247"/>
      <c r="K35" s="247"/>
      <c r="L35" s="0" t="str">
        <f aca="false">IF(H35="","",IF(H35&gt;=0.33,$C$7,IF(H35&gt;=0.15,$C$7/2,0)))</f>
        <v/>
      </c>
    </row>
    <row r="36" customFormat="false" ht="14.25" hidden="false" customHeight="false" outlineLevel="0" collapsed="false">
      <c r="A36" s="246" t="s">
        <v>748</v>
      </c>
      <c r="B36" s="247"/>
      <c r="C36" s="247"/>
      <c r="D36" s="247"/>
      <c r="E36" s="247"/>
      <c r="F36" s="247"/>
      <c r="G36" s="247"/>
      <c r="H36" s="256"/>
      <c r="I36" s="249" t="str">
        <f aca="false">IF(COUNTIFS('Scores (start here)'!$A:$A,$B$1,'Scores (start here)'!$B:$B,$A36,'Scores (start here)'!$F:$F,"&gt;=0")&gt;0,SUMIFS('Scores (start here)'!$F:$F,'Scores (start here)'!$A:$A,$B$1,'Scores (start here)'!$B:$B,$A36),L36)</f>
        <v/>
      </c>
      <c r="J36" s="247"/>
      <c r="K36" s="247"/>
      <c r="L36" s="0" t="str">
        <f aca="false">IF(H36="","",IF(H36&gt;=0.33,$C$7,IF(H36&gt;=0.15,$C$7/2,0)))</f>
        <v/>
      </c>
    </row>
    <row r="37" customFormat="false" ht="14.25" hidden="false" customHeight="false" outlineLevel="0" collapsed="false">
      <c r="A37" s="246" t="s">
        <v>749</v>
      </c>
      <c r="B37" s="247"/>
      <c r="C37" s="247"/>
      <c r="D37" s="247"/>
      <c r="E37" s="247"/>
      <c r="F37" s="247"/>
      <c r="G37" s="247"/>
      <c r="H37" s="256"/>
      <c r="I37" s="249" t="str">
        <f aca="false">IF(COUNTIFS('Scores (start here)'!$A:$A,$B$1,'Scores (start here)'!$B:$B,$A37,'Scores (start here)'!$F:$F,"&gt;=0")&gt;0,SUMIFS('Scores (start here)'!$F:$F,'Scores (start here)'!$A:$A,$B$1,'Scores (start here)'!$B:$B,$A37),L37)</f>
        <v/>
      </c>
      <c r="J37" s="247"/>
      <c r="K37" s="247"/>
      <c r="L37" s="0" t="str">
        <f aca="false">IF(H37="","",IF(H37&gt;=0.33,$C$7,IF(H37&gt;=0.15,$C$7/2,0)))</f>
        <v/>
      </c>
    </row>
    <row r="38" customFormat="false" ht="14.25" hidden="false" customHeight="false" outlineLevel="0" collapsed="false">
      <c r="A38" s="246" t="s">
        <v>750</v>
      </c>
      <c r="B38" s="247"/>
      <c r="C38" s="247"/>
      <c r="D38" s="247"/>
      <c r="E38" s="247"/>
      <c r="F38" s="247"/>
      <c r="G38" s="247"/>
      <c r="H38" s="256"/>
      <c r="I38" s="249" t="str">
        <f aca="false">IF(COUNTIFS('Scores (start here)'!$A:$A,$B$1,'Scores (start here)'!$B:$B,$A38,'Scores (start here)'!$F:$F,"&gt;=0")&gt;0,SUMIFS('Scores (start here)'!$F:$F,'Scores (start here)'!$A:$A,$B$1,'Scores (start here)'!$B:$B,$A38),L38)</f>
        <v/>
      </c>
      <c r="J38" s="247"/>
      <c r="K38" s="247"/>
      <c r="L38" s="0" t="str">
        <f aca="false">IF(H38="","",IF(H38&gt;=0.33,$C$7,IF(H38&gt;=0.15,$C$7/2,0)))</f>
        <v/>
      </c>
    </row>
    <row r="39" customFormat="false" ht="14.25" hidden="false" customHeight="false" outlineLevel="0" collapsed="false">
      <c r="A39" s="246" t="s">
        <v>751</v>
      </c>
      <c r="B39" s="247"/>
      <c r="C39" s="247"/>
      <c r="D39" s="247"/>
      <c r="E39" s="247"/>
      <c r="F39" s="247"/>
      <c r="G39" s="247"/>
      <c r="H39" s="256"/>
      <c r="I39" s="249" t="str">
        <f aca="false">IF(COUNTIFS('Scores (start here)'!$A:$A,$B$1,'Scores (start here)'!$B:$B,$A39,'Scores (start here)'!$F:$F,"&gt;=0")&gt;0,SUMIFS('Scores (start here)'!$F:$F,'Scores (start here)'!$A:$A,$B$1,'Scores (start here)'!$B:$B,$A39),L39)</f>
        <v/>
      </c>
      <c r="J39" s="247"/>
      <c r="K39" s="247"/>
      <c r="L39" s="0" t="str">
        <f aca="false">IF(H39="","",IF(H39&gt;=0.33,$C$7,IF(H39&gt;=0.15,$C$7/2,0)))</f>
        <v/>
      </c>
    </row>
    <row r="40" customFormat="false" ht="14.25" hidden="false" customHeight="false" outlineLevel="0" collapsed="false">
      <c r="A40" s="246" t="s">
        <v>752</v>
      </c>
      <c r="B40" s="247"/>
      <c r="C40" s="247"/>
      <c r="D40" s="247"/>
      <c r="E40" s="247"/>
      <c r="F40" s="247"/>
      <c r="G40" s="247"/>
      <c r="H40" s="256"/>
      <c r="I40" s="249" t="str">
        <f aca="false">IF(COUNTIFS('Scores (start here)'!$A:$A,$B$1,'Scores (start here)'!$B:$B,$A40,'Scores (start here)'!$F:$F,"&gt;=0")&gt;0,SUMIFS('Scores (start here)'!$F:$F,'Scores (start here)'!$A:$A,$B$1,'Scores (start here)'!$B:$B,$A40),L40)</f>
        <v/>
      </c>
      <c r="J40" s="247"/>
      <c r="K40" s="247"/>
      <c r="L40" s="0" t="str">
        <f aca="false">IF(H40="","",IF(H40&gt;=0.33,$C$7,IF(H40&gt;=0.15,$C$7/2,0)))</f>
        <v/>
      </c>
    </row>
    <row r="41" customFormat="false" ht="14.25" hidden="false" customHeight="false" outlineLevel="0" collapsed="false">
      <c r="A41" s="246" t="s">
        <v>753</v>
      </c>
      <c r="B41" s="247"/>
      <c r="C41" s="247"/>
      <c r="D41" s="247"/>
      <c r="E41" s="247"/>
      <c r="F41" s="247"/>
      <c r="G41" s="247"/>
      <c r="H41" s="256"/>
      <c r="I41" s="249" t="str">
        <f aca="false">IF(COUNTIFS('Scores (start here)'!$A:$A,$B$1,'Scores (start here)'!$B:$B,$A41,'Scores (start here)'!$F:$F,"&gt;=0")&gt;0,SUMIFS('Scores (start here)'!$F:$F,'Scores (start here)'!$A:$A,$B$1,'Scores (start here)'!$B:$B,$A41),L41)</f>
        <v/>
      </c>
      <c r="J41" s="247"/>
      <c r="K41" s="247"/>
      <c r="L41" s="0" t="str">
        <f aca="false">IF(H41="","",IF(H41&gt;=0.33,$C$7,IF(H41&gt;=0.15,$C$7/2,0)))</f>
        <v/>
      </c>
    </row>
  </sheetData>
  <dataValidations count="1">
    <dataValidation allowBlank="true" error="Please enter a valid value (see note above the column)." errorStyle="stop" errorTitle="Invalid entry" operator="between" showDropDown="false" showErrorMessage="true" showInputMessage="false" sqref="H13:H41" type="decimal">
      <formula1>0</formula1>
      <formula2>1</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240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Specialised institutional capacity</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Urban design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Urban Design Cell?</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0" t="n">
        <f aca="false">VLOOKUP($B$1,'UPD Questions_290926 '!$E$1:$N$300,MATCH($A$7,'UPD Questions_290926 '!$E$1:$N$1,0),0)</f>
        <v>2.5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Urban Design Cell/Unit/Vertical or equivalent. If this information is not available on the ULG website, evidence may be obtained from official government sources, credible media reports on the establishment/functioning of such a cell, or through RTI/official email requests. For towns with a population below five lakh, consider a shared Urban Design Cell/resource available to the city at the State or district level. Score 2.5 if there is evidence that an Urban Design Cell/Unit/Vertical exists, including a qualifying shared State/district-level resource for towns below five lakh; score 0 otherwise.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1183</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244</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Climate</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Climate Action/Sustainability/Disaster Management Cell?</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0" t="n">
        <f aca="false">VLOOKUP($B$1,'UPD Questions_290926 '!$E$1:$N$300,MATCH($A$7,'UPD Questions_290926 '!$E$1:$N$1,0),0)</f>
        <v>2.5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climate action, sustainability, resilience and/or disaster management cell/unit/vertical or equivalent. If this information is not available on the ULG website, you may obtain evidence from official government sources, credible media reports on the establishment/functioning of such a cell, or RTI/official email requests. For towns with a population below five lakh, consider a shared climate action/sustainability/disaster management cell or resource available to the city at the state or district level. Score 2.5 if there is evidence that such a cell/unit/vertical exists and is functional for the city, including a qualifying shared state/district-level resource for towns below five lakh;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1184</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247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Economic development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an Economic Develepment Cell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0" t="n">
        <f aca="false">VLOOKUP($B$1,'UPD Questions_290926 '!$E$1:$N$300,MATCH($A$7,'UPD Questions_290926 '!$E$1:$N$1,0),0)</f>
        <v>2.5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an economic 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an economic development cell/unit/vertical exists and is functional for the city; score 0 otherwise. Applicability: this indicator is applicable only to million-plus cities (population of 10 lakh or more). For all other cities, score NA.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1185</v>
      </c>
    </row>
    <row r="11" customFormat="false" ht="28.5" hidden="false" customHeight="true" outlineLevel="0" collapsed="false">
      <c r="H11" s="242" t="s">
        <v>1082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IF(H13="NA","NA",IF(H13="YES",$C$7,IF(H13="NO",0,"")))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1186</v>
      </c>
      <c r="K14" s="0" t="str">
        <f aca="false">IF(H14="NA","NA",IF(H14="YES",$C$7,IF(H14="NO",0,"")))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IF(H15="NA","NA",IF(H15="YES",$C$7,IF(H15="NO",0,"")))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IF(H16="NA","NA",IF(H16="YES",$C$7,IF(H16="NO",0,"")))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IF(H17="NA","NA",IF(H17="YES",$C$7,IF(H17="NO",0,"")))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IF(H18="NA","NA",IF(H18="YES",$C$7,IF(H18="NO",0,"")))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IF(H19="NA","NA",IF(H19="YES",$C$7,IF(H19="NO",0,"")))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IF(H20="NA","NA",IF(H20="YES",$C$7,IF(H20="NO",0,"")))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IF(H21="NA","NA",IF(H21="YES",$C$7,IF(H21="NO",0,"")))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IF(H22="NA","NA",IF(H22="YES",$C$7,IF(H22="NO",0,"")))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IF(H23="NA","NA",IF(H23="YES",$C$7,IF(H23="NO",0,"")))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IF(H24="NA","NA",IF(H24="YES",$C$7,IF(H24="NO",0,"")))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IF(H25="NA","NA",IF(H25="YES",$C$7,IF(H25="NO",0,"")))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IF(H26="NA","NA",IF(H26="YES",$C$7,IF(H26="NO",0,"")))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IF(H27="NA","NA",IF(H27="YES",$C$7,IF(H27="NO",0,"")))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IF(H28="NA","NA",IF(H28="YES",$C$7,IF(H28="NO",0,"")))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IF(H29="NA","NA",IF(H29="YES",$C$7,IF(H29="NO",0,"")))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IF(H30="NA","NA",IF(H30="YES",$C$7,IF(H30="NO",0,"")))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IF(H31="NA","NA",IF(H31="YES",$C$7,IF(H31="NO",0,"")))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IF(H32="NA","NA",IF(H32="YES",$C$7,IF(H32="NO",0,"")))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IF(H33="NA","NA",IF(H33="YES",$C$7,IF(H33="NO",0,"")))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IF(H34="NA","NA",IF(H34="YES",$C$7,IF(H34="NO",0,"")))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IF(H35="NA","NA",IF(H35="YES",$C$7,IF(H35="NO",0,"")))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IF(H36="NA","NA",IF(H36="YES",$C$7,IF(H36="NO",0,"")))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IF(H37="NA","NA",IF(H37="YES",$C$7,IF(H37="NO",0,"")))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IF(H38="NA","NA",IF(H38="YES",$C$7,IF(H38="NO",0,"")))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IF(H39="NA","NA",IF(H39="YES",$C$7,IF(H39="NO",0,"")))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IF(H40="NA","NA",IF(H40="YES",$C$7,IF(H40="NO",0,"")))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250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Specialised institutional capacity &gt;:&lt; Does the city have dedicated institutional capacity to undertake specialised planning and development functions?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Specialised institutional capacity &gt;:&lt; Women's welfare or development</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dedicated institutional cells/units for specialised functions? &gt;:&lt; Does the city have a dedicated Women's Welfare/Development Cell?</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2.5</v>
      </c>
      <c r="C7" s="240" t="n">
        <f aca="false">VLOOKUP($B$1,'UPD Questions_290926 '!$E$1:$N$300,MATCH($A$7,'UPD Questions_290926 '!$E$1:$N$1,0),0)</f>
        <v>2.5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Score 10, assessed through 4 sub-questions of 2.5 each: an Urban Design Cell; a Climate Action/Sustainability/Disaster Management Cell; an Economic Development Cell; and a dedicated Women's Welfare/Development Cell &gt;:&lt; Check the ULG website to determine whether the city has a dedicated women’s welfare/development cell/unit/vertical or equivalent. If this information is not available on the ULG website, evidence may be obtained from official government sources, credible media reports on the establishment/functioning of such a cell, or through RTI/official email requests. Score 2.5 if there is evidence that a dedicated women’s welfare/development cell/unit/vertical exists and is functional for the city; score 0 otherwise. Applicability: This indicator is applicable only to million-plus cities. For all non-million-plus cities, score NA.</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1185</v>
      </c>
    </row>
    <row r="11" customFormat="false" ht="28.5" hidden="false" customHeight="true" outlineLevel="0" collapsed="false">
      <c r="H11" s="242" t="s">
        <v>1082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IF(H13="NA","NA",IF(H13="YES",$C$7,IF(H13="NO",0,"")))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1187</v>
      </c>
      <c r="K14" s="0" t="str">
        <f aca="false">IF(H14="NA","NA",IF(H14="YES",$C$7,IF(H14="NO",0,"")))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IF(H15="NA","NA",IF(H15="YES",$C$7,IF(H15="NO",0,"")))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IF(H16="NA","NA",IF(H16="YES",$C$7,IF(H16="NO",0,"")))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IF(H17="NA","NA",IF(H17="YES",$C$7,IF(H17="NO",0,"")))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IF(H18="NA","NA",IF(H18="YES",$C$7,IF(H18="NO",0,"")))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IF(H19="NA","NA",IF(H19="YES",$C$7,IF(H19="NO",0,"")))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IF(H20="NA","NA",IF(H20="YES",$C$7,IF(H20="NO",0,"")))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IF(H21="NA","NA",IF(H21="YES",$C$7,IF(H21="NO",0,"")))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IF(H22="NA","NA",IF(H22="YES",$C$7,IF(H22="NO",0,"")))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IF(H23="NA","NA",IF(H23="YES",$C$7,IF(H23="NO",0,"")))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IF(H24="NA","NA",IF(H24="YES",$C$7,IF(H24="NO",0,"")))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IF(H25="NA","NA",IF(H25="YES",$C$7,IF(H25="NO",0,"")))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IF(H26="NA","NA",IF(H26="YES",$C$7,IF(H26="NO",0,"")))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IF(H27="NA","NA",IF(H27="YES",$C$7,IF(H27="NO",0,"")))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IF(H28="NA","NA",IF(H28="YES",$C$7,IF(H28="NO",0,"")))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IF(H29="NA","NA",IF(H29="YES",$C$7,IF(H29="NO",0,"")))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IF(H30="NA","NA",IF(H30="YES",$C$7,IF(H30="NO",0,"")))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IF(H31="NA","NA",IF(H31="YES",$C$7,IF(H31="NO",0,"")))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IF(H32="NA","NA",IF(H32="YES",$C$7,IF(H32="NO",0,"")))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IF(H33="NA","NA",IF(H33="YES",$C$7,IF(H33="NO",0,"")))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IF(H34="NA","NA",IF(H34="YES",$C$7,IF(H34="NO",0,"")))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IF(H35="NA","NA",IF(H35="YES",$C$7,IF(H35="NO",0,"")))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IF(H36="NA","NA",IF(H36="YES",$C$7,IF(H36="NO",0,"")))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IF(H37="NA","NA",IF(H37="YES",$C$7,IF(H37="NO",0,"")))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IF(H38="NA","NA",IF(H38="YES",$C$7,IF(H38="NO",0,"")))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IF(H39="NA","NA",IF(H39="YES",$C$7,IF(H39="NO",0,"")))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IF(H40="NA","NA",IF(H40="YES",$C$7,IF(H40="NO",0,"")))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2" min="8" style="0" width="22"/>
    <col collapsed="false" customWidth="true" hidden="false" outlineLevel="0" max="13" min="13" style="0" width="14"/>
    <col collapsed="false" customWidth="true" hidden="false" outlineLevel="0" max="14" min="14" style="0" width="45"/>
  </cols>
  <sheetData>
    <row r="1" customFormat="false" ht="14.25" hidden="false" customHeight="false" outlineLevel="0" collapsed="false">
      <c r="A1" s="237" t="s">
        <v>1016</v>
      </c>
      <c r="B1" s="237" t="s">
        <v>253</v>
      </c>
      <c r="C1" s="238" t="s">
        <v>1017</v>
      </c>
      <c r="M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law mandate comprehensive urban design standards and universal accessibility?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provides for urban design standards/guidelines for the planning, design or execution of urban development across the following four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 For each of the five categories, check whether the applicable law mandates or enables urban design standards/guidelines for the planning, design or execution of urban development.For each category, score as follows:Score 1: Where the law uses mandatory language (e.g., “shall”) requiring the preparation, prescription, adoption or application of urban design standards/guidelines.Score 0.5: Where the law uses enabling/discretionary language (e.g., “may”) permitting the preparation, prescription, adoption or application of such standards/guidelines.Score 0: Where there is no such provision.Maximum score: 5 points (5 categories × 1 point). A general power to regulate development, without a specific provision for relevant design standards/guidelines, shall not qualify.</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1188</v>
      </c>
    </row>
    <row r="11" customFormat="false" ht="28.5" hidden="false" customHeight="true" outlineLevel="0" collapsed="false">
      <c r="H11" s="242" t="s">
        <v>1189</v>
      </c>
      <c r="I11" s="242" t="s">
        <v>1189</v>
      </c>
      <c r="J11" s="242" t="s">
        <v>1189</v>
      </c>
      <c r="K11" s="242" t="s">
        <v>1189</v>
      </c>
      <c r="L11" s="242" t="s">
        <v>1189</v>
      </c>
      <c r="M11" s="243" t="s">
        <v>1023</v>
      </c>
      <c r="O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"Roads &amp; streetscapes ("&amp;TEXT($C$7/5,"0.00")&amp;")"</f>
        <v>Roads &amp; streetscapes (1.00)</v>
      </c>
      <c r="I12" s="245" t="str">
        <f aca="false">"Footpaths / pedestrian infrastructure ("&amp;TEXT($C$7/5,"0.00")&amp;")"</f>
        <v>Footpaths / pedestrian infrastructure (1.00)</v>
      </c>
      <c r="J12" s="245" t="str">
        <f aca="false">"Underground public utilities ("&amp;TEXT($C$7/5,"0.00")&amp;")"</f>
        <v>Underground public utilities (1.00)</v>
      </c>
      <c r="K12" s="245" t="str">
        <f aca="false">"Built-form based codes ("&amp;TEXT($C$7/5,"0.00")&amp;")"</f>
        <v>Built-form based codes (1.00)</v>
      </c>
      <c r="L12" s="245" t="str">
        <f aca="false">"Universal accessibility ("&amp;TEXT($C$7/5,"0.00")&amp;")"</f>
        <v>Universal accessibility (1.00)</v>
      </c>
      <c r="M12" s="243" t="s">
        <v>1031</v>
      </c>
      <c r="N12" s="245" t="s">
        <v>1032</v>
      </c>
      <c r="O12" s="0" t="s">
        <v>1033</v>
      </c>
    </row>
    <row r="13" customFormat="false" ht="14.25" hidden="false" customHeight="false" outlineLevel="0" collapsed="false">
      <c r="A13" s="246" t="s">
        <v>726</v>
      </c>
      <c r="B13" s="247"/>
      <c r="C13" s="247"/>
      <c r="D13" s="247"/>
      <c r="E13" s="247"/>
      <c r="F13" s="247"/>
      <c r="G13" s="247"/>
      <c r="H13" s="248"/>
      <c r="I13" s="248"/>
      <c r="J13" s="248"/>
      <c r="K13" s="248"/>
      <c r="L13" s="248"/>
      <c r="M13" s="249" t="str">
        <f aca="false">IF(COUNTIFS('Scores (start here)'!$A:$A,$B$1,'Scores (start here)'!$B:$B,$A13,'Scores (start here)'!$F:$F,"&gt;=0")&gt;0,SUMIFS('Scores (start here)'!$F:$F,'Scores (start here)'!$A:$A,$B$1,'Scores (start here)'!$B:$B,$A13),O13)</f>
        <v/>
      </c>
      <c r="N13" s="247"/>
      <c r="O13" s="0" t="str">
        <f aca="false">IF(OR(H13="",I13="",J13="",K13="",L13=""),"",(COUNTIF(H13:L13,"SHALL")+0.5*COUNTIF(H13:L13,"MAY"))/5*$C$7)</f>
        <v/>
      </c>
    </row>
    <row r="14" customFormat="false" ht="370.85" hidden="false" customHeight="false" outlineLevel="0" collapsed="false">
      <c r="A14" s="246" t="s">
        <v>19</v>
      </c>
      <c r="B14" s="247" t="s">
        <v>41</v>
      </c>
      <c r="C14" s="247" t="s">
        <v>1190</v>
      </c>
      <c r="D14" s="247" t="s">
        <v>1191</v>
      </c>
      <c r="E14" s="247" t="s">
        <v>1192</v>
      </c>
      <c r="F14" s="247" t="s">
        <v>1193</v>
      </c>
      <c r="G14" s="247" t="s">
        <v>42</v>
      </c>
      <c r="H14" s="248" t="s">
        <v>1194</v>
      </c>
      <c r="I14" s="248"/>
      <c r="J14" s="248"/>
      <c r="K14" s="248" t="s">
        <v>1194</v>
      </c>
      <c r="L14" s="248" t="s">
        <v>1194</v>
      </c>
      <c r="M14" s="249" t="str">
        <f aca="false">IF(COUNTIFS('Scores (start here)'!$A:$A,$B$1,'Scores (start here)'!$B:$B,$A14,'Scores (start here)'!$F:$F,"&gt;=0")&gt;0,SUMIFS('Scores (start here)'!$F:$F,'Scores (start here)'!$A:$A,$B$1,'Scores (start here)'!$B:$B,$A14),O14)</f>
        <v/>
      </c>
      <c r="N14" s="250" t="s">
        <v>1195</v>
      </c>
      <c r="O14" s="0" t="str">
        <f aca="false">IF(OR(H14="",I14="",J14="",K14="",L14=""),"",(COUNTIF(H14:L14,"SHALL")+0.5*COUNTIF(H14:L14,"MAY"))/5*$C$7)</f>
        <v/>
      </c>
    </row>
    <row r="15" customFormat="false" ht="14.25" hidden="false" customHeight="false" outlineLevel="0" collapsed="false">
      <c r="A15" s="246" t="s">
        <v>727</v>
      </c>
      <c r="B15" s="247"/>
      <c r="C15" s="247"/>
      <c r="D15" s="247"/>
      <c r="E15" s="247"/>
      <c r="F15" s="247"/>
      <c r="G15" s="247"/>
      <c r="H15" s="248"/>
      <c r="I15" s="248"/>
      <c r="J15" s="248"/>
      <c r="K15" s="248"/>
      <c r="L15" s="248"/>
      <c r="M15" s="249" t="str">
        <f aca="false">IF(COUNTIFS('Scores (start here)'!$A:$A,$B$1,'Scores (start here)'!$B:$B,$A15,'Scores (start here)'!$F:$F,"&gt;=0")&gt;0,SUMIFS('Scores (start here)'!$F:$F,'Scores (start here)'!$A:$A,$B$1,'Scores (start here)'!$B:$B,$A15),O15)</f>
        <v/>
      </c>
      <c r="N15" s="247"/>
      <c r="O15" s="0" t="str">
        <f aca="false">IF(OR(H15="",I15="",J15="",K15="",L15=""),"",(COUNTIF(H15:L15,"SHALL")+0.5*COUNTIF(H15:L15,"MAY"))/5*$C$7)</f>
        <v/>
      </c>
    </row>
    <row r="16" customFormat="false" ht="14.25" hidden="false" customHeight="false" outlineLevel="0" collapsed="false">
      <c r="A16" s="246" t="s">
        <v>728</v>
      </c>
      <c r="B16" s="247"/>
      <c r="C16" s="247"/>
      <c r="D16" s="247"/>
      <c r="E16" s="247"/>
      <c r="F16" s="247"/>
      <c r="G16" s="247"/>
      <c r="H16" s="248"/>
      <c r="I16" s="248"/>
      <c r="J16" s="248"/>
      <c r="K16" s="248"/>
      <c r="L16" s="248"/>
      <c r="M16" s="249" t="str">
        <f aca="false">IF(COUNTIFS('Scores (start here)'!$A:$A,$B$1,'Scores (start here)'!$B:$B,$A16,'Scores (start here)'!$F:$F,"&gt;=0")&gt;0,SUMIFS('Scores (start here)'!$F:$F,'Scores (start here)'!$A:$A,$B$1,'Scores (start here)'!$B:$B,$A16),O16)</f>
        <v/>
      </c>
      <c r="N16" s="247"/>
      <c r="O16" s="0" t="str">
        <f aca="false">IF(OR(H16="",I16="",J16="",K16="",L16=""),"",(COUNTIF(H16:L16,"SHALL")+0.5*COUNTIF(H16:L16,"MAY"))/5*$C$7)</f>
        <v/>
      </c>
    </row>
    <row r="17" customFormat="false" ht="14.25" hidden="false" customHeight="false" outlineLevel="0" collapsed="false">
      <c r="A17" s="246" t="s">
        <v>729</v>
      </c>
      <c r="B17" s="247"/>
      <c r="C17" s="247"/>
      <c r="D17" s="247"/>
      <c r="E17" s="247"/>
      <c r="F17" s="247"/>
      <c r="G17" s="247"/>
      <c r="H17" s="248"/>
      <c r="I17" s="248"/>
      <c r="J17" s="248"/>
      <c r="K17" s="248"/>
      <c r="L17" s="248"/>
      <c r="M17" s="249" t="str">
        <f aca="false">IF(COUNTIFS('Scores (start here)'!$A:$A,$B$1,'Scores (start here)'!$B:$B,$A17,'Scores (start here)'!$F:$F,"&gt;=0")&gt;0,SUMIFS('Scores (start here)'!$F:$F,'Scores (start here)'!$A:$A,$B$1,'Scores (start here)'!$B:$B,$A17),O17)</f>
        <v/>
      </c>
      <c r="N17" s="247"/>
      <c r="O17" s="0" t="str">
        <f aca="false">IF(OR(H17="",I17="",J17="",K17="",L17=""),"",(COUNTIF(H17:L17,"SHALL")+0.5*COUNTIF(H17:L17,"MAY"))/5*$C$7)</f>
        <v/>
      </c>
    </row>
    <row r="18" customFormat="false" ht="14.25" hidden="false" customHeight="false" outlineLevel="0" collapsed="false">
      <c r="A18" s="246" t="s">
        <v>730</v>
      </c>
      <c r="B18" s="247"/>
      <c r="C18" s="247"/>
      <c r="D18" s="247"/>
      <c r="E18" s="247"/>
      <c r="F18" s="247"/>
      <c r="G18" s="247"/>
      <c r="H18" s="248"/>
      <c r="I18" s="248"/>
      <c r="J18" s="248"/>
      <c r="K18" s="248"/>
      <c r="L18" s="248"/>
      <c r="M18" s="249" t="str">
        <f aca="false">IF(COUNTIFS('Scores (start here)'!$A:$A,$B$1,'Scores (start here)'!$B:$B,$A18,'Scores (start here)'!$F:$F,"&gt;=0")&gt;0,SUMIFS('Scores (start here)'!$F:$F,'Scores (start here)'!$A:$A,$B$1,'Scores (start here)'!$B:$B,$A18),O18)</f>
        <v/>
      </c>
      <c r="N18" s="247"/>
      <c r="O18" s="0" t="str">
        <f aca="false">IF(OR(H18="",I18="",J18="",K18="",L18=""),"",(COUNTIF(H18:L18,"SHALL")+0.5*COUNTIF(H18:L18,"MAY"))/5*$C$7)</f>
        <v/>
      </c>
    </row>
    <row r="19" customFormat="false" ht="14.25" hidden="false" customHeight="false" outlineLevel="0" collapsed="false">
      <c r="A19" s="246" t="s">
        <v>731</v>
      </c>
      <c r="B19" s="247"/>
      <c r="C19" s="247"/>
      <c r="D19" s="247"/>
      <c r="E19" s="247"/>
      <c r="F19" s="247"/>
      <c r="G19" s="247"/>
      <c r="H19" s="248"/>
      <c r="I19" s="248"/>
      <c r="J19" s="248"/>
      <c r="K19" s="248"/>
      <c r="L19" s="248"/>
      <c r="M19" s="249" t="str">
        <f aca="false">IF(COUNTIFS('Scores (start here)'!$A:$A,$B$1,'Scores (start here)'!$B:$B,$A19,'Scores (start here)'!$F:$F,"&gt;=0")&gt;0,SUMIFS('Scores (start here)'!$F:$F,'Scores (start here)'!$A:$A,$B$1,'Scores (start here)'!$B:$B,$A19),O19)</f>
        <v/>
      </c>
      <c r="N19" s="247"/>
      <c r="O19" s="0" t="str">
        <f aca="false">IF(OR(H19="",I19="",J19="",K19="",L19=""),"",(COUNTIF(H19:L19,"SHALL")+0.5*COUNTIF(H19:L19,"MAY"))/5*$C$7)</f>
        <v/>
      </c>
    </row>
    <row r="20" customFormat="false" ht="14.25" hidden="false" customHeight="false" outlineLevel="0" collapsed="false">
      <c r="A20" s="246" t="s">
        <v>732</v>
      </c>
      <c r="B20" s="247"/>
      <c r="C20" s="247"/>
      <c r="D20" s="247"/>
      <c r="E20" s="247"/>
      <c r="F20" s="247"/>
      <c r="G20" s="247"/>
      <c r="H20" s="248"/>
      <c r="I20" s="248"/>
      <c r="J20" s="248"/>
      <c r="K20" s="248"/>
      <c r="L20" s="248"/>
      <c r="M20" s="249" t="str">
        <f aca="false">IF(COUNTIFS('Scores (start here)'!$A:$A,$B$1,'Scores (start here)'!$B:$B,$A20,'Scores (start here)'!$F:$F,"&gt;=0")&gt;0,SUMIFS('Scores (start here)'!$F:$F,'Scores (start here)'!$A:$A,$B$1,'Scores (start here)'!$B:$B,$A20),O20)</f>
        <v/>
      </c>
      <c r="N20" s="247"/>
      <c r="O20" s="0" t="str">
        <f aca="false">IF(OR(H20="",I20="",J20="",K20="",L20=""),"",(COUNTIF(H20:L20,"SHALL")+0.5*COUNTIF(H20:L20,"MAY"))/5*$C$7)</f>
        <v/>
      </c>
    </row>
    <row r="21" customFormat="false" ht="14.25" hidden="false" customHeight="false" outlineLevel="0" collapsed="false">
      <c r="A21" s="246" t="s">
        <v>733</v>
      </c>
      <c r="B21" s="247"/>
      <c r="C21" s="247"/>
      <c r="D21" s="247"/>
      <c r="E21" s="247"/>
      <c r="F21" s="247"/>
      <c r="G21" s="247"/>
      <c r="H21" s="248"/>
      <c r="I21" s="248"/>
      <c r="J21" s="248"/>
      <c r="K21" s="248"/>
      <c r="L21" s="248"/>
      <c r="M21" s="249" t="str">
        <f aca="false">IF(COUNTIFS('Scores (start here)'!$A:$A,$B$1,'Scores (start here)'!$B:$B,$A21,'Scores (start here)'!$F:$F,"&gt;=0")&gt;0,SUMIFS('Scores (start here)'!$F:$F,'Scores (start here)'!$A:$A,$B$1,'Scores (start here)'!$B:$B,$A21),O21)</f>
        <v/>
      </c>
      <c r="N21" s="247"/>
      <c r="O21" s="0" t="str">
        <f aca="false">IF(OR(H21="",I21="",J21="",K21="",L21=""),"",(COUNTIF(H21:L21,"SHALL")+0.5*COUNTIF(H21:L21,"MAY"))/5*$C$7)</f>
        <v/>
      </c>
    </row>
    <row r="22" customFormat="false" ht="14.25" hidden="false" customHeight="false" outlineLevel="0" collapsed="false">
      <c r="A22" s="246" t="s">
        <v>734</v>
      </c>
      <c r="B22" s="247"/>
      <c r="C22" s="247"/>
      <c r="D22" s="247"/>
      <c r="E22" s="247"/>
      <c r="F22" s="247"/>
      <c r="G22" s="247"/>
      <c r="H22" s="248"/>
      <c r="I22" s="248"/>
      <c r="J22" s="248"/>
      <c r="K22" s="248"/>
      <c r="L22" s="248"/>
      <c r="M22" s="249" t="str">
        <f aca="false">IF(COUNTIFS('Scores (start here)'!$A:$A,$B$1,'Scores (start here)'!$B:$B,$A22,'Scores (start here)'!$F:$F,"&gt;=0")&gt;0,SUMIFS('Scores (start here)'!$F:$F,'Scores (start here)'!$A:$A,$B$1,'Scores (start here)'!$B:$B,$A22),O22)</f>
        <v/>
      </c>
      <c r="N22" s="247"/>
      <c r="O22" s="0" t="str">
        <f aca="false">IF(OR(H22="",I22="",J22="",K22="",L22=""),"",(COUNTIF(H22:L22,"SHALL")+0.5*COUNTIF(H22:L22,"MAY"))/5*$C$7)</f>
        <v/>
      </c>
    </row>
    <row r="23" customFormat="false" ht="14.25" hidden="false" customHeight="false" outlineLevel="0" collapsed="false">
      <c r="A23" s="246" t="s">
        <v>735</v>
      </c>
      <c r="B23" s="247"/>
      <c r="C23" s="247"/>
      <c r="D23" s="247"/>
      <c r="E23" s="247"/>
      <c r="F23" s="247"/>
      <c r="G23" s="247"/>
      <c r="H23" s="248"/>
      <c r="I23" s="248"/>
      <c r="J23" s="248"/>
      <c r="K23" s="248"/>
      <c r="L23" s="248"/>
      <c r="M23" s="249" t="str">
        <f aca="false">IF(COUNTIFS('Scores (start here)'!$A:$A,$B$1,'Scores (start here)'!$B:$B,$A23,'Scores (start here)'!$F:$F,"&gt;=0")&gt;0,SUMIFS('Scores (start here)'!$F:$F,'Scores (start here)'!$A:$A,$B$1,'Scores (start here)'!$B:$B,$A23),O23)</f>
        <v/>
      </c>
      <c r="N23" s="247"/>
      <c r="O23" s="0" t="str">
        <f aca="false">IF(OR(H23="",I23="",J23="",K23="",L23=""),"",(COUNTIF(H23:L23,"SHALL")+0.5*COUNTIF(H23:L23,"MAY"))/5*$C$7)</f>
        <v/>
      </c>
    </row>
    <row r="24" customFormat="false" ht="14.25" hidden="false" customHeight="false" outlineLevel="0" collapsed="false">
      <c r="A24" s="246" t="s">
        <v>736</v>
      </c>
      <c r="B24" s="247"/>
      <c r="C24" s="247"/>
      <c r="D24" s="247"/>
      <c r="E24" s="247"/>
      <c r="F24" s="247"/>
      <c r="G24" s="247"/>
      <c r="H24" s="248"/>
      <c r="I24" s="248"/>
      <c r="J24" s="248"/>
      <c r="K24" s="248"/>
      <c r="L24" s="248"/>
      <c r="M24" s="249" t="str">
        <f aca="false">IF(COUNTIFS('Scores (start here)'!$A:$A,$B$1,'Scores (start here)'!$B:$B,$A24,'Scores (start here)'!$F:$F,"&gt;=0")&gt;0,SUMIFS('Scores (start here)'!$F:$F,'Scores (start here)'!$A:$A,$B$1,'Scores (start here)'!$B:$B,$A24),O24)</f>
        <v/>
      </c>
      <c r="N24" s="247"/>
      <c r="O24" s="0" t="str">
        <f aca="false">IF(OR(H24="",I24="",J24="",K24="",L24=""),"",(COUNTIF(H24:L24,"SHALL")+0.5*COUNTIF(H24:L24,"MAY"))/5*$C$7)</f>
        <v/>
      </c>
    </row>
    <row r="25" customFormat="false" ht="14.25" hidden="false" customHeight="false" outlineLevel="0" collapsed="false">
      <c r="A25" s="246" t="s">
        <v>737</v>
      </c>
      <c r="B25" s="247"/>
      <c r="C25" s="247"/>
      <c r="D25" s="247"/>
      <c r="E25" s="247"/>
      <c r="F25" s="247"/>
      <c r="G25" s="247"/>
      <c r="H25" s="248"/>
      <c r="I25" s="248"/>
      <c r="J25" s="248"/>
      <c r="K25" s="248"/>
      <c r="L25" s="248"/>
      <c r="M25" s="249" t="str">
        <f aca="false">IF(COUNTIFS('Scores (start here)'!$A:$A,$B$1,'Scores (start here)'!$B:$B,$A25,'Scores (start here)'!$F:$F,"&gt;=0")&gt;0,SUMIFS('Scores (start here)'!$F:$F,'Scores (start here)'!$A:$A,$B$1,'Scores (start here)'!$B:$B,$A25),O25)</f>
        <v/>
      </c>
      <c r="N25" s="247"/>
      <c r="O25" s="0" t="str">
        <f aca="false">IF(OR(H25="",I25="",J25="",K25="",L25=""),"",(COUNTIF(H25:L25,"SHALL")+0.5*COUNTIF(H25:L25,"MAY"))/5*$C$7)</f>
        <v/>
      </c>
    </row>
    <row r="26" customFormat="false" ht="14.25" hidden="false" customHeight="false" outlineLevel="0" collapsed="false">
      <c r="A26" s="246" t="s">
        <v>738</v>
      </c>
      <c r="B26" s="247"/>
      <c r="C26" s="247"/>
      <c r="D26" s="247"/>
      <c r="E26" s="247"/>
      <c r="F26" s="247"/>
      <c r="G26" s="247"/>
      <c r="H26" s="248"/>
      <c r="I26" s="248"/>
      <c r="J26" s="248"/>
      <c r="K26" s="248"/>
      <c r="L26" s="248"/>
      <c r="M26" s="249" t="str">
        <f aca="false">IF(COUNTIFS('Scores (start here)'!$A:$A,$B$1,'Scores (start here)'!$B:$B,$A26,'Scores (start here)'!$F:$F,"&gt;=0")&gt;0,SUMIFS('Scores (start here)'!$F:$F,'Scores (start here)'!$A:$A,$B$1,'Scores (start here)'!$B:$B,$A26),O26)</f>
        <v/>
      </c>
      <c r="N26" s="247"/>
      <c r="O26" s="0" t="str">
        <f aca="false">IF(OR(H26="",I26="",J26="",K26="",L26=""),"",(COUNTIF(H26:L26,"SHALL")+0.5*COUNTIF(H26:L26,"MAY"))/5*$C$7)</f>
        <v/>
      </c>
    </row>
    <row r="27" customFormat="false" ht="14.25" hidden="false" customHeight="false" outlineLevel="0" collapsed="false">
      <c r="A27" s="246" t="s">
        <v>739</v>
      </c>
      <c r="B27" s="247"/>
      <c r="C27" s="247"/>
      <c r="D27" s="247"/>
      <c r="E27" s="247"/>
      <c r="F27" s="247"/>
      <c r="G27" s="247"/>
      <c r="H27" s="248"/>
      <c r="I27" s="248"/>
      <c r="J27" s="248"/>
      <c r="K27" s="248"/>
      <c r="L27" s="248"/>
      <c r="M27" s="249" t="str">
        <f aca="false">IF(COUNTIFS('Scores (start here)'!$A:$A,$B$1,'Scores (start here)'!$B:$B,$A27,'Scores (start here)'!$F:$F,"&gt;=0")&gt;0,SUMIFS('Scores (start here)'!$F:$F,'Scores (start here)'!$A:$A,$B$1,'Scores (start here)'!$B:$B,$A27),O27)</f>
        <v/>
      </c>
      <c r="N27" s="247"/>
      <c r="O27" s="0" t="str">
        <f aca="false">IF(OR(H27="",I27="",J27="",K27="",L27=""),"",(COUNTIF(H27:L27,"SHALL")+0.5*COUNTIF(H27:L27,"MAY"))/5*$C$7)</f>
        <v/>
      </c>
    </row>
    <row r="28" customFormat="false" ht="14.25" hidden="false" customHeight="false" outlineLevel="0" collapsed="false">
      <c r="A28" s="246" t="s">
        <v>740</v>
      </c>
      <c r="B28" s="247"/>
      <c r="C28" s="247"/>
      <c r="D28" s="247"/>
      <c r="E28" s="247"/>
      <c r="F28" s="247"/>
      <c r="G28" s="247"/>
      <c r="H28" s="248"/>
      <c r="I28" s="248"/>
      <c r="J28" s="248"/>
      <c r="K28" s="248"/>
      <c r="L28" s="248"/>
      <c r="M28" s="249" t="str">
        <f aca="false">IF(COUNTIFS('Scores (start here)'!$A:$A,$B$1,'Scores (start here)'!$B:$B,$A28,'Scores (start here)'!$F:$F,"&gt;=0")&gt;0,SUMIFS('Scores (start here)'!$F:$F,'Scores (start here)'!$A:$A,$B$1,'Scores (start here)'!$B:$B,$A28),O28)</f>
        <v/>
      </c>
      <c r="N28" s="247"/>
      <c r="O28" s="0" t="str">
        <f aca="false">IF(OR(H28="",I28="",J28="",K28="",L28=""),"",(COUNTIF(H28:L28,"SHALL")+0.5*COUNTIF(H28:L28,"MAY"))/5*$C$7)</f>
        <v/>
      </c>
    </row>
    <row r="29" customFormat="false" ht="14.25" hidden="false" customHeight="false" outlineLevel="0" collapsed="false">
      <c r="A29" s="246" t="s">
        <v>741</v>
      </c>
      <c r="B29" s="247"/>
      <c r="C29" s="247"/>
      <c r="D29" s="247"/>
      <c r="E29" s="247"/>
      <c r="F29" s="247"/>
      <c r="G29" s="247"/>
      <c r="H29" s="248"/>
      <c r="I29" s="248"/>
      <c r="J29" s="248"/>
      <c r="K29" s="248"/>
      <c r="L29" s="248"/>
      <c r="M29" s="249" t="str">
        <f aca="false">IF(COUNTIFS('Scores (start here)'!$A:$A,$B$1,'Scores (start here)'!$B:$B,$A29,'Scores (start here)'!$F:$F,"&gt;=0")&gt;0,SUMIFS('Scores (start here)'!$F:$F,'Scores (start here)'!$A:$A,$B$1,'Scores (start here)'!$B:$B,$A29),O29)</f>
        <v/>
      </c>
      <c r="N29" s="247"/>
      <c r="O29" s="0" t="str">
        <f aca="false">IF(OR(H29="",I29="",J29="",K29="",L29=""),"",(COUNTIF(H29:L29,"SHALL")+0.5*COUNTIF(H29:L29,"MAY"))/5*$C$7)</f>
        <v/>
      </c>
    </row>
    <row r="30" customFormat="false" ht="14.25" hidden="false" customHeight="false" outlineLevel="0" collapsed="false">
      <c r="A30" s="246" t="s">
        <v>742</v>
      </c>
      <c r="B30" s="247"/>
      <c r="C30" s="247"/>
      <c r="D30" s="247"/>
      <c r="E30" s="247"/>
      <c r="F30" s="247"/>
      <c r="G30" s="247"/>
      <c r="H30" s="248"/>
      <c r="I30" s="248"/>
      <c r="J30" s="248"/>
      <c r="K30" s="248"/>
      <c r="L30" s="248"/>
      <c r="M30" s="249" t="str">
        <f aca="false">IF(COUNTIFS('Scores (start here)'!$A:$A,$B$1,'Scores (start here)'!$B:$B,$A30,'Scores (start here)'!$F:$F,"&gt;=0")&gt;0,SUMIFS('Scores (start here)'!$F:$F,'Scores (start here)'!$A:$A,$B$1,'Scores (start here)'!$B:$B,$A30),O30)</f>
        <v/>
      </c>
      <c r="N30" s="247"/>
      <c r="O30" s="0" t="str">
        <f aca="false">IF(OR(H30="",I30="",J30="",K30="",L30=""),"",(COUNTIF(H30:L30,"SHALL")+0.5*COUNTIF(H30:L30,"MAY"))/5*$C$7)</f>
        <v/>
      </c>
    </row>
    <row r="31" customFormat="false" ht="14.25" hidden="false" customHeight="false" outlineLevel="0" collapsed="false">
      <c r="A31" s="246" t="s">
        <v>743</v>
      </c>
      <c r="B31" s="247"/>
      <c r="C31" s="247"/>
      <c r="D31" s="247"/>
      <c r="E31" s="247"/>
      <c r="F31" s="247"/>
      <c r="G31" s="247"/>
      <c r="H31" s="248"/>
      <c r="I31" s="248"/>
      <c r="J31" s="248"/>
      <c r="K31" s="248"/>
      <c r="L31" s="248"/>
      <c r="M31" s="249" t="str">
        <f aca="false">IF(COUNTIFS('Scores (start here)'!$A:$A,$B$1,'Scores (start here)'!$B:$B,$A31,'Scores (start here)'!$F:$F,"&gt;=0")&gt;0,SUMIFS('Scores (start here)'!$F:$F,'Scores (start here)'!$A:$A,$B$1,'Scores (start here)'!$B:$B,$A31),O31)</f>
        <v/>
      </c>
      <c r="N31" s="247"/>
      <c r="O31" s="0" t="str">
        <f aca="false">IF(OR(H31="",I31="",J31="",K31="",L31=""),"",(COUNTIF(H31:L31,"SHALL")+0.5*COUNTIF(H31:L31,"MAY"))/5*$C$7)</f>
        <v/>
      </c>
    </row>
    <row r="32" customFormat="false" ht="14.25" hidden="false" customHeight="false" outlineLevel="0" collapsed="false">
      <c r="A32" s="246" t="s">
        <v>744</v>
      </c>
      <c r="B32" s="247"/>
      <c r="C32" s="247"/>
      <c r="D32" s="247"/>
      <c r="E32" s="247"/>
      <c r="F32" s="247"/>
      <c r="G32" s="247"/>
      <c r="H32" s="248"/>
      <c r="I32" s="248"/>
      <c r="J32" s="248"/>
      <c r="K32" s="248"/>
      <c r="L32" s="248"/>
      <c r="M32" s="249" t="str">
        <f aca="false">IF(COUNTIFS('Scores (start here)'!$A:$A,$B$1,'Scores (start here)'!$B:$B,$A32,'Scores (start here)'!$F:$F,"&gt;=0")&gt;0,SUMIFS('Scores (start here)'!$F:$F,'Scores (start here)'!$A:$A,$B$1,'Scores (start here)'!$B:$B,$A32),O32)</f>
        <v/>
      </c>
      <c r="N32" s="247"/>
      <c r="O32" s="0" t="str">
        <f aca="false">IF(OR(H32="",I32="",J32="",K32="",L32=""),"",(COUNTIF(H32:L32,"SHALL")+0.5*COUNTIF(H32:L32,"MAY"))/5*$C$7)</f>
        <v/>
      </c>
    </row>
    <row r="33" customFormat="false" ht="14.25" hidden="false" customHeight="false" outlineLevel="0" collapsed="false">
      <c r="A33" s="246" t="s">
        <v>745</v>
      </c>
      <c r="B33" s="247"/>
      <c r="C33" s="247"/>
      <c r="D33" s="247"/>
      <c r="E33" s="247"/>
      <c r="F33" s="247"/>
      <c r="G33" s="247"/>
      <c r="H33" s="248"/>
      <c r="I33" s="248"/>
      <c r="J33" s="248"/>
      <c r="K33" s="248"/>
      <c r="L33" s="248"/>
      <c r="M33" s="249" t="str">
        <f aca="false">IF(COUNTIFS('Scores (start here)'!$A:$A,$B$1,'Scores (start here)'!$B:$B,$A33,'Scores (start here)'!$F:$F,"&gt;=0")&gt;0,SUMIFS('Scores (start here)'!$F:$F,'Scores (start here)'!$A:$A,$B$1,'Scores (start here)'!$B:$B,$A33),O33)</f>
        <v/>
      </c>
      <c r="N33" s="247"/>
      <c r="O33" s="0" t="str">
        <f aca="false">IF(OR(H33="",I33="",J33="",K33="",L33=""),"",(COUNTIF(H33:L33,"SHALL")+0.5*COUNTIF(H33:L33,"MAY"))/5*$C$7)</f>
        <v/>
      </c>
    </row>
    <row r="34" customFormat="false" ht="14.25" hidden="false" customHeight="false" outlineLevel="0" collapsed="false">
      <c r="A34" s="246" t="s">
        <v>746</v>
      </c>
      <c r="B34" s="247"/>
      <c r="C34" s="247"/>
      <c r="D34" s="247"/>
      <c r="E34" s="247"/>
      <c r="F34" s="247"/>
      <c r="G34" s="247"/>
      <c r="H34" s="248"/>
      <c r="I34" s="248"/>
      <c r="J34" s="248"/>
      <c r="K34" s="248"/>
      <c r="L34" s="248"/>
      <c r="M34" s="249" t="str">
        <f aca="false">IF(COUNTIFS('Scores (start here)'!$A:$A,$B$1,'Scores (start here)'!$B:$B,$A34,'Scores (start here)'!$F:$F,"&gt;=0")&gt;0,SUMIFS('Scores (start here)'!$F:$F,'Scores (start here)'!$A:$A,$B$1,'Scores (start here)'!$B:$B,$A34),O34)</f>
        <v/>
      </c>
      <c r="N34" s="247"/>
      <c r="O34" s="0" t="str">
        <f aca="false">IF(OR(H34="",I34="",J34="",K34="",L34=""),"",(COUNTIF(H34:L34,"SHALL")+0.5*COUNTIF(H34:L34,"MAY"))/5*$C$7)</f>
        <v/>
      </c>
    </row>
    <row r="35" customFormat="false" ht="14.25" hidden="false" customHeight="false" outlineLevel="0" collapsed="false">
      <c r="A35" s="246" t="s">
        <v>747</v>
      </c>
      <c r="B35" s="247"/>
      <c r="C35" s="247"/>
      <c r="D35" s="247"/>
      <c r="E35" s="247"/>
      <c r="F35" s="247"/>
      <c r="G35" s="247"/>
      <c r="H35" s="248"/>
      <c r="I35" s="248"/>
      <c r="J35" s="248"/>
      <c r="K35" s="248"/>
      <c r="L35" s="248"/>
      <c r="M35" s="249" t="str">
        <f aca="false">IF(COUNTIFS('Scores (start here)'!$A:$A,$B$1,'Scores (start here)'!$B:$B,$A35,'Scores (start here)'!$F:$F,"&gt;=0")&gt;0,SUMIFS('Scores (start here)'!$F:$F,'Scores (start here)'!$A:$A,$B$1,'Scores (start here)'!$B:$B,$A35),O35)</f>
        <v/>
      </c>
      <c r="N35" s="247"/>
      <c r="O35" s="0" t="str">
        <f aca="false">IF(OR(H35="",I35="",J35="",K35="",L35=""),"",(COUNTIF(H35:L35,"SHALL")+0.5*COUNTIF(H35:L35,"MAY"))/5*$C$7)</f>
        <v/>
      </c>
    </row>
    <row r="36" customFormat="false" ht="14.25" hidden="false" customHeight="false" outlineLevel="0" collapsed="false">
      <c r="A36" s="246" t="s">
        <v>748</v>
      </c>
      <c r="B36" s="247"/>
      <c r="C36" s="247"/>
      <c r="D36" s="247"/>
      <c r="E36" s="247"/>
      <c r="F36" s="247"/>
      <c r="G36" s="247"/>
      <c r="H36" s="248"/>
      <c r="I36" s="248"/>
      <c r="J36" s="248"/>
      <c r="K36" s="248"/>
      <c r="L36" s="248"/>
      <c r="M36" s="249" t="str">
        <f aca="false">IF(COUNTIFS('Scores (start here)'!$A:$A,$B$1,'Scores (start here)'!$B:$B,$A36,'Scores (start here)'!$F:$F,"&gt;=0")&gt;0,SUMIFS('Scores (start here)'!$F:$F,'Scores (start here)'!$A:$A,$B$1,'Scores (start here)'!$B:$B,$A36),O36)</f>
        <v/>
      </c>
      <c r="N36" s="247"/>
      <c r="O36" s="0" t="str">
        <f aca="false">IF(OR(H36="",I36="",J36="",K36="",L36=""),"",(COUNTIF(H36:L36,"SHALL")+0.5*COUNTIF(H36:L36,"MAY"))/5*$C$7)</f>
        <v/>
      </c>
    </row>
    <row r="37" customFormat="false" ht="14.25" hidden="false" customHeight="false" outlineLevel="0" collapsed="false">
      <c r="A37" s="246" t="s">
        <v>749</v>
      </c>
      <c r="B37" s="247"/>
      <c r="C37" s="247"/>
      <c r="D37" s="247"/>
      <c r="E37" s="247"/>
      <c r="F37" s="247"/>
      <c r="G37" s="247"/>
      <c r="H37" s="248"/>
      <c r="I37" s="248"/>
      <c r="J37" s="248"/>
      <c r="K37" s="248"/>
      <c r="L37" s="248"/>
      <c r="M37" s="249" t="str">
        <f aca="false">IF(COUNTIFS('Scores (start here)'!$A:$A,$B$1,'Scores (start here)'!$B:$B,$A37,'Scores (start here)'!$F:$F,"&gt;=0")&gt;0,SUMIFS('Scores (start here)'!$F:$F,'Scores (start here)'!$A:$A,$B$1,'Scores (start here)'!$B:$B,$A37),O37)</f>
        <v/>
      </c>
      <c r="N37" s="247"/>
      <c r="O37" s="0" t="str">
        <f aca="false">IF(OR(H37="",I37="",J37="",K37="",L37=""),"",(COUNTIF(H37:L37,"SHALL")+0.5*COUNTIF(H37:L37,"MAY"))/5*$C$7)</f>
        <v/>
      </c>
    </row>
    <row r="38" customFormat="false" ht="14.25" hidden="false" customHeight="false" outlineLevel="0" collapsed="false">
      <c r="A38" s="246" t="s">
        <v>750</v>
      </c>
      <c r="B38" s="247"/>
      <c r="C38" s="247"/>
      <c r="D38" s="247"/>
      <c r="E38" s="247"/>
      <c r="F38" s="247"/>
      <c r="G38" s="247"/>
      <c r="H38" s="248"/>
      <c r="I38" s="248"/>
      <c r="J38" s="248"/>
      <c r="K38" s="248"/>
      <c r="L38" s="248"/>
      <c r="M38" s="249" t="str">
        <f aca="false">IF(COUNTIFS('Scores (start here)'!$A:$A,$B$1,'Scores (start here)'!$B:$B,$A38,'Scores (start here)'!$F:$F,"&gt;=0")&gt;0,SUMIFS('Scores (start here)'!$F:$F,'Scores (start here)'!$A:$A,$B$1,'Scores (start here)'!$B:$B,$A38),O38)</f>
        <v/>
      </c>
      <c r="N38" s="247"/>
      <c r="O38" s="0" t="str">
        <f aca="false">IF(OR(H38="",I38="",J38="",K38="",L38=""),"",(COUNTIF(H38:L38,"SHALL")+0.5*COUNTIF(H38:L38,"MAY"))/5*$C$7)</f>
        <v/>
      </c>
    </row>
    <row r="39" customFormat="false" ht="14.25" hidden="false" customHeight="false" outlineLevel="0" collapsed="false">
      <c r="A39" s="246" t="s">
        <v>751</v>
      </c>
      <c r="B39" s="247"/>
      <c r="C39" s="247"/>
      <c r="D39" s="247"/>
      <c r="E39" s="247"/>
      <c r="F39" s="247"/>
      <c r="G39" s="247"/>
      <c r="H39" s="248"/>
      <c r="I39" s="248"/>
      <c r="J39" s="248"/>
      <c r="K39" s="248"/>
      <c r="L39" s="248"/>
      <c r="M39" s="249" t="str">
        <f aca="false">IF(COUNTIFS('Scores (start here)'!$A:$A,$B$1,'Scores (start here)'!$B:$B,$A39,'Scores (start here)'!$F:$F,"&gt;=0")&gt;0,SUMIFS('Scores (start here)'!$F:$F,'Scores (start here)'!$A:$A,$B$1,'Scores (start here)'!$B:$B,$A39),O39)</f>
        <v/>
      </c>
      <c r="N39" s="247"/>
      <c r="O39" s="0" t="str">
        <f aca="false">IF(OR(H39="",I39="",J39="",K39="",L39=""),"",(COUNTIF(H39:L39,"SHALL")+0.5*COUNTIF(H39:L39,"MAY"))/5*$C$7)</f>
        <v/>
      </c>
    </row>
    <row r="40" customFormat="false" ht="14.25" hidden="false" customHeight="false" outlineLevel="0" collapsed="false">
      <c r="A40" s="246" t="s">
        <v>752</v>
      </c>
      <c r="B40" s="247"/>
      <c r="C40" s="247"/>
      <c r="D40" s="247"/>
      <c r="E40" s="247"/>
      <c r="F40" s="247"/>
      <c r="G40" s="247"/>
      <c r="H40" s="248"/>
      <c r="I40" s="248"/>
      <c r="J40" s="248"/>
      <c r="K40" s="248"/>
      <c r="L40" s="248"/>
      <c r="M40" s="249" t="str">
        <f aca="false">IF(COUNTIFS('Scores (start here)'!$A:$A,$B$1,'Scores (start here)'!$B:$B,$A40,'Scores (start here)'!$F:$F,"&gt;=0")&gt;0,SUMIFS('Scores (start here)'!$F:$F,'Scores (start here)'!$A:$A,$B$1,'Scores (start here)'!$B:$B,$A40),O40)</f>
        <v/>
      </c>
      <c r="N40" s="247"/>
      <c r="O40" s="0" t="str">
        <f aca="false">IF(OR(H40="",I40="",J40="",K40="",L40=""),"",(COUNTIF(H40:L40,"SHALL")+0.5*COUNTIF(H40:L40,"MAY"))/5*$C$7)</f>
        <v/>
      </c>
    </row>
    <row r="41" customFormat="false" ht="14.25" hidden="false" customHeight="false" outlineLevel="0" collapsed="false">
      <c r="A41" s="246" t="s">
        <v>753</v>
      </c>
      <c r="B41" s="247"/>
      <c r="C41" s="247"/>
      <c r="D41" s="247"/>
      <c r="E41" s="247"/>
      <c r="F41" s="247"/>
      <c r="G41" s="247"/>
      <c r="H41" s="248"/>
      <c r="I41" s="248"/>
      <c r="J41" s="248"/>
      <c r="K41" s="248"/>
      <c r="L41" s="248"/>
      <c r="M41" s="249" t="str">
        <f aca="false">IF(COUNTIFS('Scores (start here)'!$A:$A,$B$1,'Scores (start here)'!$B:$B,$A41,'Scores (start here)'!$F:$F,"&gt;=0")&gt;0,SUMIFS('Scores (start here)'!$F:$F,'Scores (start here)'!$A:$A,$B$1,'Scores (start here)'!$B:$B,$A41),O41)</f>
        <v/>
      </c>
      <c r="N41" s="247"/>
      <c r="O41" s="0" t="str">
        <f aca="false">IF(OR(H41="",I41="",J41="",K41="",L41=""),"",(COUNTIF(H41:L41,"SHALL")+0.5*COUNTIF(H41:L41,"MAY"))/5*$C$7)</f>
        <v/>
      </c>
    </row>
  </sheetData>
  <dataValidations count="1">
    <dataValidation allowBlank="true" error="Please enter a valid value (see note above the column)." errorStyle="stop" errorTitle="Invalid entry" operator="between" showDropDown="false" showErrorMessage="true" showInputMessage="false" sqref="H13:L41" type="list">
      <formula1>"SHALL,MAY,NONE"</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2" min="8" style="0" width="22"/>
    <col collapsed="false" customWidth="true" hidden="false" outlineLevel="0" max="13" min="13" style="0" width="14"/>
    <col collapsed="false" customWidth="true" hidden="false" outlineLevel="0" max="14" min="14" style="0" width="45"/>
  </cols>
  <sheetData>
    <row r="1" customFormat="false" ht="14.25" hidden="false" customHeight="false" outlineLevel="0" collapsed="false">
      <c r="A1" s="237" t="s">
        <v>1016</v>
      </c>
      <c r="B1" s="237" t="s">
        <v>259</v>
      </c>
      <c r="C1" s="238" t="s">
        <v>1017</v>
      </c>
      <c r="M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Urban design standards and universal accessibility &gt;:&lt; Urban design standards and universal accessibility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prescribed urban design standards to guide the execution of urban projects, including standards for universal accessibility? &gt;:&lt; Does the city have urban design standards to guide the execution of urban projects?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city has adopted/notified urban design standards or guidelines for the planning, design or execution of urban development across the following five categories:1. Roads and streetscapes – including different categories/hierarchies of urban roads.2. Footpaths/pedestrian infrastructure.3. Underground public utilities – including water supply, sewerage, storm-water drainage, electricity, telecommunications/internet and gas.4. Buit form based codes - build to line, minimum frontage, floor heights, building material etc.5. Universal accessibilityCheck the ULG website, Development Authority website, Urban Development Department website, Department of Urban Land Transport / Unified Metropolitan Transport Authority or equivalent specialised agency website for evidence of such standards/guidelines. For categories (a)–(c), the standards may be contained in a standalone urban/street design guideline or other formally adopted/notified city-level document. Evidence on an official website that the city has formally adopted an identified set of standards/guidelines may also be considered. For residential and commercial buildings (categories (d) and (e)), standards contained in the applicable DCRs/building bye-laws or equivalent regulations may also be considered. These may include urban design requirements relating to building frontage/interface with the street, signage, façade treatment, building materials, or other design controls applicable to residential or commercial development. For each category, there must be evidence that the standards/guidelines are applicable to or adopted for the city. Mere reference to national/model guidelines or standards, without evidence of their adoption or application by the city, shall not qualify. Scoring: Award 1 point for each category for which applicable urban design standards/guidelines have been adopted/notified (5 categories × 1 = 5); score 0 for a category where no such standards/guidelines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1072</v>
      </c>
    </row>
    <row r="11" customFormat="false" ht="28.5" hidden="false" customHeight="true" outlineLevel="0" collapsed="false">
      <c r="H11" s="242" t="s">
        <v>1022</v>
      </c>
      <c r="I11" s="242" t="s">
        <v>1022</v>
      </c>
      <c r="J11" s="242" t="s">
        <v>1022</v>
      </c>
      <c r="K11" s="242" t="s">
        <v>1022</v>
      </c>
      <c r="L11" s="242" t="s">
        <v>1022</v>
      </c>
      <c r="M11" s="243" t="s">
        <v>1023</v>
      </c>
      <c r="O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"Roads &amp; streetscapes ("&amp;TEXT($C$7/5,"0.00")&amp;")"</f>
        <v>Roads &amp; streetscapes (1.00)</v>
      </c>
      <c r="I12" s="245" t="str">
        <f aca="false">"Footpaths / pedestrian infrastructure ("&amp;TEXT($C$7/5,"0.00")&amp;")"</f>
        <v>Footpaths / pedestrian infrastructure (1.00)</v>
      </c>
      <c r="J12" s="245" t="str">
        <f aca="false">"Underground public utilities ("&amp;TEXT($C$7/5,"0.00")&amp;")"</f>
        <v>Underground public utilities (1.00)</v>
      </c>
      <c r="K12" s="245" t="str">
        <f aca="false">"Built-form based codes ("&amp;TEXT($C$7/5,"0.00")&amp;")"</f>
        <v>Built-form based codes (1.00)</v>
      </c>
      <c r="L12" s="245" t="str">
        <f aca="false">"Universal accessibility ("&amp;TEXT($C$7/5,"0.00")&amp;")"</f>
        <v>Universal accessibility (1.00)</v>
      </c>
      <c r="M12" s="243" t="s">
        <v>1031</v>
      </c>
      <c r="N12" s="245" t="s">
        <v>1032</v>
      </c>
      <c r="O12" s="0" t="s">
        <v>1033</v>
      </c>
    </row>
    <row r="13" customFormat="false" ht="14.25" hidden="false" customHeight="false" outlineLevel="0" collapsed="false">
      <c r="A13" s="246" t="s">
        <v>726</v>
      </c>
      <c r="B13" s="247"/>
      <c r="C13" s="247"/>
      <c r="D13" s="247"/>
      <c r="E13" s="247"/>
      <c r="F13" s="247"/>
      <c r="G13" s="247"/>
      <c r="H13" s="248"/>
      <c r="I13" s="248"/>
      <c r="J13" s="248"/>
      <c r="K13" s="248"/>
      <c r="L13" s="248"/>
      <c r="M13" s="249" t="str">
        <f aca="false">IF(COUNTIFS('Scores (start here)'!$A:$A,$B$1,'Scores (start here)'!$B:$B,$A13,'Scores (start here)'!$F:$F,"&gt;=0")&gt;0,SUMIFS('Scores (start here)'!$F:$F,'Scores (start here)'!$A:$A,$B$1,'Scores (start here)'!$B:$B,$A13),O13)</f>
        <v/>
      </c>
      <c r="N13" s="247"/>
      <c r="O13" s="0" t="str">
        <f aca="false">IF(OR(H13="",I13="",J13="",K13="",L13=""),"",COUNTIF(H13:L13,"YES")/5*$C$7)</f>
        <v/>
      </c>
    </row>
    <row r="14" customFormat="false" ht="14.25" hidden="false" customHeight="false" outlineLevel="0" collapsed="false">
      <c r="A14" s="246" t="s">
        <v>19</v>
      </c>
      <c r="B14" s="247"/>
      <c r="C14" s="247"/>
      <c r="D14" s="247"/>
      <c r="E14" s="247"/>
      <c r="F14" s="247"/>
      <c r="G14" s="247"/>
      <c r="H14" s="248"/>
      <c r="I14" s="248"/>
      <c r="J14" s="248"/>
      <c r="K14" s="248"/>
      <c r="L14" s="248"/>
      <c r="M14" s="249" t="str">
        <f aca="false">IF(COUNTIFS('Scores (start here)'!$A:$A,$B$1,'Scores (start here)'!$B:$B,$A14,'Scores (start here)'!$F:$F,"&gt;=0")&gt;0,SUMIFS('Scores (start here)'!$F:$F,'Scores (start here)'!$A:$A,$B$1,'Scores (start here)'!$B:$B,$A14),O14)</f>
        <v/>
      </c>
      <c r="N14" s="247" t="s">
        <v>1196</v>
      </c>
      <c r="O14" s="0" t="str">
        <f aca="false">IF(OR(H14="",I14="",J14="",K14="",L14=""),"",COUNTIF(H14:L14,"YES")/5*$C$7)</f>
        <v/>
      </c>
    </row>
    <row r="15" customFormat="false" ht="14.25" hidden="false" customHeight="false" outlineLevel="0" collapsed="false">
      <c r="A15" s="246" t="s">
        <v>727</v>
      </c>
      <c r="B15" s="247"/>
      <c r="C15" s="247"/>
      <c r="D15" s="247"/>
      <c r="E15" s="247"/>
      <c r="F15" s="247"/>
      <c r="G15" s="247"/>
      <c r="H15" s="248"/>
      <c r="I15" s="248"/>
      <c r="J15" s="248"/>
      <c r="K15" s="248"/>
      <c r="L15" s="248"/>
      <c r="M15" s="249" t="str">
        <f aca="false">IF(COUNTIFS('Scores (start here)'!$A:$A,$B$1,'Scores (start here)'!$B:$B,$A15,'Scores (start here)'!$F:$F,"&gt;=0")&gt;0,SUMIFS('Scores (start here)'!$F:$F,'Scores (start here)'!$A:$A,$B$1,'Scores (start here)'!$B:$B,$A15),O15)</f>
        <v/>
      </c>
      <c r="N15" s="247"/>
      <c r="O15" s="0" t="str">
        <f aca="false">IF(OR(H15="",I15="",J15="",K15="",L15=""),"",COUNTIF(H15:L15,"YES")/5*$C$7)</f>
        <v/>
      </c>
    </row>
    <row r="16" customFormat="false" ht="14.25" hidden="false" customHeight="false" outlineLevel="0" collapsed="false">
      <c r="A16" s="246" t="s">
        <v>728</v>
      </c>
      <c r="B16" s="247"/>
      <c r="C16" s="247"/>
      <c r="D16" s="247"/>
      <c r="E16" s="247"/>
      <c r="F16" s="247"/>
      <c r="G16" s="247"/>
      <c r="H16" s="248"/>
      <c r="I16" s="248"/>
      <c r="J16" s="248"/>
      <c r="K16" s="248"/>
      <c r="L16" s="248"/>
      <c r="M16" s="249" t="str">
        <f aca="false">IF(COUNTIFS('Scores (start here)'!$A:$A,$B$1,'Scores (start here)'!$B:$B,$A16,'Scores (start here)'!$F:$F,"&gt;=0")&gt;0,SUMIFS('Scores (start here)'!$F:$F,'Scores (start here)'!$A:$A,$B$1,'Scores (start here)'!$B:$B,$A16),O16)</f>
        <v/>
      </c>
      <c r="N16" s="247"/>
      <c r="O16" s="0" t="str">
        <f aca="false">IF(OR(H16="",I16="",J16="",K16="",L16=""),"",COUNTIF(H16:L16,"YES")/5*$C$7)</f>
        <v/>
      </c>
    </row>
    <row r="17" customFormat="false" ht="14.25" hidden="false" customHeight="false" outlineLevel="0" collapsed="false">
      <c r="A17" s="246" t="s">
        <v>729</v>
      </c>
      <c r="B17" s="247"/>
      <c r="C17" s="247"/>
      <c r="D17" s="247"/>
      <c r="E17" s="247"/>
      <c r="F17" s="247"/>
      <c r="G17" s="247"/>
      <c r="H17" s="248"/>
      <c r="I17" s="248"/>
      <c r="J17" s="248"/>
      <c r="K17" s="248"/>
      <c r="L17" s="248"/>
      <c r="M17" s="249" t="str">
        <f aca="false">IF(COUNTIFS('Scores (start here)'!$A:$A,$B$1,'Scores (start here)'!$B:$B,$A17,'Scores (start here)'!$F:$F,"&gt;=0")&gt;0,SUMIFS('Scores (start here)'!$F:$F,'Scores (start here)'!$A:$A,$B$1,'Scores (start here)'!$B:$B,$A17),O17)</f>
        <v/>
      </c>
      <c r="N17" s="247"/>
      <c r="O17" s="0" t="str">
        <f aca="false">IF(OR(H17="",I17="",J17="",K17="",L17=""),"",COUNTIF(H17:L17,"YES")/5*$C$7)</f>
        <v/>
      </c>
    </row>
    <row r="18" customFormat="false" ht="14.25" hidden="false" customHeight="false" outlineLevel="0" collapsed="false">
      <c r="A18" s="246" t="s">
        <v>730</v>
      </c>
      <c r="B18" s="247"/>
      <c r="C18" s="247"/>
      <c r="D18" s="247"/>
      <c r="E18" s="247"/>
      <c r="F18" s="247"/>
      <c r="G18" s="247"/>
      <c r="H18" s="248"/>
      <c r="I18" s="248"/>
      <c r="J18" s="248"/>
      <c r="K18" s="248"/>
      <c r="L18" s="248"/>
      <c r="M18" s="249" t="str">
        <f aca="false">IF(COUNTIFS('Scores (start here)'!$A:$A,$B$1,'Scores (start here)'!$B:$B,$A18,'Scores (start here)'!$F:$F,"&gt;=0")&gt;0,SUMIFS('Scores (start here)'!$F:$F,'Scores (start here)'!$A:$A,$B$1,'Scores (start here)'!$B:$B,$A18),O18)</f>
        <v/>
      </c>
      <c r="N18" s="247"/>
      <c r="O18" s="0" t="str">
        <f aca="false">IF(OR(H18="",I18="",J18="",K18="",L18=""),"",COUNTIF(H18:L18,"YES")/5*$C$7)</f>
        <v/>
      </c>
    </row>
    <row r="19" customFormat="false" ht="14.25" hidden="false" customHeight="false" outlineLevel="0" collapsed="false">
      <c r="A19" s="246" t="s">
        <v>731</v>
      </c>
      <c r="B19" s="247"/>
      <c r="C19" s="247"/>
      <c r="D19" s="247"/>
      <c r="E19" s="247"/>
      <c r="F19" s="247"/>
      <c r="G19" s="247"/>
      <c r="H19" s="248"/>
      <c r="I19" s="248"/>
      <c r="J19" s="248"/>
      <c r="K19" s="248"/>
      <c r="L19" s="248"/>
      <c r="M19" s="249" t="str">
        <f aca="false">IF(COUNTIFS('Scores (start here)'!$A:$A,$B$1,'Scores (start here)'!$B:$B,$A19,'Scores (start here)'!$F:$F,"&gt;=0")&gt;0,SUMIFS('Scores (start here)'!$F:$F,'Scores (start here)'!$A:$A,$B$1,'Scores (start here)'!$B:$B,$A19),O19)</f>
        <v/>
      </c>
      <c r="N19" s="247"/>
      <c r="O19" s="0" t="str">
        <f aca="false">IF(OR(H19="",I19="",J19="",K19="",L19=""),"",COUNTIF(H19:L19,"YES")/5*$C$7)</f>
        <v/>
      </c>
    </row>
    <row r="20" customFormat="false" ht="14.25" hidden="false" customHeight="false" outlineLevel="0" collapsed="false">
      <c r="A20" s="246" t="s">
        <v>732</v>
      </c>
      <c r="B20" s="247"/>
      <c r="C20" s="247"/>
      <c r="D20" s="247"/>
      <c r="E20" s="247"/>
      <c r="F20" s="247"/>
      <c r="G20" s="247"/>
      <c r="H20" s="248"/>
      <c r="I20" s="248"/>
      <c r="J20" s="248"/>
      <c r="K20" s="248"/>
      <c r="L20" s="248"/>
      <c r="M20" s="249" t="str">
        <f aca="false">IF(COUNTIFS('Scores (start here)'!$A:$A,$B$1,'Scores (start here)'!$B:$B,$A20,'Scores (start here)'!$F:$F,"&gt;=0")&gt;0,SUMIFS('Scores (start here)'!$F:$F,'Scores (start here)'!$A:$A,$B$1,'Scores (start here)'!$B:$B,$A20),O20)</f>
        <v/>
      </c>
      <c r="N20" s="247"/>
      <c r="O20" s="0" t="str">
        <f aca="false">IF(OR(H20="",I20="",J20="",K20="",L20=""),"",COUNTIF(H20:L20,"YES")/5*$C$7)</f>
        <v/>
      </c>
    </row>
    <row r="21" customFormat="false" ht="14.25" hidden="false" customHeight="false" outlineLevel="0" collapsed="false">
      <c r="A21" s="246" t="s">
        <v>733</v>
      </c>
      <c r="B21" s="247"/>
      <c r="C21" s="247"/>
      <c r="D21" s="247"/>
      <c r="E21" s="247"/>
      <c r="F21" s="247"/>
      <c r="G21" s="247"/>
      <c r="H21" s="248"/>
      <c r="I21" s="248"/>
      <c r="J21" s="248"/>
      <c r="K21" s="248"/>
      <c r="L21" s="248"/>
      <c r="M21" s="249" t="str">
        <f aca="false">IF(COUNTIFS('Scores (start here)'!$A:$A,$B$1,'Scores (start here)'!$B:$B,$A21,'Scores (start here)'!$F:$F,"&gt;=0")&gt;0,SUMIFS('Scores (start here)'!$F:$F,'Scores (start here)'!$A:$A,$B$1,'Scores (start here)'!$B:$B,$A21),O21)</f>
        <v/>
      </c>
      <c r="N21" s="247"/>
      <c r="O21" s="0" t="str">
        <f aca="false">IF(OR(H21="",I21="",J21="",K21="",L21=""),"",COUNTIF(H21:L21,"YES")/5*$C$7)</f>
        <v/>
      </c>
    </row>
    <row r="22" customFormat="false" ht="14.25" hidden="false" customHeight="false" outlineLevel="0" collapsed="false">
      <c r="A22" s="246" t="s">
        <v>734</v>
      </c>
      <c r="B22" s="247"/>
      <c r="C22" s="247"/>
      <c r="D22" s="247"/>
      <c r="E22" s="247"/>
      <c r="F22" s="247"/>
      <c r="G22" s="247"/>
      <c r="H22" s="248"/>
      <c r="I22" s="248"/>
      <c r="J22" s="248"/>
      <c r="K22" s="248"/>
      <c r="L22" s="248"/>
      <c r="M22" s="249" t="str">
        <f aca="false">IF(COUNTIFS('Scores (start here)'!$A:$A,$B$1,'Scores (start here)'!$B:$B,$A22,'Scores (start here)'!$F:$F,"&gt;=0")&gt;0,SUMIFS('Scores (start here)'!$F:$F,'Scores (start here)'!$A:$A,$B$1,'Scores (start here)'!$B:$B,$A22),O22)</f>
        <v/>
      </c>
      <c r="N22" s="247"/>
      <c r="O22" s="0" t="str">
        <f aca="false">IF(OR(H22="",I22="",J22="",K22="",L22=""),"",COUNTIF(H22:L22,"YES")/5*$C$7)</f>
        <v/>
      </c>
    </row>
    <row r="23" customFormat="false" ht="14.25" hidden="false" customHeight="false" outlineLevel="0" collapsed="false">
      <c r="A23" s="246" t="s">
        <v>735</v>
      </c>
      <c r="B23" s="247"/>
      <c r="C23" s="247"/>
      <c r="D23" s="247"/>
      <c r="E23" s="247"/>
      <c r="F23" s="247"/>
      <c r="G23" s="247"/>
      <c r="H23" s="248"/>
      <c r="I23" s="248"/>
      <c r="J23" s="248"/>
      <c r="K23" s="248"/>
      <c r="L23" s="248"/>
      <c r="M23" s="249" t="str">
        <f aca="false">IF(COUNTIFS('Scores (start here)'!$A:$A,$B$1,'Scores (start here)'!$B:$B,$A23,'Scores (start here)'!$F:$F,"&gt;=0")&gt;0,SUMIFS('Scores (start here)'!$F:$F,'Scores (start here)'!$A:$A,$B$1,'Scores (start here)'!$B:$B,$A23),O23)</f>
        <v/>
      </c>
      <c r="N23" s="247"/>
      <c r="O23" s="0" t="str">
        <f aca="false">IF(OR(H23="",I23="",J23="",K23="",L23=""),"",COUNTIF(H23:L23,"YES")/5*$C$7)</f>
        <v/>
      </c>
    </row>
    <row r="24" customFormat="false" ht="14.25" hidden="false" customHeight="false" outlineLevel="0" collapsed="false">
      <c r="A24" s="246" t="s">
        <v>736</v>
      </c>
      <c r="B24" s="247"/>
      <c r="C24" s="247"/>
      <c r="D24" s="247"/>
      <c r="E24" s="247"/>
      <c r="F24" s="247"/>
      <c r="G24" s="247"/>
      <c r="H24" s="248"/>
      <c r="I24" s="248"/>
      <c r="J24" s="248"/>
      <c r="K24" s="248"/>
      <c r="L24" s="248"/>
      <c r="M24" s="249" t="str">
        <f aca="false">IF(COUNTIFS('Scores (start here)'!$A:$A,$B$1,'Scores (start here)'!$B:$B,$A24,'Scores (start here)'!$F:$F,"&gt;=0")&gt;0,SUMIFS('Scores (start here)'!$F:$F,'Scores (start here)'!$A:$A,$B$1,'Scores (start here)'!$B:$B,$A24),O24)</f>
        <v/>
      </c>
      <c r="N24" s="247"/>
      <c r="O24" s="0" t="str">
        <f aca="false">IF(OR(H24="",I24="",J24="",K24="",L24=""),"",COUNTIF(H24:L24,"YES")/5*$C$7)</f>
        <v/>
      </c>
    </row>
    <row r="25" customFormat="false" ht="14.25" hidden="false" customHeight="false" outlineLevel="0" collapsed="false">
      <c r="A25" s="246" t="s">
        <v>737</v>
      </c>
      <c r="B25" s="247"/>
      <c r="C25" s="247"/>
      <c r="D25" s="247"/>
      <c r="E25" s="247"/>
      <c r="F25" s="247"/>
      <c r="G25" s="247"/>
      <c r="H25" s="248"/>
      <c r="I25" s="248"/>
      <c r="J25" s="248"/>
      <c r="K25" s="248"/>
      <c r="L25" s="248"/>
      <c r="M25" s="249" t="str">
        <f aca="false">IF(COUNTIFS('Scores (start here)'!$A:$A,$B$1,'Scores (start here)'!$B:$B,$A25,'Scores (start here)'!$F:$F,"&gt;=0")&gt;0,SUMIFS('Scores (start here)'!$F:$F,'Scores (start here)'!$A:$A,$B$1,'Scores (start here)'!$B:$B,$A25),O25)</f>
        <v/>
      </c>
      <c r="N25" s="247"/>
      <c r="O25" s="0" t="str">
        <f aca="false">IF(OR(H25="",I25="",J25="",K25="",L25=""),"",COUNTIF(H25:L25,"YES")/5*$C$7)</f>
        <v/>
      </c>
    </row>
    <row r="26" customFormat="false" ht="14.25" hidden="false" customHeight="false" outlineLevel="0" collapsed="false">
      <c r="A26" s="246" t="s">
        <v>738</v>
      </c>
      <c r="B26" s="247"/>
      <c r="C26" s="247"/>
      <c r="D26" s="247"/>
      <c r="E26" s="247"/>
      <c r="F26" s="247"/>
      <c r="G26" s="247"/>
      <c r="H26" s="248"/>
      <c r="I26" s="248"/>
      <c r="J26" s="248"/>
      <c r="K26" s="248"/>
      <c r="L26" s="248"/>
      <c r="M26" s="249" t="str">
        <f aca="false">IF(COUNTIFS('Scores (start here)'!$A:$A,$B$1,'Scores (start here)'!$B:$B,$A26,'Scores (start here)'!$F:$F,"&gt;=0")&gt;0,SUMIFS('Scores (start here)'!$F:$F,'Scores (start here)'!$A:$A,$B$1,'Scores (start here)'!$B:$B,$A26),O26)</f>
        <v/>
      </c>
      <c r="N26" s="247"/>
      <c r="O26" s="0" t="str">
        <f aca="false">IF(OR(H26="",I26="",J26="",K26="",L26=""),"",COUNTIF(H26:L26,"YES")/5*$C$7)</f>
        <v/>
      </c>
    </row>
    <row r="27" customFormat="false" ht="14.25" hidden="false" customHeight="false" outlineLevel="0" collapsed="false">
      <c r="A27" s="246" t="s">
        <v>739</v>
      </c>
      <c r="B27" s="247"/>
      <c r="C27" s="247"/>
      <c r="D27" s="247"/>
      <c r="E27" s="247"/>
      <c r="F27" s="247"/>
      <c r="G27" s="247"/>
      <c r="H27" s="248"/>
      <c r="I27" s="248"/>
      <c r="J27" s="248"/>
      <c r="K27" s="248"/>
      <c r="L27" s="248"/>
      <c r="M27" s="249" t="str">
        <f aca="false">IF(COUNTIFS('Scores (start here)'!$A:$A,$B$1,'Scores (start here)'!$B:$B,$A27,'Scores (start here)'!$F:$F,"&gt;=0")&gt;0,SUMIFS('Scores (start here)'!$F:$F,'Scores (start here)'!$A:$A,$B$1,'Scores (start here)'!$B:$B,$A27),O27)</f>
        <v/>
      </c>
      <c r="N27" s="247"/>
      <c r="O27" s="0" t="str">
        <f aca="false">IF(OR(H27="",I27="",J27="",K27="",L27=""),"",COUNTIF(H27:L27,"YES")/5*$C$7)</f>
        <v/>
      </c>
    </row>
    <row r="28" customFormat="false" ht="14.25" hidden="false" customHeight="false" outlineLevel="0" collapsed="false">
      <c r="A28" s="246" t="s">
        <v>740</v>
      </c>
      <c r="B28" s="247"/>
      <c r="C28" s="247"/>
      <c r="D28" s="247"/>
      <c r="E28" s="247"/>
      <c r="F28" s="247"/>
      <c r="G28" s="247"/>
      <c r="H28" s="248"/>
      <c r="I28" s="248"/>
      <c r="J28" s="248"/>
      <c r="K28" s="248"/>
      <c r="L28" s="248"/>
      <c r="M28" s="249" t="str">
        <f aca="false">IF(COUNTIFS('Scores (start here)'!$A:$A,$B$1,'Scores (start here)'!$B:$B,$A28,'Scores (start here)'!$F:$F,"&gt;=0")&gt;0,SUMIFS('Scores (start here)'!$F:$F,'Scores (start here)'!$A:$A,$B$1,'Scores (start here)'!$B:$B,$A28),O28)</f>
        <v/>
      </c>
      <c r="N28" s="247"/>
      <c r="O28" s="0" t="str">
        <f aca="false">IF(OR(H28="",I28="",J28="",K28="",L28=""),"",COUNTIF(H28:L28,"YES")/5*$C$7)</f>
        <v/>
      </c>
    </row>
    <row r="29" customFormat="false" ht="14.25" hidden="false" customHeight="false" outlineLevel="0" collapsed="false">
      <c r="A29" s="246" t="s">
        <v>741</v>
      </c>
      <c r="B29" s="247"/>
      <c r="C29" s="247"/>
      <c r="D29" s="247"/>
      <c r="E29" s="247"/>
      <c r="F29" s="247"/>
      <c r="G29" s="247"/>
      <c r="H29" s="248"/>
      <c r="I29" s="248"/>
      <c r="J29" s="248"/>
      <c r="K29" s="248"/>
      <c r="L29" s="248"/>
      <c r="M29" s="249" t="str">
        <f aca="false">IF(COUNTIFS('Scores (start here)'!$A:$A,$B$1,'Scores (start here)'!$B:$B,$A29,'Scores (start here)'!$F:$F,"&gt;=0")&gt;0,SUMIFS('Scores (start here)'!$F:$F,'Scores (start here)'!$A:$A,$B$1,'Scores (start here)'!$B:$B,$A29),O29)</f>
        <v/>
      </c>
      <c r="N29" s="247"/>
      <c r="O29" s="0" t="str">
        <f aca="false">IF(OR(H29="",I29="",J29="",K29="",L29=""),"",COUNTIF(H29:L29,"YES")/5*$C$7)</f>
        <v/>
      </c>
    </row>
    <row r="30" customFormat="false" ht="14.25" hidden="false" customHeight="false" outlineLevel="0" collapsed="false">
      <c r="A30" s="246" t="s">
        <v>742</v>
      </c>
      <c r="B30" s="247"/>
      <c r="C30" s="247"/>
      <c r="D30" s="247"/>
      <c r="E30" s="247"/>
      <c r="F30" s="247"/>
      <c r="G30" s="247"/>
      <c r="H30" s="248"/>
      <c r="I30" s="248"/>
      <c r="J30" s="248"/>
      <c r="K30" s="248"/>
      <c r="L30" s="248"/>
      <c r="M30" s="249" t="str">
        <f aca="false">IF(COUNTIFS('Scores (start here)'!$A:$A,$B$1,'Scores (start here)'!$B:$B,$A30,'Scores (start here)'!$F:$F,"&gt;=0")&gt;0,SUMIFS('Scores (start here)'!$F:$F,'Scores (start here)'!$A:$A,$B$1,'Scores (start here)'!$B:$B,$A30),O30)</f>
        <v/>
      </c>
      <c r="N30" s="247"/>
      <c r="O30" s="0" t="str">
        <f aca="false">IF(OR(H30="",I30="",J30="",K30="",L30=""),"",COUNTIF(H30:L30,"YES")/5*$C$7)</f>
        <v/>
      </c>
    </row>
    <row r="31" customFormat="false" ht="14.25" hidden="false" customHeight="false" outlineLevel="0" collapsed="false">
      <c r="A31" s="246" t="s">
        <v>743</v>
      </c>
      <c r="B31" s="247"/>
      <c r="C31" s="247"/>
      <c r="D31" s="247"/>
      <c r="E31" s="247"/>
      <c r="F31" s="247"/>
      <c r="G31" s="247"/>
      <c r="H31" s="248"/>
      <c r="I31" s="248"/>
      <c r="J31" s="248"/>
      <c r="K31" s="248"/>
      <c r="L31" s="248"/>
      <c r="M31" s="249" t="str">
        <f aca="false">IF(COUNTIFS('Scores (start here)'!$A:$A,$B$1,'Scores (start here)'!$B:$B,$A31,'Scores (start here)'!$F:$F,"&gt;=0")&gt;0,SUMIFS('Scores (start here)'!$F:$F,'Scores (start here)'!$A:$A,$B$1,'Scores (start here)'!$B:$B,$A31),O31)</f>
        <v/>
      </c>
      <c r="N31" s="247"/>
      <c r="O31" s="0" t="str">
        <f aca="false">IF(OR(H31="",I31="",J31="",K31="",L31=""),"",COUNTIF(H31:L31,"YES")/5*$C$7)</f>
        <v/>
      </c>
    </row>
    <row r="32" customFormat="false" ht="14.25" hidden="false" customHeight="false" outlineLevel="0" collapsed="false">
      <c r="A32" s="246" t="s">
        <v>744</v>
      </c>
      <c r="B32" s="247"/>
      <c r="C32" s="247"/>
      <c r="D32" s="247"/>
      <c r="E32" s="247"/>
      <c r="F32" s="247"/>
      <c r="G32" s="247"/>
      <c r="H32" s="248"/>
      <c r="I32" s="248"/>
      <c r="J32" s="248"/>
      <c r="K32" s="248"/>
      <c r="L32" s="248"/>
      <c r="M32" s="249" t="str">
        <f aca="false">IF(COUNTIFS('Scores (start here)'!$A:$A,$B$1,'Scores (start here)'!$B:$B,$A32,'Scores (start here)'!$F:$F,"&gt;=0")&gt;0,SUMIFS('Scores (start here)'!$F:$F,'Scores (start here)'!$A:$A,$B$1,'Scores (start here)'!$B:$B,$A32),O32)</f>
        <v/>
      </c>
      <c r="N32" s="247"/>
      <c r="O32" s="0" t="str">
        <f aca="false">IF(OR(H32="",I32="",J32="",K32="",L32=""),"",COUNTIF(H32:L32,"YES")/5*$C$7)</f>
        <v/>
      </c>
    </row>
    <row r="33" customFormat="false" ht="14.25" hidden="false" customHeight="false" outlineLevel="0" collapsed="false">
      <c r="A33" s="246" t="s">
        <v>745</v>
      </c>
      <c r="B33" s="247"/>
      <c r="C33" s="247"/>
      <c r="D33" s="247"/>
      <c r="E33" s="247"/>
      <c r="F33" s="247"/>
      <c r="G33" s="247"/>
      <c r="H33" s="248"/>
      <c r="I33" s="248"/>
      <c r="J33" s="248"/>
      <c r="K33" s="248"/>
      <c r="L33" s="248"/>
      <c r="M33" s="249" t="str">
        <f aca="false">IF(COUNTIFS('Scores (start here)'!$A:$A,$B$1,'Scores (start here)'!$B:$B,$A33,'Scores (start here)'!$F:$F,"&gt;=0")&gt;0,SUMIFS('Scores (start here)'!$F:$F,'Scores (start here)'!$A:$A,$B$1,'Scores (start here)'!$B:$B,$A33),O33)</f>
        <v/>
      </c>
      <c r="N33" s="247"/>
      <c r="O33" s="0" t="str">
        <f aca="false">IF(OR(H33="",I33="",J33="",K33="",L33=""),"",COUNTIF(H33:L33,"YES")/5*$C$7)</f>
        <v/>
      </c>
    </row>
    <row r="34" customFormat="false" ht="14.25" hidden="false" customHeight="false" outlineLevel="0" collapsed="false">
      <c r="A34" s="246" t="s">
        <v>746</v>
      </c>
      <c r="B34" s="247"/>
      <c r="C34" s="247"/>
      <c r="D34" s="247"/>
      <c r="E34" s="247"/>
      <c r="F34" s="247"/>
      <c r="G34" s="247"/>
      <c r="H34" s="248"/>
      <c r="I34" s="248"/>
      <c r="J34" s="248"/>
      <c r="K34" s="248"/>
      <c r="L34" s="248"/>
      <c r="M34" s="249" t="str">
        <f aca="false">IF(COUNTIFS('Scores (start here)'!$A:$A,$B$1,'Scores (start here)'!$B:$B,$A34,'Scores (start here)'!$F:$F,"&gt;=0")&gt;0,SUMIFS('Scores (start here)'!$F:$F,'Scores (start here)'!$A:$A,$B$1,'Scores (start here)'!$B:$B,$A34),O34)</f>
        <v/>
      </c>
      <c r="N34" s="247"/>
      <c r="O34" s="0" t="str">
        <f aca="false">IF(OR(H34="",I34="",J34="",K34="",L34=""),"",COUNTIF(H34:L34,"YES")/5*$C$7)</f>
        <v/>
      </c>
    </row>
    <row r="35" customFormat="false" ht="14.25" hidden="false" customHeight="false" outlineLevel="0" collapsed="false">
      <c r="A35" s="246" t="s">
        <v>747</v>
      </c>
      <c r="B35" s="247"/>
      <c r="C35" s="247"/>
      <c r="D35" s="247"/>
      <c r="E35" s="247"/>
      <c r="F35" s="247"/>
      <c r="G35" s="247"/>
      <c r="H35" s="248"/>
      <c r="I35" s="248"/>
      <c r="J35" s="248"/>
      <c r="K35" s="248"/>
      <c r="L35" s="248"/>
      <c r="M35" s="249" t="str">
        <f aca="false">IF(COUNTIFS('Scores (start here)'!$A:$A,$B$1,'Scores (start here)'!$B:$B,$A35,'Scores (start here)'!$F:$F,"&gt;=0")&gt;0,SUMIFS('Scores (start here)'!$F:$F,'Scores (start here)'!$A:$A,$B$1,'Scores (start here)'!$B:$B,$A35),O35)</f>
        <v/>
      </c>
      <c r="N35" s="247"/>
      <c r="O35" s="0" t="str">
        <f aca="false">IF(OR(H35="",I35="",J35="",K35="",L35=""),"",COUNTIF(H35:L35,"YES")/5*$C$7)</f>
        <v/>
      </c>
    </row>
    <row r="36" customFormat="false" ht="14.25" hidden="false" customHeight="false" outlineLevel="0" collapsed="false">
      <c r="A36" s="246" t="s">
        <v>748</v>
      </c>
      <c r="B36" s="247"/>
      <c r="C36" s="247"/>
      <c r="D36" s="247"/>
      <c r="E36" s="247"/>
      <c r="F36" s="247"/>
      <c r="G36" s="247"/>
      <c r="H36" s="248"/>
      <c r="I36" s="248"/>
      <c r="J36" s="248"/>
      <c r="K36" s="248"/>
      <c r="L36" s="248"/>
      <c r="M36" s="249" t="str">
        <f aca="false">IF(COUNTIFS('Scores (start here)'!$A:$A,$B$1,'Scores (start here)'!$B:$B,$A36,'Scores (start here)'!$F:$F,"&gt;=0")&gt;0,SUMIFS('Scores (start here)'!$F:$F,'Scores (start here)'!$A:$A,$B$1,'Scores (start here)'!$B:$B,$A36),O36)</f>
        <v/>
      </c>
      <c r="N36" s="247"/>
      <c r="O36" s="0" t="str">
        <f aca="false">IF(OR(H36="",I36="",J36="",K36="",L36=""),"",COUNTIF(H36:L36,"YES")/5*$C$7)</f>
        <v/>
      </c>
    </row>
    <row r="37" customFormat="false" ht="14.25" hidden="false" customHeight="false" outlineLevel="0" collapsed="false">
      <c r="A37" s="246" t="s">
        <v>749</v>
      </c>
      <c r="B37" s="247"/>
      <c r="C37" s="247"/>
      <c r="D37" s="247"/>
      <c r="E37" s="247"/>
      <c r="F37" s="247"/>
      <c r="G37" s="247"/>
      <c r="H37" s="248"/>
      <c r="I37" s="248"/>
      <c r="J37" s="248"/>
      <c r="K37" s="248"/>
      <c r="L37" s="248"/>
      <c r="M37" s="249" t="str">
        <f aca="false">IF(COUNTIFS('Scores (start here)'!$A:$A,$B$1,'Scores (start here)'!$B:$B,$A37,'Scores (start here)'!$F:$F,"&gt;=0")&gt;0,SUMIFS('Scores (start here)'!$F:$F,'Scores (start here)'!$A:$A,$B$1,'Scores (start here)'!$B:$B,$A37),O37)</f>
        <v/>
      </c>
      <c r="N37" s="247"/>
      <c r="O37" s="0" t="str">
        <f aca="false">IF(OR(H37="",I37="",J37="",K37="",L37=""),"",COUNTIF(H37:L37,"YES")/5*$C$7)</f>
        <v/>
      </c>
    </row>
    <row r="38" customFormat="false" ht="14.25" hidden="false" customHeight="false" outlineLevel="0" collapsed="false">
      <c r="A38" s="246" t="s">
        <v>750</v>
      </c>
      <c r="B38" s="247"/>
      <c r="C38" s="247"/>
      <c r="D38" s="247"/>
      <c r="E38" s="247"/>
      <c r="F38" s="247"/>
      <c r="G38" s="247"/>
      <c r="H38" s="248"/>
      <c r="I38" s="248"/>
      <c r="J38" s="248"/>
      <c r="K38" s="248"/>
      <c r="L38" s="248"/>
      <c r="M38" s="249" t="str">
        <f aca="false">IF(COUNTIFS('Scores (start here)'!$A:$A,$B$1,'Scores (start here)'!$B:$B,$A38,'Scores (start here)'!$F:$F,"&gt;=0")&gt;0,SUMIFS('Scores (start here)'!$F:$F,'Scores (start here)'!$A:$A,$B$1,'Scores (start here)'!$B:$B,$A38),O38)</f>
        <v/>
      </c>
      <c r="N38" s="247"/>
      <c r="O38" s="0" t="str">
        <f aca="false">IF(OR(H38="",I38="",J38="",K38="",L38=""),"",COUNTIF(H38:L38,"YES")/5*$C$7)</f>
        <v/>
      </c>
    </row>
    <row r="39" customFormat="false" ht="14.25" hidden="false" customHeight="false" outlineLevel="0" collapsed="false">
      <c r="A39" s="246" t="s">
        <v>751</v>
      </c>
      <c r="B39" s="247"/>
      <c r="C39" s="247"/>
      <c r="D39" s="247"/>
      <c r="E39" s="247"/>
      <c r="F39" s="247"/>
      <c r="G39" s="247"/>
      <c r="H39" s="248"/>
      <c r="I39" s="248"/>
      <c r="J39" s="248"/>
      <c r="K39" s="248"/>
      <c r="L39" s="248"/>
      <c r="M39" s="249" t="str">
        <f aca="false">IF(COUNTIFS('Scores (start here)'!$A:$A,$B$1,'Scores (start here)'!$B:$B,$A39,'Scores (start here)'!$F:$F,"&gt;=0")&gt;0,SUMIFS('Scores (start here)'!$F:$F,'Scores (start here)'!$A:$A,$B$1,'Scores (start here)'!$B:$B,$A39),O39)</f>
        <v/>
      </c>
      <c r="N39" s="247"/>
      <c r="O39" s="0" t="str">
        <f aca="false">IF(OR(H39="",I39="",J39="",K39="",L39=""),"",COUNTIF(H39:L39,"YES")/5*$C$7)</f>
        <v/>
      </c>
    </row>
    <row r="40" customFormat="false" ht="14.25" hidden="false" customHeight="false" outlineLevel="0" collapsed="false">
      <c r="A40" s="246" t="s">
        <v>752</v>
      </c>
      <c r="B40" s="247"/>
      <c r="C40" s="247"/>
      <c r="D40" s="247"/>
      <c r="E40" s="247"/>
      <c r="F40" s="247"/>
      <c r="G40" s="247"/>
      <c r="H40" s="248"/>
      <c r="I40" s="248"/>
      <c r="J40" s="248"/>
      <c r="K40" s="248"/>
      <c r="L40" s="248"/>
      <c r="M40" s="249" t="str">
        <f aca="false">IF(COUNTIFS('Scores (start here)'!$A:$A,$B$1,'Scores (start here)'!$B:$B,$A40,'Scores (start here)'!$F:$F,"&gt;=0")&gt;0,SUMIFS('Scores (start here)'!$F:$F,'Scores (start here)'!$A:$A,$B$1,'Scores (start here)'!$B:$B,$A40),O40)</f>
        <v/>
      </c>
      <c r="N40" s="247"/>
      <c r="O40" s="0" t="str">
        <f aca="false">IF(OR(H40="",I40="",J40="",K40="",L40=""),"",COUNTIF(H40:L40,"YES")/5*$C$7)</f>
        <v/>
      </c>
    </row>
    <row r="41" customFormat="false" ht="14.25" hidden="false" customHeight="false" outlineLevel="0" collapsed="false">
      <c r="A41" s="246" t="s">
        <v>753</v>
      </c>
      <c r="B41" s="247"/>
      <c r="C41" s="247"/>
      <c r="D41" s="247"/>
      <c r="E41" s="247"/>
      <c r="F41" s="247"/>
      <c r="G41" s="247"/>
      <c r="H41" s="248"/>
      <c r="I41" s="248"/>
      <c r="J41" s="248"/>
      <c r="K41" s="248"/>
      <c r="L41" s="248"/>
      <c r="M41" s="249" t="str">
        <f aca="false">IF(COUNTIFS('Scores (start here)'!$A:$A,$B$1,'Scores (start here)'!$B:$B,$A41,'Scores (start here)'!$F:$F,"&gt;=0")&gt;0,SUMIFS('Scores (start here)'!$F:$F,'Scores (start here)'!$A:$A,$B$1,'Scores (start here)'!$B:$B,$A41),O41)</f>
        <v/>
      </c>
      <c r="N41" s="247"/>
      <c r="O41" s="0" t="str">
        <f aca="false">IF(OR(H41="",I41="",J41="",K41="",L41=""),"",COUNTIF(H41:L41,"YES")/5*$C$7)</f>
        <v/>
      </c>
    </row>
  </sheetData>
  <dataValidations count="1">
    <dataValidation allowBlank="true" error="Please enter a valid value (see note above the column)." errorStyle="stop" errorTitle="Invalid entry" operator="between" showDropDown="false" showErrorMessage="true" showInputMessage="false" sqref="H13:L41" type="list">
      <formula1>"YES,NO"</formula1>
      <formula2>0</formula2>
    </dataValidation>
  </dataValidations>
  <hyperlinks>
    <hyperlink ref="M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262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Is there a clear mandate in the law for a parking policy?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the applicable T&amp;CP Act or Municipal Act mandates the ULG to prepare and/or adopt a standalone parking policy or parking management policy.A general provision prescribing parking standards for individual buildings/developments, or empowering the ULG to regulate parking, shall not qualify. The law must specifically provide for the preparation/adoption of a city-level parking policy.Distinguish between mandatory and enabling provisions:Score 5 where the law uses mandatory language (e.g., “shall”) requiring the ULG/city to prepare or adopt a standalone Parking Policy/Parking Management Policy.Score 2.5 where the law uses enabling/discretionary language (e.g., “may”) permitting the ULG/city to prepare or adopt such a policy.Score 0 where there is no such statutory provision.</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1197</v>
      </c>
    </row>
    <row r="11" customFormat="false" ht="28.5" hidden="false" customHeight="true" outlineLevel="0" collapsed="false">
      <c r="H11" s="242" t="s">
        <v>1189</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1198</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IF(H13="","",IF(H13="SHALL",$C$7,IF(H13="MAY",$C$7/2,0)))</f>
        <v/>
      </c>
    </row>
    <row r="14" customFormat="false" ht="14.25" hidden="false" customHeight="false" outlineLevel="0" collapsed="false">
      <c r="A14" s="246" t="s">
        <v>19</v>
      </c>
      <c r="B14" s="247" t="s">
        <v>41</v>
      </c>
      <c r="C14" s="247" t="s">
        <v>1199</v>
      </c>
      <c r="D14" s="247" t="s">
        <v>1200</v>
      </c>
      <c r="E14" s="247" t="s">
        <v>1201</v>
      </c>
      <c r="F14" s="247" t="s">
        <v>1202</v>
      </c>
      <c r="G14" s="247" t="s">
        <v>42</v>
      </c>
      <c r="H14" s="248"/>
      <c r="I14" s="249" t="str">
        <f aca="false">IF(COUNTIFS('Scores (start here)'!$A:$A,$B$1,'Scores (start here)'!$B:$B,$A14,'Scores (start here)'!$F:$F,"&gt;=0")&gt;0,SUMIFS('Scores (start here)'!$F:$F,'Scores (start here)'!$A:$A,$B$1,'Scores (start here)'!$B:$B,$A14),K14)</f>
        <v/>
      </c>
      <c r="J14" s="247" t="s">
        <v>1203</v>
      </c>
      <c r="K14" s="0" t="str">
        <f aca="false">IF(H14="","",IF(H14="SHALL",$C$7,IF(H14="MAY",$C$7/2,0)))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IF(H15="","",IF(H15="SHALL",$C$7,IF(H15="MAY",$C$7/2,0)))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IF(H16="","",IF(H16="SHALL",$C$7,IF(H16="MAY",$C$7/2,0)))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IF(H17="","",IF(H17="SHALL",$C$7,IF(H17="MAY",$C$7/2,0)))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IF(H18="","",IF(H18="SHALL",$C$7,IF(H18="MAY",$C$7/2,0)))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IF(H19="","",IF(H19="SHALL",$C$7,IF(H19="MAY",$C$7/2,0)))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IF(H20="","",IF(H20="SHALL",$C$7,IF(H20="MAY",$C$7/2,0)))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IF(H21="","",IF(H21="SHALL",$C$7,IF(H21="MAY",$C$7/2,0)))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IF(H22="","",IF(H22="SHALL",$C$7,IF(H22="MAY",$C$7/2,0)))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IF(H23="","",IF(H23="SHALL",$C$7,IF(H23="MAY",$C$7/2,0)))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IF(H24="","",IF(H24="SHALL",$C$7,IF(H24="MAY",$C$7/2,0)))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IF(H25="","",IF(H25="SHALL",$C$7,IF(H25="MAY",$C$7/2,0)))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IF(H26="","",IF(H26="SHALL",$C$7,IF(H26="MAY",$C$7/2,0)))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IF(H27="","",IF(H27="SHALL",$C$7,IF(H27="MAY",$C$7/2,0)))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IF(H28="","",IF(H28="SHALL",$C$7,IF(H28="MAY",$C$7/2,0)))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IF(H29="","",IF(H29="SHALL",$C$7,IF(H29="MAY",$C$7/2,0)))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IF(H30="","",IF(H30="SHALL",$C$7,IF(H30="MAY",$C$7/2,0)))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IF(H31="","",IF(H31="SHALL",$C$7,IF(H31="MAY",$C$7/2,0)))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IF(H32="","",IF(H32="SHALL",$C$7,IF(H32="MAY",$C$7/2,0)))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IF(H33="","",IF(H33="SHALL",$C$7,IF(H33="MAY",$C$7/2,0)))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IF(H34="","",IF(H34="SHALL",$C$7,IF(H34="MAY",$C$7/2,0)))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IF(H35="","",IF(H35="SHALL",$C$7,IF(H35="MAY",$C$7/2,0)))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IF(H36="","",IF(H36="SHALL",$C$7,IF(H36="MAY",$C$7/2,0)))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IF(H37="","",IF(H37="SHALL",$C$7,IF(H37="MAY",$C$7/2,0)))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IF(H38="","",IF(H38="SHALL",$C$7,IF(H38="MAY",$C$7/2,0)))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IF(H39="","",IF(H39="SHALL",$C$7,IF(H39="MAY",$C$7/2,0)))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IF(H40="","",IF(H40="SHALL",$C$7,IF(H40="MAY",$C$7/2,0)))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IF(H41="","",IF(H41="SHALL",$C$7,IF(H41="MAY",$C$7/2,0)))</f>
        <v/>
      </c>
    </row>
  </sheetData>
  <dataValidations count="1">
    <dataValidation allowBlank="true" error="Please enter a valid value (see note above the column)." errorStyle="stop" errorTitle="Invalid entry" operator="between" showDropDown="false" showErrorMessage="true" showInputMessage="false" sqref="H13:H41" type="list">
      <formula1>"SHALL,MAY,NONE"</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268</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Urban design, accessibility and parking &gt;:&lt; Urban design, accessibility and parking</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Parking policy &gt;:&lt; Parking policy</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parking policy?  &gt;:&lt; Has the parking policy been implemented?</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whether a city-level parking policy exists, regardless of whether a legal mandate requires the city to prepare one. Check the websites of the ULG, state urban/transport department, UMTA/ DULT or equivalent competent authority for the policy document. Where the policy document is not available on an official website, check credible media reports to establish whether the city has formally adopted a parking policy.Score 5 if a city-level parking policy exists or its formal adoption can be established through reliable evidence.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Score this question independently of the legal mandate. A city may score 5 on this question even where there is no legal mandate for a parking policy.</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1204</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271</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Applicability and currency of DCRs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city-specific Development Control Regulation (DCR)?</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the applicable DCR to determine whether a city-specific DCR applies. Evidence can be present on the websites of the ULG/Development Authority/T&amp;CP/UDD Department. Score 10 — A city-specific DCR is applicable to the city.Score 0 — The city relies on a generic/state-wide DCR and does not have a city-specific DCR.NA — City has a population below one million. Note to scorer: For cities with a population below one million, mark this question as NA. However, record in the scorer comments the DCR applicable to the city and its status, including whether the city is governed by a city-specific DCR or a generic/state-wide DCR.</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1205</v>
      </c>
    </row>
    <row r="11" customFormat="false" ht="28.5" hidden="false" customHeight="true" outlineLevel="0" collapsed="false">
      <c r="H11" s="242" t="s">
        <v>1082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245" t="s">
        <v>1206</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IF(H13="NA","NA",IF(H13="YES",$C$7,IF(H13="NO",0,"")))</f>
        <v/>
      </c>
    </row>
    <row r="14" customFormat="false" ht="14.25" hidden="false" customHeight="false" outlineLevel="0" collapsed="false">
      <c r="A14" s="246" t="s">
        <v>19</v>
      </c>
      <c r="B14" s="247" t="s">
        <v>41</v>
      </c>
      <c r="C14" s="247" t="s">
        <v>1207</v>
      </c>
      <c r="D14" s="247" t="s">
        <v>1208</v>
      </c>
      <c r="E14" s="247" t="s">
        <v>1209</v>
      </c>
      <c r="F14" s="247" t="s">
        <v>1210</v>
      </c>
      <c r="G14" s="247" t="s">
        <v>42</v>
      </c>
      <c r="H14" s="248"/>
      <c r="I14" s="249" t="str">
        <f aca="false">IF(COUNTIFS('Scores (start here)'!$A:$A,$B$1,'Scores (start here)'!$B:$B,$A14,'Scores (start here)'!$F:$F,"&gt;=0")&gt;0,SUMIFS('Scores (start here)'!$F:$F,'Scores (start here)'!$A:$A,$B$1,'Scores (start here)'!$B:$B,$A14),L14)</f>
        <v/>
      </c>
      <c r="J14" s="247" t="s">
        <v>1211</v>
      </c>
      <c r="K14" s="247"/>
      <c r="L14" s="0" t="str">
        <f aca="false">IF(H14="NA","NA",IF(H14="YES",$C$7,IF(H14="NO",0,"")))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IF(H15="NA","NA",IF(H15="YES",$C$7,IF(H15="NO",0,"")))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IF(H16="NA","NA",IF(H16="YES",$C$7,IF(H16="NO",0,"")))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IF(H17="NA","NA",IF(H17="YES",$C$7,IF(H17="NO",0,"")))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IF(H18="NA","NA",IF(H18="YES",$C$7,IF(H18="NO",0,"")))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IF(H19="NA","NA",IF(H19="YES",$C$7,IF(H19="NO",0,"")))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IF(H20="NA","NA",IF(H20="YES",$C$7,IF(H20="NO",0,"")))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IF(H21="NA","NA",IF(H21="YES",$C$7,IF(H21="NO",0,"")))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IF(H22="NA","NA",IF(H22="YES",$C$7,IF(H22="NO",0,"")))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IF(H23="NA","NA",IF(H23="YES",$C$7,IF(H23="NO",0,"")))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IF(H24="NA","NA",IF(H24="YES",$C$7,IF(H24="NO",0,"")))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IF(H25="NA","NA",IF(H25="YES",$C$7,IF(H25="NO",0,"")))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IF(H26="NA","NA",IF(H26="YES",$C$7,IF(H26="NO",0,"")))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IF(H27="NA","NA",IF(H27="YES",$C$7,IF(H27="NO",0,"")))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IF(H28="NA","NA",IF(H28="YES",$C$7,IF(H28="NO",0,"")))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IF(H29="NA","NA",IF(H29="YES",$C$7,IF(H29="NO",0,"")))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IF(H30="NA","NA",IF(H30="YES",$C$7,IF(H30="NO",0,"")))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IF(H31="NA","NA",IF(H31="YES",$C$7,IF(H31="NO",0,"")))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IF(H32="NA","NA",IF(H32="YES",$C$7,IF(H32="NO",0,"")))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IF(H33="NA","NA",IF(H33="YES",$C$7,IF(H33="NO",0,"")))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IF(H34="NA","NA",IF(H34="YES",$C$7,IF(H34="NO",0,"")))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IF(H35="NA","NA",IF(H35="YES",$C$7,IF(H35="NO",0,"")))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IF(H36="NA","NA",IF(H36="YES",$C$7,IF(H36="NO",0,"")))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IF(H37="NA","NA",IF(H37="YES",$C$7,IF(H37="NO",0,"")))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IF(H38="NA","NA",IF(H38="YES",$C$7,IF(H38="NO",0,"")))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IF(H39="NA","NA",IF(H39="YES",$C$7,IF(H39="NO",0,"")))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IF(H40="NA","NA",IF(H40="YES",$C$7,IF(H40="NO",0,"")))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IF(H41="NA","NA",IF(H41="YES",$C$7,IF(H41="NO",0,"")))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"YES,NO,NA"</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276</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different types and scales of economic activity?</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0" t="n">
        <f aca="false">VLOOKUP($B$1,'UPD Questions_290926 '!$E$1:$N$300,MATCH($A$7,'UPD Questions_290926 '!$E$1:$N$1,0),0)</f>
        <v>2</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Review whether the DCR enables economic activities of different types and scales through the regulation of land use, mixed use, permissible activities, development intensity and development standards. Look particularly for provisions that enable MSMEs/small enterprises, home-based economic activities, commercial activity, mixed-use development, markets/street vending, industrial or productive uses, and specialised economic districts, including through relaxed or differentiated requirements relating to plot size, FAR/FSI, setbacks, parking, access or other development standards. Score 2: Specific provisions enable or incentivise two or more types/scales of economic activity, beyond merely designating land for commercial/industrial use.Score 1: Two or more Economic activities are provided for through conventional land-use zoning/permissible-use provisions, but no specific enabling or incentivising development provision is found.Score 0: No relevant provision addressing economic activity is found.(For example: Just mentioning zoning an area as commercial will get a score of 1, whereas enabling mixed use, home enterprises, MSMEs, flexible use categories, reduced parking/plot requirements, or other provisions specifically facilitating economic activity) Keywords for scorer: mixed use; mixed-use; commercial; commerce; shop; retail; market; vendor; street vending; hawker; home occupation; home-based; cottage industry; household industry; MSME; small enterprise; micro enterprise; industrial; productive use; work-live; special economic; business district; FAR; FSI; parking relaxation; permissible use.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1212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1213</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IF(H13="","",MIN(--H13,$C$7))</f>
        <v/>
      </c>
    </row>
    <row r="14" customFormat="false" ht="15" hidden="false" customHeight="true" outlineLevel="0" collapsed="false">
      <c r="A14" s="246" t="s">
        <v>19</v>
      </c>
      <c r="B14" s="247"/>
      <c r="C14" s="247"/>
      <c r="D14" s="247"/>
      <c r="E14" s="247"/>
      <c r="F14" s="247"/>
      <c r="G14" s="252" t="s">
        <v>1138</v>
      </c>
      <c r="H14" s="248" t="n">
        <v>0</v>
      </c>
      <c r="I14" s="249" t="n">
        <f aca="false">IF(COUNTIFS('Scores (start here)'!$A:$A,$B$1,'Scores (start here)'!$B:$B,$A14,'Scores (start here)'!$F:$F,"&gt;=0")&gt;0,SUMIFS('Scores (start here)'!$F:$F,'Scores (start here)'!$A:$A,$B$1,'Scores (start here)'!$B:$B,$A14),K14)</f>
        <v>0</v>
      </c>
      <c r="J14" s="247" t="s">
        <v>1214</v>
      </c>
      <c r="K14" s="0" t="n">
        <f aca="false">IF(H14="","",MIN(--H14,$C$7))</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IF(H15="","",MIN(--H15,$C$7))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IF(H16="","",MIN(--H16,$C$7))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IF(H17="","",MIN(--H17,$C$7))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IF(H18="","",MIN(--H18,$C$7))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IF(H19="","",MIN(--H19,$C$7))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IF(H20="","",MIN(--H20,$C$7))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IF(H21="","",MIN(--H21,$C$7))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IF(H22="","",MIN(--H22,$C$7))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IF(H23="","",MIN(--H23,$C$7))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IF(H24="","",MIN(--H24,$C$7))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IF(H25="","",MIN(--H25,$C$7))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IF(H26="","",MIN(--H26,$C$7))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IF(H27="","",MIN(--H27,$C$7))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IF(H28="","",MIN(--H28,$C$7))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IF(H29="","",MIN(--H29,$C$7))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IF(H30="","",MIN(--H30,$C$7))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IF(H31="","",MIN(--H31,$C$7))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IF(H32="","",MIN(--H32,$C$7))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IF(H33="","",MIN(--H33,$C$7))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IF(H34="","",MIN(--H34,$C$7))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IF(H35="","",MIN(--H35,$C$7))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IF(H36="","",MIN(--H36,$C$7))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IF(H37="","",MIN(--H37,$C$7))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IF(H38="","",MIN(--H38,$C$7))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IF(H39="","",MIN(--H39,$C$7))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IF(H40="","",MIN(--H40,$C$7))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280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improve access, safety, affordability and development outcomes for women and the urban poor?</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0" t="n">
        <f aca="false">VLOOKUP($B$1,'UPD Questions_290926 '!$E$1:$N$300,MATCH($A$7,'UPD Questions_290926 '!$E$1:$N$1,0),0)</f>
        <v>2</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contains specific controls, standards, relaxations or incentives addressing the needs of women and the urban poor. For the urban poor, check for provisions enabling or incentivising EWS/LIG or affordable housing, inclusionary housing, slum redevelopment/upgradation, in-situ redevelopment, incremental housing or other affordable housing options through measures such as additional FAR/FSI, density incentives, reduced plot-size/setback/parking requirements, reservation of dwelling units or built-up area, cross-subsidy, TDR or other regulatory flexibility. For women, check for development/design provisions specifically addressing women's safety, accessibility and use of buildings and public spaces, such as gender-responsive design standards, requirements relating to safe access, lighting/visibility, sanitation/facilities for women, childcare facilities, or other provisions explicitly addressing women's needs. Score 2: Atleast two or more specific development controls, standards, relaxations or incentives addressing both women and the urban poor are provided.Score 1: Specific development controls, standards, relaxations or incentives addressing either women or the urban poor, but not both, are mentioned in atleast two or more provisions. Score 0: No specific development provision addressing either women or the urban poor is found. Note: General provisions applicable to all developments or users should not be counted unless they specifically address the needs of women or the urban poor. Similarly, merely referring to EWS/LIG housing or women's safety without prescribing a corresponding development control, standard, requirement, relaxation or incentive should not qualify.For example: Additional FAR/FSI or relaxed development standards for EWS/affordable housing would qualify as a provision for the urban poor. Specific design requirements addressing women's safety or access would qualify as a provision for women. Keywords for scorer:Urban poor: EWS; LIG; economically weaker section; low income; affordable housing; inclusionary housing; inclusive housing; social housing; slum; slum rehabilitation; slum redevelopment; in-situ; incremental housing; small dwelling; small plot; density bonus; FAR; FSI; TDR; cross subsidy; development standards; relaxation.Women: women; woman; female; gender; gender responsive; gender sensitive; women safety; safety; safe access; lighting; visibility; toilet for women; female toilet; sanitary facility; childcare; crèche; public space; public realm.</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2" t="s">
        <v>1212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1213</v>
      </c>
      <c r="I12" s="243" t="s">
        <v>1031</v>
      </c>
      <c r="J12" s="245" t="s">
        <v>1032</v>
      </c>
      <c r="K12" s="245" t="s">
        <v>1215</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IF(H13="","",MIN(--H13,$C$7))</f>
        <v/>
      </c>
    </row>
    <row r="14" customFormat="false" ht="15" hidden="false" customHeight="true" outlineLevel="0" collapsed="false">
      <c r="A14" s="246" t="s">
        <v>19</v>
      </c>
      <c r="B14" s="247"/>
      <c r="C14" s="247"/>
      <c r="D14" s="247"/>
      <c r="E14" s="247"/>
      <c r="F14" s="247"/>
      <c r="G14" s="252" t="s">
        <v>1138</v>
      </c>
      <c r="H14" s="248" t="n">
        <v>0</v>
      </c>
      <c r="I14" s="249" t="n">
        <f aca="false">IF(COUNTIFS('Scores (start here)'!$A:$A,$B$1,'Scores (start here)'!$B:$B,$A14,'Scores (start here)'!$F:$F,"&gt;=0")&gt;0,SUMIFS('Scores (start here)'!$F:$F,'Scores (start here)'!$A:$A,$B$1,'Scores (start here)'!$B:$B,$A14),L14)</f>
        <v>0</v>
      </c>
      <c r="J14" s="247" t="s">
        <v>1216</v>
      </c>
      <c r="K14" s="247"/>
      <c r="L14" s="0" t="n">
        <f aca="false">IF(H14="","",MIN(--H14,$C$7))</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IF(H15="","",MIN(--H15,$C$7))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IF(H16="","",MIN(--H16,$C$7))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IF(H17="","",MIN(--H17,$C$7))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IF(H18="","",MIN(--H18,$C$7))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IF(H19="","",MIN(--H19,$C$7))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IF(H20="","",MIN(--H20,$C$7))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IF(H21="","",MIN(--H21,$C$7))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IF(H22="","",MIN(--H22,$C$7))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IF(H23="","",MIN(--H23,$C$7))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IF(H24="","",MIN(--H24,$C$7))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IF(H25="","",MIN(--H25,$C$7))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IF(H26="","",MIN(--H26,$C$7))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IF(H27="","",MIN(--H27,$C$7))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IF(H28="","",MIN(--H28,$C$7))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IF(H29="","",MIN(--H29,$C$7))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IF(H30="","",MIN(--H30,$C$7))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IF(H31="","",MIN(--H31,$C$7))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IF(H32="","",MIN(--H32,$C$7))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IF(H33="","",MIN(--H33,$C$7))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IF(H34="","",MIN(--H34,$C$7))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IF(H35="","",MIN(--H35,$C$7))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IF(H36="","",MIN(--H36,$C$7))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IF(H37="","",MIN(--H37,$C$7))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IF(H38="","",MIN(--H38,$C$7))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IF(H39="","",MIN(--H39,$C$7))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IF(H40="","",MIN(--H40,$C$7))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11"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283</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promote environmental sustainability and climate resilience?</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0" t="n">
        <f aca="false">VLOOKUP($B$1,'UPD Questions_290926 '!$E$1:$N$300,MATCH($A$7,'UPD Questions_290926 '!$E$1:$N$1,0),0)</f>
        <v>2</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environmentally sustainable or climate-resilient development, including through standards, incentives, or enabling provisions relating to green buildings, energy efficiency, water conservation, permeability, green cover, rainwater management, heat mitigation, flood resilience, or development appropriate to environmentally sensitive areas. Score 2:  Specific controls, standards or incentives actively promote environmental sustainability or climate resilience.Score 1: The DCR protects environmentally sensitive/climate-vulnerable areas or imposes environmental restrictions, but does not contain a clear enabling/incentive provision.Score 0 — No relevant environmental or climate-related development provision is found. Note: A generic requirement to obtain environmental clearance based on project size does not, by itself, qualify as an enabling environmental/climate provision.For example: Prohibiting construction within a lake buffer will score 1, whereas permeability/green-cover standards, incentives for green buildings, resilience-oriented development standards, and additional benefits for achieving specified environmental outcomes will score 2 Keywords for scorer: environment; climate; resilience; green building; green rating; GRIHA; IGBC; LEED; energy efficiency; solar; renewable energy; rainwater harvesting; stormwater; flood; floodplain; wetland; water body; lake; buffer; coastal; CRZ; groundwater; recharge; permeability; pervious; green cover; tree cover; open space; heat; cool roof; sustainable; FAR incentive; FSI incentive.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Capture the text that mentions the broad provisions related to the theme and the incentives it offers</v>
      </c>
    </row>
    <row r="11" customFormat="false" ht="28.5" hidden="false" customHeight="true" outlineLevel="0" collapsed="false">
      <c r="H11" s="242" t="s">
        <v>1212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1213</v>
      </c>
      <c r="I12" s="243" t="s">
        <v>1031</v>
      </c>
      <c r="J12" s="245" t="s">
        <v>1032</v>
      </c>
      <c r="K12" s="245" t="s">
        <v>1215</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IF(H13="","",MIN(--H13,$C$7))</f>
        <v/>
      </c>
    </row>
    <row r="14" customFormat="false" ht="15" hidden="false" customHeight="true" outlineLevel="0" collapsed="false">
      <c r="A14" s="246" t="s">
        <v>19</v>
      </c>
      <c r="B14" s="247" t="s">
        <v>41</v>
      </c>
      <c r="C14" s="247" t="s">
        <v>1217</v>
      </c>
      <c r="D14" s="247" t="s">
        <v>1218</v>
      </c>
      <c r="E14" s="247" t="s">
        <v>1219</v>
      </c>
      <c r="F14" s="247" t="s">
        <v>1193</v>
      </c>
      <c r="G14" s="252" t="s">
        <v>42</v>
      </c>
      <c r="H14" s="248" t="n">
        <v>0</v>
      </c>
      <c r="I14" s="249" t="n">
        <f aca="false">IF(COUNTIFS('Scores (start here)'!$A:$A,$B$1,'Scores (start here)'!$B:$B,$A14,'Scores (start here)'!$F:$F,"&gt;=0")&gt;0,SUMIFS('Scores (start here)'!$F:$F,'Scores (start here)'!$A:$A,$B$1,'Scores (start here)'!$B:$B,$A14),L14)</f>
        <v>0</v>
      </c>
      <c r="J14" s="250" t="s">
        <v>1220</v>
      </c>
      <c r="K14" s="247"/>
      <c r="L14" s="0" t="n">
        <f aca="false">IF(H14="","",MIN(--H14,$C$7))</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IF(H15="","",MIN(--H15,$C$7))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IF(H16="","",MIN(--H16,$C$7))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IF(H17="","",MIN(--H17,$C$7))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IF(H18="","",MIN(--H18,$C$7))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IF(H19="","",MIN(--H19,$C$7))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IF(H20="","",MIN(--H20,$C$7))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IF(H21="","",MIN(--H21,$C$7))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IF(H22="","",MIN(--H22,$C$7))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IF(H23="","",MIN(--H23,$C$7))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IF(H24="","",MIN(--H24,$C$7))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IF(H25="","",MIN(--H25,$C$7))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IF(H26="","",MIN(--H26,$C$7))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IF(H27="","",MIN(--H27,$C$7))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IF(H28="","",MIN(--H28,$C$7))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IF(H29="","",MIN(--H29,$C$7))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IF(H30="","",MIN(--H30,$C$7))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IF(H31="","",MIN(--H31,$C$7))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IF(H32="","",MIN(--H32,$C$7))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IF(H33="","",MIN(--H33,$C$7))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IF(H34="","",MIN(--H34,$C$7))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IF(H35="","",MIN(--H35,$C$7))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IF(H36="","",MIN(--H36,$C$7))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IF(H37="","",MIN(--H37,$C$7))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IF(H38="","",MIN(--H38,$C$7))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IF(H39="","",MIN(--H39,$C$7))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IF(H40="","",MIN(--H40,$C$7))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B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289</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or standards that promote positive public-health outcomes?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0" t="n">
        <f aca="false">VLOOKUP($B$1,'UPD Questions_290926 '!$E$1:$N$300,MATCH($A$7,'UPD Questions_290926 '!$E$1:$N$1,0),0)</f>
        <v>2</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promotes positive public-health outcomes through controls, standards or enabling provisions relating to ventilation and natural light, sanitation, overcrowding/density, separation of hazardous or incompatible uses, buffers from polluting activities, or other health-related spatial risks. Score 2: Specific development controls or standards actively promote positive public-health outcomes beyond routine minimum building requirements are mentioned in two or more places.Score 1: The DCR/building regulations prescribe basic or minimum requirements relating to ventilation/light, sanitation, density, hazardous uses or separation from polluting activities, but do not contain additional provisions aimed at improving public-health outcomes. Identify atleast two or more such provisions.Score 0: No relevant development control or standard addressing public-health-related spatial risks is found. Note: Routine building requirements that establish minimum standards for individual buildings should not, by themselves, receive Score 2. Award the full score where development regulation goes beyond these basic requirements to address a broader public-health outcome or spatial risk.For example: A general requirement prescribing minimum window area or provision of toilets for buildings will score 1, whereas specific controls addressing overcrowding, density in relation to health, buffers/separation distances from hazardous or polluting uses, enhanced ventilation/light standards for identified contexts, or other development standards explicitly addressing health-related spatial risks will score 2. Keywords for scorer: public health; health; sanitation; ventilation; natural ventilation; light; natural light; lighting; overcrowding; density; occupancy; hazardous use; hazardous industry; noxious; polluting; pollution; buffer; buffer zone; separation distance; setback; incompatible use; industrial use; industrial hazard; waste; solid waste; sewerage; toilet; latrine; open space; health hazard.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2" t="s">
        <v>1212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1213</v>
      </c>
      <c r="I12" s="243" t="s">
        <v>1031</v>
      </c>
      <c r="J12" s="245" t="s">
        <v>1032</v>
      </c>
      <c r="K12" s="245" t="s">
        <v>1215</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IF(H13="","",MIN(--H13,$C$7))</f>
        <v/>
      </c>
    </row>
    <row r="14" customFormat="false" ht="15" hidden="false" customHeight="true" outlineLevel="0" collapsed="false">
      <c r="A14" s="246" t="s">
        <v>19</v>
      </c>
      <c r="B14" s="247"/>
      <c r="C14" s="247"/>
      <c r="D14" s="247"/>
      <c r="E14" s="247"/>
      <c r="F14" s="247"/>
      <c r="G14" s="252" t="s">
        <v>1138</v>
      </c>
      <c r="H14" s="248" t="n">
        <v>0</v>
      </c>
      <c r="I14" s="249" t="n">
        <f aca="false">IF(COUNTIFS('Scores (start here)'!$A:$A,$B$1,'Scores (start here)'!$B:$B,$A14,'Scores (start here)'!$F:$F,"&gt;=0")&gt;0,SUMIFS('Scores (start here)'!$F:$F,'Scores (start here)'!$A:$A,$B$1,'Scores (start here)'!$B:$B,$A14),L14)</f>
        <v>0</v>
      </c>
      <c r="J14" s="247" t="s">
        <v>1221</v>
      </c>
      <c r="K14" s="247"/>
      <c r="L14" s="0" t="n">
        <f aca="false">IF(H14="","",MIN(--H14,$C$7))</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IF(H15="","",MIN(--H15,$C$7))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IF(H16="","",MIN(--H16,$C$7))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IF(H17="","",MIN(--H17,$C$7))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IF(H18="","",MIN(--H18,$C$7))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IF(H19="","",MIN(--H19,$C$7))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IF(H20="","",MIN(--H20,$C$7))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IF(H21="","",MIN(--H21,$C$7))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IF(H22="","",MIN(--H22,$C$7))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IF(H23="","",MIN(--H23,$C$7))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IF(H24="","",MIN(--H24,$C$7))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IF(H25="","",MIN(--H25,$C$7))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IF(H26="","",MIN(--H26,$C$7))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IF(H27="","",MIN(--H27,$C$7))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IF(H28="","",MIN(--H28,$C$7))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IF(H29="","",MIN(--H29,$C$7))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IF(H30="","",MIN(--H30,$C$7))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IF(H31="","",MIN(--H31,$C$7))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IF(H32="","",MIN(--H32,$C$7))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IF(H33="","",MIN(--H33,$C$7))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IF(H34="","",MIN(--H34,$C$7))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IF(H35="","",MIN(--H35,$C$7))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IF(H36="","",MIN(--H36,$C$7))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IF(H37="","",MIN(--H37,$C$7))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IF(H38="","",MIN(--H38,$C$7))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IF(H39="","",MIN(--H39,$C$7))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IF(H40="","",MIN(--H40,$C$7))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data.opencity.in/dataset/bda-revised-master-plan-2015/resource/dc23b4ae-e020-4499-b18d-8e4ed2f86a24"/>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9" colorId="64" zoomScale="100" zoomScaleNormal="100" zoomScalePageLayoutView="100" workbookViewId="0">
      <selection pane="topLeft" activeCell="G14" activeCellId="0" sqref="G14"/>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 collapsed="false" customWidth="true" hidden="false" outlineLevel="0" max="11" min="11" style="0" width="30"/>
  </cols>
  <sheetData>
    <row r="1" customFormat="false" ht="14.25" hidden="false" customHeight="false" outlineLevel="0" collapsed="false">
      <c r="A1" s="237" t="s">
        <v>1016</v>
      </c>
      <c r="B1" s="237" t="s">
        <v>292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DCR revision and public consultation &gt;:&lt; DCR revision and public consultation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city’s DCR provide development controls, standards or incentives that enable positive economic, environmental, public health, heritage, and inclusion outcomes? &gt;:&lt; Do the DCRs provide development controls, standards or incentives that enable the conservation and adaptive reuse of heritage buildings, precincts or historic areas?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2</v>
      </c>
      <c r="C7" s="240" t="n">
        <f aca="false">VLOOKUP($B$1,'UPD Questions_290926 '!$E$1:$N$300,MATCH($A$7,'UPD Questions_290926 '!$E$1:$N$1,0),0)</f>
        <v>2</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For each dimension, assess whether the DCR contains specific development controls, standards, relaxations, permissions or incentives that enable or promote the identified outcome.A provision need not provide a financial incentive to qualify. Enabling provisions may include, for example, additional FAR/FSI, relaxation of setbacks/parking/plot-size requirements, flexible or mixed-use permissions, density incentives, transferable development rights, simplified development standards, adaptive reuse permissions, inclusionary requirements, or specific design/development standards that facilitate the intended outcome.Total score = sum of the five sub-question scores (2*5=10). &gt;:&lt; Check whether development regulation enables or incentivises the conservation, restoration, continued use or adaptive reuse of heritage buildings, precincts or historic areas, including through transferable development rights (TDR), additional/transferable FAR or FSI, relaxation of setbacks or parking requirements, permission for compatible alternative uses, adaptive reuse provisions, financial/development incentives, or other regulatory flexibility linked to heritage conservation. Score 2: Specific controls, standards, relaxations or incentives actively enable or incentivise conservation, restoration, continued use or adaptive reuse of heritage buildings/areas are mentioned in atleast two or more such provisions. Score 1: The DCR protects heritage buildings/areas through restrictions or approval requirements. For example, restrictions on demolition, alteration, height, façade or development within heritage precincts, but does not contain provisions that actively enable or incentivise conservation or adaptive reuse. Identify atleast two or more such provisions. Score 0: No heritage-specific development control, standard or incentive is found. Note: Merely identifying/listing heritage buildings or requiring permission from a heritage conservation committee or other authority does not qualify for score 2 unless the DCR also provides an enabling or incentivising development provision. For example: Requiring heritage committee approval before alteration/demolition will score 1, whereas permitting adaptive reuse, granting TDR/development rights, allowing compatible alternative uses, or relaxing parking/setback requirements to facilitate conservation will score 2. Keywords for scorer: heritage; heritage building; listed building; heritage precinct; historic; historic core; conservation; preservation; restoration; adaptive reuse; reuse; change of use; alternative use; special character; heritage committee; demolition; alteration; façade; TDR; transferable development rights; FAR; FSI; incentive; parking relaxation; setback relaxation.</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Note: Please capture the text that mentions the broad provisions related to the theme and the incentives it offers clearly </v>
      </c>
    </row>
    <row r="11" customFormat="false" ht="28.5" hidden="false" customHeight="true" outlineLevel="0" collapsed="false">
      <c r="H11" s="242" t="s">
        <v>1212</v>
      </c>
      <c r="I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1213</v>
      </c>
      <c r="I12" s="243" t="s">
        <v>1031</v>
      </c>
      <c r="J12" s="245" t="s">
        <v>1032</v>
      </c>
      <c r="K12" s="245" t="s">
        <v>1215</v>
      </c>
      <c r="L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here)'!$B:$B,$A13),L13)</f>
        <v/>
      </c>
      <c r="J13" s="247"/>
      <c r="K13" s="247"/>
      <c r="L13" s="0" t="str">
        <f aca="false">IF(H13="","",MIN(--H13,$C$7))</f>
        <v/>
      </c>
    </row>
    <row r="14" customFormat="false" ht="15" hidden="false" customHeight="true" outlineLevel="0" collapsed="false">
      <c r="A14" s="246" t="s">
        <v>19</v>
      </c>
      <c r="B14" s="247" t="s">
        <v>41</v>
      </c>
      <c r="C14" s="247" t="s">
        <v>1222</v>
      </c>
      <c r="D14" s="247" t="s">
        <v>1223</v>
      </c>
      <c r="E14" s="247" t="s">
        <v>1224</v>
      </c>
      <c r="F14" s="247" t="s">
        <v>1225</v>
      </c>
      <c r="G14" s="252" t="s">
        <v>42</v>
      </c>
      <c r="H14" s="248" t="n">
        <v>0</v>
      </c>
      <c r="I14" s="249" t="n">
        <f aca="false">IF(COUNTIFS('Scores (start here)'!$A:$A,$B$1,'Scores (start here)'!$B:$B,$A14,'Scores (start here)'!$F:$F,"&gt;=0")&gt;0,SUMIFS('Scores (start here)'!$F:$F,'Scores (start here)'!$A:$A,$B$1,'Scores (start here)'!$B:$B,$A14),L14)</f>
        <v>0</v>
      </c>
      <c r="J14" s="250" t="s">
        <v>1226</v>
      </c>
      <c r="K14" s="247"/>
      <c r="L14" s="0" t="n">
        <f aca="false">IF(H14="","",MIN(--H14,$C$7))</f>
        <v>0</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here)'!$B:$B,$A15),L15)</f>
        <v/>
      </c>
      <c r="J15" s="247"/>
      <c r="K15" s="247"/>
      <c r="L15" s="0" t="str">
        <f aca="false">IF(H15="","",MIN(--H15,$C$7))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here)'!$B:$B,$A16),L16)</f>
        <v/>
      </c>
      <c r="J16" s="247"/>
      <c r="K16" s="247"/>
      <c r="L16" s="0" t="str">
        <f aca="false">IF(H16="","",MIN(--H16,$C$7))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here)'!$B:$B,$A17),L17)</f>
        <v/>
      </c>
      <c r="J17" s="247"/>
      <c r="K17" s="247"/>
      <c r="L17" s="0" t="str">
        <f aca="false">IF(H17="","",MIN(--H17,$C$7))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here)'!$B:$B,$A18),L18)</f>
        <v/>
      </c>
      <c r="J18" s="247"/>
      <c r="K18" s="247"/>
      <c r="L18" s="0" t="str">
        <f aca="false">IF(H18="","",MIN(--H18,$C$7))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here)'!$B:$B,$A19),L19)</f>
        <v/>
      </c>
      <c r="J19" s="247"/>
      <c r="K19" s="247"/>
      <c r="L19" s="0" t="str">
        <f aca="false">IF(H19="","",MIN(--H19,$C$7))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here)'!$B:$B,$A20),L20)</f>
        <v/>
      </c>
      <c r="J20" s="247"/>
      <c r="K20" s="247"/>
      <c r="L20" s="0" t="str">
        <f aca="false">IF(H20="","",MIN(--H20,$C$7))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here)'!$B:$B,$A21),L21)</f>
        <v/>
      </c>
      <c r="J21" s="247"/>
      <c r="K21" s="247"/>
      <c r="L21" s="0" t="str">
        <f aca="false">IF(H21="","",MIN(--H21,$C$7))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here)'!$B:$B,$A22),L22)</f>
        <v/>
      </c>
      <c r="J22" s="247"/>
      <c r="K22" s="247"/>
      <c r="L22" s="0" t="str">
        <f aca="false">IF(H22="","",MIN(--H22,$C$7))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here)'!$B:$B,$A23),L23)</f>
        <v/>
      </c>
      <c r="J23" s="247"/>
      <c r="K23" s="247"/>
      <c r="L23" s="0" t="str">
        <f aca="false">IF(H23="","",MIN(--H23,$C$7))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here)'!$B:$B,$A24),L24)</f>
        <v/>
      </c>
      <c r="J24" s="247"/>
      <c r="K24" s="247"/>
      <c r="L24" s="0" t="str">
        <f aca="false">IF(H24="","",MIN(--H24,$C$7))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here)'!$B:$B,$A25),L25)</f>
        <v/>
      </c>
      <c r="J25" s="247"/>
      <c r="K25" s="247"/>
      <c r="L25" s="0" t="str">
        <f aca="false">IF(H25="","",MIN(--H25,$C$7))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here)'!$B:$B,$A26),L26)</f>
        <v/>
      </c>
      <c r="J26" s="247"/>
      <c r="K26" s="247"/>
      <c r="L26" s="0" t="str">
        <f aca="false">IF(H26="","",MIN(--H26,$C$7))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here)'!$B:$B,$A27),L27)</f>
        <v/>
      </c>
      <c r="J27" s="247"/>
      <c r="K27" s="247"/>
      <c r="L27" s="0" t="str">
        <f aca="false">IF(H27="","",MIN(--H27,$C$7))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here)'!$B:$B,$A28),L28)</f>
        <v/>
      </c>
      <c r="J28" s="247"/>
      <c r="K28" s="247"/>
      <c r="L28" s="0" t="str">
        <f aca="false">IF(H28="","",MIN(--H28,$C$7))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here)'!$B:$B,$A29),L29)</f>
        <v/>
      </c>
      <c r="J29" s="247"/>
      <c r="K29" s="247"/>
      <c r="L29" s="0" t="str">
        <f aca="false">IF(H29="","",MIN(--H29,$C$7))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here)'!$B:$B,$A30),L30)</f>
        <v/>
      </c>
      <c r="J30" s="247"/>
      <c r="K30" s="247"/>
      <c r="L30" s="0" t="str">
        <f aca="false">IF(H30="","",MIN(--H30,$C$7))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here)'!$B:$B,$A31),L31)</f>
        <v/>
      </c>
      <c r="J31" s="247"/>
      <c r="K31" s="247"/>
      <c r="L31" s="0" t="str">
        <f aca="false">IF(H31="","",MIN(--H31,$C$7))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here)'!$B:$B,$A32),L32)</f>
        <v/>
      </c>
      <c r="J32" s="247"/>
      <c r="K32" s="247"/>
      <c r="L32" s="0" t="str">
        <f aca="false">IF(H32="","",MIN(--H32,$C$7))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here)'!$B:$B,$A33),L33)</f>
        <v/>
      </c>
      <c r="J33" s="247"/>
      <c r="K33" s="247"/>
      <c r="L33" s="0" t="str">
        <f aca="false">IF(H33="","",MIN(--H33,$C$7))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here)'!$B:$B,$A34),L34)</f>
        <v/>
      </c>
      <c r="J34" s="247"/>
      <c r="K34" s="247"/>
      <c r="L34" s="0" t="str">
        <f aca="false">IF(H34="","",MIN(--H34,$C$7))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here)'!$B:$B,$A35),L35)</f>
        <v/>
      </c>
      <c r="J35" s="247"/>
      <c r="K35" s="247"/>
      <c r="L35" s="0" t="str">
        <f aca="false">IF(H35="","",MIN(--H35,$C$7))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here)'!$B:$B,$A36),L36)</f>
        <v/>
      </c>
      <c r="J36" s="247"/>
      <c r="K36" s="247"/>
      <c r="L36" s="0" t="str">
        <f aca="false">IF(H36="","",MIN(--H36,$C$7))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here)'!$B:$B,$A37),L37)</f>
        <v/>
      </c>
      <c r="J37" s="247"/>
      <c r="K37" s="247"/>
      <c r="L37" s="0" t="str">
        <f aca="false">IF(H37="","",MIN(--H37,$C$7))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here)'!$B:$B,$A38),L38)</f>
        <v/>
      </c>
      <c r="J38" s="247"/>
      <c r="K38" s="247"/>
      <c r="L38" s="0" t="str">
        <f aca="false">IF(H38="","",MIN(--H38,$C$7))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here)'!$B:$B,$A39),L39)</f>
        <v/>
      </c>
      <c r="J39" s="247"/>
      <c r="K39" s="247"/>
      <c r="L39" s="0" t="str">
        <f aca="false">IF(H39="","",MIN(--H39,$C$7))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here)'!$B:$B,$A40),L40)</f>
        <v/>
      </c>
      <c r="J40" s="247"/>
      <c r="K40" s="247"/>
      <c r="L40" s="0" t="str">
        <f aca="false">IF(H40="","",MIN(--H40,$C$7))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here)'!$B:$B,$A41),L41)</f>
        <v/>
      </c>
      <c r="J41" s="247"/>
      <c r="K41" s="247"/>
      <c r="L41" s="0" t="str">
        <f aca="false">IF(H41="","",MIN(--H41,$C$7))</f>
        <v/>
      </c>
    </row>
  </sheetData>
  <dataValidations count="1">
    <dataValidation allowBlank="true" error="Please enter a valid value (see note above the column)." errorStyle="stop" errorTitle="Invalid entry" operator="between" showDropDown="false" showErrorMessage="true" showInputMessage="false" sqref="H13:H41" type="list">
      <formula1>"2,1,0"</formula1>
      <formula2>0</formula2>
    </dataValidation>
  </dataValidations>
  <hyperlinks>
    <hyperlink ref="I1" location="'Scores (start here)'!A1" display="← Back to Scores (start here)"/>
    <hyperlink ref="G14" r:id="rId1" display="https://prsindia.org/files/bills_acts/acts_states/karnataka/2025/Act36of2025KA.pdf"/>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297</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the law mandate incentives for green buildings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and Municipal Act for a provision mandating or enabling the provision of incentives for green buildings. The Act need not specify the nature or quantum of the incentive; a clear statutory provision requiring or enabling green-building incentives is sufficient. Where specified, incentives may include additional FAR/FSI, property-tax rebates, fee/development-charge concessions, or other fiscal or development-control incentives.Score 5 if the Act provides a clear mandate or enabling provision for green-building incentives, even if the specific incentives are to be prescribed subsequently through rules, regulations or other instruments.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t="s">
        <v>41</v>
      </c>
      <c r="C14" s="247" t="s">
        <v>1227</v>
      </c>
      <c r="D14" s="247" t="s">
        <v>1228</v>
      </c>
      <c r="E14" s="247" t="s">
        <v>1229</v>
      </c>
      <c r="F14" s="247" t="s">
        <v>1193</v>
      </c>
      <c r="G14" s="247" t="s">
        <v>42</v>
      </c>
      <c r="H14" s="248"/>
      <c r="I14" s="249" t="str">
        <f aca="false">IF(COUNTIFS('Scores (start here)'!$A:$A,$B$1,'Scores (start here)'!$B:$B,$A14,'Scores (start here)'!$F:$F,"&gt;=0")&gt;0,SUMIFS('Scores (start here)'!$F:$F,'Scores (start here)'!$A:$A,$B$1,'Scores (start here)'!$B:$B,$A14),K14)</f>
        <v/>
      </c>
      <c r="J14" s="247" t="s">
        <v>1230</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302</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 &gt;:&lt; 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 &gt;:&lt; 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Green-building incentives &gt;:&lt; Green-building incentives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city have a mandate to provide incentives for green buildings, and are these incentives operationalised? &gt;:&lt; Does your city give incentives for green buildings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 &amp; 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municipal/city plan, DCR, ULG or state government (UDD/Energy) website for evidence of any incentives provided for green buildings in the city. Also check the Indian Green Building Council (IGBC), Green Rating for Integrated Habitat Assessment (GRIHA), and Leadership in Energy and Environmental Design (LEED) websites as secondary sources for state government/ULG incentives linked to green-building ratings. Reliable media reports may also be considered.  Incentives may include additional FAR/FSI, rebates in property tax, building-permission fees or development charges, or other fiscal or development-control incentives.Score 5 if at least one green-building incentive is operational in the city, based on an official source or reliable secondary evidence.Score 0 if no such incentive can be established.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1231</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L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s>
  <sheetData>
    <row r="1" customFormat="false" ht="14.25" hidden="false" customHeight="false" outlineLevel="0" collapsed="false">
      <c r="A1" s="237" t="s">
        <v>1016</v>
      </c>
      <c r="B1" s="237" t="s">
        <v>305</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titling system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a land titling law providing for certification/guarantee of land titles; or issued a Government Order/circular/notification establishing a framework for certification of land titles. A general land-record digitisation, mutation or property-registration framework shall not qualify unless it specifically provides for certification/guarantee of title. Part B – OperationalisationWhere the framework is provided through an Act, check whether the rules/regulations necessary to operationalise the land titling framework have been notified. Scoring:Score 10: Land titling is provided through an Act and the necessary rules/regulations have been notified; OR an applicable Government Order/circular/notification establishes an operational framework that does not require separate rules.Score 5: A land titling Act has been enacted, but the necessary rules/regulations have not been notified.Score 0: No land titling law or applicable Government Order/circular/notification exists.</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1021</v>
      </c>
    </row>
    <row r="11" customFormat="false" ht="28.5" hidden="false" customHeight="true" outlineLevel="0" collapsed="false">
      <c r="H11" s="242" t="s">
        <v>1022</v>
      </c>
      <c r="I11" s="242" t="s">
        <v>1022</v>
      </c>
      <c r="J11" s="243" t="s">
        <v>1023</v>
      </c>
      <c r="L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Land titling Act / Government Order exists ("&amp;TEXT($C$7/2,"0.00")&amp;")"</f>
        <v>Part A: Land titling Act / Government Order exists (5.00)</v>
      </c>
      <c r="I12" s="245" t="str">
        <f aca="false">"Part B: Rules notified / framework operational (counts only if Part A = YES) ("&amp;TEXT($C$7/2,"0.00")&amp;")"</f>
        <v>Part B: Rules notified / framework operational (counts only if Part A = YES) (5.00)</v>
      </c>
      <c r="J12" s="243" t="s">
        <v>1031</v>
      </c>
      <c r="K12" s="245" t="s">
        <v>1032</v>
      </c>
      <c r="L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here)'!$B:$B,$A13),L13)</f>
        <v/>
      </c>
      <c r="K13" s="247"/>
      <c r="L13" s="0" t="str">
        <f aca="false">IF(H13="","",IF(H13="NO",0,IF(I13="","",IF(I13="YES",$C$7,$C$7/2))))</f>
        <v/>
      </c>
    </row>
    <row r="14" customFormat="false" ht="14.25" hidden="false" customHeight="false" outlineLevel="0" collapsed="false">
      <c r="A14" s="246" t="s">
        <v>19</v>
      </c>
      <c r="B14" s="247"/>
      <c r="C14" s="247"/>
      <c r="D14" s="247"/>
      <c r="E14" s="247"/>
      <c r="F14" s="247"/>
      <c r="G14" s="247"/>
      <c r="H14" s="248"/>
      <c r="I14" s="248"/>
      <c r="J14" s="249" t="str">
        <f aca="false">IF(COUNTIFS('Scores (start here)'!$A:$A,$B$1,'Scores (start here)'!$B:$B,$A14,'Scores (start here)'!$F:$F,"&gt;=0")&gt;0,SUMIFS('Scores (start here)'!$F:$F,'Scores (start here)'!$A:$A,$B$1,'Scores (start here)'!$B:$B,$A14),L14)</f>
        <v/>
      </c>
      <c r="K14" s="247" t="s">
        <v>1232</v>
      </c>
      <c r="L14" s="0" t="str">
        <f aca="false">IF(H14="","",IF(H14="NO",0,IF(I14="","",IF(I14="YES",$C$7,$C$7/2))))</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here)'!$B:$B,$A15),L15)</f>
        <v/>
      </c>
      <c r="K15" s="247"/>
      <c r="L15" s="0" t="str">
        <f aca="false">IF(H15="","",IF(H15="NO",0,IF(I15="","",IF(I15="YES",$C$7,$C$7/2))))</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here)'!$B:$B,$A16),L16)</f>
        <v/>
      </c>
      <c r="K16" s="247"/>
      <c r="L16" s="0" t="str">
        <f aca="false">IF(H16="","",IF(H16="NO",0,IF(I16="","",IF(I16="YES",$C$7,$C$7/2))))</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here)'!$B:$B,$A17),L17)</f>
        <v/>
      </c>
      <c r="K17" s="247"/>
      <c r="L17" s="0" t="str">
        <f aca="false">IF(H17="","",IF(H17="NO",0,IF(I17="","",IF(I17="YES",$C$7,$C$7/2))))</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here)'!$B:$B,$A18),L18)</f>
        <v/>
      </c>
      <c r="K18" s="247"/>
      <c r="L18" s="0" t="str">
        <f aca="false">IF(H18="","",IF(H18="NO",0,IF(I18="","",IF(I18="YES",$C$7,$C$7/2))))</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here)'!$B:$B,$A19),L19)</f>
        <v/>
      </c>
      <c r="K19" s="247"/>
      <c r="L19" s="0" t="str">
        <f aca="false">IF(H19="","",IF(H19="NO",0,IF(I19="","",IF(I19="YES",$C$7,$C$7/2))))</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here)'!$B:$B,$A20),L20)</f>
        <v/>
      </c>
      <c r="K20" s="247"/>
      <c r="L20" s="0" t="str">
        <f aca="false">IF(H20="","",IF(H20="NO",0,IF(I20="","",IF(I20="YES",$C$7,$C$7/2))))</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here)'!$B:$B,$A21),L21)</f>
        <v/>
      </c>
      <c r="K21" s="247"/>
      <c r="L21" s="0" t="str">
        <f aca="false">IF(H21="","",IF(H21="NO",0,IF(I21="","",IF(I21="YES",$C$7,$C$7/2))))</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here)'!$B:$B,$A22),L22)</f>
        <v/>
      </c>
      <c r="K22" s="247"/>
      <c r="L22" s="0" t="str">
        <f aca="false">IF(H22="","",IF(H22="NO",0,IF(I22="","",IF(I22="YES",$C$7,$C$7/2))))</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here)'!$B:$B,$A23),L23)</f>
        <v/>
      </c>
      <c r="K23" s="247"/>
      <c r="L23" s="0" t="str">
        <f aca="false">IF(H23="","",IF(H23="NO",0,IF(I23="","",IF(I23="YES",$C$7,$C$7/2))))</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here)'!$B:$B,$A24),L24)</f>
        <v/>
      </c>
      <c r="K24" s="247"/>
      <c r="L24" s="0" t="str">
        <f aca="false">IF(H24="","",IF(H24="NO",0,IF(I24="","",IF(I24="YES",$C$7,$C$7/2))))</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here)'!$B:$B,$A25),L25)</f>
        <v/>
      </c>
      <c r="K25" s="247"/>
      <c r="L25" s="0" t="str">
        <f aca="false">IF(H25="","",IF(H25="NO",0,IF(I25="","",IF(I25="YES",$C$7,$C$7/2))))</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here)'!$B:$B,$A26),L26)</f>
        <v/>
      </c>
      <c r="K26" s="247"/>
      <c r="L26" s="0" t="str">
        <f aca="false">IF(H26="","",IF(H26="NO",0,IF(I26="","",IF(I26="YES",$C$7,$C$7/2))))</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here)'!$B:$B,$A27),L27)</f>
        <v/>
      </c>
      <c r="K27" s="247"/>
      <c r="L27" s="0" t="str">
        <f aca="false">IF(H27="","",IF(H27="NO",0,IF(I27="","",IF(I27="YES",$C$7,$C$7/2))))</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here)'!$B:$B,$A28),L28)</f>
        <v/>
      </c>
      <c r="K28" s="247"/>
      <c r="L28" s="0" t="str">
        <f aca="false">IF(H28="","",IF(H28="NO",0,IF(I28="","",IF(I28="YES",$C$7,$C$7/2))))</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here)'!$B:$B,$A29),L29)</f>
        <v/>
      </c>
      <c r="K29" s="247"/>
      <c r="L29" s="0" t="str">
        <f aca="false">IF(H29="","",IF(H29="NO",0,IF(I29="","",IF(I29="YES",$C$7,$C$7/2))))</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here)'!$B:$B,$A30),L30)</f>
        <v/>
      </c>
      <c r="K30" s="247"/>
      <c r="L30" s="0" t="str">
        <f aca="false">IF(H30="","",IF(H30="NO",0,IF(I30="","",IF(I30="YES",$C$7,$C$7/2))))</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here)'!$B:$B,$A31),L31)</f>
        <v/>
      </c>
      <c r="K31" s="247"/>
      <c r="L31" s="0" t="str">
        <f aca="false">IF(H31="","",IF(H31="NO",0,IF(I31="","",IF(I31="YES",$C$7,$C$7/2))))</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here)'!$B:$B,$A32),L32)</f>
        <v/>
      </c>
      <c r="K32" s="247"/>
      <c r="L32" s="0" t="str">
        <f aca="false">IF(H32="","",IF(H32="NO",0,IF(I32="","",IF(I32="YES",$C$7,$C$7/2))))</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here)'!$B:$B,$A33),L33)</f>
        <v/>
      </c>
      <c r="K33" s="247"/>
      <c r="L33" s="0" t="str">
        <f aca="false">IF(H33="","",IF(H33="NO",0,IF(I33="","",IF(I33="YES",$C$7,$C$7/2))))</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here)'!$B:$B,$A34),L34)</f>
        <v/>
      </c>
      <c r="K34" s="247"/>
      <c r="L34" s="0" t="str">
        <f aca="false">IF(H34="","",IF(H34="NO",0,IF(I34="","",IF(I34="YES",$C$7,$C$7/2))))</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here)'!$B:$B,$A35),L35)</f>
        <v/>
      </c>
      <c r="K35" s="247"/>
      <c r="L35" s="0" t="str">
        <f aca="false">IF(H35="","",IF(H35="NO",0,IF(I35="","",IF(I35="YES",$C$7,$C$7/2))))</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here)'!$B:$B,$A36),L36)</f>
        <v/>
      </c>
      <c r="K36" s="247"/>
      <c r="L36" s="0" t="str">
        <f aca="false">IF(H36="","",IF(H36="NO",0,IF(I36="","",IF(I36="YES",$C$7,$C$7/2))))</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here)'!$B:$B,$A37),L37)</f>
        <v/>
      </c>
      <c r="K37" s="247"/>
      <c r="L37" s="0" t="str">
        <f aca="false">IF(H37="","",IF(H37="NO",0,IF(I37="","",IF(I37="YES",$C$7,$C$7/2))))</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here)'!$B:$B,$A38),L38)</f>
        <v/>
      </c>
      <c r="K38" s="247"/>
      <c r="L38" s="0" t="str">
        <f aca="false">IF(H38="","",IF(H38="NO",0,IF(I38="","",IF(I38="YES",$C$7,$C$7/2))))</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here)'!$B:$B,$A39),L39)</f>
        <v/>
      </c>
      <c r="K39" s="247"/>
      <c r="L39" s="0" t="str">
        <f aca="false">IF(H39="","",IF(H39="NO",0,IF(I39="","",IF(I39="YES",$C$7,$C$7/2))))</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here)'!$B:$B,$A40),L40)</f>
        <v/>
      </c>
      <c r="K40" s="247"/>
      <c r="L40" s="0" t="str">
        <f aca="false">IF(H40="","",IF(H40="NO",0,IF(I40="","",IF(I40="YES",$C$7,$C$7/2))))</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here)'!$B:$B,$A41),L41)</f>
        <v/>
      </c>
      <c r="K41" s="247"/>
      <c r="L41" s="0" t="str">
        <f aca="false">IF(H41="","",IF(H41="NO",0,IF(I41="","",IF(I41="YES",$C$7,$C$7/2))))</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9" min="8" style="0" width="22"/>
    <col collapsed="false" customWidth="true" hidden="false" outlineLevel="0" max="10" min="10" style="0" width="14"/>
    <col collapsed="false" customWidth="true" hidden="false" outlineLevel="0" max="11" min="11" style="0" width="45"/>
    <col collapsed="false" customWidth="true" hidden="false" outlineLevel="0" max="12" min="12" style="0" width="30"/>
  </cols>
  <sheetData>
    <row r="1" customFormat="false" ht="14.25" hidden="false" customHeight="false" outlineLevel="0" collapsed="false">
      <c r="A1" s="237" t="s">
        <v>1016</v>
      </c>
      <c r="B1" s="237" t="s">
        <v>308</v>
      </c>
      <c r="C1" s="238" t="s">
        <v>1017</v>
      </c>
      <c r="J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Control Regulations and land-management instruments</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Land-management instruments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enable a guaranteed land pooling system ?</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Part A – Legal/Policy ProvisionCheck whether the State has enacted legislation or issued a Government Order/circular/notification providing for a land assembly/reconstitution mechanism such as:a. Town Planning Scheme (TPS)/land reconstitution; orb. Land pooling. Score 5 if at least one such mechanism is formally provided for through legislation or an applicable Government Order/circular/notification. Score 0 otherwise. Part B – OperationalisationWhere the mechanism is provided for through an Act, check whether the rules/regulations necessary to operationalise the mechanism have been notified. Score 5 if the rules/regulations necessary for implementation of the mechanism have been notified and are currently in force. Score 0 if the enabling provision exists but the necessary rules/regulations have not been notified.</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Note: Record separately whether the applicable mechanism is TPS/land reconstitution, land pooling, or both. </v>
      </c>
      <c r="H10" s="241" t="s">
        <v>1072</v>
      </c>
    </row>
    <row r="11" customFormat="false" ht="28.5" hidden="false" customHeight="true" outlineLevel="0" collapsed="false">
      <c r="H11" s="242" t="s">
        <v>1022</v>
      </c>
      <c r="I11" s="242" t="s">
        <v>1022</v>
      </c>
      <c r="J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tr">
        <f aca="false">"Part A: Mechanism provided (law / GO) ("&amp;TEXT($C$7/2,"0.00")&amp;")"</f>
        <v>Part A: Mechanism provided (law / GO) (5.00)</v>
      </c>
      <c r="I12" s="245" t="str">
        <f aca="false">"Part B: Rules notified &amp; in force ("&amp;TEXT($C$7/2,"0.00")&amp;")"</f>
        <v>Part B: Rules notified &amp; in force (5.00)</v>
      </c>
      <c r="J12" s="243" t="s">
        <v>1031</v>
      </c>
      <c r="K12" s="245" t="s">
        <v>1032</v>
      </c>
      <c r="L12" s="245" t="s">
        <v>1233</v>
      </c>
      <c r="M12" s="0" t="s">
        <v>1033</v>
      </c>
    </row>
    <row r="13" customFormat="false" ht="14.25" hidden="false" customHeight="false" outlineLevel="0" collapsed="false">
      <c r="A13" s="246" t="s">
        <v>726</v>
      </c>
      <c r="B13" s="247"/>
      <c r="C13" s="247"/>
      <c r="D13" s="247"/>
      <c r="E13" s="247"/>
      <c r="F13" s="247"/>
      <c r="G13" s="247"/>
      <c r="H13" s="248"/>
      <c r="I13" s="248"/>
      <c r="J13" s="249" t="str">
        <f aca="false">IF(COUNTIFS('Scores (start here)'!$A:$A,$B$1,'Scores (start here)'!$B:$B,$A13,'Scores (start here)'!$F:$F,"&gt;=0")&gt;0,SUMIFS('Scores (start here)'!$F:$F,'Scores (start here)'!$A:$A,$B$1,'Scores (start here)'!$B:$B,$A13),M13)</f>
        <v/>
      </c>
      <c r="K13" s="247"/>
      <c r="L13" s="247"/>
      <c r="M13" s="0" t="str">
        <f aca="false">IF(OR(H13="",I13=""),"",COUNTIF(H13:I13,"YES")/2*$C$7)</f>
        <v/>
      </c>
    </row>
    <row r="14" customFormat="false" ht="35.05" hidden="false" customHeight="false" outlineLevel="0" collapsed="false">
      <c r="A14" s="246" t="s">
        <v>19</v>
      </c>
      <c r="B14" s="247"/>
      <c r="C14" s="247"/>
      <c r="D14" s="247"/>
      <c r="E14" s="247"/>
      <c r="F14" s="247"/>
      <c r="G14" s="247"/>
      <c r="H14" s="248"/>
      <c r="I14" s="248"/>
      <c r="J14" s="249" t="str">
        <f aca="false">IF(COUNTIFS('Scores (start here)'!$A:$A,$B$1,'Scores (start here)'!$B:$B,$A14,'Scores (start here)'!$F:$F,"&gt;=0")&gt;0,SUMIFS('Scores (start here)'!$F:$F,'Scores (start here)'!$A:$A,$B$1,'Scores (start here)'!$B:$B,$A14),M14)</f>
        <v/>
      </c>
      <c r="K14" s="250" t="s">
        <v>1234</v>
      </c>
      <c r="L14" s="247"/>
      <c r="M14" s="0" t="str">
        <f aca="false">IF(OR(H14="",I14=""),"",COUNTIF(H14:I14,"YES")/2*$C$7)</f>
        <v/>
      </c>
    </row>
    <row r="15" customFormat="false" ht="14.25" hidden="false" customHeight="false" outlineLevel="0" collapsed="false">
      <c r="A15" s="246" t="s">
        <v>727</v>
      </c>
      <c r="B15" s="247"/>
      <c r="C15" s="247"/>
      <c r="D15" s="247"/>
      <c r="E15" s="247"/>
      <c r="F15" s="247"/>
      <c r="G15" s="247"/>
      <c r="H15" s="248"/>
      <c r="I15" s="248"/>
      <c r="J15" s="249" t="str">
        <f aca="false">IF(COUNTIFS('Scores (start here)'!$A:$A,$B$1,'Scores (start here)'!$B:$B,$A15,'Scores (start here)'!$F:$F,"&gt;=0")&gt;0,SUMIFS('Scores (start here)'!$F:$F,'Scores (start here)'!$A:$A,$B$1,'Scores (start here)'!$B:$B,$A15),M15)</f>
        <v/>
      </c>
      <c r="K15" s="247"/>
      <c r="L15" s="247"/>
      <c r="M15" s="0" t="str">
        <f aca="false">IF(OR(H15="",I15=""),"",COUNTIF(H15:I15,"YES")/2*$C$7)</f>
        <v/>
      </c>
    </row>
    <row r="16" customFormat="false" ht="14.25" hidden="false" customHeight="false" outlineLevel="0" collapsed="false">
      <c r="A16" s="246" t="s">
        <v>728</v>
      </c>
      <c r="B16" s="247"/>
      <c r="C16" s="247"/>
      <c r="D16" s="247"/>
      <c r="E16" s="247"/>
      <c r="F16" s="247"/>
      <c r="G16" s="247"/>
      <c r="H16" s="248"/>
      <c r="I16" s="248"/>
      <c r="J16" s="249" t="str">
        <f aca="false">IF(COUNTIFS('Scores (start here)'!$A:$A,$B$1,'Scores (start here)'!$B:$B,$A16,'Scores (start here)'!$F:$F,"&gt;=0")&gt;0,SUMIFS('Scores (start here)'!$F:$F,'Scores (start here)'!$A:$A,$B$1,'Scores (start here)'!$B:$B,$A16),M16)</f>
        <v/>
      </c>
      <c r="K16" s="247"/>
      <c r="L16" s="247"/>
      <c r="M16" s="0" t="str">
        <f aca="false">IF(OR(H16="",I16=""),"",COUNTIF(H16:I16,"YES")/2*$C$7)</f>
        <v/>
      </c>
    </row>
    <row r="17" customFormat="false" ht="14.25" hidden="false" customHeight="false" outlineLevel="0" collapsed="false">
      <c r="A17" s="246" t="s">
        <v>729</v>
      </c>
      <c r="B17" s="247"/>
      <c r="C17" s="247"/>
      <c r="D17" s="247"/>
      <c r="E17" s="247"/>
      <c r="F17" s="247"/>
      <c r="G17" s="247"/>
      <c r="H17" s="248"/>
      <c r="I17" s="248"/>
      <c r="J17" s="249" t="str">
        <f aca="false">IF(COUNTIFS('Scores (start here)'!$A:$A,$B$1,'Scores (start here)'!$B:$B,$A17,'Scores (start here)'!$F:$F,"&gt;=0")&gt;0,SUMIFS('Scores (start here)'!$F:$F,'Scores (start here)'!$A:$A,$B$1,'Scores (start here)'!$B:$B,$A17),M17)</f>
        <v/>
      </c>
      <c r="K17" s="247"/>
      <c r="L17" s="247"/>
      <c r="M17" s="0" t="str">
        <f aca="false">IF(OR(H17="",I17=""),"",COUNTIF(H17:I17,"YES")/2*$C$7)</f>
        <v/>
      </c>
    </row>
    <row r="18" customFormat="false" ht="14.25" hidden="false" customHeight="false" outlineLevel="0" collapsed="false">
      <c r="A18" s="246" t="s">
        <v>730</v>
      </c>
      <c r="B18" s="247"/>
      <c r="C18" s="247"/>
      <c r="D18" s="247"/>
      <c r="E18" s="247"/>
      <c r="F18" s="247"/>
      <c r="G18" s="247"/>
      <c r="H18" s="248"/>
      <c r="I18" s="248"/>
      <c r="J18" s="249" t="str">
        <f aca="false">IF(COUNTIFS('Scores (start here)'!$A:$A,$B$1,'Scores (start here)'!$B:$B,$A18,'Scores (start here)'!$F:$F,"&gt;=0")&gt;0,SUMIFS('Scores (start here)'!$F:$F,'Scores (start here)'!$A:$A,$B$1,'Scores (start here)'!$B:$B,$A18),M18)</f>
        <v/>
      </c>
      <c r="K18" s="247"/>
      <c r="L18" s="247"/>
      <c r="M18" s="0" t="str">
        <f aca="false">IF(OR(H18="",I18=""),"",COUNTIF(H18:I18,"YES")/2*$C$7)</f>
        <v/>
      </c>
    </row>
    <row r="19" customFormat="false" ht="14.25" hidden="false" customHeight="false" outlineLevel="0" collapsed="false">
      <c r="A19" s="246" t="s">
        <v>731</v>
      </c>
      <c r="B19" s="247"/>
      <c r="C19" s="247"/>
      <c r="D19" s="247"/>
      <c r="E19" s="247"/>
      <c r="F19" s="247"/>
      <c r="G19" s="247"/>
      <c r="H19" s="248"/>
      <c r="I19" s="248"/>
      <c r="J19" s="249" t="str">
        <f aca="false">IF(COUNTIFS('Scores (start here)'!$A:$A,$B$1,'Scores (start here)'!$B:$B,$A19,'Scores (start here)'!$F:$F,"&gt;=0")&gt;0,SUMIFS('Scores (start here)'!$F:$F,'Scores (start here)'!$A:$A,$B$1,'Scores (start here)'!$B:$B,$A19),M19)</f>
        <v/>
      </c>
      <c r="K19" s="247"/>
      <c r="L19" s="247"/>
      <c r="M19" s="0" t="str">
        <f aca="false">IF(OR(H19="",I19=""),"",COUNTIF(H19:I19,"YES")/2*$C$7)</f>
        <v/>
      </c>
    </row>
    <row r="20" customFormat="false" ht="14.25" hidden="false" customHeight="false" outlineLevel="0" collapsed="false">
      <c r="A20" s="246" t="s">
        <v>732</v>
      </c>
      <c r="B20" s="247"/>
      <c r="C20" s="247"/>
      <c r="D20" s="247"/>
      <c r="E20" s="247"/>
      <c r="F20" s="247"/>
      <c r="G20" s="247"/>
      <c r="H20" s="248"/>
      <c r="I20" s="248"/>
      <c r="J20" s="249" t="str">
        <f aca="false">IF(COUNTIFS('Scores (start here)'!$A:$A,$B$1,'Scores (start here)'!$B:$B,$A20,'Scores (start here)'!$F:$F,"&gt;=0")&gt;0,SUMIFS('Scores (start here)'!$F:$F,'Scores (start here)'!$A:$A,$B$1,'Scores (start here)'!$B:$B,$A20),M20)</f>
        <v/>
      </c>
      <c r="K20" s="247"/>
      <c r="L20" s="247"/>
      <c r="M20" s="0" t="str">
        <f aca="false">IF(OR(H20="",I20=""),"",COUNTIF(H20:I20,"YES")/2*$C$7)</f>
        <v/>
      </c>
    </row>
    <row r="21" customFormat="false" ht="14.25" hidden="false" customHeight="false" outlineLevel="0" collapsed="false">
      <c r="A21" s="246" t="s">
        <v>733</v>
      </c>
      <c r="B21" s="247"/>
      <c r="C21" s="247"/>
      <c r="D21" s="247"/>
      <c r="E21" s="247"/>
      <c r="F21" s="247"/>
      <c r="G21" s="247"/>
      <c r="H21" s="248"/>
      <c r="I21" s="248"/>
      <c r="J21" s="249" t="str">
        <f aca="false">IF(COUNTIFS('Scores (start here)'!$A:$A,$B$1,'Scores (start here)'!$B:$B,$A21,'Scores (start here)'!$F:$F,"&gt;=0")&gt;0,SUMIFS('Scores (start here)'!$F:$F,'Scores (start here)'!$A:$A,$B$1,'Scores (start here)'!$B:$B,$A21),M21)</f>
        <v/>
      </c>
      <c r="K21" s="247"/>
      <c r="L21" s="247"/>
      <c r="M21" s="0" t="str">
        <f aca="false">IF(OR(H21="",I21=""),"",COUNTIF(H21:I21,"YES")/2*$C$7)</f>
        <v/>
      </c>
    </row>
    <row r="22" customFormat="false" ht="14.25" hidden="false" customHeight="false" outlineLevel="0" collapsed="false">
      <c r="A22" s="246" t="s">
        <v>734</v>
      </c>
      <c r="B22" s="247"/>
      <c r="C22" s="247"/>
      <c r="D22" s="247"/>
      <c r="E22" s="247"/>
      <c r="F22" s="247"/>
      <c r="G22" s="247"/>
      <c r="H22" s="248"/>
      <c r="I22" s="248"/>
      <c r="J22" s="249" t="str">
        <f aca="false">IF(COUNTIFS('Scores (start here)'!$A:$A,$B$1,'Scores (start here)'!$B:$B,$A22,'Scores (start here)'!$F:$F,"&gt;=0")&gt;0,SUMIFS('Scores (start here)'!$F:$F,'Scores (start here)'!$A:$A,$B$1,'Scores (start here)'!$B:$B,$A22),M22)</f>
        <v/>
      </c>
      <c r="K22" s="247"/>
      <c r="L22" s="247"/>
      <c r="M22" s="0" t="str">
        <f aca="false">IF(OR(H22="",I22=""),"",COUNTIF(H22:I22,"YES")/2*$C$7)</f>
        <v/>
      </c>
    </row>
    <row r="23" customFormat="false" ht="14.25" hidden="false" customHeight="false" outlineLevel="0" collapsed="false">
      <c r="A23" s="246" t="s">
        <v>735</v>
      </c>
      <c r="B23" s="247"/>
      <c r="C23" s="247"/>
      <c r="D23" s="247"/>
      <c r="E23" s="247"/>
      <c r="F23" s="247"/>
      <c r="G23" s="247"/>
      <c r="H23" s="248"/>
      <c r="I23" s="248"/>
      <c r="J23" s="249" t="str">
        <f aca="false">IF(COUNTIFS('Scores (start here)'!$A:$A,$B$1,'Scores (start here)'!$B:$B,$A23,'Scores (start here)'!$F:$F,"&gt;=0")&gt;0,SUMIFS('Scores (start here)'!$F:$F,'Scores (start here)'!$A:$A,$B$1,'Scores (start here)'!$B:$B,$A23),M23)</f>
        <v/>
      </c>
      <c r="K23" s="247"/>
      <c r="L23" s="247"/>
      <c r="M23" s="0" t="str">
        <f aca="false">IF(OR(H23="",I23=""),"",COUNTIF(H23:I23,"YES")/2*$C$7)</f>
        <v/>
      </c>
    </row>
    <row r="24" customFormat="false" ht="14.25" hidden="false" customHeight="false" outlineLevel="0" collapsed="false">
      <c r="A24" s="246" t="s">
        <v>736</v>
      </c>
      <c r="B24" s="247"/>
      <c r="C24" s="247"/>
      <c r="D24" s="247"/>
      <c r="E24" s="247"/>
      <c r="F24" s="247"/>
      <c r="G24" s="247"/>
      <c r="H24" s="248"/>
      <c r="I24" s="248"/>
      <c r="J24" s="249" t="str">
        <f aca="false">IF(COUNTIFS('Scores (start here)'!$A:$A,$B$1,'Scores (start here)'!$B:$B,$A24,'Scores (start here)'!$F:$F,"&gt;=0")&gt;0,SUMIFS('Scores (start here)'!$F:$F,'Scores (start here)'!$A:$A,$B$1,'Scores (start here)'!$B:$B,$A24),M24)</f>
        <v/>
      </c>
      <c r="K24" s="247"/>
      <c r="L24" s="247"/>
      <c r="M24" s="0" t="str">
        <f aca="false">IF(OR(H24="",I24=""),"",COUNTIF(H24:I24,"YES")/2*$C$7)</f>
        <v/>
      </c>
    </row>
    <row r="25" customFormat="false" ht="14.25" hidden="false" customHeight="false" outlineLevel="0" collapsed="false">
      <c r="A25" s="246" t="s">
        <v>737</v>
      </c>
      <c r="B25" s="247"/>
      <c r="C25" s="247"/>
      <c r="D25" s="247"/>
      <c r="E25" s="247"/>
      <c r="F25" s="247"/>
      <c r="G25" s="247"/>
      <c r="H25" s="248"/>
      <c r="I25" s="248"/>
      <c r="J25" s="249" t="str">
        <f aca="false">IF(COUNTIFS('Scores (start here)'!$A:$A,$B$1,'Scores (start here)'!$B:$B,$A25,'Scores (start here)'!$F:$F,"&gt;=0")&gt;0,SUMIFS('Scores (start here)'!$F:$F,'Scores (start here)'!$A:$A,$B$1,'Scores (start here)'!$B:$B,$A25),M25)</f>
        <v/>
      </c>
      <c r="K25" s="247"/>
      <c r="L25" s="247"/>
      <c r="M25" s="0" t="str">
        <f aca="false">IF(OR(H25="",I25=""),"",COUNTIF(H25:I25,"YES")/2*$C$7)</f>
        <v/>
      </c>
    </row>
    <row r="26" customFormat="false" ht="14.25" hidden="false" customHeight="false" outlineLevel="0" collapsed="false">
      <c r="A26" s="246" t="s">
        <v>738</v>
      </c>
      <c r="B26" s="247"/>
      <c r="C26" s="247"/>
      <c r="D26" s="247"/>
      <c r="E26" s="247"/>
      <c r="F26" s="247"/>
      <c r="G26" s="247"/>
      <c r="H26" s="248"/>
      <c r="I26" s="248"/>
      <c r="J26" s="249" t="str">
        <f aca="false">IF(COUNTIFS('Scores (start here)'!$A:$A,$B$1,'Scores (start here)'!$B:$B,$A26,'Scores (start here)'!$F:$F,"&gt;=0")&gt;0,SUMIFS('Scores (start here)'!$F:$F,'Scores (start here)'!$A:$A,$B$1,'Scores (start here)'!$B:$B,$A26),M26)</f>
        <v/>
      </c>
      <c r="K26" s="247"/>
      <c r="L26" s="247"/>
      <c r="M26" s="0" t="str">
        <f aca="false">IF(OR(H26="",I26=""),"",COUNTIF(H26:I26,"YES")/2*$C$7)</f>
        <v/>
      </c>
    </row>
    <row r="27" customFormat="false" ht="14.25" hidden="false" customHeight="false" outlineLevel="0" collapsed="false">
      <c r="A27" s="246" t="s">
        <v>739</v>
      </c>
      <c r="B27" s="247"/>
      <c r="C27" s="247"/>
      <c r="D27" s="247"/>
      <c r="E27" s="247"/>
      <c r="F27" s="247"/>
      <c r="G27" s="247"/>
      <c r="H27" s="248"/>
      <c r="I27" s="248"/>
      <c r="J27" s="249" t="str">
        <f aca="false">IF(COUNTIFS('Scores (start here)'!$A:$A,$B$1,'Scores (start here)'!$B:$B,$A27,'Scores (start here)'!$F:$F,"&gt;=0")&gt;0,SUMIFS('Scores (start here)'!$F:$F,'Scores (start here)'!$A:$A,$B$1,'Scores (start here)'!$B:$B,$A27),M27)</f>
        <v/>
      </c>
      <c r="K27" s="247"/>
      <c r="L27" s="247"/>
      <c r="M27" s="0" t="str">
        <f aca="false">IF(OR(H27="",I27=""),"",COUNTIF(H27:I27,"YES")/2*$C$7)</f>
        <v/>
      </c>
    </row>
    <row r="28" customFormat="false" ht="14.25" hidden="false" customHeight="false" outlineLevel="0" collapsed="false">
      <c r="A28" s="246" t="s">
        <v>740</v>
      </c>
      <c r="B28" s="247"/>
      <c r="C28" s="247"/>
      <c r="D28" s="247"/>
      <c r="E28" s="247"/>
      <c r="F28" s="247"/>
      <c r="G28" s="247"/>
      <c r="H28" s="248"/>
      <c r="I28" s="248"/>
      <c r="J28" s="249" t="str">
        <f aca="false">IF(COUNTIFS('Scores (start here)'!$A:$A,$B$1,'Scores (start here)'!$B:$B,$A28,'Scores (start here)'!$F:$F,"&gt;=0")&gt;0,SUMIFS('Scores (start here)'!$F:$F,'Scores (start here)'!$A:$A,$B$1,'Scores (start here)'!$B:$B,$A28),M28)</f>
        <v/>
      </c>
      <c r="K28" s="247"/>
      <c r="L28" s="247"/>
      <c r="M28" s="0" t="str">
        <f aca="false">IF(OR(H28="",I28=""),"",COUNTIF(H28:I28,"YES")/2*$C$7)</f>
        <v/>
      </c>
    </row>
    <row r="29" customFormat="false" ht="14.25" hidden="false" customHeight="false" outlineLevel="0" collapsed="false">
      <c r="A29" s="246" t="s">
        <v>741</v>
      </c>
      <c r="B29" s="247"/>
      <c r="C29" s="247"/>
      <c r="D29" s="247"/>
      <c r="E29" s="247"/>
      <c r="F29" s="247"/>
      <c r="G29" s="247"/>
      <c r="H29" s="248"/>
      <c r="I29" s="248"/>
      <c r="J29" s="249" t="str">
        <f aca="false">IF(COUNTIFS('Scores (start here)'!$A:$A,$B$1,'Scores (start here)'!$B:$B,$A29,'Scores (start here)'!$F:$F,"&gt;=0")&gt;0,SUMIFS('Scores (start here)'!$F:$F,'Scores (start here)'!$A:$A,$B$1,'Scores (start here)'!$B:$B,$A29),M29)</f>
        <v/>
      </c>
      <c r="K29" s="247"/>
      <c r="L29" s="247"/>
      <c r="M29" s="0" t="str">
        <f aca="false">IF(OR(H29="",I29=""),"",COUNTIF(H29:I29,"YES")/2*$C$7)</f>
        <v/>
      </c>
    </row>
    <row r="30" customFormat="false" ht="14.25" hidden="false" customHeight="false" outlineLevel="0" collapsed="false">
      <c r="A30" s="246" t="s">
        <v>742</v>
      </c>
      <c r="B30" s="247"/>
      <c r="C30" s="247"/>
      <c r="D30" s="247"/>
      <c r="E30" s="247"/>
      <c r="F30" s="247"/>
      <c r="G30" s="247"/>
      <c r="H30" s="248"/>
      <c r="I30" s="248"/>
      <c r="J30" s="249" t="str">
        <f aca="false">IF(COUNTIFS('Scores (start here)'!$A:$A,$B$1,'Scores (start here)'!$B:$B,$A30,'Scores (start here)'!$F:$F,"&gt;=0")&gt;0,SUMIFS('Scores (start here)'!$F:$F,'Scores (start here)'!$A:$A,$B$1,'Scores (start here)'!$B:$B,$A30),M30)</f>
        <v/>
      </c>
      <c r="K30" s="247"/>
      <c r="L30" s="247"/>
      <c r="M30" s="0" t="str">
        <f aca="false">IF(OR(H30="",I30=""),"",COUNTIF(H30:I30,"YES")/2*$C$7)</f>
        <v/>
      </c>
    </row>
    <row r="31" customFormat="false" ht="14.25" hidden="false" customHeight="false" outlineLevel="0" collapsed="false">
      <c r="A31" s="246" t="s">
        <v>743</v>
      </c>
      <c r="B31" s="247"/>
      <c r="C31" s="247"/>
      <c r="D31" s="247"/>
      <c r="E31" s="247"/>
      <c r="F31" s="247"/>
      <c r="G31" s="247"/>
      <c r="H31" s="248"/>
      <c r="I31" s="248"/>
      <c r="J31" s="249" t="str">
        <f aca="false">IF(COUNTIFS('Scores (start here)'!$A:$A,$B$1,'Scores (start here)'!$B:$B,$A31,'Scores (start here)'!$F:$F,"&gt;=0")&gt;0,SUMIFS('Scores (start here)'!$F:$F,'Scores (start here)'!$A:$A,$B$1,'Scores (start here)'!$B:$B,$A31),M31)</f>
        <v/>
      </c>
      <c r="K31" s="247"/>
      <c r="L31" s="247"/>
      <c r="M31" s="0" t="str">
        <f aca="false">IF(OR(H31="",I31=""),"",COUNTIF(H31:I31,"YES")/2*$C$7)</f>
        <v/>
      </c>
    </row>
    <row r="32" customFormat="false" ht="14.25" hidden="false" customHeight="false" outlineLevel="0" collapsed="false">
      <c r="A32" s="246" t="s">
        <v>744</v>
      </c>
      <c r="B32" s="247"/>
      <c r="C32" s="247"/>
      <c r="D32" s="247"/>
      <c r="E32" s="247"/>
      <c r="F32" s="247"/>
      <c r="G32" s="247"/>
      <c r="H32" s="248"/>
      <c r="I32" s="248"/>
      <c r="J32" s="249" t="str">
        <f aca="false">IF(COUNTIFS('Scores (start here)'!$A:$A,$B$1,'Scores (start here)'!$B:$B,$A32,'Scores (start here)'!$F:$F,"&gt;=0")&gt;0,SUMIFS('Scores (start here)'!$F:$F,'Scores (start here)'!$A:$A,$B$1,'Scores (start here)'!$B:$B,$A32),M32)</f>
        <v/>
      </c>
      <c r="K32" s="247"/>
      <c r="L32" s="247"/>
      <c r="M32" s="0" t="str">
        <f aca="false">IF(OR(H32="",I32=""),"",COUNTIF(H32:I32,"YES")/2*$C$7)</f>
        <v/>
      </c>
    </row>
    <row r="33" customFormat="false" ht="14.25" hidden="false" customHeight="false" outlineLevel="0" collapsed="false">
      <c r="A33" s="246" t="s">
        <v>745</v>
      </c>
      <c r="B33" s="247"/>
      <c r="C33" s="247"/>
      <c r="D33" s="247"/>
      <c r="E33" s="247"/>
      <c r="F33" s="247"/>
      <c r="G33" s="247"/>
      <c r="H33" s="248"/>
      <c r="I33" s="248"/>
      <c r="J33" s="249" t="str">
        <f aca="false">IF(COUNTIFS('Scores (start here)'!$A:$A,$B$1,'Scores (start here)'!$B:$B,$A33,'Scores (start here)'!$F:$F,"&gt;=0")&gt;0,SUMIFS('Scores (start here)'!$F:$F,'Scores (start here)'!$A:$A,$B$1,'Scores (start here)'!$B:$B,$A33),M33)</f>
        <v/>
      </c>
      <c r="K33" s="247"/>
      <c r="L33" s="247"/>
      <c r="M33" s="0" t="str">
        <f aca="false">IF(OR(H33="",I33=""),"",COUNTIF(H33:I33,"YES")/2*$C$7)</f>
        <v/>
      </c>
    </row>
    <row r="34" customFormat="false" ht="14.25" hidden="false" customHeight="false" outlineLevel="0" collapsed="false">
      <c r="A34" s="246" t="s">
        <v>746</v>
      </c>
      <c r="B34" s="247"/>
      <c r="C34" s="247"/>
      <c r="D34" s="247"/>
      <c r="E34" s="247"/>
      <c r="F34" s="247"/>
      <c r="G34" s="247"/>
      <c r="H34" s="248"/>
      <c r="I34" s="248"/>
      <c r="J34" s="249" t="str">
        <f aca="false">IF(COUNTIFS('Scores (start here)'!$A:$A,$B$1,'Scores (start here)'!$B:$B,$A34,'Scores (start here)'!$F:$F,"&gt;=0")&gt;0,SUMIFS('Scores (start here)'!$F:$F,'Scores (start here)'!$A:$A,$B$1,'Scores (start here)'!$B:$B,$A34),M34)</f>
        <v/>
      </c>
      <c r="K34" s="247"/>
      <c r="L34" s="247"/>
      <c r="M34" s="0" t="str">
        <f aca="false">IF(OR(H34="",I34=""),"",COUNTIF(H34:I34,"YES")/2*$C$7)</f>
        <v/>
      </c>
    </row>
    <row r="35" customFormat="false" ht="14.25" hidden="false" customHeight="false" outlineLevel="0" collapsed="false">
      <c r="A35" s="246" t="s">
        <v>747</v>
      </c>
      <c r="B35" s="247"/>
      <c r="C35" s="247"/>
      <c r="D35" s="247"/>
      <c r="E35" s="247"/>
      <c r="F35" s="247"/>
      <c r="G35" s="247"/>
      <c r="H35" s="248"/>
      <c r="I35" s="248"/>
      <c r="J35" s="249" t="str">
        <f aca="false">IF(COUNTIFS('Scores (start here)'!$A:$A,$B$1,'Scores (start here)'!$B:$B,$A35,'Scores (start here)'!$F:$F,"&gt;=0")&gt;0,SUMIFS('Scores (start here)'!$F:$F,'Scores (start here)'!$A:$A,$B$1,'Scores (start here)'!$B:$B,$A35),M35)</f>
        <v/>
      </c>
      <c r="K35" s="247"/>
      <c r="L35" s="247"/>
      <c r="M35" s="0" t="str">
        <f aca="false">IF(OR(H35="",I35=""),"",COUNTIF(H35:I35,"YES")/2*$C$7)</f>
        <v/>
      </c>
    </row>
    <row r="36" customFormat="false" ht="14.25" hidden="false" customHeight="false" outlineLevel="0" collapsed="false">
      <c r="A36" s="246" t="s">
        <v>748</v>
      </c>
      <c r="B36" s="247"/>
      <c r="C36" s="247"/>
      <c r="D36" s="247"/>
      <c r="E36" s="247"/>
      <c r="F36" s="247"/>
      <c r="G36" s="247"/>
      <c r="H36" s="248"/>
      <c r="I36" s="248"/>
      <c r="J36" s="249" t="str">
        <f aca="false">IF(COUNTIFS('Scores (start here)'!$A:$A,$B$1,'Scores (start here)'!$B:$B,$A36,'Scores (start here)'!$F:$F,"&gt;=0")&gt;0,SUMIFS('Scores (start here)'!$F:$F,'Scores (start here)'!$A:$A,$B$1,'Scores (start here)'!$B:$B,$A36),M36)</f>
        <v/>
      </c>
      <c r="K36" s="247"/>
      <c r="L36" s="247"/>
      <c r="M36" s="0" t="str">
        <f aca="false">IF(OR(H36="",I36=""),"",COUNTIF(H36:I36,"YES")/2*$C$7)</f>
        <v/>
      </c>
    </row>
    <row r="37" customFormat="false" ht="14.25" hidden="false" customHeight="false" outlineLevel="0" collapsed="false">
      <c r="A37" s="246" t="s">
        <v>749</v>
      </c>
      <c r="B37" s="247"/>
      <c r="C37" s="247"/>
      <c r="D37" s="247"/>
      <c r="E37" s="247"/>
      <c r="F37" s="247"/>
      <c r="G37" s="247"/>
      <c r="H37" s="248"/>
      <c r="I37" s="248"/>
      <c r="J37" s="249" t="str">
        <f aca="false">IF(COUNTIFS('Scores (start here)'!$A:$A,$B$1,'Scores (start here)'!$B:$B,$A37,'Scores (start here)'!$F:$F,"&gt;=0")&gt;0,SUMIFS('Scores (start here)'!$F:$F,'Scores (start here)'!$A:$A,$B$1,'Scores (start here)'!$B:$B,$A37),M37)</f>
        <v/>
      </c>
      <c r="K37" s="247"/>
      <c r="L37" s="247"/>
      <c r="M37" s="0" t="str">
        <f aca="false">IF(OR(H37="",I37=""),"",COUNTIF(H37:I37,"YES")/2*$C$7)</f>
        <v/>
      </c>
    </row>
    <row r="38" customFormat="false" ht="14.25" hidden="false" customHeight="false" outlineLevel="0" collapsed="false">
      <c r="A38" s="246" t="s">
        <v>750</v>
      </c>
      <c r="B38" s="247"/>
      <c r="C38" s="247"/>
      <c r="D38" s="247"/>
      <c r="E38" s="247"/>
      <c r="F38" s="247"/>
      <c r="G38" s="247"/>
      <c r="H38" s="248"/>
      <c r="I38" s="248"/>
      <c r="J38" s="249" t="str">
        <f aca="false">IF(COUNTIFS('Scores (start here)'!$A:$A,$B$1,'Scores (start here)'!$B:$B,$A38,'Scores (start here)'!$F:$F,"&gt;=0")&gt;0,SUMIFS('Scores (start here)'!$F:$F,'Scores (start here)'!$A:$A,$B$1,'Scores (start here)'!$B:$B,$A38),M38)</f>
        <v/>
      </c>
      <c r="K38" s="247"/>
      <c r="L38" s="247"/>
      <c r="M38" s="0" t="str">
        <f aca="false">IF(OR(H38="",I38=""),"",COUNTIF(H38:I38,"YES")/2*$C$7)</f>
        <v/>
      </c>
    </row>
    <row r="39" customFormat="false" ht="14.25" hidden="false" customHeight="false" outlineLevel="0" collapsed="false">
      <c r="A39" s="246" t="s">
        <v>751</v>
      </c>
      <c r="B39" s="247"/>
      <c r="C39" s="247"/>
      <c r="D39" s="247"/>
      <c r="E39" s="247"/>
      <c r="F39" s="247"/>
      <c r="G39" s="247"/>
      <c r="H39" s="248"/>
      <c r="I39" s="248"/>
      <c r="J39" s="249" t="str">
        <f aca="false">IF(COUNTIFS('Scores (start here)'!$A:$A,$B$1,'Scores (start here)'!$B:$B,$A39,'Scores (start here)'!$F:$F,"&gt;=0")&gt;0,SUMIFS('Scores (start here)'!$F:$F,'Scores (start here)'!$A:$A,$B$1,'Scores (start here)'!$B:$B,$A39),M39)</f>
        <v/>
      </c>
      <c r="K39" s="247"/>
      <c r="L39" s="247"/>
      <c r="M39" s="0" t="str">
        <f aca="false">IF(OR(H39="",I39=""),"",COUNTIF(H39:I39,"YES")/2*$C$7)</f>
        <v/>
      </c>
    </row>
    <row r="40" customFormat="false" ht="14.25" hidden="false" customHeight="false" outlineLevel="0" collapsed="false">
      <c r="A40" s="246" t="s">
        <v>752</v>
      </c>
      <c r="B40" s="247"/>
      <c r="C40" s="247"/>
      <c r="D40" s="247"/>
      <c r="E40" s="247"/>
      <c r="F40" s="247"/>
      <c r="G40" s="247"/>
      <c r="H40" s="248"/>
      <c r="I40" s="248"/>
      <c r="J40" s="249" t="str">
        <f aca="false">IF(COUNTIFS('Scores (start here)'!$A:$A,$B$1,'Scores (start here)'!$B:$B,$A40,'Scores (start here)'!$F:$F,"&gt;=0")&gt;0,SUMIFS('Scores (start here)'!$F:$F,'Scores (start here)'!$A:$A,$B$1,'Scores (start here)'!$B:$B,$A40),M40)</f>
        <v/>
      </c>
      <c r="K40" s="247"/>
      <c r="L40" s="247"/>
      <c r="M40" s="0" t="str">
        <f aca="false">IF(OR(H40="",I40=""),"",COUNTIF(H40:I40,"YES")/2*$C$7)</f>
        <v/>
      </c>
    </row>
    <row r="41" customFormat="false" ht="14.25" hidden="false" customHeight="false" outlineLevel="0" collapsed="false">
      <c r="A41" s="246" t="s">
        <v>753</v>
      </c>
      <c r="B41" s="247"/>
      <c r="C41" s="247"/>
      <c r="D41" s="247"/>
      <c r="E41" s="247"/>
      <c r="F41" s="247"/>
      <c r="G41" s="247"/>
      <c r="H41" s="248"/>
      <c r="I41" s="248"/>
      <c r="J41" s="249" t="str">
        <f aca="false">IF(COUNTIFS('Scores (start here)'!$A:$A,$B$1,'Scores (start here)'!$B:$B,$A41,'Scores (start here)'!$F:$F,"&gt;=0")&gt;0,SUMIFS('Scores (start here)'!$F:$F,'Scores (start here)'!$A:$A,$B$1,'Scores (start here)'!$B:$B,$A41),M41)</f>
        <v/>
      </c>
      <c r="K41" s="247"/>
      <c r="L41" s="247"/>
      <c r="M41" s="0" t="str">
        <f aca="false">IF(OR(H41="",I41=""),"",COUNTIF(H41:I41,"YES")/2*$C$7)</f>
        <v/>
      </c>
    </row>
  </sheetData>
  <dataValidations count="1">
    <dataValidation allowBlank="true" error="Please enter a valid value (see note above the column)." errorStyle="stop" errorTitle="Invalid entry" operator="between" showDropDown="false" showErrorMessage="true" showInputMessage="false" sqref="H13:I41" type="list">
      <formula1>"YES,NO"</formula1>
      <formula2>0</formula2>
    </dataValidation>
  </dataValidations>
  <hyperlinks>
    <hyperlink ref="J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313</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Implementation</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your city have a single window clearance process in place for  development projects that are in conformity with municipal/city plans?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for the existence of an online portal / platform that acts as a one-stop solution for filing complete application for development projects (education, health, affordable housing) and provides option for tracking status of application. Score 10 if  any 2 out of the 3 project types are available on the portal/platform/DA Website </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row>
    <row r="11" customFormat="false" ht="28.5" hidden="false" customHeight="true" outlineLevel="0" collapsed="false">
      <c r="H11" s="242" t="s">
        <v>1022</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1039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IF(H13="YES",$C$7,IF(H13="NO",0,""))</f>
        <v/>
      </c>
    </row>
    <row r="14" customFormat="false" ht="14.25" hidden="false" customHeight="false" outlineLevel="0" collapsed="false">
      <c r="A14" s="246" t="s">
        <v>19</v>
      </c>
      <c r="B14" s="247"/>
      <c r="C14" s="247"/>
      <c r="D14" s="247"/>
      <c r="E14" s="247"/>
      <c r="F14" s="247"/>
      <c r="G14" s="247"/>
      <c r="H14" s="248"/>
      <c r="I14" s="249" t="str">
        <f aca="false">IF(COUNTIFS('Scores (start here)'!$A:$A,$B$1,'Scores (start here)'!$B:$B,$A14,'Scores (start here)'!$F:$F,"&gt;=0")&gt;0,SUMIFS('Scores (start here)'!$F:$F,'Scores (start here)'!$A:$A,$B$1,'Scores (start here)'!$B:$B,$A14),K14)</f>
        <v/>
      </c>
      <c r="J14" s="247" t="s">
        <v>1235</v>
      </c>
      <c r="K14" s="0" t="str">
        <f aca="false">IF(H14="YES",$C$7,IF(H14="NO",0,""))</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IF(H15="YES",$C$7,IF(H15="NO",0,""))</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IF(H16="YES",$C$7,IF(H16="NO",0,""))</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IF(H17="YES",$C$7,IF(H17="NO",0,""))</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IF(H18="YES",$C$7,IF(H18="NO",0,""))</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IF(H19="YES",$C$7,IF(H19="NO",0,""))</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IF(H20="YES",$C$7,IF(H20="NO",0,""))</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IF(H21="YES",$C$7,IF(H21="NO",0,""))</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IF(H22="YES",$C$7,IF(H22="NO",0,""))</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IF(H23="YES",$C$7,IF(H23="NO",0,""))</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IF(H24="YES",$C$7,IF(H24="NO",0,""))</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IF(H25="YES",$C$7,IF(H25="NO",0,""))</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IF(H26="YES",$C$7,IF(H26="NO",0,""))</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IF(H27="YES",$C$7,IF(H27="NO",0,""))</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IF(H28="YES",$C$7,IF(H28="NO",0,""))</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IF(H29="YES",$C$7,IF(H29="NO",0,""))</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IF(H30="YES",$C$7,IF(H30="NO",0,""))</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IF(H31="YES",$C$7,IF(H31="NO",0,""))</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IF(H32="YES",$C$7,IF(H32="NO",0,""))</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IF(H33="YES",$C$7,IF(H33="NO",0,""))</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IF(H34="YES",$C$7,IF(H34="NO",0,""))</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IF(H35="YES",$C$7,IF(H35="NO",0,""))</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IF(H36="YES",$C$7,IF(H36="NO",0,""))</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IF(H37="YES",$C$7,IF(H37="NO",0,""))</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IF(H38="YES",$C$7,IF(H38="NO",0,""))</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IF(H39="YES",$C$7,IF(H39="NO",0,""))</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IF(H40="YES",$C$7,IF(H40="NO",0,""))</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IF(H41="YES",$C$7,IF(H41="NO",0,""))</f>
        <v/>
      </c>
    </row>
  </sheetData>
  <dataValidations count="1">
    <dataValidation allowBlank="true" error="Please enter a valid value (see note above the column)." errorStyle="stop" errorTitle="Invalid entry" operator="between" showDropDown="false" showErrorMessage="true" showInputMessage="false" sqref="H13:H41" type="list">
      <formula1>"YES,NO"</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N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1" min="8" style="0" width="22"/>
    <col collapsed="false" customWidth="true" hidden="false" outlineLevel="0" max="12" min="12" style="0" width="14"/>
    <col collapsed="false" customWidth="true" hidden="false" outlineLevel="0" max="13" min="13" style="0" width="45"/>
  </cols>
  <sheetData>
    <row r="1" customFormat="false" ht="14.25" hidden="false" customHeight="false" outlineLevel="0" collapsed="false">
      <c r="A1" s="237" t="s">
        <v>1016</v>
      </c>
      <c r="B1" s="237" t="s">
        <v>316</v>
      </c>
      <c r="C1" s="238" t="s">
        <v>1017</v>
      </c>
      <c r="L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Development approvals</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Is there an effective system to prevent approval of plans that are not in conformity with municipal/city plan?</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whether there is a system with all of the following aspects:1. An approval authority for projects at each level, as defined under the T&amp;CP Act or allied Act and/or the MPC Act2. A defined process for rejection and/or variance approvals for plans that are not in conformity with the SDP, as provided under the T&amp;CP Act or allied Act and/or the MPC Act3. A registry of public projects (bus terminals, metro stations, railway stations, protected heritage buildings) and private projects. Evidence can be present on ULG/Development Authority websites4. Disclosure of all approvals, denials and variance approvals in the public domain. Evidence can be present on ULG/Development Authority websites Score 10 only if all four of the above aspects are metScore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c>
      <c r="H10" s="241" t="s">
        <v>1236</v>
      </c>
    </row>
    <row r="11" customFormat="false" ht="28.5" hidden="false" customHeight="true" outlineLevel="0" collapsed="false">
      <c r="H11" s="242" t="s">
        <v>1022</v>
      </c>
      <c r="I11" s="242" t="s">
        <v>1022</v>
      </c>
      <c r="J11" s="242" t="s">
        <v>1022</v>
      </c>
      <c r="K11" s="242" t="s">
        <v>1022</v>
      </c>
      <c r="L11" s="243" t="s">
        <v>1023</v>
      </c>
      <c r="N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1237</v>
      </c>
      <c r="I12" s="245" t="s">
        <v>1238</v>
      </c>
      <c r="J12" s="245" t="s">
        <v>1239</v>
      </c>
      <c r="K12" s="245" t="s">
        <v>1240</v>
      </c>
      <c r="L12" s="243" t="s">
        <v>1031</v>
      </c>
      <c r="M12" s="245" t="s">
        <v>1032</v>
      </c>
      <c r="N12" s="0" t="s">
        <v>1033</v>
      </c>
    </row>
    <row r="13" customFormat="false" ht="14.25" hidden="false" customHeight="false" outlineLevel="0" collapsed="false">
      <c r="A13" s="246" t="s">
        <v>726</v>
      </c>
      <c r="B13" s="247"/>
      <c r="C13" s="247"/>
      <c r="D13" s="247"/>
      <c r="E13" s="247"/>
      <c r="F13" s="247"/>
      <c r="G13" s="247"/>
      <c r="H13" s="248"/>
      <c r="I13" s="248"/>
      <c r="J13" s="248"/>
      <c r="K13" s="248"/>
      <c r="L13" s="249" t="str">
        <f aca="false">IF(COUNTIFS('Scores (start here)'!$A:$A,$B$1,'Scores (start here)'!$B:$B,$A13,'Scores (start here)'!$F:$F,"&gt;=0")&gt;0,SUMIFS('Scores (start here)'!$F:$F,'Scores (start here)'!$A:$A,$B$1,'Scores (start here)'!$B:$B,$A13),N13)</f>
        <v/>
      </c>
      <c r="M13" s="247"/>
      <c r="N13" s="0" t="str">
        <f aca="false">IF(OR(H13="",I13="",J13="",K13=""),"",IF(COUNTIF(H13:K13,"YES")=4,$C$7,0))</f>
        <v/>
      </c>
    </row>
    <row r="14" customFormat="false" ht="14.25" hidden="false" customHeight="false" outlineLevel="0" collapsed="false">
      <c r="A14" s="246" t="s">
        <v>19</v>
      </c>
      <c r="B14" s="247" t="s">
        <v>41</v>
      </c>
      <c r="C14" s="247" t="s">
        <v>1241</v>
      </c>
      <c r="D14" s="247" t="s">
        <v>1242</v>
      </c>
      <c r="E14" s="247" t="s">
        <v>1243</v>
      </c>
      <c r="F14" s="247" t="s">
        <v>1244</v>
      </c>
      <c r="G14" s="247" t="s">
        <v>42</v>
      </c>
      <c r="H14" s="248" t="s">
        <v>1037</v>
      </c>
      <c r="I14" s="248" t="s">
        <v>1037</v>
      </c>
      <c r="J14" s="248"/>
      <c r="K14" s="248"/>
      <c r="L14" s="249" t="str">
        <f aca="false">IF(COUNTIFS('Scores (start here)'!$A:$A,$B$1,'Scores (start here)'!$B:$B,$A14,'Scores (start here)'!$F:$F,"&gt;=0")&gt;0,SUMIFS('Scores (start here)'!$F:$F,'Scores (start here)'!$A:$A,$B$1,'Scores (start here)'!$B:$B,$A14),N14)</f>
        <v/>
      </c>
      <c r="M14" s="247" t="s">
        <v>1245</v>
      </c>
      <c r="N14" s="0" t="str">
        <f aca="false">IF(OR(H14="",I14="",J14="",K14=""),"",IF(COUNTIF(H14:K14,"YES")=4,$C$7,0))</f>
        <v/>
      </c>
    </row>
    <row r="15" customFormat="false" ht="14.25" hidden="false" customHeight="false" outlineLevel="0" collapsed="false">
      <c r="A15" s="246" t="s">
        <v>727</v>
      </c>
      <c r="B15" s="247"/>
      <c r="C15" s="247"/>
      <c r="D15" s="247"/>
      <c r="E15" s="247"/>
      <c r="F15" s="247"/>
      <c r="G15" s="247"/>
      <c r="H15" s="248"/>
      <c r="I15" s="248"/>
      <c r="J15" s="248"/>
      <c r="K15" s="248"/>
      <c r="L15" s="249" t="str">
        <f aca="false">IF(COUNTIFS('Scores (start here)'!$A:$A,$B$1,'Scores (start here)'!$B:$B,$A15,'Scores (start here)'!$F:$F,"&gt;=0")&gt;0,SUMIFS('Scores (start here)'!$F:$F,'Scores (start here)'!$A:$A,$B$1,'Scores (start here)'!$B:$B,$A15),N15)</f>
        <v/>
      </c>
      <c r="M15" s="247"/>
      <c r="N15" s="0" t="str">
        <f aca="false">IF(OR(H15="",I15="",J15="",K15=""),"",IF(COUNTIF(H15:K15,"YES")=4,$C$7,0))</f>
        <v/>
      </c>
    </row>
    <row r="16" customFormat="false" ht="14.25" hidden="false" customHeight="false" outlineLevel="0" collapsed="false">
      <c r="A16" s="246" t="s">
        <v>728</v>
      </c>
      <c r="B16" s="247"/>
      <c r="C16" s="247"/>
      <c r="D16" s="247"/>
      <c r="E16" s="247"/>
      <c r="F16" s="247"/>
      <c r="G16" s="247"/>
      <c r="H16" s="248"/>
      <c r="I16" s="248"/>
      <c r="J16" s="248"/>
      <c r="K16" s="248"/>
      <c r="L16" s="249" t="str">
        <f aca="false">IF(COUNTIFS('Scores (start here)'!$A:$A,$B$1,'Scores (start here)'!$B:$B,$A16,'Scores (start here)'!$F:$F,"&gt;=0")&gt;0,SUMIFS('Scores (start here)'!$F:$F,'Scores (start here)'!$A:$A,$B$1,'Scores (start here)'!$B:$B,$A16),N16)</f>
        <v/>
      </c>
      <c r="M16" s="247"/>
      <c r="N16" s="0" t="str">
        <f aca="false">IF(OR(H16="",I16="",J16="",K16=""),"",IF(COUNTIF(H16:K16,"YES")=4,$C$7,0))</f>
        <v/>
      </c>
    </row>
    <row r="17" customFormat="false" ht="14.25" hidden="false" customHeight="false" outlineLevel="0" collapsed="false">
      <c r="A17" s="246" t="s">
        <v>729</v>
      </c>
      <c r="B17" s="247"/>
      <c r="C17" s="247"/>
      <c r="D17" s="247"/>
      <c r="E17" s="247"/>
      <c r="F17" s="247"/>
      <c r="G17" s="247"/>
      <c r="H17" s="248"/>
      <c r="I17" s="248"/>
      <c r="J17" s="248"/>
      <c r="K17" s="248"/>
      <c r="L17" s="249" t="str">
        <f aca="false">IF(COUNTIFS('Scores (start here)'!$A:$A,$B$1,'Scores (start here)'!$B:$B,$A17,'Scores (start here)'!$F:$F,"&gt;=0")&gt;0,SUMIFS('Scores (start here)'!$F:$F,'Scores (start here)'!$A:$A,$B$1,'Scores (start here)'!$B:$B,$A17),N17)</f>
        <v/>
      </c>
      <c r="M17" s="247"/>
      <c r="N17" s="0" t="str">
        <f aca="false">IF(OR(H17="",I17="",J17="",K17=""),"",IF(COUNTIF(H17:K17,"YES")=4,$C$7,0))</f>
        <v/>
      </c>
    </row>
    <row r="18" customFormat="false" ht="14.25" hidden="false" customHeight="false" outlineLevel="0" collapsed="false">
      <c r="A18" s="246" t="s">
        <v>730</v>
      </c>
      <c r="B18" s="247"/>
      <c r="C18" s="247"/>
      <c r="D18" s="247"/>
      <c r="E18" s="247"/>
      <c r="F18" s="247"/>
      <c r="G18" s="247"/>
      <c r="H18" s="248"/>
      <c r="I18" s="248"/>
      <c r="J18" s="248"/>
      <c r="K18" s="248"/>
      <c r="L18" s="249" t="str">
        <f aca="false">IF(COUNTIFS('Scores (start here)'!$A:$A,$B$1,'Scores (start here)'!$B:$B,$A18,'Scores (start here)'!$F:$F,"&gt;=0")&gt;0,SUMIFS('Scores (start here)'!$F:$F,'Scores (start here)'!$A:$A,$B$1,'Scores (start here)'!$B:$B,$A18),N18)</f>
        <v/>
      </c>
      <c r="M18" s="247"/>
      <c r="N18" s="0" t="str">
        <f aca="false">IF(OR(H18="",I18="",J18="",K18=""),"",IF(COUNTIF(H18:K18,"YES")=4,$C$7,0))</f>
        <v/>
      </c>
    </row>
    <row r="19" customFormat="false" ht="14.25" hidden="false" customHeight="false" outlineLevel="0" collapsed="false">
      <c r="A19" s="246" t="s">
        <v>731</v>
      </c>
      <c r="B19" s="247"/>
      <c r="C19" s="247"/>
      <c r="D19" s="247"/>
      <c r="E19" s="247"/>
      <c r="F19" s="247"/>
      <c r="G19" s="247"/>
      <c r="H19" s="248"/>
      <c r="I19" s="248"/>
      <c r="J19" s="248"/>
      <c r="K19" s="248"/>
      <c r="L19" s="249" t="str">
        <f aca="false">IF(COUNTIFS('Scores (start here)'!$A:$A,$B$1,'Scores (start here)'!$B:$B,$A19,'Scores (start here)'!$F:$F,"&gt;=0")&gt;0,SUMIFS('Scores (start here)'!$F:$F,'Scores (start here)'!$A:$A,$B$1,'Scores (start here)'!$B:$B,$A19),N19)</f>
        <v/>
      </c>
      <c r="M19" s="247"/>
      <c r="N19" s="0" t="str">
        <f aca="false">IF(OR(H19="",I19="",J19="",K19=""),"",IF(COUNTIF(H19:K19,"YES")=4,$C$7,0))</f>
        <v/>
      </c>
    </row>
    <row r="20" customFormat="false" ht="14.25" hidden="false" customHeight="false" outlineLevel="0" collapsed="false">
      <c r="A20" s="246" t="s">
        <v>732</v>
      </c>
      <c r="B20" s="247"/>
      <c r="C20" s="247"/>
      <c r="D20" s="247"/>
      <c r="E20" s="247"/>
      <c r="F20" s="247"/>
      <c r="G20" s="247"/>
      <c r="H20" s="248"/>
      <c r="I20" s="248"/>
      <c r="J20" s="248"/>
      <c r="K20" s="248"/>
      <c r="L20" s="249" t="str">
        <f aca="false">IF(COUNTIFS('Scores (start here)'!$A:$A,$B$1,'Scores (start here)'!$B:$B,$A20,'Scores (start here)'!$F:$F,"&gt;=0")&gt;0,SUMIFS('Scores (start here)'!$F:$F,'Scores (start here)'!$A:$A,$B$1,'Scores (start here)'!$B:$B,$A20),N20)</f>
        <v/>
      </c>
      <c r="M20" s="247"/>
      <c r="N20" s="0" t="str">
        <f aca="false">IF(OR(H20="",I20="",J20="",K20=""),"",IF(COUNTIF(H20:K20,"YES")=4,$C$7,0))</f>
        <v/>
      </c>
    </row>
    <row r="21" customFormat="false" ht="14.25" hidden="false" customHeight="false" outlineLevel="0" collapsed="false">
      <c r="A21" s="246" t="s">
        <v>733</v>
      </c>
      <c r="B21" s="247"/>
      <c r="C21" s="247"/>
      <c r="D21" s="247"/>
      <c r="E21" s="247"/>
      <c r="F21" s="247"/>
      <c r="G21" s="247"/>
      <c r="H21" s="248"/>
      <c r="I21" s="248"/>
      <c r="J21" s="248"/>
      <c r="K21" s="248"/>
      <c r="L21" s="249" t="str">
        <f aca="false">IF(COUNTIFS('Scores (start here)'!$A:$A,$B$1,'Scores (start here)'!$B:$B,$A21,'Scores (start here)'!$F:$F,"&gt;=0")&gt;0,SUMIFS('Scores (start here)'!$F:$F,'Scores (start here)'!$A:$A,$B$1,'Scores (start here)'!$B:$B,$A21),N21)</f>
        <v/>
      </c>
      <c r="M21" s="247"/>
      <c r="N21" s="0" t="str">
        <f aca="false">IF(OR(H21="",I21="",J21="",K21=""),"",IF(COUNTIF(H21:K21,"YES")=4,$C$7,0))</f>
        <v/>
      </c>
    </row>
    <row r="22" customFormat="false" ht="14.25" hidden="false" customHeight="false" outlineLevel="0" collapsed="false">
      <c r="A22" s="246" t="s">
        <v>734</v>
      </c>
      <c r="B22" s="247"/>
      <c r="C22" s="247"/>
      <c r="D22" s="247"/>
      <c r="E22" s="247"/>
      <c r="F22" s="247"/>
      <c r="G22" s="247"/>
      <c r="H22" s="248"/>
      <c r="I22" s="248"/>
      <c r="J22" s="248"/>
      <c r="K22" s="248"/>
      <c r="L22" s="249" t="str">
        <f aca="false">IF(COUNTIFS('Scores (start here)'!$A:$A,$B$1,'Scores (start here)'!$B:$B,$A22,'Scores (start here)'!$F:$F,"&gt;=0")&gt;0,SUMIFS('Scores (start here)'!$F:$F,'Scores (start here)'!$A:$A,$B$1,'Scores (start here)'!$B:$B,$A22),N22)</f>
        <v/>
      </c>
      <c r="M22" s="247"/>
      <c r="N22" s="0" t="str">
        <f aca="false">IF(OR(H22="",I22="",J22="",K22=""),"",IF(COUNTIF(H22:K22,"YES")=4,$C$7,0))</f>
        <v/>
      </c>
    </row>
    <row r="23" customFormat="false" ht="14.25" hidden="false" customHeight="false" outlineLevel="0" collapsed="false">
      <c r="A23" s="246" t="s">
        <v>735</v>
      </c>
      <c r="B23" s="247"/>
      <c r="C23" s="247"/>
      <c r="D23" s="247"/>
      <c r="E23" s="247"/>
      <c r="F23" s="247"/>
      <c r="G23" s="247"/>
      <c r="H23" s="248"/>
      <c r="I23" s="248"/>
      <c r="J23" s="248"/>
      <c r="K23" s="248"/>
      <c r="L23" s="249" t="str">
        <f aca="false">IF(COUNTIFS('Scores (start here)'!$A:$A,$B$1,'Scores (start here)'!$B:$B,$A23,'Scores (start here)'!$F:$F,"&gt;=0")&gt;0,SUMIFS('Scores (start here)'!$F:$F,'Scores (start here)'!$A:$A,$B$1,'Scores (start here)'!$B:$B,$A23),N23)</f>
        <v/>
      </c>
      <c r="M23" s="247"/>
      <c r="N23" s="0" t="str">
        <f aca="false">IF(OR(H23="",I23="",J23="",K23=""),"",IF(COUNTIF(H23:K23,"YES")=4,$C$7,0))</f>
        <v/>
      </c>
    </row>
    <row r="24" customFormat="false" ht="14.25" hidden="false" customHeight="false" outlineLevel="0" collapsed="false">
      <c r="A24" s="246" t="s">
        <v>736</v>
      </c>
      <c r="B24" s="247"/>
      <c r="C24" s="247"/>
      <c r="D24" s="247"/>
      <c r="E24" s="247"/>
      <c r="F24" s="247"/>
      <c r="G24" s="247"/>
      <c r="H24" s="248"/>
      <c r="I24" s="248"/>
      <c r="J24" s="248"/>
      <c r="K24" s="248"/>
      <c r="L24" s="249" t="str">
        <f aca="false">IF(COUNTIFS('Scores (start here)'!$A:$A,$B$1,'Scores (start here)'!$B:$B,$A24,'Scores (start here)'!$F:$F,"&gt;=0")&gt;0,SUMIFS('Scores (start here)'!$F:$F,'Scores (start here)'!$A:$A,$B$1,'Scores (start here)'!$B:$B,$A24),N24)</f>
        <v/>
      </c>
      <c r="M24" s="247"/>
      <c r="N24" s="0" t="str">
        <f aca="false">IF(OR(H24="",I24="",J24="",K24=""),"",IF(COUNTIF(H24:K24,"YES")=4,$C$7,0))</f>
        <v/>
      </c>
    </row>
    <row r="25" customFormat="false" ht="14.25" hidden="false" customHeight="false" outlineLevel="0" collapsed="false">
      <c r="A25" s="246" t="s">
        <v>737</v>
      </c>
      <c r="B25" s="247"/>
      <c r="C25" s="247"/>
      <c r="D25" s="247"/>
      <c r="E25" s="247"/>
      <c r="F25" s="247"/>
      <c r="G25" s="247"/>
      <c r="H25" s="248"/>
      <c r="I25" s="248"/>
      <c r="J25" s="248"/>
      <c r="K25" s="248"/>
      <c r="L25" s="249" t="str">
        <f aca="false">IF(COUNTIFS('Scores (start here)'!$A:$A,$B$1,'Scores (start here)'!$B:$B,$A25,'Scores (start here)'!$F:$F,"&gt;=0")&gt;0,SUMIFS('Scores (start here)'!$F:$F,'Scores (start here)'!$A:$A,$B$1,'Scores (start here)'!$B:$B,$A25),N25)</f>
        <v/>
      </c>
      <c r="M25" s="247"/>
      <c r="N25" s="0" t="str">
        <f aca="false">IF(OR(H25="",I25="",J25="",K25=""),"",IF(COUNTIF(H25:K25,"YES")=4,$C$7,0))</f>
        <v/>
      </c>
    </row>
    <row r="26" customFormat="false" ht="14.25" hidden="false" customHeight="false" outlineLevel="0" collapsed="false">
      <c r="A26" s="246" t="s">
        <v>738</v>
      </c>
      <c r="B26" s="247"/>
      <c r="C26" s="247"/>
      <c r="D26" s="247"/>
      <c r="E26" s="247"/>
      <c r="F26" s="247"/>
      <c r="G26" s="247"/>
      <c r="H26" s="248"/>
      <c r="I26" s="248"/>
      <c r="J26" s="248"/>
      <c r="K26" s="248"/>
      <c r="L26" s="249" t="str">
        <f aca="false">IF(COUNTIFS('Scores (start here)'!$A:$A,$B$1,'Scores (start here)'!$B:$B,$A26,'Scores (start here)'!$F:$F,"&gt;=0")&gt;0,SUMIFS('Scores (start here)'!$F:$F,'Scores (start here)'!$A:$A,$B$1,'Scores (start here)'!$B:$B,$A26),N26)</f>
        <v/>
      </c>
      <c r="M26" s="247"/>
      <c r="N26" s="0" t="str">
        <f aca="false">IF(OR(H26="",I26="",J26="",K26=""),"",IF(COUNTIF(H26:K26,"YES")=4,$C$7,0))</f>
        <v/>
      </c>
    </row>
    <row r="27" customFormat="false" ht="14.25" hidden="false" customHeight="false" outlineLevel="0" collapsed="false">
      <c r="A27" s="246" t="s">
        <v>739</v>
      </c>
      <c r="B27" s="247"/>
      <c r="C27" s="247"/>
      <c r="D27" s="247"/>
      <c r="E27" s="247"/>
      <c r="F27" s="247"/>
      <c r="G27" s="247"/>
      <c r="H27" s="248"/>
      <c r="I27" s="248"/>
      <c r="J27" s="248"/>
      <c r="K27" s="248"/>
      <c r="L27" s="249" t="str">
        <f aca="false">IF(COUNTIFS('Scores (start here)'!$A:$A,$B$1,'Scores (start here)'!$B:$B,$A27,'Scores (start here)'!$F:$F,"&gt;=0")&gt;0,SUMIFS('Scores (start here)'!$F:$F,'Scores (start here)'!$A:$A,$B$1,'Scores (start here)'!$B:$B,$A27),N27)</f>
        <v/>
      </c>
      <c r="M27" s="247"/>
      <c r="N27" s="0" t="str">
        <f aca="false">IF(OR(H27="",I27="",J27="",K27=""),"",IF(COUNTIF(H27:K27,"YES")=4,$C$7,0))</f>
        <v/>
      </c>
    </row>
    <row r="28" customFormat="false" ht="14.25" hidden="false" customHeight="false" outlineLevel="0" collapsed="false">
      <c r="A28" s="246" t="s">
        <v>740</v>
      </c>
      <c r="B28" s="247"/>
      <c r="C28" s="247"/>
      <c r="D28" s="247"/>
      <c r="E28" s="247"/>
      <c r="F28" s="247"/>
      <c r="G28" s="247"/>
      <c r="H28" s="248"/>
      <c r="I28" s="248"/>
      <c r="J28" s="248"/>
      <c r="K28" s="248"/>
      <c r="L28" s="249" t="str">
        <f aca="false">IF(COUNTIFS('Scores (start here)'!$A:$A,$B$1,'Scores (start here)'!$B:$B,$A28,'Scores (start here)'!$F:$F,"&gt;=0")&gt;0,SUMIFS('Scores (start here)'!$F:$F,'Scores (start here)'!$A:$A,$B$1,'Scores (start here)'!$B:$B,$A28),N28)</f>
        <v/>
      </c>
      <c r="M28" s="247"/>
      <c r="N28" s="0" t="str">
        <f aca="false">IF(OR(H28="",I28="",J28="",K28=""),"",IF(COUNTIF(H28:K28,"YES")=4,$C$7,0))</f>
        <v/>
      </c>
    </row>
    <row r="29" customFormat="false" ht="14.25" hidden="false" customHeight="false" outlineLevel="0" collapsed="false">
      <c r="A29" s="246" t="s">
        <v>741</v>
      </c>
      <c r="B29" s="247"/>
      <c r="C29" s="247"/>
      <c r="D29" s="247"/>
      <c r="E29" s="247"/>
      <c r="F29" s="247"/>
      <c r="G29" s="247"/>
      <c r="H29" s="248"/>
      <c r="I29" s="248"/>
      <c r="J29" s="248"/>
      <c r="K29" s="248"/>
      <c r="L29" s="249" t="str">
        <f aca="false">IF(COUNTIFS('Scores (start here)'!$A:$A,$B$1,'Scores (start here)'!$B:$B,$A29,'Scores (start here)'!$F:$F,"&gt;=0")&gt;0,SUMIFS('Scores (start here)'!$F:$F,'Scores (start here)'!$A:$A,$B$1,'Scores (start here)'!$B:$B,$A29),N29)</f>
        <v/>
      </c>
      <c r="M29" s="247"/>
      <c r="N29" s="0" t="str">
        <f aca="false">IF(OR(H29="",I29="",J29="",K29=""),"",IF(COUNTIF(H29:K29,"YES")=4,$C$7,0))</f>
        <v/>
      </c>
    </row>
    <row r="30" customFormat="false" ht="14.25" hidden="false" customHeight="false" outlineLevel="0" collapsed="false">
      <c r="A30" s="246" t="s">
        <v>742</v>
      </c>
      <c r="B30" s="247"/>
      <c r="C30" s="247"/>
      <c r="D30" s="247"/>
      <c r="E30" s="247"/>
      <c r="F30" s="247"/>
      <c r="G30" s="247"/>
      <c r="H30" s="248"/>
      <c r="I30" s="248"/>
      <c r="J30" s="248"/>
      <c r="K30" s="248"/>
      <c r="L30" s="249" t="str">
        <f aca="false">IF(COUNTIFS('Scores (start here)'!$A:$A,$B$1,'Scores (start here)'!$B:$B,$A30,'Scores (start here)'!$F:$F,"&gt;=0")&gt;0,SUMIFS('Scores (start here)'!$F:$F,'Scores (start here)'!$A:$A,$B$1,'Scores (start here)'!$B:$B,$A30),N30)</f>
        <v/>
      </c>
      <c r="M30" s="247"/>
      <c r="N30" s="0" t="str">
        <f aca="false">IF(OR(H30="",I30="",J30="",K30=""),"",IF(COUNTIF(H30:K30,"YES")=4,$C$7,0))</f>
        <v/>
      </c>
    </row>
    <row r="31" customFormat="false" ht="14.25" hidden="false" customHeight="false" outlineLevel="0" collapsed="false">
      <c r="A31" s="246" t="s">
        <v>743</v>
      </c>
      <c r="B31" s="247"/>
      <c r="C31" s="247"/>
      <c r="D31" s="247"/>
      <c r="E31" s="247"/>
      <c r="F31" s="247"/>
      <c r="G31" s="247"/>
      <c r="H31" s="248"/>
      <c r="I31" s="248"/>
      <c r="J31" s="248"/>
      <c r="K31" s="248"/>
      <c r="L31" s="249" t="str">
        <f aca="false">IF(COUNTIFS('Scores (start here)'!$A:$A,$B$1,'Scores (start here)'!$B:$B,$A31,'Scores (start here)'!$F:$F,"&gt;=0")&gt;0,SUMIFS('Scores (start here)'!$F:$F,'Scores (start here)'!$A:$A,$B$1,'Scores (start here)'!$B:$B,$A31),N31)</f>
        <v/>
      </c>
      <c r="M31" s="247"/>
      <c r="N31" s="0" t="str">
        <f aca="false">IF(OR(H31="",I31="",J31="",K31=""),"",IF(COUNTIF(H31:K31,"YES")=4,$C$7,0))</f>
        <v/>
      </c>
    </row>
    <row r="32" customFormat="false" ht="14.25" hidden="false" customHeight="false" outlineLevel="0" collapsed="false">
      <c r="A32" s="246" t="s">
        <v>744</v>
      </c>
      <c r="B32" s="247"/>
      <c r="C32" s="247"/>
      <c r="D32" s="247"/>
      <c r="E32" s="247"/>
      <c r="F32" s="247"/>
      <c r="G32" s="247"/>
      <c r="H32" s="248"/>
      <c r="I32" s="248"/>
      <c r="J32" s="248"/>
      <c r="K32" s="248"/>
      <c r="L32" s="249" t="str">
        <f aca="false">IF(COUNTIFS('Scores (start here)'!$A:$A,$B$1,'Scores (start here)'!$B:$B,$A32,'Scores (start here)'!$F:$F,"&gt;=0")&gt;0,SUMIFS('Scores (start here)'!$F:$F,'Scores (start here)'!$A:$A,$B$1,'Scores (start here)'!$B:$B,$A32),N32)</f>
        <v/>
      </c>
      <c r="M32" s="247"/>
      <c r="N32" s="0" t="str">
        <f aca="false">IF(OR(H32="",I32="",J32="",K32=""),"",IF(COUNTIF(H32:K32,"YES")=4,$C$7,0))</f>
        <v/>
      </c>
    </row>
    <row r="33" customFormat="false" ht="14.25" hidden="false" customHeight="false" outlineLevel="0" collapsed="false">
      <c r="A33" s="246" t="s">
        <v>745</v>
      </c>
      <c r="B33" s="247"/>
      <c r="C33" s="247"/>
      <c r="D33" s="247"/>
      <c r="E33" s="247"/>
      <c r="F33" s="247"/>
      <c r="G33" s="247"/>
      <c r="H33" s="248"/>
      <c r="I33" s="248"/>
      <c r="J33" s="248"/>
      <c r="K33" s="248"/>
      <c r="L33" s="249" t="str">
        <f aca="false">IF(COUNTIFS('Scores (start here)'!$A:$A,$B$1,'Scores (start here)'!$B:$B,$A33,'Scores (start here)'!$F:$F,"&gt;=0")&gt;0,SUMIFS('Scores (start here)'!$F:$F,'Scores (start here)'!$A:$A,$B$1,'Scores (start here)'!$B:$B,$A33),N33)</f>
        <v/>
      </c>
      <c r="M33" s="247"/>
      <c r="N33" s="0" t="str">
        <f aca="false">IF(OR(H33="",I33="",J33="",K33=""),"",IF(COUNTIF(H33:K33,"YES")=4,$C$7,0))</f>
        <v/>
      </c>
    </row>
    <row r="34" customFormat="false" ht="14.25" hidden="false" customHeight="false" outlineLevel="0" collapsed="false">
      <c r="A34" s="246" t="s">
        <v>746</v>
      </c>
      <c r="B34" s="247"/>
      <c r="C34" s="247"/>
      <c r="D34" s="247"/>
      <c r="E34" s="247"/>
      <c r="F34" s="247"/>
      <c r="G34" s="247"/>
      <c r="H34" s="248"/>
      <c r="I34" s="248"/>
      <c r="J34" s="248"/>
      <c r="K34" s="248"/>
      <c r="L34" s="249" t="str">
        <f aca="false">IF(COUNTIFS('Scores (start here)'!$A:$A,$B$1,'Scores (start here)'!$B:$B,$A34,'Scores (start here)'!$F:$F,"&gt;=0")&gt;0,SUMIFS('Scores (start here)'!$F:$F,'Scores (start here)'!$A:$A,$B$1,'Scores (start here)'!$B:$B,$A34),N34)</f>
        <v/>
      </c>
      <c r="M34" s="247"/>
      <c r="N34" s="0" t="str">
        <f aca="false">IF(OR(H34="",I34="",J34="",K34=""),"",IF(COUNTIF(H34:K34,"YES")=4,$C$7,0))</f>
        <v/>
      </c>
    </row>
    <row r="35" customFormat="false" ht="14.25" hidden="false" customHeight="false" outlineLevel="0" collapsed="false">
      <c r="A35" s="246" t="s">
        <v>747</v>
      </c>
      <c r="B35" s="247"/>
      <c r="C35" s="247"/>
      <c r="D35" s="247"/>
      <c r="E35" s="247"/>
      <c r="F35" s="247"/>
      <c r="G35" s="247"/>
      <c r="H35" s="248"/>
      <c r="I35" s="248"/>
      <c r="J35" s="248"/>
      <c r="K35" s="248"/>
      <c r="L35" s="249" t="str">
        <f aca="false">IF(COUNTIFS('Scores (start here)'!$A:$A,$B$1,'Scores (start here)'!$B:$B,$A35,'Scores (start here)'!$F:$F,"&gt;=0")&gt;0,SUMIFS('Scores (start here)'!$F:$F,'Scores (start here)'!$A:$A,$B$1,'Scores (start here)'!$B:$B,$A35),N35)</f>
        <v/>
      </c>
      <c r="M35" s="247"/>
      <c r="N35" s="0" t="str">
        <f aca="false">IF(OR(H35="",I35="",J35="",K35=""),"",IF(COUNTIF(H35:K35,"YES")=4,$C$7,0))</f>
        <v/>
      </c>
    </row>
    <row r="36" customFormat="false" ht="14.25" hidden="false" customHeight="false" outlineLevel="0" collapsed="false">
      <c r="A36" s="246" t="s">
        <v>748</v>
      </c>
      <c r="B36" s="247"/>
      <c r="C36" s="247"/>
      <c r="D36" s="247"/>
      <c r="E36" s="247"/>
      <c r="F36" s="247"/>
      <c r="G36" s="247"/>
      <c r="H36" s="248"/>
      <c r="I36" s="248"/>
      <c r="J36" s="248"/>
      <c r="K36" s="248"/>
      <c r="L36" s="249" t="str">
        <f aca="false">IF(COUNTIFS('Scores (start here)'!$A:$A,$B$1,'Scores (start here)'!$B:$B,$A36,'Scores (start here)'!$F:$F,"&gt;=0")&gt;0,SUMIFS('Scores (start here)'!$F:$F,'Scores (start here)'!$A:$A,$B$1,'Scores (start here)'!$B:$B,$A36),N36)</f>
        <v/>
      </c>
      <c r="M36" s="247"/>
      <c r="N36" s="0" t="str">
        <f aca="false">IF(OR(H36="",I36="",J36="",K36=""),"",IF(COUNTIF(H36:K36,"YES")=4,$C$7,0))</f>
        <v/>
      </c>
    </row>
    <row r="37" customFormat="false" ht="14.25" hidden="false" customHeight="false" outlineLevel="0" collapsed="false">
      <c r="A37" s="246" t="s">
        <v>749</v>
      </c>
      <c r="B37" s="247"/>
      <c r="C37" s="247"/>
      <c r="D37" s="247"/>
      <c r="E37" s="247"/>
      <c r="F37" s="247"/>
      <c r="G37" s="247"/>
      <c r="H37" s="248"/>
      <c r="I37" s="248"/>
      <c r="J37" s="248"/>
      <c r="K37" s="248"/>
      <c r="L37" s="249" t="str">
        <f aca="false">IF(COUNTIFS('Scores (start here)'!$A:$A,$B$1,'Scores (start here)'!$B:$B,$A37,'Scores (start here)'!$F:$F,"&gt;=0")&gt;0,SUMIFS('Scores (start here)'!$F:$F,'Scores (start here)'!$A:$A,$B$1,'Scores (start here)'!$B:$B,$A37),N37)</f>
        <v/>
      </c>
      <c r="M37" s="247"/>
      <c r="N37" s="0" t="str">
        <f aca="false">IF(OR(H37="",I37="",J37="",K37=""),"",IF(COUNTIF(H37:K37,"YES")=4,$C$7,0))</f>
        <v/>
      </c>
    </row>
    <row r="38" customFormat="false" ht="14.25" hidden="false" customHeight="false" outlineLevel="0" collapsed="false">
      <c r="A38" s="246" t="s">
        <v>750</v>
      </c>
      <c r="B38" s="247"/>
      <c r="C38" s="247"/>
      <c r="D38" s="247"/>
      <c r="E38" s="247"/>
      <c r="F38" s="247"/>
      <c r="G38" s="247"/>
      <c r="H38" s="248"/>
      <c r="I38" s="248"/>
      <c r="J38" s="248"/>
      <c r="K38" s="248"/>
      <c r="L38" s="249" t="str">
        <f aca="false">IF(COUNTIFS('Scores (start here)'!$A:$A,$B$1,'Scores (start here)'!$B:$B,$A38,'Scores (start here)'!$F:$F,"&gt;=0")&gt;0,SUMIFS('Scores (start here)'!$F:$F,'Scores (start here)'!$A:$A,$B$1,'Scores (start here)'!$B:$B,$A38),N38)</f>
        <v/>
      </c>
      <c r="M38" s="247"/>
      <c r="N38" s="0" t="str">
        <f aca="false">IF(OR(H38="",I38="",J38="",K38=""),"",IF(COUNTIF(H38:K38,"YES")=4,$C$7,0))</f>
        <v/>
      </c>
    </row>
    <row r="39" customFormat="false" ht="14.25" hidden="false" customHeight="false" outlineLevel="0" collapsed="false">
      <c r="A39" s="246" t="s">
        <v>751</v>
      </c>
      <c r="B39" s="247"/>
      <c r="C39" s="247"/>
      <c r="D39" s="247"/>
      <c r="E39" s="247"/>
      <c r="F39" s="247"/>
      <c r="G39" s="247"/>
      <c r="H39" s="248"/>
      <c r="I39" s="248"/>
      <c r="J39" s="248"/>
      <c r="K39" s="248"/>
      <c r="L39" s="249" t="str">
        <f aca="false">IF(COUNTIFS('Scores (start here)'!$A:$A,$B$1,'Scores (start here)'!$B:$B,$A39,'Scores (start here)'!$F:$F,"&gt;=0")&gt;0,SUMIFS('Scores (start here)'!$F:$F,'Scores (start here)'!$A:$A,$B$1,'Scores (start here)'!$B:$B,$A39),N39)</f>
        <v/>
      </c>
      <c r="M39" s="247"/>
      <c r="N39" s="0" t="str">
        <f aca="false">IF(OR(H39="",I39="",J39="",K39=""),"",IF(COUNTIF(H39:K39,"YES")=4,$C$7,0))</f>
        <v/>
      </c>
    </row>
    <row r="40" customFormat="false" ht="14.25" hidden="false" customHeight="false" outlineLevel="0" collapsed="false">
      <c r="A40" s="246" t="s">
        <v>752</v>
      </c>
      <c r="B40" s="247"/>
      <c r="C40" s="247"/>
      <c r="D40" s="247"/>
      <c r="E40" s="247"/>
      <c r="F40" s="247"/>
      <c r="G40" s="247"/>
      <c r="H40" s="248"/>
      <c r="I40" s="248"/>
      <c r="J40" s="248"/>
      <c r="K40" s="248"/>
      <c r="L40" s="249" t="str">
        <f aca="false">IF(COUNTIFS('Scores (start here)'!$A:$A,$B$1,'Scores (start here)'!$B:$B,$A40,'Scores (start here)'!$F:$F,"&gt;=0")&gt;0,SUMIFS('Scores (start here)'!$F:$F,'Scores (start here)'!$A:$A,$B$1,'Scores (start here)'!$B:$B,$A40),N40)</f>
        <v/>
      </c>
      <c r="M40" s="247"/>
      <c r="N40" s="0" t="str">
        <f aca="false">IF(OR(H40="",I40="",J40="",K40=""),"",IF(COUNTIF(H40:K40,"YES")=4,$C$7,0))</f>
        <v/>
      </c>
    </row>
    <row r="41" customFormat="false" ht="14.25" hidden="false" customHeight="false" outlineLevel="0" collapsed="false">
      <c r="A41" s="246" t="s">
        <v>753</v>
      </c>
      <c r="B41" s="247"/>
      <c r="C41" s="247"/>
      <c r="D41" s="247"/>
      <c r="E41" s="247"/>
      <c r="F41" s="247"/>
      <c r="G41" s="247"/>
      <c r="H41" s="248"/>
      <c r="I41" s="248"/>
      <c r="J41" s="248"/>
      <c r="K41" s="248"/>
      <c r="L41" s="249" t="str">
        <f aca="false">IF(COUNTIFS('Scores (start here)'!$A:$A,$B$1,'Scores (start here)'!$B:$B,$A41,'Scores (start here)'!$F:$F,"&gt;=0")&gt;0,SUMIFS('Scores (start here)'!$F:$F,'Scores (start here)'!$A:$A,$B$1,'Scores (start here)'!$B:$B,$A41),N41)</f>
        <v/>
      </c>
      <c r="M41" s="247"/>
      <c r="N41" s="0" t="str">
        <f aca="false">IF(OR(H41="",I41="",J41="",K41=""),"",IF(COUNTIF(H41:K41,"YES")=4,$C$7,0))</f>
        <v/>
      </c>
    </row>
  </sheetData>
  <dataValidations count="1">
    <dataValidation allowBlank="true" error="Please enter a valid value (see note above the column)." errorStyle="stop" errorTitle="Invalid entry" operator="between" showDropDown="false" showErrorMessage="true" showInputMessage="false" sqref="H13:K41" type="list">
      <formula1>"YES,NO"</formula1>
      <formula2>0</formula2>
    </dataValidation>
  </dataValidations>
  <hyperlinks>
    <hyperlink ref="L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322</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Does the law mandate a system for monitoring ongoing construction/projects for possible violations?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applicable T&amp;CP Act or the allied Act, and Municipal Act for provisions for the following:1. Authority to inspect ongoing construction/projects.2. Stage-wise inspections or monitoring during construction, including, where applicable, commencement, plinth, intermediate stages and/or completion.3. Power to issue notices or stop-work directions where unauthorised or non-conforming construction is identified. Score 5 if all three of the aspects are met. 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1236</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1246</v>
      </c>
      <c r="I12" s="245" t="s">
        <v>1247</v>
      </c>
      <c r="J12" s="245" t="s">
        <v>1248</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IF(OR(H13="",I13="",J13=""),"",IF(COUNTIF(H13:J13,"YES")=3,$C$7,0))</f>
        <v/>
      </c>
    </row>
    <row r="14" customFormat="false" ht="191.75" hidden="false" customHeight="false" outlineLevel="0" collapsed="false">
      <c r="A14" s="246" t="s">
        <v>19</v>
      </c>
      <c r="B14" s="247" t="s">
        <v>41</v>
      </c>
      <c r="C14" s="247" t="s">
        <v>1249</v>
      </c>
      <c r="D14" s="247" t="s">
        <v>1250</v>
      </c>
      <c r="E14" s="247" t="s">
        <v>1251</v>
      </c>
      <c r="F14" s="247" t="s">
        <v>1252</v>
      </c>
      <c r="G14" s="247" t="s">
        <v>42</v>
      </c>
      <c r="H14" s="248" t="s">
        <v>1037</v>
      </c>
      <c r="I14" s="248" t="s">
        <v>1037</v>
      </c>
      <c r="J14" s="248" t="s">
        <v>1037</v>
      </c>
      <c r="K14" s="249" t="n">
        <f aca="false">IF(COUNTIFS('Scores (start here)'!$A:$A,$B$1,'Scores (start here)'!$B:$B,$A14,'Scores (start here)'!$F:$F,"&gt;=0")&gt;0,SUMIFS('Scores (start here)'!$F:$F,'Scores (start here)'!$A:$A,$B$1,'Scores (start here)'!$B:$B,$A14),M14)</f>
        <v>5</v>
      </c>
      <c r="L14" s="250" t="s">
        <v>1253</v>
      </c>
      <c r="M14" s="251" t="n">
        <f aca="false">IF(OR(H14="",I14="",J14=""),"",IF(COUNTIF(H14:J14,"YES")=3,$C$7,0))</f>
        <v>5</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IF(OR(H15="",I15="",J15=""),"",IF(COUNTIF(H15:J15,"YES")=3,$C$7,0))</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IF(OR(H16="",I16="",J16=""),"",IF(COUNTIF(H16:J16,"YES")=3,$C$7,0))</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IF(OR(H17="",I17="",J17=""),"",IF(COUNTIF(H17:J17,"YES")=3,$C$7,0))</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IF(OR(H18="",I18="",J18=""),"",IF(COUNTIF(H18:J18,"YES")=3,$C$7,0))</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IF(OR(H19="",I19="",J19=""),"",IF(COUNTIF(H19:J19,"YES")=3,$C$7,0))</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IF(OR(H20="",I20="",J20=""),"",IF(COUNTIF(H20:J20,"YES")=3,$C$7,0))</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IF(OR(H21="",I21="",J21=""),"",IF(COUNTIF(H21:J21,"YES")=3,$C$7,0))</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IF(OR(H22="",I22="",J22=""),"",IF(COUNTIF(H22:J22,"YES")=3,$C$7,0))</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IF(OR(H23="",I23="",J23=""),"",IF(COUNTIF(H23:J23,"YES")=3,$C$7,0))</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IF(OR(H24="",I24="",J24=""),"",IF(COUNTIF(H24:J24,"YES")=3,$C$7,0))</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IF(OR(H25="",I25="",J25=""),"",IF(COUNTIF(H25:J25,"YES")=3,$C$7,0))</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IF(OR(H26="",I26="",J26=""),"",IF(COUNTIF(H26:J26,"YES")=3,$C$7,0))</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IF(OR(H27="",I27="",J27=""),"",IF(COUNTIF(H27:J27,"YES")=3,$C$7,0))</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IF(OR(H28="",I28="",J28=""),"",IF(COUNTIF(H28:J28,"YES")=3,$C$7,0))</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IF(OR(H29="",I29="",J29=""),"",IF(COUNTIF(H29:J29,"YES")=3,$C$7,0))</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IF(OR(H30="",I30="",J30=""),"",IF(COUNTIF(H30:J30,"YES")=3,$C$7,0))</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IF(OR(H31="",I31="",J31=""),"",IF(COUNTIF(H31:J31,"YES")=3,$C$7,0))</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IF(OR(H32="",I32="",J32=""),"",IF(COUNTIF(H32:J32,"YES")=3,$C$7,0))</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IF(OR(H33="",I33="",J33=""),"",IF(COUNTIF(H33:J33,"YES")=3,$C$7,0))</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IF(OR(H34="",I34="",J34=""),"",IF(COUNTIF(H34:J34,"YES")=3,$C$7,0))</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IF(OR(H35="",I35="",J35=""),"",IF(COUNTIF(H35:J35,"YES")=3,$C$7,0))</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IF(OR(H36="",I36="",J36=""),"",IF(COUNTIF(H36:J36,"YES")=3,$C$7,0))</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IF(OR(H37="",I37="",J37=""),"",IF(COUNTIF(H37:J37,"YES")=3,$C$7,0))</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IF(OR(H38="",I38="",J38=""),"",IF(COUNTIF(H38:J38,"YES")=3,$C$7,0))</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IF(OR(H39="",I39="",J39=""),"",IF(COUNTIF(H39:J39,"YES")=3,$C$7,0))</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IF(OR(H40="",I40="",J40=""),"",IF(COUNTIF(H40:J40,"YES")=3,$C$7,0))</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M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8.5703125" defaultRowHeight="14.25" customHeight="false" zeroHeight="false" outlineLevelRow="0" outlineLevelCol="0"/>
  <cols>
    <col collapsed="false" customWidth="true" hidden="false" outlineLevel="0" max="1" min="1" style="0" width="18"/>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10" min="8" style="0" width="22"/>
    <col collapsed="false" customWidth="true" hidden="false" outlineLevel="0" max="11" min="11" style="0" width="14"/>
    <col collapsed="false" customWidth="true" hidden="false" outlineLevel="0" max="12" min="12" style="0" width="45"/>
  </cols>
  <sheetData>
    <row r="1" customFormat="false" ht="14.25" hidden="false" customHeight="false" outlineLevel="0" collapsed="false">
      <c r="A1" s="237" t="s">
        <v>1016</v>
      </c>
      <c r="B1" s="237" t="s">
        <v>327</v>
      </c>
      <c r="C1" s="238" t="s">
        <v>1017</v>
      </c>
      <c r="K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 &gt;:&lt; Enforcement</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 &gt;:&lt; Development Compliance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Construction monitoring &gt;:&lt; Construction monitoring</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 &gt;:&lt; SQ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Does the law mandate mechanisms for monitoring ongoing construction/development projects for compliance with approved plans and permissions?   &gt;:&lt; Has a system for monitoring ongoing construction/projects for possible violations been implemented?</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 &gt;:&lt; 5</v>
      </c>
      <c r="C7" s="240" t="n">
        <f aca="false">VLOOKUP($B$1,'UPD Questions_290926 '!$E$1:$N$300,MATCH($A$7,'UPD Questions_290926 '!$E$1:$N$1,0),0)</f>
        <v>5</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Implementation &gt;:&lt; Implementation</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Sum of the sub-questions below  &gt;:&lt; Check the ULG/Development Authority websites whether the monitoring process includes all of the following:1.Online self-assessment/reporting of construction progress, including uploading photographs and requisite compliance documents2. Periodic ground surveys/inspections of approved projects, covering either all projects or a defined sample3. Public disclosure of monitoring information, including compliance numbers/status, violations registered and action taken. Score 5 if all three elements are operational.Score 0 otherwise.</v>
      </c>
    </row>
    <row r="10" customFormat="false" ht="30"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 &gt;:&lt; </v>
      </c>
      <c r="H10" s="241" t="s">
        <v>1236</v>
      </c>
    </row>
    <row r="11" customFormat="false" ht="28.5" hidden="false" customHeight="true" outlineLevel="0" collapsed="false">
      <c r="H11" s="242" t="s">
        <v>1022</v>
      </c>
      <c r="I11" s="242" t="s">
        <v>1022</v>
      </c>
      <c r="J11" s="242" t="s">
        <v>1022</v>
      </c>
      <c r="K11" s="243" t="s">
        <v>1023</v>
      </c>
      <c r="M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1254</v>
      </c>
      <c r="I12" s="245" t="s">
        <v>1255</v>
      </c>
      <c r="J12" s="245" t="s">
        <v>1256</v>
      </c>
      <c r="K12" s="243" t="s">
        <v>1031</v>
      </c>
      <c r="L12" s="245" t="s">
        <v>1032</v>
      </c>
      <c r="M12" s="0" t="s">
        <v>1033</v>
      </c>
    </row>
    <row r="13" customFormat="false" ht="14.25" hidden="false" customHeight="false" outlineLevel="0" collapsed="false">
      <c r="A13" s="246" t="s">
        <v>726</v>
      </c>
      <c r="B13" s="247"/>
      <c r="C13" s="247"/>
      <c r="D13" s="247"/>
      <c r="E13" s="247"/>
      <c r="F13" s="247"/>
      <c r="G13" s="247"/>
      <c r="H13" s="248"/>
      <c r="I13" s="248"/>
      <c r="J13" s="248"/>
      <c r="K13" s="249" t="str">
        <f aca="false">IF(COUNTIFS('Scores (start here)'!$A:$A,$B$1,'Scores (start here)'!$B:$B,$A13,'Scores (start here)'!$F:$F,"&gt;=0")&gt;0,SUMIFS('Scores (start here)'!$F:$F,'Scores (start here)'!$A:$A,$B$1,'Scores (start here)'!$B:$B,$A13),M13)</f>
        <v/>
      </c>
      <c r="L13" s="247"/>
      <c r="M13" s="0" t="str">
        <f aca="false">IF(OR(H13="",I13="",J13=""),"",IF(COUNTIF(H13:J13,"YES")=3,$C$7,0))</f>
        <v/>
      </c>
    </row>
    <row r="14" customFormat="false" ht="14.25" hidden="false" customHeight="false" outlineLevel="0" collapsed="false">
      <c r="A14" s="246" t="s">
        <v>19</v>
      </c>
      <c r="B14" s="247"/>
      <c r="C14" s="247"/>
      <c r="D14" s="247"/>
      <c r="E14" s="247"/>
      <c r="F14" s="247"/>
      <c r="G14" s="247"/>
      <c r="H14" s="248"/>
      <c r="I14" s="248"/>
      <c r="J14" s="248"/>
      <c r="K14" s="249" t="str">
        <f aca="false">IF(COUNTIFS('Scores (start here)'!$A:$A,$B$1,'Scores (start here)'!$B:$B,$A14,'Scores (start here)'!$F:$F,"&gt;=0")&gt;0,SUMIFS('Scores (start here)'!$F:$F,'Scores (start here)'!$A:$A,$B$1,'Scores (start here)'!$B:$B,$A14),M14)</f>
        <v/>
      </c>
      <c r="L14" s="247" t="s">
        <v>1257</v>
      </c>
      <c r="M14" s="0" t="str">
        <f aca="false">IF(OR(H14="",I14="",J14=""),"",IF(COUNTIF(H14:J14,"YES")=3,$C$7,0))</f>
        <v/>
      </c>
    </row>
    <row r="15" customFormat="false" ht="14.25" hidden="false" customHeight="false" outlineLevel="0" collapsed="false">
      <c r="A15" s="246" t="s">
        <v>727</v>
      </c>
      <c r="B15" s="247"/>
      <c r="C15" s="247"/>
      <c r="D15" s="247"/>
      <c r="E15" s="247"/>
      <c r="F15" s="247"/>
      <c r="G15" s="247"/>
      <c r="H15" s="248"/>
      <c r="I15" s="248"/>
      <c r="J15" s="248"/>
      <c r="K15" s="249" t="str">
        <f aca="false">IF(COUNTIFS('Scores (start here)'!$A:$A,$B$1,'Scores (start here)'!$B:$B,$A15,'Scores (start here)'!$F:$F,"&gt;=0")&gt;0,SUMIFS('Scores (start here)'!$F:$F,'Scores (start here)'!$A:$A,$B$1,'Scores (start here)'!$B:$B,$A15),M15)</f>
        <v/>
      </c>
      <c r="L15" s="247"/>
      <c r="M15" s="0" t="str">
        <f aca="false">IF(OR(H15="",I15="",J15=""),"",IF(COUNTIF(H15:J15,"YES")=3,$C$7,0))</f>
        <v/>
      </c>
    </row>
    <row r="16" customFormat="false" ht="14.25" hidden="false" customHeight="false" outlineLevel="0" collapsed="false">
      <c r="A16" s="246" t="s">
        <v>728</v>
      </c>
      <c r="B16" s="247"/>
      <c r="C16" s="247"/>
      <c r="D16" s="247"/>
      <c r="E16" s="247"/>
      <c r="F16" s="247"/>
      <c r="G16" s="247"/>
      <c r="H16" s="248"/>
      <c r="I16" s="248"/>
      <c r="J16" s="248"/>
      <c r="K16" s="249" t="str">
        <f aca="false">IF(COUNTIFS('Scores (start here)'!$A:$A,$B$1,'Scores (start here)'!$B:$B,$A16,'Scores (start here)'!$F:$F,"&gt;=0")&gt;0,SUMIFS('Scores (start here)'!$F:$F,'Scores (start here)'!$A:$A,$B$1,'Scores (start here)'!$B:$B,$A16),M16)</f>
        <v/>
      </c>
      <c r="L16" s="247"/>
      <c r="M16" s="0" t="str">
        <f aca="false">IF(OR(H16="",I16="",J16=""),"",IF(COUNTIF(H16:J16,"YES")=3,$C$7,0))</f>
        <v/>
      </c>
    </row>
    <row r="17" customFormat="false" ht="14.25" hidden="false" customHeight="false" outlineLevel="0" collapsed="false">
      <c r="A17" s="246" t="s">
        <v>729</v>
      </c>
      <c r="B17" s="247"/>
      <c r="C17" s="247"/>
      <c r="D17" s="247"/>
      <c r="E17" s="247"/>
      <c r="F17" s="247"/>
      <c r="G17" s="247"/>
      <c r="H17" s="248"/>
      <c r="I17" s="248"/>
      <c r="J17" s="248"/>
      <c r="K17" s="249" t="str">
        <f aca="false">IF(COUNTIFS('Scores (start here)'!$A:$A,$B$1,'Scores (start here)'!$B:$B,$A17,'Scores (start here)'!$F:$F,"&gt;=0")&gt;0,SUMIFS('Scores (start here)'!$F:$F,'Scores (start here)'!$A:$A,$B$1,'Scores (start here)'!$B:$B,$A17),M17)</f>
        <v/>
      </c>
      <c r="L17" s="247"/>
      <c r="M17" s="0" t="str">
        <f aca="false">IF(OR(H17="",I17="",J17=""),"",IF(COUNTIF(H17:J17,"YES")=3,$C$7,0))</f>
        <v/>
      </c>
    </row>
    <row r="18" customFormat="false" ht="14.25" hidden="false" customHeight="false" outlineLevel="0" collapsed="false">
      <c r="A18" s="246" t="s">
        <v>730</v>
      </c>
      <c r="B18" s="247"/>
      <c r="C18" s="247"/>
      <c r="D18" s="247"/>
      <c r="E18" s="247"/>
      <c r="F18" s="247"/>
      <c r="G18" s="247"/>
      <c r="H18" s="248"/>
      <c r="I18" s="248"/>
      <c r="J18" s="248"/>
      <c r="K18" s="249" t="str">
        <f aca="false">IF(COUNTIFS('Scores (start here)'!$A:$A,$B$1,'Scores (start here)'!$B:$B,$A18,'Scores (start here)'!$F:$F,"&gt;=0")&gt;0,SUMIFS('Scores (start here)'!$F:$F,'Scores (start here)'!$A:$A,$B$1,'Scores (start here)'!$B:$B,$A18),M18)</f>
        <v/>
      </c>
      <c r="L18" s="247"/>
      <c r="M18" s="0" t="str">
        <f aca="false">IF(OR(H18="",I18="",J18=""),"",IF(COUNTIF(H18:J18,"YES")=3,$C$7,0))</f>
        <v/>
      </c>
    </row>
    <row r="19" customFormat="false" ht="14.25" hidden="false" customHeight="false" outlineLevel="0" collapsed="false">
      <c r="A19" s="246" t="s">
        <v>731</v>
      </c>
      <c r="B19" s="247"/>
      <c r="C19" s="247"/>
      <c r="D19" s="247"/>
      <c r="E19" s="247"/>
      <c r="F19" s="247"/>
      <c r="G19" s="247"/>
      <c r="H19" s="248"/>
      <c r="I19" s="248"/>
      <c r="J19" s="248"/>
      <c r="K19" s="249" t="str">
        <f aca="false">IF(COUNTIFS('Scores (start here)'!$A:$A,$B$1,'Scores (start here)'!$B:$B,$A19,'Scores (start here)'!$F:$F,"&gt;=0")&gt;0,SUMIFS('Scores (start here)'!$F:$F,'Scores (start here)'!$A:$A,$B$1,'Scores (start here)'!$B:$B,$A19),M19)</f>
        <v/>
      </c>
      <c r="L19" s="247"/>
      <c r="M19" s="0" t="str">
        <f aca="false">IF(OR(H19="",I19="",J19=""),"",IF(COUNTIF(H19:J19,"YES")=3,$C$7,0))</f>
        <v/>
      </c>
    </row>
    <row r="20" customFormat="false" ht="14.25" hidden="false" customHeight="false" outlineLevel="0" collapsed="false">
      <c r="A20" s="246" t="s">
        <v>732</v>
      </c>
      <c r="B20" s="247"/>
      <c r="C20" s="247"/>
      <c r="D20" s="247"/>
      <c r="E20" s="247"/>
      <c r="F20" s="247"/>
      <c r="G20" s="247"/>
      <c r="H20" s="248"/>
      <c r="I20" s="248"/>
      <c r="J20" s="248"/>
      <c r="K20" s="249" t="str">
        <f aca="false">IF(COUNTIFS('Scores (start here)'!$A:$A,$B$1,'Scores (start here)'!$B:$B,$A20,'Scores (start here)'!$F:$F,"&gt;=0")&gt;0,SUMIFS('Scores (start here)'!$F:$F,'Scores (start here)'!$A:$A,$B$1,'Scores (start here)'!$B:$B,$A20),M20)</f>
        <v/>
      </c>
      <c r="L20" s="247"/>
      <c r="M20" s="0" t="str">
        <f aca="false">IF(OR(H20="",I20="",J20=""),"",IF(COUNTIF(H20:J20,"YES")=3,$C$7,0))</f>
        <v/>
      </c>
    </row>
    <row r="21" customFormat="false" ht="14.25" hidden="false" customHeight="false" outlineLevel="0" collapsed="false">
      <c r="A21" s="246" t="s">
        <v>733</v>
      </c>
      <c r="B21" s="247"/>
      <c r="C21" s="247"/>
      <c r="D21" s="247"/>
      <c r="E21" s="247"/>
      <c r="F21" s="247"/>
      <c r="G21" s="247"/>
      <c r="H21" s="248"/>
      <c r="I21" s="248"/>
      <c r="J21" s="248"/>
      <c r="K21" s="249" t="str">
        <f aca="false">IF(COUNTIFS('Scores (start here)'!$A:$A,$B$1,'Scores (start here)'!$B:$B,$A21,'Scores (start here)'!$F:$F,"&gt;=0")&gt;0,SUMIFS('Scores (start here)'!$F:$F,'Scores (start here)'!$A:$A,$B$1,'Scores (start here)'!$B:$B,$A21),M21)</f>
        <v/>
      </c>
      <c r="L21" s="247"/>
      <c r="M21" s="0" t="str">
        <f aca="false">IF(OR(H21="",I21="",J21=""),"",IF(COUNTIF(H21:J21,"YES")=3,$C$7,0))</f>
        <v/>
      </c>
    </row>
    <row r="22" customFormat="false" ht="14.25" hidden="false" customHeight="false" outlineLevel="0" collapsed="false">
      <c r="A22" s="246" t="s">
        <v>734</v>
      </c>
      <c r="B22" s="247"/>
      <c r="C22" s="247"/>
      <c r="D22" s="247"/>
      <c r="E22" s="247"/>
      <c r="F22" s="247"/>
      <c r="G22" s="247"/>
      <c r="H22" s="248"/>
      <c r="I22" s="248"/>
      <c r="J22" s="248"/>
      <c r="K22" s="249" t="str">
        <f aca="false">IF(COUNTIFS('Scores (start here)'!$A:$A,$B$1,'Scores (start here)'!$B:$B,$A22,'Scores (start here)'!$F:$F,"&gt;=0")&gt;0,SUMIFS('Scores (start here)'!$F:$F,'Scores (start here)'!$A:$A,$B$1,'Scores (start here)'!$B:$B,$A22),M22)</f>
        <v/>
      </c>
      <c r="L22" s="247"/>
      <c r="M22" s="0" t="str">
        <f aca="false">IF(OR(H22="",I22="",J22=""),"",IF(COUNTIF(H22:J22,"YES")=3,$C$7,0))</f>
        <v/>
      </c>
    </row>
    <row r="23" customFormat="false" ht="14.25" hidden="false" customHeight="false" outlineLevel="0" collapsed="false">
      <c r="A23" s="246" t="s">
        <v>735</v>
      </c>
      <c r="B23" s="247"/>
      <c r="C23" s="247"/>
      <c r="D23" s="247"/>
      <c r="E23" s="247"/>
      <c r="F23" s="247"/>
      <c r="G23" s="247"/>
      <c r="H23" s="248"/>
      <c r="I23" s="248"/>
      <c r="J23" s="248"/>
      <c r="K23" s="249" t="str">
        <f aca="false">IF(COUNTIFS('Scores (start here)'!$A:$A,$B$1,'Scores (start here)'!$B:$B,$A23,'Scores (start here)'!$F:$F,"&gt;=0")&gt;0,SUMIFS('Scores (start here)'!$F:$F,'Scores (start here)'!$A:$A,$B$1,'Scores (start here)'!$B:$B,$A23),M23)</f>
        <v/>
      </c>
      <c r="L23" s="247"/>
      <c r="M23" s="0" t="str">
        <f aca="false">IF(OR(H23="",I23="",J23=""),"",IF(COUNTIF(H23:J23,"YES")=3,$C$7,0))</f>
        <v/>
      </c>
    </row>
    <row r="24" customFormat="false" ht="14.25" hidden="false" customHeight="false" outlineLevel="0" collapsed="false">
      <c r="A24" s="246" t="s">
        <v>736</v>
      </c>
      <c r="B24" s="247"/>
      <c r="C24" s="247"/>
      <c r="D24" s="247"/>
      <c r="E24" s="247"/>
      <c r="F24" s="247"/>
      <c r="G24" s="247"/>
      <c r="H24" s="248"/>
      <c r="I24" s="248"/>
      <c r="J24" s="248"/>
      <c r="K24" s="249" t="str">
        <f aca="false">IF(COUNTIFS('Scores (start here)'!$A:$A,$B$1,'Scores (start here)'!$B:$B,$A24,'Scores (start here)'!$F:$F,"&gt;=0")&gt;0,SUMIFS('Scores (start here)'!$F:$F,'Scores (start here)'!$A:$A,$B$1,'Scores (start here)'!$B:$B,$A24),M24)</f>
        <v/>
      </c>
      <c r="L24" s="247"/>
      <c r="M24" s="0" t="str">
        <f aca="false">IF(OR(H24="",I24="",J24=""),"",IF(COUNTIF(H24:J24,"YES")=3,$C$7,0))</f>
        <v/>
      </c>
    </row>
    <row r="25" customFormat="false" ht="14.25" hidden="false" customHeight="false" outlineLevel="0" collapsed="false">
      <c r="A25" s="246" t="s">
        <v>737</v>
      </c>
      <c r="B25" s="247"/>
      <c r="C25" s="247"/>
      <c r="D25" s="247"/>
      <c r="E25" s="247"/>
      <c r="F25" s="247"/>
      <c r="G25" s="247"/>
      <c r="H25" s="248"/>
      <c r="I25" s="248"/>
      <c r="J25" s="248"/>
      <c r="K25" s="249" t="str">
        <f aca="false">IF(COUNTIFS('Scores (start here)'!$A:$A,$B$1,'Scores (start here)'!$B:$B,$A25,'Scores (start here)'!$F:$F,"&gt;=0")&gt;0,SUMIFS('Scores (start here)'!$F:$F,'Scores (start here)'!$A:$A,$B$1,'Scores (start here)'!$B:$B,$A25),M25)</f>
        <v/>
      </c>
      <c r="L25" s="247"/>
      <c r="M25" s="0" t="str">
        <f aca="false">IF(OR(H25="",I25="",J25=""),"",IF(COUNTIF(H25:J25,"YES")=3,$C$7,0))</f>
        <v/>
      </c>
    </row>
    <row r="26" customFormat="false" ht="14.25" hidden="false" customHeight="false" outlineLevel="0" collapsed="false">
      <c r="A26" s="246" t="s">
        <v>738</v>
      </c>
      <c r="B26" s="247"/>
      <c r="C26" s="247"/>
      <c r="D26" s="247"/>
      <c r="E26" s="247"/>
      <c r="F26" s="247"/>
      <c r="G26" s="247"/>
      <c r="H26" s="248"/>
      <c r="I26" s="248"/>
      <c r="J26" s="248"/>
      <c r="K26" s="249" t="str">
        <f aca="false">IF(COUNTIFS('Scores (start here)'!$A:$A,$B$1,'Scores (start here)'!$B:$B,$A26,'Scores (start here)'!$F:$F,"&gt;=0")&gt;0,SUMIFS('Scores (start here)'!$F:$F,'Scores (start here)'!$A:$A,$B$1,'Scores (start here)'!$B:$B,$A26),M26)</f>
        <v/>
      </c>
      <c r="L26" s="247"/>
      <c r="M26" s="0" t="str">
        <f aca="false">IF(OR(H26="",I26="",J26=""),"",IF(COUNTIF(H26:J26,"YES")=3,$C$7,0))</f>
        <v/>
      </c>
    </row>
    <row r="27" customFormat="false" ht="14.25" hidden="false" customHeight="false" outlineLevel="0" collapsed="false">
      <c r="A27" s="246" t="s">
        <v>739</v>
      </c>
      <c r="B27" s="247"/>
      <c r="C27" s="247"/>
      <c r="D27" s="247"/>
      <c r="E27" s="247"/>
      <c r="F27" s="247"/>
      <c r="G27" s="247"/>
      <c r="H27" s="248"/>
      <c r="I27" s="248"/>
      <c r="J27" s="248"/>
      <c r="K27" s="249" t="str">
        <f aca="false">IF(COUNTIFS('Scores (start here)'!$A:$A,$B$1,'Scores (start here)'!$B:$B,$A27,'Scores (start here)'!$F:$F,"&gt;=0")&gt;0,SUMIFS('Scores (start here)'!$F:$F,'Scores (start here)'!$A:$A,$B$1,'Scores (start here)'!$B:$B,$A27),M27)</f>
        <v/>
      </c>
      <c r="L27" s="247"/>
      <c r="M27" s="0" t="str">
        <f aca="false">IF(OR(H27="",I27="",J27=""),"",IF(COUNTIF(H27:J27,"YES")=3,$C$7,0))</f>
        <v/>
      </c>
    </row>
    <row r="28" customFormat="false" ht="14.25" hidden="false" customHeight="false" outlineLevel="0" collapsed="false">
      <c r="A28" s="246" t="s">
        <v>740</v>
      </c>
      <c r="B28" s="247"/>
      <c r="C28" s="247"/>
      <c r="D28" s="247"/>
      <c r="E28" s="247"/>
      <c r="F28" s="247"/>
      <c r="G28" s="247"/>
      <c r="H28" s="248"/>
      <c r="I28" s="248"/>
      <c r="J28" s="248"/>
      <c r="K28" s="249" t="str">
        <f aca="false">IF(COUNTIFS('Scores (start here)'!$A:$A,$B$1,'Scores (start here)'!$B:$B,$A28,'Scores (start here)'!$F:$F,"&gt;=0")&gt;0,SUMIFS('Scores (start here)'!$F:$F,'Scores (start here)'!$A:$A,$B$1,'Scores (start here)'!$B:$B,$A28),M28)</f>
        <v/>
      </c>
      <c r="L28" s="247"/>
      <c r="M28" s="0" t="str">
        <f aca="false">IF(OR(H28="",I28="",J28=""),"",IF(COUNTIF(H28:J28,"YES")=3,$C$7,0))</f>
        <v/>
      </c>
    </row>
    <row r="29" customFormat="false" ht="14.25" hidden="false" customHeight="false" outlineLevel="0" collapsed="false">
      <c r="A29" s="246" t="s">
        <v>741</v>
      </c>
      <c r="B29" s="247"/>
      <c r="C29" s="247"/>
      <c r="D29" s="247"/>
      <c r="E29" s="247"/>
      <c r="F29" s="247"/>
      <c r="G29" s="247"/>
      <c r="H29" s="248"/>
      <c r="I29" s="248"/>
      <c r="J29" s="248"/>
      <c r="K29" s="249" t="str">
        <f aca="false">IF(COUNTIFS('Scores (start here)'!$A:$A,$B$1,'Scores (start here)'!$B:$B,$A29,'Scores (start here)'!$F:$F,"&gt;=0")&gt;0,SUMIFS('Scores (start here)'!$F:$F,'Scores (start here)'!$A:$A,$B$1,'Scores (start here)'!$B:$B,$A29),M29)</f>
        <v/>
      </c>
      <c r="L29" s="247"/>
      <c r="M29" s="0" t="str">
        <f aca="false">IF(OR(H29="",I29="",J29=""),"",IF(COUNTIF(H29:J29,"YES")=3,$C$7,0))</f>
        <v/>
      </c>
    </row>
    <row r="30" customFormat="false" ht="14.25" hidden="false" customHeight="false" outlineLevel="0" collapsed="false">
      <c r="A30" s="246" t="s">
        <v>742</v>
      </c>
      <c r="B30" s="247"/>
      <c r="C30" s="247"/>
      <c r="D30" s="247"/>
      <c r="E30" s="247"/>
      <c r="F30" s="247"/>
      <c r="G30" s="247"/>
      <c r="H30" s="248"/>
      <c r="I30" s="248"/>
      <c r="J30" s="248"/>
      <c r="K30" s="249" t="str">
        <f aca="false">IF(COUNTIFS('Scores (start here)'!$A:$A,$B$1,'Scores (start here)'!$B:$B,$A30,'Scores (start here)'!$F:$F,"&gt;=0")&gt;0,SUMIFS('Scores (start here)'!$F:$F,'Scores (start here)'!$A:$A,$B$1,'Scores (start here)'!$B:$B,$A30),M30)</f>
        <v/>
      </c>
      <c r="L30" s="247"/>
      <c r="M30" s="0" t="str">
        <f aca="false">IF(OR(H30="",I30="",J30=""),"",IF(COUNTIF(H30:J30,"YES")=3,$C$7,0))</f>
        <v/>
      </c>
    </row>
    <row r="31" customFormat="false" ht="14.25" hidden="false" customHeight="false" outlineLevel="0" collapsed="false">
      <c r="A31" s="246" t="s">
        <v>743</v>
      </c>
      <c r="B31" s="247"/>
      <c r="C31" s="247"/>
      <c r="D31" s="247"/>
      <c r="E31" s="247"/>
      <c r="F31" s="247"/>
      <c r="G31" s="247"/>
      <c r="H31" s="248"/>
      <c r="I31" s="248"/>
      <c r="J31" s="248"/>
      <c r="K31" s="249" t="str">
        <f aca="false">IF(COUNTIFS('Scores (start here)'!$A:$A,$B$1,'Scores (start here)'!$B:$B,$A31,'Scores (start here)'!$F:$F,"&gt;=0")&gt;0,SUMIFS('Scores (start here)'!$F:$F,'Scores (start here)'!$A:$A,$B$1,'Scores (start here)'!$B:$B,$A31),M31)</f>
        <v/>
      </c>
      <c r="L31" s="247"/>
      <c r="M31" s="0" t="str">
        <f aca="false">IF(OR(H31="",I31="",J31=""),"",IF(COUNTIF(H31:J31,"YES")=3,$C$7,0))</f>
        <v/>
      </c>
    </row>
    <row r="32" customFormat="false" ht="14.25" hidden="false" customHeight="false" outlineLevel="0" collapsed="false">
      <c r="A32" s="246" t="s">
        <v>744</v>
      </c>
      <c r="B32" s="247"/>
      <c r="C32" s="247"/>
      <c r="D32" s="247"/>
      <c r="E32" s="247"/>
      <c r="F32" s="247"/>
      <c r="G32" s="247"/>
      <c r="H32" s="248"/>
      <c r="I32" s="248"/>
      <c r="J32" s="248"/>
      <c r="K32" s="249" t="str">
        <f aca="false">IF(COUNTIFS('Scores (start here)'!$A:$A,$B$1,'Scores (start here)'!$B:$B,$A32,'Scores (start here)'!$F:$F,"&gt;=0")&gt;0,SUMIFS('Scores (start here)'!$F:$F,'Scores (start here)'!$A:$A,$B$1,'Scores (start here)'!$B:$B,$A32),M32)</f>
        <v/>
      </c>
      <c r="L32" s="247"/>
      <c r="M32" s="0" t="str">
        <f aca="false">IF(OR(H32="",I32="",J32=""),"",IF(COUNTIF(H32:J32,"YES")=3,$C$7,0))</f>
        <v/>
      </c>
    </row>
    <row r="33" customFormat="false" ht="14.25" hidden="false" customHeight="false" outlineLevel="0" collapsed="false">
      <c r="A33" s="246" t="s">
        <v>745</v>
      </c>
      <c r="B33" s="247"/>
      <c r="C33" s="247"/>
      <c r="D33" s="247"/>
      <c r="E33" s="247"/>
      <c r="F33" s="247"/>
      <c r="G33" s="247"/>
      <c r="H33" s="248"/>
      <c r="I33" s="248"/>
      <c r="J33" s="248"/>
      <c r="K33" s="249" t="str">
        <f aca="false">IF(COUNTIFS('Scores (start here)'!$A:$A,$B$1,'Scores (start here)'!$B:$B,$A33,'Scores (start here)'!$F:$F,"&gt;=0")&gt;0,SUMIFS('Scores (start here)'!$F:$F,'Scores (start here)'!$A:$A,$B$1,'Scores (start here)'!$B:$B,$A33),M33)</f>
        <v/>
      </c>
      <c r="L33" s="247"/>
      <c r="M33" s="0" t="str">
        <f aca="false">IF(OR(H33="",I33="",J33=""),"",IF(COUNTIF(H33:J33,"YES")=3,$C$7,0))</f>
        <v/>
      </c>
    </row>
    <row r="34" customFormat="false" ht="14.25" hidden="false" customHeight="false" outlineLevel="0" collapsed="false">
      <c r="A34" s="246" t="s">
        <v>746</v>
      </c>
      <c r="B34" s="247"/>
      <c r="C34" s="247"/>
      <c r="D34" s="247"/>
      <c r="E34" s="247"/>
      <c r="F34" s="247"/>
      <c r="G34" s="247"/>
      <c r="H34" s="248"/>
      <c r="I34" s="248"/>
      <c r="J34" s="248"/>
      <c r="K34" s="249" t="str">
        <f aca="false">IF(COUNTIFS('Scores (start here)'!$A:$A,$B$1,'Scores (start here)'!$B:$B,$A34,'Scores (start here)'!$F:$F,"&gt;=0")&gt;0,SUMIFS('Scores (start here)'!$F:$F,'Scores (start here)'!$A:$A,$B$1,'Scores (start here)'!$B:$B,$A34),M34)</f>
        <v/>
      </c>
      <c r="L34" s="247"/>
      <c r="M34" s="0" t="str">
        <f aca="false">IF(OR(H34="",I34="",J34=""),"",IF(COUNTIF(H34:J34,"YES")=3,$C$7,0))</f>
        <v/>
      </c>
    </row>
    <row r="35" customFormat="false" ht="14.25" hidden="false" customHeight="false" outlineLevel="0" collapsed="false">
      <c r="A35" s="246" t="s">
        <v>747</v>
      </c>
      <c r="B35" s="247"/>
      <c r="C35" s="247"/>
      <c r="D35" s="247"/>
      <c r="E35" s="247"/>
      <c r="F35" s="247"/>
      <c r="G35" s="247"/>
      <c r="H35" s="248"/>
      <c r="I35" s="248"/>
      <c r="J35" s="248"/>
      <c r="K35" s="249" t="str">
        <f aca="false">IF(COUNTIFS('Scores (start here)'!$A:$A,$B$1,'Scores (start here)'!$B:$B,$A35,'Scores (start here)'!$F:$F,"&gt;=0")&gt;0,SUMIFS('Scores (start here)'!$F:$F,'Scores (start here)'!$A:$A,$B$1,'Scores (start here)'!$B:$B,$A35),M35)</f>
        <v/>
      </c>
      <c r="L35" s="247"/>
      <c r="M35" s="0" t="str">
        <f aca="false">IF(OR(H35="",I35="",J35=""),"",IF(COUNTIF(H35:J35,"YES")=3,$C$7,0))</f>
        <v/>
      </c>
    </row>
    <row r="36" customFormat="false" ht="14.25" hidden="false" customHeight="false" outlineLevel="0" collapsed="false">
      <c r="A36" s="246" t="s">
        <v>748</v>
      </c>
      <c r="B36" s="247"/>
      <c r="C36" s="247"/>
      <c r="D36" s="247"/>
      <c r="E36" s="247"/>
      <c r="F36" s="247"/>
      <c r="G36" s="247"/>
      <c r="H36" s="248"/>
      <c r="I36" s="248"/>
      <c r="J36" s="248"/>
      <c r="K36" s="249" t="str">
        <f aca="false">IF(COUNTIFS('Scores (start here)'!$A:$A,$B$1,'Scores (start here)'!$B:$B,$A36,'Scores (start here)'!$F:$F,"&gt;=0")&gt;0,SUMIFS('Scores (start here)'!$F:$F,'Scores (start here)'!$A:$A,$B$1,'Scores (start here)'!$B:$B,$A36),M36)</f>
        <v/>
      </c>
      <c r="L36" s="247"/>
      <c r="M36" s="0" t="str">
        <f aca="false">IF(OR(H36="",I36="",J36=""),"",IF(COUNTIF(H36:J36,"YES")=3,$C$7,0))</f>
        <v/>
      </c>
    </row>
    <row r="37" customFormat="false" ht="14.25" hidden="false" customHeight="false" outlineLevel="0" collapsed="false">
      <c r="A37" s="246" t="s">
        <v>749</v>
      </c>
      <c r="B37" s="247"/>
      <c r="C37" s="247"/>
      <c r="D37" s="247"/>
      <c r="E37" s="247"/>
      <c r="F37" s="247"/>
      <c r="G37" s="247"/>
      <c r="H37" s="248"/>
      <c r="I37" s="248"/>
      <c r="J37" s="248"/>
      <c r="K37" s="249" t="str">
        <f aca="false">IF(COUNTIFS('Scores (start here)'!$A:$A,$B$1,'Scores (start here)'!$B:$B,$A37,'Scores (start here)'!$F:$F,"&gt;=0")&gt;0,SUMIFS('Scores (start here)'!$F:$F,'Scores (start here)'!$A:$A,$B$1,'Scores (start here)'!$B:$B,$A37),M37)</f>
        <v/>
      </c>
      <c r="L37" s="247"/>
      <c r="M37" s="0" t="str">
        <f aca="false">IF(OR(H37="",I37="",J37=""),"",IF(COUNTIF(H37:J37,"YES")=3,$C$7,0))</f>
        <v/>
      </c>
    </row>
    <row r="38" customFormat="false" ht="14.25" hidden="false" customHeight="false" outlineLevel="0" collapsed="false">
      <c r="A38" s="246" t="s">
        <v>750</v>
      </c>
      <c r="B38" s="247"/>
      <c r="C38" s="247"/>
      <c r="D38" s="247"/>
      <c r="E38" s="247"/>
      <c r="F38" s="247"/>
      <c r="G38" s="247"/>
      <c r="H38" s="248"/>
      <c r="I38" s="248"/>
      <c r="J38" s="248"/>
      <c r="K38" s="249" t="str">
        <f aca="false">IF(COUNTIFS('Scores (start here)'!$A:$A,$B$1,'Scores (start here)'!$B:$B,$A38,'Scores (start here)'!$F:$F,"&gt;=0")&gt;0,SUMIFS('Scores (start here)'!$F:$F,'Scores (start here)'!$A:$A,$B$1,'Scores (start here)'!$B:$B,$A38),M38)</f>
        <v/>
      </c>
      <c r="L38" s="247"/>
      <c r="M38" s="0" t="str">
        <f aca="false">IF(OR(H38="",I38="",J38=""),"",IF(COUNTIF(H38:J38,"YES")=3,$C$7,0))</f>
        <v/>
      </c>
    </row>
    <row r="39" customFormat="false" ht="14.25" hidden="false" customHeight="false" outlineLevel="0" collapsed="false">
      <c r="A39" s="246" t="s">
        <v>751</v>
      </c>
      <c r="B39" s="247"/>
      <c r="C39" s="247"/>
      <c r="D39" s="247"/>
      <c r="E39" s="247"/>
      <c r="F39" s="247"/>
      <c r="G39" s="247"/>
      <c r="H39" s="248"/>
      <c r="I39" s="248"/>
      <c r="J39" s="248"/>
      <c r="K39" s="249" t="str">
        <f aca="false">IF(COUNTIFS('Scores (start here)'!$A:$A,$B$1,'Scores (start here)'!$B:$B,$A39,'Scores (start here)'!$F:$F,"&gt;=0")&gt;0,SUMIFS('Scores (start here)'!$F:$F,'Scores (start here)'!$A:$A,$B$1,'Scores (start here)'!$B:$B,$A39),M39)</f>
        <v/>
      </c>
      <c r="L39" s="247"/>
      <c r="M39" s="0" t="str">
        <f aca="false">IF(OR(H39="",I39="",J39=""),"",IF(COUNTIF(H39:J39,"YES")=3,$C$7,0))</f>
        <v/>
      </c>
    </row>
    <row r="40" customFormat="false" ht="14.25" hidden="false" customHeight="false" outlineLevel="0" collapsed="false">
      <c r="A40" s="246" t="s">
        <v>752</v>
      </c>
      <c r="B40" s="247"/>
      <c r="C40" s="247"/>
      <c r="D40" s="247"/>
      <c r="E40" s="247"/>
      <c r="F40" s="247"/>
      <c r="G40" s="247"/>
      <c r="H40" s="248"/>
      <c r="I40" s="248"/>
      <c r="J40" s="248"/>
      <c r="K40" s="249" t="str">
        <f aca="false">IF(COUNTIFS('Scores (start here)'!$A:$A,$B$1,'Scores (start here)'!$B:$B,$A40,'Scores (start here)'!$F:$F,"&gt;=0")&gt;0,SUMIFS('Scores (start here)'!$F:$F,'Scores (start here)'!$A:$A,$B$1,'Scores (start here)'!$B:$B,$A40),M40)</f>
        <v/>
      </c>
      <c r="L40" s="247"/>
      <c r="M40" s="0" t="str">
        <f aca="false">IF(OR(H40="",I40="",J40=""),"",IF(COUNTIF(H40:J40,"YES")=3,$C$7,0))</f>
        <v/>
      </c>
    </row>
    <row r="41" customFormat="false" ht="14.25" hidden="false" customHeight="false" outlineLevel="0" collapsed="false">
      <c r="A41" s="246" t="s">
        <v>753</v>
      </c>
      <c r="B41" s="247"/>
      <c r="C41" s="247"/>
      <c r="D41" s="247"/>
      <c r="E41" s="247"/>
      <c r="F41" s="247"/>
      <c r="G41" s="247"/>
      <c r="H41" s="248"/>
      <c r="I41" s="248"/>
      <c r="J41" s="248"/>
      <c r="K41" s="249" t="str">
        <f aca="false">IF(COUNTIFS('Scores (start here)'!$A:$A,$B$1,'Scores (start here)'!$B:$B,$A41,'Scores (start here)'!$F:$F,"&gt;=0")&gt;0,SUMIFS('Scores (start here)'!$F:$F,'Scores (start here)'!$A:$A,$B$1,'Scores (start here)'!$B:$B,$A41),M41)</f>
        <v/>
      </c>
      <c r="L41" s="247"/>
      <c r="M41" s="0" t="str">
        <f aca="false">IF(OR(H41="",I41="",J41=""),"",IF(COUNTIF(H41:J41,"YES")=3,$C$7,0))</f>
        <v/>
      </c>
    </row>
  </sheetData>
  <dataValidations count="1">
    <dataValidation allowBlank="true" error="Please enter a valid value (see note above the column)." errorStyle="stop" errorTitle="Invalid entry" operator="between" showDropDown="false" showErrorMessage="true" showInputMessage="false" sqref="H13:J41" type="list">
      <formula1>"YES,NO"</formula1>
      <formula2>0</formula2>
    </dataValidation>
  </dataValidations>
  <hyperlinks>
    <hyperlink ref="K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K41"/>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15" activeCellId="0" sqref="B15"/>
    </sheetView>
  </sheetViews>
  <sheetFormatPr defaultColWidth="8.5703125" defaultRowHeight="14.25" customHeight="false" zeroHeight="false" outlineLevelRow="0" outlineLevelCol="0"/>
  <cols>
    <col collapsed="false" customWidth="true" hidden="false" outlineLevel="0" max="1" min="1" style="0" width="21"/>
    <col collapsed="false" customWidth="true" hidden="false" outlineLevel="0" max="2" min="2" style="0" width="40"/>
    <col collapsed="false" customWidth="true" hidden="false" outlineLevel="0" max="4" min="3" style="0" width="11"/>
    <col collapsed="false" customWidth="true" hidden="false" outlineLevel="0" max="5" min="5" style="0" width="9"/>
    <col collapsed="false" customWidth="true" hidden="false" outlineLevel="0" max="6" min="6" style="0" width="11"/>
    <col collapsed="false" customWidth="true" hidden="false" outlineLevel="0" max="7" min="7" style="0" width="24"/>
    <col collapsed="false" customWidth="true" hidden="false" outlineLevel="0" max="8" min="8" style="0" width="16"/>
    <col collapsed="false" customWidth="true" hidden="false" outlineLevel="0" max="9" min="9" style="0" width="14"/>
    <col collapsed="false" customWidth="true" hidden="false" outlineLevel="0" max="10" min="10" style="0" width="45"/>
  </cols>
  <sheetData>
    <row r="1" customFormat="false" ht="14.25" hidden="false" customHeight="false" outlineLevel="0" collapsed="false">
      <c r="A1" s="237" t="s">
        <v>1016</v>
      </c>
      <c r="B1" s="237" t="s">
        <v>330</v>
      </c>
      <c r="C1" s="238" t="s">
        <v>1017</v>
      </c>
      <c r="I1" s="239" t="s">
        <v>1018</v>
      </c>
    </row>
    <row r="2" customFormat="false" ht="14.25" hidden="false" customHeight="false" outlineLevel="0" collapsed="false">
      <c r="A2" s="237" t="s">
        <v>341</v>
      </c>
      <c r="B2" s="237" t="str">
        <f aca="false">IF(ISNUMBER(VALUE(RIGHT($B$1,1))),VLOOKUP($B$1,'UPD Questions_290926 '!$E$1:$N$300,MATCH($A2,'UPD Questions_290926 '!$E$1:$N$1,0),0)&amp;"",CONCATENATE(VLOOKUP(LEFT($B$1,(LEN($B$1)-1)),'UPD Questions_290926 '!$E$1:$N$300,MATCH($A2,'UPD Questions_290926 '!$E$1:$N$1,0),0)&amp;""," &gt;:&lt; ",VLOOKUP($B$1,'UPD Questions_290926 '!$E$1:$N$300,MATCH($A2,'UPD Questions_290926 '!$E$1:$N$1,0),0)&amp;""))</f>
        <v>Enforcement</v>
      </c>
      <c r="C2" s="238" t="s">
        <v>1019</v>
      </c>
    </row>
    <row r="3" customFormat="false" ht="14.25" hidden="false" customHeight="false" outlineLevel="0" collapsed="false">
      <c r="A3" s="237" t="s">
        <v>342</v>
      </c>
      <c r="B3" s="237" t="str">
        <f aca="false">IF(ISNUMBER(VALUE(RIGHT($B$1,1))),VLOOKUP($B$1,'UPD Questions_290926 '!$E$1:$N$300,MATCH($A3,'UPD Questions_290926 '!$E$1:$N$1,0),0)&amp;"",CONCATENATE(VLOOKUP(LEFT($B$1,(LEN($B$1)-1)),'UPD Questions_290926 '!$E$1:$N$300,MATCH($A3,'UPD Questions_290926 '!$E$1:$N$1,0),0)&amp;""," &gt;:&lt; ",VLOOKUP($B$1,'UPD Questions_290926 '!$E$1:$N$300,MATCH($A3,'UPD Questions_290926 '!$E$1:$N$1,0),0)&amp;""))</f>
        <v>Development Compliance</v>
      </c>
    </row>
    <row r="4" customFormat="false" ht="14.25" hidden="false" customHeight="false" outlineLevel="0" collapsed="false">
      <c r="A4" s="237" t="s">
        <v>343</v>
      </c>
      <c r="B4" s="237" t="str">
        <f aca="false">IF(ISNUMBER(VALUE(RIGHT($B$1,1))),VLOOKUP($B$1,'UPD Questions_290926 '!$E$1:$N$300,MATCH($A4,'UPD Questions_290926 '!$E$1:$N$1,0),0)&amp;"",CONCATENATE(VLOOKUP(LEFT($B$1,(LEN($B$1)-1)),'UPD Questions_290926 '!$E$1:$N$300,MATCH($A4,'UPD Questions_290926 '!$E$1:$N$1,0),0)&amp;""," &gt;:&lt; ",VLOOKUP($B$1,'UPD Questions_290926 '!$E$1:$N$300,MATCH($A4,'UPD Questions_290926 '!$E$1:$N$1,0),0)&amp;""))</f>
        <v>Corrective action</v>
      </c>
    </row>
    <row r="5" customFormat="false" ht="14.25" hidden="false" customHeight="false" outlineLevel="0" collapsed="false">
      <c r="A5" s="237" t="s">
        <v>344</v>
      </c>
      <c r="B5" s="237" t="str">
        <f aca="false">IF(ISNUMBER(VALUE(RIGHT($B$1,1))),VLOOKUP($B$1,'UPD Questions_290926 '!$E$1:$N$300,MATCH($A5,'UPD Questions_290926 '!$E$1:$N$1,0),0)&amp;"",CONCATENATE(VLOOKUP(LEFT($B$1,(LEN($B$1)-1)),'UPD Questions_290926 '!$E$1:$N$300,MATCH($A5,'UPD Questions_290926 '!$E$1:$N$1,0),0)&amp;""," &gt;:&lt; ",VLOOKUP($B$1,'UPD Questions_290926 '!$E$1:$N$300,MATCH($A5,'UPD Questions_290926 '!$E$1:$N$1,0),0)&amp;""))</f>
        <v>MQ</v>
      </c>
    </row>
    <row r="6" customFormat="false" ht="14.25" hidden="false" customHeight="false" outlineLevel="0" collapsed="false">
      <c r="A6" s="237" t="s">
        <v>0</v>
      </c>
      <c r="B6" s="237" t="str">
        <f aca="false">IF(ISNUMBER(VALUE(RIGHT($B$1,1))),VLOOKUP($B$1,'UPD Questions_290926 '!$E$1:$N$300,MATCH($A6,'UPD Questions_290926 '!$E$1:$N$1,0),0)&amp;"",CONCATENATE(VLOOKUP(LEFT($B$1,(LEN($B$1)-1)),'UPD Questions_290926 '!$E$1:$N$300,MATCH($A6,'UPD Questions_290926 '!$E$1:$N$1,0),0)&amp;""," &gt;:&lt; ",VLOOKUP($B$1,'UPD Questions_290926 '!$E$1:$N$300,MATCH($A6,'UPD Questions_290926 '!$E$1:$N$1,0),0)&amp;""))</f>
        <v>Are there provisions to penalise violating plans?</v>
      </c>
      <c r="C6" s="238" t="s">
        <v>1020</v>
      </c>
    </row>
    <row r="7" customFormat="false" ht="14.25" hidden="false" customHeight="false" outlineLevel="0" collapsed="false">
      <c r="A7" s="237" t="s">
        <v>345</v>
      </c>
      <c r="B7" s="237" t="str">
        <f aca="false">IF(ISNUMBER(VALUE(RIGHT($B$1,1))),VLOOKUP($B$1,'UPD Questions_290926 '!$E$1:$N$300,MATCH($A7,'UPD Questions_290926 '!$E$1:$N$1,0),0)&amp;"",CONCATENATE(VLOOKUP(LEFT($B$1,(LEN($B$1)-1)),'UPD Questions_290926 '!$E$1:$N$300,MATCH($A7,'UPD Questions_290926 '!$E$1:$N$1,0),0)&amp;""," &gt;:&lt; ",VLOOKUP($B$1,'UPD Questions_290926 '!$E$1:$N$300,MATCH($A7,'UPD Questions_290926 '!$E$1:$N$1,0),0)&amp;""))</f>
        <v>10</v>
      </c>
      <c r="C7" s="240" t="n">
        <f aca="false">VLOOKUP($B$1,'UPD Questions_290926 '!$E$1:$N$300,MATCH($A$7,'UPD Questions_290926 '!$E$1:$N$1,0),0)</f>
        <v>10</v>
      </c>
    </row>
    <row r="8" customFormat="false" ht="14.25" hidden="false" customHeight="false" outlineLevel="0" collapsed="false">
      <c r="A8" s="237" t="s">
        <v>346</v>
      </c>
      <c r="B8" s="237" t="str">
        <f aca="false">IF(ISNUMBER(VALUE(RIGHT($B$1,1))),VLOOKUP($B$1,'UPD Questions_290926 '!$E$1:$N$300,MATCH($A8,'UPD Questions_290926 '!$E$1:$N$1,0),0)&amp;"",CONCATENATE(VLOOKUP(LEFT($B$1,(LEN($B$1)-1)),'UPD Questions_290926 '!$E$1:$N$300,MATCH($A8,'UPD Questions_290926 '!$E$1:$N$1,0),0)&amp;""," &gt;:&lt; ",VLOOKUP($B$1,'UPD Questions_290926 '!$E$1:$N$300,MATCH($A8,'UPD Questions_290926 '!$E$1:$N$1,0),0)&amp;""))</f>
        <v>Law or Policy</v>
      </c>
    </row>
    <row r="9" customFormat="false" ht="90.75" hidden="false" customHeight="true" outlineLevel="0" collapsed="false">
      <c r="A9" s="237" t="s">
        <v>347</v>
      </c>
      <c r="B9" s="90" t="str">
        <f aca="false">IF(ISNUMBER(VALUE(RIGHT($B$1,1))),VLOOKUP($B$1,'UPD Questions_290926 '!$E$1:$N$300,MATCH($A9,'UPD Questions_290926 '!$E$1:$N$1,0),0)&amp;"",CONCATENATE(VLOOKUP(LEFT($B$1,(LEN($B$1)-1)),'UPD Questions_290926 '!$E$1:$N$300,MATCH($A9,'UPD Questions_290926 '!$E$1:$N$1,0),0)&amp;""," &gt;:&lt; ",VLOOKUP($B$1,'UPD Questions_290926 '!$E$1:$N$300,MATCH($A9,'UPD Questions_290926 '!$E$1:$N$1,0),0)&amp;""))</f>
        <v>Check if the T&amp;CP Act mentions the penal provisions under the following heads (at least five of the below to mark as 'Yes'):1. DCR (Development Control Regulations) violations:                                  a. Zoning/ land useb. Permitted uses (including change in building use eg; dwelling to commercial use; warehouse to office space etc.)c. Setbacks (setbacks are the minimum space required between the plot boundary and building), d. Building height (maximum permissible height according to the location)e. Floor Area Ratio (FAR)/ Floor Space Index (FSI)f. Parking g. Heritage conservation (violations occur if such areas/structures are recognised to be of historical importance)i. Environmental conservationetc2. Building code violations: (at plan approval stage, these codes dictate the following details)a. Fire norms (primarily important at both plan approval level and again at Occupancy Certificate (OC) level)b. Provision of lifts and staircasesc. Corridor lengthd. Earthquake/flood/tsunami/flood resistance (in disaster prone areas)e. Plot access (the points of entry/exit to your building/plot in accordance with the road)f. Loading/ unloading bays (for commercial and industrial buildings, service access, safety etc. as detailed out by building code)etc3. NOC violationsa. Fire safetyb. Water supply and sewerage (absence of rainwater harvesting systems, discharge of waste into any public land, alley, waterbody, sidewalk etc.)c. Electricity (particularly for large-scale/commercial buildings)d. Pollutione. Solid waste managementf. Height (near airports)4. Encroachment of land5. Building refurbishment without permit/ approvals (addition/demolition/remodeling etc.)6. Urban design regulations vioations (includes signages, dispaly boards, streetscapes, pedestrian circulation, open areas, plazas, arcades etc.)</v>
      </c>
    </row>
    <row r="10" customFormat="false" ht="89.25" hidden="false" customHeight="true" outlineLevel="0" collapsed="false">
      <c r="A10" s="237" t="s">
        <v>348</v>
      </c>
      <c r="B10" s="90" t="str">
        <f aca="false">IF(ISNUMBER(VALUE(RIGHT($B$1,1))),VLOOKUP($B$1,'UPD Questions_290926 '!$E$1:$N$300,MATCH($A10,'UPD Questions_290926 '!$E$1:$N$1,0),0)&amp;"",CONCATENATE(VLOOKUP(LEFT($B$1,(LEN($B$1)-1)),'UPD Questions_290926 '!$E$1:$N$300,MATCH($A10,'UPD Questions_290926 '!$E$1:$N$1,0),0)&amp;""," &gt;:&lt; ",VLOOKUP($B$1,'UPD Questions_290926 '!$E$1:$N$300,MATCH($A10,'UPD Questions_290926 '!$E$1:$N$1,0),0)&amp;""))</f>
        <v>Please give the text of the provisions in the scorer comment's column in the scoresheet</v>
      </c>
      <c r="H10" s="241" t="s">
        <v>1258</v>
      </c>
    </row>
    <row r="11" customFormat="false" ht="64.5" hidden="false" customHeight="true" outlineLevel="0" collapsed="false">
      <c r="H11" s="242" t="s">
        <v>1166</v>
      </c>
      <c r="I11" s="243" t="s">
        <v>1023</v>
      </c>
      <c r="K11" s="0" t="s">
        <v>1024</v>
      </c>
    </row>
    <row r="12" customFormat="false" ht="60" hidden="false" customHeight="true" outlineLevel="0" collapsed="false">
      <c r="A12" s="244" t="s">
        <v>1025</v>
      </c>
      <c r="B12" s="244" t="s">
        <v>1026</v>
      </c>
      <c r="C12" s="244" t="s">
        <v>1027</v>
      </c>
      <c r="D12" s="244" t="s">
        <v>1028</v>
      </c>
      <c r="E12" s="244" t="s">
        <v>1029</v>
      </c>
      <c r="F12" s="244" t="s">
        <v>1030</v>
      </c>
      <c r="G12" s="244" t="s">
        <v>14</v>
      </c>
      <c r="H12" s="245" t="s">
        <v>1259</v>
      </c>
      <c r="I12" s="243" t="s">
        <v>1031</v>
      </c>
      <c r="J12" s="245" t="s">
        <v>1032</v>
      </c>
      <c r="K12" s="0" t="s">
        <v>1033</v>
      </c>
    </row>
    <row r="13" customFormat="false" ht="14.25" hidden="false" customHeight="false" outlineLevel="0" collapsed="false">
      <c r="A13" s="246" t="s">
        <v>726</v>
      </c>
      <c r="B13" s="247"/>
      <c r="C13" s="247"/>
      <c r="D13" s="247"/>
      <c r="E13" s="247"/>
      <c r="F13" s="247"/>
      <c r="G13" s="247"/>
      <c r="H13" s="248"/>
      <c r="I13" s="249" t="str">
        <f aca="false">IF(COUNTIFS('Scores (start here)'!$A:$A,$B$1,'Scores (start here)'!$B:$B,$A13,'Scores (start here)'!$F:$F,"&gt;=0")&gt;0,SUMIFS('Scores (start here)'!$F:$F,'Scores (start here)'!$A:$A,$B$1,'Scores (start here)'!$B:$B,$A13),K13)</f>
        <v/>
      </c>
      <c r="J13" s="247"/>
      <c r="K13" s="0" t="str">
        <f aca="false">IF(H13="","",MIN(H13*$C$7/5,$C$7))</f>
        <v/>
      </c>
    </row>
    <row r="14" customFormat="false" ht="359.7" hidden="false" customHeight="false" outlineLevel="0" collapsed="false">
      <c r="A14" s="246" t="s">
        <v>19</v>
      </c>
      <c r="B14" s="247" t="s">
        <v>25</v>
      </c>
      <c r="C14" s="247" t="s">
        <v>1260</v>
      </c>
      <c r="D14" s="247" t="s">
        <v>1261</v>
      </c>
      <c r="E14" s="247" t="s">
        <v>1262</v>
      </c>
      <c r="F14" s="247" t="s">
        <v>1263</v>
      </c>
      <c r="G14" s="247" t="s">
        <v>26</v>
      </c>
      <c r="H14" s="248"/>
      <c r="I14" s="249" t="str">
        <f aca="false">IF(COUNTIFS('Scores (start here)'!$A:$A,$B$1,'Scores (start here)'!$B:$B,$A14,'Scores (start here)'!$F:$F,"&gt;=0")&gt;0,SUMIFS('Scores (start here)'!$F:$F,'Scores (start here)'!$A:$A,$B$1,'Scores (start here)'!$B:$B,$A14),K14)</f>
        <v/>
      </c>
      <c r="J14" s="250" t="s">
        <v>1264</v>
      </c>
      <c r="K14" s="0" t="str">
        <f aca="false">IF(H14="","",MIN(H14*$C$7/5,$C$7))</f>
        <v/>
      </c>
    </row>
    <row r="15" customFormat="false" ht="14.25" hidden="false" customHeight="false" outlineLevel="0" collapsed="false">
      <c r="A15" s="246" t="s">
        <v>727</v>
      </c>
      <c r="B15" s="247"/>
      <c r="C15" s="247"/>
      <c r="D15" s="247"/>
      <c r="E15" s="247"/>
      <c r="F15" s="247"/>
      <c r="G15" s="247"/>
      <c r="H15" s="248"/>
      <c r="I15" s="249" t="str">
        <f aca="false">IF(COUNTIFS('Scores (start here)'!$A:$A,$B$1,'Scores (start here)'!$B:$B,$A15,'Scores (start here)'!$F:$F,"&gt;=0")&gt;0,SUMIFS('Scores (start here)'!$F:$F,'Scores (start here)'!$A:$A,$B$1,'Scores (start here)'!$B:$B,$A15),K15)</f>
        <v/>
      </c>
      <c r="J15" s="247"/>
      <c r="K15" s="0" t="str">
        <f aca="false">IF(H15="","",MIN(H15*$C$7/5,$C$7))</f>
        <v/>
      </c>
    </row>
    <row r="16" customFormat="false" ht="14.25" hidden="false" customHeight="false" outlineLevel="0" collapsed="false">
      <c r="A16" s="246" t="s">
        <v>728</v>
      </c>
      <c r="B16" s="247"/>
      <c r="C16" s="247"/>
      <c r="D16" s="247"/>
      <c r="E16" s="247"/>
      <c r="F16" s="247"/>
      <c r="G16" s="247"/>
      <c r="H16" s="248"/>
      <c r="I16" s="249" t="str">
        <f aca="false">IF(COUNTIFS('Scores (start here)'!$A:$A,$B$1,'Scores (start here)'!$B:$B,$A16,'Scores (start here)'!$F:$F,"&gt;=0")&gt;0,SUMIFS('Scores (start here)'!$F:$F,'Scores (start here)'!$A:$A,$B$1,'Scores (start here)'!$B:$B,$A16),K16)</f>
        <v/>
      </c>
      <c r="J16" s="247"/>
      <c r="K16" s="0" t="str">
        <f aca="false">IF(H16="","",MIN(H16*$C$7/5,$C$7))</f>
        <v/>
      </c>
    </row>
    <row r="17" customFormat="false" ht="14.25" hidden="false" customHeight="false" outlineLevel="0" collapsed="false">
      <c r="A17" s="246" t="s">
        <v>729</v>
      </c>
      <c r="B17" s="247"/>
      <c r="C17" s="247"/>
      <c r="D17" s="247"/>
      <c r="E17" s="247"/>
      <c r="F17" s="247"/>
      <c r="G17" s="247"/>
      <c r="H17" s="248"/>
      <c r="I17" s="249" t="str">
        <f aca="false">IF(COUNTIFS('Scores (start here)'!$A:$A,$B$1,'Scores (start here)'!$B:$B,$A17,'Scores (start here)'!$F:$F,"&gt;=0")&gt;0,SUMIFS('Scores (start here)'!$F:$F,'Scores (start here)'!$A:$A,$B$1,'Scores (start here)'!$B:$B,$A17),K17)</f>
        <v/>
      </c>
      <c r="J17" s="247"/>
      <c r="K17" s="0" t="str">
        <f aca="false">IF(H17="","",MIN(H17*$C$7/5,$C$7))</f>
        <v/>
      </c>
    </row>
    <row r="18" customFormat="false" ht="14.25" hidden="false" customHeight="false" outlineLevel="0" collapsed="false">
      <c r="A18" s="246" t="s">
        <v>730</v>
      </c>
      <c r="B18" s="247"/>
      <c r="C18" s="247"/>
      <c r="D18" s="247"/>
      <c r="E18" s="247"/>
      <c r="F18" s="247"/>
      <c r="G18" s="247"/>
      <c r="H18" s="248"/>
      <c r="I18" s="249" t="str">
        <f aca="false">IF(COUNTIFS('Scores (start here)'!$A:$A,$B$1,'Scores (start here)'!$B:$B,$A18,'Scores (start here)'!$F:$F,"&gt;=0")&gt;0,SUMIFS('Scores (start here)'!$F:$F,'Scores (start here)'!$A:$A,$B$1,'Scores (start here)'!$B:$B,$A18),K18)</f>
        <v/>
      </c>
      <c r="J18" s="247"/>
      <c r="K18" s="0" t="str">
        <f aca="false">IF(H18="","",MIN(H18*$C$7/5,$C$7))</f>
        <v/>
      </c>
    </row>
    <row r="19" customFormat="false" ht="14.25" hidden="false" customHeight="false" outlineLevel="0" collapsed="false">
      <c r="A19" s="246" t="s">
        <v>731</v>
      </c>
      <c r="B19" s="247"/>
      <c r="C19" s="247"/>
      <c r="D19" s="247"/>
      <c r="E19" s="247"/>
      <c r="F19" s="247"/>
      <c r="G19" s="247"/>
      <c r="H19" s="248"/>
      <c r="I19" s="249" t="str">
        <f aca="false">IF(COUNTIFS('Scores (start here)'!$A:$A,$B$1,'Scores (start here)'!$B:$B,$A19,'Scores (start here)'!$F:$F,"&gt;=0")&gt;0,SUMIFS('Scores (start here)'!$F:$F,'Scores (start here)'!$A:$A,$B$1,'Scores (start here)'!$B:$B,$A19),K19)</f>
        <v/>
      </c>
      <c r="J19" s="247"/>
      <c r="K19" s="0" t="str">
        <f aca="false">IF(H19="","",MIN(H19*$C$7/5,$C$7))</f>
        <v/>
      </c>
    </row>
    <row r="20" customFormat="false" ht="14.25" hidden="false" customHeight="false" outlineLevel="0" collapsed="false">
      <c r="A20" s="246" t="s">
        <v>732</v>
      </c>
      <c r="B20" s="247"/>
      <c r="C20" s="247"/>
      <c r="D20" s="247"/>
      <c r="E20" s="247"/>
      <c r="F20" s="247"/>
      <c r="G20" s="247"/>
      <c r="H20" s="248"/>
      <c r="I20" s="249" t="str">
        <f aca="false">IF(COUNTIFS('Scores (start here)'!$A:$A,$B$1,'Scores (start here)'!$B:$B,$A20,'Scores (start here)'!$F:$F,"&gt;=0")&gt;0,SUMIFS('Scores (start here)'!$F:$F,'Scores (start here)'!$A:$A,$B$1,'Scores (start here)'!$B:$B,$A20),K20)</f>
        <v/>
      </c>
      <c r="J20" s="247"/>
      <c r="K20" s="0" t="str">
        <f aca="false">IF(H20="","",MIN(H20*$C$7/5,$C$7))</f>
        <v/>
      </c>
    </row>
    <row r="21" customFormat="false" ht="14.25" hidden="false" customHeight="false" outlineLevel="0" collapsed="false">
      <c r="A21" s="246" t="s">
        <v>733</v>
      </c>
      <c r="B21" s="247"/>
      <c r="C21" s="247"/>
      <c r="D21" s="247"/>
      <c r="E21" s="247"/>
      <c r="F21" s="247"/>
      <c r="G21" s="247"/>
      <c r="H21" s="248"/>
      <c r="I21" s="249" t="str">
        <f aca="false">IF(COUNTIFS('Scores (start here)'!$A:$A,$B$1,'Scores (start here)'!$B:$B,$A21,'Scores (start here)'!$F:$F,"&gt;=0")&gt;0,SUMIFS('Scores (start here)'!$F:$F,'Scores (start here)'!$A:$A,$B$1,'Scores (start here)'!$B:$B,$A21),K21)</f>
        <v/>
      </c>
      <c r="J21" s="247"/>
      <c r="K21" s="0" t="str">
        <f aca="false">IF(H21="","",MIN(H21*$C$7/5,$C$7))</f>
        <v/>
      </c>
    </row>
    <row r="22" customFormat="false" ht="14.25" hidden="false" customHeight="false" outlineLevel="0" collapsed="false">
      <c r="A22" s="246" t="s">
        <v>734</v>
      </c>
      <c r="B22" s="247"/>
      <c r="C22" s="247"/>
      <c r="D22" s="247"/>
      <c r="E22" s="247"/>
      <c r="F22" s="247"/>
      <c r="G22" s="247"/>
      <c r="H22" s="248"/>
      <c r="I22" s="249" t="str">
        <f aca="false">IF(COUNTIFS('Scores (start here)'!$A:$A,$B$1,'Scores (start here)'!$B:$B,$A22,'Scores (start here)'!$F:$F,"&gt;=0")&gt;0,SUMIFS('Scores (start here)'!$F:$F,'Scores (start here)'!$A:$A,$B$1,'Scores (start here)'!$B:$B,$A22),K22)</f>
        <v/>
      </c>
      <c r="J22" s="247"/>
      <c r="K22" s="0" t="str">
        <f aca="false">IF(H22="","",MIN(H22*$C$7/5,$C$7))</f>
        <v/>
      </c>
    </row>
    <row r="23" customFormat="false" ht="14.25" hidden="false" customHeight="false" outlineLevel="0" collapsed="false">
      <c r="A23" s="246" t="s">
        <v>735</v>
      </c>
      <c r="B23" s="247"/>
      <c r="C23" s="247"/>
      <c r="D23" s="247"/>
      <c r="E23" s="247"/>
      <c r="F23" s="247"/>
      <c r="G23" s="247"/>
      <c r="H23" s="248"/>
      <c r="I23" s="249" t="str">
        <f aca="false">IF(COUNTIFS('Scores (start here)'!$A:$A,$B$1,'Scores (start here)'!$B:$B,$A23,'Scores (start here)'!$F:$F,"&gt;=0")&gt;0,SUMIFS('Scores (start here)'!$F:$F,'Scores (start here)'!$A:$A,$B$1,'Scores (start here)'!$B:$B,$A23),K23)</f>
        <v/>
      </c>
      <c r="J23" s="247"/>
      <c r="K23" s="0" t="str">
        <f aca="false">IF(H23="","",MIN(H23*$C$7/5,$C$7))</f>
        <v/>
      </c>
    </row>
    <row r="24" customFormat="false" ht="14.25" hidden="false" customHeight="false" outlineLevel="0" collapsed="false">
      <c r="A24" s="246" t="s">
        <v>736</v>
      </c>
      <c r="B24" s="247"/>
      <c r="C24" s="247"/>
      <c r="D24" s="247"/>
      <c r="E24" s="247"/>
      <c r="F24" s="247"/>
      <c r="G24" s="247"/>
      <c r="H24" s="248"/>
      <c r="I24" s="249" t="str">
        <f aca="false">IF(COUNTIFS('Scores (start here)'!$A:$A,$B$1,'Scores (start here)'!$B:$B,$A24,'Scores (start here)'!$F:$F,"&gt;=0")&gt;0,SUMIFS('Scores (start here)'!$F:$F,'Scores (start here)'!$A:$A,$B$1,'Scores (start here)'!$B:$B,$A24),K24)</f>
        <v/>
      </c>
      <c r="J24" s="247"/>
      <c r="K24" s="0" t="str">
        <f aca="false">IF(H24="","",MIN(H24*$C$7/5,$C$7))</f>
        <v/>
      </c>
    </row>
    <row r="25" customFormat="false" ht="14.25" hidden="false" customHeight="false" outlineLevel="0" collapsed="false">
      <c r="A25" s="246" t="s">
        <v>737</v>
      </c>
      <c r="B25" s="247"/>
      <c r="C25" s="247"/>
      <c r="D25" s="247"/>
      <c r="E25" s="247"/>
      <c r="F25" s="247"/>
      <c r="G25" s="247"/>
      <c r="H25" s="248"/>
      <c r="I25" s="249" t="str">
        <f aca="false">IF(COUNTIFS('Scores (start here)'!$A:$A,$B$1,'Scores (start here)'!$B:$B,$A25,'Scores (start here)'!$F:$F,"&gt;=0")&gt;0,SUMIFS('Scores (start here)'!$F:$F,'Scores (start here)'!$A:$A,$B$1,'Scores (start here)'!$B:$B,$A25),K25)</f>
        <v/>
      </c>
      <c r="J25" s="247"/>
      <c r="K25" s="0" t="str">
        <f aca="false">IF(H25="","",MIN(H25*$C$7/5,$C$7))</f>
        <v/>
      </c>
    </row>
    <row r="26" customFormat="false" ht="14.25" hidden="false" customHeight="false" outlineLevel="0" collapsed="false">
      <c r="A26" s="246" t="s">
        <v>738</v>
      </c>
      <c r="B26" s="247"/>
      <c r="C26" s="247"/>
      <c r="D26" s="247"/>
      <c r="E26" s="247"/>
      <c r="F26" s="247"/>
      <c r="G26" s="247"/>
      <c r="H26" s="248"/>
      <c r="I26" s="249" t="str">
        <f aca="false">IF(COUNTIFS('Scores (start here)'!$A:$A,$B$1,'Scores (start here)'!$B:$B,$A26,'Scores (start here)'!$F:$F,"&gt;=0")&gt;0,SUMIFS('Scores (start here)'!$F:$F,'Scores (start here)'!$A:$A,$B$1,'Scores (start here)'!$B:$B,$A26),K26)</f>
        <v/>
      </c>
      <c r="J26" s="247"/>
      <c r="K26" s="0" t="str">
        <f aca="false">IF(H26="","",MIN(H26*$C$7/5,$C$7))</f>
        <v/>
      </c>
    </row>
    <row r="27" customFormat="false" ht="14.25" hidden="false" customHeight="false" outlineLevel="0" collapsed="false">
      <c r="A27" s="246" t="s">
        <v>739</v>
      </c>
      <c r="B27" s="247"/>
      <c r="C27" s="247"/>
      <c r="D27" s="247"/>
      <c r="E27" s="247"/>
      <c r="F27" s="247"/>
      <c r="G27" s="247"/>
      <c r="H27" s="248"/>
      <c r="I27" s="249" t="str">
        <f aca="false">IF(COUNTIFS('Scores (start here)'!$A:$A,$B$1,'Scores (start here)'!$B:$B,$A27,'Scores (start here)'!$F:$F,"&gt;=0")&gt;0,SUMIFS('Scores (start here)'!$F:$F,'Scores (start here)'!$A:$A,$B$1,'Scores (start here)'!$B:$B,$A27),K27)</f>
        <v/>
      </c>
      <c r="J27" s="247"/>
      <c r="K27" s="0" t="str">
        <f aca="false">IF(H27="","",MIN(H27*$C$7/5,$C$7))</f>
        <v/>
      </c>
    </row>
    <row r="28" customFormat="false" ht="14.25" hidden="false" customHeight="false" outlineLevel="0" collapsed="false">
      <c r="A28" s="246" t="s">
        <v>740</v>
      </c>
      <c r="B28" s="247"/>
      <c r="C28" s="247"/>
      <c r="D28" s="247"/>
      <c r="E28" s="247"/>
      <c r="F28" s="247"/>
      <c r="G28" s="247"/>
      <c r="H28" s="248"/>
      <c r="I28" s="249" t="str">
        <f aca="false">IF(COUNTIFS('Scores (start here)'!$A:$A,$B$1,'Scores (start here)'!$B:$B,$A28,'Scores (start here)'!$F:$F,"&gt;=0")&gt;0,SUMIFS('Scores (start here)'!$F:$F,'Scores (start here)'!$A:$A,$B$1,'Scores (start here)'!$B:$B,$A28),K28)</f>
        <v/>
      </c>
      <c r="J28" s="247"/>
      <c r="K28" s="0" t="str">
        <f aca="false">IF(H28="","",MIN(H28*$C$7/5,$C$7))</f>
        <v/>
      </c>
    </row>
    <row r="29" customFormat="false" ht="14.25" hidden="false" customHeight="false" outlineLevel="0" collapsed="false">
      <c r="A29" s="246" t="s">
        <v>741</v>
      </c>
      <c r="B29" s="247"/>
      <c r="C29" s="247"/>
      <c r="D29" s="247"/>
      <c r="E29" s="247"/>
      <c r="F29" s="247"/>
      <c r="G29" s="247"/>
      <c r="H29" s="248"/>
      <c r="I29" s="249" t="str">
        <f aca="false">IF(COUNTIFS('Scores (start here)'!$A:$A,$B$1,'Scores (start here)'!$B:$B,$A29,'Scores (start here)'!$F:$F,"&gt;=0")&gt;0,SUMIFS('Scores (start here)'!$F:$F,'Scores (start here)'!$A:$A,$B$1,'Scores (start here)'!$B:$B,$A29),K29)</f>
        <v/>
      </c>
      <c r="J29" s="247"/>
      <c r="K29" s="0" t="str">
        <f aca="false">IF(H29="","",MIN(H29*$C$7/5,$C$7))</f>
        <v/>
      </c>
    </row>
    <row r="30" customFormat="false" ht="14.25" hidden="false" customHeight="false" outlineLevel="0" collapsed="false">
      <c r="A30" s="246" t="s">
        <v>742</v>
      </c>
      <c r="B30" s="247"/>
      <c r="C30" s="247"/>
      <c r="D30" s="247"/>
      <c r="E30" s="247"/>
      <c r="F30" s="247"/>
      <c r="G30" s="247"/>
      <c r="H30" s="248"/>
      <c r="I30" s="249" t="str">
        <f aca="false">IF(COUNTIFS('Scores (start here)'!$A:$A,$B$1,'Scores (start here)'!$B:$B,$A30,'Scores (start here)'!$F:$F,"&gt;=0")&gt;0,SUMIFS('Scores (start here)'!$F:$F,'Scores (start here)'!$A:$A,$B$1,'Scores (start here)'!$B:$B,$A30),K30)</f>
        <v/>
      </c>
      <c r="J30" s="247"/>
      <c r="K30" s="0" t="str">
        <f aca="false">IF(H30="","",MIN(H30*$C$7/5,$C$7))</f>
        <v/>
      </c>
    </row>
    <row r="31" customFormat="false" ht="14.25" hidden="false" customHeight="false" outlineLevel="0" collapsed="false">
      <c r="A31" s="246" t="s">
        <v>743</v>
      </c>
      <c r="B31" s="247"/>
      <c r="C31" s="247"/>
      <c r="D31" s="247"/>
      <c r="E31" s="247"/>
      <c r="F31" s="247"/>
      <c r="G31" s="247"/>
      <c r="H31" s="248"/>
      <c r="I31" s="249" t="str">
        <f aca="false">IF(COUNTIFS('Scores (start here)'!$A:$A,$B$1,'Scores (start here)'!$B:$B,$A31,'Scores (start here)'!$F:$F,"&gt;=0")&gt;0,SUMIFS('Scores (start here)'!$F:$F,'Scores (start here)'!$A:$A,$B$1,'Scores (start here)'!$B:$B,$A31),K31)</f>
        <v/>
      </c>
      <c r="J31" s="247"/>
      <c r="K31" s="0" t="str">
        <f aca="false">IF(H31="","",MIN(H31*$C$7/5,$C$7))</f>
        <v/>
      </c>
    </row>
    <row r="32" customFormat="false" ht="14.25" hidden="false" customHeight="false" outlineLevel="0" collapsed="false">
      <c r="A32" s="246" t="s">
        <v>744</v>
      </c>
      <c r="B32" s="247"/>
      <c r="C32" s="247"/>
      <c r="D32" s="247"/>
      <c r="E32" s="247"/>
      <c r="F32" s="247"/>
      <c r="G32" s="247"/>
      <c r="H32" s="248"/>
      <c r="I32" s="249" t="str">
        <f aca="false">IF(COUNTIFS('Scores (start here)'!$A:$A,$B$1,'Scores (start here)'!$B:$B,$A32,'Scores (start here)'!$F:$F,"&gt;=0")&gt;0,SUMIFS('Scores (start here)'!$F:$F,'Scores (start here)'!$A:$A,$B$1,'Scores (start here)'!$B:$B,$A32),K32)</f>
        <v/>
      </c>
      <c r="J32" s="247"/>
      <c r="K32" s="0" t="str">
        <f aca="false">IF(H32="","",MIN(H32*$C$7/5,$C$7))</f>
        <v/>
      </c>
    </row>
    <row r="33" customFormat="false" ht="14.25" hidden="false" customHeight="false" outlineLevel="0" collapsed="false">
      <c r="A33" s="246" t="s">
        <v>745</v>
      </c>
      <c r="B33" s="247"/>
      <c r="C33" s="247"/>
      <c r="D33" s="247"/>
      <c r="E33" s="247"/>
      <c r="F33" s="247"/>
      <c r="G33" s="247"/>
      <c r="H33" s="248"/>
      <c r="I33" s="249" t="str">
        <f aca="false">IF(COUNTIFS('Scores (start here)'!$A:$A,$B$1,'Scores (start here)'!$B:$B,$A33,'Scores (start here)'!$F:$F,"&gt;=0")&gt;0,SUMIFS('Scores (start here)'!$F:$F,'Scores (start here)'!$A:$A,$B$1,'Scores (start here)'!$B:$B,$A33),K33)</f>
        <v/>
      </c>
      <c r="J33" s="247"/>
      <c r="K33" s="0" t="str">
        <f aca="false">IF(H33="","",MIN(H33*$C$7/5,$C$7))</f>
        <v/>
      </c>
    </row>
    <row r="34" customFormat="false" ht="14.25" hidden="false" customHeight="false" outlineLevel="0" collapsed="false">
      <c r="A34" s="246" t="s">
        <v>746</v>
      </c>
      <c r="B34" s="247"/>
      <c r="C34" s="247"/>
      <c r="D34" s="247"/>
      <c r="E34" s="247"/>
      <c r="F34" s="247"/>
      <c r="G34" s="247"/>
      <c r="H34" s="248"/>
      <c r="I34" s="249" t="str">
        <f aca="false">IF(COUNTIFS('Scores (start here)'!$A:$A,$B$1,'Scores (start here)'!$B:$B,$A34,'Scores (start here)'!$F:$F,"&gt;=0")&gt;0,SUMIFS('Scores (start here)'!$F:$F,'Scores (start here)'!$A:$A,$B$1,'Scores (start here)'!$B:$B,$A34),K34)</f>
        <v/>
      </c>
      <c r="J34" s="247"/>
      <c r="K34" s="0" t="str">
        <f aca="false">IF(H34="","",MIN(H34*$C$7/5,$C$7))</f>
        <v/>
      </c>
    </row>
    <row r="35" customFormat="false" ht="14.25" hidden="false" customHeight="false" outlineLevel="0" collapsed="false">
      <c r="A35" s="246" t="s">
        <v>747</v>
      </c>
      <c r="B35" s="247"/>
      <c r="C35" s="247"/>
      <c r="D35" s="247"/>
      <c r="E35" s="247"/>
      <c r="F35" s="247"/>
      <c r="G35" s="247"/>
      <c r="H35" s="248"/>
      <c r="I35" s="249" t="str">
        <f aca="false">IF(COUNTIFS('Scores (start here)'!$A:$A,$B$1,'Scores (start here)'!$B:$B,$A35,'Scores (start here)'!$F:$F,"&gt;=0")&gt;0,SUMIFS('Scores (start here)'!$F:$F,'Scores (start here)'!$A:$A,$B$1,'Scores (start here)'!$B:$B,$A35),K35)</f>
        <v/>
      </c>
      <c r="J35" s="247"/>
      <c r="K35" s="0" t="str">
        <f aca="false">IF(H35="","",MIN(H35*$C$7/5,$C$7))</f>
        <v/>
      </c>
    </row>
    <row r="36" customFormat="false" ht="14.25" hidden="false" customHeight="false" outlineLevel="0" collapsed="false">
      <c r="A36" s="246" t="s">
        <v>748</v>
      </c>
      <c r="B36" s="247"/>
      <c r="C36" s="247"/>
      <c r="D36" s="247"/>
      <c r="E36" s="247"/>
      <c r="F36" s="247"/>
      <c r="G36" s="247"/>
      <c r="H36" s="248"/>
      <c r="I36" s="249" t="str">
        <f aca="false">IF(COUNTIFS('Scores (start here)'!$A:$A,$B$1,'Scores (start here)'!$B:$B,$A36,'Scores (start here)'!$F:$F,"&gt;=0")&gt;0,SUMIFS('Scores (start here)'!$F:$F,'Scores (start here)'!$A:$A,$B$1,'Scores (start here)'!$B:$B,$A36),K36)</f>
        <v/>
      </c>
      <c r="J36" s="247"/>
      <c r="K36" s="0" t="str">
        <f aca="false">IF(H36="","",MIN(H36*$C$7/5,$C$7))</f>
        <v/>
      </c>
    </row>
    <row r="37" customFormat="false" ht="14.25" hidden="false" customHeight="false" outlineLevel="0" collapsed="false">
      <c r="A37" s="246" t="s">
        <v>749</v>
      </c>
      <c r="B37" s="247"/>
      <c r="C37" s="247"/>
      <c r="D37" s="247"/>
      <c r="E37" s="247"/>
      <c r="F37" s="247"/>
      <c r="G37" s="247"/>
      <c r="H37" s="248"/>
      <c r="I37" s="249" t="str">
        <f aca="false">IF(COUNTIFS('Scores (start here)'!$A:$A,$B$1,'Scores (start here)'!$B:$B,$A37,'Scores (start here)'!$F:$F,"&gt;=0")&gt;0,SUMIFS('Scores (start here)'!$F:$F,'Scores (start here)'!$A:$A,$B$1,'Scores (start here)'!$B:$B,$A37),K37)</f>
        <v/>
      </c>
      <c r="J37" s="247"/>
      <c r="K37" s="0" t="str">
        <f aca="false">IF(H37="","",MIN(H37*$C$7/5,$C$7))</f>
        <v/>
      </c>
    </row>
    <row r="38" customFormat="false" ht="14.25" hidden="false" customHeight="false" outlineLevel="0" collapsed="false">
      <c r="A38" s="246" t="s">
        <v>750</v>
      </c>
      <c r="B38" s="247"/>
      <c r="C38" s="247"/>
      <c r="D38" s="247"/>
      <c r="E38" s="247"/>
      <c r="F38" s="247"/>
      <c r="G38" s="247"/>
      <c r="H38" s="248"/>
      <c r="I38" s="249" t="str">
        <f aca="false">IF(COUNTIFS('Scores (start here)'!$A:$A,$B$1,'Scores (start here)'!$B:$B,$A38,'Scores (start here)'!$F:$F,"&gt;=0")&gt;0,SUMIFS('Scores (start here)'!$F:$F,'Scores (start here)'!$A:$A,$B$1,'Scores (start here)'!$B:$B,$A38),K38)</f>
        <v/>
      </c>
      <c r="J38" s="247"/>
      <c r="K38" s="0" t="str">
        <f aca="false">IF(H38="","",MIN(H38*$C$7/5,$C$7))</f>
        <v/>
      </c>
    </row>
    <row r="39" customFormat="false" ht="14.25" hidden="false" customHeight="false" outlineLevel="0" collapsed="false">
      <c r="A39" s="246" t="s">
        <v>751</v>
      </c>
      <c r="B39" s="247"/>
      <c r="C39" s="247"/>
      <c r="D39" s="247"/>
      <c r="E39" s="247"/>
      <c r="F39" s="247"/>
      <c r="G39" s="247"/>
      <c r="H39" s="248"/>
      <c r="I39" s="249" t="str">
        <f aca="false">IF(COUNTIFS('Scores (start here)'!$A:$A,$B$1,'Scores (start here)'!$B:$B,$A39,'Scores (start here)'!$F:$F,"&gt;=0")&gt;0,SUMIFS('Scores (start here)'!$F:$F,'Scores (start here)'!$A:$A,$B$1,'Scores (start here)'!$B:$B,$A39),K39)</f>
        <v/>
      </c>
      <c r="J39" s="247"/>
      <c r="K39" s="0" t="str">
        <f aca="false">IF(H39="","",MIN(H39*$C$7/5,$C$7))</f>
        <v/>
      </c>
    </row>
    <row r="40" customFormat="false" ht="14.25" hidden="false" customHeight="false" outlineLevel="0" collapsed="false">
      <c r="A40" s="246" t="s">
        <v>752</v>
      </c>
      <c r="B40" s="247"/>
      <c r="C40" s="247"/>
      <c r="D40" s="247"/>
      <c r="E40" s="247"/>
      <c r="F40" s="247"/>
      <c r="G40" s="247"/>
      <c r="H40" s="248"/>
      <c r="I40" s="249" t="str">
        <f aca="false">IF(COUNTIFS('Scores (start here)'!$A:$A,$B$1,'Scores (start here)'!$B:$B,$A40,'Scores (start here)'!$F:$F,"&gt;=0")&gt;0,SUMIFS('Scores (start here)'!$F:$F,'Scores (start here)'!$A:$A,$B$1,'Scores (start here)'!$B:$B,$A40),K40)</f>
        <v/>
      </c>
      <c r="J40" s="247"/>
      <c r="K40" s="0" t="str">
        <f aca="false">IF(H40="","",MIN(H40*$C$7/5,$C$7))</f>
        <v/>
      </c>
    </row>
    <row r="41" customFormat="false" ht="14.25" hidden="false" customHeight="false" outlineLevel="0" collapsed="false">
      <c r="A41" s="246" t="s">
        <v>753</v>
      </c>
      <c r="B41" s="247"/>
      <c r="C41" s="247"/>
      <c r="D41" s="247"/>
      <c r="E41" s="247"/>
      <c r="F41" s="247"/>
      <c r="G41" s="247"/>
      <c r="H41" s="248"/>
      <c r="I41" s="249" t="str">
        <f aca="false">IF(COUNTIFS('Scores (start here)'!$A:$A,$B$1,'Scores (start here)'!$B:$B,$A41,'Scores (start here)'!$F:$F,"&gt;=0")&gt;0,SUMIFS('Scores (start here)'!$F:$F,'Scores (start here)'!$A:$A,$B$1,'Scores (start here)'!$B:$B,$A41),K41)</f>
        <v/>
      </c>
      <c r="J41" s="247"/>
      <c r="K41" s="0" t="str">
        <f aca="false">IF(H41="","",MIN(H41*$C$7/5,$C$7))</f>
        <v/>
      </c>
    </row>
  </sheetData>
  <dataValidations count="1">
    <dataValidation allowBlank="true" error="Please enter a valid value (see note above the column)." errorStyle="stop" errorTitle="Invalid entry" operator="greaterThanOrEqual" showDropDown="false" showErrorMessage="true" showInputMessage="false" sqref="H13:H41" type="whole">
      <formula1>0</formula1>
      <formula2>0</formula2>
    </dataValidation>
  </dataValidations>
  <hyperlinks>
    <hyperlink ref="I1" location="'Scores (start here)'!A1" display="← Back to Scores (start her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2026-09-22T20:15:05Z</dcterms:created>
  <dc:creator>openpyxl</dc:creator>
  <dc:description/>
  <dc:language>en-IN</dc:language>
  <cp:lastModifiedBy/>
  <dcterms:modified xsi:type="dcterms:W3CDTF">2026-10-13T08:26:06Z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0x010100D65FC0E5BB0F4546AE12BE9A8815662A</vt:lpwstr>
  </property>
  <property fmtid="{D5CDD505-2E9C-101B-9397-08002B2CF9AE}" pid="3" name="Department">
    <vt:lpwstr>167;#Advocacy_Research|085511b0-7144-4788-869f-9a4533588176</vt:lpwstr>
  </property>
  <property fmtid="{D5CDD505-2E9C-101B-9397-08002B2CF9AE}" pid="4" name="Document Type">
    <vt:lpwstr/>
  </property>
  <property fmtid="{D5CDD505-2E9C-101B-9397-08002B2CF9AE}" pid="5" name="Document_x0020_Type">
    <vt:lpwstr/>
  </property>
  <property fmtid="{D5CDD505-2E9C-101B-9397-08002B2CF9AE}" pid="6" name="MediaServiceImageTags">
    <vt:lpwstr/>
  </property>
  <property fmtid="{D5CDD505-2E9C-101B-9397-08002B2CF9AE}" pid="7" name="Program">
    <vt:lpwstr/>
  </property>
</Properties>
</file>